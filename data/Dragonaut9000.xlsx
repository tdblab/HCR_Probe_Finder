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be_Sets" sheetId="2" state="visible" r:id="rId4"/>
    <sheet name="Probe_Pairs" sheetId="3" state="visible" r:id="rId5"/>
    <sheet name="Templates" sheetId="4" state="visible" r:id="rId6"/>
    <sheet name="Amplifiers" sheetId="5" state="visible" r:id="rId7"/>
  </sheets>
  <definedNames>
    <definedName function="false" hidden="true" localSheetId="2" name="_xlnm._FilterDatabase" vbProcedure="false">Probe_Pairs!$A$1:$Y$1858</definedName>
    <definedName function="false" hidden="true" localSheetId="1" name="_xlnm._FilterDatabase" vbProcedure="false">Probe_Sets!$A$1:$AC$259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<sst xmlns="http://schemas.openxmlformats.org/spreadsheetml/2006/main" count="36352" uniqueCount="18257">
  <si>
    <t xml:space="preserve">HCR probe sets designed by Dragonaut9000</t>
  </si>
  <si>
    <t xml:space="preserve">This file holds one person's HCR probe sets. Every designer has their own file in the data folder of the HCR probe database, all with the same layout, and the probe finder viewer is built from all of them together.</t>
  </si>
  <si>
    <t xml:space="preserve">Sheets</t>
  </si>
  <si>
    <t xml:space="preserve">Probe_Sets has one row per gene × amplifier set; its pair counts come from Probe_Pairs, which has one row per P1/P2 pair linked by Set_ID. Templates holds target sequences if you have them (optional). Amplifiers is the reference list of initiator and spacer sequences, the same in every file.</t>
  </si>
  <si>
    <t xml:space="preserve">Set IDs</t>
  </si>
  <si>
    <t xml:space="preserve">Set IDs in this file start with "S" so they never clash with other people's files. Pair IDs are the Set_ID plus a two-digit pair number.</t>
  </si>
  <si>
    <t xml:space="preserve">Columns for you to fill in</t>
  </si>
  <si>
    <t xml:space="preserve">Headers in dark yellow are input columns (Status, Tube / location, Order date, Vendor / order ID, Notes); Status has a drop-down list. The other columns were filled when the file was built and checked: amplifier and P1/P2 were read from each oligo's own initiator, P1 and P2 were paired by position on the genome or template, and binding arms were matched against the NCBI B. anynana CDS (genome_cds.fa). Check notes summarizes anything worth a look; the pair-level detail is in the Pair flag column of Probe_Pairs.</t>
  </si>
  <si>
    <t xml:space="preserve">History</t>
  </si>
  <si>
    <t xml:space="preserve">Built from the original butterfly and zebrafish files, the per-gene and oPool sheets, set_1–3, genome_cds.fa and ncbi_annotation_ultimate.csv. Set IDs S001–S258 are kept from the first combined database.</t>
  </si>
  <si>
    <t xml:space="preserve">Set_ID</t>
  </si>
  <si>
    <t xml:space="preserve">Designed by</t>
  </si>
  <si>
    <t xml:space="preserve">Gene (short)</t>
  </si>
  <si>
    <t xml:space="preserve">Gene / protein name</t>
  </si>
  <si>
    <t xml:space="preserve">Organism</t>
  </si>
  <si>
    <t xml:space="preserve">LOC / GeneID</t>
  </si>
  <si>
    <t xml:space="preserve">NCBI accession</t>
  </si>
  <si>
    <t xml:space="preserve">Other ID</t>
  </si>
  <si>
    <t xml:space="preserve">Amplifier</t>
  </si>
  <si>
    <t xml:space="preserve">Fluorophore</t>
  </si>
  <si>
    <t xml:space="preserve"># pairs</t>
  </si>
  <si>
    <t xml:space="preserve"># pairs verified on template</t>
  </si>
  <si>
    <t xml:space="preserve">Same gene also on</t>
  </si>
  <si>
    <t xml:space="preserve">Names used in source files</t>
  </si>
  <si>
    <t xml:space="preserve">Source files</t>
  </si>
  <si>
    <t xml:space="preserve">Template(s)</t>
  </si>
  <si>
    <t xml:space="preserve">LOC source</t>
  </si>
  <si>
    <t xml:space="preserve">Genome LOC (genome_cds.fa match)</t>
  </si>
  <si>
    <t xml:space="preserve"># pairs verified in genome</t>
  </si>
  <si>
    <t xml:space="preserve">Genome confidence</t>
  </si>
  <si>
    <t xml:space="preserve">NCBI protein name (genome_cds.fa)</t>
  </si>
  <si>
    <t xml:space="preserve">Name in ncbi_annotation_ultimate.csv</t>
  </si>
  <si>
    <t xml:space="preserve">XP accession(s) of genome LOC</t>
  </si>
  <si>
    <t xml:space="preserve">Check notes</t>
  </si>
  <si>
    <t xml:space="preserve">Status</t>
  </si>
  <si>
    <t xml:space="preserve">Tube / location</t>
  </si>
  <si>
    <t xml:space="preserve">Order date</t>
  </si>
  <si>
    <t xml:space="preserve">Vendor / order ID</t>
  </si>
  <si>
    <t xml:space="preserve">Notes</t>
  </si>
  <si>
    <t xml:space="preserve">S001</t>
  </si>
  <si>
    <t xml:space="preserve">Dragonaut9000</t>
  </si>
  <si>
    <t xml:space="preserve">18w</t>
  </si>
  <si>
    <t xml:space="preserve">18 wheeler</t>
  </si>
  <si>
    <t xml:space="preserve">Bicyclus anynana</t>
  </si>
  <si>
    <t xml:space="preserve">LOC112047337</t>
  </si>
  <si>
    <t xml:space="preserve">B1</t>
  </si>
  <si>
    <t xml:space="preserve">AF546</t>
  </si>
  <si>
    <t xml:space="preserve">Master (Jul 2024); B1 file</t>
  </si>
  <si>
    <t xml:space="preserve">T050</t>
  </si>
  <si>
    <t xml:space="preserve">template header</t>
  </si>
  <si>
    <t xml:space="preserve">toll-like receptor 7</t>
  </si>
  <si>
    <t xml:space="preserve">XP_023940195.2</t>
  </si>
  <si>
    <t xml:space="preserve">S002</t>
  </si>
  <si>
    <t xml:space="preserve">al-like</t>
  </si>
  <si>
    <t xml:space="preserve">aristaless-like</t>
  </si>
  <si>
    <t xml:space="preserve">LOC112054675</t>
  </si>
  <si>
    <t xml:space="preserve">al_like</t>
  </si>
  <si>
    <t xml:space="preserve">T027</t>
  </si>
  <si>
    <t xml:space="preserve">homeobox protein aristaless isoform X2</t>
  </si>
  <si>
    <t xml:space="preserve">homeobox protein aristaless-like</t>
  </si>
  <si>
    <t xml:space="preserve">XP_052747220.1; XP_052747221.1; XP_052747222.1</t>
  </si>
  <si>
    <t xml:space="preserve">S003</t>
  </si>
  <si>
    <t xml:space="preserve">APC</t>
  </si>
  <si>
    <t xml:space="preserve">adenomatous polyposis coli</t>
  </si>
  <si>
    <t xml:space="preserve">LOC112047899</t>
  </si>
  <si>
    <t xml:space="preserve">XM_024085194.1</t>
  </si>
  <si>
    <t xml:space="preserve">B2</t>
  </si>
  <si>
    <t xml:space="preserve">T076</t>
  </si>
  <si>
    <t xml:space="preserve">genome_cds.fa match</t>
  </si>
  <si>
    <t xml:space="preserve">adenomatous polyposis coli protein isoform X4</t>
  </si>
  <si>
    <t xml:space="preserve">adenomatous polyposis coli protein isoform X1</t>
  </si>
  <si>
    <t xml:space="preserve">XP_052740051.1; XP_052740050.1; XP_052740043.1; XP_052740044.1; XP_052740045.1; XP_052740046.1; XP_052740047.1; XP_052740048.1; XP_052740049.1; XP_052740052.1</t>
  </si>
  <si>
    <t xml:space="preserve">S004</t>
  </si>
  <si>
    <t xml:space="preserve">araucan</t>
  </si>
  <si>
    <t xml:space="preserve">homeobox protein araucan isoform X2</t>
  </si>
  <si>
    <t xml:space="preserve">LOC112045732</t>
  </si>
  <si>
    <t xml:space="preserve">XM_024082035.2</t>
  </si>
  <si>
    <t xml:space="preserve">T037</t>
  </si>
  <si>
    <t xml:space="preserve">homeobox protein araucan-like isoform X1</t>
  </si>
  <si>
    <t xml:space="preserve">XP_023937802.1; XP_023937803.1</t>
  </si>
  <si>
    <t xml:space="preserve">S005</t>
  </si>
  <si>
    <t xml:space="preserve">aristaless</t>
  </si>
  <si>
    <t xml:space="preserve">LOC112056678</t>
  </si>
  <si>
    <t xml:space="preserve">Arl</t>
  </si>
  <si>
    <t xml:space="preserve">T016</t>
  </si>
  <si>
    <t xml:space="preserve">homeobox protein aristaless</t>
  </si>
  <si>
    <t xml:space="preserve">XP_023952906.1</t>
  </si>
  <si>
    <t xml:space="preserve">S006</t>
  </si>
  <si>
    <t xml:space="preserve">arm</t>
  </si>
  <si>
    <t xml:space="preserve">armadillo</t>
  </si>
  <si>
    <t xml:space="preserve">LOC112048594</t>
  </si>
  <si>
    <t xml:space="preserve">T025</t>
  </si>
  <si>
    <t xml:space="preserve">armadillo segment polarity protein isoform X4</t>
  </si>
  <si>
    <t xml:space="preserve">armadillo segment polarity protein isoform X1</t>
  </si>
  <si>
    <t xml:space="preserve">XP_052737433.1; XP_052737434.1; XP_052737432.1; XP_052737435.1</t>
  </si>
  <si>
    <t xml:space="preserve">S007</t>
  </si>
  <si>
    <t xml:space="preserve">bab1</t>
  </si>
  <si>
    <t xml:space="preserve">protein bric-a-brac 1 isoform X2</t>
  </si>
  <si>
    <t xml:space="preserve">LOC112043806</t>
  </si>
  <si>
    <t xml:space="preserve">XM_052890735.1</t>
  </si>
  <si>
    <t xml:space="preserve">T032</t>
  </si>
  <si>
    <t xml:space="preserve">protein bric-a-brac 1 isoform X1</t>
  </si>
  <si>
    <t xml:space="preserve">protein bric-a-brac 1-like</t>
  </si>
  <si>
    <t xml:space="preserve">XP_052746695.1; XP_023935169.2; XP_052746694.1</t>
  </si>
  <si>
    <t xml:space="preserve">S008</t>
  </si>
  <si>
    <t xml:space="preserve">brinker</t>
  </si>
  <si>
    <t xml:space="preserve">brinker (atherin-like)</t>
  </si>
  <si>
    <t xml:space="preserve">LOC112055415</t>
  </si>
  <si>
    <t xml:space="preserve">XM_024095507.2</t>
  </si>
  <si>
    <t xml:space="preserve">T041</t>
  </si>
  <si>
    <t xml:space="preserve">atherin-like</t>
  </si>
  <si>
    <t xml:space="preserve">atherin-like(LOC112055415)</t>
  </si>
  <si>
    <t xml:space="preserve">XP_023951275.2</t>
  </si>
  <si>
    <t xml:space="preserve">S009</t>
  </si>
  <si>
    <t xml:space="preserve">ci</t>
  </si>
  <si>
    <t xml:space="preserve">cubitus interruptus</t>
  </si>
  <si>
    <t xml:space="preserve">LOC112046560</t>
  </si>
  <si>
    <t xml:space="preserve">XM_024083241.1</t>
  </si>
  <si>
    <t xml:space="preserve">T026</t>
  </si>
  <si>
    <t xml:space="preserve">transcriptional activator cubitus interruptus</t>
  </si>
  <si>
    <t xml:space="preserve">transcriptional activator cubitus interruptus isoform X1</t>
  </si>
  <si>
    <t xml:space="preserve">XP_023939008.1; XP_023939009.1</t>
  </si>
  <si>
    <t xml:space="preserve">S010</t>
  </si>
  <si>
    <t xml:space="preserve">cinnabar</t>
  </si>
  <si>
    <t xml:space="preserve">cinnabar (kynurenine 3-monooxygenase-like)</t>
  </si>
  <si>
    <t xml:space="preserve">LOC112055866</t>
  </si>
  <si>
    <t xml:space="preserve">XM_024096156.1</t>
  </si>
  <si>
    <t xml:space="preserve">cin</t>
  </si>
  <si>
    <t xml:space="preserve">T021</t>
  </si>
  <si>
    <t xml:space="preserve">kynurenine 3-monooxygenase</t>
  </si>
  <si>
    <t xml:space="preserve">kynurenine 3-monooxygenase-like</t>
  </si>
  <si>
    <t xml:space="preserve">XP_023951924.2</t>
  </si>
  <si>
    <t xml:space="preserve">S011</t>
  </si>
  <si>
    <t xml:space="preserve">CK1</t>
  </si>
  <si>
    <t xml:space="preserve">casein kinase I</t>
  </si>
  <si>
    <t xml:space="preserve">LOC112055421</t>
  </si>
  <si>
    <t xml:space="preserve">XM_024095515.1</t>
  </si>
  <si>
    <t xml:space="preserve">B3</t>
  </si>
  <si>
    <t xml:space="preserve">T081</t>
  </si>
  <si>
    <t xml:space="preserve">casein kinase I isoform X4</t>
  </si>
  <si>
    <t xml:space="preserve">casein kinase I isoform X1</t>
  </si>
  <si>
    <t xml:space="preserve">XP_052742577.1; XP_052742578.1; XP_052742579.1; XP_052742580.1; XP_052742582.1; XP_052742583.1; XP_052742584.1; XP_052742585.1; XP_052742586.1; XP_052742588.1; XP_052742587.1; XP_052742590.1; XP_052742589.1</t>
  </si>
  <si>
    <t xml:space="preserve">S012</t>
  </si>
  <si>
    <t xml:space="preserve">delta</t>
  </si>
  <si>
    <t xml:space="preserve">neurogenic locus protein delta</t>
  </si>
  <si>
    <t xml:space="preserve">LOC112046850</t>
  </si>
  <si>
    <t xml:space="preserve">T029</t>
  </si>
  <si>
    <t xml:space="preserve">neurogenic locus protein delta-like(LOC112046850)</t>
  </si>
  <si>
    <t xml:space="preserve">XP_052744326.1</t>
  </si>
  <si>
    <t xml:space="preserve">S013</t>
  </si>
  <si>
    <t xml:space="preserve">dopr2</t>
  </si>
  <si>
    <t xml:space="preserve">dopamine receptor 2-like</t>
  </si>
  <si>
    <t xml:space="preserve">LOC112056723</t>
  </si>
  <si>
    <t xml:space="preserve">XM_052888388.1</t>
  </si>
  <si>
    <t xml:space="preserve">Master (Jul 2024)</t>
  </si>
  <si>
    <t xml:space="preserve">T154</t>
  </si>
  <si>
    <t xml:space="preserve">dopamine receptor 2-like(LOC112056723)</t>
  </si>
  <si>
    <t xml:space="preserve">XP_052744348.1</t>
  </si>
  <si>
    <t xml:space="preserve">S014</t>
  </si>
  <si>
    <t xml:space="preserve">dpp</t>
  </si>
  <si>
    <t xml:space="preserve">decapentaplegic</t>
  </si>
  <si>
    <t xml:space="preserve">LOC112044871</t>
  </si>
  <si>
    <t xml:space="preserve">B4</t>
  </si>
  <si>
    <t xml:space="preserve">Dpp</t>
  </si>
  <si>
    <t xml:space="preserve">T005</t>
  </si>
  <si>
    <t xml:space="preserve">protein decapentaplegic</t>
  </si>
  <si>
    <t xml:space="preserve">XP_023936626.1; XP_052739615.1</t>
  </si>
  <si>
    <t xml:space="preserve">S015</t>
  </si>
  <si>
    <t xml:space="preserve">ds</t>
  </si>
  <si>
    <t xml:space="preserve">Protein Dachsous</t>
  </si>
  <si>
    <t xml:space="preserve">LOC112058497</t>
  </si>
  <si>
    <t xml:space="preserve">ds_dsx_ets5 oPool</t>
  </si>
  <si>
    <t xml:space="preserve">T190</t>
  </si>
  <si>
    <t xml:space="preserve">protein dachsous</t>
  </si>
  <si>
    <t xml:space="preserve">XP_023955141.2; XP_052739607.1</t>
  </si>
  <si>
    <t xml:space="preserve">S016</t>
  </si>
  <si>
    <t xml:space="preserve">dscam2</t>
  </si>
  <si>
    <t xml:space="preserve">cell adhesion molecule Dscam2-like</t>
  </si>
  <si>
    <t xml:space="preserve">LOC112043786</t>
  </si>
  <si>
    <t xml:space="preserve">XM_024079361.2</t>
  </si>
  <si>
    <t xml:space="preserve">T042</t>
  </si>
  <si>
    <t xml:space="preserve">Down syndrome cell adhesion molecule-like protein Dscam2</t>
  </si>
  <si>
    <t xml:space="preserve">XP_023935129.2</t>
  </si>
  <si>
    <t xml:space="preserve">S017</t>
  </si>
  <si>
    <t xml:space="preserve">e20m</t>
  </si>
  <si>
    <t xml:space="preserve">ecdysone 20-monooxygenase isoform X2</t>
  </si>
  <si>
    <t xml:space="preserve">LOC112056276</t>
  </si>
  <si>
    <t xml:space="preserve">XM_052888368.1</t>
  </si>
  <si>
    <t xml:space="preserve">T033</t>
  </si>
  <si>
    <t xml:space="preserve">ecdysone 20-monooxygenase isoform X1</t>
  </si>
  <si>
    <t xml:space="preserve">XP_052744327.1; XP_052744328.1</t>
  </si>
  <si>
    <t xml:space="preserve">S018</t>
  </si>
  <si>
    <t xml:space="preserve">en</t>
  </si>
  <si>
    <t xml:space="preserve">engrailed</t>
  </si>
  <si>
    <t xml:space="preserve">LOC112053007</t>
  </si>
  <si>
    <t xml:space="preserve">T009</t>
  </si>
  <si>
    <t xml:space="preserve">segmentation polarity homeobox protein engrailed</t>
  </si>
  <si>
    <t xml:space="preserve">segmentation polarity homeobox protein engrailed-like</t>
  </si>
  <si>
    <t xml:space="preserve">XP_023948032.2</t>
  </si>
  <si>
    <t xml:space="preserve">S019</t>
  </si>
  <si>
    <t xml:space="preserve">ensl</t>
  </si>
  <si>
    <t xml:space="preserve">enhancer of split mbeta protein-like</t>
  </si>
  <si>
    <t xml:space="preserve">LOC112051893</t>
  </si>
  <si>
    <t xml:space="preserve">XM_024090728.2</t>
  </si>
  <si>
    <t xml:space="preserve">T049</t>
  </si>
  <si>
    <t xml:space="preserve">XP_023946496.2</t>
  </si>
  <si>
    <t xml:space="preserve">S020</t>
  </si>
  <si>
    <t xml:space="preserve">eve</t>
  </si>
  <si>
    <t xml:space="preserve">even-skipped</t>
  </si>
  <si>
    <t xml:space="preserve">LOC112051685</t>
  </si>
  <si>
    <t xml:space="preserve">T018</t>
  </si>
  <si>
    <t xml:space="preserve">segmentation protein even-skipped-like isoform X2</t>
  </si>
  <si>
    <t xml:space="preserve">segmentation protein even-skipped-like isoform X1</t>
  </si>
  <si>
    <t xml:space="preserve">XP_023946223.1; XP_023946224.1</t>
  </si>
  <si>
    <t xml:space="preserve">S021</t>
  </si>
  <si>
    <t xml:space="preserve">franky</t>
  </si>
  <si>
    <t xml:space="preserve">uncharacterized protein LOC112044027</t>
  </si>
  <si>
    <t xml:space="preserve">LOC112044027</t>
  </si>
  <si>
    <t xml:space="preserve">XM_024079746.2</t>
  </si>
  <si>
    <t xml:space="preserve">T045</t>
  </si>
  <si>
    <t xml:space="preserve">cytochrome c oxidase assembly factor 6 homolog isoform X2</t>
  </si>
  <si>
    <t xml:space="preserve">XP_023935514.2</t>
  </si>
  <si>
    <t xml:space="preserve">S022</t>
  </si>
  <si>
    <t xml:space="preserve">gasp1</t>
  </si>
  <si>
    <t xml:space="preserve">growth arrest-specific protein 1</t>
  </si>
  <si>
    <t xml:space="preserve">LOC112057967</t>
  </si>
  <si>
    <t xml:space="preserve">XM_024098582.2</t>
  </si>
  <si>
    <t xml:space="preserve">T035</t>
  </si>
  <si>
    <t xml:space="preserve">growth arrest-specific protein 1-like</t>
  </si>
  <si>
    <t xml:space="preserve">XP_023954350.2</t>
  </si>
  <si>
    <t xml:space="preserve">S023</t>
  </si>
  <si>
    <t xml:space="preserve">GFP</t>
  </si>
  <si>
    <t xml:space="preserve">— (GFP transgene)</t>
  </si>
  <si>
    <t xml:space="preserve">gfp</t>
  </si>
  <si>
    <t xml:space="preserve">T023</t>
  </si>
  <si>
    <t xml:space="preserve">1 pair(s) flagged in Probe_Pairs</t>
  </si>
  <si>
    <t xml:space="preserve">S024</t>
  </si>
  <si>
    <t xml:space="preserve">groucho-like</t>
  </si>
  <si>
    <t xml:space="preserve">LOC112044658</t>
  </si>
  <si>
    <t xml:space="preserve">XM_024080563.1</t>
  </si>
  <si>
    <t xml:space="preserve">T074</t>
  </si>
  <si>
    <t xml:space="preserve">protein groucho</t>
  </si>
  <si>
    <t xml:space="preserve">protein groucho-like isoform X1</t>
  </si>
  <si>
    <t xml:space="preserve">XP_052742340.1</t>
  </si>
  <si>
    <t xml:space="preserve">S025</t>
  </si>
  <si>
    <t xml:space="preserve">hsp67B1</t>
  </si>
  <si>
    <t xml:space="preserve">heat shock protein 67B1-like</t>
  </si>
  <si>
    <t xml:space="preserve">LOC112054669</t>
  </si>
  <si>
    <t xml:space="preserve">XM_024094531.2</t>
  </si>
  <si>
    <t xml:space="preserve">T036</t>
  </si>
  <si>
    <t xml:space="preserve">XP_023950299.2</t>
  </si>
  <si>
    <t xml:space="preserve">S026</t>
  </si>
  <si>
    <t xml:space="preserve">hth</t>
  </si>
  <si>
    <t xml:space="preserve">homothorax</t>
  </si>
  <si>
    <t xml:space="preserve">LOC112054591</t>
  </si>
  <si>
    <t xml:space="preserve">Htha, Hthb, Hthc, hth</t>
  </si>
  <si>
    <t xml:space="preserve">T019</t>
  </si>
  <si>
    <t xml:space="preserve">homeobox protein homothorax isoform X4</t>
  </si>
  <si>
    <t xml:space="preserve">homeobox protein homothorax isoform X1</t>
  </si>
  <si>
    <t xml:space="preserve">XP_052744213.1; XP_052744214.1; XP_023950201.1; XP_052744215.1</t>
  </si>
  <si>
    <t xml:space="preserve">S027</t>
  </si>
  <si>
    <t xml:space="preserve">inv</t>
  </si>
  <si>
    <t xml:space="preserve">invected</t>
  </si>
  <si>
    <t xml:space="preserve">LOC112053006</t>
  </si>
  <si>
    <t xml:space="preserve">T011</t>
  </si>
  <si>
    <t xml:space="preserve">homeobox protein invected-like isoform X2</t>
  </si>
  <si>
    <t xml:space="preserve">homeobox protein invected-like isoform X1</t>
  </si>
  <si>
    <t xml:space="preserve">XP_052742906.1; XP_052742907.1</t>
  </si>
  <si>
    <t xml:space="preserve">S028</t>
  </si>
  <si>
    <t xml:space="preserve">invected-like</t>
  </si>
  <si>
    <t xml:space="preserve">invlike</t>
  </si>
  <si>
    <t xml:space="preserve">T010</t>
  </si>
  <si>
    <t xml:space="preserve">S029</t>
  </si>
  <si>
    <t xml:space="preserve">kartic</t>
  </si>
  <si>
    <t xml:space="preserve">uncharacterized protein LOC112043273 isoform X2</t>
  </si>
  <si>
    <t xml:space="preserve">LOC112043273</t>
  </si>
  <si>
    <t xml:space="preserve">XM_052891417.1</t>
  </si>
  <si>
    <t xml:space="preserve">T044</t>
  </si>
  <si>
    <t xml:space="preserve">uncharacterized LOC112043273(LOC112043273)</t>
  </si>
  <si>
    <t xml:space="preserve">XP_023934361.2; XP_052747377.1</t>
  </si>
  <si>
    <t xml:space="preserve">S030</t>
  </si>
  <si>
    <t xml:space="preserve">kfase</t>
  </si>
  <si>
    <t xml:space="preserve">kynurenine formamidase</t>
  </si>
  <si>
    <t xml:space="preserve">LOC112055308</t>
  </si>
  <si>
    <t xml:space="preserve">XM_024095364.1</t>
  </si>
  <si>
    <t xml:space="preserve">T022</t>
  </si>
  <si>
    <t xml:space="preserve">kynurenine formamidase isoform X2</t>
  </si>
  <si>
    <t xml:space="preserve">kynurenine formamidase isoform X1</t>
  </si>
  <si>
    <t xml:space="preserve">XP_023951131.2; XP_023951132.2; XP_023951133.2</t>
  </si>
  <si>
    <t xml:space="preserve">Only 3/8 pairs match the genome LOC on both halves</t>
  </si>
  <si>
    <t xml:space="preserve">S031</t>
  </si>
  <si>
    <t xml:space="preserve">knirps</t>
  </si>
  <si>
    <t xml:space="preserve">LOC112043430</t>
  </si>
  <si>
    <t xml:space="preserve">Kni</t>
  </si>
  <si>
    <t xml:space="preserve">T017</t>
  </si>
  <si>
    <t xml:space="preserve">knirps-related protein-like</t>
  </si>
  <si>
    <t xml:space="preserve">XP_023934605.1</t>
  </si>
  <si>
    <t xml:space="preserve">S032</t>
  </si>
  <si>
    <t xml:space="preserve">lachesin</t>
  </si>
  <si>
    <t xml:space="preserve">lachesin-like</t>
  </si>
  <si>
    <t xml:space="preserve">LOC112042983</t>
  </si>
  <si>
    <t xml:space="preserve">XM_024078217.2</t>
  </si>
  <si>
    <t xml:space="preserve">T043</t>
  </si>
  <si>
    <t xml:space="preserve">XP_023933985.1</t>
  </si>
  <si>
    <t xml:space="preserve">S033</t>
  </si>
  <si>
    <t xml:space="preserve">lethal2</t>
  </si>
  <si>
    <t xml:space="preserve">protein lethal(2)essential for life</t>
  </si>
  <si>
    <t xml:space="preserve">LOC112054673</t>
  </si>
  <si>
    <t xml:space="preserve">XM_024094536.2</t>
  </si>
  <si>
    <t xml:space="preserve">T039</t>
  </si>
  <si>
    <t xml:space="preserve">protein lethal(2)essential for life-like</t>
  </si>
  <si>
    <t xml:space="preserve">XP_023950304.1</t>
  </si>
  <si>
    <t xml:space="preserve">S034</t>
  </si>
  <si>
    <t xml:space="preserve">mad6</t>
  </si>
  <si>
    <t xml:space="preserve">mothers against decapentaplegic homolog 6</t>
  </si>
  <si>
    <t xml:space="preserve">LOC112050707</t>
  </si>
  <si>
    <t xml:space="preserve">Bany_10682-RB</t>
  </si>
  <si>
    <t xml:space="preserve">Mad</t>
  </si>
  <si>
    <t xml:space="preserve">T047</t>
  </si>
  <si>
    <t xml:space="preserve">XP_023944813.2</t>
  </si>
  <si>
    <t xml:space="preserve">S035</t>
  </si>
  <si>
    <t xml:space="preserve">miR-2788-5p</t>
  </si>
  <si>
    <t xml:space="preserve">Mir</t>
  </si>
  <si>
    <t xml:space="preserve">T202</t>
  </si>
  <si>
    <t xml:space="preserve">S036</t>
  </si>
  <si>
    <t xml:space="preserve">mth2</t>
  </si>
  <si>
    <t xml:space="preserve">G-protein coupled receptor Mth2</t>
  </si>
  <si>
    <t xml:space="preserve">LOC112055720</t>
  </si>
  <si>
    <t xml:space="preserve">XR_008251439.1</t>
  </si>
  <si>
    <t xml:space="preserve">T040</t>
  </si>
  <si>
    <t xml:space="preserve">G-protein coupled receptor Mth2-like isoform X1</t>
  </si>
  <si>
    <t xml:space="preserve">XP_052741340.1</t>
  </si>
  <si>
    <t xml:space="preserve">S037</t>
  </si>
  <si>
    <t xml:space="preserve">net</t>
  </si>
  <si>
    <t xml:space="preserve">transcription factor ATOH8</t>
  </si>
  <si>
    <t xml:space="preserve">LOC112055221</t>
  </si>
  <si>
    <t xml:space="preserve">XM_024095242.2</t>
  </si>
  <si>
    <t xml:space="preserve">T163</t>
  </si>
  <si>
    <t xml:space="preserve">protein atonal homolog 8</t>
  </si>
  <si>
    <t xml:space="preserve">XP_023951010.2</t>
  </si>
  <si>
    <t xml:space="preserve">S038</t>
  </si>
  <si>
    <t xml:space="preserve">nhl-1</t>
  </si>
  <si>
    <t xml:space="preserve">RING finger protein nhl-1 isoform X2</t>
  </si>
  <si>
    <t xml:space="preserve">LOC112045027</t>
  </si>
  <si>
    <t xml:space="preserve">XM_052885655.1</t>
  </si>
  <si>
    <t xml:space="preserve">T046</t>
  </si>
  <si>
    <t xml:space="preserve">RING finger protein nhl-1 isoform X1</t>
  </si>
  <si>
    <t xml:space="preserve">XP_052741615.1; XP_023936835.1; XP_023936836.1; XP_052741612.1; XP_052741613.1</t>
  </si>
  <si>
    <t xml:space="preserve">S039</t>
  </si>
  <si>
    <t xml:space="preserve">notch1</t>
  </si>
  <si>
    <t xml:space="preserve">neurogenic locus Notch protein isoform X1</t>
  </si>
  <si>
    <t xml:space="preserve">LOC112052049</t>
  </si>
  <si>
    <t xml:space="preserve">T028</t>
  </si>
  <si>
    <t xml:space="preserve">neurogenic locus Notch protein isoform X2</t>
  </si>
  <si>
    <t xml:space="preserve">XP_052737293.1; XP_052737294.1</t>
  </si>
  <si>
    <t xml:space="preserve">S040</t>
  </si>
  <si>
    <t xml:space="preserve">notch2</t>
  </si>
  <si>
    <t xml:space="preserve">neurogenic locus notch homolog protein 1 isoform X3</t>
  </si>
  <si>
    <t xml:space="preserve">LOC112057117</t>
  </si>
  <si>
    <t xml:space="preserve">T030</t>
  </si>
  <si>
    <t xml:space="preserve">neurogenic locus notch homolog protein 1 isoform X2</t>
  </si>
  <si>
    <t xml:space="preserve">neurogenic locus notch homolog protein 1 isoform X1</t>
  </si>
  <si>
    <t xml:space="preserve">XP_052743982.1; XP_052743981.1; XP_023953379.1</t>
  </si>
  <si>
    <t xml:space="preserve">S041</t>
  </si>
  <si>
    <t xml:space="preserve">notch3</t>
  </si>
  <si>
    <t xml:space="preserve">neurogenic locus notch homolog protein 1</t>
  </si>
  <si>
    <t xml:space="preserve">LOC112046872</t>
  </si>
  <si>
    <t xml:space="preserve">T031</t>
  </si>
  <si>
    <t xml:space="preserve">delta and Notch-like epidermal growth factor-related receptor</t>
  </si>
  <si>
    <t xml:space="preserve">XP_052738910.1</t>
  </si>
  <si>
    <t xml:space="preserve">S042</t>
  </si>
  <si>
    <t xml:space="preserve">omb</t>
  </si>
  <si>
    <t xml:space="preserve">optomotor-blind</t>
  </si>
  <si>
    <t xml:space="preserve">LOC112048640</t>
  </si>
  <si>
    <t xml:space="preserve">BANY.1.2.t12446</t>
  </si>
  <si>
    <t xml:space="preserve">B3, B5</t>
  </si>
  <si>
    <t xml:space="preserve">T012</t>
  </si>
  <si>
    <t xml:space="preserve">optomotor-blind protein isoform X1</t>
  </si>
  <si>
    <t xml:space="preserve">XP_052738897.1; XP_023942031.1; XP_023942035.1; XP_023942029.1; XP_052738895.1; XP_052738894.1; XP_052738892.1; XP_052738893.1; XP_052738891.1</t>
  </si>
  <si>
    <t xml:space="preserve">S043</t>
  </si>
  <si>
    <t xml:space="preserve">pangolin</t>
  </si>
  <si>
    <t xml:space="preserve">pangolin (dTCF)</t>
  </si>
  <si>
    <t xml:space="preserve">LOC112058326</t>
  </si>
  <si>
    <t xml:space="preserve">pangolin, pang</t>
  </si>
  <si>
    <t xml:space="preserve">Master (Jul 2024); B1 file; pang_axin_naked oPool</t>
  </si>
  <si>
    <t xml:space="preserve">T065</t>
  </si>
  <si>
    <t xml:space="preserve">protein pangolin, isoforms A/H/I/S isoform X1</t>
  </si>
  <si>
    <t xml:space="preserve">protein pangolin(LOC112058326)</t>
  </si>
  <si>
    <t xml:space="preserve">XP_023954843.1; XP_023954838.1; XP_023954840.1; XP_023954837.1</t>
  </si>
  <si>
    <t xml:space="preserve">4 pair(s) flagged in Probe_Pairs</t>
  </si>
  <si>
    <t xml:space="preserve">S044</t>
  </si>
  <si>
    <t xml:space="preserve">pax1</t>
  </si>
  <si>
    <t xml:space="preserve">PAX-interacting protein 1-like</t>
  </si>
  <si>
    <t xml:space="preserve">LOC112046065</t>
  </si>
  <si>
    <t xml:space="preserve">pax</t>
  </si>
  <si>
    <t xml:space="preserve">pax1_apoD_ems oPool</t>
  </si>
  <si>
    <t xml:space="preserve">T193</t>
  </si>
  <si>
    <t xml:space="preserve">PAX-interacting protein 1</t>
  </si>
  <si>
    <t xml:space="preserve">LOW QUALITY PROTEIN: PAX-interacting protein 1-like</t>
  </si>
  <si>
    <t xml:space="preserve">XP_052739023.1</t>
  </si>
  <si>
    <t xml:space="preserve">S045</t>
  </si>
  <si>
    <t xml:space="preserve">pcuticle</t>
  </si>
  <si>
    <t xml:space="preserve">pupal cuticle protein</t>
  </si>
  <si>
    <t xml:space="preserve">LOC112055213</t>
  </si>
  <si>
    <t xml:space="preserve">XM_024095234.2</t>
  </si>
  <si>
    <t xml:space="preserve">T034</t>
  </si>
  <si>
    <t xml:space="preserve">pupal cuticle protein-like</t>
  </si>
  <si>
    <t xml:space="preserve">XP_023951002.1</t>
  </si>
  <si>
    <t xml:space="preserve">S046</t>
  </si>
  <si>
    <t xml:space="preserve">rac</t>
  </si>
  <si>
    <t xml:space="preserve">RAC serine/threonine-protein kinase</t>
  </si>
  <si>
    <t xml:space="preserve">LOC112051766</t>
  </si>
  <si>
    <t xml:space="preserve">T085</t>
  </si>
  <si>
    <t xml:space="preserve">XP_023946316.1; XP_052742261.1; XP_052742262.1</t>
  </si>
  <si>
    <t xml:space="preserve">S047</t>
  </si>
  <si>
    <t xml:space="preserve">rho2 (LOC112045926)</t>
  </si>
  <si>
    <t xml:space="preserve">rhomboid-related protein 2 isoform X6</t>
  </si>
  <si>
    <t xml:space="preserve">LOC112045926</t>
  </si>
  <si>
    <t xml:space="preserve">XM_052883132.1</t>
  </si>
  <si>
    <t xml:space="preserve">rho2_26</t>
  </si>
  <si>
    <t xml:space="preserve">T160</t>
  </si>
  <si>
    <t xml:space="preserve">rhomboid-related protein 2 isoform X5</t>
  </si>
  <si>
    <t xml:space="preserve">rhomboid-related protein 2 isoform X1</t>
  </si>
  <si>
    <t xml:space="preserve">XP_023938090.1; XP_023938089.1; XP_023938088.1; XP_023938085.1; XP_052739092.1; XP_052739091.1</t>
  </si>
  <si>
    <t xml:space="preserve">S048</t>
  </si>
  <si>
    <t xml:space="preserve">rho2 (LOC112052596)</t>
  </si>
  <si>
    <t xml:space="preserve">rhomboid-related protein 2</t>
  </si>
  <si>
    <t xml:space="preserve">LOC112052596</t>
  </si>
  <si>
    <t xml:space="preserve">XM_052881588.1</t>
  </si>
  <si>
    <t xml:space="preserve">rho2_96</t>
  </si>
  <si>
    <t xml:space="preserve">T159</t>
  </si>
  <si>
    <t xml:space="preserve">rhomboid-related protein 2-like</t>
  </si>
  <si>
    <t xml:space="preserve">XP_023947510.2; XP_052737548.1; XP_052737549.1</t>
  </si>
  <si>
    <t xml:space="preserve">S049</t>
  </si>
  <si>
    <t xml:space="preserve">rho3</t>
  </si>
  <si>
    <t xml:space="preserve">rhomboid-related protein 3 isoform X2</t>
  </si>
  <si>
    <t xml:space="preserve">LOC112047794</t>
  </si>
  <si>
    <t xml:space="preserve">XM_024085038.2</t>
  </si>
  <si>
    <t xml:space="preserve">B2, B3</t>
  </si>
  <si>
    <t xml:space="preserve">T094</t>
  </si>
  <si>
    <t xml:space="preserve">rhomboid-related protein 3 isoform X1</t>
  </si>
  <si>
    <t xml:space="preserve">XP_023940805.1; XP_023940806.1</t>
  </si>
  <si>
    <t xml:space="preserve">S050</t>
  </si>
  <si>
    <t xml:space="preserve">Ror</t>
  </si>
  <si>
    <t xml:space="preserve">tyrosine-protein kinase transmembrane receptor Ror</t>
  </si>
  <si>
    <t xml:space="preserve">LOC112043907</t>
  </si>
  <si>
    <t xml:space="preserve">Ror, ror</t>
  </si>
  <si>
    <t xml:space="preserve">T083</t>
  </si>
  <si>
    <t xml:space="preserve">XP_023935339.2</t>
  </si>
  <si>
    <t xml:space="preserve">S051</t>
  </si>
  <si>
    <t xml:space="preserve">senseless</t>
  </si>
  <si>
    <t xml:space="preserve">LOC112050060</t>
  </si>
  <si>
    <t xml:space="preserve">Senseless</t>
  </si>
  <si>
    <t xml:space="preserve">Anupama_scale; Master (Jul 2024)</t>
  </si>
  <si>
    <t xml:space="preserve">T002</t>
  </si>
  <si>
    <t xml:space="preserve">fez family zinc finger protein erm</t>
  </si>
  <si>
    <t xml:space="preserve">zinc finger protein 271-like</t>
  </si>
  <si>
    <t xml:space="preserve">XP_023943959.2</t>
  </si>
  <si>
    <t xml:space="preserve">S052</t>
  </si>
  <si>
    <t xml:space="preserve">shaven</t>
  </si>
  <si>
    <t xml:space="preserve">shaven (partial mRNA)</t>
  </si>
  <si>
    <t xml:space="preserve">LOC112056518</t>
  </si>
  <si>
    <t xml:space="preserve">T001</t>
  </si>
  <si>
    <t xml:space="preserve">paired box protein Pax-5 isoform X2</t>
  </si>
  <si>
    <t xml:space="preserve">paired box protein Pax-5 isoform X1</t>
  </si>
  <si>
    <t xml:space="preserve">XP_052745248.1; XP_052745249.1</t>
  </si>
  <si>
    <t xml:space="preserve">S053</t>
  </si>
  <si>
    <t xml:space="preserve">soni</t>
  </si>
  <si>
    <t xml:space="preserve">uncharacterized protein LOC112054415</t>
  </si>
  <si>
    <t xml:space="preserve">LOC112054415</t>
  </si>
  <si>
    <t xml:space="preserve">XM_052886037.1</t>
  </si>
  <si>
    <t xml:space="preserve">T038</t>
  </si>
  <si>
    <t xml:space="preserve">uncharacterized LOC112054415(LOC112054415)</t>
  </si>
  <si>
    <t xml:space="preserve">XP_052741997.1</t>
  </si>
  <si>
    <t xml:space="preserve">S054</t>
  </si>
  <si>
    <t xml:space="preserve">spalt</t>
  </si>
  <si>
    <t xml:space="preserve">LOC112046662</t>
  </si>
  <si>
    <t xml:space="preserve">Master (Jul 2024); spalt_B1; B1 file</t>
  </si>
  <si>
    <t xml:space="preserve">T024</t>
  </si>
  <si>
    <t xml:space="preserve">homeotic protein spalt-major isoform X3</t>
  </si>
  <si>
    <t xml:space="preserve">homeotic protein spalt-major-like isoform X1</t>
  </si>
  <si>
    <t xml:space="preserve">XP_052747207.1; XP_052747206.1; XP_023939141.1</t>
  </si>
  <si>
    <t xml:space="preserve">S055</t>
  </si>
  <si>
    <t xml:space="preserve">spitz</t>
  </si>
  <si>
    <t xml:space="preserve">protein spitz-like</t>
  </si>
  <si>
    <t xml:space="preserve">LOC112044810</t>
  </si>
  <si>
    <t xml:space="preserve">XM_024080777.2</t>
  </si>
  <si>
    <t xml:space="preserve">T048</t>
  </si>
  <si>
    <t xml:space="preserve">XP_023936545.1</t>
  </si>
  <si>
    <t xml:space="preserve">S056</t>
  </si>
  <si>
    <t xml:space="preserve">synapsin</t>
  </si>
  <si>
    <t xml:space="preserve">LOC112055844</t>
  </si>
  <si>
    <t xml:space="preserve">XM_024096155.2</t>
  </si>
  <si>
    <t xml:space="preserve">T151</t>
  </si>
  <si>
    <t xml:space="preserve">XP_023951923.2</t>
  </si>
  <si>
    <t xml:space="preserve">S057</t>
  </si>
  <si>
    <t xml:space="preserve">tox3</t>
  </si>
  <si>
    <t xml:space="preserve">TOX high mobility group box family member 3</t>
  </si>
  <si>
    <t xml:space="preserve">LOC112052747</t>
  </si>
  <si>
    <t xml:space="preserve">Gene1	tox3_tsu_mab21_Gene1_B1_P1_1, tox, Gene1	tox3_tsu_mab21_Gene1_B1_P1_2, Gene1	tox3_tsu_mab21_Gene1_B1_P1_3, Gene1	tox3_tsu_mab21_Gene1_B1_P1_4, Gene1	tox3_tsu_mab21_Gene1_B1_P1_5, Gene1	tox3_tsu_mab21_Gene1_B1_P1_6, Gene1	tox3_tsu_mab21_Gene1_B1_P1_7</t>
  </si>
  <si>
    <t xml:space="preserve">tox3_tsu_mab21 probe list; tox3_tsu_mab21 oPool</t>
  </si>
  <si>
    <t xml:space="preserve">T199</t>
  </si>
  <si>
    <t xml:space="preserve">TOX high mobility group box family member 3 isoform X6</t>
  </si>
  <si>
    <t xml:space="preserve">TOX high mobility group box family member 3-like isoform X1</t>
  </si>
  <si>
    <t xml:space="preserve">XP_023947718.2; XP_023947745.2; XP_023947710.2; XP_052737621.1; XP_023947736.2; XP_023947728.2; XP_023947755.2</t>
  </si>
  <si>
    <t xml:space="preserve">S058</t>
  </si>
  <si>
    <t xml:space="preserve">trachealess</t>
  </si>
  <si>
    <t xml:space="preserve">protein trachealess isoform X2</t>
  </si>
  <si>
    <t xml:space="preserve">LOC112046576</t>
  </si>
  <si>
    <t xml:space="preserve">XM_052888412.1</t>
  </si>
  <si>
    <t xml:space="preserve">Master (Jul 2024); trachealess sheet</t>
  </si>
  <si>
    <t xml:space="preserve">T162</t>
  </si>
  <si>
    <t xml:space="preserve">protein trachealess isoform X3</t>
  </si>
  <si>
    <t xml:space="preserve">protein trachealess isoform X1</t>
  </si>
  <si>
    <t xml:space="preserve">XP_052744372.1; XP_052744371.1; XP_023939041.1</t>
  </si>
  <si>
    <t xml:space="preserve">S059</t>
  </si>
  <si>
    <t xml:space="preserve">vermilion</t>
  </si>
  <si>
    <t xml:space="preserve">vermilion (tryptophan 2,3-dioxygenase)</t>
  </si>
  <si>
    <t xml:space="preserve">LOC112056641</t>
  </si>
  <si>
    <t xml:space="preserve">BANY.1.2.t24392</t>
  </si>
  <si>
    <t xml:space="preserve">vrm</t>
  </si>
  <si>
    <t xml:space="preserve">T020</t>
  </si>
  <si>
    <t xml:space="preserve">tryptophan 2,3-dioxygenase</t>
  </si>
  <si>
    <t xml:space="preserve">tryptophan 2</t>
  </si>
  <si>
    <t xml:space="preserve">XP_023952864.2</t>
  </si>
  <si>
    <t xml:space="preserve">S060</t>
  </si>
  <si>
    <t xml:space="preserve">washout</t>
  </si>
  <si>
    <t xml:space="preserve">LOC112049539</t>
  </si>
  <si>
    <t xml:space="preserve">T051</t>
  </si>
  <si>
    <t xml:space="preserve">WASH complex subunit 1</t>
  </si>
  <si>
    <t xml:space="preserve">XP_023943240.2; XP_023943241.2</t>
  </si>
  <si>
    <t xml:space="preserve">S061</t>
  </si>
  <si>
    <t xml:space="preserve">wg</t>
  </si>
  <si>
    <t xml:space="preserve">wingless</t>
  </si>
  <si>
    <t xml:space="preserve">LOC112058530</t>
  </si>
  <si>
    <t xml:space="preserve">BANY.1.2.t03754</t>
  </si>
  <si>
    <t xml:space="preserve">T006</t>
  </si>
  <si>
    <t xml:space="preserve">protein Wnt-1</t>
  </si>
  <si>
    <t xml:space="preserve">XP_023955185.1</t>
  </si>
  <si>
    <t xml:space="preserve">Only 2/6 pairs match the genome LOC on both halves</t>
  </si>
  <si>
    <t xml:space="preserve">S062</t>
  </si>
  <si>
    <t xml:space="preserve">Wnt4</t>
  </si>
  <si>
    <t xml:space="preserve">BANY.1.2.t03758</t>
  </si>
  <si>
    <t xml:space="preserve">Wnt</t>
  </si>
  <si>
    <t xml:space="preserve">T015</t>
  </si>
  <si>
    <t xml:space="preserve">S063</t>
  </si>
  <si>
    <t xml:space="preserve">Wnt5</t>
  </si>
  <si>
    <t xml:space="preserve">LOC112045386</t>
  </si>
  <si>
    <t xml:space="preserve">BANY.1.2.t00712</t>
  </si>
  <si>
    <t xml:space="preserve">T014</t>
  </si>
  <si>
    <t xml:space="preserve">protein Wnt-5b-like</t>
  </si>
  <si>
    <t xml:space="preserve">XP_052740776.1; XP_023937318.2</t>
  </si>
  <si>
    <t xml:space="preserve">Only 2/8 pairs match the genome LOC on both halves</t>
  </si>
  <si>
    <t xml:space="preserve">S064</t>
  </si>
  <si>
    <t xml:space="preserve">WntA</t>
  </si>
  <si>
    <t xml:space="preserve">LOC112045375</t>
  </si>
  <si>
    <t xml:space="preserve">wnta</t>
  </si>
  <si>
    <t xml:space="preserve">T013</t>
  </si>
  <si>
    <t xml:space="preserve">protein wingless</t>
  </si>
  <si>
    <t xml:space="preserve">protein wingless-like isoform X2</t>
  </si>
  <si>
    <t xml:space="preserve">XP_023937298.1</t>
  </si>
  <si>
    <t xml:space="preserve">S065</t>
  </si>
  <si>
    <t xml:space="preserve">wntless</t>
  </si>
  <si>
    <t xml:space="preserve">LOC112045307</t>
  </si>
  <si>
    <t xml:space="preserve">XM_024081438.1</t>
  </si>
  <si>
    <t xml:space="preserve">Master (Jul 2024); B1 file; wntless_shaggy_ck1 oPool</t>
  </si>
  <si>
    <t xml:space="preserve">T079</t>
  </si>
  <si>
    <t xml:space="preserve">protein wntless</t>
  </si>
  <si>
    <t xml:space="preserve">XP_023937206.1</t>
  </si>
  <si>
    <t xml:space="preserve">S066</t>
  </si>
  <si>
    <t xml:space="preserve">dsv</t>
  </si>
  <si>
    <t xml:space="preserve">segment polarity protein dishevelled homolog DVL-3</t>
  </si>
  <si>
    <t xml:space="preserve">LOC112056023</t>
  </si>
  <si>
    <t xml:space="preserve">dsv_groucho_arrow oPool</t>
  </si>
  <si>
    <t xml:space="preserve">segment polarity protein dishevelled homolog DVL-3-like</t>
  </si>
  <si>
    <t xml:space="preserve">XP_023952113.2</t>
  </si>
  <si>
    <t xml:space="preserve">S067</t>
  </si>
  <si>
    <t xml:space="preserve">porcupine</t>
  </si>
  <si>
    <t xml:space="preserve">protein-serine O-palmitoleoyltransferase porcupine</t>
  </si>
  <si>
    <t xml:space="preserve">LOC112055417</t>
  </si>
  <si>
    <t xml:space="preserve">porcupine_apc_pygopus oPool</t>
  </si>
  <si>
    <t xml:space="preserve">XP_023951278.1</t>
  </si>
  <si>
    <t xml:space="preserve">S068</t>
  </si>
  <si>
    <t xml:space="preserve">3OHKT</t>
  </si>
  <si>
    <t xml:space="preserve">monocarboxylate transporter 7-like</t>
  </si>
  <si>
    <t xml:space="preserve">LOC112045987</t>
  </si>
  <si>
    <t xml:space="preserve">XM_024082418.2</t>
  </si>
  <si>
    <t xml:space="preserve">AF647</t>
  </si>
  <si>
    <t xml:space="preserve">Master (Jul 2024); B2 file</t>
  </si>
  <si>
    <t xml:space="preserve">T110</t>
  </si>
  <si>
    <t xml:space="preserve">XP_023938186.1</t>
  </si>
  <si>
    <t xml:space="preserve">S069</t>
  </si>
  <si>
    <t xml:space="preserve">A8</t>
  </si>
  <si>
    <t xml:space="preserve">testis-specific gene A8 protein-like</t>
  </si>
  <si>
    <t xml:space="preserve">LOC128198825</t>
  </si>
  <si>
    <t xml:space="preserve">XM_052885974.1</t>
  </si>
  <si>
    <t xml:space="preserve">T096</t>
  </si>
  <si>
    <t xml:space="preserve">(not in CSV)</t>
  </si>
  <si>
    <t xml:space="preserve">XP_052741934.1</t>
  </si>
  <si>
    <t xml:space="preserve">S070</t>
  </si>
  <si>
    <t xml:space="preserve">abrupt</t>
  </si>
  <si>
    <t xml:space="preserve">protein abrupt isoform X2</t>
  </si>
  <si>
    <t xml:space="preserve">LOC112047886</t>
  </si>
  <si>
    <t xml:space="preserve">XM_024085182.2</t>
  </si>
  <si>
    <t xml:space="preserve">T158</t>
  </si>
  <si>
    <t xml:space="preserve">protein abrupt-like isoform X1</t>
  </si>
  <si>
    <t xml:space="preserve">XP_023940941.1; XP_023940950.1</t>
  </si>
  <si>
    <t xml:space="preserve">S071</t>
  </si>
  <si>
    <t xml:space="preserve">6 pair(s) flagged in Probe_Pairs</t>
  </si>
  <si>
    <t xml:space="preserve">S072</t>
  </si>
  <si>
    <t xml:space="preserve">apoD</t>
  </si>
  <si>
    <t xml:space="preserve">Apolipoprotein D-like</t>
  </si>
  <si>
    <t xml:space="preserve">LOC112055889</t>
  </si>
  <si>
    <t xml:space="preserve">T194</t>
  </si>
  <si>
    <t xml:space="preserve">apolipoprotein D-like</t>
  </si>
  <si>
    <t xml:space="preserve">XP_052738840.1</t>
  </si>
  <si>
    <t xml:space="preserve">S073</t>
  </si>
  <si>
    <t xml:space="preserve">arrow (XM_024081842)</t>
  </si>
  <si>
    <t xml:space="preserve">arrow (LDL receptor adapter protein 1-A-like)</t>
  </si>
  <si>
    <t xml:space="preserve">LOC112045588</t>
  </si>
  <si>
    <t xml:space="preserve">XM_024081842.1</t>
  </si>
  <si>
    <t xml:space="preserve">arrow</t>
  </si>
  <si>
    <t xml:space="preserve">T075</t>
  </si>
  <si>
    <t xml:space="preserve">low density lipoprotein receptor adapter protein 1-like</t>
  </si>
  <si>
    <t xml:space="preserve">low density lipoprotein receptor adapter protein 1-A-like</t>
  </si>
  <si>
    <t xml:space="preserve">XP_052743342.1</t>
  </si>
  <si>
    <t xml:space="preserve">Only 1/3 pairs match the genome LOC on both halves</t>
  </si>
  <si>
    <t xml:space="preserve">S074</t>
  </si>
  <si>
    <t xml:space="preserve">arylphorin alpha</t>
  </si>
  <si>
    <t xml:space="preserve">arylphorin subunit alpha-like isoform X2</t>
  </si>
  <si>
    <t xml:space="preserve">LOC112045125</t>
  </si>
  <si>
    <t xml:space="preserve">XM_052887386.1</t>
  </si>
  <si>
    <t xml:space="preserve">arylphorin_alpha</t>
  </si>
  <si>
    <t xml:space="preserve">T100</t>
  </si>
  <si>
    <t xml:space="preserve">hexamerin-like</t>
  </si>
  <si>
    <t xml:space="preserve">XP_052743345.1; XP_052743346.1</t>
  </si>
  <si>
    <t xml:space="preserve">S075</t>
  </si>
  <si>
    <t xml:space="preserve">axin</t>
  </si>
  <si>
    <t xml:space="preserve">LOC112050518</t>
  </si>
  <si>
    <t xml:space="preserve">XM_024088800.1</t>
  </si>
  <si>
    <t xml:space="preserve">axin, pang</t>
  </si>
  <si>
    <t xml:space="preserve">Master (Jul 2024); B2 file; pang_axin_naked oPool</t>
  </si>
  <si>
    <t xml:space="preserve">T073</t>
  </si>
  <si>
    <t xml:space="preserve">axin isoform X2</t>
  </si>
  <si>
    <t xml:space="preserve">XP_052740064.1; XP_052740065.1</t>
  </si>
  <si>
    <t xml:space="preserve">S076</t>
  </si>
  <si>
    <t xml:space="preserve">barh1</t>
  </si>
  <si>
    <t xml:space="preserve">homeobox protein BarH-like 1b isoform X2</t>
  </si>
  <si>
    <t xml:space="preserve">LOC112053314</t>
  </si>
  <si>
    <t xml:space="preserve">XM_052889016.1</t>
  </si>
  <si>
    <t xml:space="preserve">T089</t>
  </si>
  <si>
    <t xml:space="preserve">homeobox protein BarH-like 1b isoform X1</t>
  </si>
  <si>
    <t xml:space="preserve">homeobox protein BarH-like 1b</t>
  </si>
  <si>
    <t xml:space="preserve">XP_052744976.1; XP_023948474.1</t>
  </si>
  <si>
    <t xml:space="preserve">S077</t>
  </si>
  <si>
    <t xml:space="preserve">blistered</t>
  </si>
  <si>
    <t xml:space="preserve">serum response factor homolog isoform X2</t>
  </si>
  <si>
    <t xml:space="preserve">LOC112050897</t>
  </si>
  <si>
    <t xml:space="preserve">XM_052885041.1</t>
  </si>
  <si>
    <t xml:space="preserve">bls</t>
  </si>
  <si>
    <t xml:space="preserve">T157</t>
  </si>
  <si>
    <t xml:space="preserve">serum response factor homolog isoform X1</t>
  </si>
  <si>
    <t xml:space="preserve">uncharacterized LOC112050897(LOC112050897)</t>
  </si>
  <si>
    <t xml:space="preserve">XP_052741001.1; XP_052741000.1</t>
  </si>
  <si>
    <t xml:space="preserve">S078</t>
  </si>
  <si>
    <t xml:space="preserve">Brinker</t>
  </si>
  <si>
    <t xml:space="preserve">T041, T053</t>
  </si>
  <si>
    <t xml:space="preserve">S079</t>
  </si>
  <si>
    <t xml:space="preserve">chopper</t>
  </si>
  <si>
    <t xml:space="preserve">uncharacterized protein LOC112058231</t>
  </si>
  <si>
    <t xml:space="preserve">LOC112058231</t>
  </si>
  <si>
    <t xml:space="preserve">XM_024098938.2</t>
  </si>
  <si>
    <t xml:space="preserve">T101</t>
  </si>
  <si>
    <t xml:space="preserve">uncharacterized LOC112058231(LOC112058231)</t>
  </si>
  <si>
    <t xml:space="preserve">XP_023954706.2</t>
  </si>
  <si>
    <t xml:space="preserve">S080</t>
  </si>
  <si>
    <t xml:space="preserve">Dll</t>
  </si>
  <si>
    <t xml:space="preserve">Distal-less</t>
  </si>
  <si>
    <t xml:space="preserve">LOC112055223</t>
  </si>
  <si>
    <t xml:space="preserve">T059</t>
  </si>
  <si>
    <t xml:space="preserve">homeotic protein distal-less isoform X1</t>
  </si>
  <si>
    <t xml:space="preserve">homeotic protein distal-less</t>
  </si>
  <si>
    <t xml:space="preserve">XP_052743134.1; XP_052743133.1; XP_052743132.1</t>
  </si>
  <si>
    <t xml:space="preserve">S081</t>
  </si>
  <si>
    <t xml:space="preserve">domeless</t>
  </si>
  <si>
    <t xml:space="preserve">LOC112049538</t>
  </si>
  <si>
    <t xml:space="preserve">T109</t>
  </si>
  <si>
    <t xml:space="preserve">cytokine receptor</t>
  </si>
  <si>
    <t xml:space="preserve">cytokine receptor-like</t>
  </si>
  <si>
    <t xml:space="preserve">XP_023943239.2</t>
  </si>
  <si>
    <t xml:space="preserve">S082</t>
  </si>
  <si>
    <t xml:space="preserve">dragonaut/blaze</t>
  </si>
  <si>
    <t xml:space="preserve">uncharacterized protein LOC112058341</t>
  </si>
  <si>
    <t xml:space="preserve">LOC112058341</t>
  </si>
  <si>
    <t xml:space="preserve">XM_024099101.2</t>
  </si>
  <si>
    <t xml:space="preserve">dragonaut</t>
  </si>
  <si>
    <t xml:space="preserve">T103</t>
  </si>
  <si>
    <t xml:space="preserve">uncharacterized LOC112058341(LOC112058341)</t>
  </si>
  <si>
    <t xml:space="preserve">XP_023954869.1</t>
  </si>
  <si>
    <t xml:space="preserve">S083</t>
  </si>
  <si>
    <t xml:space="preserve">dishevelled</t>
  </si>
  <si>
    <t xml:space="preserve">BANY.1.2.t25552</t>
  </si>
  <si>
    <t xml:space="preserve">T066</t>
  </si>
  <si>
    <t xml:space="preserve">Only 2/5 pairs match the genome LOC on both halves</t>
  </si>
  <si>
    <t xml:space="preserve">S084</t>
  </si>
  <si>
    <t xml:space="preserve">dsx</t>
  </si>
  <si>
    <t xml:space="preserve">doublesex- and mab-3-related transcription factor 1</t>
  </si>
  <si>
    <t xml:space="preserve">LOC112058347</t>
  </si>
  <si>
    <t xml:space="preserve">T191</t>
  </si>
  <si>
    <t xml:space="preserve">protein doublesex isoform X2</t>
  </si>
  <si>
    <t xml:space="preserve">doublesex- and mab-3-related transcription factor 1 isoform X1</t>
  </si>
  <si>
    <t xml:space="preserve">XP_023954880.2; XP_052744175.1; XP_023954881.2</t>
  </si>
  <si>
    <t xml:space="preserve">S085</t>
  </si>
  <si>
    <t xml:space="preserve">EcR</t>
  </si>
  <si>
    <t xml:space="preserve">ecdysone receptor isoform X3</t>
  </si>
  <si>
    <t xml:space="preserve">LOC112043737</t>
  </si>
  <si>
    <t xml:space="preserve">XM_052881711.1</t>
  </si>
  <si>
    <t xml:space="preserve">ecr</t>
  </si>
  <si>
    <t xml:space="preserve">T091</t>
  </si>
  <si>
    <t xml:space="preserve">ecdysone receptor isoform X1</t>
  </si>
  <si>
    <t xml:space="preserve">y</t>
  </si>
  <si>
    <t xml:space="preserve">XP_052737671.1; XP_052737670.1; XP_052737669.1</t>
  </si>
  <si>
    <t xml:space="preserve">S086</t>
  </si>
  <si>
    <t xml:space="preserve">egfr</t>
  </si>
  <si>
    <t xml:space="preserve">epidermal growth factor receptor isoform X1</t>
  </si>
  <si>
    <t xml:space="preserve">LOC112045731</t>
  </si>
  <si>
    <t xml:space="preserve">XM_024082033.2</t>
  </si>
  <si>
    <t xml:space="preserve">T106</t>
  </si>
  <si>
    <t xml:space="preserve">epidermal growth factor receptor</t>
  </si>
  <si>
    <t xml:space="preserve">XP_052746802.1; XP_023937801.1</t>
  </si>
  <si>
    <t xml:space="preserve">S087</t>
  </si>
  <si>
    <t xml:space="preserve">emc</t>
  </si>
  <si>
    <t xml:space="preserve">protein extra-macrochaetae</t>
  </si>
  <si>
    <t xml:space="preserve">LOC112044717</t>
  </si>
  <si>
    <t xml:space="preserve">XM_024080655.2</t>
  </si>
  <si>
    <t xml:space="preserve">T107</t>
  </si>
  <si>
    <t xml:space="preserve">XP_023936423.1</t>
  </si>
  <si>
    <t xml:space="preserve">S088</t>
  </si>
  <si>
    <t xml:space="preserve">eyg</t>
  </si>
  <si>
    <t xml:space="preserve">eyegone</t>
  </si>
  <si>
    <t xml:space="preserve">LOC112055119</t>
  </si>
  <si>
    <t xml:space="preserve">T090</t>
  </si>
  <si>
    <t xml:space="preserve">LOC112055116</t>
  </si>
  <si>
    <t xml:space="preserve">paired box protein Pax-6-like isoform X1</t>
  </si>
  <si>
    <t xml:space="preserve">paired box protein Pax-2-like</t>
  </si>
  <si>
    <t xml:space="preserve">XP_052738055.1; XP_052738053.1</t>
  </si>
  <si>
    <t xml:space="preserve">Recorded LOC differs from the genome match</t>
  </si>
  <si>
    <t xml:space="preserve">S089</t>
  </si>
  <si>
    <t xml:space="preserve">GOR22</t>
  </si>
  <si>
    <t xml:space="preserve">Bany_15856</t>
  </si>
  <si>
    <t xml:space="preserve">gor22</t>
  </si>
  <si>
    <t xml:space="preserve">T155</t>
  </si>
  <si>
    <t xml:space="preserve">S090</t>
  </si>
  <si>
    <t xml:space="preserve">S091</t>
  </si>
  <si>
    <t xml:space="preserve">GSK3beta</t>
  </si>
  <si>
    <t xml:space="preserve">glycogen synthase kinase-3 beta</t>
  </si>
  <si>
    <t xml:space="preserve">LOC112053924</t>
  </si>
  <si>
    <t xml:space="preserve">XM_024093538.1</t>
  </si>
  <si>
    <t xml:space="preserve">GSK3beta, wntless</t>
  </si>
  <si>
    <t xml:space="preserve">Master (Jul 2024); B2 file; wntless_shaggy_ck1 oPool</t>
  </si>
  <si>
    <t xml:space="preserve">T080</t>
  </si>
  <si>
    <t xml:space="preserve">glycogen synthase kinase-3 beta isoform X3</t>
  </si>
  <si>
    <t xml:space="preserve">glycogen synthase kinase-3 beta isoform X1</t>
  </si>
  <si>
    <t xml:space="preserve">XP_023949311.1; XP_023949315.1; XP_023949312.1; XP_023949306.2; XP_023949308.2; XP_023949309.2</t>
  </si>
  <si>
    <t xml:space="preserve">S092</t>
  </si>
  <si>
    <t xml:space="preserve">h</t>
  </si>
  <si>
    <t xml:space="preserve">hairy</t>
  </si>
  <si>
    <t xml:space="preserve">LOC112043553</t>
  </si>
  <si>
    <t xml:space="preserve">T108</t>
  </si>
  <si>
    <t xml:space="preserve">protein hairy</t>
  </si>
  <si>
    <t xml:space="preserve">XP_023934792.2</t>
  </si>
  <si>
    <t xml:space="preserve">S093</t>
  </si>
  <si>
    <t xml:space="preserve">hh</t>
  </si>
  <si>
    <t xml:space="preserve">hedgehog</t>
  </si>
  <si>
    <t xml:space="preserve">LOC112042874</t>
  </si>
  <si>
    <t xml:space="preserve">B3, B4</t>
  </si>
  <si>
    <t xml:space="preserve">T071</t>
  </si>
  <si>
    <t xml:space="preserve">tiggy-winkle hedgehog protein</t>
  </si>
  <si>
    <t xml:space="preserve">XP_023933828.2</t>
  </si>
  <si>
    <t xml:space="preserve">S094</t>
  </si>
  <si>
    <t xml:space="preserve">HR38</t>
  </si>
  <si>
    <t xml:space="preserve">HR38 (partial mRNA)</t>
  </si>
  <si>
    <t xml:space="preserve">LOC112044883</t>
  </si>
  <si>
    <t xml:space="preserve">T003</t>
  </si>
  <si>
    <t xml:space="preserve">probable nuclear hormone receptor HR38</t>
  </si>
  <si>
    <t xml:space="preserve">probable nuclear hormone receptor HR38 isoform X1</t>
  </si>
  <si>
    <t xml:space="preserve">XP_023936644.1</t>
  </si>
  <si>
    <t xml:space="preserve">S095</t>
  </si>
  <si>
    <t xml:space="preserve">ichiro</t>
  </si>
  <si>
    <t xml:space="preserve">uncharacterized protein LOC128199312</t>
  </si>
  <si>
    <t xml:space="preserve">LOC128199312</t>
  </si>
  <si>
    <t xml:space="preserve">XM_052888295.1</t>
  </si>
  <si>
    <t xml:space="preserve">T099</t>
  </si>
  <si>
    <t xml:space="preserve">XP_052744255.1</t>
  </si>
  <si>
    <t xml:space="preserve">S096</t>
  </si>
  <si>
    <t xml:space="preserve">inrho1</t>
  </si>
  <si>
    <t xml:space="preserve">inactive rhomboid protein 1</t>
  </si>
  <si>
    <t xml:space="preserve">LOC112049692</t>
  </si>
  <si>
    <t xml:space="preserve">XP_052740395.1</t>
  </si>
  <si>
    <t xml:space="preserve">S097</t>
  </si>
  <si>
    <t xml:space="preserve">JNK1/MAPK8-assoc.</t>
  </si>
  <si>
    <t xml:space="preserve">JNK1/MAPK8-associated membrane protein</t>
  </si>
  <si>
    <t xml:space="preserve">LOC112047482</t>
  </si>
  <si>
    <t xml:space="preserve">XM_024084608.1</t>
  </si>
  <si>
    <t xml:space="preserve">JNK1</t>
  </si>
  <si>
    <t xml:space="preserve">T084</t>
  </si>
  <si>
    <t xml:space="preserve">XP_023940376.2</t>
  </si>
  <si>
    <t xml:space="preserve">S098</t>
  </si>
  <si>
    <t xml:space="preserve">knot/collier</t>
  </si>
  <si>
    <t xml:space="preserve">LOC112053089</t>
  </si>
  <si>
    <t xml:space="preserve">Knot</t>
  </si>
  <si>
    <t xml:space="preserve">T068</t>
  </si>
  <si>
    <t xml:space="preserve">transcription factor collier isoform X6</t>
  </si>
  <si>
    <t xml:space="preserve">transcription factor collier isoform X1</t>
  </si>
  <si>
    <t xml:space="preserve">XP_052740971.1; XP_052740966.1; XP_052740967.1; XP_052740968.1; XP_052740969.1; XP_052740972.1</t>
  </si>
  <si>
    <t xml:space="preserve">S099</t>
  </si>
  <si>
    <t xml:space="preserve">mad3</t>
  </si>
  <si>
    <t xml:space="preserve">mothers against decapentaplegic homolog 3</t>
  </si>
  <si>
    <t xml:space="preserve">LOC112045951</t>
  </si>
  <si>
    <t xml:space="preserve">Bany_06848-RA</t>
  </si>
  <si>
    <t xml:space="preserve">T105</t>
  </si>
  <si>
    <t xml:space="preserve">mothers against decapentaplegic homolog 3 isoform X3</t>
  </si>
  <si>
    <t xml:space="preserve">mothers against decapentaplegic homolog 3 isoform X1</t>
  </si>
  <si>
    <t xml:space="preserve">XP_023938123.1; XP_023938122.1; XP_052742856.1</t>
  </si>
  <si>
    <t xml:space="preserve">1 pair(s) flagged in Probe_Pairs; Only 2/5 pairs match the genome LOC on both halves</t>
  </si>
  <si>
    <t xml:space="preserve">S100</t>
  </si>
  <si>
    <t xml:space="preserve">msh-hox</t>
  </si>
  <si>
    <t xml:space="preserve">muscle segmentation homeobox-like</t>
  </si>
  <si>
    <t xml:space="preserve">LOC112047854</t>
  </si>
  <si>
    <t xml:space="preserve">XM_024085124.2</t>
  </si>
  <si>
    <t xml:space="preserve">T093</t>
  </si>
  <si>
    <t xml:space="preserve">XP_023940892.2</t>
  </si>
  <si>
    <t xml:space="preserve">S101</t>
  </si>
  <si>
    <t xml:space="preserve">msp20</t>
  </si>
  <si>
    <t xml:space="preserve">muscle-specific protein 20</t>
  </si>
  <si>
    <t xml:space="preserve">LOC112058319</t>
  </si>
  <si>
    <t xml:space="preserve">XM_024099043.2</t>
  </si>
  <si>
    <t xml:space="preserve">T095</t>
  </si>
  <si>
    <t xml:space="preserve">muscle-specific protein 20-like</t>
  </si>
  <si>
    <t xml:space="preserve">XP_023954811.1</t>
  </si>
  <si>
    <t xml:space="preserve">S102</t>
  </si>
  <si>
    <t xml:space="preserve">naked cuticle</t>
  </si>
  <si>
    <t xml:space="preserve">naked cuticle homolog</t>
  </si>
  <si>
    <t xml:space="preserve">LOC112049621</t>
  </si>
  <si>
    <t xml:space="preserve">XM_024087586.1</t>
  </si>
  <si>
    <t xml:space="preserve">naked_cuticle, naked</t>
  </si>
  <si>
    <t xml:space="preserve">T078</t>
  </si>
  <si>
    <t xml:space="preserve">protein naked cuticle homolog</t>
  </si>
  <si>
    <t xml:space="preserve">XP_023943354.2</t>
  </si>
  <si>
    <t xml:space="preserve">S103</t>
  </si>
  <si>
    <t xml:space="preserve">nebula</t>
  </si>
  <si>
    <t xml:space="preserve">uncharacterized protein LOC112047998</t>
  </si>
  <si>
    <t xml:space="preserve">LOC112047998</t>
  </si>
  <si>
    <t xml:space="preserve">XM_024085325.2</t>
  </si>
  <si>
    <t xml:space="preserve">T098</t>
  </si>
  <si>
    <t xml:space="preserve">uncharacterized LOC112047998(LOC112047998)</t>
  </si>
  <si>
    <t xml:space="preserve">XP_023941093.2</t>
  </si>
  <si>
    <t xml:space="preserve">S104</t>
  </si>
  <si>
    <t xml:space="preserve">neuroligin-2</t>
  </si>
  <si>
    <t xml:space="preserve">neuroligin-2-like</t>
  </si>
  <si>
    <t xml:space="preserve">LOC112048760</t>
  </si>
  <si>
    <t xml:space="preserve">XM_052891106.1</t>
  </si>
  <si>
    <t xml:space="preserve">T104</t>
  </si>
  <si>
    <t xml:space="preserve">XP_052747066.1</t>
  </si>
  <si>
    <t xml:space="preserve">S105</t>
  </si>
  <si>
    <t xml:space="preserve">odd</t>
  </si>
  <si>
    <t xml:space="preserve">odd-skipped</t>
  </si>
  <si>
    <t xml:space="preserve">LOC112044997</t>
  </si>
  <si>
    <t xml:space="preserve">T086</t>
  </si>
  <si>
    <t xml:space="preserve">protein odd-skipped</t>
  </si>
  <si>
    <t xml:space="preserve">XP_023936790.1</t>
  </si>
  <si>
    <t xml:space="preserve">S106</t>
  </si>
  <si>
    <t xml:space="preserve">optix</t>
  </si>
  <si>
    <t xml:space="preserve">LOC112044525</t>
  </si>
  <si>
    <t xml:space="preserve">Optix</t>
  </si>
  <si>
    <t xml:space="preserve">Master (Jul 2024); B2 file; hcr_probes (4)</t>
  </si>
  <si>
    <t xml:space="preserve">T052</t>
  </si>
  <si>
    <t xml:space="preserve">homeobox protein SIX6-like</t>
  </si>
  <si>
    <t xml:space="preserve">homeobox protein Optix</t>
  </si>
  <si>
    <t xml:space="preserve">XP_023936172.1</t>
  </si>
  <si>
    <t xml:space="preserve">S107</t>
  </si>
  <si>
    <t xml:space="preserve">orco</t>
  </si>
  <si>
    <t xml:space="preserve">odorant receptor coreceptor</t>
  </si>
  <si>
    <t xml:space="preserve">LOC112048918</t>
  </si>
  <si>
    <t xml:space="preserve">XM_024086622.2</t>
  </si>
  <si>
    <t xml:space="preserve">T152</t>
  </si>
  <si>
    <t xml:space="preserve">XP_023942390.2</t>
  </si>
  <si>
    <t xml:space="preserve">S108</t>
  </si>
  <si>
    <t xml:space="preserve">pang</t>
  </si>
  <si>
    <t xml:space="preserve">S109</t>
  </si>
  <si>
    <t xml:space="preserve">peter pan</t>
  </si>
  <si>
    <t xml:space="preserve">protein Peter pan</t>
  </si>
  <si>
    <t xml:space="preserve">LOC112053205</t>
  </si>
  <si>
    <t xml:space="preserve">XM_052883808.1</t>
  </si>
  <si>
    <t xml:space="preserve">peter</t>
  </si>
  <si>
    <t xml:space="preserve">T088</t>
  </si>
  <si>
    <t xml:space="preserve">XP_052739768.1</t>
  </si>
  <si>
    <t xml:space="preserve">S110</t>
  </si>
  <si>
    <t xml:space="preserve">pygopus</t>
  </si>
  <si>
    <t xml:space="preserve">LOC112052452</t>
  </si>
  <si>
    <t xml:space="preserve">XM_024091538.1</t>
  </si>
  <si>
    <t xml:space="preserve">T077</t>
  </si>
  <si>
    <t xml:space="preserve">protein pygopus</t>
  </si>
  <si>
    <t xml:space="preserve">XP_023947306.1</t>
  </si>
  <si>
    <t xml:space="preserve">S111</t>
  </si>
  <si>
    <t xml:space="preserve">rap1</t>
  </si>
  <si>
    <t xml:space="preserve">rap1 GTPase-activating protein 1 isoform X6</t>
  </si>
  <si>
    <t xml:space="preserve">LOC112045107</t>
  </si>
  <si>
    <t xml:space="preserve">XM_052887394.1</t>
  </si>
  <si>
    <t xml:space="preserve">T097</t>
  </si>
  <si>
    <t xml:space="preserve">rap1 GTPase-activating protein 1 isoform X3</t>
  </si>
  <si>
    <t xml:space="preserve">rap1 GTPase-activating protein 1-like(LOC112045107)</t>
  </si>
  <si>
    <t xml:space="preserve">XP_052743350.1; XP_052743351.1; XP_052743352.1; XP_052743353.1; XP_052743347.1; XP_052743354.1; XP_052743348.1; XP_052743349.1</t>
  </si>
  <si>
    <t xml:space="preserve">S112</t>
  </si>
  <si>
    <t xml:space="preserve">Rho GTPase</t>
  </si>
  <si>
    <t xml:space="preserve">LOC112052970</t>
  </si>
  <si>
    <t xml:space="preserve">XM_024092225.1</t>
  </si>
  <si>
    <t xml:space="preserve">Rho_GTPase</t>
  </si>
  <si>
    <t xml:space="preserve">T082</t>
  </si>
  <si>
    <t xml:space="preserve">mitochondrial Rho GTPase isoform X2</t>
  </si>
  <si>
    <t xml:space="preserve">mitochondrial Rho GTPase isoform X1</t>
  </si>
  <si>
    <t xml:space="preserve">XP_023948000.2; XP_023947993.2</t>
  </si>
  <si>
    <t xml:space="preserve">S113</t>
  </si>
  <si>
    <t xml:space="preserve">B1, B3</t>
  </si>
  <si>
    <t xml:space="preserve">S114</t>
  </si>
  <si>
    <t xml:space="preserve">rho7</t>
  </si>
  <si>
    <t xml:space="preserve">presenilins-associated rhomboid-like protein, mitochondrial</t>
  </si>
  <si>
    <t xml:space="preserve">LOC112043329</t>
  </si>
  <si>
    <t xml:space="preserve">XM_024078680.2</t>
  </si>
  <si>
    <t xml:space="preserve">T161</t>
  </si>
  <si>
    <t xml:space="preserve">presenilins-associated rhomboid-like protein</t>
  </si>
  <si>
    <t xml:space="preserve">XP_023934448.2</t>
  </si>
  <si>
    <t xml:space="preserve">S115</t>
  </si>
  <si>
    <t xml:space="preserve">sam/sonia</t>
  </si>
  <si>
    <t xml:space="preserve">uncharacterized protein LOC128199516</t>
  </si>
  <si>
    <t xml:space="preserve">LOC128199516</t>
  </si>
  <si>
    <t xml:space="preserve">XM_052889479.1</t>
  </si>
  <si>
    <t xml:space="preserve">sam</t>
  </si>
  <si>
    <t xml:space="preserve">T102</t>
  </si>
  <si>
    <t xml:space="preserve">XP_052745438.1; XP_052745439.1</t>
  </si>
  <si>
    <t xml:space="preserve">S116</t>
  </si>
  <si>
    <t xml:space="preserve">sifar</t>
  </si>
  <si>
    <t xml:space="preserve">neuropeptide FF receptor 2-like</t>
  </si>
  <si>
    <t xml:space="preserve">LOC112058139</t>
  </si>
  <si>
    <t xml:space="preserve">XM_024098821.2</t>
  </si>
  <si>
    <t xml:space="preserve">T092</t>
  </si>
  <si>
    <t xml:space="preserve">XP_023954589.2</t>
  </si>
  <si>
    <t xml:space="preserve">S117</t>
  </si>
  <si>
    <t xml:space="preserve">sine oculis</t>
  </si>
  <si>
    <t xml:space="preserve">LOC112046084</t>
  </si>
  <si>
    <t xml:space="preserve">sin_oc</t>
  </si>
  <si>
    <t xml:space="preserve">T072</t>
  </si>
  <si>
    <t xml:space="preserve">homeobox protein SIX2</t>
  </si>
  <si>
    <t xml:space="preserve">homeobox protein sine oculis -like</t>
  </si>
  <si>
    <t xml:space="preserve">XP_052742915.1</t>
  </si>
  <si>
    <t xml:space="preserve">S118</t>
  </si>
  <si>
    <t xml:space="preserve">sob</t>
  </si>
  <si>
    <t xml:space="preserve">protein sister of odd and bowel-like</t>
  </si>
  <si>
    <t xml:space="preserve">LOC112044996</t>
  </si>
  <si>
    <t xml:space="preserve">XM_024081021.2</t>
  </si>
  <si>
    <t xml:space="preserve">T087</t>
  </si>
  <si>
    <t xml:space="preserve">XP_023936789.1</t>
  </si>
  <si>
    <t xml:space="preserve">S119</t>
  </si>
  <si>
    <t xml:space="preserve">Sp4-like</t>
  </si>
  <si>
    <t xml:space="preserve">transcription factor Sp4-like</t>
  </si>
  <si>
    <t xml:space="preserve">LOC112054442</t>
  </si>
  <si>
    <t xml:space="preserve">BANY.1.2.t20999</t>
  </si>
  <si>
    <t xml:space="preserve">Sp4like</t>
  </si>
  <si>
    <t xml:space="preserve">T058</t>
  </si>
  <si>
    <t xml:space="preserve">transcription factor Sp3 isoform X6</t>
  </si>
  <si>
    <t xml:space="preserve">XP_052747232.1; XP_052747230.1; XP_052747227.1; XP_052747228.1; XP_052747226.1; XP_052747229.1; XP_052747231.1</t>
  </si>
  <si>
    <t xml:space="preserve">Only 3/10 pairs match the genome LOC on both halves</t>
  </si>
  <si>
    <t xml:space="preserve">S120</t>
  </si>
  <si>
    <t xml:space="preserve">Sp5/buttonhead</t>
  </si>
  <si>
    <t xml:space="preserve">Sp5 / buttonhead</t>
  </si>
  <si>
    <t xml:space="preserve">LOC112045366</t>
  </si>
  <si>
    <t xml:space="preserve">BANY.1.2.t07530</t>
  </si>
  <si>
    <t xml:space="preserve">Sp</t>
  </si>
  <si>
    <t xml:space="preserve">T057</t>
  </si>
  <si>
    <t xml:space="preserve">transcription factor Sp9-like</t>
  </si>
  <si>
    <t xml:space="preserve">XP_023937285.1</t>
  </si>
  <si>
    <t xml:space="preserve">S121</t>
  </si>
  <si>
    <t xml:space="preserve">Sp6-9 cluster</t>
  </si>
  <si>
    <t xml:space="preserve">LOC112053460</t>
  </si>
  <si>
    <t xml:space="preserve">BANY.1.2.t19559</t>
  </si>
  <si>
    <t xml:space="preserve">Sp69cluster</t>
  </si>
  <si>
    <t xml:space="preserve">T056</t>
  </si>
  <si>
    <t xml:space="preserve">transcription factor Sp9 isoform X3</t>
  </si>
  <si>
    <t xml:space="preserve">XP_052737604.1; XP_052737601.1; XP_052737602.1; XP_052737603.1</t>
  </si>
  <si>
    <t xml:space="preserve">S122</t>
  </si>
  <si>
    <t xml:space="preserve">Sp9-like</t>
  </si>
  <si>
    <t xml:space="preserve">XM_024092868.1</t>
  </si>
  <si>
    <t xml:space="preserve">Sp9like</t>
  </si>
  <si>
    <t xml:space="preserve">T055</t>
  </si>
  <si>
    <t xml:space="preserve">Only 1/10 pairs match the genome LOC on both halves</t>
  </si>
  <si>
    <t xml:space="preserve">S123</t>
  </si>
  <si>
    <t xml:space="preserve">tkv</t>
  </si>
  <si>
    <t xml:space="preserve">thickveins</t>
  </si>
  <si>
    <t xml:space="preserve">LOC112044074</t>
  </si>
  <si>
    <t xml:space="preserve">BANY.1.2.t05765</t>
  </si>
  <si>
    <t xml:space="preserve">T061</t>
  </si>
  <si>
    <t xml:space="preserve">bone morphogenetic protein receptor type-1B isoform X2</t>
  </si>
  <si>
    <t xml:space="preserve">bone morphogenetic protein receptor type-1B</t>
  </si>
  <si>
    <t xml:space="preserve">XP_052743198.1; XP_023935564.1</t>
  </si>
  <si>
    <t xml:space="preserve">S124</t>
  </si>
  <si>
    <t xml:space="preserve">tsu</t>
  </si>
  <si>
    <t xml:space="preserve">tsukushin</t>
  </si>
  <si>
    <t xml:space="preserve">LOC112051063</t>
  </si>
  <si>
    <t xml:space="preserve">Gene2	tox3_tsu_mab21_Gene2_B2_P1_1, tox, Gene2	tox3_tsu_mab21_Gene2_B2_P1_2, Gene2	tox3_tsu_mab21_Gene2_B2_P1_3, Gene2	tox3_tsu_mab21_Gene2_B2_P1_4, Gene2	tox3_tsu_mab21_Gene2_B2_P1_5, Gene2	tox3_tsu_mab21_Gene2_B2_P1_6, Gene2	tox3_tsu_mab21_Gene2_B2_P1_7</t>
  </si>
  <si>
    <t xml:space="preserve">T200</t>
  </si>
  <si>
    <t xml:space="preserve">tsukushi</t>
  </si>
  <si>
    <t xml:space="preserve">XP_023945293.2</t>
  </si>
  <si>
    <t xml:space="preserve">S125</t>
  </si>
  <si>
    <t xml:space="preserve">vein</t>
  </si>
  <si>
    <t xml:space="preserve">LOC112058144</t>
  </si>
  <si>
    <t xml:space="preserve">T069</t>
  </si>
  <si>
    <t xml:space="preserve">protein vein isoform X1</t>
  </si>
  <si>
    <t xml:space="preserve">XP_023954599.1; XP_023954598.1</t>
  </si>
  <si>
    <t xml:space="preserve">S126</t>
  </si>
  <si>
    <t xml:space="preserve">Wnt10</t>
  </si>
  <si>
    <t xml:space="preserve">LOC112058532</t>
  </si>
  <si>
    <t xml:space="preserve">BANY.1.2.t03771</t>
  </si>
  <si>
    <t xml:space="preserve">T062</t>
  </si>
  <si>
    <t xml:space="preserve">protein Wnt-10a</t>
  </si>
  <si>
    <t xml:space="preserve">protein Wnt-10b isoform X1</t>
  </si>
  <si>
    <t xml:space="preserve">XP_023955187.2</t>
  </si>
  <si>
    <t xml:space="preserve">S127</t>
  </si>
  <si>
    <t xml:space="preserve">Wnt11</t>
  </si>
  <si>
    <t xml:space="preserve">LOC112043354</t>
  </si>
  <si>
    <t xml:space="preserve">T063</t>
  </si>
  <si>
    <t xml:space="preserve">protein Wnt-11b-like</t>
  </si>
  <si>
    <t xml:space="preserve">LOW QUALITY PROTEIN: protein Wnt-11-like</t>
  </si>
  <si>
    <t xml:space="preserve">XP_052737383.1</t>
  </si>
  <si>
    <t xml:space="preserve">Only 2/7 pairs match the genome LOC on both halves</t>
  </si>
  <si>
    <t xml:space="preserve">S128</t>
  </si>
  <si>
    <t xml:space="preserve">Wnt2 (wnt6)</t>
  </si>
  <si>
    <t xml:space="preserve">LOC112058531</t>
  </si>
  <si>
    <t xml:space="preserve">T060</t>
  </si>
  <si>
    <t xml:space="preserve">protein Wnt-6</t>
  </si>
  <si>
    <t xml:space="preserve">XP_052747177.1</t>
  </si>
  <si>
    <t xml:space="preserve">S129</t>
  </si>
  <si>
    <t xml:space="preserve">Wnt9</t>
  </si>
  <si>
    <t xml:space="preserve">LOC112057276</t>
  </si>
  <si>
    <t xml:space="preserve">nBa.0.1-t07006-RA</t>
  </si>
  <si>
    <t xml:space="preserve">T067</t>
  </si>
  <si>
    <t xml:space="preserve">protein Wnt-4</t>
  </si>
  <si>
    <t xml:space="preserve">protein Wnt-4-like(LOC112057276)</t>
  </si>
  <si>
    <t xml:space="preserve">XP_023953537.2</t>
  </si>
  <si>
    <t xml:space="preserve">S130</t>
  </si>
  <si>
    <t xml:space="preserve">abd-A</t>
  </si>
  <si>
    <t xml:space="preserve">homeobox protein abdominal-A homolog isoform X4</t>
  </si>
  <si>
    <t xml:space="preserve">LOC112057784</t>
  </si>
  <si>
    <t xml:space="preserve">XM_024098330.2</t>
  </si>
  <si>
    <t xml:space="preserve">AF488</t>
  </si>
  <si>
    <t xml:space="preserve">abA</t>
  </si>
  <si>
    <t xml:space="preserve">Master (Jul 2024); B3 file</t>
  </si>
  <si>
    <t xml:space="preserve">T121</t>
  </si>
  <si>
    <t xml:space="preserve">homeobox protein abdominal-A homolog isoform X1</t>
  </si>
  <si>
    <t xml:space="preserve">XP_023954098.1; XP_023954097.1; XP_023954096.1; XP_023954095.1</t>
  </si>
  <si>
    <t xml:space="preserve">S131</t>
  </si>
  <si>
    <t xml:space="preserve">androgen-1</t>
  </si>
  <si>
    <t xml:space="preserve">androgen-induced gene 1 protein</t>
  </si>
  <si>
    <t xml:space="preserve">LOC112048892</t>
  </si>
  <si>
    <t xml:space="preserve">XM_024086594.2</t>
  </si>
  <si>
    <t xml:space="preserve">T129</t>
  </si>
  <si>
    <t xml:space="preserve">androgen-induced gene 1 protein-like</t>
  </si>
  <si>
    <t xml:space="preserve">XP_023942362.1</t>
  </si>
  <si>
    <t xml:space="preserve">S132</t>
  </si>
  <si>
    <t xml:space="preserve">arrow (BANY.1.2.t12873)</t>
  </si>
  <si>
    <t xml:space="preserve">LOC112048940</t>
  </si>
  <si>
    <t xml:space="preserve">BANY.1.2.t12873</t>
  </si>
  <si>
    <t xml:space="preserve">B5</t>
  </si>
  <si>
    <t xml:space="preserve">T150</t>
  </si>
  <si>
    <t xml:space="preserve">low-density lipoprotein receptor-related protein 6</t>
  </si>
  <si>
    <t xml:space="preserve">low-density lipoprotein receptor-related protein 6(LOC112048940)</t>
  </si>
  <si>
    <t xml:space="preserve">XP_052737914.1</t>
  </si>
  <si>
    <t xml:space="preserve">11 pair(s) flagged in Probe_Pairs</t>
  </si>
  <si>
    <t xml:space="preserve">S133</t>
  </si>
  <si>
    <t xml:space="preserve">car_anh10</t>
  </si>
  <si>
    <t xml:space="preserve">carbonic anhydrase-related protein 10 isoform X2</t>
  </si>
  <si>
    <t xml:space="preserve">LOC112058471</t>
  </si>
  <si>
    <t xml:space="preserve">XM_024099324.2</t>
  </si>
  <si>
    <t xml:space="preserve">T134</t>
  </si>
  <si>
    <t xml:space="preserve">carbonic anhydrase-related protein 10 isoform X1</t>
  </si>
  <si>
    <t xml:space="preserve">XP_023955092.1; XP_023955091.1</t>
  </si>
  <si>
    <t xml:space="preserve">S134</t>
  </si>
  <si>
    <t xml:space="preserve">caupolican</t>
  </si>
  <si>
    <t xml:space="preserve">homeobox protein caupolican isoform X2</t>
  </si>
  <si>
    <t xml:space="preserve">LOC112045741</t>
  </si>
  <si>
    <t xml:space="preserve">XM_052890551.1</t>
  </si>
  <si>
    <t xml:space="preserve">T120</t>
  </si>
  <si>
    <t xml:space="preserve">homeobox protein caupolican-like</t>
  </si>
  <si>
    <t xml:space="preserve">XP_052746510.1; XP_052746511.1</t>
  </si>
  <si>
    <t xml:space="preserve">S135</t>
  </si>
  <si>
    <t xml:space="preserve">wntless_shaggy_ck1 oPool</t>
  </si>
  <si>
    <t xml:space="preserve">S136</t>
  </si>
  <si>
    <t xml:space="preserve">cut</t>
  </si>
  <si>
    <t xml:space="preserve">cut (partial mRNA)</t>
  </si>
  <si>
    <t xml:space="preserve">LOC112051626</t>
  </si>
  <si>
    <t xml:space="preserve">T004</t>
  </si>
  <si>
    <t xml:space="preserve">homeobox protein cut isoform X4</t>
  </si>
  <si>
    <t xml:space="preserve">homeobox protein cut isoform X1</t>
  </si>
  <si>
    <t xml:space="preserve">XP_023946111.1; XP_023946113.1; XP_023946110.1; XP_023946109.1; XP_052738760.1; XP_023946112.1</t>
  </si>
  <si>
    <t xml:space="preserve">S137</t>
  </si>
  <si>
    <t xml:space="preserve">dac</t>
  </si>
  <si>
    <t xml:space="preserve">dachshund</t>
  </si>
  <si>
    <t xml:space="preserve">LOC112044740</t>
  </si>
  <si>
    <t xml:space="preserve">Dac</t>
  </si>
  <si>
    <t xml:space="preserve">T114</t>
  </si>
  <si>
    <t xml:space="preserve">dachshund homolog 1 isoform X1</t>
  </si>
  <si>
    <t xml:space="preserve">dachshund homolog 2 isoform X1</t>
  </si>
  <si>
    <t xml:space="preserve">XP_052739409.1; XP_052739408.1</t>
  </si>
  <si>
    <t xml:space="preserve">Only 1/6 pairs match the genome LOC on both halves</t>
  </si>
  <si>
    <t xml:space="preserve">S138</t>
  </si>
  <si>
    <t xml:space="preserve">blaze</t>
  </si>
  <si>
    <t xml:space="preserve">S139</t>
  </si>
  <si>
    <t xml:space="preserve">ems</t>
  </si>
  <si>
    <t xml:space="preserve">Homeotic protein empty spiracles-like</t>
  </si>
  <si>
    <t xml:space="preserve">LOC112044014</t>
  </si>
  <si>
    <t xml:space="preserve">T195</t>
  </si>
  <si>
    <t xml:space="preserve">homeotic protein empty spiracles-like</t>
  </si>
  <si>
    <t xml:space="preserve">XP_023935501.1</t>
  </si>
  <si>
    <t xml:space="preserve">S140</t>
  </si>
  <si>
    <t xml:space="preserve">En</t>
  </si>
  <si>
    <t xml:space="preserve">Only 3/7 pairs match the genome LOC on both halves</t>
  </si>
  <si>
    <t xml:space="preserve">S141</t>
  </si>
  <si>
    <t xml:space="preserve">ets5</t>
  </si>
  <si>
    <t xml:space="preserve">ETS translocation variant 5-like</t>
  </si>
  <si>
    <t xml:space="preserve">LOC112048800</t>
  </si>
  <si>
    <t xml:space="preserve">T192</t>
  </si>
  <si>
    <t xml:space="preserve">ETS translocation variant 5-like isoform X1</t>
  </si>
  <si>
    <t xml:space="preserve">XP_023942233.1; XP_052746097.1; XP_052746096.1</t>
  </si>
  <si>
    <t xml:space="preserve">S142</t>
  </si>
  <si>
    <t xml:space="preserve">fz9</t>
  </si>
  <si>
    <t xml:space="preserve">frizzled-9</t>
  </si>
  <si>
    <t xml:space="preserve">LOC112049235</t>
  </si>
  <si>
    <t xml:space="preserve">Ftz</t>
  </si>
  <si>
    <t xml:space="preserve">T113</t>
  </si>
  <si>
    <t xml:space="preserve">frizzled-9-like</t>
  </si>
  <si>
    <t xml:space="preserve">XP_023942813.2</t>
  </si>
  <si>
    <t xml:space="preserve">S143</t>
  </si>
  <si>
    <t xml:space="preserve">B2, B4</t>
  </si>
  <si>
    <t xml:space="preserve">S144</t>
  </si>
  <si>
    <t xml:space="preserve">S145</t>
  </si>
  <si>
    <t xml:space="preserve">irx-5</t>
  </si>
  <si>
    <t xml:space="preserve">iroquois-class homeodomain protein irx-5</t>
  </si>
  <si>
    <t xml:space="preserve">LOC112048682</t>
  </si>
  <si>
    <t xml:space="preserve">XM_052891357.1</t>
  </si>
  <si>
    <t xml:space="preserve">T133</t>
  </si>
  <si>
    <t xml:space="preserve">XP_023942092.1; XP_052747316.1; XP_052747317.1</t>
  </si>
  <si>
    <t xml:space="preserve">S146</t>
  </si>
  <si>
    <t xml:space="preserve">jheh</t>
  </si>
  <si>
    <t xml:space="preserve">juvenile hormone epoxide hydrolase-like</t>
  </si>
  <si>
    <t xml:space="preserve">LOC112051985</t>
  </si>
  <si>
    <t xml:space="preserve">XM_024090859.2</t>
  </si>
  <si>
    <t xml:space="preserve">T131</t>
  </si>
  <si>
    <t xml:space="preserve">XP_023946627.2</t>
  </si>
  <si>
    <t xml:space="preserve">S147</t>
  </si>
  <si>
    <t xml:space="preserve">lebercilin</t>
  </si>
  <si>
    <t xml:space="preserve">lebercilin-like protein</t>
  </si>
  <si>
    <t xml:space="preserve">LOC112058222</t>
  </si>
  <si>
    <t xml:space="preserve">XM_052882629.1</t>
  </si>
  <si>
    <t xml:space="preserve">T132</t>
  </si>
  <si>
    <t xml:space="preserve">XP_052738589.1</t>
  </si>
  <si>
    <t xml:space="preserve">S148</t>
  </si>
  <si>
    <t xml:space="preserve">mab21</t>
  </si>
  <si>
    <t xml:space="preserve">Protein mab-21</t>
  </si>
  <si>
    <t xml:space="preserve">LOC112048478</t>
  </si>
  <si>
    <t xml:space="preserve">Gene3	tox3_tsu_mab21_Gene3_B3_P1_1, tox, Gene3	tox3_tsu_mab21_Gene3_B3_P1_2, Gene3	tox3_tsu_mab21_Gene3_B3_P1_3, Gene3	tox3_tsu_mab21_Gene3_B3_P1_4, Gene3	tox3_tsu_mab21_Gene3_B3_P1_5, Gene3	tox3_tsu_mab21_Gene3_B3_P1_6, Gene3	tox3_tsu_mab21_Gene3_B3_P1_7</t>
  </si>
  <si>
    <t xml:space="preserve">T201</t>
  </si>
  <si>
    <t xml:space="preserve">protein mab-21</t>
  </si>
  <si>
    <t xml:space="preserve">XP_023941780.1</t>
  </si>
  <si>
    <t xml:space="preserve">S149</t>
  </si>
  <si>
    <t xml:space="preserve">mad</t>
  </si>
  <si>
    <t xml:space="preserve">LOC112054274</t>
  </si>
  <si>
    <t xml:space="preserve">T064</t>
  </si>
  <si>
    <t xml:space="preserve">protein mothers against dpp</t>
  </si>
  <si>
    <t xml:space="preserve">XP_023949747.1</t>
  </si>
  <si>
    <t xml:space="preserve">S150</t>
  </si>
  <si>
    <t xml:space="preserve">mad4</t>
  </si>
  <si>
    <t xml:space="preserve">mothers against decapentaplegic homolog 4</t>
  </si>
  <si>
    <t xml:space="preserve">LOC112046636</t>
  </si>
  <si>
    <t xml:space="preserve">Bany_17230-RA</t>
  </si>
  <si>
    <t xml:space="preserve">T135</t>
  </si>
  <si>
    <t xml:space="preserve">mothers against decapentaplegic homolog 4 isoform X2</t>
  </si>
  <si>
    <t xml:space="preserve">XP_052744455.1; XP_052744456.1; XP_052744458.1; XP_052744457.1</t>
  </si>
  <si>
    <t xml:space="preserve">S151</t>
  </si>
  <si>
    <t xml:space="preserve">XM_024089045.2</t>
  </si>
  <si>
    <t xml:space="preserve">Mad, mad6</t>
  </si>
  <si>
    <t xml:space="preserve">T047, T112</t>
  </si>
  <si>
    <t xml:space="preserve">S152</t>
  </si>
  <si>
    <t xml:space="preserve">pang_axin_naked oPool</t>
  </si>
  <si>
    <t xml:space="preserve">8 pair(s) flagged in Probe_Pairs</t>
  </si>
  <si>
    <t xml:space="preserve">S153</t>
  </si>
  <si>
    <t xml:space="preserve">OBPA10.2</t>
  </si>
  <si>
    <t xml:space="preserve">LOC112049027</t>
  </si>
  <si>
    <t xml:space="preserve">MSTRG.7783</t>
  </si>
  <si>
    <t xml:space="preserve">T153</t>
  </si>
  <si>
    <t xml:space="preserve">ejaculatory bulb-specific protein 3</t>
  </si>
  <si>
    <t xml:space="preserve">ejaculatory bulb-specific protein 3-like</t>
  </si>
  <si>
    <t xml:space="preserve">XP_023942528.1</t>
  </si>
  <si>
    <t xml:space="preserve">S154</t>
  </si>
  <si>
    <t xml:space="preserve">B1, B5</t>
  </si>
  <si>
    <t xml:space="preserve">Omb, omB, omb</t>
  </si>
  <si>
    <t xml:space="preserve">S155</t>
  </si>
  <si>
    <t xml:space="preserve">Master (Jul 2024); optix_B3</t>
  </si>
  <si>
    <t xml:space="preserve">S156</t>
  </si>
  <si>
    <t xml:space="preserve">OR17</t>
  </si>
  <si>
    <t xml:space="preserve">LOC112045766</t>
  </si>
  <si>
    <t xml:space="preserve">MSTRG.11135</t>
  </si>
  <si>
    <t xml:space="preserve">T156</t>
  </si>
  <si>
    <t xml:space="preserve">uncharacterized protein LOC112045766</t>
  </si>
  <si>
    <t xml:space="preserve">uncharacterized LOC112045766(LOC112045766)</t>
  </si>
  <si>
    <t xml:space="preserve">XP_052738389.1</t>
  </si>
  <si>
    <t xml:space="preserve">S157</t>
  </si>
  <si>
    <t xml:space="preserve">pika</t>
  </si>
  <si>
    <t xml:space="preserve">uncharacterized protein LOC112046261</t>
  </si>
  <si>
    <t xml:space="preserve">LOC112046261</t>
  </si>
  <si>
    <t xml:space="preserve">XM_024082856.2</t>
  </si>
  <si>
    <t xml:space="preserve">T122</t>
  </si>
  <si>
    <t xml:space="preserve">uncharacterized LOC112046261(LOC112046261)</t>
  </si>
  <si>
    <t xml:space="preserve">XP_023938624.2</t>
  </si>
  <si>
    <t xml:space="preserve">S158</t>
  </si>
  <si>
    <t xml:space="preserve">PPO1</t>
  </si>
  <si>
    <t xml:space="preserve">LOC112056593</t>
  </si>
  <si>
    <t xml:space="preserve">T137</t>
  </si>
  <si>
    <t xml:space="preserve">phenoloxidase subunit 1</t>
  </si>
  <si>
    <t xml:space="preserve">XP_023952808.2</t>
  </si>
  <si>
    <t xml:space="preserve">S159</t>
  </si>
  <si>
    <t xml:space="preserve">ptc</t>
  </si>
  <si>
    <t xml:space="preserve">patched</t>
  </si>
  <si>
    <t xml:space="preserve">LOC112052161</t>
  </si>
  <si>
    <t xml:space="preserve">XM_024091129.1</t>
  </si>
  <si>
    <t xml:space="preserve">T142</t>
  </si>
  <si>
    <t xml:space="preserve">protein patched</t>
  </si>
  <si>
    <t xml:space="preserve">protein patched isoform X1</t>
  </si>
  <si>
    <t xml:space="preserve">XP_023946896.1</t>
  </si>
  <si>
    <t xml:space="preserve">S160</t>
  </si>
  <si>
    <t xml:space="preserve">S161</t>
  </si>
  <si>
    <t xml:space="preserve">B1, B2</t>
  </si>
  <si>
    <t xml:space="preserve">rho</t>
  </si>
  <si>
    <t xml:space="preserve">Master (Jul 2024); rho3_B3</t>
  </si>
  <si>
    <t xml:space="preserve">S162</t>
  </si>
  <si>
    <t xml:space="preserve">runt</t>
  </si>
  <si>
    <t xml:space="preserve">segmentation protein Runt-like</t>
  </si>
  <si>
    <t xml:space="preserve">LOC112045254</t>
  </si>
  <si>
    <t xml:space="preserve">run</t>
  </si>
  <si>
    <t xml:space="preserve">T115</t>
  </si>
  <si>
    <t xml:space="preserve">XP_023937134.1</t>
  </si>
  <si>
    <t xml:space="preserve">S163</t>
  </si>
  <si>
    <t xml:space="preserve">serrate</t>
  </si>
  <si>
    <t xml:space="preserve">LOC112049380</t>
  </si>
  <si>
    <t xml:space="preserve">ser, serrate</t>
  </si>
  <si>
    <t xml:space="preserve">T117</t>
  </si>
  <si>
    <t xml:space="preserve">protein serrate</t>
  </si>
  <si>
    <t xml:space="preserve">LOW QUALITY PROTEIN: protein serrate</t>
  </si>
  <si>
    <t xml:space="preserve">XP_052744008.1</t>
  </si>
  <si>
    <t xml:space="preserve">S164</t>
  </si>
  <si>
    <t xml:space="preserve">slp2</t>
  </si>
  <si>
    <t xml:space="preserve">fork head domain transcription factor slp2-like</t>
  </si>
  <si>
    <t xml:space="preserve">LOC112048837</t>
  </si>
  <si>
    <t xml:space="preserve">XM_024086515.2</t>
  </si>
  <si>
    <t xml:space="preserve">T130</t>
  </si>
  <si>
    <t xml:space="preserve">XP_023942283.1</t>
  </si>
  <si>
    <t xml:space="preserve">S165</t>
  </si>
  <si>
    <t xml:space="preserve">star</t>
  </si>
  <si>
    <t xml:space="preserve">protein Star isoform X2</t>
  </si>
  <si>
    <t xml:space="preserve">LOC112051959</t>
  </si>
  <si>
    <t xml:space="preserve">XM_024090818.2</t>
  </si>
  <si>
    <t xml:space="preserve">T136</t>
  </si>
  <si>
    <t xml:space="preserve">protein Star isoform X1</t>
  </si>
  <si>
    <t xml:space="preserve">XP_023946585.2; XP_023946586.2</t>
  </si>
  <si>
    <t xml:space="preserve">S166</t>
  </si>
  <si>
    <t xml:space="preserve">strawberry notch</t>
  </si>
  <si>
    <t xml:space="preserve">LOC112050737</t>
  </si>
  <si>
    <t xml:space="preserve">strawberry</t>
  </si>
  <si>
    <t xml:space="preserve">T118</t>
  </si>
  <si>
    <t xml:space="preserve">protein strawberry notch isoform X1</t>
  </si>
  <si>
    <t xml:space="preserve">XP_052739144.1; XP_023944844.2; XP_052739143.1</t>
  </si>
  <si>
    <t xml:space="preserve">S167</t>
  </si>
  <si>
    <t xml:space="preserve">Su(H)</t>
  </si>
  <si>
    <t xml:space="preserve">suppressor of hairless</t>
  </si>
  <si>
    <t xml:space="preserve">LOC112052246</t>
  </si>
  <si>
    <t xml:space="preserve">soh</t>
  </si>
  <si>
    <t xml:space="preserve">T116</t>
  </si>
  <si>
    <t xml:space="preserve">suppressor of hairless protein</t>
  </si>
  <si>
    <t xml:space="preserve">XP_023947022.1</t>
  </si>
  <si>
    <t xml:space="preserve">S168</t>
  </si>
  <si>
    <t xml:space="preserve">toll-like</t>
  </si>
  <si>
    <t xml:space="preserve">protein toll-like</t>
  </si>
  <si>
    <t xml:space="preserve">LOC112042967</t>
  </si>
  <si>
    <t xml:space="preserve">XM_024078199.2</t>
  </si>
  <si>
    <t xml:space="preserve">T119</t>
  </si>
  <si>
    <t xml:space="preserve">XP_023933967.1</t>
  </si>
  <si>
    <t xml:space="preserve">S169</t>
  </si>
  <si>
    <t xml:space="preserve">S170</t>
  </si>
  <si>
    <t xml:space="preserve">abd-B</t>
  </si>
  <si>
    <t xml:space="preserve">homeobox protein abdominal-B isoform X2</t>
  </si>
  <si>
    <t xml:space="preserve">LOC112057786</t>
  </si>
  <si>
    <t xml:space="preserve">XM_052883843.1</t>
  </si>
  <si>
    <t xml:space="preserve">AF514</t>
  </si>
  <si>
    <t xml:space="preserve">abB</t>
  </si>
  <si>
    <t xml:space="preserve">Master (Jul 2024); B4 file</t>
  </si>
  <si>
    <t xml:space="preserve">T147</t>
  </si>
  <si>
    <t xml:space="preserve">homeobox protein abdominal-B isoform X1</t>
  </si>
  <si>
    <t xml:space="preserve">XP_052739799.1; XP_052739800.1; XP_052739801.1; XP_052739803.1</t>
  </si>
  <si>
    <t xml:space="preserve">S171</t>
  </si>
  <si>
    <t xml:space="preserve">Antp</t>
  </si>
  <si>
    <t xml:space="preserve">Antennapedia</t>
  </si>
  <si>
    <t xml:space="preserve">LOC112057779</t>
  </si>
  <si>
    <t xml:space="preserve">BANY.1.2.t02571</t>
  </si>
  <si>
    <t xml:space="preserve">antp</t>
  </si>
  <si>
    <t xml:space="preserve">T139</t>
  </si>
  <si>
    <t xml:space="preserve">homeotic protein antennapedia</t>
  </si>
  <si>
    <t xml:space="preserve">homeotic protein antennapedia-like</t>
  </si>
  <si>
    <t xml:space="preserve">XP_023954088.1; XP_023954089.1; XP_023954090.1; XP_023954091.1; XP_052739738.1; XP_052739739.1; XP_052739740.1; XP_052739741.1; XP_052739742.1</t>
  </si>
  <si>
    <t xml:space="preserve">S172</t>
  </si>
  <si>
    <t xml:space="preserve">bagpipe</t>
  </si>
  <si>
    <t xml:space="preserve">homeobox protein bagpipe-like</t>
  </si>
  <si>
    <t xml:space="preserve">LOC112053316</t>
  </si>
  <si>
    <t xml:space="preserve">XM_024092708.2</t>
  </si>
  <si>
    <t xml:space="preserve">T146</t>
  </si>
  <si>
    <t xml:space="preserve">XP_023948476.1</t>
  </si>
  <si>
    <t xml:space="preserve">S173</t>
  </si>
  <si>
    <t xml:space="preserve">chu</t>
  </si>
  <si>
    <t xml:space="preserve">uncharacterized protein LOC112055606</t>
  </si>
  <si>
    <t xml:space="preserve">LOC112055606</t>
  </si>
  <si>
    <t xml:space="preserve">XM_024095788.2</t>
  </si>
  <si>
    <t xml:space="preserve">T148</t>
  </si>
  <si>
    <t xml:space="preserve">uncharacterized LOC112055606(LOC112055606)</t>
  </si>
  <si>
    <t xml:space="preserve">XP_023951556.2</t>
  </si>
  <si>
    <t xml:space="preserve">S174</t>
  </si>
  <si>
    <t xml:space="preserve">S175</t>
  </si>
  <si>
    <t xml:space="preserve">S176</t>
  </si>
  <si>
    <t xml:space="preserve">ftz7/ftz1</t>
  </si>
  <si>
    <t xml:space="preserve">ftz7/ftz1 (frizzled)</t>
  </si>
  <si>
    <t xml:space="preserve">LOC112058545</t>
  </si>
  <si>
    <t xml:space="preserve">T141</t>
  </si>
  <si>
    <t xml:space="preserve">frizzled-7-B</t>
  </si>
  <si>
    <t xml:space="preserve">frizzled-7-B-like</t>
  </si>
  <si>
    <t xml:space="preserve">XP_023955213.2</t>
  </si>
  <si>
    <t xml:space="preserve">S177</t>
  </si>
  <si>
    <t xml:space="preserve">fz2</t>
  </si>
  <si>
    <t xml:space="preserve">frizzled-2-like</t>
  </si>
  <si>
    <t xml:space="preserve">LOC112057170</t>
  </si>
  <si>
    <t xml:space="preserve">XM_024097661.1</t>
  </si>
  <si>
    <t xml:space="preserve">T140</t>
  </si>
  <si>
    <t xml:space="preserve">LOC112043399</t>
  </si>
  <si>
    <t xml:space="preserve">frizzled-2</t>
  </si>
  <si>
    <t xml:space="preserve">frizzled-2-like(LOC112043399)</t>
  </si>
  <si>
    <t xml:space="preserve">XP_052741816.1</t>
  </si>
  <si>
    <t xml:space="preserve">S178</t>
  </si>
  <si>
    <t xml:space="preserve">S179</t>
  </si>
  <si>
    <t xml:space="preserve">Hh</t>
  </si>
  <si>
    <t xml:space="preserve">S180</t>
  </si>
  <si>
    <t xml:space="preserve">pb</t>
  </si>
  <si>
    <t xml:space="preserve">homeotic protein proboscipedia</t>
  </si>
  <si>
    <t xml:space="preserve">LOC112057771</t>
  </si>
  <si>
    <t xml:space="preserve">XM_024098314.2</t>
  </si>
  <si>
    <t xml:space="preserve">T145</t>
  </si>
  <si>
    <t xml:space="preserve">XP_023954082.1</t>
  </si>
  <si>
    <t xml:space="preserve">S181</t>
  </si>
  <si>
    <t xml:space="preserve">Ptc</t>
  </si>
  <si>
    <t xml:space="preserve">S182</t>
  </si>
  <si>
    <t xml:space="preserve">Scr</t>
  </si>
  <si>
    <t xml:space="preserve">homeotic protein Sex combs reduced</t>
  </si>
  <si>
    <t xml:space="preserve">LOC112057777</t>
  </si>
  <si>
    <t xml:space="preserve">XM_024098318.2</t>
  </si>
  <si>
    <t xml:space="preserve">scr</t>
  </si>
  <si>
    <t xml:space="preserve">T144</t>
  </si>
  <si>
    <t xml:space="preserve">XP_023954086.1</t>
  </si>
  <si>
    <t xml:space="preserve">S183</t>
  </si>
  <si>
    <t xml:space="preserve">tmtc3</t>
  </si>
  <si>
    <t xml:space="preserve">protein O-mannosyl-transferase TMTC1-like</t>
  </si>
  <si>
    <t xml:space="preserve">LOC112050562</t>
  </si>
  <si>
    <t xml:space="preserve">XM_052881908.1</t>
  </si>
  <si>
    <t xml:space="preserve">T149</t>
  </si>
  <si>
    <t xml:space="preserve">transmembrane and TPR repeat-containing protein 1-like</t>
  </si>
  <si>
    <t xml:space="preserve">XP_052737867.1; XP_052737868.1</t>
  </si>
  <si>
    <t xml:space="preserve">S184</t>
  </si>
  <si>
    <t xml:space="preserve">vg</t>
  </si>
  <si>
    <t xml:space="preserve">vestigial</t>
  </si>
  <si>
    <t xml:space="preserve">LOC112043588</t>
  </si>
  <si>
    <t xml:space="preserve">T138</t>
  </si>
  <si>
    <t xml:space="preserve">protein vestigial</t>
  </si>
  <si>
    <t xml:space="preserve">XP_023934840.1</t>
  </si>
  <si>
    <t xml:space="preserve">S185</t>
  </si>
  <si>
    <t xml:space="preserve">AF594</t>
  </si>
  <si>
    <t xml:space="preserve">Arrow</t>
  </si>
  <si>
    <t xml:space="preserve">Master (Jul 2024); B5 file</t>
  </si>
  <si>
    <t xml:space="preserve">S186</t>
  </si>
  <si>
    <t xml:space="preserve">S187</t>
  </si>
  <si>
    <t xml:space="preserve">calb2b</t>
  </si>
  <si>
    <t xml:space="preserve">calbindin 2b</t>
  </si>
  <si>
    <t xml:space="preserve">Danio rerio</t>
  </si>
  <si>
    <t xml:space="preserve">GeneID:393684</t>
  </si>
  <si>
    <t xml:space="preserve">NM_200711.1</t>
  </si>
  <si>
    <t xml:space="preserve">ZDB-GENE-040426-1668</t>
  </si>
  <si>
    <t xml:space="preserve">Zebrafish master (Aug 2025)</t>
  </si>
  <si>
    <t xml:space="preserve">T187</t>
  </si>
  <si>
    <t xml:space="preserve">S188</t>
  </si>
  <si>
    <t xml:space="preserve">ccser1</t>
  </si>
  <si>
    <t xml:space="preserve">serine-rich coiled-coil domain-containing protein 1 isoform X1</t>
  </si>
  <si>
    <t xml:space="preserve">GeneID:795160</t>
  </si>
  <si>
    <t xml:space="preserve">XM_021478458.1</t>
  </si>
  <si>
    <t xml:space="preserve">T175</t>
  </si>
  <si>
    <t xml:space="preserve">S189</t>
  </si>
  <si>
    <t xml:space="preserve">chrna5</t>
  </si>
  <si>
    <t xml:space="preserve">neuronal acetylcholine receptor subunit alpha-5 isoform X1</t>
  </si>
  <si>
    <t xml:space="preserve">GeneID:550584</t>
  </si>
  <si>
    <t xml:space="preserve">XM_021467652.1</t>
  </si>
  <si>
    <t xml:space="preserve">T177</t>
  </si>
  <si>
    <t xml:space="preserve">S190</t>
  </si>
  <si>
    <t xml:space="preserve">foxa2</t>
  </si>
  <si>
    <t xml:space="preserve">forkhead box protein A2</t>
  </si>
  <si>
    <t xml:space="preserve">GeneID:30126</t>
  </si>
  <si>
    <t xml:space="preserve">NM_130949.2</t>
  </si>
  <si>
    <t xml:space="preserve">ZDB-GENE-980526-404</t>
  </si>
  <si>
    <t xml:space="preserve">T184</t>
  </si>
  <si>
    <t xml:space="preserve">S191</t>
  </si>
  <si>
    <t xml:space="preserve">gad2</t>
  </si>
  <si>
    <t xml:space="preserve">glutamate decarboxylase 2</t>
  </si>
  <si>
    <t xml:space="preserve">GeneID:550403</t>
  </si>
  <si>
    <t xml:space="preserve">NM_001017708.2</t>
  </si>
  <si>
    <t xml:space="preserve">ZDB-GENE-030909-9</t>
  </si>
  <si>
    <t xml:space="preserve">T168</t>
  </si>
  <si>
    <t xml:space="preserve">S192</t>
  </si>
  <si>
    <t xml:space="preserve">oxt</t>
  </si>
  <si>
    <t xml:space="preserve">oxytocin-neurophysin 1 precursor</t>
  </si>
  <si>
    <t xml:space="preserve">GeneID:352920</t>
  </si>
  <si>
    <t xml:space="preserve">NM_178291.2</t>
  </si>
  <si>
    <t xml:space="preserve">ZDB-GENE-030407-1</t>
  </si>
  <si>
    <t xml:space="preserve">Zebrafish master (Aug 2025); oxt_oxtr_oxtrl oPool</t>
  </si>
  <si>
    <t xml:space="preserve">T169</t>
  </si>
  <si>
    <t xml:space="preserve">S193</t>
  </si>
  <si>
    <t xml:space="preserve">tph2</t>
  </si>
  <si>
    <t xml:space="preserve">tryptophan 5-hydroxylase 2 isoform 1</t>
  </si>
  <si>
    <t xml:space="preserve">GeneID:407712</t>
  </si>
  <si>
    <t xml:space="preserve">NM_001310068.1</t>
  </si>
  <si>
    <t xml:space="preserve">ZDB-GENE-040624-4</t>
  </si>
  <si>
    <t xml:space="preserve">T167</t>
  </si>
  <si>
    <t xml:space="preserve">S194</t>
  </si>
  <si>
    <t xml:space="preserve">calb2a</t>
  </si>
  <si>
    <t xml:space="preserve">calbindin 2a</t>
  </si>
  <si>
    <t xml:space="preserve">GeneID:393691</t>
  </si>
  <si>
    <t xml:space="preserve">NM_200718.1</t>
  </si>
  <si>
    <t xml:space="preserve">ZDB-GENE-040426-1677</t>
  </si>
  <si>
    <t xml:space="preserve">T188</t>
  </si>
  <si>
    <t xml:space="preserve">S195</t>
  </si>
  <si>
    <t xml:space="preserve">chrm3a</t>
  </si>
  <si>
    <t xml:space="preserve">muscarinic acetylcholine receptor M3</t>
  </si>
  <si>
    <t xml:space="preserve">GeneID:571679</t>
  </si>
  <si>
    <t xml:space="preserve">XM_695289.9</t>
  </si>
  <si>
    <t xml:space="preserve">T170</t>
  </si>
  <si>
    <t xml:space="preserve">S196</t>
  </si>
  <si>
    <t xml:space="preserve">chrna3</t>
  </si>
  <si>
    <t xml:space="preserve">neuronal acetylcholine receptor subunit alpha-3</t>
  </si>
  <si>
    <t xml:space="preserve">GeneID:568467</t>
  </si>
  <si>
    <t xml:space="preserve">XM_001921279.5</t>
  </si>
  <si>
    <t xml:space="preserve">T176</t>
  </si>
  <si>
    <t xml:space="preserve">S197</t>
  </si>
  <si>
    <t xml:space="preserve">chrnb4</t>
  </si>
  <si>
    <t xml:space="preserve">neuronal acetylcholine receptor subunit beta-4-like</t>
  </si>
  <si>
    <t xml:space="preserve">GeneID:568566</t>
  </si>
  <si>
    <t xml:space="preserve">XM_691901.6</t>
  </si>
  <si>
    <t xml:space="preserve">Chrnb4</t>
  </si>
  <si>
    <t xml:space="preserve">T178</t>
  </si>
  <si>
    <t xml:space="preserve">S198</t>
  </si>
  <si>
    <t xml:space="preserve">foxb1a</t>
  </si>
  <si>
    <t xml:space="preserve">forkhead box protein B1a</t>
  </si>
  <si>
    <t xml:space="preserve">GeneID:30542</t>
  </si>
  <si>
    <t xml:space="preserve">NM_131285.1</t>
  </si>
  <si>
    <t xml:space="preserve">ZDB-GENE-990616-47</t>
  </si>
  <si>
    <t xml:space="preserve">T185</t>
  </si>
  <si>
    <t xml:space="preserve">S199</t>
  </si>
  <si>
    <t xml:space="preserve">kctd12.1</t>
  </si>
  <si>
    <t xml:space="preserve">BTB/POZ domain-containing protein KCTD12.1</t>
  </si>
  <si>
    <t xml:space="preserve">GeneID:373865</t>
  </si>
  <si>
    <t xml:space="preserve">NM_194405.2</t>
  </si>
  <si>
    <t xml:space="preserve">ZDB-GENE-030902-5</t>
  </si>
  <si>
    <t xml:space="preserve">T172</t>
  </si>
  <si>
    <t xml:space="preserve">S200</t>
  </si>
  <si>
    <t xml:space="preserve">kctd12.2</t>
  </si>
  <si>
    <t xml:space="preserve">potassium channel tetramerisation domain containing 12.2</t>
  </si>
  <si>
    <t xml:space="preserve">GeneID:553403</t>
  </si>
  <si>
    <t xml:space="preserve">NM_001034019.2</t>
  </si>
  <si>
    <t xml:space="preserve">ZDB-GENE-060117-4</t>
  </si>
  <si>
    <t xml:space="preserve">T173</t>
  </si>
  <si>
    <t xml:space="preserve">S201</t>
  </si>
  <si>
    <t xml:space="preserve">NeuroD</t>
  </si>
  <si>
    <t xml:space="preserve">AF036148.1</t>
  </si>
  <si>
    <t xml:space="preserve">T171</t>
  </si>
  <si>
    <t xml:space="preserve">S202</t>
  </si>
  <si>
    <t xml:space="preserve">oxtr</t>
  </si>
  <si>
    <t xml:space="preserve">oxytocin receptor isoform X1</t>
  </si>
  <si>
    <t xml:space="preserve">GeneID:100001530</t>
  </si>
  <si>
    <t xml:space="preserve">XM_005166001.4</t>
  </si>
  <si>
    <t xml:space="preserve">oxt, OXTR</t>
  </si>
  <si>
    <t xml:space="preserve">T180</t>
  </si>
  <si>
    <t xml:space="preserve">S203</t>
  </si>
  <si>
    <t xml:space="preserve">oxtrl</t>
  </si>
  <si>
    <t xml:space="preserve">oxytocin receptor like isoform X1</t>
  </si>
  <si>
    <t xml:space="preserve">GeneID:796298</t>
  </si>
  <si>
    <t xml:space="preserve">XM_005168771.4</t>
  </si>
  <si>
    <t xml:space="preserve">OXTRL</t>
  </si>
  <si>
    <t xml:space="preserve">T179</t>
  </si>
  <si>
    <t xml:space="preserve">S204</t>
  </si>
  <si>
    <t xml:space="preserve">calb1</t>
  </si>
  <si>
    <t xml:space="preserve">calbindin</t>
  </si>
  <si>
    <t xml:space="preserve">GeneID:100001650</t>
  </si>
  <si>
    <t xml:space="preserve">XM_001341568.5</t>
  </si>
  <si>
    <t xml:space="preserve">T189</t>
  </si>
  <si>
    <t xml:space="preserve">S205</t>
  </si>
  <si>
    <t xml:space="preserve">chatb</t>
  </si>
  <si>
    <t xml:space="preserve">choline O-acetyltransferase</t>
  </si>
  <si>
    <t xml:space="preserve">KF840480.1</t>
  </si>
  <si>
    <t xml:space="preserve">T181</t>
  </si>
  <si>
    <t xml:space="preserve">S206</t>
  </si>
  <si>
    <t xml:space="preserve">fat2</t>
  </si>
  <si>
    <t xml:space="preserve">protocadherin Fat 2</t>
  </si>
  <si>
    <t xml:space="preserve">GeneID:568468</t>
  </si>
  <si>
    <t xml:space="preserve">XM_001920023.7</t>
  </si>
  <si>
    <t xml:space="preserve">T186</t>
  </si>
  <si>
    <t xml:space="preserve">S207</t>
  </si>
  <si>
    <t xml:space="preserve">S208</t>
  </si>
  <si>
    <t xml:space="preserve">nrp1a</t>
  </si>
  <si>
    <t xml:space="preserve">neuropilin-1a isoform X2</t>
  </si>
  <si>
    <t xml:space="preserve">GeneID:353246</t>
  </si>
  <si>
    <t xml:space="preserve">XM_009297199.3</t>
  </si>
  <si>
    <t xml:space="preserve">T174</t>
  </si>
  <si>
    <t xml:space="preserve">S209</t>
  </si>
  <si>
    <t xml:space="preserve">omp</t>
  </si>
  <si>
    <t xml:space="preserve">olfactory marker protein</t>
  </si>
  <si>
    <t xml:space="preserve">AF457189.1</t>
  </si>
  <si>
    <t xml:space="preserve">T182</t>
  </si>
  <si>
    <t xml:space="preserve">S210</t>
  </si>
  <si>
    <t xml:space="preserve">S211</t>
  </si>
  <si>
    <t xml:space="preserve">trpc2a</t>
  </si>
  <si>
    <t xml:space="preserve">short transient receptor potential channel 2</t>
  </si>
  <si>
    <t xml:space="preserve">GeneID:559914</t>
  </si>
  <si>
    <t xml:space="preserve">XM_017351234.2</t>
  </si>
  <si>
    <t xml:space="preserve">TRPC2a</t>
  </si>
  <si>
    <t xml:space="preserve">T183</t>
  </si>
  <si>
    <t xml:space="preserve">S212</t>
  </si>
  <si>
    <t xml:space="preserve">Adora2a</t>
  </si>
  <si>
    <t xml:space="preserve">Not stated</t>
  </si>
  <si>
    <t xml:space="preserve">set_2</t>
  </si>
  <si>
    <t xml:space="preserve">S213</t>
  </si>
  <si>
    <t xml:space="preserve">Chrm1</t>
  </si>
  <si>
    <t xml:space="preserve">set_3</t>
  </si>
  <si>
    <t xml:space="preserve">S214</t>
  </si>
  <si>
    <t xml:space="preserve">Cnr1</t>
  </si>
  <si>
    <t xml:space="preserve">S215</t>
  </si>
  <si>
    <t xml:space="preserve">cpne6</t>
  </si>
  <si>
    <t xml:space="preserve">S216</t>
  </si>
  <si>
    <t xml:space="preserve">Drd2</t>
  </si>
  <si>
    <t xml:space="preserve">set_1</t>
  </si>
  <si>
    <t xml:space="preserve">S217</t>
  </si>
  <si>
    <t xml:space="preserve">Drd3</t>
  </si>
  <si>
    <t xml:space="preserve">S218</t>
  </si>
  <si>
    <t xml:space="preserve">Gpx3</t>
  </si>
  <si>
    <t xml:space="preserve">S219</t>
  </si>
  <si>
    <t xml:space="preserve">Grm1</t>
  </si>
  <si>
    <t xml:space="preserve">S220</t>
  </si>
  <si>
    <t xml:space="preserve">Htr1f</t>
  </si>
  <si>
    <t xml:space="preserve">S221</t>
  </si>
  <si>
    <t xml:space="preserve">Htr4</t>
  </si>
  <si>
    <t xml:space="preserve">S222</t>
  </si>
  <si>
    <t xml:space="preserve">Lpl</t>
  </si>
  <si>
    <t xml:space="preserve">S223</t>
  </si>
  <si>
    <t xml:space="preserve">Oprd1</t>
  </si>
  <si>
    <t xml:space="preserve">S224</t>
  </si>
  <si>
    <t xml:space="preserve">Rprm</t>
  </si>
  <si>
    <t xml:space="preserve">S225</t>
  </si>
  <si>
    <t xml:space="preserve">Stum</t>
  </si>
  <si>
    <t xml:space="preserve">S226</t>
  </si>
  <si>
    <t xml:space="preserve">vgat / Slc32a1</t>
  </si>
  <si>
    <t xml:space="preserve">vgat, Slc32a1</t>
  </si>
  <si>
    <t xml:space="preserve">set_1; set_2</t>
  </si>
  <si>
    <t xml:space="preserve">S227</t>
  </si>
  <si>
    <t xml:space="preserve">Adora1</t>
  </si>
  <si>
    <t xml:space="preserve">S228</t>
  </si>
  <si>
    <t xml:space="preserve">Agt</t>
  </si>
  <si>
    <t xml:space="preserve">S229</t>
  </si>
  <si>
    <t xml:space="preserve">Chrm4</t>
  </si>
  <si>
    <t xml:space="preserve">S230</t>
  </si>
  <si>
    <t xml:space="preserve">Crym</t>
  </si>
  <si>
    <t xml:space="preserve">S231</t>
  </si>
  <si>
    <t xml:space="preserve">Drd1 / Slc17a6</t>
  </si>
  <si>
    <t xml:space="preserve">Drd1, Slc17a6</t>
  </si>
  <si>
    <t xml:space="preserve">S232</t>
  </si>
  <si>
    <t xml:space="preserve">S233</t>
  </si>
  <si>
    <t xml:space="preserve">Grm4</t>
  </si>
  <si>
    <t xml:space="preserve">S234</t>
  </si>
  <si>
    <t xml:space="preserve">Hap1</t>
  </si>
  <si>
    <t xml:space="preserve">S235</t>
  </si>
  <si>
    <t xml:space="preserve">Htr1b</t>
  </si>
  <si>
    <t xml:space="preserve">S236</t>
  </si>
  <si>
    <t xml:space="preserve">Htr2a</t>
  </si>
  <si>
    <t xml:space="preserve">Htr2a, B</t>
  </si>
  <si>
    <t xml:space="preserve">S237</t>
  </si>
  <si>
    <t xml:space="preserve">Htr5a</t>
  </si>
  <si>
    <t xml:space="preserve">S238</t>
  </si>
  <si>
    <t xml:space="preserve">Lypd1</t>
  </si>
  <si>
    <t xml:space="preserve">S239</t>
  </si>
  <si>
    <t xml:space="preserve">Oprk1</t>
  </si>
  <si>
    <t xml:space="preserve">Oprk1, Adora1</t>
  </si>
  <si>
    <t xml:space="preserve">S240</t>
  </si>
  <si>
    <t xml:space="preserve">Scube1</t>
  </si>
  <si>
    <t xml:space="preserve">S241</t>
  </si>
  <si>
    <t xml:space="preserve">Slc17a7</t>
  </si>
  <si>
    <t xml:space="preserve">S242</t>
  </si>
  <si>
    <t xml:space="preserve">Synpo2</t>
  </si>
  <si>
    <t xml:space="preserve">S243</t>
  </si>
  <si>
    <t xml:space="preserve">Calb2</t>
  </si>
  <si>
    <t xml:space="preserve">S244</t>
  </si>
  <si>
    <t xml:space="preserve">Chrm3</t>
  </si>
  <si>
    <t xml:space="preserve">S245</t>
  </si>
  <si>
    <t xml:space="preserve">Ddn</t>
  </si>
  <si>
    <t xml:space="preserve">S246</t>
  </si>
  <si>
    <t xml:space="preserve">Grm7</t>
  </si>
  <si>
    <t xml:space="preserve">S247</t>
  </si>
  <si>
    <t xml:space="preserve">Grm8</t>
  </si>
  <si>
    <t xml:space="preserve">S248</t>
  </si>
  <si>
    <t xml:space="preserve">Hs3st2</t>
  </si>
  <si>
    <t xml:space="preserve">S249</t>
  </si>
  <si>
    <t xml:space="preserve">Htr1d</t>
  </si>
  <si>
    <t xml:space="preserve">S250</t>
  </si>
  <si>
    <t xml:space="preserve">Htr2c</t>
  </si>
  <si>
    <t xml:space="preserve">S251</t>
  </si>
  <si>
    <t xml:space="preserve">Htr6</t>
  </si>
  <si>
    <t xml:space="preserve">S252</t>
  </si>
  <si>
    <t xml:space="preserve">Mchr1</t>
  </si>
  <si>
    <t xml:space="preserve">S253</t>
  </si>
  <si>
    <t xml:space="preserve">Oprl1</t>
  </si>
  <si>
    <t xml:space="preserve">S254</t>
  </si>
  <si>
    <t xml:space="preserve">Oprm1</t>
  </si>
  <si>
    <t xml:space="preserve">Oprm1, B</t>
  </si>
  <si>
    <t xml:space="preserve">S255</t>
  </si>
  <si>
    <t xml:space="preserve">Rgs16</t>
  </si>
  <si>
    <t xml:space="preserve">S256</t>
  </si>
  <si>
    <t xml:space="preserve">Shox2</t>
  </si>
  <si>
    <t xml:space="preserve">S257</t>
  </si>
  <si>
    <t xml:space="preserve">Six3</t>
  </si>
  <si>
    <t xml:space="preserve">S258</t>
  </si>
  <si>
    <t xml:space="preserve">Tac1</t>
  </si>
  <si>
    <t xml:space="preserve">Pair_ID</t>
  </si>
  <si>
    <t xml:space="preserve">Gene</t>
  </si>
  <si>
    <t xml:space="preserve">Pair #</t>
  </si>
  <si>
    <t xml:space="preserve">P1 standard name</t>
  </si>
  <si>
    <t xml:space="preserve">P1 sequence (5′→3′)</t>
  </si>
  <si>
    <t xml:space="preserve">P2 standard name</t>
  </si>
  <si>
    <t xml:space="preserve">P2 sequence (5′→3′)</t>
  </si>
  <si>
    <t xml:space="preserve">P1 original name(s)</t>
  </si>
  <si>
    <t xml:space="preserve">P2 original name(s)</t>
  </si>
  <si>
    <t xml:space="preserve">P1 binding arm</t>
  </si>
  <si>
    <t xml:space="preserve">P2 binding arm</t>
  </si>
  <si>
    <t xml:space="preserve">P1 arm length</t>
  </si>
  <si>
    <t xml:space="preserve">P2 arm length</t>
  </si>
  <si>
    <t xml:space="preserve">P1 arm GC%</t>
  </si>
  <si>
    <t xml:space="preserve">P2 arm GC%</t>
  </si>
  <si>
    <t xml:space="preserve">Template</t>
  </si>
  <si>
    <t xml:space="preserve">Template match</t>
  </si>
  <si>
    <t xml:space="preserve">Site start on template (nt)</t>
  </si>
  <si>
    <t xml:space="preserve">Paired by</t>
  </si>
  <si>
    <t xml:space="preserve">Pool / order (as recorded)</t>
  </si>
  <si>
    <t xml:space="preserve">Genome match (to set LOC)</t>
  </si>
  <si>
    <t xml:space="preserve">Pair flag</t>
  </si>
  <si>
    <t xml:space="preserve">S001-01</t>
  </si>
  <si>
    <t xml:space="preserve">18w_B1_P1_01</t>
  </si>
  <si>
    <t xml:space="preserve">GAGGAGGGCAGCAAACGGAAAAATATATTTCTCGCAACTCTTTCG</t>
  </si>
  <si>
    <t xml:space="preserve">18w_B1_P2_01</t>
  </si>
  <si>
    <t xml:space="preserve">GCTAATTCAAATAGTAGGTTATTATTAGAAGAGTCTTCCTTTACG</t>
  </si>
  <si>
    <t xml:space="preserve">B1_P1 (18w)_1</t>
  </si>
  <si>
    <t xml:space="preserve">B1_P2 (18w)_1</t>
  </si>
  <si>
    <t xml:space="preserve">AAATATATTTCTCGCAACTCTTTCG</t>
  </si>
  <si>
    <t xml:space="preserve">GCTAATTCAAATAGTAGGTTATTAT</t>
  </si>
  <si>
    <t xml:space="preserve">Both halves</t>
  </si>
  <si>
    <t xml:space="preserve">template position</t>
  </si>
  <si>
    <t xml:space="preserve">S001-02</t>
  </si>
  <si>
    <t xml:space="preserve">18w_B1_P1_02</t>
  </si>
  <si>
    <t xml:space="preserve">GAGGAGGGCAGCAAACGGAATAAGACAAGCAGCTGTTCTAATCGG</t>
  </si>
  <si>
    <t xml:space="preserve">18w_B1_P2_02</t>
  </si>
  <si>
    <t xml:space="preserve">ACTTGAGAGTTGATTATTCGATAAATAGAAGAGTCTTCCTTTACG</t>
  </si>
  <si>
    <t xml:space="preserve">B1_P1 (18w)_2</t>
  </si>
  <si>
    <t xml:space="preserve">B1_P2 (18w)_2</t>
  </si>
  <si>
    <t xml:space="preserve">TAAGACAAGCAGCTGTTCTAATCGG</t>
  </si>
  <si>
    <t xml:space="preserve">ACTTGAGAGTTGATTATTCGATAAA</t>
  </si>
  <si>
    <t xml:space="preserve">S001-03</t>
  </si>
  <si>
    <t xml:space="preserve">18w_B1_P1_03</t>
  </si>
  <si>
    <t xml:space="preserve">GAGGAGGGCAGCAAACGGAAAAGCGTATAAGACCAATGAAAGTTC</t>
  </si>
  <si>
    <t xml:space="preserve">18w_B1_P2_03</t>
  </si>
  <si>
    <t xml:space="preserve">GCGTTATTGGATAAATTCAGAATGATAGAAGAGTCTTCCTTTACG</t>
  </si>
  <si>
    <t xml:space="preserve">B1_P1 (18w)_3</t>
  </si>
  <si>
    <t xml:space="preserve">B1_P2 (18w)_3</t>
  </si>
  <si>
    <t xml:space="preserve">AAGCGTATAAGACCAATGAAAGTTC</t>
  </si>
  <si>
    <t xml:space="preserve">GCGTTATTGGATAAATTCAGAATGA</t>
  </si>
  <si>
    <t xml:space="preserve">S001-04</t>
  </si>
  <si>
    <t xml:space="preserve">18w_B1_P1_04</t>
  </si>
  <si>
    <t xml:space="preserve">GAGGAGGGCAGCAAACGGAAAGAATAAATCCTTGAACGTCTTACC</t>
  </si>
  <si>
    <t xml:space="preserve">18w_B1_P2_04</t>
  </si>
  <si>
    <t xml:space="preserve">TATTTCTTAAATCTAATATTTGAAGTAGAAGAGTCTTCCTTTACG</t>
  </si>
  <si>
    <t xml:space="preserve">B1_P1 (18w)_4</t>
  </si>
  <si>
    <t xml:space="preserve">B1_P2 (18w)_4</t>
  </si>
  <si>
    <t xml:space="preserve">AGAATAAATCCTTGAACGTCTTACC</t>
  </si>
  <si>
    <t xml:space="preserve">TATTTCTTAAATCTAATATTTGAAG</t>
  </si>
  <si>
    <t xml:space="preserve">S001-05</t>
  </si>
  <si>
    <t xml:space="preserve">18w_B1_P1_05</t>
  </si>
  <si>
    <t xml:space="preserve">GAGGAGGGCAGCAAACGGAACAAAGGAAGGAAAGTATTCTCTTCA</t>
  </si>
  <si>
    <t xml:space="preserve">18w_B1_P2_05</t>
  </si>
  <si>
    <t xml:space="preserve">AGCTAAGTTTATAGTATGTAAATTATAGAAGAGTCTTCCTTTACG</t>
  </si>
  <si>
    <t xml:space="preserve">B1_P1 (18w)_5</t>
  </si>
  <si>
    <t xml:space="preserve">B1_P2 (18w)_5</t>
  </si>
  <si>
    <t xml:space="preserve">CAAAGGAAGGAAAGTATTCTCTTCA</t>
  </si>
  <si>
    <t xml:space="preserve">AGCTAAGTTTATAGTATGTAAATTA</t>
  </si>
  <si>
    <t xml:space="preserve">S001-06</t>
  </si>
  <si>
    <t xml:space="preserve">18w_B1_P1_06</t>
  </si>
  <si>
    <t xml:space="preserve">GAGGAGGGCAGCAAACGGAAGCCATTAAAAAGGAGCTCATCGATA</t>
  </si>
  <si>
    <t xml:space="preserve">18w_B1_P2_06</t>
  </si>
  <si>
    <t xml:space="preserve">TAAATTCAATTTACTTAAAACAAACTAGAAGAGTCTTCCTTTACG</t>
  </si>
  <si>
    <t xml:space="preserve">B1_P1 (18w)_6</t>
  </si>
  <si>
    <t xml:space="preserve">B1_P2 (18w)_6</t>
  </si>
  <si>
    <t xml:space="preserve">GCCATTAAAAAGGAGCTCATCGATA</t>
  </si>
  <si>
    <t xml:space="preserve">TAAATTCAATTTACTTAAAACAAAC</t>
  </si>
  <si>
    <t xml:space="preserve">S002-01</t>
  </si>
  <si>
    <t xml:space="preserve">al-like_B1_P1_01</t>
  </si>
  <si>
    <t xml:space="preserve">GAGGAGGGCAGCAAACGGAAGTCGTCTTTCGGTGGTTCTGATAGC</t>
  </si>
  <si>
    <t xml:space="preserve">al-like_B1_P2_01</t>
  </si>
  <si>
    <t xml:space="preserve">GGAGAGTTCTGGAGTAGTTCGAGGATAGAAGAGTCTTCCTTTACG</t>
  </si>
  <si>
    <t xml:space="preserve">B1_P1 (al_like)_1</t>
  </si>
  <si>
    <t xml:space="preserve">B1_P2 (al_like)_1</t>
  </si>
  <si>
    <t xml:space="preserve">GTCGTCTTTCGGTGGTTCTGATAGC</t>
  </si>
  <si>
    <t xml:space="preserve">GGAGAGTTCTGGAGTAGTTCGAGGA</t>
  </si>
  <si>
    <t xml:space="preserve">S002-02</t>
  </si>
  <si>
    <t xml:space="preserve">al-like_B1_P1_02</t>
  </si>
  <si>
    <t xml:space="preserve">GAGGAGGGCAGCAAACGGAAAGCCTAAAGGTGGTCTTTCCGAAGC</t>
  </si>
  <si>
    <t xml:space="preserve">al-like_B1_P2_02</t>
  </si>
  <si>
    <t xml:space="preserve">AGTCATCTGCATCATCGCTGTCAGCTAGAAGAGTCTTCCTTTACG</t>
  </si>
  <si>
    <t xml:space="preserve">B1_P1 (al_like)_2</t>
  </si>
  <si>
    <t xml:space="preserve">B1_P2 (al_like)_2</t>
  </si>
  <si>
    <t xml:space="preserve">AGCCTAAAGGTGGTCTTTCCGAAGC</t>
  </si>
  <si>
    <t xml:space="preserve">AGTCATCTGCATCATCGCTGTCAGC</t>
  </si>
  <si>
    <t xml:space="preserve">S002-03</t>
  </si>
  <si>
    <t xml:space="preserve">al-like_B1_P1_03</t>
  </si>
  <si>
    <t xml:space="preserve">GAGGAGGGCAGCAAACGGAAGGGGGGGCCGCACCCCCTAGGTAGG</t>
  </si>
  <si>
    <t xml:space="preserve">al-like_B1_P2_03</t>
  </si>
  <si>
    <t xml:space="preserve">GGGTTCGGCATGGACGCGACCGAGGTAGAAGAGTCTTCCTTTACG</t>
  </si>
  <si>
    <t xml:space="preserve">B1_P1 (al_like)_3</t>
  </si>
  <si>
    <t xml:space="preserve">B1_P2 (al_like)_3</t>
  </si>
  <si>
    <t xml:space="preserve">GGGGGGGCCGCACCCCCTAGGTAGG</t>
  </si>
  <si>
    <t xml:space="preserve">GGGTTCGGCATGGACGCGACCGAGG</t>
  </si>
  <si>
    <t xml:space="preserve">S002-04</t>
  </si>
  <si>
    <t xml:space="preserve">al-like_B1_P1_04</t>
  </si>
  <si>
    <t xml:space="preserve">GAGGAGGGCAGCAAACGGAAAGGCCCGCTAGCAGCGAATGAAAGG</t>
  </si>
  <si>
    <t xml:space="preserve">al-like_B1_P2_04</t>
  </si>
  <si>
    <t xml:space="preserve">TCAGGAGACTGTCGGGGGGGTGCTGTAGAAGAGTCTTCCTTTACG</t>
  </si>
  <si>
    <t xml:space="preserve">B1_P1 (al_like)_4</t>
  </si>
  <si>
    <t xml:space="preserve">B1_P2 (al_like)_4</t>
  </si>
  <si>
    <t xml:space="preserve">AGGCCCGCTAGCAGCGAATGAAAGG</t>
  </si>
  <si>
    <t xml:space="preserve">TCAGGAGACTGTCGGGGGGGTGCTG</t>
  </si>
  <si>
    <t xml:space="preserve">S003-01</t>
  </si>
  <si>
    <t xml:space="preserve">APC_B1_P1_01</t>
  </si>
  <si>
    <t xml:space="preserve">GAGGAGGGCAGCAAACGGAAAGAGTCCATACTGCTCCAGGTATCT</t>
  </si>
  <si>
    <t xml:space="preserve">APC_B1_P2_01</t>
  </si>
  <si>
    <t xml:space="preserve">TCCGGAGTCAGTCAATGGAGAATTATAGAAGAGTCTTCCTTTACG</t>
  </si>
  <si>
    <t xml:space="preserve">B1_P1 (APC)_1</t>
  </si>
  <si>
    <t xml:space="preserve">B1_P2 (APC)_1</t>
  </si>
  <si>
    <t xml:space="preserve">AGAGTCCATACTGCTCCAGGTATCT</t>
  </si>
  <si>
    <t xml:space="preserve">TCCGGAGTCAGTCAATGGAGAATTA</t>
  </si>
  <si>
    <t xml:space="preserve">P2 only</t>
  </si>
  <si>
    <t xml:space="preserve">S003-02</t>
  </si>
  <si>
    <t xml:space="preserve">APC_B1_P1_02</t>
  </si>
  <si>
    <t xml:space="preserve">GAGGAGGGCAGCAAACGGAAGTTCATTGGACGTGGAAGGGGGGCA</t>
  </si>
  <si>
    <t xml:space="preserve">APC_B1_P2_02</t>
  </si>
  <si>
    <t xml:space="preserve">AAGAGGCCTGTACAGGCCTCCGGGGTAGAAGAGTCTTCCTTTACG</t>
  </si>
  <si>
    <t xml:space="preserve">B1_P1 (APC)_2</t>
  </si>
  <si>
    <t xml:space="preserve">B1_P2 (APC)_2</t>
  </si>
  <si>
    <t xml:space="preserve">GTTCATTGGACGTGGAAGGGGGGCA</t>
  </si>
  <si>
    <t xml:space="preserve">AAGAGGCCTGTACAGGCCTCCGGGG</t>
  </si>
  <si>
    <t xml:space="preserve">S003-03</t>
  </si>
  <si>
    <t xml:space="preserve">APC_B1_P1_03</t>
  </si>
  <si>
    <t xml:space="preserve">GAGGAGGGCAGCAAACGGAATCTTTTGGGTCCGCTGTGCAGCGCG</t>
  </si>
  <si>
    <t xml:space="preserve">APC_B1_P2_03</t>
  </si>
  <si>
    <t xml:space="preserve">ACATTTTTAGGATATTTGGATTTGGTAGAAGAGTCTTCCTTTACG</t>
  </si>
  <si>
    <t xml:space="preserve">B1_P1 (APC)_3</t>
  </si>
  <si>
    <t xml:space="preserve">B1_P2 (APC)_3</t>
  </si>
  <si>
    <t xml:space="preserve">TCTTTTGGGTCCGCTGTGCAGCGCG</t>
  </si>
  <si>
    <t xml:space="preserve">ACATTTTTAGGATATTTGGATTTGG</t>
  </si>
  <si>
    <t xml:space="preserve">S004-01</t>
  </si>
  <si>
    <t xml:space="preserve">araucan_B1_P1_01</t>
  </si>
  <si>
    <t xml:space="preserve">GAGGAGGGCAGCAAACGGAACCGCCAGCGACCCCCGACCCGCCGG</t>
  </si>
  <si>
    <t xml:space="preserve">araucan_B1_P2_01</t>
  </si>
  <si>
    <t xml:space="preserve">TGCGAGCCGGCCCCCGGTGACAGTGTAGAAGAGTCTTCCTTTACG</t>
  </si>
  <si>
    <t xml:space="preserve">B1_P1 (araucan)_1</t>
  </si>
  <si>
    <t xml:space="preserve">B1_P2 (araucan)_1</t>
  </si>
  <si>
    <t xml:space="preserve">CCGCCAGCGACCCCCGACCCGCCGG</t>
  </si>
  <si>
    <t xml:space="preserve">TGCGAGCCGGCCCCCGGTGACAGTG</t>
  </si>
  <si>
    <t xml:space="preserve">S004-02</t>
  </si>
  <si>
    <t xml:space="preserve">araucan_B1_P1_02</t>
  </si>
  <si>
    <t xml:space="preserve">GAGGAGGGCAGCAAACGGAAGGGGCGCGGGGTGTCGCAGCACGGC</t>
  </si>
  <si>
    <t xml:space="preserve">araucan_B1_P2_02</t>
  </si>
  <si>
    <t xml:space="preserve">CTGGCCGGACACGGGGTCGGTGATGTAGAAGAGTCTTCCTTTACG</t>
  </si>
  <si>
    <t xml:space="preserve">B1_P1 (araucan)_2</t>
  </si>
  <si>
    <t xml:space="preserve">B1_P2 (araucan)_2</t>
  </si>
  <si>
    <t xml:space="preserve">GGGGCGCGGGGTGTCGCAGCACGGC</t>
  </si>
  <si>
    <t xml:space="preserve">CTGGCCGGACACGGGGTCGGTGATG</t>
  </si>
  <si>
    <t xml:space="preserve">S004-03</t>
  </si>
  <si>
    <t xml:space="preserve">araucan_B1_P1_03</t>
  </si>
  <si>
    <t xml:space="preserve">GAGGAGGGCAGCAAACGGAAATGAGAGCGCTAGCCGGGCGTCGTA</t>
  </si>
  <si>
    <t xml:space="preserve">araucan_B1_P2_03</t>
  </si>
  <si>
    <t xml:space="preserve">CCGCGGCGCTGGACAAGCGCGGGTATAGAAGAGTCTTCCTTTACG</t>
  </si>
  <si>
    <t xml:space="preserve">B1_P1 (araucan)_3</t>
  </si>
  <si>
    <t xml:space="preserve">B1_P2 (araucan)_3</t>
  </si>
  <si>
    <t xml:space="preserve">ATGAGAGCGCTAGCCGGGCGTCGTA</t>
  </si>
  <si>
    <t xml:space="preserve">CCGCGGCGCTGGACAAGCGCGGGTA</t>
  </si>
  <si>
    <t xml:space="preserve">S004-04</t>
  </si>
  <si>
    <t xml:space="preserve">araucan_B1_P1_04</t>
  </si>
  <si>
    <t xml:space="preserve">GAGGAGGGCAGCAAACGGAAGGGTTCTGATCCGTGGACGGGTACG</t>
  </si>
  <si>
    <t xml:space="preserve">araucan_B1_P2_04</t>
  </si>
  <si>
    <t xml:space="preserve">GAACTGTCAACCCCGATGCTGGGGTTAGAAGAGTCTTCCTTTACG</t>
  </si>
  <si>
    <t xml:space="preserve">B1_P1 (araucan)_4</t>
  </si>
  <si>
    <t xml:space="preserve">B1_P2 (araucan)_4</t>
  </si>
  <si>
    <t xml:space="preserve">GGGTTCTGATCCGTGGACGGGTACG</t>
  </si>
  <si>
    <t xml:space="preserve">GAACTGTCAACCCCGATGCTGGGGT</t>
  </si>
  <si>
    <t xml:space="preserve">S004-05</t>
  </si>
  <si>
    <t xml:space="preserve">araucan_B1_P1_05</t>
  </si>
  <si>
    <t xml:space="preserve">GAGGAGGGCAGCAAACGGAACTCTTTCAGAGCGTACGGGTTGCTC</t>
  </si>
  <si>
    <t xml:space="preserve">araucan_B1_P2_05</t>
  </si>
  <si>
    <t xml:space="preserve">TGTCCAAGCTGACATCTCGCCGTTTTAGAAGAGTCTTCCTTTACG</t>
  </si>
  <si>
    <t xml:space="preserve">B1_P1 (araucan)_5</t>
  </si>
  <si>
    <t xml:space="preserve">B1_P2 (araucan)_5</t>
  </si>
  <si>
    <t xml:space="preserve">CTCTTTCAGAGCGTACGGGTTGCTC</t>
  </si>
  <si>
    <t xml:space="preserve">TGTCCAAGCTGACATCTCGCCGTTT</t>
  </si>
  <si>
    <t xml:space="preserve">S004-06</t>
  </si>
  <si>
    <t xml:space="preserve">araucan_B1_P1_06</t>
  </si>
  <si>
    <t xml:space="preserve">GAGGAGGGCAGCAAACGGAAGGTCGTAGGGGTAGTAGCCGCCGGA</t>
  </si>
  <si>
    <t xml:space="preserve">araucan_B1_P2_06</t>
  </si>
  <si>
    <t xml:space="preserve">CTCCGTATCCGTAGGCCGCGAGCGTTAGAAGAGTCTTCCTTTACG</t>
  </si>
  <si>
    <t xml:space="preserve">B1_P1 (araucan)_6</t>
  </si>
  <si>
    <t xml:space="preserve">B1_P2 (araucan)_6</t>
  </si>
  <si>
    <t xml:space="preserve">GGTCGTAGGGGTAGTAGCCGCCGGA</t>
  </si>
  <si>
    <t xml:space="preserve">CTCCGTATCCGTAGGCCGCGAGCGT</t>
  </si>
  <si>
    <t xml:space="preserve">S005-01</t>
  </si>
  <si>
    <t xml:space="preserve">aristaless_B1_P1_01</t>
  </si>
  <si>
    <t xml:space="preserve">GAGGAGGGCAGCAAACGGAAAGTTGAGGAGCAGTTTGGTTCTGAT</t>
  </si>
  <si>
    <t xml:space="preserve">aristaless_B1_P2_01</t>
  </si>
  <si>
    <t xml:space="preserve">CTCCGGGTCGTGAGGGGGAAGGTCGTAGAAGAGTCTTCCTTTACG</t>
  </si>
  <si>
    <t xml:space="preserve">Arl1_HCR_P1B1</t>
  </si>
  <si>
    <t xml:space="preserve">Arl1_HCR_P2B1</t>
  </si>
  <si>
    <t xml:space="preserve">AGTTGAGGAGCAGTTTGGTTCTGAT</t>
  </si>
  <si>
    <t xml:space="preserve">CTCCGGGTCGTGAGGGGGAAGGTCG</t>
  </si>
  <si>
    <t xml:space="preserve">S005-02</t>
  </si>
  <si>
    <t xml:space="preserve">aristaless_B1_P1_02</t>
  </si>
  <si>
    <t xml:space="preserve">GAGGAGGGCAGCAAACGGAAGAATGTCCTCGTCATCCATGCCGCT</t>
  </si>
  <si>
    <t xml:space="preserve">aristaless_B1_P2_02</t>
  </si>
  <si>
    <t xml:space="preserve">TCCTATACCGCCTCTGCTTCCTTCTTAGAAGAGTCTTCCTTTACG</t>
  </si>
  <si>
    <t xml:space="preserve">Arl2_HCR_P1B1</t>
  </si>
  <si>
    <t xml:space="preserve">Arl2_HCR_P2B1</t>
  </si>
  <si>
    <t xml:space="preserve">GAATGTCCTCGTCATCCATGCCGCT</t>
  </si>
  <si>
    <t xml:space="preserve">TCCTATACCGCCTCTGCTTCCTTCT</t>
  </si>
  <si>
    <t xml:space="preserve">S005-03</t>
  </si>
  <si>
    <t xml:space="preserve">aristaless_B1_P1_03</t>
  </si>
  <si>
    <t xml:space="preserve">GAGGAGGGCAGCAAACGGAACTTCTCCAGTTCGTCGAGCTGGTAG</t>
  </si>
  <si>
    <t xml:space="preserve">aristaless_B1_P2_03</t>
  </si>
  <si>
    <t xml:space="preserve">ATCAGGATAATGCGTCCTCCCAAAATAGAAGAGTCTTCCTTTACG</t>
  </si>
  <si>
    <t xml:space="preserve">Arl3_HCR_P1B1</t>
  </si>
  <si>
    <t xml:space="preserve">Arl3_HCR_P2B1</t>
  </si>
  <si>
    <t xml:space="preserve">CTTCTCCAGTTCGTCGAGCTGGTAG</t>
  </si>
  <si>
    <t xml:space="preserve">ATCAGGATAATGCGTCCTCCCAAAA</t>
  </si>
  <si>
    <t xml:space="preserve">S005-04</t>
  </si>
  <si>
    <t xml:space="preserve">aristaless_B1_P1_04</t>
  </si>
  <si>
    <t xml:space="preserve">GAGGAGGGCAGCAAACGGAAGAGGCCAATTTTCAAAGCTAACTCC</t>
  </si>
  <si>
    <t xml:space="preserve">aristaless_B1_P2_04</t>
  </si>
  <si>
    <t xml:space="preserve">GAACCACACCTGTATTCTTGCTTCTTAGAAGAGTCTTCCTTTACG</t>
  </si>
  <si>
    <t xml:space="preserve">Arl4_HCR_P1B1</t>
  </si>
  <si>
    <t xml:space="preserve">Arl4_HCR_P2B1</t>
  </si>
  <si>
    <t xml:space="preserve">GAGGCCAATTTTCAAAGCTAACTCC</t>
  </si>
  <si>
    <t xml:space="preserve">GAACCACACCTGTATTCTTGCTTCT</t>
  </si>
  <si>
    <t xml:space="preserve">S005-05</t>
  </si>
  <si>
    <t xml:space="preserve">aristaless_B1_P1_05</t>
  </si>
  <si>
    <t xml:space="preserve">GAGGAGGGCAGCAAACGGAAACCTTCTCCTGCTTACGCCATTTCG</t>
  </si>
  <si>
    <t xml:space="preserve">aristaless_B1_P2_05</t>
  </si>
  <si>
    <t xml:space="preserve">CCGCTATACGGATGTGCATGGGGCCTAGAAGAGTCTTCCTTTACG</t>
  </si>
  <si>
    <t xml:space="preserve">Arl5_HCR_P1B1</t>
  </si>
  <si>
    <t xml:space="preserve">Arl5_HCR_P2B1</t>
  </si>
  <si>
    <t xml:space="preserve">ACCTTCTCCTGCTTACGCCATTTCG</t>
  </si>
  <si>
    <t xml:space="preserve">CCGCTATACGGATGTGCATGGGGCC</t>
  </si>
  <si>
    <t xml:space="preserve">S005-06</t>
  </si>
  <si>
    <t xml:space="preserve">aristaless_B1_P1_06</t>
  </si>
  <si>
    <t xml:space="preserve">GAGGAGGGCAGCAAACGGAAATAGATGTAGTCGGTAATGGCTGCC</t>
  </si>
  <si>
    <t xml:space="preserve">aristaless_B1_P2_06</t>
  </si>
  <si>
    <t xml:space="preserve">TGACTGAACGAATGCGGTGGAACTGTAGAAGAGTCTTCCTTTACG</t>
  </si>
  <si>
    <t xml:space="preserve">Arl6_HCR_P1B1</t>
  </si>
  <si>
    <t xml:space="preserve">Arl6_HCR_P2B1</t>
  </si>
  <si>
    <t xml:space="preserve">ATAGATGTAGTCGGTAATGGCTGCC</t>
  </si>
  <si>
    <t xml:space="preserve">TGACTGAACGAATGCGGTGGAACTG</t>
  </si>
  <si>
    <t xml:space="preserve">S005-07</t>
  </si>
  <si>
    <t xml:space="preserve">aristaless_B1_P1_07</t>
  </si>
  <si>
    <t xml:space="preserve">GAGGAGGGCAGCAAACGGAAGGAGGACGAGAAAGCGGCGGAAGGT</t>
  </si>
  <si>
    <t xml:space="preserve">aristaless_B1_P2_07</t>
  </si>
  <si>
    <t xml:space="preserve">GTAGCGTATAGTGGAGCCCCGAAAATAGAAGAGTCTTCCTTTACG</t>
  </si>
  <si>
    <t xml:space="preserve">Arl7_HCR_P1B1</t>
  </si>
  <si>
    <t xml:space="preserve">Arl7_HCR_P2B1</t>
  </si>
  <si>
    <t xml:space="preserve">GGAGGACGAGAAAGCGGCGGAAGGT</t>
  </si>
  <si>
    <t xml:space="preserve">GTAGCGTATAGTGGAGCCCCGAAAA</t>
  </si>
  <si>
    <t xml:space="preserve">S005-08</t>
  </si>
  <si>
    <t xml:space="preserve">aristaless_B1_P1_08</t>
  </si>
  <si>
    <t xml:space="preserve">GAGGAGGGCAGCAAACGGAATACGGTTAGATTGGCGAACAGAGAG</t>
  </si>
  <si>
    <t xml:space="preserve">aristaless_B1_P2_08</t>
  </si>
  <si>
    <t xml:space="preserve">TTCAGGTGAAATTCGAGGTAGTTCGTAGAAGAGTCTTCCTTTACG</t>
  </si>
  <si>
    <t xml:space="preserve">Arl8_HCR_P1B1</t>
  </si>
  <si>
    <t xml:space="preserve">Arl8_HCR_P2B1</t>
  </si>
  <si>
    <t xml:space="preserve">TACGGTTAGATTGGCGAACAGAGAG</t>
  </si>
  <si>
    <t xml:space="preserve">TTCAGGTGAAATTCGAGGTAGTTCG</t>
  </si>
  <si>
    <t xml:space="preserve">P1 only</t>
  </si>
  <si>
    <t xml:space="preserve">S005-09</t>
  </si>
  <si>
    <t xml:space="preserve">aristaless_B1_P1_09</t>
  </si>
  <si>
    <t xml:space="preserve">GAGGAGGGCAGCAAACGGAAGGTGCTGGCGATCGAGTTACTTCGG</t>
  </si>
  <si>
    <t xml:space="preserve">aristaless_B1_P2_09</t>
  </si>
  <si>
    <t xml:space="preserve">CCTGGTGATATTGGAGGGGAGATCGTAGAAGAGTCTTCCTTTACG</t>
  </si>
  <si>
    <t xml:space="preserve">Arl9_HCR_P1B1</t>
  </si>
  <si>
    <t xml:space="preserve">Arl9_HCR_P2B1</t>
  </si>
  <si>
    <t xml:space="preserve">GGTGCTGGCGATCGAGTTACTTCGG</t>
  </si>
  <si>
    <t xml:space="preserve">CCTGGTGATATTGGAGGGGAGATCG</t>
  </si>
  <si>
    <t xml:space="preserve">S005-10</t>
  </si>
  <si>
    <t xml:space="preserve">aristaless_B1_P1_10</t>
  </si>
  <si>
    <t xml:space="preserve">GAGGAGGGCAGCAAACGGAAGGAACTCCTAACATCTTCAGATGGG</t>
  </si>
  <si>
    <t xml:space="preserve">aristaless_B1_P2_10</t>
  </si>
  <si>
    <t xml:space="preserve">AGCAGCTAATCTTAATGCTGCTATGTAGAAGAGTCTTCCTTTACG</t>
  </si>
  <si>
    <t xml:space="preserve">Arl10_HCR_P1B1</t>
  </si>
  <si>
    <t xml:space="preserve">Arl10_HCR_P2B1</t>
  </si>
  <si>
    <t xml:space="preserve">GGAACTCCTAACATCTTCAGATGGG</t>
  </si>
  <si>
    <t xml:space="preserve">AGCAGCTAATCTTAATGCTGCTATG</t>
  </si>
  <si>
    <t xml:space="preserve">S006-01</t>
  </si>
  <si>
    <t xml:space="preserve">arm_B1_P1_01</t>
  </si>
  <si>
    <t xml:space="preserve">GAGGAGGGCAGCAAACGGAACCTTCCATCTCGTCATCTTCTTTGC</t>
  </si>
  <si>
    <t xml:space="preserve">arm_B1_P2_01</t>
  </si>
  <si>
    <t xml:space="preserve">TGGTCCAGATCAAACATGAGCTGATTAGAAGAGTCTTCCTTTACG</t>
  </si>
  <si>
    <t xml:space="preserve">arm1_HCR_P1B1</t>
  </si>
  <si>
    <t xml:space="preserve">arm1_HCR_P2B1</t>
  </si>
  <si>
    <t xml:space="preserve">CCTTCCATCTCGTCATCTTCTTTGC</t>
  </si>
  <si>
    <t xml:space="preserve">TGGTCCAGATCAAACATGAGCTGAT</t>
  </si>
  <si>
    <t xml:space="preserve">S006-02</t>
  </si>
  <si>
    <t xml:space="preserve">arm_B1_P1_02</t>
  </si>
  <si>
    <t xml:space="preserve">GAGGAGGGCAGCAAACGGAAAACATAGCAGCGCGCACACGCTGGG</t>
  </si>
  <si>
    <t xml:space="preserve">arm_B1_P2_02</t>
  </si>
  <si>
    <t xml:space="preserve">TCAATGCCCTCCTCCAGAGTCTCTGTAGAAGAGTCTTCCTTTACG</t>
  </si>
  <si>
    <t xml:space="preserve">arm2_HCR_P1B1</t>
  </si>
  <si>
    <t xml:space="preserve">arm2_HCR_P2B1</t>
  </si>
  <si>
    <t xml:space="preserve">AACATAGCAGCGCGCACACGCTGGG</t>
  </si>
  <si>
    <t xml:space="preserve">TCAATGCCCTCCTCCAGAGTCTCTG</t>
  </si>
  <si>
    <t xml:space="preserve">S006-03</t>
  </si>
  <si>
    <t xml:space="preserve">arm_B1_P1_03</t>
  </si>
  <si>
    <t xml:space="preserve">GAGGAGGGCAGCAAACGGAAAGATTGACAACAGCATGTTTCAACA</t>
  </si>
  <si>
    <t xml:space="preserve">arm_B1_P2_03</t>
  </si>
  <si>
    <t xml:space="preserve">AAATCAGCATCATCTTGATAATTAATAGAAGAGTCTTCCTTTACG</t>
  </si>
  <si>
    <t xml:space="preserve">arm3_HCR_P1B1</t>
  </si>
  <si>
    <t xml:space="preserve">arm3_HCR_P2B1</t>
  </si>
  <si>
    <t xml:space="preserve">AGATTGACAACAGCATGTTTCAACA</t>
  </si>
  <si>
    <t xml:space="preserve">AAATCAGCATCATCTTGATAATTAA</t>
  </si>
  <si>
    <t xml:space="preserve">S006-04</t>
  </si>
  <si>
    <t xml:space="preserve">arm_B1_P1_04</t>
  </si>
  <si>
    <t xml:space="preserve">GAGGAGGGCAGCAAACGGAAACAACTGGTGAACCATCATGGCAGC</t>
  </si>
  <si>
    <t xml:space="preserve">arm_B1_P2_04</t>
  </si>
  <si>
    <t xml:space="preserve">TAGCATGCCGCGAAGCCTCCTTCTTTAGAAGAGTCTTCCTTTACG</t>
  </si>
  <si>
    <t xml:space="preserve">arm4_HCR_P1B1</t>
  </si>
  <si>
    <t xml:space="preserve">arm4_HCR_P2B1</t>
  </si>
  <si>
    <t xml:space="preserve">ACAACTGGTGAACCATCATGGCAGC</t>
  </si>
  <si>
    <t xml:space="preserve">TAGCATGCCGCGAAGCCTCCTTCTT</t>
  </si>
  <si>
    <t xml:space="preserve">S006-05</t>
  </si>
  <si>
    <t xml:space="preserve">arm_B1_P1_05</t>
  </si>
  <si>
    <t xml:space="preserve">GAGGAGGGCAGCAAACGGAACAAGGTCCCAACTGCCCCTTTGGTT</t>
  </si>
  <si>
    <t xml:space="preserve">arm_B1_P2_05</t>
  </si>
  <si>
    <t xml:space="preserve">ACCTTGTCGGTGGTGAGACAAGTTGTAGAAGAGTCTTCCTTTACG</t>
  </si>
  <si>
    <t xml:space="preserve">arm5_HCR_P1B1</t>
  </si>
  <si>
    <t xml:space="preserve">arm5_HCR_P2B1</t>
  </si>
  <si>
    <t xml:space="preserve">CAAGGTCCCAACTGCCCCTTTGGTT</t>
  </si>
  <si>
    <t xml:space="preserve">ACCTTGTCGGTGGTGAGACAAGTTG</t>
  </si>
  <si>
    <t xml:space="preserve">S006-06</t>
  </si>
  <si>
    <t xml:space="preserve">arm_B1_P1_06</t>
  </si>
  <si>
    <t xml:space="preserve">GAGGAGGGCAGCAAACGGAAAGGTCGTAATGGCATAGAACAACAC</t>
  </si>
  <si>
    <t xml:space="preserve">arm_B1_P2_06</t>
  </si>
  <si>
    <t xml:space="preserve">CATCTTGGTGCAGTAAAAGGTTATGTAGAAGAGTCTTCCTTTACG</t>
  </si>
  <si>
    <t xml:space="preserve">arm6_HCR_P1B1</t>
  </si>
  <si>
    <t xml:space="preserve">arm6_HCR_P2B1</t>
  </si>
  <si>
    <t xml:space="preserve">AGGTCGTAATGGCATAGAACAACAC</t>
  </si>
  <si>
    <t xml:space="preserve">CATCTTGGTGCAGTAAAAGGTTATG</t>
  </si>
  <si>
    <t xml:space="preserve">S006-07</t>
  </si>
  <si>
    <t xml:space="preserve">arm_B1_P1_07</t>
  </si>
  <si>
    <t xml:space="preserve">GAGGAGGGCAGCAAACGGAATCGGTAACAATTGCCAGGAACTTCA</t>
  </si>
  <si>
    <t xml:space="preserve">arm_B1_P2_07</t>
  </si>
  <si>
    <t xml:space="preserve">TTCCCATACGCCAATATCTGGAGACTAGAAGAGTCTTCCTTTACG</t>
  </si>
  <si>
    <t xml:space="preserve">arm7_HCR_P1B1</t>
  </si>
  <si>
    <t xml:space="preserve">arm7_HCR_P2B1</t>
  </si>
  <si>
    <t xml:space="preserve">TCGGTAACAATTGCCAGGAACTTCA</t>
  </si>
  <si>
    <t xml:space="preserve">TTCCCATACGCCAATATCTGGAGAC</t>
  </si>
  <si>
    <t xml:space="preserve">S007-01</t>
  </si>
  <si>
    <t xml:space="preserve">bab1_B1_P1_01</t>
  </si>
  <si>
    <t xml:space="preserve">GAGGAGGGCAGCAAACGGAACATCGCCCCGGGGTCTTCCTCGGCC</t>
  </si>
  <si>
    <t xml:space="preserve">bab1_B1_P2_01</t>
  </si>
  <si>
    <t xml:space="preserve">CGAGCCGTCGGCGGCTTCGCGGCCGTAGAAGAGTCTTCCTTTACG</t>
  </si>
  <si>
    <t xml:space="preserve">B1_P1 (bab1)_1</t>
  </si>
  <si>
    <t xml:space="preserve">B1_P2 (bab1)_1</t>
  </si>
  <si>
    <t xml:space="preserve">CATCGCCCCGGGGTCTTCCTCGGCC</t>
  </si>
  <si>
    <t xml:space="preserve">CGAGCCGTCGGCGGCTTCGCGGCCG</t>
  </si>
  <si>
    <t xml:space="preserve">S007-02</t>
  </si>
  <si>
    <t xml:space="preserve">bab1_B1_P1_02</t>
  </si>
  <si>
    <t xml:space="preserve">GAGGAGGGCAGCAAACGGAAGGTTGGCCTGGTAGTTGTTCCATCG</t>
  </si>
  <si>
    <t xml:space="preserve">bab1_B1_P2_02</t>
  </si>
  <si>
    <t xml:space="preserve">GCAGCAGCTGGTCGAAGCAGGTGGCTAGAAGAGTCTTCCTTTACG</t>
  </si>
  <si>
    <t xml:space="preserve">B1_P1 (bab1)_2</t>
  </si>
  <si>
    <t xml:space="preserve">B1_P2 (bab1)_2</t>
  </si>
  <si>
    <t xml:space="preserve">GGTTGGCCTGGTAGTTGTTCCATCG</t>
  </si>
  <si>
    <t xml:space="preserve">GCAGCAGCTGGTCGAAGCAGGTGGC</t>
  </si>
  <si>
    <t xml:space="preserve">S007-03</t>
  </si>
  <si>
    <t xml:space="preserve">bab1_B1_P1_03</t>
  </si>
  <si>
    <t xml:space="preserve">GAGGAGGGCAGCAAACGGAACGGCCCTCGCACGCCAGCGTCACGT</t>
  </si>
  <si>
    <t xml:space="preserve">bab1_B1_P2_03</t>
  </si>
  <si>
    <t xml:space="preserve">AGCACCACCTTGTGCGCCTTCAGGCTAGAAGAGTCTTCCTTTACG</t>
  </si>
  <si>
    <t xml:space="preserve">B1_P1 (bab1)_3</t>
  </si>
  <si>
    <t xml:space="preserve">B1_P2 (bab1)_3</t>
  </si>
  <si>
    <t xml:space="preserve">CGGCCCTCGCACGCCAGCGTCACGT</t>
  </si>
  <si>
    <t xml:space="preserve">AGCACCACCTTGTGCGCCTTCAGGC</t>
  </si>
  <si>
    <t xml:space="preserve">S007-04</t>
  </si>
  <si>
    <t xml:space="preserve">bab1_B1_P1_04</t>
  </si>
  <si>
    <t xml:space="preserve">GAGGAGGGCAGCAAACGGAAGTTCTCCGTGAACAGCGTCTGGAAG</t>
  </si>
  <si>
    <t xml:space="preserve">bab1_B1_P2_04</t>
  </si>
  <si>
    <t xml:space="preserve">CATGATGACGATCGGGTGCCGGCACTAGAAGAGTCTTCCTTTACG</t>
  </si>
  <si>
    <t xml:space="preserve">B1_P1 (bab1)_4</t>
  </si>
  <si>
    <t xml:space="preserve">B1_P2 (bab1)_4</t>
  </si>
  <si>
    <t xml:space="preserve">GTTCTCCGTGAACAGCGTCTGGAAG</t>
  </si>
  <si>
    <t xml:space="preserve">CATGATGACGATCGGGTGCCGGCAC</t>
  </si>
  <si>
    <t xml:space="preserve">S007-05</t>
  </si>
  <si>
    <t xml:space="preserve">bab1_B1_P1_05</t>
  </si>
  <si>
    <t xml:space="preserve">GAGGAGGGCAGCAAACGGAATGAAGTCCACCACCGCCTTCAGGTC</t>
  </si>
  <si>
    <t xml:space="preserve">bab1_B1_P2_05</t>
  </si>
  <si>
    <t xml:space="preserve">GCGACACGTTGATCTCGCCGCGGTATAGAAGAGTCTTCCTTTACG</t>
  </si>
  <si>
    <t xml:space="preserve">B1_P1 (bab1)_5</t>
  </si>
  <si>
    <t xml:space="preserve">B1_P2 (bab1)_5</t>
  </si>
  <si>
    <t xml:space="preserve">TGAAGTCCACCACCGCCTTCAGGTC</t>
  </si>
  <si>
    <t xml:space="preserve">GCGACACGTTGATCTCGCCGCGGTA</t>
  </si>
  <si>
    <t xml:space="preserve">S007-06</t>
  </si>
  <si>
    <t xml:space="preserve">bab1_B1_P1_06</t>
  </si>
  <si>
    <t xml:space="preserve">GAGGAGGGCAGCAAACGGAATTCAGCGTTTCCGCCACCTGCAGCA</t>
  </si>
  <si>
    <t xml:space="preserve">bab1_B1_P2_06</t>
  </si>
  <si>
    <t xml:space="preserve">CCGCTCACGTCCGTCAGCCCGCGCATAGAAGAGTCTTCCTTTACG</t>
  </si>
  <si>
    <t xml:space="preserve">B1_P1 (bab1)_6</t>
  </si>
  <si>
    <t xml:space="preserve">B1_P2 (bab1)_6</t>
  </si>
  <si>
    <t xml:space="preserve">TTCAGCGTTTCCGCCACCTGCAGCA</t>
  </si>
  <si>
    <t xml:space="preserve">CCGCTCACGTCCGTCAGCCCGCGCA</t>
  </si>
  <si>
    <t xml:space="preserve">S008-01</t>
  </si>
  <si>
    <t xml:space="preserve">brinker_B1_P1_01</t>
  </si>
  <si>
    <t xml:space="preserve">GAGGAGGGCAGCAAACGGAACTTGCAGCTTGAACTGCGGAGGGAA</t>
  </si>
  <si>
    <t xml:space="preserve">brinker_B1_P2_01</t>
  </si>
  <si>
    <t xml:space="preserve">GCGCGTCGCGCCTGTACGCGTCGAGTAGAAGAGTCTTCCTTTACG</t>
  </si>
  <si>
    <t xml:space="preserve">B1_P1 (brinker)_1</t>
  </si>
  <si>
    <t xml:space="preserve">B1_P2 (brinker)_1</t>
  </si>
  <si>
    <t xml:space="preserve">CTTGCAGCTTGAACTGCGGAGGGAA</t>
  </si>
  <si>
    <t xml:space="preserve">GCGCGTCGCGCCTGTACGCGTCGAG</t>
  </si>
  <si>
    <t xml:space="preserve">S008-02</t>
  </si>
  <si>
    <t xml:space="preserve">brinker_B1_P1_02</t>
  </si>
  <si>
    <t xml:space="preserve">GAGGAGGGCAGCAAACGGAAATGCCGAACTTCCTGGCGGTGGCGC</t>
  </si>
  <si>
    <t xml:space="preserve">brinker_B1_P2_02</t>
  </si>
  <si>
    <t xml:space="preserve">AGCCACTTCTGTATCTGGCGGCGGTTAGAAGAGTCTTCCTTTACG</t>
  </si>
  <si>
    <t xml:space="preserve">B1_P1 (brinker)_2</t>
  </si>
  <si>
    <t xml:space="preserve">B1_P2 (brinker)_2</t>
  </si>
  <si>
    <t xml:space="preserve">ATGCCGAACTTCCTGGCGGTGGCGC</t>
  </si>
  <si>
    <t xml:space="preserve">AGCCACTTCTGTATCTGGCGGCGGT</t>
  </si>
  <si>
    <t xml:space="preserve">S008-03</t>
  </si>
  <si>
    <t xml:space="preserve">brinker_B1_P1_03</t>
  </si>
  <si>
    <t xml:space="preserve">GAGGAGGGCAGCAAACGGAACGCCCGCCTCAGCAGCGCCGCTCGC</t>
  </si>
  <si>
    <t xml:space="preserve">brinker_B1_P2_03</t>
  </si>
  <si>
    <t xml:space="preserve">CGGCGGCGGCGACGGGGCCGGCTGCTAGAAGAGTCTTCCTTTACG</t>
  </si>
  <si>
    <t xml:space="preserve">B1_P1 (brinker)_3</t>
  </si>
  <si>
    <t xml:space="preserve">B1_P2 (brinker)_3</t>
  </si>
  <si>
    <t xml:space="preserve">CGCCCGCCTCAGCAGCGCCGCTCGC</t>
  </si>
  <si>
    <t xml:space="preserve">CGGCGGCGGCGACGGGGCCGGCTGC</t>
  </si>
  <si>
    <t xml:space="preserve">S008-04</t>
  </si>
  <si>
    <t xml:space="preserve">brinker_B1_P1_04</t>
  </si>
  <si>
    <t xml:space="preserve">GAGGAGGGCAGCAAACGGAAGCGGCGACGGCAGCCTGGCGCTCTC</t>
  </si>
  <si>
    <t xml:space="preserve">brinker_B1_P2_04</t>
  </si>
  <si>
    <t xml:space="preserve">GCGTGGGCGGCGCGGCGGGCGCCGGTAGAAGAGTCTTCCTTTACG</t>
  </si>
  <si>
    <t xml:space="preserve">B1_P1 (brinker)_4</t>
  </si>
  <si>
    <t xml:space="preserve">B1_P2 (brinker)_4</t>
  </si>
  <si>
    <t xml:space="preserve">GCGGCGACGGCAGCCTGGCGCTCTC</t>
  </si>
  <si>
    <t xml:space="preserve">GCGTGGGCGGCGCGGCGGGCGCCGG</t>
  </si>
  <si>
    <t xml:space="preserve">S008-05</t>
  </si>
  <si>
    <t xml:space="preserve">brinker_B1_P1_05</t>
  </si>
  <si>
    <t xml:space="preserve">GAGGAGGGCAGCAAACGGAAGGGATCGGCGCGGGCAGCGGCGTGG</t>
  </si>
  <si>
    <t xml:space="preserve">brinker_B1_P2_05</t>
  </si>
  <si>
    <t xml:space="preserve">ATGGGCTCCGTCGCGGGCGCGATCATAGAAGAGTCTTCCTTTACG</t>
  </si>
  <si>
    <t xml:space="preserve">B1_P1 (brinker)_5</t>
  </si>
  <si>
    <t xml:space="preserve">B1_P2 (brinker)_5</t>
  </si>
  <si>
    <t xml:space="preserve">GGGATCGGCGCGGGCAGCGGCGTGG</t>
  </si>
  <si>
    <t xml:space="preserve">ATGGGCTCCGTCGCGGGCGCGATCA</t>
  </si>
  <si>
    <t xml:space="preserve">S008-06</t>
  </si>
  <si>
    <t xml:space="preserve">brinker_B1_P1_06</t>
  </si>
  <si>
    <t xml:space="preserve">GAGGAGGGCAGCAAACGGAACGGCGGCGGCGCGGGCGCTGCCAGC</t>
  </si>
  <si>
    <t xml:space="preserve">brinker_B1_P2_06</t>
  </si>
  <si>
    <t xml:space="preserve">GAAGGGTTTGCGGGGCTCGGGGGCGTAGAAGAGTCTTCCTTTACG</t>
  </si>
  <si>
    <t xml:space="preserve">B1_P1 (brinker)_6</t>
  </si>
  <si>
    <t xml:space="preserve">B1_P2 (brinker)_6</t>
  </si>
  <si>
    <t xml:space="preserve">CGGCGGCGGCGCGGGCGCTGCCAGC</t>
  </si>
  <si>
    <t xml:space="preserve">GAAGGGTTTGCGGGGCTCGGGGGCG</t>
  </si>
  <si>
    <t xml:space="preserve">S008-07</t>
  </si>
  <si>
    <t xml:space="preserve">brinker_B1_P1_07</t>
  </si>
  <si>
    <t xml:space="preserve">GAGGAGGGCAGCAAACGGAAGCCGTCGAGCGCAGTCGTCCAGCAG</t>
  </si>
  <si>
    <t xml:space="preserve">brinker_B1_P2_07</t>
  </si>
  <si>
    <t xml:space="preserve">CGCCCGCCGGCAGCGCCGCCAGCGCTAGAAGAGTCTTCCTTTACG</t>
  </si>
  <si>
    <t xml:space="preserve">B1_P1 (brinker)_7</t>
  </si>
  <si>
    <t xml:space="preserve">B1_P2 (brinker)_7</t>
  </si>
  <si>
    <t xml:space="preserve">GCCGTCGAGCGCAGTCGTCCAGCAG</t>
  </si>
  <si>
    <t xml:space="preserve">CGCCCGCCGGCAGCGCCGCCAGCGC</t>
  </si>
  <si>
    <t xml:space="preserve">S008-08</t>
  </si>
  <si>
    <t xml:space="preserve">brinker_B1_P1_08</t>
  </si>
  <si>
    <t xml:space="preserve">GAGGAGGGCAGCAAACGGAAGCCGCCGCGCTCTGCACGGGCACGA</t>
  </si>
  <si>
    <t xml:space="preserve">brinker_B1_P2_08</t>
  </si>
  <si>
    <t xml:space="preserve">CAGCGCGGCGCGCACGCCAGCGAGCTAGAAGAGTCTTCCTTTACG</t>
  </si>
  <si>
    <t xml:space="preserve">B1_P1 (brinker)_8</t>
  </si>
  <si>
    <t xml:space="preserve">B1_P2 (brinker)_8</t>
  </si>
  <si>
    <t xml:space="preserve">GCCGCCGCGCTCTGCACGGGCACGA</t>
  </si>
  <si>
    <t xml:space="preserve">CAGCGCGGCGCGCACGCCAGCGAGC</t>
  </si>
  <si>
    <t xml:space="preserve">S009-01</t>
  </si>
  <si>
    <t xml:space="preserve">ci_B1_P1_01</t>
  </si>
  <si>
    <t xml:space="preserve">GAGGAGGGCAGCAAACGGAAGTAGTTGCATGGAATGCGGCGAAAG</t>
  </si>
  <si>
    <t xml:space="preserve">ci_B1_P2_01</t>
  </si>
  <si>
    <t xml:space="preserve">ATCGCCGTCGCTGGCACCCCTGGAGTAGAAGAGTCTTCCTTTACG</t>
  </si>
  <si>
    <t xml:space="preserve">ci1_HCR_P1B1</t>
  </si>
  <si>
    <t xml:space="preserve">ci1_HCR_P2B1</t>
  </si>
  <si>
    <t xml:space="preserve">GTAGTTGCATGGAATGCGGCGAAAG</t>
  </si>
  <si>
    <t xml:space="preserve">ATCGCCGTCGCTGGCACCCCTGGAG</t>
  </si>
  <si>
    <t xml:space="preserve">None</t>
  </si>
  <si>
    <t xml:space="preserve">S009-02</t>
  </si>
  <si>
    <t xml:space="preserve">ci_B1_P1_02</t>
  </si>
  <si>
    <t xml:space="preserve">GAGGAGGGCAGCAAACGGAAGCCGGTACGCTGGGTGGAGAGCGGC</t>
  </si>
  <si>
    <t xml:space="preserve">ci_B1_P2_02</t>
  </si>
  <si>
    <t xml:space="preserve">CGTACAGCGGATGGTCGTAGGGTACTAGAAGAGTCTTCCTTTACG</t>
  </si>
  <si>
    <t xml:space="preserve">ci2_HCR_P1B1</t>
  </si>
  <si>
    <t xml:space="preserve">ci2_HCR_P2B1</t>
  </si>
  <si>
    <t xml:space="preserve">GCCGGTACGCTGGGTGGAGAGCGGC</t>
  </si>
  <si>
    <t xml:space="preserve">CGTACAGCGGATGGTCGTAGGGTAC</t>
  </si>
  <si>
    <t xml:space="preserve">S009-03</t>
  </si>
  <si>
    <t xml:space="preserve">ci_B1_P1_03</t>
  </si>
  <si>
    <t xml:space="preserve">GAGGAGGGCAGCAAACGGAAATCCTTCTAAACTGAGTTGGAACTC</t>
  </si>
  <si>
    <t xml:space="preserve">ci_B1_P2_03</t>
  </si>
  <si>
    <t xml:space="preserve">TTAGACGGTTCTGAGAGGCTATTCTTAGAAGAGTCTTCCTTTACG</t>
  </si>
  <si>
    <t xml:space="preserve">ci3_HCR_P1B1</t>
  </si>
  <si>
    <t xml:space="preserve">ci3_HCR_P2B1</t>
  </si>
  <si>
    <t xml:space="preserve">ATCCTTCTAAACTGAGTTGGAACTC</t>
  </si>
  <si>
    <t xml:space="preserve">TTAGACGGTTCTGAGAGGCTATTCT</t>
  </si>
  <si>
    <t xml:space="preserve">S009-04</t>
  </si>
  <si>
    <t xml:space="preserve">ci_B1_P1_04</t>
  </si>
  <si>
    <t xml:space="preserve">GAGGAGGGCAGCAAACGGAATGGCCGGGGACGCGCGTATCACAGC</t>
  </si>
  <si>
    <t xml:space="preserve">ci_B1_P2_04</t>
  </si>
  <si>
    <t xml:space="preserve">CCGCAGAAGGGGCCCTCACAGCGAGTAGAAGAGTCTTCCTTTACG</t>
  </si>
  <si>
    <t xml:space="preserve">ci4_HCR_P1B1</t>
  </si>
  <si>
    <t xml:space="preserve">ci4_HCR_P2B1</t>
  </si>
  <si>
    <t xml:space="preserve">TGGCCGGGGACGCGCGTATCACAGC</t>
  </si>
  <si>
    <t xml:space="preserve">CCGCAGAAGGGGCCCTCACAGCGAG</t>
  </si>
  <si>
    <t xml:space="preserve">S009-05</t>
  </si>
  <si>
    <t xml:space="preserve">ci_B1_P1_05</t>
  </si>
  <si>
    <t xml:space="preserve">GAGGAGGGCAGCAAACGGAAGATGACGCCGCTGCCGCCGCGAGCC</t>
  </si>
  <si>
    <t xml:space="preserve">ci_B1_P2_05</t>
  </si>
  <si>
    <t xml:space="preserve">CGCGGGGTCGAGCAGCACGCCGCCGTAGAAGAGTCTTCCTTTACG</t>
  </si>
  <si>
    <t xml:space="preserve">ci5_HCR_P1B1</t>
  </si>
  <si>
    <t xml:space="preserve">ci5_HCR_P2B1</t>
  </si>
  <si>
    <t xml:space="preserve">GATGACGCCGCTGCCGCCGCGAGCC</t>
  </si>
  <si>
    <t xml:space="preserve">CGCGGGGTCGAGCAGCACGCCGCCG</t>
  </si>
  <si>
    <t xml:space="preserve">S009-06</t>
  </si>
  <si>
    <t xml:space="preserve">ci_B1_P1_06</t>
  </si>
  <si>
    <t xml:space="preserve">GAGGAGGGCAGCAAACGGAATCCACCGGCGCGATCAGCAGCTGAG</t>
  </si>
  <si>
    <t xml:space="preserve">ci_B1_P2_06</t>
  </si>
  <si>
    <t xml:space="preserve">CCGTCCAGCCCCAGGCCGGGCCGCATAGAAGAGTCTTCCTTTACG</t>
  </si>
  <si>
    <t xml:space="preserve">ci6_HCR_P1B1</t>
  </si>
  <si>
    <t xml:space="preserve">ci6_HCR_P2B1</t>
  </si>
  <si>
    <t xml:space="preserve">TCCACCGGCGCGATCAGCAGCTGAG</t>
  </si>
  <si>
    <t xml:space="preserve">CCGTCCAGCCCCAGGCCGGGCCGCA</t>
  </si>
  <si>
    <t xml:space="preserve">S009-07</t>
  </si>
  <si>
    <t xml:space="preserve">ci_B1_P1_07</t>
  </si>
  <si>
    <t xml:space="preserve">GAGGAGGGCAGCAAACGGAAATATCAGCACTTGTGGGGACTTGCG</t>
  </si>
  <si>
    <t xml:space="preserve">ci_B1_P2_07</t>
  </si>
  <si>
    <t xml:space="preserve">TGTTGCTGTTCATGTTCTCTCGGTGTAGAAGAGTCTTCCTTTACG</t>
  </si>
  <si>
    <t xml:space="preserve">ci7_HCR_P1B1</t>
  </si>
  <si>
    <t xml:space="preserve">ci7_HCR_P2B1</t>
  </si>
  <si>
    <t xml:space="preserve">ATATCAGCACTTGTGGGGACTTGCG</t>
  </si>
  <si>
    <t xml:space="preserve">TGTTGCTGTTCATGTTCTCTCGGTG</t>
  </si>
  <si>
    <t xml:space="preserve">S010-01</t>
  </si>
  <si>
    <t xml:space="preserve">cinnabar_B1_P1_01</t>
  </si>
  <si>
    <t xml:space="preserve">GAGGAGGGCAGCAAACGGAACGACAGCGATATTCAATTTCTTATT</t>
  </si>
  <si>
    <t xml:space="preserve">cinnabar_B1_P2_01</t>
  </si>
  <si>
    <t xml:space="preserve">CAAGGGATCCCACAAGTCCTCCGCCTAGAAGAGTCTTCCTTTACG</t>
  </si>
  <si>
    <t xml:space="preserve">cin1_HCR_P1B1</t>
  </si>
  <si>
    <t xml:space="preserve">cin1_HCR_P2B1</t>
  </si>
  <si>
    <t xml:space="preserve">CGACAGCGATATTCAATTTCTTATT</t>
  </si>
  <si>
    <t xml:space="preserve">CAAGGGATCCCACAAGTCCTCCGCC</t>
  </si>
  <si>
    <t xml:space="preserve">S010-02</t>
  </si>
  <si>
    <t xml:space="preserve">cinnabar_B1_P1_02</t>
  </si>
  <si>
    <t xml:space="preserve">GAGGAGGGCAGCAAACGGAAGCTTGACTTGATGTCCTCTTTTGGC</t>
  </si>
  <si>
    <t xml:space="preserve">cinnabar_B1_P2_02</t>
  </si>
  <si>
    <t xml:space="preserve">TTCTTATATCTTCACGATACTCATATAGAAGAGTCTTCCTTTACG</t>
  </si>
  <si>
    <t xml:space="preserve">cin2_HCR_P1B1</t>
  </si>
  <si>
    <t xml:space="preserve">cin2_HCR_P2B1</t>
  </si>
  <si>
    <t xml:space="preserve">GCTTGACTTGATGTCCTCTTTTGGC</t>
  </si>
  <si>
    <t xml:space="preserve">TTCTTATATCTTCACGATACTCATA</t>
  </si>
  <si>
    <t xml:space="preserve">S010-03</t>
  </si>
  <si>
    <t xml:space="preserve">cinnabar_B1_P1_03</t>
  </si>
  <si>
    <t xml:space="preserve">GAGGAGGGCAGCAAACGGAACATGCTGGTTGATCATCTGATCTTC</t>
  </si>
  <si>
    <t xml:space="preserve">cinnabar_B1_P2_03</t>
  </si>
  <si>
    <t xml:space="preserve">GGATCATCCTGGCTCTCATCGGGATTAGAAGAGTCTTCCTTTACG</t>
  </si>
  <si>
    <t xml:space="preserve">cin3_HCR_P1B1</t>
  </si>
  <si>
    <t xml:space="preserve">cin3_HCR_P2B1</t>
  </si>
  <si>
    <t xml:space="preserve">CATGCTGGTTGATCATCTGATCTTC</t>
  </si>
  <si>
    <t xml:space="preserve">GGATCATCCTGGCTCTCATCGGGAT</t>
  </si>
  <si>
    <t xml:space="preserve">S010-04</t>
  </si>
  <si>
    <t xml:space="preserve">cinnabar_B1_P1_04</t>
  </si>
  <si>
    <t xml:space="preserve">GAGGAGGGCAGCAAACGGAAGCGTCGTAAGGCATCGCATACGTTG</t>
  </si>
  <si>
    <t xml:space="preserve">cinnabar_B1_P2_04</t>
  </si>
  <si>
    <t xml:space="preserve">ACGGAATATATGCACTGGTTAGTTCTAGAAGAGTCTTCCTTTACG</t>
  </si>
  <si>
    <t xml:space="preserve">cin4_HCR_P1B1</t>
  </si>
  <si>
    <t xml:space="preserve">cin4_HCR_P2B1</t>
  </si>
  <si>
    <t xml:space="preserve">GCGTCGTAAGGCATCGCATACGTTG</t>
  </si>
  <si>
    <t xml:space="preserve">ACGGAATATATGCACTGGTTAGTTC</t>
  </si>
  <si>
    <t xml:space="preserve">S010-05</t>
  </si>
  <si>
    <t xml:space="preserve">cinnabar_B1_P1_05</t>
  </si>
  <si>
    <t xml:space="preserve">GAGGAGGGCAGCAAACGGAACCATCCTTAAAGTTTGATTTGATCA</t>
  </si>
  <si>
    <t xml:space="preserve">cinnabar_B1_P2_05</t>
  </si>
  <si>
    <t xml:space="preserve">GTGTCCATCTTCATAAATGTTAACGTAGAAGAGTCTTCCTTTACG</t>
  </si>
  <si>
    <t xml:space="preserve">cin5_HCR_P1B1</t>
  </si>
  <si>
    <t xml:space="preserve">cin5_HCR_P2B1</t>
  </si>
  <si>
    <t xml:space="preserve">CCATCCTTAAAGTTTGATTTGATCA</t>
  </si>
  <si>
    <t xml:space="preserve">GTGTCCATCTTCATAAATGTTAACG</t>
  </si>
  <si>
    <t xml:space="preserve">S010-06</t>
  </si>
  <si>
    <t xml:space="preserve">cinnabar_B1_P1_06</t>
  </si>
  <si>
    <t xml:space="preserve">GAGGAGGGCAGCAAACGGAAGCCGATTATCAAGTCTGCGTTCACT</t>
  </si>
  <si>
    <t xml:space="preserve">cinnabar_B1_P2_06</t>
  </si>
  <si>
    <t xml:space="preserve">ACGAACTGTTGAAAATGCACCATCCTAGAAGAGTCTTCCTTTACG</t>
  </si>
  <si>
    <t xml:space="preserve">cin6_HCR_P1B1</t>
  </si>
  <si>
    <t xml:space="preserve">cin6_HCR_P2B1</t>
  </si>
  <si>
    <t xml:space="preserve">GCCGATTATCAAGTCTGCGTTCACT</t>
  </si>
  <si>
    <t xml:space="preserve">ACGAACTGTTGAAAATGCACCATCC</t>
  </si>
  <si>
    <t xml:space="preserve">S010-07</t>
  </si>
  <si>
    <t xml:space="preserve">cinnabar_B1_P1_07</t>
  </si>
  <si>
    <t xml:space="preserve">GAGGAGGGCAGCAAACGGAAGCATCTGAAAACCACCATCTTTACC</t>
  </si>
  <si>
    <t xml:space="preserve">cinnabar_B1_P2_07</t>
  </si>
  <si>
    <t xml:space="preserve">TTGGCCAAATGTGTAAATAGTTTGATAGAAGAGTCTTCCTTTACG</t>
  </si>
  <si>
    <t xml:space="preserve">cin7_HCR_P1B1</t>
  </si>
  <si>
    <t xml:space="preserve">cin7_HCR_P2B1</t>
  </si>
  <si>
    <t xml:space="preserve">GCATCTGAAAACCACCATCTTTACC</t>
  </si>
  <si>
    <t xml:space="preserve">TTGGCCAAATGTGTAAATAGTTTGA</t>
  </si>
  <si>
    <t xml:space="preserve">S010-08</t>
  </si>
  <si>
    <t xml:space="preserve">cinnabar_B1_P1_08</t>
  </si>
  <si>
    <t xml:space="preserve">GAGGAGGGCAGCAAACGGAACAATCCTGATTCGGCAGTGCGATCA</t>
  </si>
  <si>
    <t xml:space="preserve">cinnabar_B1_P2_08</t>
  </si>
  <si>
    <t xml:space="preserve">GGCATAAACAGTGTAACTGTCCATGTAGAAGAGTCTTCCTTTACG</t>
  </si>
  <si>
    <t xml:space="preserve">cin8_HCR_P1B1</t>
  </si>
  <si>
    <t xml:space="preserve">cin8_HCR_P2B1</t>
  </si>
  <si>
    <t xml:space="preserve">CAATCCTGATTCGGCAGTGCGATCA</t>
  </si>
  <si>
    <t xml:space="preserve">GGCATAAACAGTGTAACTGTCCATG</t>
  </si>
  <si>
    <t xml:space="preserve">S011-01</t>
  </si>
  <si>
    <t xml:space="preserve">CK1_B1_P1_01</t>
  </si>
  <si>
    <t xml:space="preserve">GAGGAGGGCAGCAAACGGAACTTGTCCTTGTTACCGTCACGCTTA</t>
  </si>
  <si>
    <t xml:space="preserve">CK1_B1_P2_01</t>
  </si>
  <si>
    <t xml:space="preserve">AGTTCTTTTGTCGTCGCTCTGACGTTAGAAGAGTCTTCCTTTACG</t>
  </si>
  <si>
    <t xml:space="preserve">B1_P1 (CK1)_1</t>
  </si>
  <si>
    <t xml:space="preserve">B1_P2 (CK1)_1</t>
  </si>
  <si>
    <t xml:space="preserve">CTTGTCCTTGTTACCGTCACGCTTA</t>
  </si>
  <si>
    <t xml:space="preserve">AGTTCTTTTGTCGTCGCTCTGACGT</t>
  </si>
  <si>
    <t xml:space="preserve">S011-02</t>
  </si>
  <si>
    <t xml:space="preserve">CK1_B1_P1_02</t>
  </si>
  <si>
    <t xml:space="preserve">GAGGAGGGCAGCAAACGGAATTCCCACGCCGCGCCCGCCACCCAC</t>
  </si>
  <si>
    <t xml:space="preserve">CK1_B1_P2_02</t>
  </si>
  <si>
    <t xml:space="preserve">AGTGCCGCGACGTGTGCATCGCGCTTAGAAGAGTCTTCCTTTACG</t>
  </si>
  <si>
    <t xml:space="preserve">B1_P1 (CK1)_2</t>
  </si>
  <si>
    <t xml:space="preserve">B1_P2 (CK1)_2</t>
  </si>
  <si>
    <t xml:space="preserve">TTCCCACGCCGCGCCCGCCACCCAC</t>
  </si>
  <si>
    <t xml:space="preserve">AGTGCCGCGACGTGTGCATCGCGCT</t>
  </si>
  <si>
    <t xml:space="preserve">S011-03</t>
  </si>
  <si>
    <t xml:space="preserve">CK1_B1_P1_03</t>
  </si>
  <si>
    <t xml:space="preserve">GAGGAGGGCAGCAAACGGAAAAGTTGGGCCCGACCATAAGGACGC</t>
  </si>
  <si>
    <t xml:space="preserve">CK1_B1_P2_03</t>
  </si>
  <si>
    <t xml:space="preserve">CCGCAGCCGATCTTCTTGCCGACGCTAGAAGAGTCTTCCTTTACG</t>
  </si>
  <si>
    <t xml:space="preserve">B1_P1 (CK1)_3</t>
  </si>
  <si>
    <t xml:space="preserve">B1_P2 (CK1)_3</t>
  </si>
  <si>
    <t xml:space="preserve">AAGTTGGGCCCGACCATAAGGACGC</t>
  </si>
  <si>
    <t xml:space="preserve">CCGCAGCCGATCTTCTTGCCGACGC</t>
  </si>
  <si>
    <t xml:space="preserve">S012-01</t>
  </si>
  <si>
    <t xml:space="preserve">delta_B1_P1_01</t>
  </si>
  <si>
    <t xml:space="preserve">GAGGAGGGCAGCAAACGGAACAGGGCGACGAGCACCGCGGAAGCG</t>
  </si>
  <si>
    <t xml:space="preserve">delta_B1_P2_01</t>
  </si>
  <si>
    <t xml:space="preserve">CGTCAGCACCTGGGGCAGAAACCCTTAGAAGAGTCTTCCTTTACG</t>
  </si>
  <si>
    <t xml:space="preserve">B1_P1 (delta)_1</t>
  </si>
  <si>
    <t xml:space="preserve">B1_P2 (delta)_1</t>
  </si>
  <si>
    <t xml:space="preserve">CAGGGCGACGAGCACCGCGGAAGCG</t>
  </si>
  <si>
    <t xml:space="preserve">CGTCAGCACCTGGGGCAGAAACCCT</t>
  </si>
  <si>
    <t xml:space="preserve">S012-02</t>
  </si>
  <si>
    <t xml:space="preserve">delta_B1_P1_02</t>
  </si>
  <si>
    <t xml:space="preserve">GAGGAGGGCAGCAAACGGAAATGAGTTCGTGAAACTTTTTATCCT</t>
  </si>
  <si>
    <t xml:space="preserve">delta_B1_P2_02</t>
  </si>
  <si>
    <t xml:space="preserve">AGCACTGCCCACTACTTAATCTACCTAGAAGAGTCTTCCTTTACG</t>
  </si>
  <si>
    <t xml:space="preserve">B1_P1 (delta)_2</t>
  </si>
  <si>
    <t xml:space="preserve">B1_P2 (delta)_2</t>
  </si>
  <si>
    <t xml:space="preserve">ATGAGTTCGTGAAACTTTTTATCCT</t>
  </si>
  <si>
    <t xml:space="preserve">AGCACTGCCCACTACTTAATCTACC</t>
  </si>
  <si>
    <t xml:space="preserve">S012-03</t>
  </si>
  <si>
    <t xml:space="preserve">delta_B1_P1_03</t>
  </si>
  <si>
    <t xml:space="preserve">GAGGAGGGCAGCAAACGGAACACGGCGCCAAACACGGCGCATCAC</t>
  </si>
  <si>
    <t xml:space="preserve">delta_B1_P2_03</t>
  </si>
  <si>
    <t xml:space="preserve">TTTAAGCACACGCGGAATTTAGTCCTAGAAGAGTCTTCCTTTACG</t>
  </si>
  <si>
    <t xml:space="preserve">B1_P1 (delta)_3</t>
  </si>
  <si>
    <t xml:space="preserve">B1_P2 (delta)_3</t>
  </si>
  <si>
    <t xml:space="preserve">CACGGCGCCAAACACGGCGCATCAC</t>
  </si>
  <si>
    <t xml:space="preserve">TTTAAGCACACGCGGAATTTAGTCC</t>
  </si>
  <si>
    <t xml:space="preserve">S012-04</t>
  </si>
  <si>
    <t xml:space="preserve">delta_B1_P1_04</t>
  </si>
  <si>
    <t xml:space="preserve">GAGGAGGGCAGCAAACGGAAGAAAGTGCACGGTGATGTGGTGTCG</t>
  </si>
  <si>
    <t xml:space="preserve">delta_B1_P2_04</t>
  </si>
  <si>
    <t xml:space="preserve">ACCGAGCACAGGGGTAGTGATGTCATAGAAGAGTCTTCCTTTACG</t>
  </si>
  <si>
    <t xml:space="preserve">B1_P1 (delta)_4</t>
  </si>
  <si>
    <t xml:space="preserve">B1_P2 (delta)_4</t>
  </si>
  <si>
    <t xml:space="preserve">GAAAGTGCACGGTGATGTGGTGTCG</t>
  </si>
  <si>
    <t xml:space="preserve">ACCGAGCACAGGGGTAGTGATGTCA</t>
  </si>
  <si>
    <t xml:space="preserve">S012-05</t>
  </si>
  <si>
    <t xml:space="preserve">delta_B1_P1_05</t>
  </si>
  <si>
    <t xml:space="preserve">GAGGAGGGCAGCAAACGGAATGAATCCTTGCACGTTAATGTTGGG</t>
  </si>
  <si>
    <t xml:space="preserve">delta_B1_P2_05</t>
  </si>
  <si>
    <t xml:space="preserve">AATCGAAGGGGAAGACGATGGGATTTAGAAGAGTCTTCCTTTACG</t>
  </si>
  <si>
    <t xml:space="preserve">B1_P1 (delta)_5</t>
  </si>
  <si>
    <t xml:space="preserve">B1_P2 (delta)_5</t>
  </si>
  <si>
    <t xml:space="preserve">TGAATCCTTGCACGTTAATGTTGGG</t>
  </si>
  <si>
    <t xml:space="preserve">AATCGAAGGGGAAGACGATGGGATT</t>
  </si>
  <si>
    <t xml:space="preserve">S012-06</t>
  </si>
  <si>
    <t xml:space="preserve">delta_B1_P1_06</t>
  </si>
  <si>
    <t xml:space="preserve">GAGGAGGGCAGCAAACGGAATGCCACGCTTCGACTATCAGAGAGA</t>
  </si>
  <si>
    <t xml:space="preserve">delta_B1_P2_06</t>
  </si>
  <si>
    <t xml:space="preserve">TCTGATCTTGACGTTTCGTTCGAATTAGAAGAGTCTTCCTTTACG</t>
  </si>
  <si>
    <t xml:space="preserve">B1_P1 (delta)_6</t>
  </si>
  <si>
    <t xml:space="preserve">B1_P2 (delta)_6</t>
  </si>
  <si>
    <t xml:space="preserve">TGCCACGCTTCGACTATCAGAGAGA</t>
  </si>
  <si>
    <t xml:space="preserve">TCTGATCTTGACGTTTCGTTCGAAT</t>
  </si>
  <si>
    <t xml:space="preserve">S013-01</t>
  </si>
  <si>
    <t xml:space="preserve">dopr2_B1_P1_01</t>
  </si>
  <si>
    <t xml:space="preserve">GAGGAGGGCAGCAAACGGAAGGTTCTTCTAAATCCACTGTTACAT</t>
  </si>
  <si>
    <t xml:space="preserve">dopr2_B1_P2_01</t>
  </si>
  <si>
    <t xml:space="preserve">CGGAGAAGTTTGATATAATCATTCCTAGAAGAGTCTTCCTTTACG</t>
  </si>
  <si>
    <t xml:space="preserve">B1_P1 (dopr2)_1</t>
  </si>
  <si>
    <t xml:space="preserve">B1_P2 (dopr2)_1</t>
  </si>
  <si>
    <t xml:space="preserve">GGTTCTTCTAAATCCACTGTTACAT</t>
  </si>
  <si>
    <t xml:space="preserve">CGGAGAAGTTTGATATAATCATTCC</t>
  </si>
  <si>
    <t xml:space="preserve">S013-02</t>
  </si>
  <si>
    <t xml:space="preserve">dopr2_B1_P1_02</t>
  </si>
  <si>
    <t xml:space="preserve">GAGGAGGGCAGCAAACGGAACAAAGAGAAAAGAAGCAGAAAGGCA</t>
  </si>
  <si>
    <t xml:space="preserve">dopr2_B1_P2_02</t>
  </si>
  <si>
    <t xml:space="preserve">GACCAACATGTTTCCGAATACAGTCTAGAAGAGTCTTCCTTTACG</t>
  </si>
  <si>
    <t xml:space="preserve">B1_P1 (dopr2)_2</t>
  </si>
  <si>
    <t xml:space="preserve">B1_P2 (dopr2)_2</t>
  </si>
  <si>
    <t xml:space="preserve">CAAAGAGAAAAGAAGCAGAAAGGCA</t>
  </si>
  <si>
    <t xml:space="preserve">GACCAACATGTTTCCGAATACAGTC</t>
  </si>
  <si>
    <t xml:space="preserve">S013-03</t>
  </si>
  <si>
    <t xml:space="preserve">dopr2_B1_P1_03</t>
  </si>
  <si>
    <t xml:space="preserve">GAGGAGGGCAGCAAACGGAATTGTAGACGTATGTAGATAGCGTTC</t>
  </si>
  <si>
    <t xml:space="preserve">dopr2_B1_P2_03</t>
  </si>
  <si>
    <t xml:space="preserve">CCACCGCGAGTGACGTCACGAAGTATAGAAGAGTCTTCCTTTACG</t>
  </si>
  <si>
    <t xml:space="preserve">B1_P1 (dopr2)_3</t>
  </si>
  <si>
    <t xml:space="preserve">B1_P2 (dopr2)_3</t>
  </si>
  <si>
    <t xml:space="preserve">TTGTAGACGTATGTAGATAGCGTTC</t>
  </si>
  <si>
    <t xml:space="preserve">CCACCGCGAGTGACGTCACGAAGTA</t>
  </si>
  <si>
    <t xml:space="preserve">S013-04</t>
  </si>
  <si>
    <t xml:space="preserve">dopr2_B1_P1_04</t>
  </si>
  <si>
    <t xml:space="preserve">GAGGAGGGCAGCAAACGGAAAGTGCAGAAAAGGGCATCACAACTA</t>
  </si>
  <si>
    <t xml:space="preserve">dopr2_B1_P2_04</t>
  </si>
  <si>
    <t xml:space="preserve">AACCAAGTATGTTCCAAAACTTCGTTAGAAGAGTCTTCCTTTACG</t>
  </si>
  <si>
    <t xml:space="preserve">B1_P1 (dopr2)_4</t>
  </si>
  <si>
    <t xml:space="preserve">B1_P2 (dopr2)_4</t>
  </si>
  <si>
    <t xml:space="preserve">AGTGCAGAAAAGGGCATCACAACTA</t>
  </si>
  <si>
    <t xml:space="preserve">AACCAAGTATGTTCCAAAACTTCGT</t>
  </si>
  <si>
    <t xml:space="preserve">S013-05</t>
  </si>
  <si>
    <t xml:space="preserve">dopr2_B1_P1_05</t>
  </si>
  <si>
    <t xml:space="preserve">GAGGAGGGCAGCAAACGGAACACATCCAGGGATCTCCAAACATCG</t>
  </si>
  <si>
    <t xml:space="preserve">dopr2_B1_P2_05</t>
  </si>
  <si>
    <t xml:space="preserve">ATTCAGTATTGACGCTGTACTAAACTAGAAGAGTCTTCCTTTACG</t>
  </si>
  <si>
    <t xml:space="preserve">B1_P1 (dopr2)_5</t>
  </si>
  <si>
    <t xml:space="preserve">B1_P2 (dopr2)_5</t>
  </si>
  <si>
    <t xml:space="preserve">CACATCCAGGGATCTCCAAACATCG</t>
  </si>
  <si>
    <t xml:space="preserve">ATTCAGTATTGACGCTGTACTAAAC</t>
  </si>
  <si>
    <t xml:space="preserve">S013-06</t>
  </si>
  <si>
    <t xml:space="preserve">dopr2_B1_P1_06</t>
  </si>
  <si>
    <t xml:space="preserve">GAGGAGGGCAGCAAACGGAAGGTCCGTTATAGCCCAGTATCTGTC</t>
  </si>
  <si>
    <t xml:space="preserve">dopr2_B1_P2_06</t>
  </si>
  <si>
    <t xml:space="preserve">CACTCATCCTCATAGGATATGTTATTAGAAGAGTCTTCCTTTACG</t>
  </si>
  <si>
    <t xml:space="preserve">B1_P1 (dopr2)_6</t>
  </si>
  <si>
    <t xml:space="preserve">B1_P2 (dopr2)_6</t>
  </si>
  <si>
    <t xml:space="preserve">GGTCCGTTATAGCCCAGTATCTGTC</t>
  </si>
  <si>
    <t xml:space="preserve">CACTCATCCTCATAGGATATGTTAT</t>
  </si>
  <si>
    <t xml:space="preserve">S013-07</t>
  </si>
  <si>
    <t xml:space="preserve">dopr2_B1_P1_07</t>
  </si>
  <si>
    <t xml:space="preserve">GAGGAGGGCAGCAAACGGAAGAACACACCCACACTGCCGCTATCA</t>
  </si>
  <si>
    <t xml:space="preserve">dopr2_B1_P2_07</t>
  </si>
  <si>
    <t xml:space="preserve">GCGATTGCTGGAAACGATATAGCGCTAGAAGAGTCTTCCTTTACG</t>
  </si>
  <si>
    <t xml:space="preserve">B1_P1 (dopr2)_7</t>
  </si>
  <si>
    <t xml:space="preserve">B1_P2 (dopr2)_7</t>
  </si>
  <si>
    <t xml:space="preserve">GAACACACCCACACTGCCGCTATCA</t>
  </si>
  <si>
    <t xml:space="preserve">GCGATTGCTGGAAACGATATAGCGC</t>
  </si>
  <si>
    <t xml:space="preserve">S013-08</t>
  </si>
  <si>
    <t xml:space="preserve">dopr2_B1_P1_08</t>
  </si>
  <si>
    <t xml:space="preserve">GAGGAGGGCAGCAAACGGAACTTGTAATCTGGTACTTCTTCTATT</t>
  </si>
  <si>
    <t xml:space="preserve">dopr2_B1_P2_08</t>
  </si>
  <si>
    <t xml:space="preserve">GTATTCTAAGTTTTCCGTGAAGGGGTAGAAGAGTCTTCCTTTACG</t>
  </si>
  <si>
    <t xml:space="preserve">B1_P1 (dopr2)_8</t>
  </si>
  <si>
    <t xml:space="preserve">B1_P2 (dopr2)_8</t>
  </si>
  <si>
    <t xml:space="preserve">CTTGTAATCTGGTACTTCTTCTATT</t>
  </si>
  <si>
    <t xml:space="preserve">GTATTCTAAGTTTTCCGTGAAGGGG</t>
  </si>
  <si>
    <t xml:space="preserve">S014-01</t>
  </si>
  <si>
    <t xml:space="preserve">dpp_B1_P1_01</t>
  </si>
  <si>
    <t xml:space="preserve">GAGGAGGGCAGCAAACGGAAACCTCGTCGGCCGGTACGCCGCTTA</t>
  </si>
  <si>
    <t xml:space="preserve">dpp_B1_P2_01</t>
  </si>
  <si>
    <t xml:space="preserve">TGGAACGAGAGGTCGGCGCCGCGCGTAGAAGAGTCTTCCTTTACG</t>
  </si>
  <si>
    <t xml:space="preserve">Dpp1_HCR_P1B1</t>
  </si>
  <si>
    <t xml:space="preserve">Dpp1_HCR_P2B1</t>
  </si>
  <si>
    <t xml:space="preserve">ACCTCGTCGGCCGGTACGCCGCTTA</t>
  </si>
  <si>
    <t xml:space="preserve">TGGAACGAGAGGTCGGCGCCGCGCG</t>
  </si>
  <si>
    <t xml:space="preserve">S014-02</t>
  </si>
  <si>
    <t xml:space="preserve">dpp_B1_P1_02</t>
  </si>
  <si>
    <t xml:space="preserve">GAGGAGGGCAGCAAACGGAACAGTCTCTGTCTGCCGGTGGTGCCG</t>
  </si>
  <si>
    <t xml:space="preserve">dpp_B1_P2_02</t>
  </si>
  <si>
    <t xml:space="preserve">GCCAGGGCGCACCACGTCGTACAACTAGAAGAGTCTTCCTTTACG</t>
  </si>
  <si>
    <t xml:space="preserve">Dpp2_HCR_P1B1</t>
  </si>
  <si>
    <t xml:space="preserve">Dpp2_HCR_P2B1</t>
  </si>
  <si>
    <t xml:space="preserve">CAGTCTCTGTCTGCCGGTGGTGCCG</t>
  </si>
  <si>
    <t xml:space="preserve">GCCAGGGCGCACCACGTCGTACAAC</t>
  </si>
  <si>
    <t xml:space="preserve">S014-03</t>
  </si>
  <si>
    <t xml:space="preserve">dpp_B1_P1_03</t>
  </si>
  <si>
    <t xml:space="preserve">GAGGAGGGCAGCAAACGGAACAGCCGCAGGATCGGCTCGGAGTGG</t>
  </si>
  <si>
    <t xml:space="preserve">dpp_B1_P2_03</t>
  </si>
  <si>
    <t xml:space="preserve">CCCGGGCCGGAGCGGAACGGAGTCCTAGAAGAGTCTTCCTTTACG</t>
  </si>
  <si>
    <t xml:space="preserve">Dpp3_HCR_P1B1</t>
  </si>
  <si>
    <t xml:space="preserve">Dpp3_HCR_P2B1</t>
  </si>
  <si>
    <t xml:space="preserve">CAGCCGCAGGATCGGCTCGGAGTGG</t>
  </si>
  <si>
    <t xml:space="preserve">CCCGGGCCGGAGCGGAACGGAGTCC</t>
  </si>
  <si>
    <t xml:space="preserve">S014-04</t>
  </si>
  <si>
    <t xml:space="preserve">dpp_B1_P1_04</t>
  </si>
  <si>
    <t xml:space="preserve">GAGGAGGGCAGCAAACGGAAGCCGCTCCCAGAGCGTCGGCGTTGA</t>
  </si>
  <si>
    <t xml:space="preserve">dpp_B1_P2_04</t>
  </si>
  <si>
    <t xml:space="preserve">TGTTTGGGCTCTTTGAGCCACCGTCTAGAAGAGTCTTCCTTTACG</t>
  </si>
  <si>
    <t xml:space="preserve">Dpp4_HCR_P1B1</t>
  </si>
  <si>
    <t xml:space="preserve">Dpp4_HCR_P2B1</t>
  </si>
  <si>
    <t xml:space="preserve">GCCGCTCCCAGAGCGTCGGCGTTGA</t>
  </si>
  <si>
    <t xml:space="preserve">TGTTTGGGCTCTTTGAGCCACCGTC</t>
  </si>
  <si>
    <t xml:space="preserve">S014-05</t>
  </si>
  <si>
    <t xml:space="preserve">dpp_B1_P1_05</t>
  </si>
  <si>
    <t xml:space="preserve">GAGGAGGGCAGCAAACGGAACGCCACTCCTCCTCCTCGTCCGTGA</t>
  </si>
  <si>
    <t xml:space="preserve">dpp_B1_P2_05</t>
  </si>
  <si>
    <t xml:space="preserve">TACAGCATGAGCAGCGGCTGCGCCGTAGAAGAGTCTTCCTTTACG</t>
  </si>
  <si>
    <t xml:space="preserve">Dpp5_HCR_P1B1</t>
  </si>
  <si>
    <t xml:space="preserve">Dpp5_HCR_P2B1</t>
  </si>
  <si>
    <t xml:space="preserve">CGCCACTCCTCCTCCTCGTCCGTGA</t>
  </si>
  <si>
    <t xml:space="preserve">TACAGCATGAGCAGCGGCTGCGCCG</t>
  </si>
  <si>
    <t xml:space="preserve">S014-06</t>
  </si>
  <si>
    <t xml:space="preserve">dpp_B1_P1_06</t>
  </si>
  <si>
    <t xml:space="preserve">GAGGAGGGCAGCAAACGGAATCTCCCGCGACGCGCGCGCGCGCTC</t>
  </si>
  <si>
    <t xml:space="preserve">dpp_B1_P2_06</t>
  </si>
  <si>
    <t xml:space="preserve">GCTTGCTGCGCGTCAGCCGCTCGCTTAGAAGAGTCTTCCTTTACG</t>
  </si>
  <si>
    <t xml:space="preserve">Dpp6_HCR_P1B1</t>
  </si>
  <si>
    <t xml:space="preserve">Dpp6_HCR_P2B1</t>
  </si>
  <si>
    <t xml:space="preserve">TCTCCCGCGACGCGCGCGCGCGCTC</t>
  </si>
  <si>
    <t xml:space="preserve">GCTTGCTGCGCGTCAGCCGCTCGCT</t>
  </si>
  <si>
    <t xml:space="preserve">S014-07</t>
  </si>
  <si>
    <t xml:space="preserve">dpp_B1_P1_07</t>
  </si>
  <si>
    <t xml:space="preserve">GAGGAGGGCAGCAAACGGAAGCCCACGTCCGCGAAGTCGACGAAC</t>
  </si>
  <si>
    <t xml:space="preserve">dpp_B1_P2_07</t>
  </si>
  <si>
    <t xml:space="preserve">GTGCGGGGCCACGATCCAGTCGCTCTAGAAGAGTCTTCCTTTACG</t>
  </si>
  <si>
    <t xml:space="preserve">Dpp7_HCR_P1B1</t>
  </si>
  <si>
    <t xml:space="preserve">Dpp7_HCR_P2B1</t>
  </si>
  <si>
    <t xml:space="preserve">GCCCACGTCCGCGAAGTCGACGAAC</t>
  </si>
  <si>
    <t xml:space="preserve">GTGCGGGGCCACGATCCAGTCGCTC</t>
  </si>
  <si>
    <t xml:space="preserve">S014-08</t>
  </si>
  <si>
    <t xml:space="preserve">dpp_B1_P1_08</t>
  </si>
  <si>
    <t xml:space="preserve">GAGGAGGGCAGCAAACGGAAGGGGCAGTCGCCCTGGCAGTAGTAC</t>
  </si>
  <si>
    <t xml:space="preserve">dpp_B1_P2_08</t>
  </si>
  <si>
    <t xml:space="preserve">GCCGTTGAGGTGGTCCGGCAGCGGGTAGAAGAGTCTTCCTTTACG</t>
  </si>
  <si>
    <t xml:space="preserve">Dpp8_HCR_P1B1</t>
  </si>
  <si>
    <t xml:space="preserve">Dpp8_HCR_P2B1</t>
  </si>
  <si>
    <t xml:space="preserve">GGGGCAGTCGCCCTGGCAGTAGTAC</t>
  </si>
  <si>
    <t xml:space="preserve">GCCGTTGAGGTGGTCCGGCAGCGGG</t>
  </si>
  <si>
    <t xml:space="preserve">S014-09</t>
  </si>
  <si>
    <t xml:space="preserve">dpp_B1_P1_09</t>
  </si>
  <si>
    <t xml:space="preserve">GAGGAGGGCAGCAAACGGAACACTGAGTTGACCAGAGTCTGCACT</t>
  </si>
  <si>
    <t xml:space="preserve">dpp_B1_P2_09</t>
  </si>
  <si>
    <t xml:space="preserve">GCACGCTTTGGGCACCGTCGCGGGGTAGAAGAGTCTTCCTTTACG</t>
  </si>
  <si>
    <t xml:space="preserve">Dpp9_HCR_P1B1</t>
  </si>
  <si>
    <t xml:space="preserve">Dpp9_HCR_P2B1</t>
  </si>
  <si>
    <t xml:space="preserve">CACTGAGTTGACCAGAGTCTGCACT</t>
  </si>
  <si>
    <t xml:space="preserve">GCACGCTTTGGGCACCGTCGCGGGG</t>
  </si>
  <si>
    <t xml:space="preserve">S014-10</t>
  </si>
  <si>
    <t xml:space="preserve">dpp_B1_P1_10</t>
  </si>
  <si>
    <t xml:space="preserve">GAGGAGGGCAGCAAACGGAAATATAACATAGATATAGATGAGAGT</t>
  </si>
  <si>
    <t xml:space="preserve">dpp_B1_P2_10</t>
  </si>
  <si>
    <t xml:space="preserve">AAGCACCACATTGTTCACTTCGTCCTAGAAGAGTCTTCCTTTACG</t>
  </si>
  <si>
    <t xml:space="preserve">Dpp10_HCR_P1B1</t>
  </si>
  <si>
    <t xml:space="preserve">Dpp10_HCR_P2B1</t>
  </si>
  <si>
    <t xml:space="preserve">ATATAACATAGATATAGATGAGAGT</t>
  </si>
  <si>
    <t xml:space="preserve">AAGCACCACATTGTTCACTTCGTCC</t>
  </si>
  <si>
    <t xml:space="preserve">S015-01</t>
  </si>
  <si>
    <t xml:space="preserve">ds_B1_P1_01</t>
  </si>
  <si>
    <t xml:space="preserve">GAGGAGGGCAGCAAACGGAACACTCGTCTGGTATTCGTTCTCGAG</t>
  </si>
  <si>
    <t xml:space="preserve">ds_B1_P2_01</t>
  </si>
  <si>
    <t xml:space="preserve">GCGTACCGGGAGCTGCGGCCTCCGGTAGAAGAGTCTTCCTTTACG</t>
  </si>
  <si>
    <t xml:space="preserve">ds_dsx_ets5_</t>
  </si>
  <si>
    <t xml:space="preserve">CACTCGTCTGGTATTCGTTCTCGAG</t>
  </si>
  <si>
    <t xml:space="preserve">GCGTACCGGGAGCTGCGGCCTCCGG</t>
  </si>
  <si>
    <t xml:space="preserve">S015-02</t>
  </si>
  <si>
    <t xml:space="preserve">ds_B1_P1_02</t>
  </si>
  <si>
    <t xml:space="preserve">GAGGAGGGCAGCAAACGGAAGATGTCGGAATTATCTCCTTCATCC</t>
  </si>
  <si>
    <t xml:space="preserve">ds_B1_P2_02</t>
  </si>
  <si>
    <t xml:space="preserve">CTGCGGTGTTGGAAGCAAGGAATACTAGAAGAGTCTTCCTTTACG</t>
  </si>
  <si>
    <t xml:space="preserve">GATGTCGGAATTATCTCCTTCATCC</t>
  </si>
  <si>
    <t xml:space="preserve">CTGCGGTGTTGGAAGCAAGGAATAC</t>
  </si>
  <si>
    <t xml:space="preserve">S015-03</t>
  </si>
  <si>
    <t xml:space="preserve">ds_B1_P1_03</t>
  </si>
  <si>
    <t xml:space="preserve">GAGGAGGGCAGCAAACGGAACGGGACCGGGTTGTTACCAGACCAG</t>
  </si>
  <si>
    <t xml:space="preserve">ds_B1_P2_03</t>
  </si>
  <si>
    <t xml:space="preserve">GGCATCGGATTCGTTTCACAATCAATAGAAGAGTCTTCCTTTACG</t>
  </si>
  <si>
    <t xml:space="preserve">CGGGACCGGGTTGTTACCAGACCAG</t>
  </si>
  <si>
    <t xml:space="preserve">GGCATCGGATTCGTTTCACAATCAA</t>
  </si>
  <si>
    <t xml:space="preserve">S015-04</t>
  </si>
  <si>
    <t xml:space="preserve">ds_B1_P1_04</t>
  </si>
  <si>
    <t xml:space="preserve">GAGGAGGGCAGCAAACGGAACGGTGGACGACAGCGGAGGATTGCC</t>
  </si>
  <si>
    <t xml:space="preserve">ds_B1_P2_04</t>
  </si>
  <si>
    <t xml:space="preserve">CATCTAACACTGTCACTAACAACGTTAGAAGAGTCTTCCTTTACG</t>
  </si>
  <si>
    <t xml:space="preserve">CGGTGGACGACAGCGGAGGATTGCC</t>
  </si>
  <si>
    <t xml:space="preserve">CATCTAACACTGTCACTAACAACGT</t>
  </si>
  <si>
    <t xml:space="preserve">S015-05</t>
  </si>
  <si>
    <t xml:space="preserve">ds_B1_P1_05</t>
  </si>
  <si>
    <t xml:space="preserve">GAGGAGGGCAGCAAACGGAAGGAGACGGTCACGTTGTAGAAGGAC</t>
  </si>
  <si>
    <t xml:space="preserve">ds_B1_P2_05</t>
  </si>
  <si>
    <t xml:space="preserve">AATACAGCTGCCGACAGCCTCATTCTAGAAGAGTCTTCCTTTACG</t>
  </si>
  <si>
    <t xml:space="preserve">GGAGACGGTCACGTTGTAGAAGGAC</t>
  </si>
  <si>
    <t xml:space="preserve">AATACAGCTGCCGACAGCCTCATTC</t>
  </si>
  <si>
    <t xml:space="preserve">S015-06</t>
  </si>
  <si>
    <t xml:space="preserve">ds_B1_P1_06</t>
  </si>
  <si>
    <t xml:space="preserve">GAGGAGGGCAGCAAACGGAATAGTTCACTATCGCGTTCACGCCGC</t>
  </si>
  <si>
    <t xml:space="preserve">ds_B1_P2_06</t>
  </si>
  <si>
    <t xml:space="preserve">GGTCGAGCCAGTCCATCGCCCAGGGTAGAAGAGTCTTCCTTTACG</t>
  </si>
  <si>
    <t xml:space="preserve">TAGTTCACTATCGCGTTCACGCCGC</t>
  </si>
  <si>
    <t xml:space="preserve">GGTCGAGCCAGTCCATCGCCCAGGG</t>
  </si>
  <si>
    <t xml:space="preserve">S015-07</t>
  </si>
  <si>
    <t xml:space="preserve">ds_B1_P1_07</t>
  </si>
  <si>
    <t xml:space="preserve">GAGGAGGGCAGCAAACGGAACCAAGGGGGCAGAAACGCAAAGATC</t>
  </si>
  <si>
    <t xml:space="preserve">ds_B1_P2_07</t>
  </si>
  <si>
    <t xml:space="preserve">ACTCAAAATCGCTAGTTGTCTCGTGTAGAAGAGTCTTCCTTTACG</t>
  </si>
  <si>
    <t xml:space="preserve">CCAAGGGGGCAGAAACGCAAAGATC</t>
  </si>
  <si>
    <t xml:space="preserve">ACTCAAAATCGCTAGTTGTCTCGTG</t>
  </si>
  <si>
    <t xml:space="preserve">S015-08</t>
  </si>
  <si>
    <t xml:space="preserve">ds_B1_P1_08</t>
  </si>
  <si>
    <t xml:space="preserve">GAGGAGGGCAGCAAACGGAACTTCACCATTGCGGTCGTGGACAGG</t>
  </si>
  <si>
    <t xml:space="preserve">ds_B1_P2_08</t>
  </si>
  <si>
    <t xml:space="preserve">GTTGTCGTTTATATCGAGAAGTTGGTAGAAGAGTCTTCCTTTACG</t>
  </si>
  <si>
    <t xml:space="preserve">CTTCACCATTGCGGTCGTGGACAGG</t>
  </si>
  <si>
    <t xml:space="preserve">GTTGTCGTTTATATCGAGAAGTTGG</t>
  </si>
  <si>
    <t xml:space="preserve">S015-09</t>
  </si>
  <si>
    <t xml:space="preserve">ds_B1_P1_09</t>
  </si>
  <si>
    <t xml:space="preserve">GAGGAGGGCAGCAAACGGAAATCCTCCCCTCCTTCAGAGAGACGT</t>
  </si>
  <si>
    <t xml:space="preserve">ds_B1_P2_09</t>
  </si>
  <si>
    <t xml:space="preserve">ACAGCTACTATGGGCTCGTTGCTAGTAGAAGAGTCTTCCTTTACG</t>
  </si>
  <si>
    <t xml:space="preserve">ATCCTCCCCTCCTTCAGAGAGACGT</t>
  </si>
  <si>
    <t xml:space="preserve">ACAGCTACTATGGGCTCGTTGCTAG</t>
  </si>
  <si>
    <t xml:space="preserve">S015-10</t>
  </si>
  <si>
    <t xml:space="preserve">ds_B1_P1_10</t>
  </si>
  <si>
    <t xml:space="preserve">GAGGAGGGCAGCAAACGGAACTATTCTGTACGTAACTGTTCCGAA</t>
  </si>
  <si>
    <t xml:space="preserve">ds_B1_P2_10</t>
  </si>
  <si>
    <t xml:space="preserve">GGAATACATCGTTGTCGTTCCCATTTAGAAGAGTCTTCCTTTACG</t>
  </si>
  <si>
    <t xml:space="preserve">CTATTCTGTACGTAACTGTTCCGAA</t>
  </si>
  <si>
    <t xml:space="preserve">GGAATACATCGTTGTCGTTCCCATT</t>
  </si>
  <si>
    <t xml:space="preserve">S016-01</t>
  </si>
  <si>
    <t xml:space="preserve">dscam2_B1_P1_01</t>
  </si>
  <si>
    <t xml:space="preserve">GAGGAGGGCAGCAAACGGAAACCGGGATCTTATCACTAATCCCGG</t>
  </si>
  <si>
    <t xml:space="preserve">dscam2_B1_P2_01</t>
  </si>
  <si>
    <t xml:space="preserve">AACTGTGTACCATAATCCCGCTTGTTAGAAGAGTCTTCCTTTACG</t>
  </si>
  <si>
    <t xml:space="preserve">B1_P1 (dscam2)_1</t>
  </si>
  <si>
    <t xml:space="preserve">B1_P2 (dscam2)_1</t>
  </si>
  <si>
    <t xml:space="preserve">ACCGGGATCTTATCACTAATCCCGG</t>
  </si>
  <si>
    <t xml:space="preserve">AACTGTGTACCATAATCCCGCTTGT</t>
  </si>
  <si>
    <t xml:space="preserve">S016-02</t>
  </si>
  <si>
    <t xml:space="preserve">dscam2_B1_P1_02</t>
  </si>
  <si>
    <t xml:space="preserve">GAGGAGGGCAGCAAACGGAATGACCTAGACTTTCTTACATTTTGC</t>
  </si>
  <si>
    <t xml:space="preserve">dscam2_B1_P2_02</t>
  </si>
  <si>
    <t xml:space="preserve">TTTTCTTTTAGTTTTCTTGTGATCGTAGAAGAGTCTTCCTTTACG</t>
  </si>
  <si>
    <t xml:space="preserve">B1_P1 (dscam2)_2</t>
  </si>
  <si>
    <t xml:space="preserve">B1_P2 (dscam2)_2</t>
  </si>
  <si>
    <t xml:space="preserve">TGACCTAGACTTTCTTACATTTTGC</t>
  </si>
  <si>
    <t xml:space="preserve">TTTTCTTTTAGTTTTCTTGTGATCG</t>
  </si>
  <si>
    <t xml:space="preserve">S016-03</t>
  </si>
  <si>
    <t xml:space="preserve">dscam2_B1_P1_03</t>
  </si>
  <si>
    <t xml:space="preserve">GAGGAGGGCAGCAAACGGAATTGTACCAATTGTCACGGTCTGCAA</t>
  </si>
  <si>
    <t xml:space="preserve">dscam2_B1_P2_03</t>
  </si>
  <si>
    <t xml:space="preserve">TCCCTGAACTTAGATCCCTTTTAAATAGAAGAGTCTTCCTTTACG</t>
  </si>
  <si>
    <t xml:space="preserve">B1_P1 (dscam2)_3</t>
  </si>
  <si>
    <t xml:space="preserve">B1_P2 (dscam2)_3</t>
  </si>
  <si>
    <t xml:space="preserve">TTGTACCAATTGTCACGGTCTGCAA</t>
  </si>
  <si>
    <t xml:space="preserve">TCCCTGAACTTAGATCCCTTTTAAA</t>
  </si>
  <si>
    <t xml:space="preserve">S016-04</t>
  </si>
  <si>
    <t xml:space="preserve">dscam2_B1_P1_04</t>
  </si>
  <si>
    <t xml:space="preserve">GAGGAGGGCAGCAAACGGAAGGCGATAAAACTTTATCGTTGAAAT</t>
  </si>
  <si>
    <t xml:space="preserve">dscam2_B1_P2_04</t>
  </si>
  <si>
    <t xml:space="preserve">GTACATTGAAGACTAATGTCTTCACTAGAAGAGTCTTCCTTTACG</t>
  </si>
  <si>
    <t xml:space="preserve">B1_P1 (dscam2)_4</t>
  </si>
  <si>
    <t xml:space="preserve">B1_P2 (dscam2)_4</t>
  </si>
  <si>
    <t xml:space="preserve">GGCGATAAAACTTTATCGTTGAAAT</t>
  </si>
  <si>
    <t xml:space="preserve">GTACATTGAAGACTAATGTCTTCAC</t>
  </si>
  <si>
    <t xml:space="preserve">S016-05</t>
  </si>
  <si>
    <t xml:space="preserve">dscam2_B1_P1_05</t>
  </si>
  <si>
    <t xml:space="preserve">GAGGAGGGCAGCAAACGGAAATCCCTCTCCCAAATGAACCGCGGT</t>
  </si>
  <si>
    <t xml:space="preserve">dscam2_B1_P2_05</t>
  </si>
  <si>
    <t xml:space="preserve">GTCAGTATTTGACGTGATGACTACATAGAAGAGTCTTCCTTTACG</t>
  </si>
  <si>
    <t xml:space="preserve">B1_P1 (dscam2)_5</t>
  </si>
  <si>
    <t xml:space="preserve">B1_P2 (dscam2)_5</t>
  </si>
  <si>
    <t xml:space="preserve">ATCCCTCTCCCAAATGAACCGCGGT</t>
  </si>
  <si>
    <t xml:space="preserve">GTCAGTATTTGACGTGATGACTACA</t>
  </si>
  <si>
    <t xml:space="preserve">S016-06</t>
  </si>
  <si>
    <t xml:space="preserve">dscam2_B1_P1_06</t>
  </si>
  <si>
    <t xml:space="preserve">GAGGAGGGCAGCAAACGGAACGATCCCCGTCGGTGACATCATTTG</t>
  </si>
  <si>
    <t xml:space="preserve">dscam2_B1_P2_06</t>
  </si>
  <si>
    <t xml:space="preserve">TGGATATGTTTAATTGTGATATTACTAGAAGAGTCTTCCTTTACG</t>
  </si>
  <si>
    <t xml:space="preserve">B1_P1 (dscam2)_6</t>
  </si>
  <si>
    <t xml:space="preserve">B1_P2 (dscam2)_6</t>
  </si>
  <si>
    <t xml:space="preserve">CGATCCCCGTCGGTGACATCATTTG</t>
  </si>
  <si>
    <t xml:space="preserve">TGGATATGTTTAATTGTGATATTAC</t>
  </si>
  <si>
    <t xml:space="preserve">S017-01</t>
  </si>
  <si>
    <t xml:space="preserve">e20m_B1_P1_01</t>
  </si>
  <si>
    <t xml:space="preserve">GAGGAGGGCAGCAAACGGAACATTCTATAACGACTCCAGAACAGC</t>
  </si>
  <si>
    <t xml:space="preserve">e20m_B1_P2_01</t>
  </si>
  <si>
    <t xml:space="preserve">GTCTTCATACGCTTCGTGTAGTTTGTAGAAGAGTCTTCCTTTACG</t>
  </si>
  <si>
    <t xml:space="preserve">B1_P1 (e20m)_1</t>
  </si>
  <si>
    <t xml:space="preserve">B1_P2 (e20m)_1</t>
  </si>
  <si>
    <t xml:space="preserve">CATTCTATAACGACTCCAGAACAGC</t>
  </si>
  <si>
    <t xml:space="preserve">GTCTTCATACGCTTCGTGTAGTTTG</t>
  </si>
  <si>
    <t xml:space="preserve">S017-02</t>
  </si>
  <si>
    <t xml:space="preserve">e20m_B1_P1_02</t>
  </si>
  <si>
    <t xml:space="preserve">GAGGAGGGCAGCAAACGGAACTGGAGTCACCTCGGCGAACACTGG</t>
  </si>
  <si>
    <t xml:space="preserve">e20m_B1_P2_02</t>
  </si>
  <si>
    <t xml:space="preserve">CAGCGATGGAGACGACGAGGGCGCCTAGAAGAGTCTTCCTTTACG</t>
  </si>
  <si>
    <t xml:space="preserve">B1_P1 (e20m)_2</t>
  </si>
  <si>
    <t xml:space="preserve">B1_P2 (e20m)_2</t>
  </si>
  <si>
    <t xml:space="preserve">CTGGAGTCACCTCGGCGAACACTGG</t>
  </si>
  <si>
    <t xml:space="preserve">CAGCGATGGAGACGACGAGGGCGCC</t>
  </si>
  <si>
    <t xml:space="preserve">S017-03</t>
  </si>
  <si>
    <t xml:space="preserve">e20m_B1_P1_03</t>
  </si>
  <si>
    <t xml:space="preserve">GAGGAGGGCAGCAAACGGAACTCTTCGCTGGTGTTCGCAGCACAG</t>
  </si>
  <si>
    <t xml:space="preserve">e20m_B1_P2_03</t>
  </si>
  <si>
    <t xml:space="preserve">ACGATTTCAGTGGGGGGTCGATAAGTAGAAGAGTCTTCCTTTACG</t>
  </si>
  <si>
    <t xml:space="preserve">B1_P1 (e20m)_3</t>
  </si>
  <si>
    <t xml:space="preserve">B1_P2 (e20m)_3</t>
  </si>
  <si>
    <t xml:space="preserve">CTCTTCGCTGGTGTTCGCAGCACAG</t>
  </si>
  <si>
    <t xml:space="preserve">ACGATTTCAGTGGGGGGTCGATAAG</t>
  </si>
  <si>
    <t xml:space="preserve">S017-04</t>
  </si>
  <si>
    <t xml:space="preserve">e20m_B1_P1_04</t>
  </si>
  <si>
    <t xml:space="preserve">GAGGAGGGCAGCAAACGGAAAGTAGAGGCATATCTATCAGGCCTC</t>
  </si>
  <si>
    <t xml:space="preserve">e20m_B1_P2_04</t>
  </si>
  <si>
    <t xml:space="preserve">TTTCTCTCCTTGTTCATTAACAAGTTAGAAGAGTCTTCCTTTACG</t>
  </si>
  <si>
    <t xml:space="preserve">B1_P1 (e20m)_4</t>
  </si>
  <si>
    <t xml:space="preserve">B1_P2 (e20m)_4</t>
  </si>
  <si>
    <t xml:space="preserve">AGTAGAGGCATATCTATCAGGCCTC</t>
  </si>
  <si>
    <t xml:space="preserve">TTTCTCTCCTTGTTCATTAACAAGT</t>
  </si>
  <si>
    <t xml:space="preserve">S017-05</t>
  </si>
  <si>
    <t xml:space="preserve">e20m_B1_P1_05</t>
  </si>
  <si>
    <t xml:space="preserve">GAGGAGGGCAGCAAACGGAAGACTGGTCAACTCGCTGGTGAGATG</t>
  </si>
  <si>
    <t xml:space="preserve">e20m_B1_P2_05</t>
  </si>
  <si>
    <t xml:space="preserve">CAGGAATGAACCCTTGGATGGTGTGTAGAAGAGTCTTCCTTTACG</t>
  </si>
  <si>
    <t xml:space="preserve">B1_P1 (e20m)_5</t>
  </si>
  <si>
    <t xml:space="preserve">B1_P2 (e20m)_5</t>
  </si>
  <si>
    <t xml:space="preserve">GACTGGTCAACTCGCTGGTGAGATG</t>
  </si>
  <si>
    <t xml:space="preserve">CAGGAATGAACCCTTGGATGGTGTG</t>
  </si>
  <si>
    <t xml:space="preserve">S017-06</t>
  </si>
  <si>
    <t xml:space="preserve">e20m_B1_P1_06</t>
  </si>
  <si>
    <t xml:space="preserve">GAGGAGGGCAGCAAACGGAACCCTTCAGCAAGTTGAGGAAGTCAT</t>
  </si>
  <si>
    <t xml:space="preserve">e20m_B1_P2_06</t>
  </si>
  <si>
    <t xml:space="preserve">TAGACGGTGCCGTCTGGCCTGCGACTAGAAGAGTCTTCCTTTACG</t>
  </si>
  <si>
    <t xml:space="preserve">B1_P1 (e20m)_6</t>
  </si>
  <si>
    <t xml:space="preserve">B1_P2 (e20m)_6</t>
  </si>
  <si>
    <t xml:space="preserve">CCCTTCAGCAAGTTGAGGAAGTCAT</t>
  </si>
  <si>
    <t xml:space="preserve">TAGACGGTGCCGTCTGGCCTGCGAC</t>
  </si>
  <si>
    <t xml:space="preserve">S018-01</t>
  </si>
  <si>
    <t xml:space="preserve">en_B1_P1_01</t>
  </si>
  <si>
    <t xml:space="preserve">GAGGAGGGCAGCAAACGGAATGGCCTGGTTCGGACTGCAACGGTC</t>
  </si>
  <si>
    <t xml:space="preserve">en_B1_P2_01</t>
  </si>
  <si>
    <t xml:space="preserve">CTCTGCCGGTGACCGGACCGGGGCTTAGAAGAGTCTTCCTTTACG</t>
  </si>
  <si>
    <t xml:space="preserve">en1_HCR_P1B1</t>
  </si>
  <si>
    <t xml:space="preserve">en1_HCR_P2B1</t>
  </si>
  <si>
    <t xml:space="preserve">TGGCCTGGTTCGGACTGCAACGGTC</t>
  </si>
  <si>
    <t xml:space="preserve">CTCTGCCGGTGACCGGACCGGGGCT</t>
  </si>
  <si>
    <t xml:space="preserve">S018-02</t>
  </si>
  <si>
    <t xml:space="preserve">en_B1_P1_02</t>
  </si>
  <si>
    <t xml:space="preserve">GAGGAGGGCAGCAAACGGAATTTGGTACNCGTTTCTTACTTCGGA</t>
  </si>
  <si>
    <t xml:space="preserve">en_B1_P2_02</t>
  </si>
  <si>
    <t xml:space="preserve">GATCGATAGTCGTGCAAGTGTATTGTAGAAGAGTCTTCCTTTACG</t>
  </si>
  <si>
    <t xml:space="preserve">en2_HCR_P1B1</t>
  </si>
  <si>
    <t xml:space="preserve">en2_HCR_P2B1</t>
  </si>
  <si>
    <t xml:space="preserve">TTTGGTACNCGTTTCTTACTTCGGA</t>
  </si>
  <si>
    <t xml:space="preserve">GATCGATAGTCGTGCAAGTGTATTG</t>
  </si>
  <si>
    <t xml:space="preserve">S018-03</t>
  </si>
  <si>
    <t xml:space="preserve">en_B1_P1_03</t>
  </si>
  <si>
    <t xml:space="preserve">GAGGAGGGCAGCAAACGGAAGCTGCACTTTCACCACTGTCATCGT</t>
  </si>
  <si>
    <t xml:space="preserve">en_B1_P2_03</t>
  </si>
  <si>
    <t xml:space="preserve">TCAGTGGACTCATCGGTGGTGAATTTAGAAGAGTCTTCCTTTACG</t>
  </si>
  <si>
    <t xml:space="preserve">en3_HCR_P1B1</t>
  </si>
  <si>
    <t xml:space="preserve">en3_HCR_P2B1</t>
  </si>
  <si>
    <t xml:space="preserve">GCTGCACTTTCACCACTGTCATCGT</t>
  </si>
  <si>
    <t xml:space="preserve">TCAGTGGACTCATCGGTGGTGAATT</t>
  </si>
  <si>
    <t xml:space="preserve">S018-04</t>
  </si>
  <si>
    <t xml:space="preserve">en_B1_P1_04</t>
  </si>
  <si>
    <t xml:space="preserve">GAGGAGGGCAGCAAACGGAAGTTTCTCTTGTCTTCAAACTCAGGG</t>
  </si>
  <si>
    <t xml:space="preserve">en_B1_P2_04</t>
  </si>
  <si>
    <t xml:space="preserve">GAAGGGTATGGTTGGTGGTGGTTGTTAGAAGAGTCTTCCTTTACG</t>
  </si>
  <si>
    <t xml:space="preserve">en4_HCR_P1B1</t>
  </si>
  <si>
    <t xml:space="preserve">en4_HCR_P2B1</t>
  </si>
  <si>
    <t xml:space="preserve">GTTTCTCTTGTCTTCAAACTCAGGG</t>
  </si>
  <si>
    <t xml:space="preserve">GAAGGGTATGGTTGGTGGTGGTTGT</t>
  </si>
  <si>
    <t xml:space="preserve">S018-05</t>
  </si>
  <si>
    <t xml:space="preserve">en_B1_P1_05</t>
  </si>
  <si>
    <t xml:space="preserve">GAGGAGGGCAGCAAACGGAACTGTCAAACCGAATTCTGGGTGTAA</t>
  </si>
  <si>
    <t xml:space="preserve">en_B1_P2_05</t>
  </si>
  <si>
    <t xml:space="preserve">CTTCGATTTTGTTCGTTTTTCGAATTAGAAGAGTCTTCCTTTACG</t>
  </si>
  <si>
    <t xml:space="preserve">en5_HCR_P1B1</t>
  </si>
  <si>
    <t xml:space="preserve">en5_HCR_P2B1</t>
  </si>
  <si>
    <t xml:space="preserve">CTGTCAAACCGAATTCTGGGTGTAA</t>
  </si>
  <si>
    <t xml:space="preserve">CTTCGATTTTGTTCGTTTTTCGAAT</t>
  </si>
  <si>
    <t xml:space="preserve">S018-06</t>
  </si>
  <si>
    <t xml:space="preserve">en_B1_P1_06</t>
  </si>
  <si>
    <t xml:space="preserve">GAGGAGGGCAGCAAACGGAATGTACAAAATGCTGTGGTTGGGGCC</t>
  </si>
  <si>
    <t xml:space="preserve">en_B1_P2_06</t>
  </si>
  <si>
    <t xml:space="preserve">TCGATAACTCGTTCGACAAATAAGGTAGAAGAGTCTTCCTTTACG</t>
  </si>
  <si>
    <t xml:space="preserve">en6_HCR_P1B1</t>
  </si>
  <si>
    <t xml:space="preserve">en6_HCR_P2B1</t>
  </si>
  <si>
    <t xml:space="preserve">TGTACAAAATGCTGTGGTTGGGGCC</t>
  </si>
  <si>
    <t xml:space="preserve">TCGATAACTCGTTCGACAAATAAGG</t>
  </si>
  <si>
    <t xml:space="preserve">S018-07</t>
  </si>
  <si>
    <t xml:space="preserve">en_B1_P1_07</t>
  </si>
  <si>
    <t xml:space="preserve">GAGGAGGGCAGCAAACGGAAATCATCCTTAGATTTTAAATAATCG</t>
  </si>
  <si>
    <t xml:space="preserve">en_B1_P2_07</t>
  </si>
  <si>
    <t xml:space="preserve">ACCGCCAAGTGGAGGTAATGCACCGTAGAAGAGTCTTCCTTTACG</t>
  </si>
  <si>
    <t xml:space="preserve">en7_HCR_P1B1</t>
  </si>
  <si>
    <t xml:space="preserve">en7_HCR_P2B1</t>
  </si>
  <si>
    <t xml:space="preserve">ATCATCCTTAGATTTTAAATAATCG</t>
  </si>
  <si>
    <t xml:space="preserve">ACCGCCAAGTGGAGGTAATGCACCG</t>
  </si>
  <si>
    <t xml:space="preserve">S018-08</t>
  </si>
  <si>
    <t xml:space="preserve">en_B1_P1_08</t>
  </si>
  <si>
    <t xml:space="preserve">GAGGAGGGCAGCAAACGGAACTCCTTCTGTTCTCCAATATTCGAC</t>
  </si>
  <si>
    <t xml:space="preserve">en_B1_P2_08</t>
  </si>
  <si>
    <t xml:space="preserve">CTTCTGCTGCTCTATAATCTTTGGTTAGAAGAGTCTTCCTTTACG</t>
  </si>
  <si>
    <t xml:space="preserve">en8_HCR_P1B1</t>
  </si>
  <si>
    <t xml:space="preserve">en8_HCR_P2B1</t>
  </si>
  <si>
    <t xml:space="preserve">CTCCTTCTGTTCTCCAATATTCGAC</t>
  </si>
  <si>
    <t xml:space="preserve">CTTCTGCTGCTCTATAATCTTTGGT</t>
  </si>
  <si>
    <t xml:space="preserve">S018-09</t>
  </si>
  <si>
    <t xml:space="preserve">en_B1_P1_09</t>
  </si>
  <si>
    <t xml:space="preserve">GAGGAGGGCAGCAAACGGAATAGATGTGGAAGAGACAATAGAGCT</t>
  </si>
  <si>
    <t xml:space="preserve">en_B1_P2_09</t>
  </si>
  <si>
    <t xml:space="preserve">TGCTGCCACACGTCGATAAAGCCCCTAGAAGAGTCTTCCTTTACG</t>
  </si>
  <si>
    <t xml:space="preserve">en9_HCR_P1B1</t>
  </si>
  <si>
    <t xml:space="preserve">en9_HCR_P2B1</t>
  </si>
  <si>
    <t xml:space="preserve">TAGATGTGGAAGAGACAATAGAGCT</t>
  </si>
  <si>
    <t xml:space="preserve">TGCTGCCACACGTCGATAAAGCCCC</t>
  </si>
  <si>
    <t xml:space="preserve">S019-01</t>
  </si>
  <si>
    <t xml:space="preserve">ensl_B1_P1_01</t>
  </si>
  <si>
    <t xml:space="preserve">GAGGAGGGCAGCAAACGGAAAGGGGACATGGTGCGAGCGGGGAGG</t>
  </si>
  <si>
    <t xml:space="preserve">ensl_B1_P2_01</t>
  </si>
  <si>
    <t xml:space="preserve">CTGCGGCGGGTGGAAGGCCCCGTGCTAGAAGAGTCTTCCTTTACG</t>
  </si>
  <si>
    <t xml:space="preserve">B1_P1 (ensl)_1</t>
  </si>
  <si>
    <t xml:space="preserve">B1_P2 (ensl)_1</t>
  </si>
  <si>
    <t xml:space="preserve">AGGGGACATGGTGCGAGCGGGGAGG</t>
  </si>
  <si>
    <t xml:space="preserve">CTGCGGCGGGTGGAAGGCCCCGTGC</t>
  </si>
  <si>
    <t xml:space="preserve">S019-02</t>
  </si>
  <si>
    <t xml:space="preserve">ensl_B1_P1_02</t>
  </si>
  <si>
    <t xml:space="preserve">GAGGAGGGCAGCAAACGGAATGCGGTACTGGTAGGTGCGCGAGAC</t>
  </si>
  <si>
    <t xml:space="preserve">ensl_B1_P2_02</t>
  </si>
  <si>
    <t xml:space="preserve">TCCTCTCGAGCATGGGTTTCATCACTAGAAGAGTCTTCCTTTACG</t>
  </si>
  <si>
    <t xml:space="preserve">B1_P1 (ensl)_2</t>
  </si>
  <si>
    <t xml:space="preserve">B1_P2 (ensl)_2</t>
  </si>
  <si>
    <t xml:space="preserve">TGCGGTACTGGTAGGTGCGCGAGAC</t>
  </si>
  <si>
    <t xml:space="preserve">TCCTCTCGAGCATGGGTTTCATCAC</t>
  </si>
  <si>
    <t xml:space="preserve">S019-03</t>
  </si>
  <si>
    <t xml:space="preserve">ensl_B1_P1_03</t>
  </si>
  <si>
    <t xml:space="preserve">GAGGAGGGCAGCAAACGGAATCTTTGAGTTCGTCGAGGCATCGGT</t>
  </si>
  <si>
    <t xml:space="preserve">ensl_B1_P2_03</t>
  </si>
  <si>
    <t xml:space="preserve">TCCGCTTGTAGGGCTGTGACCATGATAGAAGAGTCTTCCTTTACG</t>
  </si>
  <si>
    <t xml:space="preserve">B1_P1 (ensl)_3</t>
  </si>
  <si>
    <t xml:space="preserve">B1_P2 (ensl)_3</t>
  </si>
  <si>
    <t xml:space="preserve">TCTTTGAGTTCGTCGAGGCATCGGT</t>
  </si>
  <si>
    <t xml:space="preserve">TCCGCTTGTAGGGCTGTGACCATGA</t>
  </si>
  <si>
    <t xml:space="preserve">S019-04</t>
  </si>
  <si>
    <t xml:space="preserve">ensl_B1_P1_04</t>
  </si>
  <si>
    <t xml:space="preserve">GAGGAGGGCAGCAAACGGAACTCGAGGATATCTGCTTTTTCCAGT</t>
  </si>
  <si>
    <t xml:space="preserve">ensl_B1_P2_04</t>
  </si>
  <si>
    <t xml:space="preserve">TAAACTGTGGAGGTGGCGGACGGTCTAGAAGAGTCTTCCTTTACG</t>
  </si>
  <si>
    <t xml:space="preserve">B1_P1 (ensl)_4</t>
  </si>
  <si>
    <t xml:space="preserve">B1_P2 (ensl)_4</t>
  </si>
  <si>
    <t xml:space="preserve">CTCGAGGATATCTGCTTTTTCCAGT</t>
  </si>
  <si>
    <t xml:space="preserve">TAAACTGTGGAGGTGGCGGACGGTC</t>
  </si>
  <si>
    <t xml:space="preserve">S019-05</t>
  </si>
  <si>
    <t xml:space="preserve">ensl_B1_P1_05</t>
  </si>
  <si>
    <t xml:space="preserve">GAGGAGGGCAGCAAACGGAACGTAAGACATTTCGGGGTTTAACAC</t>
  </si>
  <si>
    <t xml:space="preserve">ensl_B1_P2_05</t>
  </si>
  <si>
    <t xml:space="preserve">GAGCAAAGCCTGCTCGAAAACGTTCTAGAAGAGTCTTCCTTTACG</t>
  </si>
  <si>
    <t xml:space="preserve">B1_P1 (ensl)_5</t>
  </si>
  <si>
    <t xml:space="preserve">B1_P2 (ensl)_5</t>
  </si>
  <si>
    <t xml:space="preserve">CGTAAGACATTTCGGGGTTTAACAC</t>
  </si>
  <si>
    <t xml:space="preserve">GAGCAAAGCCTGCTCGAAAACGTTC</t>
  </si>
  <si>
    <t xml:space="preserve">S019-06</t>
  </si>
  <si>
    <t xml:space="preserve">ensl_B1_P1_06</t>
  </si>
  <si>
    <t xml:space="preserve">GAGGAGGGCAGCAAACGGAAACCGTTGCGTTGGTGATGAACTGTG</t>
  </si>
  <si>
    <t xml:space="preserve">ensl_B1_P2_06</t>
  </si>
  <si>
    <t xml:space="preserve">CCTTGTCTGTGCATAGCGTTAGCCGTAGAAGAGTCTTCCTTTACG</t>
  </si>
  <si>
    <t xml:space="preserve">B1_P1 (ensl)_6</t>
  </si>
  <si>
    <t xml:space="preserve">B1_P2 (ensl)_6</t>
  </si>
  <si>
    <t xml:space="preserve">ACCGTTGCGTTGGTGATGAACTGTG</t>
  </si>
  <si>
    <t xml:space="preserve">CCTTGTCTGTGCATAGCGTTAGCCG</t>
  </si>
  <si>
    <t xml:space="preserve">S020-01</t>
  </si>
  <si>
    <t xml:space="preserve">eve_B1_P1_01</t>
  </si>
  <si>
    <t xml:space="preserve">GAGGAGGGCAGCAAACGGAAGTATTTTCGTCATCTTGTTGATTTC</t>
  </si>
  <si>
    <t xml:space="preserve">eve_B1_P2_01</t>
  </si>
  <si>
    <t xml:space="preserve">TCGATTCTATAGAGAAGTTTTTTGGTAGAAGAGTCTTCCTTTACG</t>
  </si>
  <si>
    <t xml:space="preserve">eve1_HCR_P1B1</t>
  </si>
  <si>
    <t xml:space="preserve">eve1_HCR_P2B1</t>
  </si>
  <si>
    <t xml:space="preserve">GTATTTTCGTCATCTTGTTGATTTC</t>
  </si>
  <si>
    <t xml:space="preserve">TCGATTCTATAGAGAAGTTTTTTGG</t>
  </si>
  <si>
    <t xml:space="preserve">S020-02</t>
  </si>
  <si>
    <t xml:space="preserve">eve_B1_P1_02</t>
  </si>
  <si>
    <t xml:space="preserve">GAGGAGGGCAGCAAACGGAAATCGATTTCCGGTGAACGTCGCTCG</t>
  </si>
  <si>
    <t xml:space="preserve">eve_B1_P2_02</t>
  </si>
  <si>
    <t xml:space="preserve">ATTAAAATCGGTAATCGTGTTTTCGTAGAAGAGTCTTCCTTTACG</t>
  </si>
  <si>
    <t xml:space="preserve">eve2_HCR_P1B1</t>
  </si>
  <si>
    <t xml:space="preserve">eve2_HCR_P2B1</t>
  </si>
  <si>
    <t xml:space="preserve">ATCGATTTCCGGTGAACGTCGCTCG</t>
  </si>
  <si>
    <t xml:space="preserve">ATTAAAATCGGTAATCGTGTTTTCG</t>
  </si>
  <si>
    <t xml:space="preserve">S020-03</t>
  </si>
  <si>
    <t xml:space="preserve">eve_B1_P1_03</t>
  </si>
  <si>
    <t xml:space="preserve">GAGGAGGGCAGCAAACGGAAATCTCTAACCTTCAAGTCTTCATCC</t>
  </si>
  <si>
    <t xml:space="preserve">eve_B1_P2_03</t>
  </si>
  <si>
    <t xml:space="preserve">ATTTTGTTGGAAATAGTACATCTTCTAGAAGAGTCTTCCTTTACG</t>
  </si>
  <si>
    <t xml:space="preserve">eve3_HCR_P1B1</t>
  </si>
  <si>
    <t xml:space="preserve">eve3_HCR_P2B1</t>
  </si>
  <si>
    <t xml:space="preserve">ATCTCTAACCTTCAAGTCTTCATCC</t>
  </si>
  <si>
    <t xml:space="preserve">ATTTTGTTGGAAATAGTACATCTTC</t>
  </si>
  <si>
    <t xml:space="preserve">S020-04</t>
  </si>
  <si>
    <t xml:space="preserve">eve_B1_P1_04</t>
  </si>
  <si>
    <t xml:space="preserve">GAGGAGGGCAGCAAACGGAATTTATCGTAGGACATAAAAAACGGA</t>
  </si>
  <si>
    <t xml:space="preserve">eve_B1_P2_04</t>
  </si>
  <si>
    <t xml:space="preserve">TTCCGGATATCCGGTTGCCATTCCCTAGAAGAGTCTTCCTTTACG</t>
  </si>
  <si>
    <t xml:space="preserve">eve4_HCR_P1B1</t>
  </si>
  <si>
    <t xml:space="preserve">eve4_HCR_P2B1</t>
  </si>
  <si>
    <t xml:space="preserve">TTTATCGTAGGACATAAAAAACGGA</t>
  </si>
  <si>
    <t xml:space="preserve">TTCCGGATATCCGGTTGCCATTCCC</t>
  </si>
  <si>
    <t xml:space="preserve">S020-05</t>
  </si>
  <si>
    <t xml:space="preserve">eve_B1_P1_05</t>
  </si>
  <si>
    <t xml:space="preserve">GAGGAGGGCAGCAAACGGAATCCCGGACTCGCCCTTTTCAAGTCT</t>
  </si>
  <si>
    <t xml:space="preserve">eve_B1_P2_05</t>
  </si>
  <si>
    <t xml:space="preserve">ATCGCTATCGACTTCGCTCCTGACATAGAAGAGTCTTCCTTTACG</t>
  </si>
  <si>
    <t xml:space="preserve">eve5_HCR_P1B1</t>
  </si>
  <si>
    <t xml:space="preserve">eve5_HCR_P2B1</t>
  </si>
  <si>
    <t xml:space="preserve">TCCCGGACTCGCCCTTTTCAAGTCT</t>
  </si>
  <si>
    <t xml:space="preserve">ATCGCTATCGACTTCGCTCCTGACA</t>
  </si>
  <si>
    <t xml:space="preserve">S020-06</t>
  </si>
  <si>
    <t xml:space="preserve">eve_B1_P1_06</t>
  </si>
  <si>
    <t xml:space="preserve">GAGGAGGGCAGCAAACGGAATGAATGCTGTGCGGTACCTCCTTAT</t>
  </si>
  <si>
    <t xml:space="preserve">eve_B1_P2_06</t>
  </si>
  <si>
    <t xml:space="preserve">TTTCTAAACGAGCCAATTGTTCTCTTAGAAGAGTCTTCCTTTACG</t>
  </si>
  <si>
    <t xml:space="preserve">eve6_HCR_P1B1</t>
  </si>
  <si>
    <t xml:space="preserve">eve6_HCR_P2B1</t>
  </si>
  <si>
    <t xml:space="preserve">TGAATGCTGTGCGGTACCTCCTTAT</t>
  </si>
  <si>
    <t xml:space="preserve">TTTCTAAACGAGCCAATTGTTCTCT</t>
  </si>
  <si>
    <t xml:space="preserve">S021-01</t>
  </si>
  <si>
    <t xml:space="preserve">franky_B1_P1_01</t>
  </si>
  <si>
    <t xml:space="preserve">GAGGAGGGCAGCAAACGGAAAAGTCTTTGCATCCATGCGCATACG</t>
  </si>
  <si>
    <t xml:space="preserve">franky_B1_P2_01</t>
  </si>
  <si>
    <t xml:space="preserve">TTTGCTAATTTTAAAGGTTCTATGTTAGAAGAGTCTTCCTTTACG</t>
  </si>
  <si>
    <t xml:space="preserve">B1_P1 (franky)_1</t>
  </si>
  <si>
    <t xml:space="preserve">B1_P2 (franky)_1</t>
  </si>
  <si>
    <t xml:space="preserve">AAGTCTTTGCATCCATGCGCATACG</t>
  </si>
  <si>
    <t xml:space="preserve">TTTGCTAATTTTAAAGGTTCTATGT</t>
  </si>
  <si>
    <t xml:space="preserve">S021-02</t>
  </si>
  <si>
    <t xml:space="preserve">franky_B1_P1_02</t>
  </si>
  <si>
    <t xml:space="preserve">GAGGAGGGCAGCAAACGGAAAGAAATGTGCAGTAGTACATTTTTC</t>
  </si>
  <si>
    <t xml:space="preserve">franky_B1_P2_02</t>
  </si>
  <si>
    <t xml:space="preserve">TATATAATCCTTTTTCACGTTAGCATAGAAGAGTCTTCCTTTACG</t>
  </si>
  <si>
    <t xml:space="preserve">B1_P1 (franky)_2</t>
  </si>
  <si>
    <t xml:space="preserve">B1_P2 (franky)_2</t>
  </si>
  <si>
    <t xml:space="preserve">AGAAATGTGCAGTAGTACATTTTTC</t>
  </si>
  <si>
    <t xml:space="preserve">TATATAATCCTTTTTCACGTTAGCA</t>
  </si>
  <si>
    <t xml:space="preserve">S021-03</t>
  </si>
  <si>
    <t xml:space="preserve">franky_B1_P1_03</t>
  </si>
  <si>
    <t xml:space="preserve">GAGGAGGGCAGCAAACGGAAGGTTACAAATTCCCATTTCTTTGAG</t>
  </si>
  <si>
    <t xml:space="preserve">franky_B1_P2_03</t>
  </si>
  <si>
    <t xml:space="preserve">CAAATTTTTCTCCTAAAATGATAAATAGAAGAGTCTTCCTTTACG</t>
  </si>
  <si>
    <t xml:space="preserve">B1_P1 (franky)_3</t>
  </si>
  <si>
    <t xml:space="preserve">B1_P2 (franky)_3</t>
  </si>
  <si>
    <t xml:space="preserve">GGTTACAAATTCCCATTTCTTTGAG</t>
  </si>
  <si>
    <t xml:space="preserve">CAAATTTTTCTCCTAAAATGATAAA</t>
  </si>
  <si>
    <t xml:space="preserve">S021-04</t>
  </si>
  <si>
    <t xml:space="preserve">franky_B1_P1_04</t>
  </si>
  <si>
    <t xml:space="preserve">GAGGAGGGCAGCAAACGGAAGTGATCATAGCTTTGCTGCCTTCGA</t>
  </si>
  <si>
    <t xml:space="preserve">franky_B1_P2_04</t>
  </si>
  <si>
    <t xml:space="preserve">TAATCTCCAGTGCGTTGCCTTATGTTAGAAGAGTCTTCCTTTACG</t>
  </si>
  <si>
    <t xml:space="preserve">B1_P1 (franky)_4</t>
  </si>
  <si>
    <t xml:space="preserve">B1_P2 (franky)_4</t>
  </si>
  <si>
    <t xml:space="preserve">GTGATCATAGCTTTGCTGCCTTCGA</t>
  </si>
  <si>
    <t xml:space="preserve">TAATCTCCAGTGCGTTGCCTTATGT</t>
  </si>
  <si>
    <t xml:space="preserve">S021-05</t>
  </si>
  <si>
    <t xml:space="preserve">franky_B1_P1_05</t>
  </si>
  <si>
    <t xml:space="preserve">GAGGAGGGCAGCAAACGGAAATTTCCTTCGCGACCAGGAAAACCA</t>
  </si>
  <si>
    <t xml:space="preserve">franky_B1_P2_05</t>
  </si>
  <si>
    <t xml:space="preserve">GTCTGTTTTTTCTTTCAATTGCAAATAGAAGAGTCTTCCTTTACG</t>
  </si>
  <si>
    <t xml:space="preserve">B1_P1 (franky)_5</t>
  </si>
  <si>
    <t xml:space="preserve">B1_P2 (franky)_5</t>
  </si>
  <si>
    <t xml:space="preserve">ATTTCCTTCGCGACCAGGAAAACCA</t>
  </si>
  <si>
    <t xml:space="preserve">GTCTGTTTTTTCTTTCAATTGCAAA</t>
  </si>
  <si>
    <t xml:space="preserve">S021-06</t>
  </si>
  <si>
    <t xml:space="preserve">franky_B1_P1_06</t>
  </si>
  <si>
    <t xml:space="preserve">GAGGAGGGCAGCAAACGGAACGCACTCGAAAAATGCCTGAGTTAA</t>
  </si>
  <si>
    <t xml:space="preserve">franky_B1_P2_06</t>
  </si>
  <si>
    <t xml:space="preserve">AGCCGGTAACAAATTGTATTAATTCTAGAAGAGTCTTCCTTTACG</t>
  </si>
  <si>
    <t xml:space="preserve">B1_P1 (franky)_6</t>
  </si>
  <si>
    <t xml:space="preserve">B1_P2 (franky)_6</t>
  </si>
  <si>
    <t xml:space="preserve">CGCACTCGAAAAATGCCTGAGTTAA</t>
  </si>
  <si>
    <t xml:space="preserve">AGCCGGTAACAAATTGTATTAATTC</t>
  </si>
  <si>
    <t xml:space="preserve">S022-01</t>
  </si>
  <si>
    <t xml:space="preserve">gasp1_B1_P1_01</t>
  </si>
  <si>
    <t xml:space="preserve">GAGGAGGGCAGCAAACGGAACGCAGCCGGCCCGGTAGGCGCACCG</t>
  </si>
  <si>
    <t xml:space="preserve">gasp1_B1_P2_01</t>
  </si>
  <si>
    <t xml:space="preserve">GATACATATAGTTGTTCAGCGCGGCTAGAAGAGTCTTCCTTTACG</t>
  </si>
  <si>
    <t xml:space="preserve">B1_P1 (gasp1)_1</t>
  </si>
  <si>
    <t xml:space="preserve">B1_P2 (gasp1)_1</t>
  </si>
  <si>
    <t xml:space="preserve">CGCAGCCGGCCCGGTAGGCGCACCG</t>
  </si>
  <si>
    <t xml:space="preserve">GATACATATAGTTGTTCAGCGCGGC</t>
  </si>
  <si>
    <t xml:space="preserve">S022-02</t>
  </si>
  <si>
    <t xml:space="preserve">gasp1_B1_P1_02</t>
  </si>
  <si>
    <t xml:space="preserve">GAGGAGGGCAGCAAACGGAATTGGGGCACGAGCTGATGGGCTTGG</t>
  </si>
  <si>
    <t xml:space="preserve">gasp1_B1_P2_02</t>
  </si>
  <si>
    <t xml:space="preserve">AGTGCGATGAGTGCGTGGCCACACTTAGAAGAGTCTTCCTTTACG</t>
  </si>
  <si>
    <t xml:space="preserve">B1_P1 (gasp1)_2</t>
  </si>
  <si>
    <t xml:space="preserve">B1_P2 (gasp1)_2</t>
  </si>
  <si>
    <t xml:space="preserve">TTGGGGCACGAGCTGATGGGCTTGG</t>
  </si>
  <si>
    <t xml:space="preserve">AGTGCGATGAGTGCGTGGCCACACT</t>
  </si>
  <si>
    <t xml:space="preserve">S022-03</t>
  </si>
  <si>
    <t xml:space="preserve">gasp1_B1_P1_03</t>
  </si>
  <si>
    <t xml:space="preserve">GAGGAGGGCAGCAAACGGAAGCATTGGCAATTCATTAGCTCCTTC</t>
  </si>
  <si>
    <t xml:space="preserve">gasp1_B1_P2_03</t>
  </si>
  <si>
    <t xml:space="preserve">TTTTGCTTCCAAGCAGTACTCGTCTTAGAAGAGTCTTCCTTTACG</t>
  </si>
  <si>
    <t xml:space="preserve">B1_P1 (gasp1)_3</t>
  </si>
  <si>
    <t xml:space="preserve">B1_P2 (gasp1)_3</t>
  </si>
  <si>
    <t xml:space="preserve">GCATTGGCAATTCATTAGCTCCTTC</t>
  </si>
  <si>
    <t xml:space="preserve">TTTTGCTTCCAAGCAGTACTCGTCT</t>
  </si>
  <si>
    <t xml:space="preserve">S022-04</t>
  </si>
  <si>
    <t xml:space="preserve">gasp1_B1_P1_04</t>
  </si>
  <si>
    <t xml:space="preserve">GAGGAGGGCAGCAAACGGAACAGCGCCTCTCATCACCAATGGCCT</t>
  </si>
  <si>
    <t xml:space="preserve">gasp1_B1_P2_04</t>
  </si>
  <si>
    <t xml:space="preserve">AGAGTCTACAGGACGCTGTGGCGTTTAGAAGAGTCTTCCTTTACG</t>
  </si>
  <si>
    <t xml:space="preserve">B1_P1 (gasp1)_4</t>
  </si>
  <si>
    <t xml:space="preserve">B1_P2 (gasp1)_4</t>
  </si>
  <si>
    <t xml:space="preserve">CAGCGCCTCTCATCACCAATGGCCT</t>
  </si>
  <si>
    <t xml:space="preserve">AGAGTCTACAGGACGCTGTGGCGTT</t>
  </si>
  <si>
    <t xml:space="preserve">S022-05</t>
  </si>
  <si>
    <t xml:space="preserve">gasp1_B1_P1_05</t>
  </si>
  <si>
    <t xml:space="preserve">GAGGAGGGCAGCAAACGGAAAGAGCCGTAGCGCATTGCGCGTCAG</t>
  </si>
  <si>
    <t xml:space="preserve">gasp1_B1_P2_05</t>
  </si>
  <si>
    <t xml:space="preserve">GATCTGCAGAGTTCCTTGTAGTACCTAGAAGAGTCTTCCTTTACG</t>
  </si>
  <si>
    <t xml:space="preserve">B1_P1 (gasp1)_5</t>
  </si>
  <si>
    <t xml:space="preserve">B1_P2 (gasp1)_5</t>
  </si>
  <si>
    <t xml:space="preserve">AGAGCCGTAGCGCATTGCGCGTCAG</t>
  </si>
  <si>
    <t xml:space="preserve">GATCTGCAGAGTTCCTTGTAGTACC</t>
  </si>
  <si>
    <t xml:space="preserve">S022-06</t>
  </si>
  <si>
    <t xml:space="preserve">gasp1_B1_P1_06</t>
  </si>
  <si>
    <t xml:space="preserve">GAGGAGGGCAGCAAACGGAAGGAGTTTAGGCATTTGTTGGAGCAC</t>
  </si>
  <si>
    <t xml:space="preserve">gasp1_B1_P2_06</t>
  </si>
  <si>
    <t xml:space="preserve">TTTCTCCTGCTTGCGAAGAATTTGTTAGAAGAGTCTTCCTTTACG</t>
  </si>
  <si>
    <t xml:space="preserve">B1_P1 (gasp1)_6</t>
  </si>
  <si>
    <t xml:space="preserve">B1_P2 (gasp1)_6</t>
  </si>
  <si>
    <t xml:space="preserve">GGAGTTTAGGCATTTGTTGGAGCAC</t>
  </si>
  <si>
    <t xml:space="preserve">TTTCTCCTGCTTGCGAAGAATTTGT</t>
  </si>
  <si>
    <t xml:space="preserve">S023-01</t>
  </si>
  <si>
    <t xml:space="preserve">GFP_B1_P1_01</t>
  </si>
  <si>
    <t xml:space="preserve">GAGGAGGGCAGCAAACGGAACACGCTGAACTTGTGGCCGTTTAC</t>
  </si>
  <si>
    <t xml:space="preserve">GFP_B1_P2_01</t>
  </si>
  <si>
    <t xml:space="preserve">GGTGGCATCGCCCTCGCCCTCGCCGTAGAAGAGTCTTCCTTTACG</t>
  </si>
  <si>
    <t xml:space="preserve">gfp1_HCR_P1B1</t>
  </si>
  <si>
    <t xml:space="preserve">gfp1_HCR_P2B1</t>
  </si>
  <si>
    <t xml:space="preserve">CACGCTGAACTTGTGGCCGTTTAC</t>
  </si>
  <si>
    <t xml:space="preserve">GGTGGCATCGCCCTCGCCCTCGCCG</t>
  </si>
  <si>
    <t xml:space="preserve">probe name</t>
  </si>
  <si>
    <t xml:space="preserve">P1 arm 24 nt</t>
  </si>
  <si>
    <t xml:space="preserve">S023-02</t>
  </si>
  <si>
    <t xml:space="preserve">GFP_B1_P1_02</t>
  </si>
  <si>
    <t xml:space="preserve">GAGGAGGGCAGCAAACGGAAGTGCAGATGAACTTCAGGGTCAGCT</t>
  </si>
  <si>
    <t xml:space="preserve">GFP_B1_P2_02</t>
  </si>
  <si>
    <t xml:space="preserve">GGCCAGGGCACGGGCAGCTTGCCGGTAGAAGAGTCTTCCTTTACG</t>
  </si>
  <si>
    <t xml:space="preserve">gfp2_HCR_P1B1</t>
  </si>
  <si>
    <t xml:space="preserve">gfp2_HCR_P2B1</t>
  </si>
  <si>
    <t xml:space="preserve">GTGCAGATGAACTTCAGGGTCAGCT</t>
  </si>
  <si>
    <t xml:space="preserve">GGCCAGGGCACGGGCAGCTTGCCGG</t>
  </si>
  <si>
    <t xml:space="preserve">S023-03</t>
  </si>
  <si>
    <t xml:space="preserve">GFP_B1_P1_03</t>
  </si>
  <si>
    <t xml:space="preserve">GAGGAGGGCAGCAAACGGAAGGCATGGCGGACTTGAAGAAGTCGT</t>
  </si>
  <si>
    <t xml:space="preserve">GFP_B1_P2_03</t>
  </si>
  <si>
    <t xml:space="preserve">ATGGTGCGCTCCTGGACGTAGCCTTTAGAAGAGTCTTCCTTTACG</t>
  </si>
  <si>
    <t xml:space="preserve">gfp3_HCR_P1B1</t>
  </si>
  <si>
    <t xml:space="preserve">gfp3_HCR_P2B1</t>
  </si>
  <si>
    <t xml:space="preserve">GGCATGGCGGACTTGAAGAAGTCGT</t>
  </si>
  <si>
    <t xml:space="preserve">ATGGTGCGCTCCTGGACGTAGCCTT</t>
  </si>
  <si>
    <t xml:space="preserve">S023-04</t>
  </si>
  <si>
    <t xml:space="preserve">GFP_B1_P1_04</t>
  </si>
  <si>
    <t xml:space="preserve">GAGGAGGGCAGCAAACGGAACGGGTCTTGTAGTTGCCGTCGTCCT</t>
  </si>
  <si>
    <t xml:space="preserve">GFP_B1_P2_04</t>
  </si>
  <si>
    <t xml:space="preserve">GTGTCGCCCTCGAACTTCACCTCGGTAGAAGAGTCTTCCTTTACG</t>
  </si>
  <si>
    <t xml:space="preserve">gfp4_HCR_P1B1</t>
  </si>
  <si>
    <t xml:space="preserve">gfp4_HCR_P2B1</t>
  </si>
  <si>
    <t xml:space="preserve">CGGGTCTTGTAGTTGCCGTCGTCCT</t>
  </si>
  <si>
    <t xml:space="preserve">GTGTCGCCCTCGAACTTCACCTCGG</t>
  </si>
  <si>
    <t xml:space="preserve">S023-05</t>
  </si>
  <si>
    <t xml:space="preserve">GFP_B1_P1_05</t>
  </si>
  <si>
    <t xml:space="preserve">GAGGAGGGCAGCAAACGGAATTGTGGCTGTTGTAGTTGTACTCCA</t>
  </si>
  <si>
    <t xml:space="preserve">GFP_B1_P2_05</t>
  </si>
  <si>
    <t xml:space="preserve">TTCTGCTTGTCGGCCATGATATAGATAGAAGAGTCTTCCTTTACG</t>
  </si>
  <si>
    <t xml:space="preserve">gfp5_HCR_P1B1</t>
  </si>
  <si>
    <t xml:space="preserve">gfp5_HCR_P2B1</t>
  </si>
  <si>
    <t xml:space="preserve">TTGTGGCTGTTGTAGTTGTACTCCA</t>
  </si>
  <si>
    <t xml:space="preserve">TTCTGCTTGTCGGCCATGATATAGA</t>
  </si>
  <si>
    <t xml:space="preserve">S023-06</t>
  </si>
  <si>
    <t xml:space="preserve">GFP_B1_P1_06</t>
  </si>
  <si>
    <t xml:space="preserve">GAGGAGGGCAGCAAACGGAAGTGGCGGATCTTGAAGTTCACCTTG</t>
  </si>
  <si>
    <t xml:space="preserve">GFP_B1_P2_06</t>
  </si>
  <si>
    <t xml:space="preserve">GAGCTGCACGCTGCCGTCCTCGATGTAGAAGAGTCTTCCTTTACG</t>
  </si>
  <si>
    <t xml:space="preserve">gfp6_HCR_P1B1</t>
  </si>
  <si>
    <t xml:space="preserve">gfp6_HCR_P2B1</t>
  </si>
  <si>
    <t xml:space="preserve">GTGGCGGATCTTGAAGTTCACCTTG</t>
  </si>
  <si>
    <t xml:space="preserve">GAGCTGCACGCTGCCGTCCTCGATG</t>
  </si>
  <si>
    <t xml:space="preserve">S023-07</t>
  </si>
  <si>
    <t xml:space="preserve">GFP_B1_P1_07</t>
  </si>
  <si>
    <t xml:space="preserve">GAGGAGGGCAGCAAACGGAATTTGCTCAGGGCGGACTGGGTGCTC</t>
  </si>
  <si>
    <t xml:space="preserve">GFP_B1_P2_07</t>
  </si>
  <si>
    <t xml:space="preserve">CATGTGATCGCGCTTCTCGTTGGGGTAGAAGAGTCTTCCTTTACG</t>
  </si>
  <si>
    <t xml:space="preserve">gfp7_HCR_P1B1</t>
  </si>
  <si>
    <t xml:space="preserve">gfp7_HCR_P2B1</t>
  </si>
  <si>
    <t xml:space="preserve">TTTGCTCAGGGCGGACTGGGTGCTC</t>
  </si>
  <si>
    <t xml:space="preserve">CATGTGATCGCGCTTCTCGTTGGGG</t>
  </si>
  <si>
    <t xml:space="preserve">S023-08</t>
  </si>
  <si>
    <t xml:space="preserve">GFP_B1_P1_08</t>
  </si>
  <si>
    <t xml:space="preserve">GAGGAGGGCAGCAAACGGAAGATCCCGGCGGCGGTCACGAACTCC</t>
  </si>
  <si>
    <t xml:space="preserve">GFP_B1_P2_08</t>
  </si>
  <si>
    <t xml:space="preserve">CTTGTACAGCTCGTCCATGCCGAGATAGAAGAGTCTTCCTTTACG</t>
  </si>
  <si>
    <t xml:space="preserve">gfp8_HCR_P1B1</t>
  </si>
  <si>
    <t xml:space="preserve">gfp8_HCR_P2B1</t>
  </si>
  <si>
    <t xml:space="preserve">GATCCCGGCGGCGGTCACGAACTCC</t>
  </si>
  <si>
    <t xml:space="preserve">CTTGTACAGCTCGTCCATGCCGAGA</t>
  </si>
  <si>
    <t xml:space="preserve">S024-01</t>
  </si>
  <si>
    <t xml:space="preserve">groucho-like_B1_P1_01</t>
  </si>
  <si>
    <t xml:space="preserve">GAGGAGGGCAGCAAACGGAAAGCCGGATGCCGCGTCGGAGTTGGA</t>
  </si>
  <si>
    <t xml:space="preserve">groucho-like_B1_P2_01</t>
  </si>
  <si>
    <t xml:space="preserve">TGAAGGCTGGGGACCCCTCACTGCCTAGAAGAGTCTTCCTTTACG</t>
  </si>
  <si>
    <t xml:space="preserve">B1_P1 (groucho-like)_1</t>
  </si>
  <si>
    <t xml:space="preserve">B1_P2 (groucho-like)_1</t>
  </si>
  <si>
    <t xml:space="preserve">AGCCGGATGCCGCGTCGGAGTTGGA</t>
  </si>
  <si>
    <t xml:space="preserve">TGAAGGCTGGGGACCCCTCACTGCC</t>
  </si>
  <si>
    <t xml:space="preserve">S024-02</t>
  </si>
  <si>
    <t xml:space="preserve">groucho-like_B1_P1_02</t>
  </si>
  <si>
    <t xml:space="preserve">GAGGAGGGCAGCAAACGGAATTCTCTCTAAATTGTCAGCTACAGT</t>
  </si>
  <si>
    <t xml:space="preserve">groucho-like_B1_P2_02</t>
  </si>
  <si>
    <t xml:space="preserve">CTTGTAAAAAATTAAATTCCTCTTTTAGAAGAGTCTTCCTTTACG</t>
  </si>
  <si>
    <t xml:space="preserve">B1_P1 (groucho-like)_2</t>
  </si>
  <si>
    <t xml:space="preserve">B1_P2 (groucho-like)_2</t>
  </si>
  <si>
    <t xml:space="preserve">TTCTCTCTAAATTGTCAGCTACAGT</t>
  </si>
  <si>
    <t xml:space="preserve">CTTGTAAAAAATTAAATTCCTCTTT</t>
  </si>
  <si>
    <t xml:space="preserve">S024-03</t>
  </si>
  <si>
    <t xml:space="preserve">groucho-like_B1_P1_03</t>
  </si>
  <si>
    <t xml:space="preserve">GAGGAGGGCAGCAAACGGAACTGGCTAACTTTTCACACTCTAATT</t>
  </si>
  <si>
    <t xml:space="preserve">groucho-like_B1_P2_03</t>
  </si>
  <si>
    <t xml:space="preserve">TAGTGTCTTTGCATTTCTGTTTTCTTAGAAGAGTCTTCCTTTACG</t>
  </si>
  <si>
    <t xml:space="preserve">B1_P1 (groucho-like)_3</t>
  </si>
  <si>
    <t xml:space="preserve">B1_P2 (groucho-like)_3</t>
  </si>
  <si>
    <t xml:space="preserve">CTGGCTAACTTTTCACACTCTAATT</t>
  </si>
  <si>
    <t xml:space="preserve">TAGTGTCTTTGCATTTCTGTTTTCT</t>
  </si>
  <si>
    <t xml:space="preserve">S025-01</t>
  </si>
  <si>
    <t xml:space="preserve">hsp67B1_B1_P1_01</t>
  </si>
  <si>
    <t xml:space="preserve">GAGGAGGGCAGCAAACGGAAGTTTACGATGACACGGAATTTGTCT</t>
  </si>
  <si>
    <t xml:space="preserve">hsp67B1_B1_P2_01</t>
  </si>
  <si>
    <t xml:space="preserve">CAGATCTTTCTTCTTGTAATCCTTATAGAAGAGTCTTCCTTTACG</t>
  </si>
  <si>
    <t xml:space="preserve">B1_P1 (hsp67B1)_1</t>
  </si>
  <si>
    <t xml:space="preserve">B1_P2 (hsp67B1)_1</t>
  </si>
  <si>
    <t xml:space="preserve">GTTTACGATGACACGGAATTTGTCT</t>
  </si>
  <si>
    <t xml:space="preserve">CAGATCTTTCTTCTTGTAATCCTTA</t>
  </si>
  <si>
    <t xml:space="preserve">S025-02</t>
  </si>
  <si>
    <t xml:space="preserve">hsp67B1_B1_P1_02</t>
  </si>
  <si>
    <t xml:space="preserve">GAGGAGGGCAGCAAACGGAAGCGCTCCTTGGACGAGGATGTAATC</t>
  </si>
  <si>
    <t xml:space="preserve">hsp67B1_B1_P2_02</t>
  </si>
  <si>
    <t xml:space="preserve">AGTCGTGGTCGTCATGCTTAGCCTCTAGAAGAGTCTTCCTTTACG</t>
  </si>
  <si>
    <t xml:space="preserve">B1_P1 (hsp67B1)_2</t>
  </si>
  <si>
    <t xml:space="preserve">B1_P2 (hsp67B1)_2</t>
  </si>
  <si>
    <t xml:space="preserve">GCGCTCCTTGGACGAGGATGTAATC</t>
  </si>
  <si>
    <t xml:space="preserve">AGTCGTGGTCGTCATGCTTAGCCTC</t>
  </si>
  <si>
    <t xml:space="preserve">S025-03</t>
  </si>
  <si>
    <t xml:space="preserve">hsp67B1_B1_P1_03</t>
  </si>
  <si>
    <t xml:space="preserve">GAGGAGGGCAGCAAACGGAATTCAACGGAAGGCTGTACGTATGGA</t>
  </si>
  <si>
    <t xml:space="preserve">hsp67B1_B1_P2_03</t>
  </si>
  <si>
    <t xml:space="preserve">GTAGCAGTGACATCTGATGCACTAGTAGAAGAGTCTTCCTTTACG</t>
  </si>
  <si>
    <t xml:space="preserve">B1_P1 (hsp67B1)_3</t>
  </si>
  <si>
    <t xml:space="preserve">B1_P2 (hsp67B1)_3</t>
  </si>
  <si>
    <t xml:space="preserve">TTCAACGGAAGGCTGTACGTATGGA</t>
  </si>
  <si>
    <t xml:space="preserve">GTAGCAGTGACATCTGATGCACTAG</t>
  </si>
  <si>
    <t xml:space="preserve">S025-04</t>
  </si>
  <si>
    <t xml:space="preserve">hsp67B1_B1_P1_04</t>
  </si>
  <si>
    <t xml:space="preserve">GAGGAGGGCAGCAAACGGAAATTCACAGGAGCGGTTACATCCAAA</t>
  </si>
  <si>
    <t xml:space="preserve">hsp67B1_B1_P2_04</t>
  </si>
  <si>
    <t xml:space="preserve">AACAACCTTGTTCTTGTCATCGACATAGAAGAGTCTTCCTTTACG</t>
  </si>
  <si>
    <t xml:space="preserve">B1_P1 (hsp67B1)_4</t>
  </si>
  <si>
    <t xml:space="preserve">B1_P2 (hsp67B1)_4</t>
  </si>
  <si>
    <t xml:space="preserve">ATTCACAGGAGCGGTTACATCCAAA</t>
  </si>
  <si>
    <t xml:space="preserve">AACAACCTTGTTCTTGTCATCGACA</t>
  </si>
  <si>
    <t xml:space="preserve">S025-05</t>
  </si>
  <si>
    <t xml:space="preserve">hsp67B1_B1_P1_05</t>
  </si>
  <si>
    <t xml:space="preserve">GAGGAGGGCAGCAAACGGAACTTTCAACGGCTTGCCACTTTCAAC</t>
  </si>
  <si>
    <t xml:space="preserve">hsp67B1_B1_P2_05</t>
  </si>
  <si>
    <t xml:space="preserve">CAACAGGTTCTCTATCTTCTTTATCTAGAAGAGTCTTCCTTTACG</t>
  </si>
  <si>
    <t xml:space="preserve">B1_P1 (hsp67B1)_5</t>
  </si>
  <si>
    <t xml:space="preserve">B1_P2 (hsp67B1)_5</t>
  </si>
  <si>
    <t xml:space="preserve">CTTTCAACGGCTTGCCACTTTCAAC</t>
  </si>
  <si>
    <t xml:space="preserve">CAACAGGTTCTCTATCTTCTTTATC</t>
  </si>
  <si>
    <t xml:space="preserve">S025-06</t>
  </si>
  <si>
    <t xml:space="preserve">hsp67B1_B1_P1_06</t>
  </si>
  <si>
    <t xml:space="preserve">GAGGAGGGCAGCAAACGGAAGTCTTATCAACAGTTTCAACTGGGT</t>
  </si>
  <si>
    <t xml:space="preserve">hsp67B1_B1_P2_06</t>
  </si>
  <si>
    <t xml:space="preserve">AAAGTTTCGATTTTATCAACATTTTTAGAAGAGTCTTCCTTTACG</t>
  </si>
  <si>
    <t xml:space="preserve">B1_P1 (hsp67B1)_6</t>
  </si>
  <si>
    <t xml:space="preserve">B1_P2 (hsp67B1)_6</t>
  </si>
  <si>
    <t xml:space="preserve">GTCTTATCAACAGTTTCAACTGGGT</t>
  </si>
  <si>
    <t xml:space="preserve">AAAGTTTCGATTTTATCAACATTTT</t>
  </si>
  <si>
    <t xml:space="preserve">S026-01</t>
  </si>
  <si>
    <t xml:space="preserve">hth_B1_P1_01</t>
  </si>
  <si>
    <t xml:space="preserve">GAGGAGGGCAGCAAACGGAAGCGACCCGCACCATTTGCCCATGGC</t>
  </si>
  <si>
    <t xml:space="preserve">hth_B1_P2_01</t>
  </si>
  <si>
    <t xml:space="preserve">CGTCGGGAGGGGATGACCATTCCCGTAGAAGAGTCTTCCTTTACG</t>
  </si>
  <si>
    <t xml:space="preserve">Htha_HCR_P1B1</t>
  </si>
  <si>
    <t xml:space="preserve">Htha_HCR_P2B1</t>
  </si>
  <si>
    <t xml:space="preserve">GCGACCCGCACCATTTGCCCATGGC</t>
  </si>
  <si>
    <t xml:space="preserve">CGTCGGGAGGGGATGACCATTCCCG</t>
  </si>
  <si>
    <t xml:space="preserve">S026-02</t>
  </si>
  <si>
    <t xml:space="preserve">hth_B1_P1_02</t>
  </si>
  <si>
    <t xml:space="preserve">GAGGAGGGCAGCAAACGGAATTCCTCCCCCGTACCCTCGCCGGAG</t>
  </si>
  <si>
    <t xml:space="preserve">hth_B1_P2_02</t>
  </si>
  <si>
    <t xml:space="preserve">GTTCTTCTTTCCGTTCGTGTCGTCGTAGAAGAGTCTTCCTTTACG</t>
  </si>
  <si>
    <t xml:space="preserve">Hthb_HCR_P1B1</t>
  </si>
  <si>
    <t xml:space="preserve">Hthb_HCR_P2B1</t>
  </si>
  <si>
    <t xml:space="preserve">TTCCTCCCCCGTACCCTCGCCGGAG</t>
  </si>
  <si>
    <t xml:space="preserve">GTTCTTCTTTCCGTTCGTGTCGTCG</t>
  </si>
  <si>
    <t xml:space="preserve">S026-03</t>
  </si>
  <si>
    <t xml:space="preserve">hth_B1_P1_03</t>
  </si>
  <si>
    <t xml:space="preserve">GAGGAGGGCAGCAAACGGAACTGTTTCTTCTGGTCTTCCGAAGGG</t>
  </si>
  <si>
    <t xml:space="preserve">hth_B1_P2_03</t>
  </si>
  <si>
    <t xml:space="preserve">TATCGTTAACCCTGTGTCTTGTGCCTAGAAGAGTCTTCCTTTACG</t>
  </si>
  <si>
    <t xml:space="preserve">Hthc_HCR_P1B1</t>
  </si>
  <si>
    <t xml:space="preserve">Hthc_HCR_P2B1</t>
  </si>
  <si>
    <t xml:space="preserve">CTGTTTCTTCTGGTCTTCCGAAGGG</t>
  </si>
  <si>
    <t xml:space="preserve">TATCGTTAACCCTGTGTCTTGTGCC</t>
  </si>
  <si>
    <t xml:space="preserve">S026-04</t>
  </si>
  <si>
    <t xml:space="preserve">hth_B1_P1_04</t>
  </si>
  <si>
    <t xml:space="preserve">GAGGAGGGCAGCAAACGGAAACTGCGGGGTAGAACACTGCACGGT</t>
  </si>
  <si>
    <t xml:space="preserve">hth_B1_P2_04</t>
  </si>
  <si>
    <t xml:space="preserve">GCGCCGCTGGGGCCCGCGTGCGGGATAGAAGAGTCTTCCTTTACG</t>
  </si>
  <si>
    <t xml:space="preserve">hth3_HCR_P1B1</t>
  </si>
  <si>
    <t xml:space="preserve">hth3_HCR_P2B1</t>
  </si>
  <si>
    <t xml:space="preserve">ACTGCGGGGTAGAACACTGCACGGT</t>
  </si>
  <si>
    <t xml:space="preserve">GCGCCGCTGGGGCCCGCGTGCGGGA</t>
  </si>
  <si>
    <t xml:space="preserve">template match: P2 only</t>
  </si>
  <si>
    <t xml:space="preserve">S026-05</t>
  </si>
  <si>
    <t xml:space="preserve">hth_B1_P1_05</t>
  </si>
  <si>
    <t xml:space="preserve">GAGGAGGGCAGCAAACGGAAGTCCATCATGTAGCCCATGGTGGCC</t>
  </si>
  <si>
    <t xml:space="preserve">hth_B1_P2_05</t>
  </si>
  <si>
    <t xml:space="preserve">CGGCGGCCTGTGCATCATCTGCTGGTAGAAGAGTCTTCCTTTACG</t>
  </si>
  <si>
    <t xml:space="preserve">hth4_HCR_P1B1</t>
  </si>
  <si>
    <t xml:space="preserve">hth4_HCR_P2B1</t>
  </si>
  <si>
    <t xml:space="preserve">GTCCATCATGTAGCCCATGGTGGCC</t>
  </si>
  <si>
    <t xml:space="preserve">CGGCGGCCTGTGCATCATCTGCTGG</t>
  </si>
  <si>
    <t xml:space="preserve">S026-06</t>
  </si>
  <si>
    <t xml:space="preserve">hth_B1_P1_06</t>
  </si>
  <si>
    <t xml:space="preserve">GAGGAGGGCAGCAAACGGAATAGTGCGCGTAGCCCTGGTGGAAGG</t>
  </si>
  <si>
    <t xml:space="preserve">hth_B1_P2_06</t>
  </si>
  <si>
    <t xml:space="preserve">AGATGGTGTCCGTAGTACTCGGCGGTAGAAGAGTCTTCCTTTACG</t>
  </si>
  <si>
    <t xml:space="preserve">hth5_HCR_P1B1</t>
  </si>
  <si>
    <t xml:space="preserve">hth5_HCR_P2B1</t>
  </si>
  <si>
    <t xml:space="preserve">TAGTGCGCGTAGCCCTGGTGGAAGG</t>
  </si>
  <si>
    <t xml:space="preserve">AGATGGTGTCCGTAGTACTCGGCGG</t>
  </si>
  <si>
    <t xml:space="preserve">S027-01</t>
  </si>
  <si>
    <t xml:space="preserve">inv_B1_P1_01</t>
  </si>
  <si>
    <t xml:space="preserve">GAGGAGGGCAGCAAACGGAACGAGTAGGGGTCGTGCTCTTCGTCA</t>
  </si>
  <si>
    <t xml:space="preserve">inv_B1_P2_01</t>
  </si>
  <si>
    <t xml:space="preserve">TGGTGTGATGGTGTCTCTAGTGTTGTAGAAGAGTCTTCCTTTACG</t>
  </si>
  <si>
    <t xml:space="preserve">inv1_HCR_P1B1</t>
  </si>
  <si>
    <t xml:space="preserve">inv1_HCR_P2B1</t>
  </si>
  <si>
    <t xml:space="preserve">CGAGTAGGGGTCGTGCTCTTCGTCA</t>
  </si>
  <si>
    <t xml:space="preserve">TGGTGTGATGGTGTCTCTAGTGTTG</t>
  </si>
  <si>
    <t xml:space="preserve">S027-02</t>
  </si>
  <si>
    <t xml:space="preserve">inv_B1_P1_02</t>
  </si>
  <si>
    <t xml:space="preserve">GAGGAGGGCAGCAAACGGAATGTATAGGCCTGTCTTGTTTGTCTT</t>
  </si>
  <si>
    <t xml:space="preserve">inv_B1_P2_02</t>
  </si>
  <si>
    <t xml:space="preserve">ACATTGTGTATGGAGAAAGAGGATGTAGAAGAGTCTTCCTTTACG</t>
  </si>
  <si>
    <t xml:space="preserve">inv2_HCR_P1B1</t>
  </si>
  <si>
    <t xml:space="preserve">inv2_HCR_P2B1</t>
  </si>
  <si>
    <t xml:space="preserve">TGTATAGGCCTGTCTTGTTTGTCTT</t>
  </si>
  <si>
    <t xml:space="preserve">ACATTGTGTATGGAGAAAGAGGATG</t>
  </si>
  <si>
    <t xml:space="preserve">S027-03</t>
  </si>
  <si>
    <t xml:space="preserve">inv_B1_P1_03</t>
  </si>
  <si>
    <t xml:space="preserve">GAGGAGGGCAGCAAACGGAAGACGTTCTCAGGACTATTACTGTCT</t>
  </si>
  <si>
    <t xml:space="preserve">inv_B1_P2_03</t>
  </si>
  <si>
    <t xml:space="preserve">ACTTTGCAACAACTTTTCAGTTGAGTAGAAGAGTCTTCCTTTACG</t>
  </si>
  <si>
    <t xml:space="preserve">inv3_HCR_P1B1</t>
  </si>
  <si>
    <t xml:space="preserve">inv3_HCR_P2B1</t>
  </si>
  <si>
    <t xml:space="preserve">GACGTTCTCAGGACTATTACTGTCT</t>
  </si>
  <si>
    <t xml:space="preserve">ACTTTGCAACAACTTTTCAGTTGAG</t>
  </si>
  <si>
    <t xml:space="preserve">S027-04</t>
  </si>
  <si>
    <t xml:space="preserve">inv_B1_P1_04</t>
  </si>
  <si>
    <t xml:space="preserve">GAGGAGGGCAGCAAACGGAAAACGCTTTCAGAGTTCCTAGAATCT</t>
  </si>
  <si>
    <t xml:space="preserve">inv_B1_P2_04</t>
  </si>
  <si>
    <t xml:space="preserve">ATTGTGATCATCTTCAAGTCTCGGATAGAAGAGTCTTCCTTTACG</t>
  </si>
  <si>
    <t xml:space="preserve">inv4_HCR_P1B1</t>
  </si>
  <si>
    <t xml:space="preserve">inv4_HCR_P2B1</t>
  </si>
  <si>
    <t xml:space="preserve">AACGCTTTCAGAGTTCCTAGAATCT</t>
  </si>
  <si>
    <t xml:space="preserve">ATTGTGATCATCTTCAAGTCTCGGA</t>
  </si>
  <si>
    <t xml:space="preserve">S027-05</t>
  </si>
  <si>
    <t xml:space="preserve">inv_B1_P1_05</t>
  </si>
  <si>
    <t xml:space="preserve">GAGGAGGGCAGCAAACGGAAACAACAAGAGTTGTCATCAACACTT</t>
  </si>
  <si>
    <t xml:space="preserve">inv_B1_P2_05</t>
  </si>
  <si>
    <t xml:space="preserve">GCCAACAGATAGCACAGTATCATCATAGAAGAGTCTTCCTTTACG</t>
  </si>
  <si>
    <t xml:space="preserve">inv5_HCR_P1B1</t>
  </si>
  <si>
    <t xml:space="preserve">inv5_HCR_P2B1</t>
  </si>
  <si>
    <t xml:space="preserve">ACAACAAGAGTTGTCATCAACACTT</t>
  </si>
  <si>
    <t xml:space="preserve">GCCAACAGATAGCACAGTATCATCA</t>
  </si>
  <si>
    <t xml:space="preserve">S027-06</t>
  </si>
  <si>
    <t xml:space="preserve">inv_B1_P1_06</t>
  </si>
  <si>
    <t xml:space="preserve">GAGGAGGGCAGCAAACGGAAATCTTTGTCGTTTGGGTAATTGGTT</t>
  </si>
  <si>
    <t xml:space="preserve">inv_B1_P2_06</t>
  </si>
  <si>
    <t xml:space="preserve">TTTGAAGGAGGTTAAGCCTTGGTTCTAGAAGAGTCTTCCTTTACG</t>
  </si>
  <si>
    <t xml:space="preserve">inv6_HCR_P1B1</t>
  </si>
  <si>
    <t xml:space="preserve">inv6_HCR_P2B1</t>
  </si>
  <si>
    <t xml:space="preserve">ATCTTTGTCGTTTGGGTAATTGGTT</t>
  </si>
  <si>
    <t xml:space="preserve">TTTGAAGGAGGTTAAGCCTTGGTTC</t>
  </si>
  <si>
    <t xml:space="preserve">S027-07</t>
  </si>
  <si>
    <t xml:space="preserve">inv_B1_P1_07</t>
  </si>
  <si>
    <t xml:space="preserve">GAGGAGGGCAGCAAACGGAATGACTTAACTGTGATATTGCGTTCA</t>
  </si>
  <si>
    <t xml:space="preserve">inv_B1_P2_07</t>
  </si>
  <si>
    <t xml:space="preserve">AGGATTGGTTGGTTTATGTTTAAATTAGAAGAGTCTTCCTTTACG</t>
  </si>
  <si>
    <t xml:space="preserve">inv7_HCR_P1B1</t>
  </si>
  <si>
    <t xml:space="preserve">inv7_HCR_P2B1</t>
  </si>
  <si>
    <t xml:space="preserve">TGACTTAACTGTGATATTGCGTTCA</t>
  </si>
  <si>
    <t xml:space="preserve">AGGATTGGTTGGTTTATGTTTAAAT</t>
  </si>
  <si>
    <t xml:space="preserve">S027-08</t>
  </si>
  <si>
    <t xml:space="preserve">inv_B1_P1_08</t>
  </si>
  <si>
    <t xml:space="preserve">GAGGAGGGCAGCAAACGGAAGGAACATTAACGGGTTTGGTGTTAT</t>
  </si>
  <si>
    <t xml:space="preserve">inv_B1_P2_08</t>
  </si>
  <si>
    <t xml:space="preserve">GGTTTTGGAATAACAACGGTTGGTTTAGAAGAGTCTTCCTTTACG</t>
  </si>
  <si>
    <t xml:space="preserve">inv8_HCR_P1B1</t>
  </si>
  <si>
    <t xml:space="preserve">inv8_HCR_P2B1</t>
  </si>
  <si>
    <t xml:space="preserve">GGAACATTAACGGGTTTGGTGTTAT</t>
  </si>
  <si>
    <t xml:space="preserve">GGTTTTGGAATAACAACGGTTGGTT</t>
  </si>
  <si>
    <t xml:space="preserve">S027-09</t>
  </si>
  <si>
    <t xml:space="preserve">inv_B1_P1_09</t>
  </si>
  <si>
    <t xml:space="preserve">GAGGAGGGCAGCAAACGGAACTCGGTAACCCTGATTTTAAATCCA</t>
  </si>
  <si>
    <t xml:space="preserve">inv_B1_P2_09</t>
  </si>
  <si>
    <t xml:space="preserve">TTTAAATTGTTTTGCTGCAAGCCGATAGAAGAGTCTTCCTTTACG</t>
  </si>
  <si>
    <t xml:space="preserve">inv9_HCR_P1B1</t>
  </si>
  <si>
    <t xml:space="preserve">inv9_HCR_P2B1</t>
  </si>
  <si>
    <t xml:space="preserve">CTCGGTAACCCTGATTTTAAATCCA</t>
  </si>
  <si>
    <t xml:space="preserve">TTTAAATTGTTTTGCTGCAAGCCGA</t>
  </si>
  <si>
    <t xml:space="preserve">S027-10</t>
  </si>
  <si>
    <t xml:space="preserve">inv_B1_P1_10</t>
  </si>
  <si>
    <t xml:space="preserve">GAGGAGGGCAGCAAACGGAATTCATTTTTTCTCGCATAATTCATG</t>
  </si>
  <si>
    <t xml:space="preserve">inv_B1_P2_10</t>
  </si>
  <si>
    <t xml:space="preserve">TGAATAACTCTGTCGTCTTTCGTTCTAGAAGAGTCTTCCTTTACG</t>
  </si>
  <si>
    <t xml:space="preserve">inv10_HCR_P1B1</t>
  </si>
  <si>
    <t xml:space="preserve">inv10_HCR_P2B1</t>
  </si>
  <si>
    <t xml:space="preserve">TTCATTTTTTCTCGCATAATTCATG</t>
  </si>
  <si>
    <t xml:space="preserve">TGAATAACTCTGTCGTCTTTCGTTC</t>
  </si>
  <si>
    <t xml:space="preserve">S028-01</t>
  </si>
  <si>
    <t xml:space="preserve">invected-like_B1_P1_01</t>
  </si>
  <si>
    <t xml:space="preserve">GAGGAGGGCAGCAAACGGAATGTACGAGTCTGTGTGATTACCTAC</t>
  </si>
  <si>
    <t xml:space="preserve">invected-like_B1_P2_01</t>
  </si>
  <si>
    <t xml:space="preserve">AAATAAAAAAAAACAAAGTATTGTGTAGAAGAGTCTTCCTTTACG</t>
  </si>
  <si>
    <t xml:space="preserve">invlike1_HCR_P1B1</t>
  </si>
  <si>
    <t xml:space="preserve">invlike1_HCR_P2B1</t>
  </si>
  <si>
    <t xml:space="preserve">TGTACGAGTCTGTGTGATTACCTAC</t>
  </si>
  <si>
    <t xml:space="preserve">AAATAAAAAAAAACAAAGTATTGTG</t>
  </si>
  <si>
    <t xml:space="preserve">S028-02</t>
  </si>
  <si>
    <t xml:space="preserve">invected-like_B1_P1_02</t>
  </si>
  <si>
    <t xml:space="preserve">GAGGAGGGCAGCAAACGGAATTATGGCGATGTATTAATAAATAAC</t>
  </si>
  <si>
    <t xml:space="preserve">invected-like_B1_P2_02</t>
  </si>
  <si>
    <t xml:space="preserve">ACTTTCTAAAAAGACATTCGCGCTTTAGAAGAGTCTTCCTTTACG</t>
  </si>
  <si>
    <t xml:space="preserve">invlike2_HCR_P1B1</t>
  </si>
  <si>
    <t xml:space="preserve">invlike2_HCR_P2B1</t>
  </si>
  <si>
    <t xml:space="preserve">TTATGGCGATGTATTAATAAATAAC</t>
  </si>
  <si>
    <t xml:space="preserve">ACTTTCTAAAAAGACATTCGCGCTT</t>
  </si>
  <si>
    <t xml:space="preserve">S028-03</t>
  </si>
  <si>
    <t xml:space="preserve">invected-like_B1_P1_03</t>
  </si>
  <si>
    <t xml:space="preserve">GAGGAGGGCAGCAAACGGAATATAGGTATAGAAAATCACTATGAG</t>
  </si>
  <si>
    <t xml:space="preserve">invected-like_B1_P2_03</t>
  </si>
  <si>
    <t xml:space="preserve">AATTGGGATTTATTTACTTTTGTTTTAGAAGAGTCTTCCTTTACG</t>
  </si>
  <si>
    <t xml:space="preserve">invlike3_HCR_P1B1</t>
  </si>
  <si>
    <t xml:space="preserve">invlike3_HCR_P2B1</t>
  </si>
  <si>
    <t xml:space="preserve">TATAGGTATAGAAAATCACTATGAG</t>
  </si>
  <si>
    <t xml:space="preserve">AATTGGGATTTATTTACTTTTGTTT</t>
  </si>
  <si>
    <t xml:space="preserve">S029-01</t>
  </si>
  <si>
    <t xml:space="preserve">kartic_B1_P1_01</t>
  </si>
  <si>
    <t xml:space="preserve">GAGGAGGGCAGCAAACGGAACAGAGAGGCGGATATTATCGAAGGT</t>
  </si>
  <si>
    <t xml:space="preserve">kartic_B1_P2_01</t>
  </si>
  <si>
    <t xml:space="preserve">TACTCAAAGCTGGTACAAAAAGTTTTAGAAGAGTCTTCCTTTACG</t>
  </si>
  <si>
    <t xml:space="preserve">B1_P1 (kartic)_1</t>
  </si>
  <si>
    <t xml:space="preserve">B1_P2 (kartic)_1</t>
  </si>
  <si>
    <t xml:space="preserve">CAGAGAGGCGGATATTATCGAAGGT</t>
  </si>
  <si>
    <t xml:space="preserve">TACTCAAAGCTGGTACAAAAAGTTT</t>
  </si>
  <si>
    <t xml:space="preserve">S029-02</t>
  </si>
  <si>
    <t xml:space="preserve">kartic_B1_P1_02</t>
  </si>
  <si>
    <t xml:space="preserve">GAGGAGGGCAGCAAACGGAAAAGTAATAAGCTCGGCCCTTAAGTT</t>
  </si>
  <si>
    <t xml:space="preserve">kartic_B1_P2_02</t>
  </si>
  <si>
    <t xml:space="preserve">ATTTTACCTAACCCTTGAAGTGGATTAGAAGAGTCTTCCTTTACG</t>
  </si>
  <si>
    <t xml:space="preserve">B1_P1 (kartic)_2</t>
  </si>
  <si>
    <t xml:space="preserve">B1_P2 (kartic)_2</t>
  </si>
  <si>
    <t xml:space="preserve">AAGTAATAAGCTCGGCCCTTAAGTT</t>
  </si>
  <si>
    <t xml:space="preserve">ATTTTACCTAACCCTTGAAGTGGAT</t>
  </si>
  <si>
    <t xml:space="preserve">S029-03</t>
  </si>
  <si>
    <t xml:space="preserve">kartic_B1_P1_03</t>
  </si>
  <si>
    <t xml:space="preserve">GAGGAGGGCAGCAAACGGAAATTAACACTTAAAGATGCATCCACT</t>
  </si>
  <si>
    <t xml:space="preserve">kartic_B1_P2_03</t>
  </si>
  <si>
    <t xml:space="preserve">CATACTGACATCACCAACATTGGCATAGAAGAGTCTTCCTTTACG</t>
  </si>
  <si>
    <t xml:space="preserve">B1_P1 (kartic)_3</t>
  </si>
  <si>
    <t xml:space="preserve">B1_P2 (kartic)_3</t>
  </si>
  <si>
    <t xml:space="preserve">ATTAACACTTAAAGATGCATCCACT</t>
  </si>
  <si>
    <t xml:space="preserve">CATACTGACATCACCAACATTGGCA</t>
  </si>
  <si>
    <t xml:space="preserve">S029-04</t>
  </si>
  <si>
    <t xml:space="preserve">kartic_B1_P1_04</t>
  </si>
  <si>
    <t xml:space="preserve">GAGGAGGGCAGCAAACGGAACGACCGAGCCAAATCCCAAATTAAG</t>
  </si>
  <si>
    <t xml:space="preserve">kartic_B1_P2_04</t>
  </si>
  <si>
    <t xml:space="preserve">GCCACGAACTGTTCTCCAAATCAACTAGAAGAGTCTTCCTTTACG</t>
  </si>
  <si>
    <t xml:space="preserve">B1_P1 (kartic)_4</t>
  </si>
  <si>
    <t xml:space="preserve">B1_P2 (kartic)_4</t>
  </si>
  <si>
    <t xml:space="preserve">CGACCGAGCCAAATCCCAAATTAAG</t>
  </si>
  <si>
    <t xml:space="preserve">GCCACGAACTGTTCTCCAAATCAAC</t>
  </si>
  <si>
    <t xml:space="preserve">S029-05</t>
  </si>
  <si>
    <t xml:space="preserve">kartic_B1_P1_05</t>
  </si>
  <si>
    <t xml:space="preserve">GAGGAGGGCAGCAAACGGAATTGAGTATCTCTACGCCTTCTTTAT</t>
  </si>
  <si>
    <t xml:space="preserve">kartic_B1_P2_05</t>
  </si>
  <si>
    <t xml:space="preserve">CTATTTACTATATCATCATGGAGAGTAGAAGAGTCTTCCTTTACG</t>
  </si>
  <si>
    <t xml:space="preserve">B1_P1 (kartic)_5</t>
  </si>
  <si>
    <t xml:space="preserve">B1_P2 (kartic)_5</t>
  </si>
  <si>
    <t xml:space="preserve">TTGAGTATCTCTACGCCTTCTTTAT</t>
  </si>
  <si>
    <t xml:space="preserve">CTATTTACTATATCATCATGGAGAG</t>
  </si>
  <si>
    <t xml:space="preserve">S029-06</t>
  </si>
  <si>
    <t xml:space="preserve">kartic_B1_P1_06</t>
  </si>
  <si>
    <t xml:space="preserve">GAGGAGGGCAGCAAACGGAAAGCCAAATACTCGTTTGCATACGGA</t>
  </si>
  <si>
    <t xml:space="preserve">kartic_B1_P2_06</t>
  </si>
  <si>
    <t xml:space="preserve">ATCTAAAAATTCCTTATAAGTTATTTAGAAGAGTCTTCCTTTACG</t>
  </si>
  <si>
    <t xml:space="preserve">B1_P1 (kartic)_6</t>
  </si>
  <si>
    <t xml:space="preserve">B1_P2 (kartic)_6</t>
  </si>
  <si>
    <t xml:space="preserve">AGCCAAATACTCGTTTGCATACGGA</t>
  </si>
  <si>
    <t xml:space="preserve">ATCTAAAAATTCCTTATAAGTTATT</t>
  </si>
  <si>
    <t xml:space="preserve">S030-01</t>
  </si>
  <si>
    <t xml:space="preserve">kfase_B1_P1_01</t>
  </si>
  <si>
    <t xml:space="preserve">GAGGAGGGCAGCAAACGGAACTCTAGATCGATCCCTTCGGTTATC</t>
  </si>
  <si>
    <t xml:space="preserve">kfase_B1_P2_01</t>
  </si>
  <si>
    <t xml:space="preserve">CGACCACATGCTGGGCGAATACTCCTAGAAGAGTCTTCCTTTACG</t>
  </si>
  <si>
    <t xml:space="preserve">kfase1_HCR_P1B1</t>
  </si>
  <si>
    <t xml:space="preserve">kfase1_HCR_P2B1</t>
  </si>
  <si>
    <t xml:space="preserve">CTCTAGATCGATCCCTTCGGTTATC</t>
  </si>
  <si>
    <t xml:space="preserve">CGACCACATGCTGGGCGAATACTCC</t>
  </si>
  <si>
    <t xml:space="preserve">S030-02</t>
  </si>
  <si>
    <t xml:space="preserve">kfase_B1_P1_02</t>
  </si>
  <si>
    <t xml:space="preserve">GAGGAGGGCAGCAAACGGAAATGATGCTGCGTAACTTCTTGGGGA</t>
  </si>
  <si>
    <t xml:space="preserve">kfase_B1_P2_02</t>
  </si>
  <si>
    <t xml:space="preserve">TTCGCTTGCTGCAGTGACGACGTTTTAGAAGAGTCTTCCTTTACG</t>
  </si>
  <si>
    <t xml:space="preserve">kfase2_HCR_P1B1</t>
  </si>
  <si>
    <t xml:space="preserve">kfase2_HCR_P2B1</t>
  </si>
  <si>
    <t xml:space="preserve">ATGATGCTGCGTAACTTCTTGGGGA</t>
  </si>
  <si>
    <t xml:space="preserve">TTCGCTTGCTGCAGTGACGACGTTT</t>
  </si>
  <si>
    <t xml:space="preserve">S030-03</t>
  </si>
  <si>
    <t xml:space="preserve">kfase_B1_P1_03</t>
  </si>
  <si>
    <t xml:space="preserve">GAGGAGGGCAGCAAACGGAAGACGGGTGAATCATCAGGGAGGTCT</t>
  </si>
  <si>
    <t xml:space="preserve">kfase_B1_P2_03</t>
  </si>
  <si>
    <t xml:space="preserve">CCAATAGCCGCCGTGGATGTACACTTAGAAGAGTCTTCCTTTACG</t>
  </si>
  <si>
    <t xml:space="preserve">kfase3_HCR_P1B1</t>
  </si>
  <si>
    <t xml:space="preserve">kfase3_HCR_P2B1</t>
  </si>
  <si>
    <t xml:space="preserve">GACGGGTGAATCATCAGGGAGGTCT</t>
  </si>
  <si>
    <t xml:space="preserve">CCAATAGCCGCCGTGGATGTACACT</t>
  </si>
  <si>
    <t xml:space="preserve">S030-04</t>
  </si>
  <si>
    <t xml:space="preserve">kfase_B1_P1_04</t>
  </si>
  <si>
    <t xml:space="preserve">GAGGAGGGCAGCAAACGGAACTGGGCGAGGTACCGCGATGCTTCC</t>
  </si>
  <si>
    <t xml:space="preserve">kfase_B1_P2_04</t>
  </si>
  <si>
    <t xml:space="preserve">GGTCTTGATGCGGAACCGGTGCAGCTAGAAGAGTCTTCCTTTACG</t>
  </si>
  <si>
    <t xml:space="preserve">kfase4_HCR_P1B1</t>
  </si>
  <si>
    <t xml:space="preserve">kfase4_HCR_P2B1</t>
  </si>
  <si>
    <t xml:space="preserve">CTGGGCGAGGTACCGCGATGCTTCC</t>
  </si>
  <si>
    <t xml:space="preserve">GGTCTTGATGCGGAACCGGTGCAGC</t>
  </si>
  <si>
    <t xml:space="preserve">S030-05</t>
  </si>
  <si>
    <t xml:space="preserve">kfase_B1_P1_05</t>
  </si>
  <si>
    <t xml:space="preserve">GAGGAGGGCAGCAAACGGAAAGCCCATCTTCTCTGCGTACTCGAA</t>
  </si>
  <si>
    <t xml:space="preserve">kfase_B1_P2_05</t>
  </si>
  <si>
    <t xml:space="preserve">AGTGGCCGGCGAAGTAGACGCCTCTTAGAAGAGTCTTCCTTTACG</t>
  </si>
  <si>
    <t xml:space="preserve">kfase5_HCR_P1B1</t>
  </si>
  <si>
    <t xml:space="preserve">kfase5_HCR_P2B1</t>
  </si>
  <si>
    <t xml:space="preserve">AGCCCATCTTCTCTGCGTACTCGAA</t>
  </si>
  <si>
    <t xml:space="preserve">AGTGGCCGGCGAAGTAGACGCCTCT</t>
  </si>
  <si>
    <t xml:space="preserve">S030-06</t>
  </si>
  <si>
    <t xml:space="preserve">kfase_B1_P1_06</t>
  </si>
  <si>
    <t xml:space="preserve">GAGGAGGGCAGCAAACGGAAGAATTGGACAGCAACTTTGCTACTA</t>
  </si>
  <si>
    <t xml:space="preserve">kfase_B1_P2_06</t>
  </si>
  <si>
    <t xml:space="preserve">GAACCTTCTGTGCTGTCGAGGAAATTAGAAGAGTCTTCCTTTACG</t>
  </si>
  <si>
    <t xml:space="preserve">kfase6_HCR_P1B1</t>
  </si>
  <si>
    <t xml:space="preserve">kfase6_HCR_P2B1</t>
  </si>
  <si>
    <t xml:space="preserve">GAATTGGACAGCAACTTTGCTACTA</t>
  </si>
  <si>
    <t xml:space="preserve">GAACCTTCTGTGCTGTCGAGGAAAT</t>
  </si>
  <si>
    <t xml:space="preserve">S030-07</t>
  </si>
  <si>
    <t xml:space="preserve">kfase_B1_P1_07</t>
  </si>
  <si>
    <t xml:space="preserve">GAGGAGGGCAGCAAACGGAAGGCACTGCCCATTCGACGGGCAACT</t>
  </si>
  <si>
    <t xml:space="preserve">kfase_B1_P2_07</t>
  </si>
  <si>
    <t xml:space="preserve">GTGAAGCAGTCAAACTGAGGAGATATAGAAGAGTCTTCCTTTACG</t>
  </si>
  <si>
    <t xml:space="preserve">kfase7_HCR_P1B1</t>
  </si>
  <si>
    <t xml:space="preserve">kfase7_HCR_P2B1</t>
  </si>
  <si>
    <t xml:space="preserve">GGCACTGCCCATTCGACGGGCAACT</t>
  </si>
  <si>
    <t xml:space="preserve">GTGAAGCAGTCAAACTGAGGAGATA</t>
  </si>
  <si>
    <t xml:space="preserve">S030-08</t>
  </si>
  <si>
    <t xml:space="preserve">kfase_B1_P1_08</t>
  </si>
  <si>
    <t xml:space="preserve">GAGGAGGGCAGCAAACGGAACCGCTAAAATGTATACACGCACTCG</t>
  </si>
  <si>
    <t xml:space="preserve">kfase_B1_P2_08</t>
  </si>
  <si>
    <t xml:space="preserve">TCTTGAACGTCGGGCTATCATACTGTAGAAGAGTCTTCCTTTACG</t>
  </si>
  <si>
    <t xml:space="preserve">kfase8_HCR_P1B1</t>
  </si>
  <si>
    <t xml:space="preserve">kfase8_HCR_P2B1</t>
  </si>
  <si>
    <t xml:space="preserve">CCGCTAAAATGTATACACGCACTCG</t>
  </si>
  <si>
    <t xml:space="preserve">TCTTGAACGTCGGGCTATCATACTG</t>
  </si>
  <si>
    <t xml:space="preserve">S031-01</t>
  </si>
  <si>
    <t xml:space="preserve">knirps_B1_P1_01</t>
  </si>
  <si>
    <t xml:space="preserve">GAGGAGGGCAGCAAACGGAATCGTAGTTTTACAGGCGTATCGGGT</t>
  </si>
  <si>
    <t xml:space="preserve">knirps_B1_P2_01</t>
  </si>
  <si>
    <t xml:space="preserve">TTGCCACCCAAATATATGAATGATCTAGAAGAGTCTTCCTTTACG</t>
  </si>
  <si>
    <t xml:space="preserve">Kni1_HCR_P1B1</t>
  </si>
  <si>
    <t xml:space="preserve">Kni1_HCR_P2B1</t>
  </si>
  <si>
    <t xml:space="preserve">TCGTAGTTTTACAGGCGTATCGGGT</t>
  </si>
  <si>
    <t xml:space="preserve">TTGCCACCCAAATATATGAATGATC</t>
  </si>
  <si>
    <t xml:space="preserve">S031-02</t>
  </si>
  <si>
    <t xml:space="preserve">knirps_B1_P1_02</t>
  </si>
  <si>
    <t xml:space="preserve">GAGGAGGGCAGCAAACGGAAGGGTGTGACTTCACTGATGGATCCA</t>
  </si>
  <si>
    <t xml:space="preserve">knirps_B1_P2_02</t>
  </si>
  <si>
    <t xml:space="preserve">ATCGAATAAATCTGCCATTAGTTTATAGAAGAGTCTTCCTTTACG</t>
  </si>
  <si>
    <t xml:space="preserve">Kni2_HCR_P1B1</t>
  </si>
  <si>
    <t xml:space="preserve">Kni2_HCR_P2B1</t>
  </si>
  <si>
    <t xml:space="preserve">GGGTGTGACTTCACTGATGGATCCA</t>
  </si>
  <si>
    <t xml:space="preserve">ATCGAATAAATCTGCCATTAGTTTA</t>
  </si>
  <si>
    <t xml:space="preserve">S031-03</t>
  </si>
  <si>
    <t xml:space="preserve">knirps_B1_P1_03</t>
  </si>
  <si>
    <t xml:space="preserve">GAGGAGGGCAGCAAACGGAAGAAGTCGGTAAACAGATGCCGACATC</t>
  </si>
  <si>
    <t xml:space="preserve">knirps_B1_P2_03</t>
  </si>
  <si>
    <t xml:space="preserve">TATCTGCACAAAGCTGTCCACCTTGGTAGAAGAGTCTTCCTTTACG</t>
  </si>
  <si>
    <t xml:space="preserve">Kni3_HCR_P1B1</t>
  </si>
  <si>
    <t xml:space="preserve">Kni3_HCR_P2B1</t>
  </si>
  <si>
    <t xml:space="preserve">GAAGTCGGTAAACAGATGCCGACATC</t>
  </si>
  <si>
    <t xml:space="preserve">TATCTGCACAAAGCTGTCCACCTTGG</t>
  </si>
  <si>
    <t xml:space="preserve">P1 arm 26 nt; P2 arm 26 nt</t>
  </si>
  <si>
    <t xml:space="preserve">S031-04</t>
  </si>
  <si>
    <t xml:space="preserve">knirps_B1_P1_04</t>
  </si>
  <si>
    <t xml:space="preserve">GAGGAGGGCAGCAAACGGAATACATACAATGAGGTATGTCTGGCG</t>
  </si>
  <si>
    <t xml:space="preserve">knirps_B1_P2_04</t>
  </si>
  <si>
    <t xml:space="preserve">TAACACTAGCACGAGCTGACAGATTTAGAAGAGTCTTCCTTTACG</t>
  </si>
  <si>
    <t xml:space="preserve">Kni4_HCR_P1B1</t>
  </si>
  <si>
    <t xml:space="preserve">Kni4_HCR_P2B1</t>
  </si>
  <si>
    <t xml:space="preserve">TACATACAATGAGGTATGTCTGGCG</t>
  </si>
  <si>
    <t xml:space="preserve">TAACACTAGCACGAGCTGACAGATT</t>
  </si>
  <si>
    <t xml:space="preserve">S031-05</t>
  </si>
  <si>
    <t xml:space="preserve">knirps_B1_P1_05</t>
  </si>
  <si>
    <t xml:space="preserve">GAGGAGGGCAGCAAACGGAATCCCCGTTGTTCTTGCACTCGGTGA</t>
  </si>
  <si>
    <t xml:space="preserve">knirps_B1_P2_05</t>
  </si>
  <si>
    <t xml:space="preserve">GTGCGGTTCTTTTTGTTGATGACGCTAGAAGAGTCTTCCTTTACG</t>
  </si>
  <si>
    <t xml:space="preserve">Kni5_HCR_P1B1</t>
  </si>
  <si>
    <t xml:space="preserve">Kni5_HCR_P2B1</t>
  </si>
  <si>
    <t xml:space="preserve">TCCCCGTTGTTCTTGCACTCGGTGA</t>
  </si>
  <si>
    <t xml:space="preserve">GTGCGGTTCTTTTTGTTGATGACGC</t>
  </si>
  <si>
    <t xml:space="preserve">S031-06</t>
  </si>
  <si>
    <t xml:space="preserve">knirps_B1_P1_06</t>
  </si>
  <si>
    <t xml:space="preserve">GAGGAGGGCAGCAAACGGAAACCATGAGGCATTTGCGCAGTCGAC</t>
  </si>
  <si>
    <t xml:space="preserve">knirps_B1_P2_06</t>
  </si>
  <si>
    <t xml:space="preserve">TATCTGGAGCCGGATTTGGACATGCTAGAAGAGTCTTCCTTTACG</t>
  </si>
  <si>
    <t xml:space="preserve">Kni6_HCR_P1B1</t>
  </si>
  <si>
    <t xml:space="preserve">Kni6_HCR_P2B1</t>
  </si>
  <si>
    <t xml:space="preserve">ACCATGAGGCATTTGCGCAGTCGAC</t>
  </si>
  <si>
    <t xml:space="preserve">TATCTGGAGCCGGATTTGGACATGC</t>
  </si>
  <si>
    <t xml:space="preserve">S031-07</t>
  </si>
  <si>
    <t xml:space="preserve">knirps_B1_P1_07</t>
  </si>
  <si>
    <t xml:space="preserve">GAGGAGGGCAGCAAACGGAACGCTAAGTGCGGCGACTGCGGTACT</t>
  </si>
  <si>
    <t xml:space="preserve">knirps_B1_P2_07</t>
  </si>
  <si>
    <t xml:space="preserve">AGGGAAGAGGTGAGGTGGAAAAGGCTAGAAGAGTCTTCCTTTACG</t>
  </si>
  <si>
    <t xml:space="preserve">Kni7_HCR_P1B1</t>
  </si>
  <si>
    <t xml:space="preserve">Kni7_HCR_P2B1</t>
  </si>
  <si>
    <t xml:space="preserve">CGCTAAGTGCGGCGACTGCGGTACT</t>
  </si>
  <si>
    <t xml:space="preserve">AGGGAAGAGGTGAGGTGGAAAAGGC</t>
  </si>
  <si>
    <t xml:space="preserve">S031-08</t>
  </si>
  <si>
    <t xml:space="preserve">knirps_B1_P1_08</t>
  </si>
  <si>
    <t xml:space="preserve">GAGGAGGGCAGCAAACGGAAAACAGAGCGAGTTCCTCTTTGGTTC</t>
  </si>
  <si>
    <t xml:space="preserve">knirps_B1_P2_08</t>
  </si>
  <si>
    <t xml:space="preserve">CAGGGTGCTTTGTAATCGTCGAGGCTAGAAGAGTCTTCCTTTACG</t>
  </si>
  <si>
    <t xml:space="preserve">Kni8_HCR_P1B1</t>
  </si>
  <si>
    <t xml:space="preserve">Kni8_HCR_P2B1</t>
  </si>
  <si>
    <t xml:space="preserve">AACAGAGCGAGTTCCTCTTTGGTTC</t>
  </si>
  <si>
    <t xml:space="preserve">CAGGGTGCTTTGTAATCGTCGAGGC</t>
  </si>
  <si>
    <t xml:space="preserve">S031-09</t>
  </si>
  <si>
    <t xml:space="preserve">knirps_B1_P1_09</t>
  </si>
  <si>
    <t xml:space="preserve">GAGGAGGGCAGCAAACGGAAAGTCTCTGGGTGGCGTCAGAGGGCG</t>
  </si>
  <si>
    <t xml:space="preserve">knirps_B1_P2_09</t>
  </si>
  <si>
    <t xml:space="preserve">GCAAGGCTAAAGGTAAAGGGAGGAATAGAAGAGTCTTCCTTTACG</t>
  </si>
  <si>
    <t xml:space="preserve">Kni9_HCR_P1B1</t>
  </si>
  <si>
    <t xml:space="preserve">Kni9_HCR_P2B1</t>
  </si>
  <si>
    <t xml:space="preserve">AGTCTCTGGGTGGCGTCAGAGGGCG</t>
  </si>
  <si>
    <t xml:space="preserve">GCAAGGCTAAAGGTAAAGGGAGGAA</t>
  </si>
  <si>
    <t xml:space="preserve">S031-10</t>
  </si>
  <si>
    <t xml:space="preserve">knirps_B1_P1_10</t>
  </si>
  <si>
    <t xml:space="preserve">GAGGAGGGCAGCAAACGGAATGAAGTGCTGCGGATGGAGAAACGG</t>
  </si>
  <si>
    <t xml:space="preserve">knirps_B1_P2_10</t>
  </si>
  <si>
    <t xml:space="preserve">GGAGGTGGTGATTCGGCGGGAACGGTAGAAGAGTCTTCCTTTACG</t>
  </si>
  <si>
    <t xml:space="preserve">Kni10_HCR_P1B1</t>
  </si>
  <si>
    <t xml:space="preserve">Kni10_HCR_P2B1</t>
  </si>
  <si>
    <t xml:space="preserve">TGAAGTGCTGCGGATGGAGAAACGG</t>
  </si>
  <si>
    <t xml:space="preserve">GGAGGTGGTGATTCGGCGGGAACGG</t>
  </si>
  <si>
    <t xml:space="preserve">S032-01</t>
  </si>
  <si>
    <t xml:space="preserve">lachesin_B1_P1_01</t>
  </si>
  <si>
    <t xml:space="preserve">GAGGAGGGCAGCAAACGGAAAATGGGGACAGGAATTCCGGCTCGG</t>
  </si>
  <si>
    <t xml:space="preserve">lachesin_B1_P2_01</t>
  </si>
  <si>
    <t xml:space="preserve">CGCCCCTGTGCGACGGTGATGTTCTTAGAAGAGTCTTCCTTTACG</t>
  </si>
  <si>
    <t xml:space="preserve">B1_P1 (lachesin)_1</t>
  </si>
  <si>
    <t xml:space="preserve">B1_P2 (lachesin)_1</t>
  </si>
  <si>
    <t xml:space="preserve">AATGGGGACAGGAATTCCGGCTCGG</t>
  </si>
  <si>
    <t xml:space="preserve">CGCCCCTGTGCGACGGTGATGTTCT</t>
  </si>
  <si>
    <t xml:space="preserve">S032-02</t>
  </si>
  <si>
    <t xml:space="preserve">lachesin_B1_P1_02</t>
  </si>
  <si>
    <t xml:space="preserve">GAGGAGGGCAGCAAACGGAAAAAAGTGCCGAGATGATTGACGGTG</t>
  </si>
  <si>
    <t xml:space="preserve">lachesin_B1_P2_02</t>
  </si>
  <si>
    <t xml:space="preserve">AGTGTCTGACTTCAACCAGGCCACCTAGAAGAGTCTTCCTTTACG</t>
  </si>
  <si>
    <t xml:space="preserve">B1_P1 (lachesin)_2</t>
  </si>
  <si>
    <t xml:space="preserve">B1_P2 (lachesin)_2</t>
  </si>
  <si>
    <t xml:space="preserve">AAAAGTGCCGAGATGATTGACGGTG</t>
  </si>
  <si>
    <t xml:space="preserve">AGTGTCTGACTTCAACCAGGCCACC</t>
  </si>
  <si>
    <t xml:space="preserve">S032-03</t>
  </si>
  <si>
    <t xml:space="preserve">lachesin_B1_P1_03</t>
  </si>
  <si>
    <t xml:space="preserve">GAGGAGGGCAGCAAACGGAAGGTTGATGTTCACCATGTGTGTGTG</t>
  </si>
  <si>
    <t xml:space="preserve">lachesin_B1_P2_03</t>
  </si>
  <si>
    <t xml:space="preserve">GTCCGTTGTGTGTGACGGACAGACGTAGAAGAGTCTTCCTTTACG</t>
  </si>
  <si>
    <t xml:space="preserve">B1_P1 (lachesin)_3</t>
  </si>
  <si>
    <t xml:space="preserve">B1_P2 (lachesin)_3</t>
  </si>
  <si>
    <t xml:space="preserve">GGTTGATGTTCACCATGTGTGTGTG</t>
  </si>
  <si>
    <t xml:space="preserve">GTCCGTTGTGTGTGACGGACAGACG</t>
  </si>
  <si>
    <t xml:space="preserve">S032-04</t>
  </si>
  <si>
    <t xml:space="preserve">lachesin_B1_P1_04</t>
  </si>
  <si>
    <t xml:space="preserve">GAGGAGGGCAGCAAACGGAATCCTTCGGCTGTACGTTGCTGATAT</t>
  </si>
  <si>
    <t xml:space="preserve">lachesin_B1_P2_04</t>
  </si>
  <si>
    <t xml:space="preserve">TTGATCTGACACATGTAAGTGCCGGTAGAAGAGTCTTCCTTTACG</t>
  </si>
  <si>
    <t xml:space="preserve">B1_P1 (lachesin)_4</t>
  </si>
  <si>
    <t xml:space="preserve">B1_P2 (lachesin)_4</t>
  </si>
  <si>
    <t xml:space="preserve">TCCTTCGGCTGTACGTTGCTGATAT</t>
  </si>
  <si>
    <t xml:space="preserve">TTGATCTGACACATGTAAGTGCCGG</t>
  </si>
  <si>
    <t xml:space="preserve">S032-05</t>
  </si>
  <si>
    <t xml:space="preserve">lachesin_B1_P1_05</t>
  </si>
  <si>
    <t xml:space="preserve">GAGGAGGGCAGCAAACGGAACACGACCGACAGATGTCCCATTTGA</t>
  </si>
  <si>
    <t xml:space="preserve">lachesin_B1_P2_05</t>
  </si>
  <si>
    <t xml:space="preserve">ATCATCGTCTGCTATATCAGGTGGTTAGAAGAGTCTTCCTTTACG</t>
  </si>
  <si>
    <t xml:space="preserve">B1_P1 (lachesin)_5</t>
  </si>
  <si>
    <t xml:space="preserve">B1_P2 (lachesin)_5</t>
  </si>
  <si>
    <t xml:space="preserve">CACGACCGACAGATGTCCCATTTGA</t>
  </si>
  <si>
    <t xml:space="preserve">ATCATCGTCTGCTATATCAGGTGGT</t>
  </si>
  <si>
    <t xml:space="preserve">S032-06</t>
  </si>
  <si>
    <t xml:space="preserve">lachesin_B1_P1_06</t>
  </si>
  <si>
    <t xml:space="preserve">GAGGAGGGCAGCAAACGGAAGAAGCTCCACGGACCCTCCCTCTGG</t>
  </si>
  <si>
    <t xml:space="preserve">lachesin_B1_P2_06</t>
  </si>
  <si>
    <t xml:space="preserve">GTTCCGGCACTCCGGTGGCTGTACATAGAAGAGTCTTCCTTTACG</t>
  </si>
  <si>
    <t xml:space="preserve">B1_P1 (lachesin)_6</t>
  </si>
  <si>
    <t xml:space="preserve">B1_P2 (lachesin)_6</t>
  </si>
  <si>
    <t xml:space="preserve">GAAGCTCCACGGACCCTCCCTCTGG</t>
  </si>
  <si>
    <t xml:space="preserve">GTTCCGGCACTCCGGTGGCTGTACA</t>
  </si>
  <si>
    <t xml:space="preserve">S033-01</t>
  </si>
  <si>
    <t xml:space="preserve">lethal2_B1_P1_01</t>
  </si>
  <si>
    <t xml:space="preserve">GAGGAGGGCAGCAAACGGAAGCCGCGGCGCGTATGAGCTGGTTCC</t>
  </si>
  <si>
    <t xml:space="preserve">lethal2_B1_P2_01</t>
  </si>
  <si>
    <t xml:space="preserve">TCCAGGGACTCCTCGATGTCCAGTGTAGAAGAGTCTTCCTTTACG</t>
  </si>
  <si>
    <t xml:space="preserve">B1_P1 (lethal2)_1</t>
  </si>
  <si>
    <t xml:space="preserve">B1_P2 (lethal2)_1</t>
  </si>
  <si>
    <t xml:space="preserve">GCCGCGGCGCGTATGAGCTGGTTCC</t>
  </si>
  <si>
    <t xml:space="preserve">TCCAGGGACTCCTCGATGTCCAGTG</t>
  </si>
  <si>
    <t xml:space="preserve">S033-02</t>
  </si>
  <si>
    <t xml:space="preserve">lethal2_B1_P1_02</t>
  </si>
  <si>
    <t xml:space="preserve">GAGGAGGGCAGCAAACGGAAGTTGATTAGGTATTTTTCTGAATCC</t>
  </si>
  <si>
    <t xml:space="preserve">lethal2_B1_P2_02</t>
  </si>
  <si>
    <t xml:space="preserve">GTCCGGTTTGAATCTTCTGACGTTCTAGAAGAGTCTTCCTTTACG</t>
  </si>
  <si>
    <t xml:space="preserve">B1_P1 (lethal2)_2</t>
  </si>
  <si>
    <t xml:space="preserve">B1_P2 (lethal2)_2</t>
  </si>
  <si>
    <t xml:space="preserve">GTTGATTAGGTATTTTTCTGAATCC</t>
  </si>
  <si>
    <t xml:space="preserve">GTCCGGTTTGAATCTTCTGACGTTC</t>
  </si>
  <si>
    <t xml:space="preserve">S033-03</t>
  </si>
  <si>
    <t xml:space="preserve">lethal2_B1_P1_03</t>
  </si>
  <si>
    <t xml:space="preserve">GAGGAGGGCAGCAAACGGAACTTCGACGATGATGTGTCGGTTCTT</t>
  </si>
  <si>
    <t xml:space="preserve">lethal2_B1_P2_03</t>
  </si>
  <si>
    <t xml:space="preserve">TCTCGTTGTCCTTCTCCTTGTGTTTTAGAAGAGTCTTCCTTTACG</t>
  </si>
  <si>
    <t xml:space="preserve">B1_P1 (lethal2)_3</t>
  </si>
  <si>
    <t xml:space="preserve">B1_P2 (lethal2)_3</t>
  </si>
  <si>
    <t xml:space="preserve">CTTCGACGATGATGTGTCGGTTCTT</t>
  </si>
  <si>
    <t xml:space="preserve">TCTCGTTGTCCTTCTCCTTGTGTTT</t>
  </si>
  <si>
    <t xml:space="preserve">S033-04</t>
  </si>
  <si>
    <t xml:space="preserve">lethal2_B1_P1_04</t>
  </si>
  <si>
    <t xml:space="preserve">GAGGAGGGCAGCAAACGGAAGGGAGTACGAAGCGTTGCACGAAGT</t>
  </si>
  <si>
    <t xml:space="preserve">lethal2_B1_P2_04</t>
  </si>
  <si>
    <t xml:space="preserve">CTGACTTCCTCCTGCTGCGTGCCAGTAGAAGAGTCTTCCTTTACG</t>
  </si>
  <si>
    <t xml:space="preserve">B1_P1 (lethal2)_4</t>
  </si>
  <si>
    <t xml:space="preserve">B1_P2 (lethal2)_4</t>
  </si>
  <si>
    <t xml:space="preserve">GGGAGTACGAAGCGTTGCACGAAGT</t>
  </si>
  <si>
    <t xml:space="preserve">CTGACTTCCTCCTGCTGCGTGCCAG</t>
  </si>
  <si>
    <t xml:space="preserve">S033-05</t>
  </si>
  <si>
    <t xml:space="preserve">lethal2_B1_P1_05</t>
  </si>
  <si>
    <t xml:space="preserve">GAGGAGGGCAGCAAACGGAACGGTGCCGTTATAGACAGAACGCGC</t>
  </si>
  <si>
    <t xml:space="preserve">lethal2_B1_P2_05</t>
  </si>
  <si>
    <t xml:space="preserve">CGGCAGAGGCGGCGGCAGCTCGTGCTAGAAGAGTCTTCCTTTACG</t>
  </si>
  <si>
    <t xml:space="preserve">B1_P1 (lethal2)_5</t>
  </si>
  <si>
    <t xml:space="preserve">B1_P2 (lethal2)_5</t>
  </si>
  <si>
    <t xml:space="preserve">CGGTGCCGTTATAGACAGAACGCGC</t>
  </si>
  <si>
    <t xml:space="preserve">CGGCAGAGGCGGCGGCAGCTCGTGC</t>
  </si>
  <si>
    <t xml:space="preserve">S033-06</t>
  </si>
  <si>
    <t xml:space="preserve">lethal2_B1_P1_06</t>
  </si>
  <si>
    <t xml:space="preserve">GAGGAGGGCAGCAAACGGAATATTCTCTTCTGGCAATATAACTTC</t>
  </si>
  <si>
    <t xml:space="preserve">lethal2_B1_P2_06</t>
  </si>
  <si>
    <t xml:space="preserve">CCTCCAGCTTTTCAGCGACCACTTCTAGAAGAGTCTTCCTTTACG</t>
  </si>
  <si>
    <t xml:space="preserve">B1_P1 (lethal2)_6</t>
  </si>
  <si>
    <t xml:space="preserve">B1_P2 (lethal2)_6</t>
  </si>
  <si>
    <t xml:space="preserve">TATTCTCTTCTGGCAATATAACTTC</t>
  </si>
  <si>
    <t xml:space="preserve">CCTCCAGCTTTTCAGCGACCACTTC</t>
  </si>
  <si>
    <t xml:space="preserve">S034-01</t>
  </si>
  <si>
    <t xml:space="preserve">mad6_B1_P1_01</t>
  </si>
  <si>
    <t xml:space="preserve">GAGGAGGGCAGCAAACGGAACGTCTTGTGTAATTTCGCCGTGTTC</t>
  </si>
  <si>
    <t xml:space="preserve">mad6_B1_P2_01</t>
  </si>
  <si>
    <t xml:space="preserve">CAAGCCGCTCATGATTCGTCCTCCTTAGAAGAGTCTTCCTTTACG</t>
  </si>
  <si>
    <t xml:space="preserve">Mad61_P1_B1</t>
  </si>
  <si>
    <t xml:space="preserve">Mad61_P2_B1</t>
  </si>
  <si>
    <t xml:space="preserve">CGTCTTGTGTAATTTCGCCGTGTTC</t>
  </si>
  <si>
    <t xml:space="preserve">CAAGCCGCTCATGATTCGTCCTCCT</t>
  </si>
  <si>
    <t xml:space="preserve">S034-02</t>
  </si>
  <si>
    <t xml:space="preserve">mad6_B1_P1_02</t>
  </si>
  <si>
    <t xml:space="preserve">GAGGAGGGCAGCAAACGGAACCCAGCTCTGCCGCTCTTCGCCATC</t>
  </si>
  <si>
    <t xml:space="preserve">mad6_B1_P2_02</t>
  </si>
  <si>
    <t xml:space="preserve">AGTACGCCAGCCTGCACCACTCGGTTAGAAGAGTCTTCCTTTACG</t>
  </si>
  <si>
    <t xml:space="preserve">Mad62_P1_B1</t>
  </si>
  <si>
    <t xml:space="preserve">Mad62_P2_B1</t>
  </si>
  <si>
    <t xml:space="preserve">CCCAGCTCTGCCGCTCTTCGCCATC</t>
  </si>
  <si>
    <t xml:space="preserve">AGTACGCCAGCCTGCACCACTCGGT</t>
  </si>
  <si>
    <t xml:space="preserve">S034-03</t>
  </si>
  <si>
    <t xml:space="preserve">mad6_B1_P1_03</t>
  </si>
  <si>
    <t xml:space="preserve">GAGGAGGGCAGCAAACGGAAGCCAATCTTCGCTCGAGTTTTTCGC</t>
  </si>
  <si>
    <t xml:space="preserve">mad6_B1_P2_03</t>
  </si>
  <si>
    <t xml:space="preserve">AGATTCTAAGGACAGTGTGACACCTTAGAAGAGTCTTCCTTTACG</t>
  </si>
  <si>
    <t xml:space="preserve">Mad63_P1_B1</t>
  </si>
  <si>
    <t xml:space="preserve">Mad63_P2_B1</t>
  </si>
  <si>
    <t xml:space="preserve">GCCAATCTTCGCTCGAGTTTTTCGC</t>
  </si>
  <si>
    <t xml:space="preserve">AGATTCTAAGGACAGTGTGACACCT</t>
  </si>
  <si>
    <t xml:space="preserve">S034-04</t>
  </si>
  <si>
    <t xml:space="preserve">mad6_B1_P1_04</t>
  </si>
  <si>
    <t xml:space="preserve">GAGGAGGGCAGCAAACGGAACAGAGACAGTGTCCTGGTGCAACCC</t>
  </si>
  <si>
    <t xml:space="preserve">mad6_B1_P2_04</t>
  </si>
  <si>
    <t xml:space="preserve">GGCGGGGGCGACGAGGGGTCGAAGATAGAAGAGTCTTCCTTTACG</t>
  </si>
  <si>
    <t xml:space="preserve">Mad64_P1_B1</t>
  </si>
  <si>
    <t xml:space="preserve">Mad64_P2_B1</t>
  </si>
  <si>
    <t xml:space="preserve">CAGAGACAGTGTCCTGGTGCAACCC</t>
  </si>
  <si>
    <t xml:space="preserve">GGCGGGGGCGACGAGGGGTCGAAGA</t>
  </si>
  <si>
    <t xml:space="preserve">S034-05</t>
  </si>
  <si>
    <t xml:space="preserve">mad6_B1_P1_05</t>
  </si>
  <si>
    <t xml:space="preserve">GAGGAGGGCAGCAAACGGAATCACAGATCTGGGGTCAACTGGCCC</t>
  </si>
  <si>
    <t xml:space="preserve">mad6_B1_P2_05</t>
  </si>
  <si>
    <t xml:space="preserve">GGCCCCAGCCTTTCGCGAACGATATTAGAAGAGTCTTCCTTTACG</t>
  </si>
  <si>
    <t xml:space="preserve">Mad65_P1_B1</t>
  </si>
  <si>
    <t xml:space="preserve">Mad65_P2_B1</t>
  </si>
  <si>
    <t xml:space="preserve">TCACAGATCTGGGGTCAACTGGCCC</t>
  </si>
  <si>
    <t xml:space="preserve">GGCCCCAGCCTTTCGCGAACGATAT</t>
  </si>
  <si>
    <t xml:space="preserve">S035-01</t>
  </si>
  <si>
    <t xml:space="preserve">miR-2788-5p_B1_P1_01</t>
  </si>
  <si>
    <t xml:space="preserve">GAGGAGGGCAGCAAACGGAAGGAAACCCCA</t>
  </si>
  <si>
    <t xml:space="preserve">miR-2788-5p_B1_P2_01</t>
  </si>
  <si>
    <t xml:space="preserve">CACATGCCGCTAGAAGAGTCTTCCTTTACG</t>
  </si>
  <si>
    <t xml:space="preserve">Mir2788_HCR_P1B1</t>
  </si>
  <si>
    <t xml:space="preserve">Mir2788_HCR_P2B1</t>
  </si>
  <si>
    <t xml:space="preserve">GGAAACCCCA</t>
  </si>
  <si>
    <t xml:space="preserve">CACATGCCGC</t>
  </si>
  <si>
    <t xml:space="preserve">P1 arm 10 nt; P2 arm 10 nt</t>
  </si>
  <si>
    <t xml:space="preserve">S036-01</t>
  </si>
  <si>
    <t xml:space="preserve">mth2_B1_P1_01</t>
  </si>
  <si>
    <t xml:space="preserve">GAGGAGGGCAGCAAACGGAATTCCGCAACCCGGAGCCCGAGTGGA</t>
  </si>
  <si>
    <t xml:space="preserve">mth2_B1_P2_01</t>
  </si>
  <si>
    <t xml:space="preserve">GGTACATCGTCGTCGAACACAGCCATAGAAGAGTCTTCCTTTACG</t>
  </si>
  <si>
    <t xml:space="preserve">B1_P1 (mth2)_1</t>
  </si>
  <si>
    <t xml:space="preserve">B1_P2 (mth2)_1</t>
  </si>
  <si>
    <t xml:space="preserve">TTCCGCAACCCGGAGCCCGAGTGGA</t>
  </si>
  <si>
    <t xml:space="preserve">GGTACATCGTCGTCGAACACAGCCA</t>
  </si>
  <si>
    <t xml:space="preserve">S036-02</t>
  </si>
  <si>
    <t xml:space="preserve">mth2_B1_P1_02</t>
  </si>
  <si>
    <t xml:space="preserve">GAGGAGGGCAGCAAACGGAAAGCGTTCACGCTTCCAGAGTTCCTC</t>
  </si>
  <si>
    <t xml:space="preserve">mth2_B1_P2_02</t>
  </si>
  <si>
    <t xml:space="preserve">TGGGGCACTTGAATCACTCACAGCATAGAAGAGTCTTCCTTTACG</t>
  </si>
  <si>
    <t xml:space="preserve">B1_P1 (mth2)_2</t>
  </si>
  <si>
    <t xml:space="preserve">B1_P2 (mth2)_2</t>
  </si>
  <si>
    <t xml:space="preserve">AGCGTTCACGCTTCCAGAGTTCCTC</t>
  </si>
  <si>
    <t xml:space="preserve">TGGGGCACTTGAATCACTCACAGCA</t>
  </si>
  <si>
    <t xml:space="preserve">S036-03</t>
  </si>
  <si>
    <t xml:space="preserve">mth2_B1_P1_03</t>
  </si>
  <si>
    <t xml:space="preserve">GAGGAGGGCAGCAAACGGAAGGCGCAGCTTCATCGGCGGTGACAC</t>
  </si>
  <si>
    <t xml:space="preserve">mth2_B1_P2_03</t>
  </si>
  <si>
    <t xml:space="preserve">TCTTAACTTCCTCGTCCTCCTCGTCTAGAAGAGTCTTCCTTTACG</t>
  </si>
  <si>
    <t xml:space="preserve">B1_P1 (mth2)_3</t>
  </si>
  <si>
    <t xml:space="preserve">B1_P2 (mth2)_3</t>
  </si>
  <si>
    <t xml:space="preserve">GGCGCAGCTTCATCGGCGGTGACAC</t>
  </si>
  <si>
    <t xml:space="preserve">TCTTAACTTCCTCGTCCTCCTCGTC</t>
  </si>
  <si>
    <t xml:space="preserve">S036-04</t>
  </si>
  <si>
    <t xml:space="preserve">mth2_B1_P1_04</t>
  </si>
  <si>
    <t xml:space="preserve">GAGGAGGGCAGCAAACGGAATTTTGTCCGCTCGCACAACATTTCG</t>
  </si>
  <si>
    <t xml:space="preserve">mth2_B1_P2_04</t>
  </si>
  <si>
    <t xml:space="preserve">TTGCCATCGACGACAGAAAGCGACATAGAAGAGTCTTCCTTTACG</t>
  </si>
  <si>
    <t xml:space="preserve">B1_P1 (mth2)_4</t>
  </si>
  <si>
    <t xml:space="preserve">B1_P2 (mth2)_4</t>
  </si>
  <si>
    <t xml:space="preserve">TTTTGTCCGCTCGCACAACATTTCG</t>
  </si>
  <si>
    <t xml:space="preserve">TTGCCATCGACGACAGAAAGCGACA</t>
  </si>
  <si>
    <t xml:space="preserve">S036-05</t>
  </si>
  <si>
    <t xml:space="preserve">mth2_B1_P1_05</t>
  </si>
  <si>
    <t xml:space="preserve">GAGGAGGGCAGCAAACGGAACGGCTGGAACGTGAGCGTGGAGCGG</t>
  </si>
  <si>
    <t xml:space="preserve">mth2_B1_P2_05</t>
  </si>
  <si>
    <t xml:space="preserve">GTGCGTTTCGTTCGCTTTATGGAATTAGAAGAGTCTTCCTTTACG</t>
  </si>
  <si>
    <t xml:space="preserve">B1_P1 (mth2)_5</t>
  </si>
  <si>
    <t xml:space="preserve">B1_P2 (mth2)_5</t>
  </si>
  <si>
    <t xml:space="preserve">CGGCTGGAACGTGAGCGTGGAGCGG</t>
  </si>
  <si>
    <t xml:space="preserve">GTGCGTTTCGTTCGCTTTATGGAAT</t>
  </si>
  <si>
    <t xml:space="preserve">S036-06</t>
  </si>
  <si>
    <t xml:space="preserve">mth2_B1_P1_06</t>
  </si>
  <si>
    <t xml:space="preserve">GAGGAGGGCAGCAAACGGAATGCCGACGATTGTCTCGAATACGTT</t>
  </si>
  <si>
    <t xml:space="preserve">mth2_B1_P2_06</t>
  </si>
  <si>
    <t xml:space="preserve">ATTTATATCTGTCGTAACTGCAGGGTAGAAGAGTCTTCCTTTACG</t>
  </si>
  <si>
    <t xml:space="preserve">B1_P1 (mth2)_6</t>
  </si>
  <si>
    <t xml:space="preserve">B1_P2 (mth2)_6</t>
  </si>
  <si>
    <t xml:space="preserve">TGCCGACGATTGTCTCGAATACGTT</t>
  </si>
  <si>
    <t xml:space="preserve">ATTTATATCTGTCGTAACTGCAGGG</t>
  </si>
  <si>
    <t xml:space="preserve">S037-01</t>
  </si>
  <si>
    <t xml:space="preserve">net_B1_P1_01</t>
  </si>
  <si>
    <t xml:space="preserve">GAGGAGGGCAGCAAACGGAATCGTTCTAGGATACGATCTTTAGCA</t>
  </si>
  <si>
    <t xml:space="preserve">net_B1_P2_01</t>
  </si>
  <si>
    <t xml:space="preserve">TTCGCCGCCCGACACGAAGCCCGCGTAGAAGAGTCTTCCTTTACG</t>
  </si>
  <si>
    <t xml:space="preserve">net_B1_P1_1</t>
  </si>
  <si>
    <t xml:space="preserve">net_B1_P2_1</t>
  </si>
  <si>
    <t xml:space="preserve">TCGTTCTAGGATACGATCTTTAGCA</t>
  </si>
  <si>
    <t xml:space="preserve">TTCGCCGCCCGACACGAAGCCCGCG</t>
  </si>
  <si>
    <t xml:space="preserve">S037-02</t>
  </si>
  <si>
    <t xml:space="preserve">net_B1_P1_02</t>
  </si>
  <si>
    <t xml:space="preserve">GAGGAGGGCAGCAAACGGAACGGAGTCGTCGGAGTGGGCGGGGCC</t>
  </si>
  <si>
    <t xml:space="preserve">net_B1_P2_02</t>
  </si>
  <si>
    <t xml:space="preserve">GTGACTCGGTCTCGGTGAGTCTGACTAGAAGAGTCTTCCTTTACG</t>
  </si>
  <si>
    <t xml:space="preserve">net_B1_P1_2</t>
  </si>
  <si>
    <t xml:space="preserve">net_B1_P2_2</t>
  </si>
  <si>
    <t xml:space="preserve">CGGAGTCGTCGGAGTGGGCGGGGCC</t>
  </si>
  <si>
    <t xml:space="preserve">GTGACTCGGTCTCGGTGAGTCTGAC</t>
  </si>
  <si>
    <t xml:space="preserve">S037-03</t>
  </si>
  <si>
    <t xml:space="preserve">net_B1_P1_03</t>
  </si>
  <si>
    <t xml:space="preserve">GAGGAGGGCAGCAAACGGAATTCTTTGGCGGCTGGCGGGTGGGGG</t>
  </si>
  <si>
    <t xml:space="preserve">net_B1_P2_03</t>
  </si>
  <si>
    <t xml:space="preserve">TCTTCTGTGGAGTCGAGGCGGATACTAGAAGAGTCTTCCTTTACG</t>
  </si>
  <si>
    <t xml:space="preserve">net_B1_P1_3</t>
  </si>
  <si>
    <t xml:space="preserve">net_B1_P2_3</t>
  </si>
  <si>
    <t xml:space="preserve">TTCTTTGGCGGCTGGCGGGTGGGGG</t>
  </si>
  <si>
    <t xml:space="preserve">TCTTCTGTGGAGTCGAGGCGGATAC</t>
  </si>
  <si>
    <t xml:space="preserve">S037-04</t>
  </si>
  <si>
    <t xml:space="preserve">net_B1_P1_04</t>
  </si>
  <si>
    <t xml:space="preserve">GAGGAGGGCAGCAAACGGAACCTCGGCGAATGACCAAGGTCTGAA</t>
  </si>
  <si>
    <t xml:space="preserve">net_B1_P2_04</t>
  </si>
  <si>
    <t xml:space="preserve">CTAAAGATAAGGGTTCATTTTGGGGTAGAAGAGTCTTCCTTTACG</t>
  </si>
  <si>
    <t xml:space="preserve">net_B1_P1_4</t>
  </si>
  <si>
    <t xml:space="preserve">net_B1_P2_4</t>
  </si>
  <si>
    <t xml:space="preserve">CCTCGGCGAATGACCAAGGTCTGAA</t>
  </si>
  <si>
    <t xml:space="preserve">CTAAAGATAAGGGTTCATTTTGGGG</t>
  </si>
  <si>
    <t xml:space="preserve">S037-05</t>
  </si>
  <si>
    <t xml:space="preserve">net_B1_P1_05</t>
  </si>
  <si>
    <t xml:space="preserve">GAGGAGGGCAGCAAACGGAAGGCCTCCGCCTTTGCCTCAGCAGAC</t>
  </si>
  <si>
    <t xml:space="preserve">net_B1_P2_05</t>
  </si>
  <si>
    <t xml:space="preserve">GGGGTTGGAGGCGGAGGTGGTTCTATAGAAGAGTCTTCCTTTACG</t>
  </si>
  <si>
    <t xml:space="preserve">net_B1_P1_5</t>
  </si>
  <si>
    <t xml:space="preserve">net_B1_P2_5</t>
  </si>
  <si>
    <t xml:space="preserve">GGCCTCCGCCTTTGCCTCAGCAGAC</t>
  </si>
  <si>
    <t xml:space="preserve">GGGGTTGGAGGCGGAGGTGGTTCTA</t>
  </si>
  <si>
    <t xml:space="preserve">S037-06</t>
  </si>
  <si>
    <t xml:space="preserve">net_B1_P1_06</t>
  </si>
  <si>
    <t xml:space="preserve">GAGGAGGGCAGCAAACGGAAAACTCTAGGCGGGCCTGTGGTCTCT</t>
  </si>
  <si>
    <t xml:space="preserve">net_B1_P2_06</t>
  </si>
  <si>
    <t xml:space="preserve">CGAATCGGTTACTCCTGGATGCGGTTAGAAGAGTCTTCCTTTACG</t>
  </si>
  <si>
    <t xml:space="preserve">net_B1_P1_6</t>
  </si>
  <si>
    <t xml:space="preserve">net_B1_P2_6</t>
  </si>
  <si>
    <t xml:space="preserve">AACTCTAGGCGGGCCTGTGGTCTCT</t>
  </si>
  <si>
    <t xml:space="preserve">CGAATCGGTTACTCCTGGATGCGGT</t>
  </si>
  <si>
    <t xml:space="preserve">S037-07</t>
  </si>
  <si>
    <t xml:space="preserve">net_B1_P1_07</t>
  </si>
  <si>
    <t xml:space="preserve">GAGGAGGGCAGCAAACGGAATTTTGTAATTCCTCTGCTCTCGCGG</t>
  </si>
  <si>
    <t xml:space="preserve">net_B1_P2_07</t>
  </si>
  <si>
    <t xml:space="preserve">CTTCTATCCTCCTTTCTCTTGTCATTAGAAGAGTCTTCCTTTACG</t>
  </si>
  <si>
    <t xml:space="preserve">net_B1_P1_7</t>
  </si>
  <si>
    <t xml:space="preserve">net_B1_P2_7</t>
  </si>
  <si>
    <t xml:space="preserve">TTTTGTAATTCCTCTGCTCTCGCGG</t>
  </si>
  <si>
    <t xml:space="preserve">CTTCTATCCTCCTTTCTCTTGTCAT</t>
  </si>
  <si>
    <t xml:space="preserve">S037-08</t>
  </si>
  <si>
    <t xml:space="preserve">net_B1_P1_08</t>
  </si>
  <si>
    <t xml:space="preserve">GAGGAGGGCAGCAAACGGAAGCTGCGCTTATTGTATGAACTCTTG</t>
  </si>
  <si>
    <t xml:space="preserve">net_B1_P2_08</t>
  </si>
  <si>
    <t xml:space="preserve">GGCACTGCTTTTCTAAGAGTGTCGATAGAAGAGTCTTCCTTTACG</t>
  </si>
  <si>
    <t xml:space="preserve">net_B1_P1_8</t>
  </si>
  <si>
    <t xml:space="preserve">net_B1_P2_8</t>
  </si>
  <si>
    <t xml:space="preserve">GCTGCGCTTATTGTATGAACTCTTG</t>
  </si>
  <si>
    <t xml:space="preserve">GGCACTGCTTTTCTAAGAGTGTCGA</t>
  </si>
  <si>
    <t xml:space="preserve">S037-09</t>
  </si>
  <si>
    <t xml:space="preserve">net_B1_P1_09</t>
  </si>
  <si>
    <t xml:space="preserve">GAGGAGGGCAGCAAACGGAAGAAGAACGGAAAGTTTGGACAACTT</t>
  </si>
  <si>
    <t xml:space="preserve">net_B1_P2_09</t>
  </si>
  <si>
    <t xml:space="preserve">AGGCCGCAATGTAGGCGCACGCTATTAGAAGAGTCTTCCTTTACG</t>
  </si>
  <si>
    <t xml:space="preserve">net_B1_P1_9</t>
  </si>
  <si>
    <t xml:space="preserve">net_B1_P2_9</t>
  </si>
  <si>
    <t xml:space="preserve">GAAGAACGGAAAGTTTGGACAACTT</t>
  </si>
  <si>
    <t xml:space="preserve">AGGCCGCAATGTAGGCGCACGCTAT</t>
  </si>
  <si>
    <t xml:space="preserve">S037-10</t>
  </si>
  <si>
    <t xml:space="preserve">net_B1_P1_10</t>
  </si>
  <si>
    <t xml:space="preserve">GAGGAGGGCAGCAAACGGAAACTGCGTCCGCGAGGTCAGCGTCGG</t>
  </si>
  <si>
    <t xml:space="preserve">net_B1_P2_10</t>
  </si>
  <si>
    <t xml:space="preserve">GTGTGTATGGTTTGCGTGACTTTTTTAGAAGAGTCTTCCTTTACG</t>
  </si>
  <si>
    <t xml:space="preserve">ACTGCGTCCGCGAGGTCAGCGTCGG</t>
  </si>
  <si>
    <t xml:space="preserve">GTGTGTATGGTTTGCGTGACTTTTT</t>
  </si>
  <si>
    <t xml:space="preserve">S038-01</t>
  </si>
  <si>
    <t xml:space="preserve">nhl-1_B1_P1_01</t>
  </si>
  <si>
    <t xml:space="preserve">GAGGAGGGCAGCAAACGGAAATTTGCGTGCAGCTCCAGGAACCTT</t>
  </si>
  <si>
    <t xml:space="preserve">nhl-1_B1_P2_01</t>
  </si>
  <si>
    <t xml:space="preserve">TGTGGGATCCGGAAGTTCCCCAGCATAGAAGAGTCTTCCTTTACG</t>
  </si>
  <si>
    <t xml:space="preserve">B1_P1 (nhl-1)_1</t>
  </si>
  <si>
    <t xml:space="preserve">B1_P2 (nhl-1)_1</t>
  </si>
  <si>
    <t xml:space="preserve">ATTTGCGTGCAGCTCCAGGAACCTT</t>
  </si>
  <si>
    <t xml:space="preserve">TGTGGGATCCGGAAGTTCCCCAGCA</t>
  </si>
  <si>
    <t xml:space="preserve">S038-02</t>
  </si>
  <si>
    <t xml:space="preserve">nhl-1_B1_P1_02</t>
  </si>
  <si>
    <t xml:space="preserve">GAGGAGGGCAGCAAACGGAACTTTCTCTGAGCATACGTTGCACCT</t>
  </si>
  <si>
    <t xml:space="preserve">nhl-1_B1_P2_02</t>
  </si>
  <si>
    <t xml:space="preserve">CGCAATGGGCACAAGGTGCACAATATAGAAGAGTCTTCCTTTACG</t>
  </si>
  <si>
    <t xml:space="preserve">B1_P1 (nhl-1)_2</t>
  </si>
  <si>
    <t xml:space="preserve">B1_P2 (nhl-1)_2</t>
  </si>
  <si>
    <t xml:space="preserve">CTTTCTCTGAGCATACGTTGCACCT</t>
  </si>
  <si>
    <t xml:space="preserve">CGCAATGGGCACAAGGTGCACAATA</t>
  </si>
  <si>
    <t xml:space="preserve">S038-03</t>
  </si>
  <si>
    <t xml:space="preserve">nhl-1_B1_P1_03</t>
  </si>
  <si>
    <t xml:space="preserve">GAGGAGGGCAGCAAACGGAAACTTCCATATGAGCAGATTTGCAGT</t>
  </si>
  <si>
    <t xml:space="preserve">nhl-1_B1_P2_03</t>
  </si>
  <si>
    <t xml:space="preserve">TTTATGCGAGCAATTTCTCTTCGGATAGAAGAGTCTTCCTTTACG</t>
  </si>
  <si>
    <t xml:space="preserve">B1_P1 (nhl-1)_3</t>
  </si>
  <si>
    <t xml:space="preserve">B1_P2 (nhl-1)_3</t>
  </si>
  <si>
    <t xml:space="preserve">ACTTCCATATGAGCAGATTTGCAGT</t>
  </si>
  <si>
    <t xml:space="preserve">TTTATGCGAGCAATTTCTCTTCGGA</t>
  </si>
  <si>
    <t xml:space="preserve">S038-04</t>
  </si>
  <si>
    <t xml:space="preserve">nhl-1_B1_P1_04</t>
  </si>
  <si>
    <t xml:space="preserve">GAGGAGGGCAGCAAACGGAATAATATATCTTGAATTCTATTTACA</t>
  </si>
  <si>
    <t xml:space="preserve">nhl-1_B1_P2_04</t>
  </si>
  <si>
    <t xml:space="preserve">ATTGGACGTATTTCTTTCTACTATATAGAAGAGTCTTCCTTTACG</t>
  </si>
  <si>
    <t xml:space="preserve">B1_P1 (nhl-1)_4</t>
  </si>
  <si>
    <t xml:space="preserve">B1_P2 (nhl-1)_4</t>
  </si>
  <si>
    <t xml:space="preserve">TAATATATCTTGAATTCTATTTACA</t>
  </si>
  <si>
    <t xml:space="preserve">ATTGGACGTATTTCTTTCTACTATA</t>
  </si>
  <si>
    <t xml:space="preserve">S038-05</t>
  </si>
  <si>
    <t xml:space="preserve">nhl-1_B1_P1_05</t>
  </si>
  <si>
    <t xml:space="preserve">GAGGAGGGCAGCAAACGGAATTTCATCAACTTCTCCAGCCACTGC</t>
  </si>
  <si>
    <t xml:space="preserve">nhl-1_B1_P2_05</t>
  </si>
  <si>
    <t xml:space="preserve">TGAGAGCCTTTGAAAGTCTTTTGTGTAGAAGAGTCTTCCTTTACG</t>
  </si>
  <si>
    <t xml:space="preserve">B1_P1 (nhl-1)_5</t>
  </si>
  <si>
    <t xml:space="preserve">B1_P2 (nhl-1)_5</t>
  </si>
  <si>
    <t xml:space="preserve">TTTCATCAACTTCTCCAGCCACTGC</t>
  </si>
  <si>
    <t xml:space="preserve">TGAGAGCCTTTGAAAGTCTTTTGTG</t>
  </si>
  <si>
    <t xml:space="preserve">S038-06</t>
  </si>
  <si>
    <t xml:space="preserve">nhl-1_B1_P1_06</t>
  </si>
  <si>
    <t xml:space="preserve">GAGGAGGGCAGCAAACGGAAAAGTAGCGGTCTATCTCATTGCGTA</t>
  </si>
  <si>
    <t xml:space="preserve">nhl-1_B1_P2_06</t>
  </si>
  <si>
    <t xml:space="preserve">TGTGTTAAATTTCTAAGTTCAGTAGTAGAAGAGTCTTCCTTTACG</t>
  </si>
  <si>
    <t xml:space="preserve">B1_P1 (nhl-1)_6</t>
  </si>
  <si>
    <t xml:space="preserve">B1_P2 (nhl-1)_6</t>
  </si>
  <si>
    <t xml:space="preserve">AAGTAGCGGTCTATCTCATTGCGTA</t>
  </si>
  <si>
    <t xml:space="preserve">TGTGTTAAATTTCTAAGTTCAGTAG</t>
  </si>
  <si>
    <t xml:space="preserve">S039-01</t>
  </si>
  <si>
    <t xml:space="preserve">notch1_B1_P1_01</t>
  </si>
  <si>
    <t xml:space="preserve">GAGGAGGGCAGCAAACGGAAGTTTCTCGACCACATCTTGTAGCAC</t>
  </si>
  <si>
    <t xml:space="preserve">notch1_B1_P2_01</t>
  </si>
  <si>
    <t xml:space="preserve">CAAGTTAATCCCATAATCCGGTATATAGAAGAGTCTTCCTTTACG</t>
  </si>
  <si>
    <t xml:space="preserve">B1_P1 (notch1)_1</t>
  </si>
  <si>
    <t xml:space="preserve">B1_P2 (notch1)_1</t>
  </si>
  <si>
    <t xml:space="preserve">GTTTCTCGACCACATCTTGTAGCAC</t>
  </si>
  <si>
    <t xml:space="preserve">CAAGTTAATCCCATAATCCGGTATA</t>
  </si>
  <si>
    <t xml:space="preserve">S039-02</t>
  </si>
  <si>
    <t xml:space="preserve">notch1_B1_P1_02</t>
  </si>
  <si>
    <t xml:space="preserve">GAGGAGGGCAGCAAACGGAACTTGGATTGTGGCCGCTAAGGTGGT</t>
  </si>
  <si>
    <t xml:space="preserve">notch1_B1_P2_02</t>
  </si>
  <si>
    <t xml:space="preserve">GTGAACACGACACGAAACCTTCGGCTAGAAGAGTCTTCCTTTACG</t>
  </si>
  <si>
    <t xml:space="preserve">B1_P1 (notch1)_2</t>
  </si>
  <si>
    <t xml:space="preserve">B1_P2 (notch1)_2</t>
  </si>
  <si>
    <t xml:space="preserve">CTTGGATTGTGGCCGCTAAGGTGGT</t>
  </si>
  <si>
    <t xml:space="preserve">GTGAACACGACACGAAACCTTCGGC</t>
  </si>
  <si>
    <t xml:space="preserve">S039-03</t>
  </si>
  <si>
    <t xml:space="preserve">notch1_B1_P1_03</t>
  </si>
  <si>
    <t xml:space="preserve">GAGGAGGGCAGCAAACGGAACGCGTAGTAGAGAGACACGTTCCAC</t>
  </si>
  <si>
    <t xml:space="preserve">notch1_B1_P2_03</t>
  </si>
  <si>
    <t xml:space="preserve">GATGTACAATTGCAAAAATACTCCCTAGAAGAGTCTTCCTTTACG</t>
  </si>
  <si>
    <t xml:space="preserve">B1_P1 (notch1)_3</t>
  </si>
  <si>
    <t xml:space="preserve">B1_P2 (notch1)_3</t>
  </si>
  <si>
    <t xml:space="preserve">CGCGTAGTAGAGAGACACGTTCCAC</t>
  </si>
  <si>
    <t xml:space="preserve">GATGTACAATTGCAAAAATACTCCC</t>
  </si>
  <si>
    <t xml:space="preserve">S039-04</t>
  </si>
  <si>
    <t xml:space="preserve">notch1_B1_P1_04</t>
  </si>
  <si>
    <t xml:space="preserve">GAGGAGGGCAGCAAACGGAAGTGGCAAGGGTTGAGATGCTGGCAG</t>
  </si>
  <si>
    <t xml:space="preserve">notch1_B1_P2_04</t>
  </si>
  <si>
    <t xml:space="preserve">ATTCTGACACCGAGGGCTTGATTCGTAGAAGAGTCTTCCTTTACG</t>
  </si>
  <si>
    <t xml:space="preserve">B1_P1 (notch1)_4</t>
  </si>
  <si>
    <t xml:space="preserve">B1_P2 (notch1)_4</t>
  </si>
  <si>
    <t xml:space="preserve">GTGGCAAGGGTTGAGATGCTGGCAG</t>
  </si>
  <si>
    <t xml:space="preserve">ATTCTGACACCGAGGGCTTGATTCG</t>
  </si>
  <si>
    <t xml:space="preserve">S039-05</t>
  </si>
  <si>
    <t xml:space="preserve">notch1_B1_P1_05</t>
  </si>
  <si>
    <t xml:space="preserve">GAGGAGGGCAGCAAACGGAAGCGGGCCTCCCCCGGCGCCGGGCCT</t>
  </si>
  <si>
    <t xml:space="preserve">notch1_B1_P2_05</t>
  </si>
  <si>
    <t xml:space="preserve">CGAGAGGGCAGTCGCAGGCGAAGGATAGAAGAGTCTTCCTTTACG</t>
  </si>
  <si>
    <t xml:space="preserve">B1_P1 (notch1)_5</t>
  </si>
  <si>
    <t xml:space="preserve">B1_P2 (notch1)_5</t>
  </si>
  <si>
    <t xml:space="preserve">GCGGGCCTCCCCCGGCGCCGGGCCT</t>
  </si>
  <si>
    <t xml:space="preserve">CGAGAGGGCAGTCGCAGGCGAAGGA</t>
  </si>
  <si>
    <t xml:space="preserve">S039-06</t>
  </si>
  <si>
    <t xml:space="preserve">notch1_B1_P1_06</t>
  </si>
  <si>
    <t xml:space="preserve">GAGGAGGGCAGCAAACGGAACACGCAGCAGGCACTCTTATCTCGC</t>
  </si>
  <si>
    <t xml:space="preserve">notch1_B1_P2_06</t>
  </si>
  <si>
    <t xml:space="preserve">GCACCGTTCAAACACGGAGCGGAGTTAGAAGAGTCTTCCTTTACG</t>
  </si>
  <si>
    <t xml:space="preserve">B1_P1 (notch1)_6</t>
  </si>
  <si>
    <t xml:space="preserve">B1_P2 (notch1)_6</t>
  </si>
  <si>
    <t xml:space="preserve">CACGCAGCAGGCACTCTTATCTCGC</t>
  </si>
  <si>
    <t xml:space="preserve">GCACCGTTCAAACACGGAGCGGAGT</t>
  </si>
  <si>
    <t xml:space="preserve">S040-01</t>
  </si>
  <si>
    <t xml:space="preserve">notch2_B1_P1_01</t>
  </si>
  <si>
    <t xml:space="preserve">GAGGAGGGCAGCAAACGGAATGCATTACACGAGCTTCTTATGAAA</t>
  </si>
  <si>
    <t xml:space="preserve">notch2_B1_P2_01</t>
  </si>
  <si>
    <t xml:space="preserve">CGCTCTCACCGCTCGCGTCGCCATCTAGAAGAGTCTTCCTTTACG</t>
  </si>
  <si>
    <t xml:space="preserve">B1_P1 (notch2)_1</t>
  </si>
  <si>
    <t xml:space="preserve">B1_P2 (notch2)_1</t>
  </si>
  <si>
    <t xml:space="preserve">TGCATTACACGAGCTTCTTATGAAA</t>
  </si>
  <si>
    <t xml:space="preserve">CGCTCTCACCGCTCGCGTCGCCATC</t>
  </si>
  <si>
    <t xml:space="preserve">S040-02</t>
  </si>
  <si>
    <t xml:space="preserve">notch2_B1_P1_02</t>
  </si>
  <si>
    <t xml:space="preserve">GAGGAGGGCAGCAAACGGAACGCTTGCTTGTTGTACGAACAATAG</t>
  </si>
  <si>
    <t xml:space="preserve">notch2_B1_P2_02</t>
  </si>
  <si>
    <t xml:space="preserve">CGGCGGGACATCGTCCTCTGAGCTCTAGAAGAGTCTTCCTTTACG</t>
  </si>
  <si>
    <t xml:space="preserve">B1_P1 (notch2)_2</t>
  </si>
  <si>
    <t xml:space="preserve">B1_P2 (notch2)_2</t>
  </si>
  <si>
    <t xml:space="preserve">CGCTTGCTTGTTGTACGAACAATAG</t>
  </si>
  <si>
    <t xml:space="preserve">CGGCGGGACATCGTCCTCTGAGCTC</t>
  </si>
  <si>
    <t xml:space="preserve">S040-03</t>
  </si>
  <si>
    <t xml:space="preserve">notch2_B1_P1_03</t>
  </si>
  <si>
    <t xml:space="preserve">GAGGAGGGCAGCAAACGGAATCCTCATGGCAGGGAGTCGCTCGCG</t>
  </si>
  <si>
    <t xml:space="preserve">notch2_B1_P2_03</t>
  </si>
  <si>
    <t xml:space="preserve">CAGCAGATCTGATCGCCGCAGTCGTTAGAAGAGTCTTCCTTTACG</t>
  </si>
  <si>
    <t xml:space="preserve">B1_P1 (notch2)_3</t>
  </si>
  <si>
    <t xml:space="preserve">B1_P2 (notch2)_3</t>
  </si>
  <si>
    <t xml:space="preserve">TCCTCATGGCAGGGAGTCGCTCGCG</t>
  </si>
  <si>
    <t xml:space="preserve">CAGCAGATCTGATCGCCGCAGTCGT</t>
  </si>
  <si>
    <t xml:space="preserve">S040-04</t>
  </si>
  <si>
    <t xml:space="preserve">notch2_B1_P1_04</t>
  </si>
  <si>
    <t xml:space="preserve">GAGGAGGGCAGCAAACGGAAAGTGTAAAGTGGTTCAACACAAGTT</t>
  </si>
  <si>
    <t xml:space="preserve">notch2_B1_P2_04</t>
  </si>
  <si>
    <t xml:space="preserve">AGACGACAGCTTTATGTTCTCACAGTAGAAGAGTCTTCCTTTACG</t>
  </si>
  <si>
    <t xml:space="preserve">B1_P1 (notch2)_4</t>
  </si>
  <si>
    <t xml:space="preserve">B1_P2 (notch2)_4</t>
  </si>
  <si>
    <t xml:space="preserve">AGTGTAAAGTGGTTCAACACAAGTT</t>
  </si>
  <si>
    <t xml:space="preserve">AGACGACAGCTTTATGTTCTCACAG</t>
  </si>
  <si>
    <t xml:space="preserve">S040-05</t>
  </si>
  <si>
    <t xml:space="preserve">notch2_B1_P1_05</t>
  </si>
  <si>
    <t xml:space="preserve">GAGGAGGGCAGCAAACGGAACACTACGCGTGTTTTCGGCCGCAAG</t>
  </si>
  <si>
    <t xml:space="preserve">notch2_B1_P2_05</t>
  </si>
  <si>
    <t xml:space="preserve">ATCGTGGAGACCGAATGACACCTCGTAGAAGAGTCTTCCTTTACG</t>
  </si>
  <si>
    <t xml:space="preserve">B1_P1 (notch2)_5</t>
  </si>
  <si>
    <t xml:space="preserve">B1_P2 (notch2)_5</t>
  </si>
  <si>
    <t xml:space="preserve">CACTACGCGTGTTTTCGGCCGCAAG</t>
  </si>
  <si>
    <t xml:space="preserve">ATCGTGGAGACCGAATGACACCTCG</t>
  </si>
  <si>
    <t xml:space="preserve">S040-06</t>
  </si>
  <si>
    <t xml:space="preserve">notch2_B1_P1_06</t>
  </si>
  <si>
    <t xml:space="preserve">GAGGAGGGCAGCAAACGGAATGAATCTCCTCAAACTCTCCGTCCG</t>
  </si>
  <si>
    <t xml:space="preserve">notch2_B1_P2_06</t>
  </si>
  <si>
    <t xml:space="preserve">CACGTGCTAACAATCTCATTGTCGCTAGAAGAGTCTTCCTTTACG</t>
  </si>
  <si>
    <t xml:space="preserve">B1_P1 (notch2)_6</t>
  </si>
  <si>
    <t xml:space="preserve">B1_P2 (notch2)_6</t>
  </si>
  <si>
    <t xml:space="preserve">TGAATCTCCTCAAACTCTCCGTCCG</t>
  </si>
  <si>
    <t xml:space="preserve">CACGTGCTAACAATCTCATTGTCGC</t>
  </si>
  <si>
    <t xml:space="preserve">S041-01</t>
  </si>
  <si>
    <t xml:space="preserve">notch3_B1_P1_01</t>
  </si>
  <si>
    <t xml:space="preserve">GAGGAGGGCAGCAAACGGAATCCTCGCCGGAGCGCGCACTCCTCC</t>
  </si>
  <si>
    <t xml:space="preserve">notch3_B1_P2_01</t>
  </si>
  <si>
    <t xml:space="preserve">GATGACCGGGGGGCACTCCTCCTCGTAGAAGAGTCTTCCTTTACG</t>
  </si>
  <si>
    <t xml:space="preserve">B1_P1 (notch3)_1</t>
  </si>
  <si>
    <t xml:space="preserve">B1_P2 (notch3)_1</t>
  </si>
  <si>
    <t xml:space="preserve">TCCTCGCCGGAGCGCGCACTCCTCC</t>
  </si>
  <si>
    <t xml:space="preserve">GATGACCGGGGGGCACTCCTCCTCG</t>
  </si>
  <si>
    <t xml:space="preserve">S041-02</t>
  </si>
  <si>
    <t xml:space="preserve">notch3_B1_P1_02</t>
  </si>
  <si>
    <t xml:space="preserve">GAGGAGGGCAGCAAACGGAAGGATATCTCCGCTCTGAATGTCAGC</t>
  </si>
  <si>
    <t xml:space="preserve">notch3_B1_P2_02</t>
  </si>
  <si>
    <t xml:space="preserve">GGGAAGAGTCTGCGATGCGCACGATTAGAAGAGTCTTCCTTTACG</t>
  </si>
  <si>
    <t xml:space="preserve">B1_P1 (notch3)_2</t>
  </si>
  <si>
    <t xml:space="preserve">B1_P2 (notch3)_2</t>
  </si>
  <si>
    <t xml:space="preserve">GGATATCTCCGCTCTGAATGTCAGC</t>
  </si>
  <si>
    <t xml:space="preserve">GGGAAGAGTCTGCGATGCGCACGAT</t>
  </si>
  <si>
    <t xml:space="preserve">S041-03</t>
  </si>
  <si>
    <t xml:space="preserve">notch3_B1_P1_03</t>
  </si>
  <si>
    <t xml:space="preserve">GAGGAGGGCAGCAAACGGAAATAGTTCCGTTGGTAGAGTCGGCGC</t>
  </si>
  <si>
    <t xml:space="preserve">notch3_B1_P2_03</t>
  </si>
  <si>
    <t xml:space="preserve">TCCTCATCATGTGAAGAGTTCGTGTTAGAAGAGTCTTCCTTTACG</t>
  </si>
  <si>
    <t xml:space="preserve">B1_P1 (notch3)_3</t>
  </si>
  <si>
    <t xml:space="preserve">B1_P2 (notch3)_3</t>
  </si>
  <si>
    <t xml:space="preserve">ATAGTTCCGTTGGTAGAGTCGGCGC</t>
  </si>
  <si>
    <t xml:space="preserve">TCCTCATCATGTGAAGAGTTCGTGT</t>
  </si>
  <si>
    <t xml:space="preserve">S041-04</t>
  </si>
  <si>
    <t xml:space="preserve">notch3_B1_P1_04</t>
  </si>
  <si>
    <t xml:space="preserve">GAGGAGGGCAGCAAACGGAACACTTGGTACACGGCGGGCTGGGGG</t>
  </si>
  <si>
    <t xml:space="preserve">notch3_B1_P2_04</t>
  </si>
  <si>
    <t xml:space="preserve">GTCGCAGTGTTCGTGTCCTTGCCGCTAGAAGAGTCTTCCTTTACG</t>
  </si>
  <si>
    <t xml:space="preserve">B1_P1 (notch3)_4</t>
  </si>
  <si>
    <t xml:space="preserve">B1_P2 (notch3)_4</t>
  </si>
  <si>
    <t xml:space="preserve">CACTTGGTACACGGCGGGCTGGGGG</t>
  </si>
  <si>
    <t xml:space="preserve">GTCGCAGTGTTCGTGTCCTTGCCGC</t>
  </si>
  <si>
    <t xml:space="preserve">S041-05</t>
  </si>
  <si>
    <t xml:space="preserve">notch3_B1_P1_05</t>
  </si>
  <si>
    <t xml:space="preserve">GAGGAGGGCAGCAAACGGAATCTCGTCTAACGGCGTAATATCGAG</t>
  </si>
  <si>
    <t xml:space="preserve">notch3_B1_P2_05</t>
  </si>
  <si>
    <t xml:space="preserve">CGTAGAGAGTGAATATTTTCGATCCTAGAAGAGTCTTCCTTTACG</t>
  </si>
  <si>
    <t xml:space="preserve">B1_P1 (notch3)_5</t>
  </si>
  <si>
    <t xml:space="preserve">B1_P2 (notch3)_5</t>
  </si>
  <si>
    <t xml:space="preserve">TCTCGTCTAACGGCGTAATATCGAG</t>
  </si>
  <si>
    <t xml:space="preserve">CGTAGAGAGTGAATATTTTCGATCC</t>
  </si>
  <si>
    <t xml:space="preserve">S041-06</t>
  </si>
  <si>
    <t xml:space="preserve">notch3_B1_P1_06</t>
  </si>
  <si>
    <t xml:space="preserve">GAGGAGGGCAGCAAACGGAAGATACAACTATTAATAAATTAACGC</t>
  </si>
  <si>
    <t xml:space="preserve">notch3_B1_P2_06</t>
  </si>
  <si>
    <t xml:space="preserve">CGAATGCATTGTGACCCCCAAGTCTTAGAAGAGTCTTCCTTTACG</t>
  </si>
  <si>
    <t xml:space="preserve">B1_P1 (notch3)_6</t>
  </si>
  <si>
    <t xml:space="preserve">B1_P2 (notch3)_6</t>
  </si>
  <si>
    <t xml:space="preserve">GATACAACTATTAATAAATTAACGC</t>
  </si>
  <si>
    <t xml:space="preserve">CGAATGCATTGTGACCCCCAAGTCT</t>
  </si>
  <si>
    <t xml:space="preserve">S042-01</t>
  </si>
  <si>
    <t xml:space="preserve">omb_B1_P1_01</t>
  </si>
  <si>
    <t xml:space="preserve">GAGGAGGGCAGCAAACGGAACGAATAATCGATAGAGGCGCCACCG</t>
  </si>
  <si>
    <t xml:space="preserve">omb_B1_P2_01</t>
  </si>
  <si>
    <t xml:space="preserve">CGCGGCGCTACGCGCGACCGAGAGGTAGAAGAGTCTTCCTTTACG</t>
  </si>
  <si>
    <t xml:space="preserve">omb1_HCR_P1B1</t>
  </si>
  <si>
    <t xml:space="preserve">omb1_HCR_P2B1</t>
  </si>
  <si>
    <t xml:space="preserve">CGAATAATCGATAGAGGCGCCACCG</t>
  </si>
  <si>
    <t xml:space="preserve">CGCGGCGCTACGCGCGACCGAGAGG</t>
  </si>
  <si>
    <t xml:space="preserve">S042-02</t>
  </si>
  <si>
    <t xml:space="preserve">omb_B1_P1_02</t>
  </si>
  <si>
    <t xml:space="preserve">GAGGAGGGCAGCAAACGGAACATGACGCGGCGGGCGCCACCCGCG</t>
  </si>
  <si>
    <t xml:space="preserve">omb_B1_P2_02</t>
  </si>
  <si>
    <t xml:space="preserve">GGTCGCGCCAGTCGCGCGGTGGTCGTAGAAGAGTCTTCCTTTACG</t>
  </si>
  <si>
    <t xml:space="preserve">omb2_HCR_P1B1</t>
  </si>
  <si>
    <t xml:space="preserve">omb2_HCR_P2B1</t>
  </si>
  <si>
    <t xml:space="preserve">CATGACGCGGCGGGCGCCACCCGCG</t>
  </si>
  <si>
    <t xml:space="preserve">GGTCGCGCCAGTCGCGCGGTGGTCG</t>
  </si>
  <si>
    <t xml:space="preserve">S042-03</t>
  </si>
  <si>
    <t xml:space="preserve">omb_B1_P1_03</t>
  </si>
  <si>
    <t xml:space="preserve">GAGGAGGGCAGCAAACGGAACTTTGACAACATCCGTTGACTTTGG</t>
  </si>
  <si>
    <t xml:space="preserve">omb_B1_P2_03</t>
  </si>
  <si>
    <t xml:space="preserve">ACTAGGCACTGGGTTTGGCCACAGCTAGAAGAGTCTTCCTTTACG</t>
  </si>
  <si>
    <t xml:space="preserve">omb3_HCR_P1B1</t>
  </si>
  <si>
    <t xml:space="preserve">omb3_HCR_P2B1</t>
  </si>
  <si>
    <t xml:space="preserve">CTTTGACAACATCCGTTGACTTTGG</t>
  </si>
  <si>
    <t xml:space="preserve">ACTAGGCACTGGGTTTGGCCACAGC</t>
  </si>
  <si>
    <t xml:space="preserve">S042-04</t>
  </si>
  <si>
    <t xml:space="preserve">omb_B1_P1_04</t>
  </si>
  <si>
    <t xml:space="preserve">GAGGAGGGCAGCAAACGGAACAGGATCGTCAAATGATCTGAGTGG</t>
  </si>
  <si>
    <t xml:space="preserve">omb_B1_P2_04</t>
  </si>
  <si>
    <t xml:space="preserve">CCGTGGCTGGTACTTGTGCATCGAGTAGAAGAGTCTTCCTTTACG</t>
  </si>
  <si>
    <t xml:space="preserve">omb4_HCR_P1B1</t>
  </si>
  <si>
    <t xml:space="preserve">omb4_HCR_P2B1</t>
  </si>
  <si>
    <t xml:space="preserve">CAGGATCGTCAAATGATCTGAGTGG</t>
  </si>
  <si>
    <t xml:space="preserve">CCGTGGCTGGTACTTGTGCATCGAG</t>
  </si>
  <si>
    <t xml:space="preserve">S042-05</t>
  </si>
  <si>
    <t xml:space="preserve">omb_B1_P1_05</t>
  </si>
  <si>
    <t xml:space="preserve">GAGGAGGGCAGCAAACGGAACGTTCTGGTAGGCGGTGACGGCGAT</t>
  </si>
  <si>
    <t xml:space="preserve">omb_B1_P2_05</t>
  </si>
  <si>
    <t xml:space="preserve">TGTCGATTTTCAGCTGCGTTATCTTTAGAAGAGTCTTCCTTTACG</t>
  </si>
  <si>
    <t xml:space="preserve">omb5_HCR_P1B1</t>
  </si>
  <si>
    <t xml:space="preserve">omb5_HCR_P2B1</t>
  </si>
  <si>
    <t xml:space="preserve">CGTTCTGGTAGGCGGTGACGGCGAT</t>
  </si>
  <si>
    <t xml:space="preserve">TGTCGATTTTCAGCTGCGTTATCTT</t>
  </si>
  <si>
    <t xml:space="preserve">S042-06</t>
  </si>
  <si>
    <t xml:space="preserve">omb_B1_P1_06</t>
  </si>
  <si>
    <t xml:space="preserve">GAGGAGGGCAGCAAACGGAACCGCCCCCGTGTCTCGGAAGCCTTT</t>
  </si>
  <si>
    <t xml:space="preserve">omb_B1_P2_06</t>
  </si>
  <si>
    <t xml:space="preserve">ACACGGACAGATTCTTCTCCCGCTTTAGAAGAGTCTTCCTTTACG</t>
  </si>
  <si>
    <t xml:space="preserve">omb6_HCR_P1B1</t>
  </si>
  <si>
    <t xml:space="preserve">omb6_HCR_P2B1</t>
  </si>
  <si>
    <t xml:space="preserve">CCGCCCCCGTGTCTCGGAAGCCTTT</t>
  </si>
  <si>
    <t xml:space="preserve">ACACGGACAGATTCTTCTCCCGCTT</t>
  </si>
  <si>
    <t xml:space="preserve">S042-07</t>
  </si>
  <si>
    <t xml:space="preserve">omb_B1_P1_07</t>
  </si>
  <si>
    <t xml:space="preserve">GAGGAGGGCAGCAAACGGAAGTCGCGGGCGGCGGCGGGCTGGAGG</t>
  </si>
  <si>
    <t xml:space="preserve">omb_B1_P2_07</t>
  </si>
  <si>
    <t xml:space="preserve">CTGAACCACGAGCTGCTCGTGTGTTTAGAAGAGTCTTCCTTTACG</t>
  </si>
  <si>
    <t xml:space="preserve">omb7_HCR_P1B1</t>
  </si>
  <si>
    <t xml:space="preserve">omb7_HCR_P2B1</t>
  </si>
  <si>
    <t xml:space="preserve">GTCGCGGGCGGCGGCGGGCTGGAGG</t>
  </si>
  <si>
    <t xml:space="preserve">CTGAACCACGAGCTGCTCGTGTGTT</t>
  </si>
  <si>
    <t xml:space="preserve">S042-08</t>
  </si>
  <si>
    <t xml:space="preserve">omb_B1_P1_08</t>
  </si>
  <si>
    <t xml:space="preserve">GAGGAGGGCAGCAAACGGAACTTCCTCTGGACCGGAGTCCGCGCC</t>
  </si>
  <si>
    <t xml:space="preserve">omb_B1_P2_08</t>
  </si>
  <si>
    <t xml:space="preserve">GGCCGGAGCACGACGAGTCCGAGCCTAGAAGAGTCTTCCTTTACG</t>
  </si>
  <si>
    <t xml:space="preserve">omb8_HCR_P1B1</t>
  </si>
  <si>
    <t xml:space="preserve">omb8_HCR_P2B1</t>
  </si>
  <si>
    <t xml:space="preserve">CTTCCTCTGGACCGGAGTCCGCGCC</t>
  </si>
  <si>
    <t xml:space="preserve">GGCCGGAGCACGACGAGTCCGAGCC</t>
  </si>
  <si>
    <t xml:space="preserve">S042-09</t>
  </si>
  <si>
    <t xml:space="preserve">omb_B1_P1_09</t>
  </si>
  <si>
    <t xml:space="preserve">GAGGAGGGCAGCAAACGGAAGCGGGTACAGGTAGGGCAGGAGGGG</t>
  </si>
  <si>
    <t xml:space="preserve">omb_B1_P2_09</t>
  </si>
  <si>
    <t xml:space="preserve">GGAAGAACGGTGGCGGGTACAGCGATAGAAGAGTCTTCCTTTACG</t>
  </si>
  <si>
    <t xml:space="preserve">omb9_HCR_P1B1</t>
  </si>
  <si>
    <t xml:space="preserve">omb9_HCR_P2B1</t>
  </si>
  <si>
    <t xml:space="preserve">GCGGGTACAGGTAGGGCAGGAGGGG</t>
  </si>
  <si>
    <t xml:space="preserve">GGAAGAACGGTGGCGGGTACAGCGA</t>
  </si>
  <si>
    <t xml:space="preserve">S042-10</t>
  </si>
  <si>
    <t xml:space="preserve">omb_B1_P1_10</t>
  </si>
  <si>
    <t xml:space="preserve">GAGGAGGGCAGCAAACGGAAATGCAGGTTGAACAACAGACCTGGC</t>
  </si>
  <si>
    <t xml:space="preserve">omb_B1_P2_10</t>
  </si>
  <si>
    <t xml:space="preserve">GGGCAACGAGTACTGCTGCAGGAGGTAGAAGAGTCTTCCTTTACG</t>
  </si>
  <si>
    <t xml:space="preserve">omb10_HCR_P1B1</t>
  </si>
  <si>
    <t xml:space="preserve">omb10_HCR_P2B1</t>
  </si>
  <si>
    <t xml:space="preserve">ATGCAGGTTGAACAACAGACCTGGC</t>
  </si>
  <si>
    <t xml:space="preserve">GGGCAACGAGTACTGCTGCAGGAGG</t>
  </si>
  <si>
    <t xml:space="preserve">S043-01</t>
  </si>
  <si>
    <t xml:space="preserve">pangolin_B1_P1_01</t>
  </si>
  <si>
    <t xml:space="preserve">GAGGAGGGCAGCAAACGGAACGCCGCAGAACTCGAGTGCGCATGC</t>
  </si>
  <si>
    <t xml:space="preserve">pangolin_B1_P2_01</t>
  </si>
  <si>
    <t xml:space="preserve">GGAGCCCAGGTCGTCGCCGCCCGAGTAGAAGAGTCTTCCTTTACG</t>
  </si>
  <si>
    <t xml:space="preserve">B1_P1 (pangolin)_1</t>
  </si>
  <si>
    <t xml:space="preserve">B1_P2 (pangolin)_1</t>
  </si>
  <si>
    <t xml:space="preserve">CGCCGCAGAACTCGAGTGCGCATGC</t>
  </si>
  <si>
    <t xml:space="preserve">GGAGCCCAGGTCGTCGCCGCCCGAG</t>
  </si>
  <si>
    <t xml:space="preserve">S043-02</t>
  </si>
  <si>
    <t xml:space="preserve">pangolin_B1_P1_02</t>
  </si>
  <si>
    <t xml:space="preserve">GAGGAGGGCAGCAAACGGAATACTTTGACCTCGTCCGTGGAGCCC</t>
  </si>
  <si>
    <t xml:space="preserve">pangolin_B1_P2_02</t>
  </si>
  <si>
    <t xml:space="preserve">GTCCTCACCGTCTCCTTCGTCTTTGTAGAAGAGTCTTCCTTTACG</t>
  </si>
  <si>
    <t xml:space="preserve">pang_axin_naked</t>
  </si>
  <si>
    <t xml:space="preserve">TACTTTGACCTCGTCCGTGGAGCCC</t>
  </si>
  <si>
    <t xml:space="preserve">GTCCTCACCGTCTCCTTCGTCTTTG</t>
  </si>
  <si>
    <t xml:space="preserve">S043-03</t>
  </si>
  <si>
    <t xml:space="preserve">pangolin_B1_P1_03</t>
  </si>
  <si>
    <t xml:space="preserve">GAGGAGGGCAGCAAACGGAATCCTCACCGTCTCCTTCGTCTTTGA</t>
  </si>
  <si>
    <t xml:space="preserve">pangolin_B1_P2_03</t>
  </si>
  <si>
    <t xml:space="preserve">AACAGATTCTCCGAACTTCTCTTCTTAGAAGAGTCTTCCTTTACG</t>
  </si>
  <si>
    <t xml:space="preserve">B1_P1 (pangolin)_2</t>
  </si>
  <si>
    <t xml:space="preserve">B1_P2 (pangolin)_2</t>
  </si>
  <si>
    <t xml:space="preserve">TCCTCACCGTCTCCTTCGTCTTTGA</t>
  </si>
  <si>
    <t xml:space="preserve">AACAGATTCTCCGAACTTCTCTTCT</t>
  </si>
  <si>
    <t xml:space="preserve">S043-04</t>
  </si>
  <si>
    <t xml:space="preserve">pangolin_B1_P1_04</t>
  </si>
  <si>
    <t xml:space="preserve">GAGGAGGGCAGCAAACGGAACAATCGATAAGGCTAGATTTCTCCT</t>
  </si>
  <si>
    <t xml:space="preserve">pangolin_B1_P2_04</t>
  </si>
  <si>
    <t xml:space="preserve">TCACCGGATTTCTCCTCACTCTCAGTAGAAGAGTCTTCCTTTACG</t>
  </si>
  <si>
    <t xml:space="preserve">CAATCGATAAGGCTAGATTTCTCCT</t>
  </si>
  <si>
    <t xml:space="preserve">TCACCGGATTTCTCCTCACTCTCAG</t>
  </si>
  <si>
    <t xml:space="preserve">S043-05</t>
  </si>
  <si>
    <t xml:space="preserve">pangolin_B1_P1_05</t>
  </si>
  <si>
    <t xml:space="preserve">GAGGAGGGCAGCAAACGGAATCTCCTCACTCTCAGTCCAATCGAT</t>
  </si>
  <si>
    <t xml:space="preserve">pangolin_B1_P2_05</t>
  </si>
  <si>
    <t xml:space="preserve">GTTTACCGGAATACGGTTCACCGGATAGAAGAGTCTTCCTTTACG</t>
  </si>
  <si>
    <t xml:space="preserve">B1_P1 (pangolin)_3</t>
  </si>
  <si>
    <t xml:space="preserve">B1_P2 (pangolin)_3</t>
  </si>
  <si>
    <t xml:space="preserve">TCTCCTCACTCTCAGTCCAATCGAT</t>
  </si>
  <si>
    <t xml:space="preserve">GTTTACCGGAATACGGTTCACCGGA</t>
  </si>
  <si>
    <t xml:space="preserve">S043-06</t>
  </si>
  <si>
    <t xml:space="preserve">pangolin_B1_P1_06</t>
  </si>
  <si>
    <t xml:space="preserve">GAGGAGGGCAGCAAACGGAAATGCGCTCCGCCATTGGGATAAGGG</t>
  </si>
  <si>
    <t xml:space="preserve">pangolin_B1_P2_06</t>
  </si>
  <si>
    <t xml:space="preserve">CTTGCTTGCCATAGACACAGGCAGATAGAAGAGTCTTCCTTTACG</t>
  </si>
  <si>
    <t xml:space="preserve">ATGCGCTCCGCCATTGGGATAAGGG</t>
  </si>
  <si>
    <t xml:space="preserve">CTTGCTTGCCATAGACACAGGCAGA</t>
  </si>
  <si>
    <t xml:space="preserve">S043-07</t>
  </si>
  <si>
    <t xml:space="preserve">pangolin_B1_P1_07</t>
  </si>
  <si>
    <t xml:space="preserve">GAGGAGGGCAGCAAACGGAACACCCCCGGGACAGAACAGGGAGAG</t>
  </si>
  <si>
    <t xml:space="preserve">pangolin_B1_P2_07</t>
  </si>
  <si>
    <t xml:space="preserve">TGTGCGCGGGCGGCGGCTGTCCCAGTAGAAGAGTCTTCCTTTACG</t>
  </si>
  <si>
    <t xml:space="preserve">B1_P1 (pang)_4</t>
  </si>
  <si>
    <t xml:space="preserve">B1_P2(pang)_4</t>
  </si>
  <si>
    <t xml:space="preserve">CACCCCCGGGACAGAACAGGGAGAG</t>
  </si>
  <si>
    <t xml:space="preserve">TGTGCGCGGGCGGCGGCTGTCCCAG</t>
  </si>
  <si>
    <t xml:space="preserve">S043-08</t>
  </si>
  <si>
    <t xml:space="preserve">pangolin_B1_P1_08</t>
  </si>
  <si>
    <t xml:space="preserve">GAGGAGGGCAGCAAACGGAAAGGTCTCCTCCGGGACAGAACAGGG</t>
  </si>
  <si>
    <t xml:space="preserve">pangolin_B1_P2_08</t>
  </si>
  <si>
    <t xml:space="preserve">CCCATGTGCGCGGGCGGCGGCTGTCTAGAAGAGTCTTCCTTTACG</t>
  </si>
  <si>
    <t xml:space="preserve">AGGTCTCCTCCGGGACAGAACAGGG</t>
  </si>
  <si>
    <t xml:space="preserve">CCCATGTGCGCGGGCGGCGGCTGTC</t>
  </si>
  <si>
    <t xml:space="preserve">pool order</t>
  </si>
  <si>
    <t xml:space="preserve">S043-09</t>
  </si>
  <si>
    <t xml:space="preserve">pangolin_B1_P1_09</t>
  </si>
  <si>
    <t xml:space="preserve">GAGGAGGGCAGCAAACGGAACCCGCCGCTAATTTGGAATCCAGCT</t>
  </si>
  <si>
    <t xml:space="preserve">pangolin_B1_P2_09</t>
  </si>
  <si>
    <t xml:space="preserve">AAGGGGTACATGGGTGTCCTCGCCATAGAAGAGTCTTCCTTTACG</t>
  </si>
  <si>
    <t xml:space="preserve">B1_P1 (pang)_5</t>
  </si>
  <si>
    <t xml:space="preserve">B1_P2(pang)_5</t>
  </si>
  <si>
    <t xml:space="preserve">CCCGCCGCTAATTTGGAATCCAGCT</t>
  </si>
  <si>
    <t xml:space="preserve">AAGGGGTACATGGGTGTCCTCGCCA</t>
  </si>
  <si>
    <t xml:space="preserve">S043-10</t>
  </si>
  <si>
    <t xml:space="preserve">pangolin_B1_P1_10</t>
  </si>
  <si>
    <t xml:space="preserve">GAGGAGGGCAGCAAACGGAAGACATCTCCGGACTGAGCATGGGGT</t>
  </si>
  <si>
    <t xml:space="preserve">pangolin_B1_P2_10</t>
  </si>
  <si>
    <t xml:space="preserve">GGGGTGTGCCAGGACGCAGCTACCTTAGAAGAGTCTTCCTTTACG</t>
  </si>
  <si>
    <t xml:space="preserve">B1_P1 (pang)_6</t>
  </si>
  <si>
    <t xml:space="preserve">B1_P2(pang)_6</t>
  </si>
  <si>
    <t xml:space="preserve">GACATCTCCGGACTGAGCATGGGGT</t>
  </si>
  <si>
    <t xml:space="preserve">GGGGTGTGCCAGGACGCAGCTACCT</t>
  </si>
  <si>
    <t xml:space="preserve">S043-11</t>
  </si>
  <si>
    <t xml:space="preserve">pangolin_B1_P1_11</t>
  </si>
  <si>
    <t xml:space="preserve">GAGGAGGGCAGCAAACGGAACCACGACGCAGCTACCTGCGACATC</t>
  </si>
  <si>
    <t xml:space="preserve">pangolin_B1_P2_11</t>
  </si>
  <si>
    <t xml:space="preserve">CGTGATGGGGTACATGCTCGGGGTGTAGAAGAGTCTTCCTTTACG</t>
  </si>
  <si>
    <t xml:space="preserve">CCACGACGCAGCTACCTGCGACATC</t>
  </si>
  <si>
    <t xml:space="preserve">CGTGATGGGGTACATGCTCGGGGTG</t>
  </si>
  <si>
    <t xml:space="preserve">S043-12</t>
  </si>
  <si>
    <t xml:space="preserve">pangolin_B1_P1_12</t>
  </si>
  <si>
    <t xml:space="preserve">GAGGAGGGCAGCAAACGGAACGGACTCCGGAAACCGCTGGCTGCC</t>
  </si>
  <si>
    <t xml:space="preserve">pangolin_B1_P2_12</t>
  </si>
  <si>
    <t xml:space="preserve">ACTGCTGATGGGCAGCGTGGTGGGGTAGAAGAGTCTTCCTTTACG</t>
  </si>
  <si>
    <t xml:space="preserve">B1_P1 (pang)_7</t>
  </si>
  <si>
    <t xml:space="preserve">B1_P2(pang)_7</t>
  </si>
  <si>
    <t xml:space="preserve">CGGACTCCGGAAACCGCTGGCTGCC</t>
  </si>
  <si>
    <t xml:space="preserve">ACTGCTGATGGGCAGCGTGGTGGGG</t>
  </si>
  <si>
    <t xml:space="preserve">S043-13</t>
  </si>
  <si>
    <t xml:space="preserve">pangolin_B1_P1_13</t>
  </si>
  <si>
    <t xml:space="preserve">GAGGAGGGCAGCAAACGGAACTGCTGATGGGCAGCGTGGTGGGAT</t>
  </si>
  <si>
    <t xml:space="preserve">pangolin_B1_P2_13</t>
  </si>
  <si>
    <t xml:space="preserve">AATTCATCGTACCTCGATAGACTAGTAGAAGAGTCTTCCTTTACG</t>
  </si>
  <si>
    <t xml:space="preserve">CTGCTGATGGGCAGCGTGGTGGGAT</t>
  </si>
  <si>
    <t xml:space="preserve">AATTCATCGTACCTCGATAGACTAG</t>
  </si>
  <si>
    <t xml:space="preserve">S043-14</t>
  </si>
  <si>
    <t xml:space="preserve">pangolin_B1_P1_14</t>
  </si>
  <si>
    <t xml:space="preserve">GAGGAGGGCAGCAAACGGAAGCGTCGGGGAGAACCGGTACAATTC</t>
  </si>
  <si>
    <t xml:space="preserve">pangolin_B1_P2_14</t>
  </si>
  <si>
    <t xml:space="preserve">CCAGGCCTAGGCCTAGGCCGCCGCCTAGAAGAGTCTTCCTTTACG</t>
  </si>
  <si>
    <t xml:space="preserve">B1_P1 (pang)_8</t>
  </si>
  <si>
    <t xml:space="preserve">B1_P2(pang)_8</t>
  </si>
  <si>
    <t xml:space="preserve">GCGTCGGGGAGAACCGGTACAATTC</t>
  </si>
  <si>
    <t xml:space="preserve">CCAGGCCTAGGCCTAGGCCGCCGCC</t>
  </si>
  <si>
    <t xml:space="preserve">S043-15</t>
  </si>
  <si>
    <t xml:space="preserve">pangolin_B1_P1_15</t>
  </si>
  <si>
    <t xml:space="preserve">GAGGAGGGCAGCAAACGGAAGCTGCTGCTGGTGCCTTTGTCTTGC</t>
  </si>
  <si>
    <t xml:space="preserve">pangolin_B1_P2_15</t>
  </si>
  <si>
    <t xml:space="preserve">ACTGTCCGAGGGTTTCTCTGACGCGTAGAAGAGTCTTCCTTTACG</t>
  </si>
  <si>
    <t xml:space="preserve">GCTGCTGCTGGTGCCTTTGTCTTGC</t>
  </si>
  <si>
    <t xml:space="preserve">ACTGTCCGAGGGTTTCTCTGACGCG</t>
  </si>
  <si>
    <t xml:space="preserve">S043-16</t>
  </si>
  <si>
    <t xml:space="preserve">pangolin_B1_P1_16</t>
  </si>
  <si>
    <t xml:space="preserve">GAGGAGGGCAGCAAACGGAAGCGTTCAGTGGTTTCTTGATGTGAG</t>
  </si>
  <si>
    <t xml:space="preserve">pangolin_B1_P2_16</t>
  </si>
  <si>
    <t xml:space="preserve">CTCATCTCCTTCATGTACAGCATGATAGAAGAGTCTTCCTTTACG</t>
  </si>
  <si>
    <t xml:space="preserve">GCGTTCAGTGGTTTCTTGATGTGAG</t>
  </si>
  <si>
    <t xml:space="preserve">CTCATCTCCTTCATGTACAGCATGA</t>
  </si>
  <si>
    <t xml:space="preserve">S043-17</t>
  </si>
  <si>
    <t xml:space="preserve">pangolin_B1_P1_17</t>
  </si>
  <si>
    <t xml:space="preserve">GAGGAGGGCAGCAAACGGAATTTGGTTGATGGCGGCCGACTCCTT</t>
  </si>
  <si>
    <t xml:space="preserve">pangolin_B1_P2_17</t>
  </si>
  <si>
    <t xml:space="preserve">CGAGCGCATGCCACCGTCTGCCGAGTAGAAGAGTCTTCCTTTACG</t>
  </si>
  <si>
    <t xml:space="preserve">TTTGGTTGATGGCGGCCGACTCCTT</t>
  </si>
  <si>
    <t xml:space="preserve">CGAGCGCATGCCACCGTCTGCCGAG</t>
  </si>
  <si>
    <t xml:space="preserve">S043-18</t>
  </si>
  <si>
    <t xml:space="preserve">pangolin_B1_P1_18</t>
  </si>
  <si>
    <t xml:space="preserve">GAGGAGGGCAGCAAACGGAACAGCTGGCGCTCGCGCCGCGCCAAC</t>
  </si>
  <si>
    <t xml:space="preserve">pangolin_B1_P2_18</t>
  </si>
  <si>
    <t xml:space="preserve">CGACCAATCGGGATACAGCTGCATGTAGAAGAGTCTTCCTTTACG</t>
  </si>
  <si>
    <t xml:space="preserve">CAGCTGGCGCTCGCGCCGCGCCAAC</t>
  </si>
  <si>
    <t xml:space="preserve">CGACCAATCGGGATACAGCTGCATG</t>
  </si>
  <si>
    <t xml:space="preserve">S043-19</t>
  </si>
  <si>
    <t xml:space="preserve">pangolin_B1_P1_19</t>
  </si>
  <si>
    <t xml:space="preserve">GAGGAGGGCAGCAAACGGAACCCTCCATCGGTTGTCTCCTGTTTT</t>
  </si>
  <si>
    <t xml:space="preserve">pangolin_B1_P2_19</t>
  </si>
  <si>
    <t xml:space="preserve">CCTCGCTCGACATTTCTTCAAATTATAGAAGAGTCTTCCTTTACG</t>
  </si>
  <si>
    <t xml:space="preserve">CCCTCCATCGGTTGTCTCCTGTTTT</t>
  </si>
  <si>
    <t xml:space="preserve">CCTCGCTCGACATTTCTTCAAATTA</t>
  </si>
  <si>
    <t xml:space="preserve">S043-20</t>
  </si>
  <si>
    <t xml:space="preserve">pangolin_B1_P1_20</t>
  </si>
  <si>
    <t xml:space="preserve">GAGGAGGGCAGCAAACGGAATTTTTCTTCCGCCTGCAAGGTTTGC</t>
  </si>
  <si>
    <t xml:space="preserve">pangolin_B1_P2_20</t>
  </si>
  <si>
    <t xml:space="preserve">GCCAGGGCTTCCATGTAGCGCACGCTAGAAGAGTCTTCCTTTACG</t>
  </si>
  <si>
    <t xml:space="preserve">TTTTTCTTCCGCCTGCAAGGTTTGC</t>
  </si>
  <si>
    <t xml:space="preserve">GCCAGGGCTTCCATGTAGCGCACGC</t>
  </si>
  <si>
    <t xml:space="preserve">S043-21</t>
  </si>
  <si>
    <t xml:space="preserve">pangolin_B1_P1_21</t>
  </si>
  <si>
    <t xml:space="preserve">GAGGAGGGCAGCAAACGGAATACCAAAAACAGGACTGAGATCCGA</t>
  </si>
  <si>
    <t xml:space="preserve">pangolin_B1_P2_21</t>
  </si>
  <si>
    <t xml:space="preserve">AGCTCGCTGCTGGATGCGGTTCGAATAGAAGAGTCTTCCTTTACG</t>
  </si>
  <si>
    <t xml:space="preserve">TACCAAAAACAGGACTGAGATCCGA</t>
  </si>
  <si>
    <t xml:space="preserve">AGCTCGCTGCTGGATGCGGTTCGAA</t>
  </si>
  <si>
    <t xml:space="preserve">S043-22</t>
  </si>
  <si>
    <t xml:space="preserve">pangolin_B1_P1_22</t>
  </si>
  <si>
    <t xml:space="preserve">GAGGAGGGCAGCAAACGGAATCCTCGCTAACCCCGCCGCTAATTT</t>
  </si>
  <si>
    <t xml:space="preserve">pangolin_B1_P2_22</t>
  </si>
  <si>
    <t xml:space="preserve">TACCCCCTGGGAAGGGGTACATTGGTAGAAGAGTCTTCCTTTACG</t>
  </si>
  <si>
    <t xml:space="preserve">TCCTCGCTAACCCCGCCGCTAATTT</t>
  </si>
  <si>
    <t xml:space="preserve">TACCCCCTGGGAAGGGGTACATTGG</t>
  </si>
  <si>
    <t xml:space="preserve">S043-23</t>
  </si>
  <si>
    <t xml:space="preserve">pangolin_B1_P1_23</t>
  </si>
  <si>
    <t xml:space="preserve">GAGGAGGGCAGCAAACGGAACGGGGCCCAGACCTAGGCCTAGGCC</t>
  </si>
  <si>
    <t xml:space="preserve">pangolin_B1_P2_23</t>
  </si>
  <si>
    <t xml:space="preserve">CCTTAGAGGGGTGCGGCGCCACCAGTAGAAGAGTCTTCCTTTACG</t>
  </si>
  <si>
    <t xml:space="preserve">CGGGGCCCAGACCTAGGCCTAGGCC</t>
  </si>
  <si>
    <t xml:space="preserve">CCTTAGAGGGGTGCGGCGCCACCAG</t>
  </si>
  <si>
    <t xml:space="preserve">S044-01</t>
  </si>
  <si>
    <t xml:space="preserve">pax1_B1_P1_01</t>
  </si>
  <si>
    <t xml:space="preserve">GAGGAGGGCAGCAAACGGAAGTTGCAACATCTGCATTCTCTGATT</t>
  </si>
  <si>
    <t xml:space="preserve">pax1_B1_P2_01</t>
  </si>
  <si>
    <t xml:space="preserve">GCTGGCTCTGTTGATTGCCAATCTTTAGAAGAGTCTTCCTTTACG</t>
  </si>
  <si>
    <t xml:space="preserve">pax1_apoD_ems</t>
  </si>
  <si>
    <t xml:space="preserve">GTTGCAACATCTGCATTCTCTGATT</t>
  </si>
  <si>
    <t xml:space="preserve">GCTGGCTCTGTTGATTGCCAATCTT</t>
  </si>
  <si>
    <t xml:space="preserve">S044-02</t>
  </si>
  <si>
    <t xml:space="preserve">pax1_B1_P1_02</t>
  </si>
  <si>
    <t xml:space="preserve">GAGGAGGGCAGCAAACGGAAGTGCTGCTGTATTATGTTTTGCGTT</t>
  </si>
  <si>
    <t xml:space="preserve">pax1_B1_P2_02</t>
  </si>
  <si>
    <t xml:space="preserve">TTGTATGTGGTGTTGATTGCCCTGATAGAAGAGTCTTCCTTTACG</t>
  </si>
  <si>
    <t xml:space="preserve">GTGCTGCTGTATTATGTTTTGCGTT</t>
  </si>
  <si>
    <t xml:space="preserve">TTGTATGTGGTGTTGATTGCCCTGA</t>
  </si>
  <si>
    <t xml:space="preserve">S044-03</t>
  </si>
  <si>
    <t xml:space="preserve">pax1_B1_P1_03</t>
  </si>
  <si>
    <t xml:space="preserve">GAGGAGGGCAGCAAACGGAATGCTGATTTAACTGTGACTGCTGTA</t>
  </si>
  <si>
    <t xml:space="preserve">pax1_B1_P2_03</t>
  </si>
  <si>
    <t xml:space="preserve">GTCAAACCTTGCTTCATCACCATATTAGAAGAGTCTTCCTTTACG</t>
  </si>
  <si>
    <t xml:space="preserve">TGCTGATTTAACTGTGACTGCTGTA</t>
  </si>
  <si>
    <t xml:space="preserve">GTCAAACCTTGCTTCATCACCATAT</t>
  </si>
  <si>
    <t xml:space="preserve">S044-04</t>
  </si>
  <si>
    <t xml:space="preserve">pax1_B1_P1_04</t>
  </si>
  <si>
    <t xml:space="preserve">GAGGAGGGCAGCAAACGGAATGGACTGTGCCAGTTGTTGAGCAAT</t>
  </si>
  <si>
    <t xml:space="preserve">pax1_B1_P2_04</t>
  </si>
  <si>
    <t xml:space="preserve">TTTGAAGACTCTGTTGAAGGTTCTGTAGAAGAGTCTTCCTTTACG</t>
  </si>
  <si>
    <t xml:space="preserve">TGGACTGTGCCAGTTGTTGAGCAAT</t>
  </si>
  <si>
    <t xml:space="preserve">TTTGAAGACTCTGTTGAAGGTTCTG</t>
  </si>
  <si>
    <t xml:space="preserve">S044-05</t>
  </si>
  <si>
    <t xml:space="preserve">pax1_B1_P1_05</t>
  </si>
  <si>
    <t xml:space="preserve">GAGGAGGGCAGCAAACGGAACCCTGAATTTATGAGCTGTTGTTGA</t>
  </si>
  <si>
    <t xml:space="preserve">pax1_B1_P2_05</t>
  </si>
  <si>
    <t xml:space="preserve">CATAGTTTGTTGGGAAGACATTTGCTAGAAGAGTCTTCCTTTACG</t>
  </si>
  <si>
    <t xml:space="preserve">CCCTGAATTTATGAGCTGTTGTTGA</t>
  </si>
  <si>
    <t xml:space="preserve">CATAGTTTGTTGGGAAGACATTTGC</t>
  </si>
  <si>
    <t xml:space="preserve">S044-06</t>
  </si>
  <si>
    <t xml:space="preserve">pax1_B1_P1_06</t>
  </si>
  <si>
    <t xml:space="preserve">GAGGAGGGCAGCAAACGGAAGTCCTTGCTGATTTATAACACCCAT</t>
  </si>
  <si>
    <t xml:space="preserve">pax1_B1_P2_06</t>
  </si>
  <si>
    <t xml:space="preserve">GTCCGCTCTGTGCCTGAGATGTCACTAGAAGAGTCTTCCTTTACG</t>
  </si>
  <si>
    <t xml:space="preserve">GTCCTTGCTGATTTATAACACCCAT</t>
  </si>
  <si>
    <t xml:space="preserve">GTCCGCTCTGTGCCTGAGATGTCAC</t>
  </si>
  <si>
    <t xml:space="preserve">S044-07</t>
  </si>
  <si>
    <t xml:space="preserve">pax1_B1_P1_07</t>
  </si>
  <si>
    <t xml:space="preserve">GAGGAGGGCAGCAAACGGAACCCTATAACAGACTGTTGGGTAGTG</t>
  </si>
  <si>
    <t xml:space="preserve">pax1_B1_P2_07</t>
  </si>
  <si>
    <t xml:space="preserve">AGTTTGCTGCACAGTCTGAATCTGTTAGAAGAGTCTTCCTTTACG</t>
  </si>
  <si>
    <t xml:space="preserve">CCCTATAACAGACTGTTGGGTAGTG</t>
  </si>
  <si>
    <t xml:space="preserve">AGTTTGCTGCACAGTCTGAATCTGT</t>
  </si>
  <si>
    <t xml:space="preserve">S044-08</t>
  </si>
  <si>
    <t xml:space="preserve">pax1_B1_P1_08</t>
  </si>
  <si>
    <t xml:space="preserve">GAGGAGGGCAGCAAACGGAAGTTCTGCTGCCGCCAAGTGCCCTGC</t>
  </si>
  <si>
    <t xml:space="preserve">pax1_B1_P2_08</t>
  </si>
  <si>
    <t xml:space="preserve">CCCTTGAACATTTTGCACCATTTGTTAGAAGAGTCTTCCTTTACG</t>
  </si>
  <si>
    <t xml:space="preserve">GTTCTGCTGCCGCCAAGTGCCCTGC</t>
  </si>
  <si>
    <t xml:space="preserve">CCCTTGAACATTTTGCACCATTTGT</t>
  </si>
  <si>
    <t xml:space="preserve">S044-09</t>
  </si>
  <si>
    <t xml:space="preserve">pax1_B1_P1_09</t>
  </si>
  <si>
    <t xml:space="preserve">GAGGAGGGCAGCAAACGGAATATAACTTGGTTGGCCGTGTTGCGA</t>
  </si>
  <si>
    <t xml:space="preserve">pax1_B1_P2_09</t>
  </si>
  <si>
    <t xml:space="preserve">CTGAGTTTGCATTATTTGCTGTTGCTAGAAGAGTCTTCCTTTACG</t>
  </si>
  <si>
    <t xml:space="preserve">TATAACTTGGTTGGCCGTGTTGCGA</t>
  </si>
  <si>
    <t xml:space="preserve">CTGAGTTTGCATTATTTGCTGTTGC</t>
  </si>
  <si>
    <t xml:space="preserve">S044-10</t>
  </si>
  <si>
    <t xml:space="preserve">pax1_B1_P1_10</t>
  </si>
  <si>
    <t xml:space="preserve">GAGGAGGGCAGCAAACGGAAATAGTGTGTTGCGGACTGAGTTGAG</t>
  </si>
  <si>
    <t xml:space="preserve">pax1_B1_P2_10</t>
  </si>
  <si>
    <t xml:space="preserve">TGCTGGAGAATTTGTTGGGGTTGTTTAGAAGAGTCTTCCTTTACG</t>
  </si>
  <si>
    <t xml:space="preserve">ATAGTGTGTTGCGGACTGAGTTGAG</t>
  </si>
  <si>
    <t xml:space="preserve">TGCTGGAGAATTTGTTGGGGTTGTT</t>
  </si>
  <si>
    <t xml:space="preserve">S045-01</t>
  </si>
  <si>
    <t xml:space="preserve">pcuticle_B1_P1_01</t>
  </si>
  <si>
    <t xml:space="preserve">GAGGAGGGCAGCAAACGGAAGTGGAGGCTTGCGCGTGCGCCGCGA</t>
  </si>
  <si>
    <t xml:space="preserve">pcuticle_B1_P2_01</t>
  </si>
  <si>
    <t xml:space="preserve">CCGGCGGGCGCCCAGGCGCCGTGCGTAGAAGAGTCTTCCTTTACG</t>
  </si>
  <si>
    <t xml:space="preserve">B1_P1 (pcuticle)_1</t>
  </si>
  <si>
    <t xml:space="preserve">B1_P2 (pcuticle)_1</t>
  </si>
  <si>
    <t xml:space="preserve">GTGGAGGCTTGCGCGTGCGCCGCGA</t>
  </si>
  <si>
    <t xml:space="preserve">CCGGCGGGCGCCCAGGCGCCGTGCG</t>
  </si>
  <si>
    <t xml:space="preserve">S045-02</t>
  </si>
  <si>
    <t xml:space="preserve">pcuticle_B1_P1_02</t>
  </si>
  <si>
    <t xml:space="preserve">GAGGAGGGCAGCAAACGGAAGTGTCCACCGGAGCCGTACGCGGGC</t>
  </si>
  <si>
    <t xml:space="preserve">pcuticle_B1_P2_02</t>
  </si>
  <si>
    <t xml:space="preserve">GTGGAGACCAGCAGCAGGGGCACCATAGAAGAGTCTTCCTTTACG</t>
  </si>
  <si>
    <t xml:space="preserve">B1_P1 (pcuticle)_2</t>
  </si>
  <si>
    <t xml:space="preserve">B1_P2 (pcuticle)_2</t>
  </si>
  <si>
    <t xml:space="preserve">GTGTCCACCGGAGCCGTACGCGGGC</t>
  </si>
  <si>
    <t xml:space="preserve">GTGGAGACCAGCAGCAGGGGCACCA</t>
  </si>
  <si>
    <t xml:space="preserve">S045-03</t>
  </si>
  <si>
    <t xml:space="preserve">pcuticle_B1_P1_03</t>
  </si>
  <si>
    <t xml:space="preserve">GAGGAGGGCAGCAAACGGAACGATGACGCGACCGTCGTGGGCGAG</t>
  </si>
  <si>
    <t xml:space="preserve">pcuticle_B1_P2_03</t>
  </si>
  <si>
    <t xml:space="preserve">CCTTTAGGTGGGCGACCTCGGGGGTTAGAAGAGTCTTCCTTTACG</t>
  </si>
  <si>
    <t xml:space="preserve">B1_P1 (pcuticle)_3</t>
  </si>
  <si>
    <t xml:space="preserve">B1_P2 (pcuticle)_3</t>
  </si>
  <si>
    <t xml:space="preserve">CGATGACGCGACCGTCGTGGGCGAG</t>
  </si>
  <si>
    <t xml:space="preserve">CCTTTAGGTGGGCGACCTCGGGGGT</t>
  </si>
  <si>
    <t xml:space="preserve">S045-04</t>
  </si>
  <si>
    <t xml:space="preserve">pcuticle_B1_P1_04</t>
  </si>
  <si>
    <t xml:space="preserve">GAGGAGGGCAGCAAACGGAAGCGGCCTTAGCTGCTTCCGCGGCGT</t>
  </si>
  <si>
    <t xml:space="preserve">pcuticle_B1_P2_04</t>
  </si>
  <si>
    <t xml:space="preserve">GCGCCAACGCCGGCGTATCCGCCGTTAGAAGAGTCTTCCTTTACG</t>
  </si>
  <si>
    <t xml:space="preserve">B1_P1 (pcuticle)_4</t>
  </si>
  <si>
    <t xml:space="preserve">B1_P2 (pcuticle)_4</t>
  </si>
  <si>
    <t xml:space="preserve">GCGGCCTTAGCTGCTTCCGCGGCGT</t>
  </si>
  <si>
    <t xml:space="preserve">GCGCCAACGCCGGCGTATCCGCCGT</t>
  </si>
  <si>
    <t xml:space="preserve">S045-05</t>
  </si>
  <si>
    <t xml:space="preserve">pcuticle_B1_P1_05</t>
  </si>
  <si>
    <t xml:space="preserve">GAGGAGGGCAGCAAACGGAAAGCGCCGTATCCAGCTCCGTATCCA</t>
  </si>
  <si>
    <t xml:space="preserve">pcuticle_B1_P2_05</t>
  </si>
  <si>
    <t xml:space="preserve">GCCAGCGCCGTAGCCAGCGCCGACTTAGAAGAGTCTTCCTTTACG</t>
  </si>
  <si>
    <t xml:space="preserve">B1_P1 (pcuticle)_5</t>
  </si>
  <si>
    <t xml:space="preserve">B1_P2 (pcuticle)_5</t>
  </si>
  <si>
    <t xml:space="preserve">AGCGCCGTATCCAGCTCCGTATCCA</t>
  </si>
  <si>
    <t xml:space="preserve">GCCAGCGCCGTAGCCAGCGCCGACT</t>
  </si>
  <si>
    <t xml:space="preserve">S045-06</t>
  </si>
  <si>
    <t xml:space="preserve">pcuticle_B1_P1_06</t>
  </si>
  <si>
    <t xml:space="preserve">GAGGAGGGCAGCAAACGGAATGTGCGCTTGAGGGCCGGTCCATTT</t>
  </si>
  <si>
    <t xml:space="preserve">pcuticle_B1_P2_06</t>
  </si>
  <si>
    <t xml:space="preserve">CGTACTGTCCGTCGTGGGTGAGTTGTAGAAGAGTCTTCCTTTACG</t>
  </si>
  <si>
    <t xml:space="preserve">B1_P1 (pcuticle)_6</t>
  </si>
  <si>
    <t xml:space="preserve">B1_P2 (pcuticle)_6</t>
  </si>
  <si>
    <t xml:space="preserve">TGTGCGCTTGAGGGCCGGTCCATTT</t>
  </si>
  <si>
    <t xml:space="preserve">CGTACTGTCCGTCGTGGGTGAGTTG</t>
  </si>
  <si>
    <t xml:space="preserve">S046-01</t>
  </si>
  <si>
    <t xml:space="preserve">rac_B1_P1_01</t>
  </si>
  <si>
    <t xml:space="preserve">GAGGAGGGCAGCAAACGGAAGGCCCCGGGCGCCGCCTCCAGCTCC</t>
  </si>
  <si>
    <t xml:space="preserve">rac_B1_P2_01</t>
  </si>
  <si>
    <t xml:space="preserve">CTTCAGCAGCCAGCCCTGCTTCACGTAGAAGAGTCTTCCTTTACG</t>
  </si>
  <si>
    <t xml:space="preserve">B1_P1 (rac)_1</t>
  </si>
  <si>
    <t xml:space="preserve">B1_P2 (rac)_1</t>
  </si>
  <si>
    <t xml:space="preserve">GGCCCCGGGCGCCGCCTCCAGCTCC</t>
  </si>
  <si>
    <t xml:space="preserve">CTTCAGCAGCCAGCCCTGCTTCACG</t>
  </si>
  <si>
    <t xml:space="preserve">S046-02</t>
  </si>
  <si>
    <t xml:space="preserve">rac_B1_P1_02</t>
  </si>
  <si>
    <t xml:space="preserve">GAGGAGGGCAGCAAACGGAAGGATGAAGTAGCGGTCGCGCCAGTT</t>
  </si>
  <si>
    <t xml:space="preserve">rac_B1_P2_02</t>
  </si>
  <si>
    <t xml:space="preserve">AGCCCACCAGGTCGCCGTTGTCGAATAGAAGAGTCTTCCTTTACG</t>
  </si>
  <si>
    <t xml:space="preserve">B1_P1 (rac)_2</t>
  </si>
  <si>
    <t xml:space="preserve">B1_P2 (rac)_2</t>
  </si>
  <si>
    <t xml:space="preserve">GGATGAAGTAGCGGTCGCGCCAGTT</t>
  </si>
  <si>
    <t xml:space="preserve">AGCCCACCAGGTCGCCGTTGTCGAA</t>
  </si>
  <si>
    <t xml:space="preserve">S046-03</t>
  </si>
  <si>
    <t xml:space="preserve">rac_B1_P1_03</t>
  </si>
  <si>
    <t xml:space="preserve">GAGGAGGGCAGCAAACGGAATTGAGCGGGTCACGGTAGTTGTTGC</t>
  </si>
  <si>
    <t xml:space="preserve">rac_B1_P2_03</t>
  </si>
  <si>
    <t xml:space="preserve">ATCTGGCAGTCGCGCACCGTGAACTTAGAAGAGTCTTCCTTTACG</t>
  </si>
  <si>
    <t xml:space="preserve">B1_P1 (rac)_3</t>
  </si>
  <si>
    <t xml:space="preserve">B1_P2 (rac)_3</t>
  </si>
  <si>
    <t xml:space="preserve">TTGAGCGGGTCACGGTAGTTGTTGC</t>
  </si>
  <si>
    <t xml:space="preserve">ATCTGGCAGTCGCGCACCGTGAACT</t>
  </si>
  <si>
    <t xml:space="preserve">S047-01</t>
  </si>
  <si>
    <t xml:space="preserve">rho2_B1_P1_01</t>
  </si>
  <si>
    <t xml:space="preserve">GAGGAGGGCAGCAAACGGAATTCGTAGGTGCCGTCAAAATAATCA</t>
  </si>
  <si>
    <t xml:space="preserve">rho2_B1_P2_01</t>
  </si>
  <si>
    <t xml:space="preserve">GGCGGGCGGCCAGCAGGAATACTCCTAGAAGAGTCTTCCTTTACG</t>
  </si>
  <si>
    <t xml:space="preserve">B1_P1 (rho2_26)_1</t>
  </si>
  <si>
    <t xml:space="preserve">B1_P2(rho2_26)_1</t>
  </si>
  <si>
    <t xml:space="preserve">TTCGTAGGTGCCGTCAAAATAATCA</t>
  </si>
  <si>
    <t xml:space="preserve">GGCGGGCGGCCAGCAGGAATACTCC</t>
  </si>
  <si>
    <t xml:space="preserve">S047-02</t>
  </si>
  <si>
    <t xml:space="preserve">rho2_B1_P1_02</t>
  </si>
  <si>
    <t xml:space="preserve">GAGGAGGGCAGCAAACGGAAAGAACAGCACGATCTCAGCTATTGA</t>
  </si>
  <si>
    <t xml:space="preserve">rho2_B1_P2_02</t>
  </si>
  <si>
    <t xml:space="preserve">CAGTCTTGCCCTGGGCAGCATCGTATAGAAGAGTCTTCCTTTACG</t>
  </si>
  <si>
    <t xml:space="preserve">B1_P1 (rho2_26)_2</t>
  </si>
  <si>
    <t xml:space="preserve">B1_P2(rho2_26)_2</t>
  </si>
  <si>
    <t xml:space="preserve">AGAACAGCACGATCTCAGCTATTGA</t>
  </si>
  <si>
    <t xml:space="preserve">CAGTCTTGCCCTGGGCAGCATCGTA</t>
  </si>
  <si>
    <t xml:space="preserve">S047-03</t>
  </si>
  <si>
    <t xml:space="preserve">rho2_B1_P1_03</t>
  </si>
  <si>
    <t xml:space="preserve">GAGGAGGGCAGCAAACGGAATGGGGGTTGTATATAAATATCTGAG</t>
  </si>
  <si>
    <t xml:space="preserve">rho2_B1_P2_03</t>
  </si>
  <si>
    <t xml:space="preserve">AGGAACCGCCACGCCTCCTGCCTCTTAGAAGAGTCTTCCTTTACG</t>
  </si>
  <si>
    <t xml:space="preserve">B1_P1 (rho2_26)_3</t>
  </si>
  <si>
    <t xml:space="preserve">B1_P2(rho2_26)_3</t>
  </si>
  <si>
    <t xml:space="preserve">TGGGGGTTGTATATAAATATCTGAG</t>
  </si>
  <si>
    <t xml:space="preserve">AGGAACCGCCACGCCTCCTGCCTCT</t>
  </si>
  <si>
    <t xml:space="preserve">S047-04</t>
  </si>
  <si>
    <t xml:space="preserve">rho2_B1_P1_04</t>
  </si>
  <si>
    <t xml:space="preserve">GAGGAGGGCAGCAAACGGAAAACTAGAAGATGAACTACGCCAACA</t>
  </si>
  <si>
    <t xml:space="preserve">rho2_B1_P2_04</t>
  </si>
  <si>
    <t xml:space="preserve">ACCGAGGAACAATTGCACCAGCAGATAGAAGAGTCTTCCTTTACG</t>
  </si>
  <si>
    <t xml:space="preserve">B1_P1 (rho2_26)_4</t>
  </si>
  <si>
    <t xml:space="preserve">B1_P2(rho2_26)_4</t>
  </si>
  <si>
    <t xml:space="preserve">AACTAGAAGATGAACTACGCCAACA</t>
  </si>
  <si>
    <t xml:space="preserve">ACCGAGGAACAATTGCACCAGCAGA</t>
  </si>
  <si>
    <t xml:space="preserve">S047-05</t>
  </si>
  <si>
    <t xml:space="preserve">rho2_B1_P1_05</t>
  </si>
  <si>
    <t xml:space="preserve">GAGGAGGGCAGCAAACGGAACCAGGACGACTCGCCACCACCGGTG</t>
  </si>
  <si>
    <t xml:space="preserve">rho2_B1_P2_05</t>
  </si>
  <si>
    <t xml:space="preserve">ATCCAGCCGCTACGCCCGCCAAGTATAGAAGAGTCTTCCTTTACG</t>
  </si>
  <si>
    <t xml:space="preserve">B1_P1 (rho2_26)_5</t>
  </si>
  <si>
    <t xml:space="preserve">B1_P2(rho2_26)_5</t>
  </si>
  <si>
    <t xml:space="preserve">CCAGGACGACTCGCCACCACCGGTG</t>
  </si>
  <si>
    <t xml:space="preserve">ATCCAGCCGCTACGCCCGCCAAGTA</t>
  </si>
  <si>
    <t xml:space="preserve">S048-01</t>
  </si>
  <si>
    <t xml:space="preserve">GAGGAGGGCAGCAAACGGAATGGTTTGCGTTTTTATTCCAGACTT</t>
  </si>
  <si>
    <t xml:space="preserve">TCTCCCTTCTCTTCTGAAATTTCGTTAGAAGAGTCTTCCTTTACG</t>
  </si>
  <si>
    <t xml:space="preserve">B1_P1 (rho2_96)_1</t>
  </si>
  <si>
    <t xml:space="preserve">B1_P2(rho2_96)_1</t>
  </si>
  <si>
    <t xml:space="preserve">TGGTTTGCGTTTTTATTCCAGACTT</t>
  </si>
  <si>
    <t xml:space="preserve">TCTCCCTTCTCTTCTGAAATTTCGT</t>
  </si>
  <si>
    <t xml:space="preserve">S048-02</t>
  </si>
  <si>
    <t xml:space="preserve">GAGGAGGGCAGCAAACGGAAATGGTGATGATGAAGTAGGGAGGCC</t>
  </si>
  <si>
    <t xml:space="preserve">AGGTGCACCATTACAATAAGGAACATAGAAGAGTCTTCCTTTACG</t>
  </si>
  <si>
    <t xml:space="preserve">B1_P1 (rho2_96)_2</t>
  </si>
  <si>
    <t xml:space="preserve">B1_P2(rho2_96)_2</t>
  </si>
  <si>
    <t xml:space="preserve">ATGGTGATGATGAAGTAGGGAGGCC</t>
  </si>
  <si>
    <t xml:space="preserve">AGGTGCACCATTACAATAAGGAACA</t>
  </si>
  <si>
    <t xml:space="preserve">S048-03</t>
  </si>
  <si>
    <t xml:space="preserve">GAGGAGGGCAGCAAACGGAACGGAGCCCACTCCAGCTTCGAGCGC</t>
  </si>
  <si>
    <t xml:space="preserve">GCGCCAGGGCTCCGTCCACCACGCCTAGAAGAGTCTTCCTTTACG</t>
  </si>
  <si>
    <t xml:space="preserve">B1_P1 (rho2_96)_3</t>
  </si>
  <si>
    <t xml:space="preserve">B1_P2(rho2_96)_3</t>
  </si>
  <si>
    <t xml:space="preserve">CGGAGCCCACTCCAGCTTCGAGCGC</t>
  </si>
  <si>
    <t xml:space="preserve">GCGCCAGGGCTCCGTCCACCACGCC</t>
  </si>
  <si>
    <t xml:space="preserve">S048-04</t>
  </si>
  <si>
    <t xml:space="preserve">GAGGAGGGCAGCAAACGGAACGAGGTGCGCGGCGCCGGCGTGCAC</t>
  </si>
  <si>
    <t xml:space="preserve">CAGTGACCGCCACCAGCGCGTTGATTAGAAGAGTCTTCCTTTACG</t>
  </si>
  <si>
    <t xml:space="preserve">B1_P1 (rho2_96)_4</t>
  </si>
  <si>
    <t xml:space="preserve">B1_P2(rho2_96)_4</t>
  </si>
  <si>
    <t xml:space="preserve">CGAGGTGCGCGGCGCCGGCGTGCAC</t>
  </si>
  <si>
    <t xml:space="preserve">CAGTGACCGCCACCAGCGCGTTGAT</t>
  </si>
  <si>
    <t xml:space="preserve">S048-05</t>
  </si>
  <si>
    <t xml:space="preserve">GAGGAGGGCAGCAAACGGAAGCCACGCGCGCCCAGCCCTGCTCGC</t>
  </si>
  <si>
    <t xml:space="preserve">GCCGCCACGCCGCCCAGCCACACCATAGAAGAGTCTTCCTTTACG</t>
  </si>
  <si>
    <t xml:space="preserve">B1_P1 (rho2_96)_5</t>
  </si>
  <si>
    <t xml:space="preserve">B1_P2(rho2_96)_5</t>
  </si>
  <si>
    <t xml:space="preserve">GCCACGCGCGCCCAGCCCTGCTCGC</t>
  </si>
  <si>
    <t xml:space="preserve">GCCGCCACGCCGCCCAGCCACACCA</t>
  </si>
  <si>
    <t xml:space="preserve">S049-01</t>
  </si>
  <si>
    <t xml:space="preserve">rho3_B1_P1_01</t>
  </si>
  <si>
    <t xml:space="preserve">GAGGAGGGCAGCAAACGGAACCGGATCTAGCACCGACGCTGCGAG</t>
  </si>
  <si>
    <t xml:space="preserve">rho3_B1_P2_01</t>
  </si>
  <si>
    <t xml:space="preserve">CACCCGACGCGCCCGCGAGACACACTAGAAGAGTCTTCCTTTACG</t>
  </si>
  <si>
    <t xml:space="preserve">B1_P1 (rho3)_1</t>
  </si>
  <si>
    <t xml:space="preserve">B1_P2(rho3)_1</t>
  </si>
  <si>
    <t xml:space="preserve">CCGGATCTAGCACCGACGCTGCGAG</t>
  </si>
  <si>
    <t xml:space="preserve">CACCCGACGCGCCCGCGAGACACAC</t>
  </si>
  <si>
    <t xml:space="preserve">S049-02</t>
  </si>
  <si>
    <t xml:space="preserve">rho3_B1_P1_02</t>
  </si>
  <si>
    <t xml:space="preserve">GAGGAGGGCAGCAAACGGAAAACAGCGCGTTGGCTAGGTGAGCGG</t>
  </si>
  <si>
    <t xml:space="preserve">rho3_B1_P2_02</t>
  </si>
  <si>
    <t xml:space="preserve">GCGCCGTAGCGCATCGCGTGGAAGTTAGAAGAGTCTTCCTTTACG</t>
  </si>
  <si>
    <t xml:space="preserve">B1_P1 (rho3)_2</t>
  </si>
  <si>
    <t xml:space="preserve">B1_P2(rho3)_2</t>
  </si>
  <si>
    <t xml:space="preserve">AACAGCGCGTTGGCTAGGTGAGCGG</t>
  </si>
  <si>
    <t xml:space="preserve">GCGCCGTAGCGCATCGCGTGGAAGT</t>
  </si>
  <si>
    <t xml:space="preserve">S049-03</t>
  </si>
  <si>
    <t xml:space="preserve">rho3_B1_P1_03</t>
  </si>
  <si>
    <t xml:space="preserve">GAGGAGGGCAGCAAACGGAAGACGTCACACGACGCGACCGCAAGC</t>
  </si>
  <si>
    <t xml:space="preserve">rho3_B1_P2_03</t>
  </si>
  <si>
    <t xml:space="preserve">AGTATACCTAGCGTGAACTGCAAAGTAGAAGAGTCTTCCTTTACG</t>
  </si>
  <si>
    <t xml:space="preserve">B1_P1 (rho3)_3</t>
  </si>
  <si>
    <t xml:space="preserve">B1_P2(rho3)_3</t>
  </si>
  <si>
    <t xml:space="preserve">GACGTCACACGACGCGACCGCAAGC</t>
  </si>
  <si>
    <t xml:space="preserve">AGTATACCTAGCGTGAACTGCAAAG</t>
  </si>
  <si>
    <t xml:space="preserve">S049-04</t>
  </si>
  <si>
    <t xml:space="preserve">rho3_B1_P1_04</t>
  </si>
  <si>
    <t xml:space="preserve">GAGGAGGGCAGCAAACGGAACGCCCGCCACGTGCGCCGCGTACGA</t>
  </si>
  <si>
    <t xml:space="preserve">rho3_B1_P2_04</t>
  </si>
  <si>
    <t xml:space="preserve">GCAGCCCGATGGTGAGCCCGGCGAGTAGAAGAGTCTTCCTTTACG</t>
  </si>
  <si>
    <t xml:space="preserve">B1_P1 (rho3)_4</t>
  </si>
  <si>
    <t xml:space="preserve">B1_P2(rho3)_4</t>
  </si>
  <si>
    <t xml:space="preserve">CGCCCGCCACGTGCGCCGCGTACGA</t>
  </si>
  <si>
    <t xml:space="preserve">GCAGCCCGATGGTGAGCCCGGCGAG</t>
  </si>
  <si>
    <t xml:space="preserve">S050-01</t>
  </si>
  <si>
    <t xml:space="preserve">Ror_B1_P1_01</t>
  </si>
  <si>
    <t xml:space="preserve">GAGGAGGGCAGCAAACGGAAGAACAAAACACCTAAACAAAAGTAA</t>
  </si>
  <si>
    <t xml:space="preserve">Ror_B1_P2_01</t>
  </si>
  <si>
    <t xml:space="preserve">AAGCGATGAGCAGCTTGATTGTACGTAGAAGAGTCTTCCTTTACG</t>
  </si>
  <si>
    <t xml:space="preserve">B1_P1 (Ror)_1</t>
  </si>
  <si>
    <t xml:space="preserve">B1_P2 (ror)_1</t>
  </si>
  <si>
    <t xml:space="preserve">GAACAAAACACCTAAACAAAAGTAA</t>
  </si>
  <si>
    <t xml:space="preserve">AAGCGATGAGCAGCTTGATTGTACG</t>
  </si>
  <si>
    <t xml:space="preserve">S050-02</t>
  </si>
  <si>
    <t xml:space="preserve">Ror_B1_P1_02</t>
  </si>
  <si>
    <t xml:space="preserve">GAGGAGGGCAGCAAACGGAATCGAATTTGATTTTACCAGTGACAA</t>
  </si>
  <si>
    <t xml:space="preserve">Ror_B1_P2_02</t>
  </si>
  <si>
    <t xml:space="preserve">TTATGTTCCATACCTTTTGTTCAGATAGAAGAGTCTTCCTTTACG</t>
  </si>
  <si>
    <t xml:space="preserve">B1_P1 (Ror)_2</t>
  </si>
  <si>
    <t xml:space="preserve">B1_P2 (ror)_2</t>
  </si>
  <si>
    <t xml:space="preserve">TCGAATTTGATTTTACCAGTGACAA</t>
  </si>
  <si>
    <t xml:space="preserve">TTATGTTCCATACCTTTTGTTCAGA</t>
  </si>
  <si>
    <t xml:space="preserve">S050-03</t>
  </si>
  <si>
    <t xml:space="preserve">Ror_B1_P1_03</t>
  </si>
  <si>
    <t xml:space="preserve">GAGGAGGGCAGCAAACGGAACTTAACGATGAAGGAAGCGTTTTGG</t>
  </si>
  <si>
    <t xml:space="preserve">Ror_B1_P2_03</t>
  </si>
  <si>
    <t xml:space="preserve">AATCGAACGTCAGCTCCTGGAGCCTTAGAAGAGTCTTCCTTTACG</t>
  </si>
  <si>
    <t xml:space="preserve">B1_P1 (Ror)_3</t>
  </si>
  <si>
    <t xml:space="preserve">B1_P2 (ror)_3</t>
  </si>
  <si>
    <t xml:space="preserve">CTTAACGATGAAGGAAGCGTTTTGG</t>
  </si>
  <si>
    <t xml:space="preserve">AATCGAACGTCAGCTCCTGGAGCCT</t>
  </si>
  <si>
    <t xml:space="preserve">S051-01</t>
  </si>
  <si>
    <t xml:space="preserve">senseless_B1_P1_01</t>
  </si>
  <si>
    <t xml:space="preserve">GAGGAGGGCAGCAAACGGAATCTCCCAGCTGCAGCAGGTCCAAGC</t>
  </si>
  <si>
    <t xml:space="preserve">senseless_B1_P2_01</t>
  </si>
  <si>
    <t xml:space="preserve">TTGAGAGCACGGCCTGCAATCTCAATAGAAGAGTCTTCCTTTACG</t>
  </si>
  <si>
    <t xml:space="preserve">B1_P1 (Senseless)_1</t>
  </si>
  <si>
    <t xml:space="preserve">B1_P2 (Senseless)_1</t>
  </si>
  <si>
    <t xml:space="preserve">TCTCCCAGCTGCAGCAGGTCCAAGC</t>
  </si>
  <si>
    <t xml:space="preserve">TTGAGAGCACGGCCTGCAATCTCAA</t>
  </si>
  <si>
    <t xml:space="preserve">S051-02</t>
  </si>
  <si>
    <t xml:space="preserve">senseless_B1_P1_02</t>
  </si>
  <si>
    <t xml:space="preserve">GAGGAGGGCAGCAAACGGAACCCGCTGCAGTACATTAAGGCTCCC</t>
  </si>
  <si>
    <t xml:space="preserve">senseless_B1_P2_02</t>
  </si>
  <si>
    <t xml:space="preserve">TCCGGCGCCGCCGTACAGTGCGCCCTAGAAGAGTCTTCCTTTACG</t>
  </si>
  <si>
    <t xml:space="preserve">B1_P1 (Senseless)_2</t>
  </si>
  <si>
    <t xml:space="preserve">B1_P2 (Senseless)_2</t>
  </si>
  <si>
    <t xml:space="preserve">CCCGCTGCAGTACATTAAGGCTCCC</t>
  </si>
  <si>
    <t xml:space="preserve">TCCGGCGCCGCCGTACAGTGCGCCC</t>
  </si>
  <si>
    <t xml:space="preserve">S051-03</t>
  </si>
  <si>
    <t xml:space="preserve">senseless_B1_P1_03</t>
  </si>
  <si>
    <t xml:space="preserve">GAGGAGGGCAGCAAACGGAAGATCACTTGGCGCAAAGTGTGGCGC</t>
  </si>
  <si>
    <t xml:space="preserve">senseless_B1_P2_03</t>
  </si>
  <si>
    <t xml:space="preserve">CGTCTCGGGGTGGTGTATGTCTTGCTAGAAGAGTCTTCCTTTACG</t>
  </si>
  <si>
    <t xml:space="preserve">B1_P1 (Senseless)_3</t>
  </si>
  <si>
    <t xml:space="preserve">B1_P2 (Senseless)_3</t>
  </si>
  <si>
    <t xml:space="preserve">GATCACTTGGCGCAAAGTGTGGCGC</t>
  </si>
  <si>
    <t xml:space="preserve">CGTCTCGGGGTGGTGTATGTCTTGC</t>
  </si>
  <si>
    <t xml:space="preserve">S051-04</t>
  </si>
  <si>
    <t xml:space="preserve">senseless_B1_P1_04</t>
  </si>
  <si>
    <t xml:space="preserve">GAGGAGGGCAGCAAACGGAAATCTGTCTATTTTTCGTCGATAAGT</t>
  </si>
  <si>
    <t xml:space="preserve">senseless_B1_P2_04</t>
  </si>
  <si>
    <t xml:space="preserve">CGTTCACACGCACTGCCCGGCGACCTAGAAGAGTCTTCCTTTACG</t>
  </si>
  <si>
    <t xml:space="preserve">B1_P1 (Senseless)_4</t>
  </si>
  <si>
    <t xml:space="preserve">B1_P2 (Senseless)_4</t>
  </si>
  <si>
    <t xml:space="preserve">ATCTGTCTATTTTTCGTCGATAAGT</t>
  </si>
  <si>
    <t xml:space="preserve">CGTTCACACGCACTGCCCGGCGACC</t>
  </si>
  <si>
    <t xml:space="preserve">S051-05</t>
  </si>
  <si>
    <t xml:space="preserve">senseless_B1_P1_05</t>
  </si>
  <si>
    <t xml:space="preserve">GAGGAGGGCAGCAAACGGAAGTCGTCCCAACGCGACGCTGGCGAT</t>
  </si>
  <si>
    <t xml:space="preserve">senseless_B1_P2_05</t>
  </si>
  <si>
    <t xml:space="preserve">GAGCTCGAGGGGTTCTAGATCTTCGTAGAAGAGTCTTCCTTTACG</t>
  </si>
  <si>
    <t xml:space="preserve">B1_P1 (Senseless)_5</t>
  </si>
  <si>
    <t xml:space="preserve">B1_P2 (Senseless)_5</t>
  </si>
  <si>
    <t xml:space="preserve">GTCGTCCCAACGCGACGCTGGCGAT</t>
  </si>
  <si>
    <t xml:space="preserve">GAGCTCGAGGGGTTCTAGATCTTCG</t>
  </si>
  <si>
    <t xml:space="preserve">S051-06</t>
  </si>
  <si>
    <t xml:space="preserve">senseless_B1_P1_06</t>
  </si>
  <si>
    <t xml:space="preserve">GAGGAGGGCAGCAAACGGAACGGAGCTGGAGAGCCTGTCATCATC</t>
  </si>
  <si>
    <t xml:space="preserve">senseless_B1_P2_06</t>
  </si>
  <si>
    <t xml:space="preserve">ACGGCTCTGACGGACAGCGTCGGGATAGAAGAGTCTTCCTTTACG</t>
  </si>
  <si>
    <t xml:space="preserve">B1_P1 (Senseless)_6</t>
  </si>
  <si>
    <t xml:space="preserve">B1_P2 (Senseless)_6</t>
  </si>
  <si>
    <t xml:space="preserve">CGGAGCTGGAGAGCCTGTCATCATC</t>
  </si>
  <si>
    <t xml:space="preserve">ACGGCTCTGACGGACAGCGTCGGGA</t>
  </si>
  <si>
    <t xml:space="preserve">S051-07</t>
  </si>
  <si>
    <t xml:space="preserve">senseless_B1_P1_07</t>
  </si>
  <si>
    <t xml:space="preserve">GAGGAGGGCAGCAAACGGAAGAAAAGTTCATGTCTGGCTGAGGCG</t>
  </si>
  <si>
    <t xml:space="preserve">senseless_B1_P2_07</t>
  </si>
  <si>
    <t xml:space="preserve">TTTTTGTTTTCATTCTTGAGAAGGATAGAAGAGTCTTCCTTTACG</t>
  </si>
  <si>
    <t xml:space="preserve">B1_P1 (Senseless)_7</t>
  </si>
  <si>
    <t xml:space="preserve">B1_P2 (Senseless)_7</t>
  </si>
  <si>
    <t xml:space="preserve">GAAAAGTTCATGTCTGGCTGAGGCG</t>
  </si>
  <si>
    <t xml:space="preserve">TTTTTGTTTTCATTCTTGAGAAGGA</t>
  </si>
  <si>
    <t xml:space="preserve">S051-08</t>
  </si>
  <si>
    <t xml:space="preserve">senseless_B1_P1_08</t>
  </si>
  <si>
    <t xml:space="preserve">GAGGAGGGCAGCAAACGGAAGGAGCGCTTGAAGCATTTGCCGCAT</t>
  </si>
  <si>
    <t xml:space="preserve">senseless_B1_P2_08</t>
  </si>
  <si>
    <t xml:space="preserve">GATGAGCAGATGCGTGGACAGCGTGTAGAAGAGTCTTCCTTTACG</t>
  </si>
  <si>
    <t xml:space="preserve">B1_P1 (Senseless)_8</t>
  </si>
  <si>
    <t xml:space="preserve">B1_P2 (Senseless)_8</t>
  </si>
  <si>
    <t xml:space="preserve">GGAGCGCTTGAAGCATTTGCCGCAT</t>
  </si>
  <si>
    <t xml:space="preserve">GATGAGCAGATGCGTGGACAGCGTG</t>
  </si>
  <si>
    <t xml:space="preserve">S052-01</t>
  </si>
  <si>
    <t xml:space="preserve">shaven_B1_P1_01</t>
  </si>
  <si>
    <t xml:space="preserve">GAGGAGGGCAGCAAACGGAAGGCCGCACGCCGCTGTGCGCCAGCT</t>
  </si>
  <si>
    <t xml:space="preserve">shaven_B1_P2_01</t>
  </si>
  <si>
    <t xml:space="preserve">ACGCGTAGTTGTCGACTGATGTCGCTAGAAGAGTCTTCCTTTACG</t>
  </si>
  <si>
    <t xml:space="preserve">B1_P1 (shaven)_1</t>
  </si>
  <si>
    <t xml:space="preserve">B1_P2 (shaven)_1</t>
  </si>
  <si>
    <t xml:space="preserve">GGCCGCACGCCGCTGTGCGCCAGCT</t>
  </si>
  <si>
    <t xml:space="preserve">ACGCGTAGTTGTCGACTGATGTCGC</t>
  </si>
  <si>
    <t xml:space="preserve">S052-02</t>
  </si>
  <si>
    <t xml:space="preserve">shaven_B1_P1_02</t>
  </si>
  <si>
    <t xml:space="preserve">GAGGAGGGCAGCAAACGGAACGTTTCGTAGTATCGCGACAGTATC</t>
  </si>
  <si>
    <t xml:space="preserve">shaven_B1_P2_02</t>
  </si>
  <si>
    <t xml:space="preserve">GCCTATCACGCCAGCCTTGAAACTCTAGAAGAGTCTTCCTTTACG</t>
  </si>
  <si>
    <t xml:space="preserve">B1_P1 (shaven)_2</t>
  </si>
  <si>
    <t xml:space="preserve">B1_P2 (shaven)_2</t>
  </si>
  <si>
    <t xml:space="preserve">CGTTTCGTAGTATCGCGACAGTATC</t>
  </si>
  <si>
    <t xml:space="preserve">GCCTATCACGCCAGCCTTGAAACTC</t>
  </si>
  <si>
    <t xml:space="preserve">S052-03</t>
  </si>
  <si>
    <t xml:space="preserve">shaven_B1_P1_03</t>
  </si>
  <si>
    <t xml:space="preserve">GAGGAGGGCAGCAAACGGAACTATGGCGTCCACCACAGGAGGGGT</t>
  </si>
  <si>
    <t xml:space="preserve">shaven_B1_P2_03</t>
  </si>
  <si>
    <t xml:space="preserve">TCGTGGGGTTCTCTCGCTTGTATGCTAGAAGAGTCTTCCTTTACG</t>
  </si>
  <si>
    <t xml:space="preserve">B1_P1 (shaven)_3</t>
  </si>
  <si>
    <t xml:space="preserve">B1_P2 (shaven)_3</t>
  </si>
  <si>
    <t xml:space="preserve">CTATGGCGTCCACCACAGGAGGGGT</t>
  </si>
  <si>
    <t xml:space="preserve">TCGTGGGGTTCTCTCGCTTGTATGC</t>
  </si>
  <si>
    <t xml:space="preserve">S052-04</t>
  </si>
  <si>
    <t xml:space="preserve">shaven_B1_P1_04</t>
  </si>
  <si>
    <t xml:space="preserve">GAGGAGGGCAGCAAACGGAACAAATGCCTTCGCTGAGCAATCTGT</t>
  </si>
  <si>
    <t xml:space="preserve">shaven_B1_P2_04</t>
  </si>
  <si>
    <t xml:space="preserve">GATACTGAGGGTACATTGTCCTGGCTAGAAGAGTCTTCCTTTACG</t>
  </si>
  <si>
    <t xml:space="preserve">B1_P1 (shaven)_4</t>
  </si>
  <si>
    <t xml:space="preserve">B1_P2 (shaven)_4</t>
  </si>
  <si>
    <t xml:space="preserve">CAAATGCCTTCGCTGAGCAATCTGT</t>
  </si>
  <si>
    <t xml:space="preserve">GATACTGAGGGTACATTGTCCTGGC</t>
  </si>
  <si>
    <t xml:space="preserve">S052-05</t>
  </si>
  <si>
    <t xml:space="preserve">shaven_B1_P1_05</t>
  </si>
  <si>
    <t xml:space="preserve">GAGGAGGGCAGCAAACGGAACTTCGCCTTCTCCGCCGCCTTGTTC</t>
  </si>
  <si>
    <t xml:space="preserve">shaven_B1_P2_05</t>
  </si>
  <si>
    <t xml:space="preserve">TTGCTGCTGCTGTTGGTTGTGCGCGTAGAAGAGTCTTCCTTTACG</t>
  </si>
  <si>
    <t xml:space="preserve">B1_P1 (shaven)_5</t>
  </si>
  <si>
    <t xml:space="preserve">B1_P2 (shaven)_5</t>
  </si>
  <si>
    <t xml:space="preserve">CTTCGCCTTCTCCGCCGCCTTGTTC</t>
  </si>
  <si>
    <t xml:space="preserve">TTGCTGCTGCTGTTGGTTGTGCGCG</t>
  </si>
  <si>
    <t xml:space="preserve">S052-06</t>
  </si>
  <si>
    <t xml:space="preserve">shaven_B1_P1_06</t>
  </si>
  <si>
    <t xml:space="preserve">GAGGAGGGCAGCAAACGGAATTATCACAGAAACAACGCTCCCCTG</t>
  </si>
  <si>
    <t xml:space="preserve">shaven_B1_P2_06</t>
  </si>
  <si>
    <t xml:space="preserve">TGGCACCAGGCGCGTTGCCCGCATGTAGAAGAGTCTTCCTTTACG</t>
  </si>
  <si>
    <t xml:space="preserve">B1_P1 (shaven)_6</t>
  </si>
  <si>
    <t xml:space="preserve">B1_P2 (shaven)_6</t>
  </si>
  <si>
    <t xml:space="preserve">TTATCACAGAAACAACGCTCCCCTG</t>
  </si>
  <si>
    <t xml:space="preserve">TGGCACCAGGCGCGTTGCCCGCATG</t>
  </si>
  <si>
    <t xml:space="preserve">S052-07</t>
  </si>
  <si>
    <t xml:space="preserve">shaven_B1_P1_07</t>
  </si>
  <si>
    <t xml:space="preserve">GAGGAGGGCAGCAAACGGAACTGCCTGCGTTGTTCACGTGCTCCG</t>
  </si>
  <si>
    <t xml:space="preserve">shaven_B1_P2_07</t>
  </si>
  <si>
    <t xml:space="preserve">ATCCCCAGGATGCCGTTGATACTGTTAGAAGAGTCTTCCTTTACG</t>
  </si>
  <si>
    <t xml:space="preserve">B1_P1 (shaven)_7</t>
  </si>
  <si>
    <t xml:space="preserve">B1_P2 (shaven)_7</t>
  </si>
  <si>
    <t xml:space="preserve">CTGCCTGCGTTGTTCACGTGCTCCG</t>
  </si>
  <si>
    <t xml:space="preserve">ATCCCCAGGATGCCGTTGATACTGT</t>
  </si>
  <si>
    <t xml:space="preserve">S052-08</t>
  </si>
  <si>
    <t xml:space="preserve">shaven_B1_P1_08</t>
  </si>
  <si>
    <t xml:space="preserve">GAGGAGGGCAGCAAACGGAACTTCCTCTTGAGCGGGTTGCCGTTG</t>
  </si>
  <si>
    <t xml:space="preserve">shaven_B1_P2_08</t>
  </si>
  <si>
    <t xml:space="preserve">TCTGTTCTCATCCTGGTCCTCATGGTAGAAGAGTCTTCCTTTACG</t>
  </si>
  <si>
    <t xml:space="preserve">B1_P1 (shaven)_8</t>
  </si>
  <si>
    <t xml:space="preserve">B1_P2 (shaven)_8</t>
  </si>
  <si>
    <t xml:space="preserve">CTTCCTCTTGAGCGGGTTGCCGTTG</t>
  </si>
  <si>
    <t xml:space="preserve">TCTGTTCTCATCCTGGTCCTCATGG</t>
  </si>
  <si>
    <t xml:space="preserve">S053-01</t>
  </si>
  <si>
    <t xml:space="preserve">soni_B1_P1_01</t>
  </si>
  <si>
    <t xml:space="preserve">GAGGAGGGCAGCAAACGGAATCCTCAGACGGATGCAGCAGAAACA</t>
  </si>
  <si>
    <t xml:space="preserve">soni_B1_P2_01</t>
  </si>
  <si>
    <t xml:space="preserve">ACAAGTAGGCGAGGATGAGGCTCCCTAGAAGAGTCTTCCTTTACG</t>
  </si>
  <si>
    <t xml:space="preserve">B1_P1 (soni)_1</t>
  </si>
  <si>
    <t xml:space="preserve">B1_P2 (soni)_1</t>
  </si>
  <si>
    <t xml:space="preserve">TCCTCAGACGGATGCAGCAGAAACA</t>
  </si>
  <si>
    <t xml:space="preserve">ACAAGTAGGCGAGGATGAGGCTCCC</t>
  </si>
  <si>
    <t xml:space="preserve">S053-02</t>
  </si>
  <si>
    <t xml:space="preserve">soni_B1_P1_02</t>
  </si>
  <si>
    <t xml:space="preserve">GAGGAGGGCAGCAAACGGAACCCATAATTGCATAACCCAAGTTCA</t>
  </si>
  <si>
    <t xml:space="preserve">soni_B1_P2_02</t>
  </si>
  <si>
    <t xml:space="preserve">ATTAAATAAGAAATAACTGTAGCCATAGAAGAGTCTTCCTTTACG</t>
  </si>
  <si>
    <t xml:space="preserve">B1_P1 (soni)_2</t>
  </si>
  <si>
    <t xml:space="preserve">B1_P2 (soni)_2</t>
  </si>
  <si>
    <t xml:space="preserve">CCCATAATTGCATAACCCAAGTTCA</t>
  </si>
  <si>
    <t xml:space="preserve">ATTAAATAAGAAATAACTGTAGCCA</t>
  </si>
  <si>
    <t xml:space="preserve">S053-03</t>
  </si>
  <si>
    <t xml:space="preserve">soni_B1_P1_03</t>
  </si>
  <si>
    <t xml:space="preserve">GAGGAGGGCAGCAAACGGAATGTAATTTTGATCAGAACCGGTCTA</t>
  </si>
  <si>
    <t xml:space="preserve">soni_B1_P2_03</t>
  </si>
  <si>
    <t xml:space="preserve">TAAAACCAATATAACGGATGTAAGATAGAAGAGTCTTCCTTTACG</t>
  </si>
  <si>
    <t xml:space="preserve">B1_P1 (soni)_3</t>
  </si>
  <si>
    <t xml:space="preserve">B1_P2 (soni)_3</t>
  </si>
  <si>
    <t xml:space="preserve">TGTAATTTTGATCAGAACCGGTCTA</t>
  </si>
  <si>
    <t xml:space="preserve">TAAAACCAATATAACGGATGTAAGA</t>
  </si>
  <si>
    <t xml:space="preserve">S053-04</t>
  </si>
  <si>
    <t xml:space="preserve">soni_B1_P1_04</t>
  </si>
  <si>
    <t xml:space="preserve">GAGGAGGGCAGCAAACGGAAATCCTACGAGGAGAAGTACATTAAA</t>
  </si>
  <si>
    <t xml:space="preserve">soni_B1_P2_04</t>
  </si>
  <si>
    <t xml:space="preserve">TGACATAACGTGGTCTCTCCGTATGTAGAAGAGTCTTCCTTTACG</t>
  </si>
  <si>
    <t xml:space="preserve">B1_P1 (soni)_4</t>
  </si>
  <si>
    <t xml:space="preserve">B1_P2 (soni)_4</t>
  </si>
  <si>
    <t xml:space="preserve">ATCCTACGAGGAGAAGTACATTAAA</t>
  </si>
  <si>
    <t xml:space="preserve">TGACATAACGTGGTCTCTCCGTATG</t>
  </si>
  <si>
    <t xml:space="preserve">S053-05</t>
  </si>
  <si>
    <t xml:space="preserve">soni_B1_P1_05</t>
  </si>
  <si>
    <t xml:space="preserve">GAGGAGGGCAGCAAACGGAAGCAGTCAGTATGGTGCATATAATCT</t>
  </si>
  <si>
    <t xml:space="preserve">soni_B1_P2_05</t>
  </si>
  <si>
    <t xml:space="preserve">ATGCACATCGTAATTATTTGTTGTATAGAAGAGTCTTCCTTTACG</t>
  </si>
  <si>
    <t xml:space="preserve">B1_P1 (soni)_5</t>
  </si>
  <si>
    <t xml:space="preserve">B1_P2 (soni)_5</t>
  </si>
  <si>
    <t xml:space="preserve">GCAGTCAGTATGGTGCATATAATCT</t>
  </si>
  <si>
    <t xml:space="preserve">ATGCACATCGTAATTATTTGTTGTA</t>
  </si>
  <si>
    <t xml:space="preserve">S053-06</t>
  </si>
  <si>
    <t xml:space="preserve">soni_B1_P1_06</t>
  </si>
  <si>
    <t xml:space="preserve">GAGGAGGGCAGCAAACGGAAGGTTAGTAATACTCCAACTAGAGTA</t>
  </si>
  <si>
    <t xml:space="preserve">soni_B1_P2_06</t>
  </si>
  <si>
    <t xml:space="preserve">ATACACGTTGATAGCAATATAAACCTAGAAGAGTCTTCCTTTACG</t>
  </si>
  <si>
    <t xml:space="preserve">B1_P1 (soni)_6</t>
  </si>
  <si>
    <t xml:space="preserve">B1_P2 (soni)_6</t>
  </si>
  <si>
    <t xml:space="preserve">GGTTAGTAATACTCCAACTAGAGTA</t>
  </si>
  <si>
    <t xml:space="preserve">ATACACGTTGATAGCAATATAAACC</t>
  </si>
  <si>
    <t xml:space="preserve">S054-01</t>
  </si>
  <si>
    <t xml:space="preserve">spalt_B1_P1_01</t>
  </si>
  <si>
    <t xml:space="preserve">GAGGAGGGCAGCAAACGGAAATCTTCCTCCGAACAAGATCCCGAG</t>
  </si>
  <si>
    <t xml:space="preserve">spalt_B1_P2_01</t>
  </si>
  <si>
    <t xml:space="preserve">CGCTTCATCCGGCATGGCATTGCCATAGAAGAGTCTTCCTTTACG</t>
  </si>
  <si>
    <t xml:space="preserve">spalt_B1_P1_1</t>
  </si>
  <si>
    <t xml:space="preserve">spalt_B1_P2_1</t>
  </si>
  <si>
    <t xml:space="preserve">ATCTTCCTCCGAACAAGATCCCGAG</t>
  </si>
  <si>
    <t xml:space="preserve">CGCTTCATCCGGCATGGCATTGCCA</t>
  </si>
  <si>
    <t xml:space="preserve">Master (Jul 2024); spalt_B1</t>
  </si>
  <si>
    <t xml:space="preserve">S054-02</t>
  </si>
  <si>
    <t xml:space="preserve">spalt_B1_P1_02</t>
  </si>
  <si>
    <t xml:space="preserve">GAGGAGGGCAGCAAACGGAAATCCGGCATGGCATTGCCAACATCT</t>
  </si>
  <si>
    <t xml:space="preserve">spalt_B1_P2_02</t>
  </si>
  <si>
    <t xml:space="preserve">GTGCGCCTCTGGCCTATCTCTCGCTTAGAAGAGTCTTCCTTTACG</t>
  </si>
  <si>
    <t xml:space="preserve">spalt1_HCR_P1B1</t>
  </si>
  <si>
    <t xml:space="preserve">spalt1_HCR_P2B1</t>
  </si>
  <si>
    <t xml:space="preserve">ATCCGGCATGGCATTGCCAACATCT</t>
  </si>
  <si>
    <t xml:space="preserve">GTGCGCCTCTGGCCTATCTCTCGCT</t>
  </si>
  <si>
    <t xml:space="preserve">S054-03</t>
  </si>
  <si>
    <t xml:space="preserve">spalt_B1_P1_03</t>
  </si>
  <si>
    <t xml:space="preserve">GAGGAGGGCAGCAAACGGAAGGTTTTCGAACTGTTCCTGACAGCG</t>
  </si>
  <si>
    <t xml:space="preserve">spalt_B1_P2_03</t>
  </si>
  <si>
    <t xml:space="preserve">GTCGCTTATGATACAAGAAATCGTGTAGAAGAGTCTTCCTTTACG</t>
  </si>
  <si>
    <t xml:space="preserve">spalt_B1_P1_2</t>
  </si>
  <si>
    <t xml:space="preserve">spalt_B1_P2_2</t>
  </si>
  <si>
    <t xml:space="preserve">GGTTTTCGAACTGTTCCTGACAGCG</t>
  </si>
  <si>
    <t xml:space="preserve">GTCGCTTATGATACAAGAAATCGTG</t>
  </si>
  <si>
    <t xml:space="preserve">S054-04</t>
  </si>
  <si>
    <t xml:space="preserve">spalt_B1_P1_04</t>
  </si>
  <si>
    <t xml:space="preserve">GAGGAGGGCAGCAAACGGAAGTGCATCCTCTCTTCACCCATTTGC</t>
  </si>
  <si>
    <t xml:space="preserve">spalt_B1_P2_04</t>
  </si>
  <si>
    <t xml:space="preserve">CGACACTACCATATCCTCTGGATCGTAGAAGAGTCTTCCTTTACG</t>
  </si>
  <si>
    <t xml:space="preserve">spalt2_HCR_P1B1</t>
  </si>
  <si>
    <t xml:space="preserve">spalt2_HCR_P2B1</t>
  </si>
  <si>
    <t xml:space="preserve">GTGCATCCTCTCTTCACCCATTTGC</t>
  </si>
  <si>
    <t xml:space="preserve">CGACACTACCATATCCTCTGGATCG</t>
  </si>
  <si>
    <t xml:space="preserve">S054-05</t>
  </si>
  <si>
    <t xml:space="preserve">spalt_B1_P1_05</t>
  </si>
  <si>
    <t xml:space="preserve">GAGGAGGGCAGCAAACGGAATGGATCGGAGTGCATCCTCTCTTCA</t>
  </si>
  <si>
    <t xml:space="preserve">spalt_B1_P2_05</t>
  </si>
  <si>
    <t xml:space="preserve">TTCATCCCCCGACACTACCATATCCTAGAAGAGTCTTCCTTTACG</t>
  </si>
  <si>
    <t xml:space="preserve">spalt_B1_P1_3</t>
  </si>
  <si>
    <t xml:space="preserve">spalt_B1_P2_3</t>
  </si>
  <si>
    <t xml:space="preserve">TGGATCGGAGTGCATCCTCTCTTCA</t>
  </si>
  <si>
    <t xml:space="preserve">TTCATCCCCCGACACTACCATATCC</t>
  </si>
  <si>
    <t xml:space="preserve">S054-06</t>
  </si>
  <si>
    <t xml:space="preserve">spalt_B1_P1_06</t>
  </si>
  <si>
    <t xml:space="preserve">GAGGAGGGCAGCAAACGGAACAGCATCTTGTCGATGCCTCCTGAC</t>
  </si>
  <si>
    <t xml:space="preserve">spalt_B1_P2_06</t>
  </si>
  <si>
    <t xml:space="preserve">CGCCGTCTTCGAGACTATTATTATTTAGAAGAGTCTTCCTTTACG</t>
  </si>
  <si>
    <t xml:space="preserve">spalt_B1_P1_4</t>
  </si>
  <si>
    <t xml:space="preserve">spalt_B1_P2_4</t>
  </si>
  <si>
    <t xml:space="preserve">CAGCATCTTGTCGATGCCTCCTGAC</t>
  </si>
  <si>
    <t xml:space="preserve">CGCCGTCTTCGAGACTATTATTATT</t>
  </si>
  <si>
    <t xml:space="preserve">S054-07</t>
  </si>
  <si>
    <t xml:space="preserve">spalt_B1_P1_07</t>
  </si>
  <si>
    <t xml:space="preserve">GAGGAGGGCAGCAAACGGAAATTTCGGCCTCGCCGTCTTCGAGAC</t>
  </si>
  <si>
    <t xml:space="preserve">spalt_B1_P2_07</t>
  </si>
  <si>
    <t xml:space="preserve">CCCACGGGGGGCATGTCGGCTTCAGTAGAAGAGTCTTCCTTTACG</t>
  </si>
  <si>
    <t xml:space="preserve">spalt3_HCR_P1B1</t>
  </si>
  <si>
    <t xml:space="preserve">spalt3_HCR_P2B1</t>
  </si>
  <si>
    <t xml:space="preserve">ATTTCGGCCTCGCCGTCTTCGAGAC</t>
  </si>
  <si>
    <t xml:space="preserve">CCCACGGGGGGCATGTCGGCTTCAG</t>
  </si>
  <si>
    <t xml:space="preserve">S054-08</t>
  </si>
  <si>
    <t xml:space="preserve">spalt_B1_P1_08</t>
  </si>
  <si>
    <t xml:space="preserve">GAGGAGGGCAGCAAACGGAACCAAAGGGAACGGCAGCCCACGGGG</t>
  </si>
  <si>
    <t xml:space="preserve">spalt_B1_P2_08</t>
  </si>
  <si>
    <t xml:space="preserve">GTAGAGCCTCAAGAGTAACGTGTCCTAGAAGAGTCTTCCTTTACG</t>
  </si>
  <si>
    <t xml:space="preserve">spalt_B1_P1_5</t>
  </si>
  <si>
    <t xml:space="preserve">spalt_B1_P2_5</t>
  </si>
  <si>
    <t xml:space="preserve">CCAAAGGGAACGGCAGCCCACGGGG</t>
  </si>
  <si>
    <t xml:space="preserve">GTAGAGCCTCAAGAGTAACGTGTCC</t>
  </si>
  <si>
    <t xml:space="preserve">S054-09</t>
  </si>
  <si>
    <t xml:space="preserve">spalt_B1_P1_09</t>
  </si>
  <si>
    <t xml:space="preserve">GAGGAGGGCAGCAAACGGAACGTTATTCGCATTATTTGCCATCGC</t>
  </si>
  <si>
    <t xml:space="preserve">spalt_B1_P2_09</t>
  </si>
  <si>
    <t xml:space="preserve">ACACTTGTAATTCTTGTATAGCAGCTAGAAGAGTCTTCCTTTACG</t>
  </si>
  <si>
    <t xml:space="preserve">spalt4_HCR_P1B1</t>
  </si>
  <si>
    <t xml:space="preserve">spalt4_HCR_P2B1</t>
  </si>
  <si>
    <t xml:space="preserve">CGTTATTCGCATTATTTGCCATCGC</t>
  </si>
  <si>
    <t xml:space="preserve">ACACTTGTAATTCTTGTATAGCAGC</t>
  </si>
  <si>
    <t xml:space="preserve">S054-10</t>
  </si>
  <si>
    <t xml:space="preserve">spalt_B1_P1_10</t>
  </si>
  <si>
    <t xml:space="preserve">GAGGAGGGCAGCAAACGGAAGAAGCTGACGTATTAACTGAAGTTG</t>
  </si>
  <si>
    <t xml:space="preserve">spalt_B1_P2_10</t>
  </si>
  <si>
    <t xml:space="preserve">TCCGTCGAGTTAGAGATAACTGATTTAGAAGAGTCTTCCTTTACG</t>
  </si>
  <si>
    <t xml:space="preserve">spalt_B1_P1_6</t>
  </si>
  <si>
    <t xml:space="preserve">spalt_B1_P2_6</t>
  </si>
  <si>
    <t xml:space="preserve">GAAGCTGACGTATTAACTGAAGTTG</t>
  </si>
  <si>
    <t xml:space="preserve">TCCGTCGAGTTAGAGATAACTGATT</t>
  </si>
  <si>
    <t xml:space="preserve">S054-11</t>
  </si>
  <si>
    <t xml:space="preserve">spalt_B1_P1_11</t>
  </si>
  <si>
    <t xml:space="preserve">GAGGAGGGCAGCAAACGGAAGTGTGGATCGTCTTCTTTCCGTCGA</t>
  </si>
  <si>
    <t xml:space="preserve">spalt_B1_P2_11</t>
  </si>
  <si>
    <t xml:space="preserve">CTGTTCTGGTTCACTTGGCGGTGGGTAGAAGAGTCTTCCTTTACG</t>
  </si>
  <si>
    <t xml:space="preserve">spalt5_HCR_P1B1</t>
  </si>
  <si>
    <t xml:space="preserve">spalt5_HCR_P2B1</t>
  </si>
  <si>
    <t xml:space="preserve">GTGTGGATCGTCTTCTTTCCGTCGA</t>
  </si>
  <si>
    <t xml:space="preserve">CTGTTCTGGTTCACTTGGCGGTGGG</t>
  </si>
  <si>
    <t xml:space="preserve">S054-12</t>
  </si>
  <si>
    <t xml:space="preserve">spalt_B1_P1_12</t>
  </si>
  <si>
    <t xml:space="preserve">GAGGAGGGCAGCAAACGGAACGGGGCATTCTGTTCTGGTTCACTT</t>
  </si>
  <si>
    <t xml:space="preserve">spalt_B1_P2_12</t>
  </si>
  <si>
    <t xml:space="preserve">CGGCGACGGTGATCGAGCCGGCGTTTAGAAGAGTCTTCCTTTACG</t>
  </si>
  <si>
    <t xml:space="preserve">spalt_B1_P1_7</t>
  </si>
  <si>
    <t xml:space="preserve">spalt_B1_P2_7</t>
  </si>
  <si>
    <t xml:space="preserve">CGGGGCATTCTGTTCTGGTTCACTT</t>
  </si>
  <si>
    <t xml:space="preserve">CGGCGACGGTGATCGAGCCGGCGTT</t>
  </si>
  <si>
    <t xml:space="preserve">S054-13</t>
  </si>
  <si>
    <t xml:space="preserve">spalt_B1_P1_13</t>
  </si>
  <si>
    <t xml:space="preserve">GAGGAGGGCAGCAAACGGAATGGCTAGTAGGAGGAGAGGGTATAA</t>
  </si>
  <si>
    <t xml:space="preserve">spalt_B1_P2_13</t>
  </si>
  <si>
    <t xml:space="preserve">TGATGTGTGTGAGTCGACGGCAAACTAGAAGAGTCTTCCTTTACG</t>
  </si>
  <si>
    <t xml:space="preserve">spalt_B1_P1_8</t>
  </si>
  <si>
    <t xml:space="preserve">spalt_B1_P2_8</t>
  </si>
  <si>
    <t xml:space="preserve">TGGCTAGTAGGAGGAGAGGGTATAA</t>
  </si>
  <si>
    <t xml:space="preserve">TGATGTGTGTGAGTCGACGGCAAAC</t>
  </si>
  <si>
    <t xml:space="preserve">S054-14</t>
  </si>
  <si>
    <t xml:space="preserve">spalt_B1_P1_14</t>
  </si>
  <si>
    <t xml:space="preserve">GAGGAGGGCAGCAAACGGAAGAGTCGACGGCAAACTTTGGCTAGT</t>
  </si>
  <si>
    <t xml:space="preserve">spalt_B1_P2_14</t>
  </si>
  <si>
    <t xml:space="preserve">GTTCAGTTTTGGGTGTGTGATGTGTTAGAAGAGTCTTCCTTTACG</t>
  </si>
  <si>
    <t xml:space="preserve">spalt6_HCR_P1B1</t>
  </si>
  <si>
    <t xml:space="preserve">spalt6_HCR_P2B1</t>
  </si>
  <si>
    <t xml:space="preserve">GAGTCGACGGCAAACTTTGGCTAGT</t>
  </si>
  <si>
    <t xml:space="preserve">GTTCAGTTTTGGGTGTGTGATGTGT</t>
  </si>
  <si>
    <t xml:space="preserve">S054-15</t>
  </si>
  <si>
    <t xml:space="preserve">spalt_B1_P1_15</t>
  </si>
  <si>
    <t xml:space="preserve">GAGGAGGGCAGCAAACGGAAGATGGTGAGGAAGTTGGAATCTTAG</t>
  </si>
  <si>
    <t xml:space="preserve">spalt_B1_P2_15</t>
  </si>
  <si>
    <t xml:space="preserve">GAACTATAAAGTGGGTGGGTCATTATAGAAGAGTCTTCCTTTACG</t>
  </si>
  <si>
    <t xml:space="preserve">spalt_B1_P1_9</t>
  </si>
  <si>
    <t xml:space="preserve">spalt_B1_P2_9</t>
  </si>
  <si>
    <t xml:space="preserve">GATGGTGAGGAAGTTGGAATCTTAG</t>
  </si>
  <si>
    <t xml:space="preserve">GAACTATAAAGTGGGTGGGTCATTA</t>
  </si>
  <si>
    <t xml:space="preserve">S054-16</t>
  </si>
  <si>
    <t xml:space="preserve">spalt_B1_P1_16</t>
  </si>
  <si>
    <t xml:space="preserve">GAGGAGGGCAGCAAACGGAAAGGATCATTGTTTGTTATGATGGAA</t>
  </si>
  <si>
    <t xml:space="preserve">spalt_B1_P2_16</t>
  </si>
  <si>
    <t xml:space="preserve">TGTGTTTGGTTCATTTAGGGACGGTTAGAAGAGTCTTCCTTTACG</t>
  </si>
  <si>
    <t xml:space="preserve">spalt7_HCR_P1B1</t>
  </si>
  <si>
    <t xml:space="preserve">spalt7_HCR_P2B1</t>
  </si>
  <si>
    <t xml:space="preserve">AGGATCATTGTTTGTTATGATGGAA</t>
  </si>
  <si>
    <t xml:space="preserve">TGTGTTTGGTTCATTTAGGGACGGT</t>
  </si>
  <si>
    <t xml:space="preserve">S054-17</t>
  </si>
  <si>
    <t xml:space="preserve">spalt_B1_P1_17</t>
  </si>
  <si>
    <t xml:space="preserve">GAGGAGGGCAGCAAACGGAATTAGGGACGGTGGAGGATCATTGTT</t>
  </si>
  <si>
    <t xml:space="preserve">spalt_B1_P2_17</t>
  </si>
  <si>
    <t xml:space="preserve">GAAGCATTTCAAGTGTGTTTGGTTCTAGAAGAGTCTTCCTTTACG</t>
  </si>
  <si>
    <t xml:space="preserve">TTAGGGACGGTGGAGGATCATTGTT</t>
  </si>
  <si>
    <t xml:space="preserve">GAAGCATTTCAAGTGTGTTTGGTTC</t>
  </si>
  <si>
    <t xml:space="preserve">S054-18</t>
  </si>
  <si>
    <t xml:space="preserve">spalt_B1_P1_18</t>
  </si>
  <si>
    <t xml:space="preserve">GAGGAGGGCAGCAAACGGAAGTTTGCTAGAAGGCCCTGTGATGCA</t>
  </si>
  <si>
    <t xml:space="preserve">spalt_B1_P2_18</t>
  </si>
  <si>
    <t xml:space="preserve">TCGAAAAGCTAATTCGTCGGCAAGATAGAAGAGTCTTCCTTTACG</t>
  </si>
  <si>
    <t xml:space="preserve">GTTTGCTAGAAGGCCCTGTGATGCA</t>
  </si>
  <si>
    <t xml:space="preserve">TCGAAAAGCTAATTCGTCGGCAAGA</t>
  </si>
  <si>
    <t xml:space="preserve">spalt_B1</t>
  </si>
  <si>
    <t xml:space="preserve">S054-19</t>
  </si>
  <si>
    <t xml:space="preserve">spalt_B1_P1_19</t>
  </si>
  <si>
    <t xml:space="preserve">GAGGAGGGCAGCAAACGGAAATTTTTCCGGATTTTCGAAAAGCTA</t>
  </si>
  <si>
    <t xml:space="preserve">spalt_B1_P2_19</t>
  </si>
  <si>
    <t xml:space="preserve">CCACCACTTTTTCCATCATAAGGTGTAGAAGAGTCTTCCTTTACG</t>
  </si>
  <si>
    <t xml:space="preserve">spalt8_HCR_P1B1</t>
  </si>
  <si>
    <t xml:space="preserve">spalt8_HCR_P2B1</t>
  </si>
  <si>
    <t xml:space="preserve">ATTTTTCCGGATTTTCGAAAAGCTA</t>
  </si>
  <si>
    <t xml:space="preserve">CCACCACTTTTTCCATCATAAGGTG</t>
  </si>
  <si>
    <t xml:space="preserve">S054-20</t>
  </si>
  <si>
    <t xml:space="preserve">spalt_B1_P1_20</t>
  </si>
  <si>
    <t xml:space="preserve">GAGGAGGGCAGCAAACGGAATAAAGAAAGGTTCGTTACGGCCACC</t>
  </si>
  <si>
    <t xml:space="preserve">spalt_B1_P2_20</t>
  </si>
  <si>
    <t xml:space="preserve">CTTTTCCACAATATCTACAGCGATGTAGAAGAGTCTTCCTTTACG</t>
  </si>
  <si>
    <t xml:space="preserve">TAAAGAAAGGTTCGTTACGGCCACC</t>
  </si>
  <si>
    <t xml:space="preserve">CTTTTCCACAATATCTACAGCGATG</t>
  </si>
  <si>
    <t xml:space="preserve">S054-21</t>
  </si>
  <si>
    <t xml:space="preserve">spalt_B1_P1_21</t>
  </si>
  <si>
    <t xml:space="preserve">GAGGAGGGCAGCAAACGGAATTCCCCTGTGTGAGAACGAATGTGA</t>
  </si>
  <si>
    <t xml:space="preserve">spalt_B1_P2_21</t>
  </si>
  <si>
    <t xml:space="preserve">GCCACAGACGTTACATTTGAAAGGTTAGAAGAGTCTTCCTTTACG</t>
  </si>
  <si>
    <t xml:space="preserve">TTCCCCTGTGTGAGAACGAATGTGA</t>
  </si>
  <si>
    <t xml:space="preserve">GCCACAGACGTTACATTTGAAAGGT</t>
  </si>
  <si>
    <t xml:space="preserve">S055-01</t>
  </si>
  <si>
    <t xml:space="preserve">spitz_B1_P1_01</t>
  </si>
  <si>
    <t xml:space="preserve">GAGGAGGGCAGCAAACGGAACGAGGGACACGGTTTTGACATTGGA</t>
  </si>
  <si>
    <t xml:space="preserve">spitz_B1_P2_01</t>
  </si>
  <si>
    <t xml:space="preserve">ACCGCATTGTCCGCACTGGCGCGAGTAGAAGAGTCTTCCTTTACG</t>
  </si>
  <si>
    <t xml:space="preserve">B1_P1 (spitz)_1</t>
  </si>
  <si>
    <t xml:space="preserve">B1_P2 (spitz)_1</t>
  </si>
  <si>
    <t xml:space="preserve">CGAGGGACACGGTTTTGACATTGGA</t>
  </si>
  <si>
    <t xml:space="preserve">ACCGCATTGTCCGCACTGGCGCGAG</t>
  </si>
  <si>
    <t xml:space="preserve">S055-02</t>
  </si>
  <si>
    <t xml:space="preserve">spitz_B1_P1_02</t>
  </si>
  <si>
    <t xml:space="preserve">GAGGAGGGCAGCAAACGGAACACCACCACACCACCGACGCCACGG</t>
  </si>
  <si>
    <t xml:space="preserve">spitz_B1_P2_02</t>
  </si>
  <si>
    <t xml:space="preserve">CTGGAGCACGCGCCCGCCGGCCCGCTAGAAGAGTCTTCCTTTACG</t>
  </si>
  <si>
    <t xml:space="preserve">B1_P1 (spitz)_2</t>
  </si>
  <si>
    <t xml:space="preserve">B1_P2 (spitz)_2</t>
  </si>
  <si>
    <t xml:space="preserve">CACCACCACACCACCGACGCCACGG</t>
  </si>
  <si>
    <t xml:space="preserve">CTGGAGCACGCGCCCGCCGGCCCGC</t>
  </si>
  <si>
    <t xml:space="preserve">S055-03</t>
  </si>
  <si>
    <t xml:space="preserve">spitz_B1_P1_03</t>
  </si>
  <si>
    <t xml:space="preserve">GAGGAGGGCAGCAAACGGAAGCGCGCGGGCCGCGCCGGCCGCGCC</t>
  </si>
  <si>
    <t xml:space="preserve">spitz_B1_P2_03</t>
  </si>
  <si>
    <t xml:space="preserve">CGTGACGTTGAGGCGCGGCTGCGGCTAGAAGAGTCTTCCTTTACG</t>
  </si>
  <si>
    <t xml:space="preserve">B1_P1 (spitz)_3</t>
  </si>
  <si>
    <t xml:space="preserve">B1_P2 (spitz)_3</t>
  </si>
  <si>
    <t xml:space="preserve">GCGCGCGGGCCGCGCCGGCCGCGCC</t>
  </si>
  <si>
    <t xml:space="preserve">CGTGACGTTGAGGCGCGGCTGCGGC</t>
  </si>
  <si>
    <t xml:space="preserve">S055-04</t>
  </si>
  <si>
    <t xml:space="preserve">spitz_B1_P1_04</t>
  </si>
  <si>
    <t xml:space="preserve">GAGGAGGGCAGCAAACGGAAAGTAGTACTCCGAGTAGTCGGGCTC</t>
  </si>
  <si>
    <t xml:space="preserve">spitz_B1_P2_04</t>
  </si>
  <si>
    <t xml:space="preserve">CGGTGAAGCACGCGCCGCCGTTGAGTAGAAGAGTCTTCCTTTACG</t>
  </si>
  <si>
    <t xml:space="preserve">B1_P1 (spitz)_4</t>
  </si>
  <si>
    <t xml:space="preserve">B1_P2 (spitz)_4</t>
  </si>
  <si>
    <t xml:space="preserve">AGTAGTACTCCGAGTAGTCGGGCTC</t>
  </si>
  <si>
    <t xml:space="preserve">CGGTGAAGCACGCGCCGCCGTTGAG</t>
  </si>
  <si>
    <t xml:space="preserve">S055-05</t>
  </si>
  <si>
    <t xml:space="preserve">spitz_B1_P1_05</t>
  </si>
  <si>
    <t xml:space="preserve">GAGGAGGGCAGCAAACGGAACTGCGGCACTCGCAGTTGTAGATGG</t>
  </si>
  <si>
    <t xml:space="preserve">spitz_B1_P2_05</t>
  </si>
  <si>
    <t xml:space="preserve">AACTCGCAGCGCGGGCCCACGAAGCTAGAAGAGTCTTCCTTTACG</t>
  </si>
  <si>
    <t xml:space="preserve">B1_P1 (spitz)_5</t>
  </si>
  <si>
    <t xml:space="preserve">B1_P2 (spitz)_5</t>
  </si>
  <si>
    <t xml:space="preserve">CTGCGGCACTCGCAGTTGTAGATGG</t>
  </si>
  <si>
    <t xml:space="preserve">AACTCGCAGCGCGGGCCCACGAAGC</t>
  </si>
  <si>
    <t xml:space="preserve">S055-06</t>
  </si>
  <si>
    <t xml:space="preserve">spitz_B1_P1_06</t>
  </si>
  <si>
    <t xml:space="preserve">GAGGAGGGCAGCAAACGGAAGAGCTGCCGGCTGGCCAGCACGTAC</t>
  </si>
  <si>
    <t xml:space="preserve">spitz_B1_P2_06</t>
  </si>
  <si>
    <t xml:space="preserve">GCCCGCGATGGACGCCGTCTCCATCTAGAAGAGTCTTCCTTTACG</t>
  </si>
  <si>
    <t xml:space="preserve">B1_P1 (spitz)_6</t>
  </si>
  <si>
    <t xml:space="preserve">B1_P2 (spitz)_6</t>
  </si>
  <si>
    <t xml:space="preserve">GAGCTGCCGGCTGGCCAGCACGTAC</t>
  </si>
  <si>
    <t xml:space="preserve">GCCCGCGATGGACGCCGTCTCCATC</t>
  </si>
  <si>
    <t xml:space="preserve">S056-01</t>
  </si>
  <si>
    <t xml:space="preserve">synapsin_B1_P1_01</t>
  </si>
  <si>
    <t xml:space="preserve">GAGGAGGGCAGCAAACGGAACTGGCTGGTGGTGGCTGGCTGGCCG</t>
  </si>
  <si>
    <t xml:space="preserve">synapsin_B1_P2_01</t>
  </si>
  <si>
    <t xml:space="preserve">GGCCGGCCTCTGATTCTGCGGCTTGTAGAAGAGTCTTCCTTTACG</t>
  </si>
  <si>
    <t xml:space="preserve">B1_P1 (synapsin)_1</t>
  </si>
  <si>
    <t xml:space="preserve">B1_P2 (synapsin)_1</t>
  </si>
  <si>
    <t xml:space="preserve">CTGGCTGGTGGTGGCTGGCTGGCCG</t>
  </si>
  <si>
    <t xml:space="preserve">GGCCGGCCTCTGATTCTGCGGCTTG</t>
  </si>
  <si>
    <t xml:space="preserve">S056-02</t>
  </si>
  <si>
    <t xml:space="preserve">synapsin_B1_P1_02</t>
  </si>
  <si>
    <t xml:space="preserve">GAGGAGGGCAGCAAACGGAATTGACGTCGATGCACTGCCGATGCT</t>
  </si>
  <si>
    <t xml:space="preserve">synapsin_B1_P2_02</t>
  </si>
  <si>
    <t xml:space="preserve">TGCTGGCACTGGGTGCGGGCGGCACTAGAAGAGTCTTCCTTTACG</t>
  </si>
  <si>
    <t xml:space="preserve">B1_P1 (synapsin)_2</t>
  </si>
  <si>
    <t xml:space="preserve">B1_P2 (synapsin)_2</t>
  </si>
  <si>
    <t xml:space="preserve">TTGACGTCGATGCACTGCCGATGCT</t>
  </si>
  <si>
    <t xml:space="preserve">TGCTGGCACTGGGTGCGGGCGGCAC</t>
  </si>
  <si>
    <t xml:space="preserve">S056-03</t>
  </si>
  <si>
    <t xml:space="preserve">synapsin_B1_P1_03</t>
  </si>
  <si>
    <t xml:space="preserve">GAGGAGGGCAGCAAACGGAACCACGAAGGTTGAGCGACAGGTCGC</t>
  </si>
  <si>
    <t xml:space="preserve">synapsin_B1_P2_03</t>
  </si>
  <si>
    <t xml:space="preserve">GAAGGCGCCGACGTGCCGCGGGAGCTAGAAGAGTCTTCCTTTACG</t>
  </si>
  <si>
    <t xml:space="preserve">B1_P1 (synapsin)_3</t>
  </si>
  <si>
    <t xml:space="preserve">B1_P2 (synapsin)_3</t>
  </si>
  <si>
    <t xml:space="preserve">CCACGAAGGTTGAGCGACAGGTCGC</t>
  </si>
  <si>
    <t xml:space="preserve">GAAGGCGCCGACGTGCCGCGGGAGC</t>
  </si>
  <si>
    <t xml:space="preserve">S056-04</t>
  </si>
  <si>
    <t xml:space="preserve">synapsin_B1_P1_04</t>
  </si>
  <si>
    <t xml:space="preserve">GAGGAGGGCAGCAAACGGAACTGCACGCGTTGCAGCAGCGACTCC</t>
  </si>
  <si>
    <t xml:space="preserve">synapsin_B1_P2_04</t>
  </si>
  <si>
    <t xml:space="preserve">TTGGTCTCTCGCGGCGCCGGTGAGCTAGAAGAGTCTTCCTTTACG</t>
  </si>
  <si>
    <t xml:space="preserve">B1_P1 (synapsin)_4</t>
  </si>
  <si>
    <t xml:space="preserve">B1_P2 (synapsin)_4</t>
  </si>
  <si>
    <t xml:space="preserve">CTGCACGCGTTGCAGCAGCGACTCC</t>
  </si>
  <si>
    <t xml:space="preserve">TTGGTCTCTCGCGGCGCCGGTGAGC</t>
  </si>
  <si>
    <t xml:space="preserve">S056-05</t>
  </si>
  <si>
    <t xml:space="preserve">synapsin_B1_P1_05</t>
  </si>
  <si>
    <t xml:space="preserve">GAGGAGGGCAGCAAACGGAACGACGGATGCCACGGACGTCACGCT</t>
  </si>
  <si>
    <t xml:space="preserve">synapsin_B1_P2_05</t>
  </si>
  <si>
    <t xml:space="preserve">CGCAACGGTCTCGGTTGTAACCACGTAGAAGAGTCTTCCTTTACG</t>
  </si>
  <si>
    <t xml:space="preserve">B1_P1 (synapsin)_5</t>
  </si>
  <si>
    <t xml:space="preserve">B1_P2 (synapsin)_5</t>
  </si>
  <si>
    <t xml:space="preserve">CGACGGATGCCACGGACGTCACGCT</t>
  </si>
  <si>
    <t xml:space="preserve">CGCAACGGTCTCGGTTGTAACCACG</t>
  </si>
  <si>
    <t xml:space="preserve">S056-06</t>
  </si>
  <si>
    <t xml:space="preserve">synapsin_B1_P1_06</t>
  </si>
  <si>
    <t xml:space="preserve">GAGGAGGGCAGCAAACGGAATTGGACCAATCGGTATTCTGGTCAT</t>
  </si>
  <si>
    <t xml:space="preserve">synapsin_B1_P2_06</t>
  </si>
  <si>
    <t xml:space="preserve">CCAGGCAACCGTCGGCCACGGAAATTAGAAGAGTCTTCCTTTACG</t>
  </si>
  <si>
    <t xml:space="preserve">B1_P1 (synapsin)_6</t>
  </si>
  <si>
    <t xml:space="preserve">B1_P2 (synapsin)_6</t>
  </si>
  <si>
    <t xml:space="preserve">TTGGACCAATCGGTATTCTGGTCAT</t>
  </si>
  <si>
    <t xml:space="preserve">CCAGGCAACCGTCGGCCACGGAAAT</t>
  </si>
  <si>
    <t xml:space="preserve">S056-07</t>
  </si>
  <si>
    <t xml:space="preserve">synapsin_B1_P1_07</t>
  </si>
  <si>
    <t xml:space="preserve">GAGGAGGGCAGCAAACGGAACAGCTCCCTAAATTCTGCCTGTTCA</t>
  </si>
  <si>
    <t xml:space="preserve">synapsin_B1_P2_07</t>
  </si>
  <si>
    <t xml:space="preserve">AGAGCCTTCCCCGCTCGCCGTCACTTAGAAGAGTCTTCCTTTACG</t>
  </si>
  <si>
    <t xml:space="preserve">B1_P1 (synapsin)_7</t>
  </si>
  <si>
    <t xml:space="preserve">B1_P2 (synapsin)_7</t>
  </si>
  <si>
    <t xml:space="preserve">CAGCTCCCTAAATTCTGCCTGTTCA</t>
  </si>
  <si>
    <t xml:space="preserve">AGAGCCTTCCCCGCTCGCCGTCACT</t>
  </si>
  <si>
    <t xml:space="preserve">S056-08</t>
  </si>
  <si>
    <t xml:space="preserve">synapsin_B1_P1_08</t>
  </si>
  <si>
    <t xml:space="preserve">GAGGAGGGCAGCAAACGGAAGGGTTACTTTAGTTCCGCTGCGGTA</t>
  </si>
  <si>
    <t xml:space="preserve">synapsin_B1_P2_08</t>
  </si>
  <si>
    <t xml:space="preserve">CCAGAACAAAGTCGGGCTTGAAGCATAGAAGAGTCTTCCTTTACG</t>
  </si>
  <si>
    <t xml:space="preserve">B1_P1 (synapsin)_8</t>
  </si>
  <si>
    <t xml:space="preserve">B1_P2 (synapsin)_8</t>
  </si>
  <si>
    <t xml:space="preserve">GGGTTACTTTAGTTCCGCTGCGGTA</t>
  </si>
  <si>
    <t xml:space="preserve">CCAGAACAAAGTCGGGCTTGAAGCA</t>
  </si>
  <si>
    <t xml:space="preserve">S057-01</t>
  </si>
  <si>
    <t xml:space="preserve">tox3_B1_P1_01</t>
  </si>
  <si>
    <t xml:space="preserve">GAGGAGGGCAGCAAACGGAAGTCCGTCTTGTGCTGGATTCATCAT</t>
  </si>
  <si>
    <t xml:space="preserve">tox3_B1_P2_01</t>
  </si>
  <si>
    <t xml:space="preserve">ATGACGGCGCTCCGCCGGGTGGAGCTAGAAGAGTCTTCCTTTACG</t>
  </si>
  <si>
    <t xml:space="preserve">Gene1	tox3_tsu_mab21_Gene1_B1_P1_1</t>
  </si>
  <si>
    <t xml:space="preserve">tox3_tsu_mab21_Gene1_B1_P2_1</t>
  </si>
  <si>
    <t xml:space="preserve">GTCCGTCTTGTGCTGGATTCATCAT</t>
  </si>
  <si>
    <t xml:space="preserve">ATGACGGCGCTCCGCCGGGTGGAGC</t>
  </si>
  <si>
    <t xml:space="preserve">tox3_tsu_mab21 probe list</t>
  </si>
  <si>
    <t xml:space="preserve">S057-02</t>
  </si>
  <si>
    <t xml:space="preserve">tox3_B1_P1_02</t>
  </si>
  <si>
    <t xml:space="preserve">GAGGAGGGCAGCAAACGGAAGCTGTGAGAGGTAACAGGCGTGTGT</t>
  </si>
  <si>
    <t xml:space="preserve">tox3_B1_P2_02</t>
  </si>
  <si>
    <t xml:space="preserve">GTAATTACCTGCTGGAGCTGCTGCATAGAAGAGTCTTCCTTTACG</t>
  </si>
  <si>
    <t xml:space="preserve">Gene1	tox3_tsu_mab21_Gene1_B1_P1_2</t>
  </si>
  <si>
    <t xml:space="preserve">tox3_tsu_mab21_Gene1_B1_P2_2</t>
  </si>
  <si>
    <t xml:space="preserve">GCTGTGAGAGGTAACAGGCGTGTGT</t>
  </si>
  <si>
    <t xml:space="preserve">GTAATTACCTGCTGGAGCTGCTGCA</t>
  </si>
  <si>
    <t xml:space="preserve">S057-03</t>
  </si>
  <si>
    <t xml:space="preserve">tox3_B1_P1_03</t>
  </si>
  <si>
    <t xml:space="preserve">GAGGAGGGCAGCAAACGGAAGTTGGCTGTAGCATAAGCAGTTGCT</t>
  </si>
  <si>
    <t xml:space="preserve">tox3_B1_P2_03</t>
  </si>
  <si>
    <t xml:space="preserve">GGTGTAGGTGGTCCACTCATCACTTTAGAAGAGTCTTCCTTTACG</t>
  </si>
  <si>
    <t xml:space="preserve">Gene1	tox3_tsu_mab21_Gene1_B1_P1_3</t>
  </si>
  <si>
    <t xml:space="preserve">tox3_tsu_mab21_Gene1_B1_P2_3</t>
  </si>
  <si>
    <t xml:space="preserve">GTTGGCTGTAGCATAAGCAGTTGCT</t>
  </si>
  <si>
    <t xml:space="preserve">GGTGTAGGTGGTCCACTCATCACTT</t>
  </si>
  <si>
    <t xml:space="preserve">S057-04</t>
  </si>
  <si>
    <t xml:space="preserve">tox3_B1_P1_04</t>
  </si>
  <si>
    <t xml:space="preserve">GAGGAGGGCAGCAAACGGAAGTGAGGCTCGTTGTGGCGAGCCGTA</t>
  </si>
  <si>
    <t xml:space="preserve">tox3_B1_P2_04</t>
  </si>
  <si>
    <t xml:space="preserve">CAGAATCATCACTGGTGGTGCCCGGTAGAAGAGTCTTCCTTTACG</t>
  </si>
  <si>
    <t xml:space="preserve">Gene1	tox3_tsu_mab21_Gene1_B1_P1_4; tox3_tsu_mab21_</t>
  </si>
  <si>
    <t xml:space="preserve">tox3_tsu_mab21_Gene1_B1_P2_4; tox3_tsu_mab21_</t>
  </si>
  <si>
    <t xml:space="preserve">GTGAGGCTCGTTGTGGCGAGCCGTA</t>
  </si>
  <si>
    <t xml:space="preserve">CAGAATCATCACTGGTGGTGCCCGG</t>
  </si>
  <si>
    <t xml:space="preserve">tox3_tsu_mab21 oPool</t>
  </si>
  <si>
    <t xml:space="preserve">S057-05</t>
  </si>
  <si>
    <t xml:space="preserve">tox3_B1_P1_05</t>
  </si>
  <si>
    <t xml:space="preserve">GAGGAGGGCAGCAAACGGAAAAGGCTTTCCGCATCACCAGGCAAC</t>
  </si>
  <si>
    <t xml:space="preserve">tox3_B1_P2_05</t>
  </si>
  <si>
    <t xml:space="preserve">GCTCGCTGAGCAATAATGGATTGGCTAGAAGAGTCTTCCTTTACG</t>
  </si>
  <si>
    <t xml:space="preserve">Gene1	tox3_tsu_mab21_Gene1_B1_P1_5; tox3_tsu_mab21_</t>
  </si>
  <si>
    <t xml:space="preserve">tox3_tsu_mab21_Gene1_B1_P2_5; tox3_tsu_mab21_</t>
  </si>
  <si>
    <t xml:space="preserve">AAGGCTTTCCGCATCACCAGGCAAC</t>
  </si>
  <si>
    <t xml:space="preserve">GCTCGCTGAGCAATAATGGATTGGC</t>
  </si>
  <si>
    <t xml:space="preserve">S057-06</t>
  </si>
  <si>
    <t xml:space="preserve">tox3_B1_P1_06</t>
  </si>
  <si>
    <t xml:space="preserve">GAGGAGGGCAGCAAACGGAATTCACTCCCATGTTGCTAACACCCA</t>
  </si>
  <si>
    <t xml:space="preserve">tox3_B1_P2_06</t>
  </si>
  <si>
    <t xml:space="preserve">TTGTCCATAGGTTCTGGGGACGACCTAGAAGAGTCTTCCTTTACG</t>
  </si>
  <si>
    <t xml:space="preserve">Gene1	tox3_tsu_mab21_Gene1_B1_P1_6; tox3_tsu_mab21_</t>
  </si>
  <si>
    <t xml:space="preserve">tox3_tsu_mab21_Gene1_B1_P2_6; tox3_tsu_mab21_</t>
  </si>
  <si>
    <t xml:space="preserve">TTCACTCCCATGTTGCTAACACCCA</t>
  </si>
  <si>
    <t xml:space="preserve">TTGTCCATAGGTTCTGGGGACGACC</t>
  </si>
  <si>
    <t xml:space="preserve">S057-07</t>
  </si>
  <si>
    <t xml:space="preserve">tox3_B1_P1_07</t>
  </si>
  <si>
    <t xml:space="preserve">GAGGAGGGCAGCAAACGGAAGTTTTTGTGGTTCATTTGGATCTCG</t>
  </si>
  <si>
    <t xml:space="preserve">tox3_B1_P2_07</t>
  </si>
  <si>
    <t xml:space="preserve">GGAAAAATAAGGCATATGCAGACACTAGAAGAGTCTTCCTTTACG</t>
  </si>
  <si>
    <t xml:space="preserve">Gene1	tox3_tsu_mab21_Gene1_B1_P1_7; tox3_tsu_mab21_</t>
  </si>
  <si>
    <t xml:space="preserve">tox3_tsu_mab21_Gene1_B1_P2_7; tox3_tsu_mab21_</t>
  </si>
  <si>
    <t xml:space="preserve">GTTTTTGTGGTTCATTTGGATCTCG</t>
  </si>
  <si>
    <t xml:space="preserve">GGAAAAATAAGGCATATGCAGACAC</t>
  </si>
  <si>
    <t xml:space="preserve">S057-08</t>
  </si>
  <si>
    <t xml:space="preserve">tox3_B1_P1_08</t>
  </si>
  <si>
    <t xml:space="preserve">GAGGAGGGCAGCAAACGGAACACTTCACCAAAACTTGCATTTGGA</t>
  </si>
  <si>
    <t xml:space="preserve">tox3_B1_P2_08</t>
  </si>
  <si>
    <t xml:space="preserve">ATCCCACATGGAAGCTACAATTTTGTAGAAGAGTCTTCCTTTACG</t>
  </si>
  <si>
    <t xml:space="preserve">Gene1	tox3_tsu_mab21_Gene1_B1_P1_8; tox3_tsu_mab21_</t>
  </si>
  <si>
    <t xml:space="preserve">tox3_tsu_mab21_Gene1_B1_P2_8; tox3_tsu_mab21_</t>
  </si>
  <si>
    <t xml:space="preserve">CACTTCACCAAAACTTGCATTTGGA</t>
  </si>
  <si>
    <t xml:space="preserve">ATCCCACATGGAAGCTACAATTTTG</t>
  </si>
  <si>
    <t xml:space="preserve">S057-09</t>
  </si>
  <si>
    <t xml:space="preserve">tox3_B1_P1_09</t>
  </si>
  <si>
    <t xml:space="preserve">GAGGAGGGCAGCAAACGGAAGCTGCCAGTGCCTTCAAATATTCTT</t>
  </si>
  <si>
    <t xml:space="preserve">tox3_B1_P2_09</t>
  </si>
  <si>
    <t xml:space="preserve">CCCTTTGATACTAAACTTGCTCTGTTAGAAGAGTCTTCCTTTACG</t>
  </si>
  <si>
    <t xml:space="preserve">Gene1	tox3_tsu_mab21_Gene1_B1_P1_9; tox3_tsu_mab21_</t>
  </si>
  <si>
    <t xml:space="preserve">tox3_tsu_mab21_Gene1_B1_P2_9; tox3_tsu_mab21_</t>
  </si>
  <si>
    <t xml:space="preserve">GCTGCCAGTGCCTTCAAATATTCTT</t>
  </si>
  <si>
    <t xml:space="preserve">CCCTTTGATACTAAACTTGCTCTGT</t>
  </si>
  <si>
    <t xml:space="preserve">S057-10</t>
  </si>
  <si>
    <t xml:space="preserve">tox3_B1_P1_10</t>
  </si>
  <si>
    <t xml:space="preserve">GAGGAGGGCAGCAAACGGAACGTTTCCATATGCTTGTCCTTGATA</t>
  </si>
  <si>
    <t xml:space="preserve">tox3_B1_P2_10</t>
  </si>
  <si>
    <t xml:space="preserve">TCGGAACATAGCCTTGAGGAGAGTGTAGAAGAGTCTTCCTTTACG</t>
  </si>
  <si>
    <t xml:space="preserve">Gene1	tox3_tsu_mab21_Gene1_B1_P1_10; tox3_tsu_mab21_</t>
  </si>
  <si>
    <t xml:space="preserve">tox3_tsu_mab21_Gene1_B1_P2_10; tox3_tsu_mab21_</t>
  </si>
  <si>
    <t xml:space="preserve">CGTTTCCATATGCTTGTCCTTGATA</t>
  </si>
  <si>
    <t xml:space="preserve">TCGGAACATAGCCTTGAGGAGAGTG</t>
  </si>
  <si>
    <t xml:space="preserve">S057-11</t>
  </si>
  <si>
    <t xml:space="preserve">tox3_B1_P1_11</t>
  </si>
  <si>
    <t xml:space="preserve">GAGGAGGGCAGCAAACGGAACTGAGACTGGCCACCTTGGAATCCC</t>
  </si>
  <si>
    <t xml:space="preserve">tox3_B1_P2_11</t>
  </si>
  <si>
    <t xml:space="preserve">TTGAGGAGGTGCTCCAGCATATGAATAGAAGAGTCTTCCTTTACG</t>
  </si>
  <si>
    <t xml:space="preserve">Gene1	tox3_tsu_mab21_Gene1_B1_P1_11; tox3_tsu_mab21_</t>
  </si>
  <si>
    <t xml:space="preserve">tox3_tsu_mab21_Gene1_B1_P2_11; tox3_tsu_mab21_</t>
  </si>
  <si>
    <t xml:space="preserve">CTGAGACTGGCCACCTTGGAATCCC</t>
  </si>
  <si>
    <t xml:space="preserve">TTGAGGAGGTGCTCCAGCATATGAA</t>
  </si>
  <si>
    <t xml:space="preserve">S057-12</t>
  </si>
  <si>
    <t xml:space="preserve">tox3_B1_P1_12</t>
  </si>
  <si>
    <t xml:space="preserve">GAGGAGGGCAGCAAACGGAACCCATATTTCCTTGATAGCTTTGCT</t>
  </si>
  <si>
    <t xml:space="preserve">tox3_B1_P2_12</t>
  </si>
  <si>
    <t xml:space="preserve">ACACCTTGATATGTCTGAGCATTGTTAGAAGAGTCTTCCTTTACG</t>
  </si>
  <si>
    <t xml:space="preserve">Gene1	tox3_tsu_mab21_Gene1_B1_P1_12; tox3_tsu_mab21_</t>
  </si>
  <si>
    <t xml:space="preserve">tox3_tsu_mab21_Gene1_B1_P2_12; tox3_tsu_mab21_</t>
  </si>
  <si>
    <t xml:space="preserve">CCCATATTTCCTTGATAGCTTTGCT</t>
  </si>
  <si>
    <t xml:space="preserve">ACACCTTGATATGTCTGAGCATTGT</t>
  </si>
  <si>
    <t xml:space="preserve">S057-13</t>
  </si>
  <si>
    <t xml:space="preserve">tox3_B1_P1_13</t>
  </si>
  <si>
    <t xml:space="preserve">GAGGAGGGCAGCAAACGGAAACTGCTGATTTGCTGCTGTGTTGAC</t>
  </si>
  <si>
    <t xml:space="preserve">tox3_B1_P2_13</t>
  </si>
  <si>
    <t xml:space="preserve">GTGACTGTGAAATATTGGGCTGACATAGAAGAGTCTTCCTTTACG</t>
  </si>
  <si>
    <t xml:space="preserve">Gene1	tox3_tsu_mab21_Gene1_B1_P1_13; tox3_tsu_mab21_</t>
  </si>
  <si>
    <t xml:space="preserve">tox3_tsu_mab21_Gene1_B1_P2_13; tox3_tsu_mab21_</t>
  </si>
  <si>
    <t xml:space="preserve">ACTGCTGATTTGCTGCTGTGTTGAC</t>
  </si>
  <si>
    <t xml:space="preserve">GTGACTGTGAAATATTGGGCTGACA</t>
  </si>
  <si>
    <t xml:space="preserve">S057-14</t>
  </si>
  <si>
    <t xml:space="preserve">tox3_B1_P1_14</t>
  </si>
  <si>
    <t xml:space="preserve">GAGGAGGGCAGCAAACGGAAGAGAGCCGAGTTTGCAGCATAGCTC</t>
  </si>
  <si>
    <t xml:space="preserve">tox3_B1_P2_14</t>
  </si>
  <si>
    <t xml:space="preserve">CACTTGTCTGTAGCCAGCAGGTGGTTAGAAGAGTCTTCCTTTACG</t>
  </si>
  <si>
    <t xml:space="preserve">Gene1	tox3_tsu_mab21_Gene1_B1_P1_14</t>
  </si>
  <si>
    <t xml:space="preserve">tox3_tsu_mab21_Gene1_B1_P2_14</t>
  </si>
  <si>
    <t xml:space="preserve">GAGAGCCGAGTTTGCAGCATAGCTC</t>
  </si>
  <si>
    <t xml:space="preserve">CACTTGTCTGTAGCCAGCAGGTGGT</t>
  </si>
  <si>
    <t xml:space="preserve">S057-15</t>
  </si>
  <si>
    <t xml:space="preserve">tox3_B1_P1_15</t>
  </si>
  <si>
    <t xml:space="preserve">GAGGAGGGCAGCAAACGGAAGAGTGATGGTATTGCATGGCATGAA</t>
  </si>
  <si>
    <t xml:space="preserve">tox3_B1_P2_15</t>
  </si>
  <si>
    <t xml:space="preserve">ACTTGGTGAGCTTGCTGCATCTGTTTAGAAGAGTCTTCCTTTACG</t>
  </si>
  <si>
    <t xml:space="preserve">Gene1	tox3_tsu_mab21_Gene1_B1_P1_15</t>
  </si>
  <si>
    <t xml:space="preserve">tox3_tsu_mab21_Gene1_B1_P2_15</t>
  </si>
  <si>
    <t xml:space="preserve">GAGTGATGGTATTGCATGGCATGAA</t>
  </si>
  <si>
    <t xml:space="preserve">ACTTGGTGAGCTTGCTGCATCTGTT</t>
  </si>
  <si>
    <t xml:space="preserve">S057-16</t>
  </si>
  <si>
    <t xml:space="preserve">tox3_B1_P1_16</t>
  </si>
  <si>
    <t xml:space="preserve">GAGGAGGGCAGCAAACGGAAGCTGTTGCTGTTGCTGGTGTTGGTG</t>
  </si>
  <si>
    <t xml:space="preserve">tox3_B1_P2_16</t>
  </si>
  <si>
    <t xml:space="preserve">GCTGGTGTTGCAGTTGCTGCTGCTGTAGAAGAGTCTTCCTTTACG</t>
  </si>
  <si>
    <t xml:space="preserve">Gene1	tox3_tsu_mab21_Gene1_B1_P1_16</t>
  </si>
  <si>
    <t xml:space="preserve">tox3_tsu_mab21_Gene1_B1_P2_16</t>
  </si>
  <si>
    <t xml:space="preserve">GCTGTTGCTGTTGCTGGTGTTGGTG</t>
  </si>
  <si>
    <t xml:space="preserve">GCTGGTGTTGCAGTTGCTGCTGCTG</t>
  </si>
  <si>
    <t xml:space="preserve">S057-17</t>
  </si>
  <si>
    <t xml:space="preserve">tox3_B1_P1_17</t>
  </si>
  <si>
    <t xml:space="preserve">GAGGAGGGCAGCAAACGGAAGTGCAGGTGGGGCTGCTGCGGTTGC</t>
  </si>
  <si>
    <t xml:space="preserve">tox3_B1_P2_17</t>
  </si>
  <si>
    <t xml:space="preserve">CTGTTGGCTCTGTTGCTGCGGCTGCTAGAAGAGTCTTCCTTTACG</t>
  </si>
  <si>
    <t xml:space="preserve">Gene1	tox3_tsu_mab21_Gene1_B1_P1_17</t>
  </si>
  <si>
    <t xml:space="preserve">tox3_tsu_mab21_Gene1_B1_P2_17</t>
  </si>
  <si>
    <t xml:space="preserve">GTGCAGGTGGGGCTGCTGCGGTTGC</t>
  </si>
  <si>
    <t xml:space="preserve">CTGTTGGCTCTGTTGCTGCGGCTGC</t>
  </si>
  <si>
    <t xml:space="preserve">S057-18</t>
  </si>
  <si>
    <t xml:space="preserve">tox3_B1_P1_18</t>
  </si>
  <si>
    <t xml:space="preserve">GAGGAGGGCAGCAAACGGAAGCTCATTGTTTATAGCAGGGTTCTG</t>
  </si>
  <si>
    <t xml:space="preserve">tox3_B1_P2_18</t>
  </si>
  <si>
    <t xml:space="preserve">CTGAATTACCATTGCTATTGGAAGGTAGAAGAGTCTTCCTTTACG</t>
  </si>
  <si>
    <t xml:space="preserve">Gene1	tox3_tsu_mab21_Gene1_B1_P1_18</t>
  </si>
  <si>
    <t xml:space="preserve">tox3_tsu_mab21_Gene1_B1_P2_18</t>
  </si>
  <si>
    <t xml:space="preserve">GCTCATTGTTTATAGCAGGGTTCTG</t>
  </si>
  <si>
    <t xml:space="preserve">CTGAATTACCATTGCTATTGGAAGG</t>
  </si>
  <si>
    <t xml:space="preserve">S057-19</t>
  </si>
  <si>
    <t xml:space="preserve">tox3_B1_P1_19</t>
  </si>
  <si>
    <t xml:space="preserve">GAGGAGGGCAGCAAACGGAAACATGACGGTGTACTTCGATTTTCG</t>
  </si>
  <si>
    <t xml:space="preserve">tox3_B1_P2_19</t>
  </si>
  <si>
    <t xml:space="preserve">AGCAGGATTGGTGCAGCCCTGGCGGTAGAAGAGTCTTCCTTTACG</t>
  </si>
  <si>
    <t xml:space="preserve">Gene1	tox3_tsu_mab21_Gene1_B1_P1_19</t>
  </si>
  <si>
    <t xml:space="preserve">tox3_tsu_mab21_Gene1_B1_P2_19</t>
  </si>
  <si>
    <t xml:space="preserve">ACATGACGGTGTACTTCGATTTTCG</t>
  </si>
  <si>
    <t xml:space="preserve">AGCAGGATTGGTGCAGCCCTGGCGG</t>
  </si>
  <si>
    <t xml:space="preserve">S057-20</t>
  </si>
  <si>
    <t xml:space="preserve">tox3_B1_P1_20</t>
  </si>
  <si>
    <t xml:space="preserve">GAGGAGGGCAGCAAACGGAACAGTGACTAACAACACATTCATTGG</t>
  </si>
  <si>
    <t xml:space="preserve">tox3_B1_P2_20</t>
  </si>
  <si>
    <t xml:space="preserve">GCCACCCAGGAGCTGAATACATCTCTAGAAGAGTCTTCCTTTACG</t>
  </si>
  <si>
    <t xml:space="preserve">Gene1	tox3_tsu_mab21_Gene1_B1_P1_20</t>
  </si>
  <si>
    <t xml:space="preserve">tox3_tsu_mab21_Gene1_B1_P2_20</t>
  </si>
  <si>
    <t xml:space="preserve">CAGTGACTAACAACACATTCATTGG</t>
  </si>
  <si>
    <t xml:space="preserve">GCCACCCAGGAGCTGAATACATCTC</t>
  </si>
  <si>
    <t xml:space="preserve">S058-01</t>
  </si>
  <si>
    <t xml:space="preserve">trachealess_B1_P1_01</t>
  </si>
  <si>
    <t xml:space="preserve">GAGGAGGGCAGCAAACGGAAATGCGGCATCATGCTATGCATGCCA</t>
  </si>
  <si>
    <t xml:space="preserve">trachealess_B1_P2_01</t>
  </si>
  <si>
    <t xml:space="preserve">CGGCACGGGCGCAGCATGTGCATAGTAGAAGAGTCTTCCTTTACG</t>
  </si>
  <si>
    <t xml:space="preserve">trachealess_B1_P1_1</t>
  </si>
  <si>
    <t xml:space="preserve">trachealess_B1_P2_1</t>
  </si>
  <si>
    <t xml:space="preserve">ATGCGGCATCATGCTATGCATGCCA</t>
  </si>
  <si>
    <t xml:space="preserve">CGGCACGGGCGCAGCATGTGCATAG</t>
  </si>
  <si>
    <t xml:space="preserve">S058-02</t>
  </si>
  <si>
    <t xml:space="preserve">trachealess_B1_P1_02</t>
  </si>
  <si>
    <t xml:space="preserve">GAGGAGGGCAGCAAACGGAAGCCTCGTCTCTATACCGGTAGTAAG</t>
  </si>
  <si>
    <t xml:space="preserve">trachealess_B1_P2_02</t>
  </si>
  <si>
    <t xml:space="preserve">GACGGTTTTCTGTCAGACCAGCACATAGAAGAGTCTTCCTTTACG</t>
  </si>
  <si>
    <t xml:space="preserve">trachealess_B1_P1_2</t>
  </si>
  <si>
    <t xml:space="preserve">trachealess_B1_P2_2</t>
  </si>
  <si>
    <t xml:space="preserve">GCCTCGTCTCTATACCGGTAGTAAG</t>
  </si>
  <si>
    <t xml:space="preserve">GACGGTTTTCTGTCAGACCAGCACA</t>
  </si>
  <si>
    <t xml:space="preserve">S058-03</t>
  </si>
  <si>
    <t xml:space="preserve">trachealess_B1_P1_03</t>
  </si>
  <si>
    <t xml:space="preserve">GAGGAGGGCAGCAAACGGAACTGGGGCATAGTATCGACTGTTTAC</t>
  </si>
  <si>
    <t xml:space="preserve">trachealess_B1_P2_03</t>
  </si>
  <si>
    <t xml:space="preserve">CTTTCCGTAGCTCGAGGATGCAGTTTAGAAGAGTCTTCCTTTACG</t>
  </si>
  <si>
    <t xml:space="preserve">trachealess_B1_P1_3</t>
  </si>
  <si>
    <t xml:space="preserve">trachealess_B1_P2_3</t>
  </si>
  <si>
    <t xml:space="preserve">CTGGGGCATAGTATCGACTGTTTAC</t>
  </si>
  <si>
    <t xml:space="preserve">CTTTCCGTAGCTCGAGGATGCAGTT</t>
  </si>
  <si>
    <t xml:space="preserve">S058-04</t>
  </si>
  <si>
    <t xml:space="preserve">trachealess_B1_P1_04</t>
  </si>
  <si>
    <t xml:space="preserve">GAGGAGGGCAGCAAACGGAAGAACTCGTAGTTCTCTTTCCCACGC</t>
  </si>
  <si>
    <t xml:space="preserve">trachealess_B1_P2_04</t>
  </si>
  <si>
    <t xml:space="preserve">TAAGGGCAACATCTTCGCTAGCTCGTAGAAGAGTCTTCCTTTACG</t>
  </si>
  <si>
    <t xml:space="preserve">trachealess_B1_P1_4</t>
  </si>
  <si>
    <t xml:space="preserve">trachealess_B1_P2_4</t>
  </si>
  <si>
    <t xml:space="preserve">GAACTCGTAGTTCTCTTTCCCACGC</t>
  </si>
  <si>
    <t xml:space="preserve">TAAGGGCAACATCTTCGCTAGCTCG</t>
  </si>
  <si>
    <t xml:space="preserve">S058-05</t>
  </si>
  <si>
    <t xml:space="preserve">trachealess_B1_P1_05</t>
  </si>
  <si>
    <t xml:space="preserve">GAGGAGGGCAGCAAACGGAAATGGTCAGCCTTATGATCGAAGCCT</t>
  </si>
  <si>
    <t xml:space="preserve">trachealess_B1_P2_05</t>
  </si>
  <si>
    <t xml:space="preserve">GCGAAGTCTCTTAGTTTGAGGTAGCTAGAAGAGTCTTCCTTTACG</t>
  </si>
  <si>
    <t xml:space="preserve">trachealess_B1_P1_5</t>
  </si>
  <si>
    <t xml:space="preserve">trachealess_B1_P2_5</t>
  </si>
  <si>
    <t xml:space="preserve">ATGGTCAGCCTTATGATCGAAGCCT</t>
  </si>
  <si>
    <t xml:space="preserve">GCGAAGTCTCTTAGTTTGAGGTAGC</t>
  </si>
  <si>
    <t xml:space="preserve">S058-06</t>
  </si>
  <si>
    <t xml:space="preserve">trachealess_B1_P1_06</t>
  </si>
  <si>
    <t xml:space="preserve">GAGGAGGGCAGCAAACGGAACACCTTTTAAAGCTTTACTAGAGGG</t>
  </si>
  <si>
    <t xml:space="preserve">trachealess_B1_P2_06</t>
  </si>
  <si>
    <t xml:space="preserve">GACTTGCAGATGTCCGCCTGTTCTGTAGAAGAGTCTTCCTTTACG</t>
  </si>
  <si>
    <t xml:space="preserve">trachealess_B1_P1_6</t>
  </si>
  <si>
    <t xml:space="preserve">trachealess_B1_P2_6</t>
  </si>
  <si>
    <t xml:space="preserve">CACCTTTTAAAGCTTTACTAGAGGG</t>
  </si>
  <si>
    <t xml:space="preserve">GACTTGCAGATGTCCGCCTGTTCTG</t>
  </si>
  <si>
    <t xml:space="preserve">S058-07</t>
  </si>
  <si>
    <t xml:space="preserve">trachealess_B1_P1_07</t>
  </si>
  <si>
    <t xml:space="preserve">GAGGAGGGCAGCAAACGGAAGAGAGACTGAAGGATATGCGTGCCC</t>
  </si>
  <si>
    <t xml:space="preserve">trachealess_B1_P2_07</t>
  </si>
  <si>
    <t xml:space="preserve">CGCCGCCACAGAGAGAGCGAACCCGTAGAAGAGTCTTCCTTTACG</t>
  </si>
  <si>
    <t xml:space="preserve">trachealess_B1_P1_7</t>
  </si>
  <si>
    <t xml:space="preserve">trachealess_B1_P2_7</t>
  </si>
  <si>
    <t xml:space="preserve">GAGAGACTGAAGGATATGCGTGCCC</t>
  </si>
  <si>
    <t xml:space="preserve">CGCCGCCACAGAGAGAGCGAACCCG</t>
  </si>
  <si>
    <t xml:space="preserve">S058-08</t>
  </si>
  <si>
    <t xml:space="preserve">trachealess_B1_P1_08</t>
  </si>
  <si>
    <t xml:space="preserve">GAGGAGGGCAGCAAACGGAAGTCATTTCTACTTGTGATAGCCCTA</t>
  </si>
  <si>
    <t xml:space="preserve">trachealess_B1_P2_08</t>
  </si>
  <si>
    <t xml:space="preserve">TGGACATAGTCGAATATACTACTGCTAGAAGAGTCTTCCTTTACG</t>
  </si>
  <si>
    <t xml:space="preserve">trachealess_B1_P1_8</t>
  </si>
  <si>
    <t xml:space="preserve">trachealess_B1_P2_8</t>
  </si>
  <si>
    <t xml:space="preserve">GTCATTTCTACTTGTGATAGCCCTA</t>
  </si>
  <si>
    <t xml:space="preserve">TGGACATAGTCGAATATACTACTGC</t>
  </si>
  <si>
    <t xml:space="preserve">S058-09</t>
  </si>
  <si>
    <t xml:space="preserve">trachealess_B1_P1_09</t>
  </si>
  <si>
    <t xml:space="preserve">GAGGAGGGCAGCAAACGGAATGCCTGCTAAGGACAGGCCCAGTTG</t>
  </si>
  <si>
    <t xml:space="preserve">trachealess_B1_P2_09</t>
  </si>
  <si>
    <t xml:space="preserve">GACTGTTGAGTCCGGTGCCCCCGGATAGAAGAGTCTTCCTTTACG</t>
  </si>
  <si>
    <t xml:space="preserve">trachealess_B1_P1_9</t>
  </si>
  <si>
    <t xml:space="preserve">trachealess_B1_P2_9</t>
  </si>
  <si>
    <t xml:space="preserve">TGCCTGCTAAGGACAGGCCCAGTTG</t>
  </si>
  <si>
    <t xml:space="preserve">GACTGTTGAGTCCGGTGCCCCCGGA</t>
  </si>
  <si>
    <t xml:space="preserve">S058-10</t>
  </si>
  <si>
    <t xml:space="preserve">trachealess_B1_P1_10</t>
  </si>
  <si>
    <t xml:space="preserve">GAGGAGGGCAGCAAACGGAATACGTCAGGATTATTCGTCCCATGC</t>
  </si>
  <si>
    <t xml:space="preserve">trachealess_B1_P2_10</t>
  </si>
  <si>
    <t xml:space="preserve">GCTCGCTGCTAACGTCATTTGTGCTTAGAAGAGTCTTCCTTTACG</t>
  </si>
  <si>
    <t xml:space="preserve">TACGTCAGGATTATTCGTCCCATGC</t>
  </si>
  <si>
    <t xml:space="preserve">GCTCGCTGCTAACGTCATTTGTGCT</t>
  </si>
  <si>
    <t xml:space="preserve">S058-11</t>
  </si>
  <si>
    <t xml:space="preserve">trachealess_B1_P1_11</t>
  </si>
  <si>
    <t xml:space="preserve">GAGGAGGGCAGCAAACGGAAGTGCTCTTCATCCTGATGCAGAAGG</t>
  </si>
  <si>
    <t xml:space="preserve">trachealess_B1_P2_11</t>
  </si>
  <si>
    <t xml:space="preserve">TTGAAATGGCAGCCCCTCTTCGTGATAGAAGAGTCTTCCTTTACG</t>
  </si>
  <si>
    <t xml:space="preserve">GTGCTCTTCATCCTGATGCAGAAGG</t>
  </si>
  <si>
    <t xml:space="preserve">TTGAAATGGCAGCCCCTCTTCGTGA</t>
  </si>
  <si>
    <t xml:space="preserve">trachealess sheet</t>
  </si>
  <si>
    <t xml:space="preserve">S058-12</t>
  </si>
  <si>
    <t xml:space="preserve">trachealess_B1_P1_12</t>
  </si>
  <si>
    <t xml:space="preserve">GAGGAGGGCAGCAAACGGAAAATACTGCGGCCGTAGACGGCATAA</t>
  </si>
  <si>
    <t xml:space="preserve">trachealess_B1_P2_12</t>
  </si>
  <si>
    <t xml:space="preserve">GCGGTGTCTTGCGACTGTGTGAGAATAGAAGAGTCTTCCTTTACG</t>
  </si>
  <si>
    <t xml:space="preserve">AATACTGCGGCCGTAGACGGCATAA</t>
  </si>
  <si>
    <t xml:space="preserve">GCGGTGTCTTGCGACTGTGTGAGAA</t>
  </si>
  <si>
    <t xml:space="preserve">S058-13</t>
  </si>
  <si>
    <t xml:space="preserve">trachealess_B1_P1_13</t>
  </si>
  <si>
    <t xml:space="preserve">GAGGAGGGCAGCAAACGGAACACTGATGGCGGTGGTAGAGCTATC</t>
  </si>
  <si>
    <t xml:space="preserve">trachealess_B1_P2_13</t>
  </si>
  <si>
    <t xml:space="preserve">CATGTCCGACTCTAGCCTGATCTCGTAGAAGAGTCTTCCTTTACG</t>
  </si>
  <si>
    <t xml:space="preserve">CACTGATGGCGGTGGTAGAGCTATC</t>
  </si>
  <si>
    <t xml:space="preserve">CATGTCCGACTCTAGCCTGATCTCG</t>
  </si>
  <si>
    <t xml:space="preserve">S058-14</t>
  </si>
  <si>
    <t xml:space="preserve">trachealess_B1_P1_14</t>
  </si>
  <si>
    <t xml:space="preserve">GAGGAGGGCAGCAAACGGAAACCCTGGGCTCGCAATGCGCTATTC</t>
  </si>
  <si>
    <t xml:space="preserve">trachealess_B1_P2_14</t>
  </si>
  <si>
    <t xml:space="preserve">TCGGCGGTGTATCCCAGTAGCTCTGTAGAAGAGTCTTCCTTTACG</t>
  </si>
  <si>
    <t xml:space="preserve">ACCCTGGGCTCGCAATGCGCTATTC</t>
  </si>
  <si>
    <t xml:space="preserve">TCGGCGGTGTATCCCAGTAGCTCTG</t>
  </si>
  <si>
    <t xml:space="preserve">S058-15</t>
  </si>
  <si>
    <t xml:space="preserve">trachealess_B1_P1_15</t>
  </si>
  <si>
    <t xml:space="preserve">GAGGAGGGCAGCAAACGGAATTCTAAGCTTGTTCGCGTCTTCTCC</t>
  </si>
  <si>
    <t xml:space="preserve">trachealess_B1_P2_15</t>
  </si>
  <si>
    <t xml:space="preserve">CCTTGTTTATCAGATCTACGTGACATAGAAGAGTCTTCCTTTACG</t>
  </si>
  <si>
    <t xml:space="preserve">TTCTAAGCTTGTTCGCGTCTTCTCC</t>
  </si>
  <si>
    <t xml:space="preserve">CCTTGTTTATCAGATCTACGTGACA</t>
  </si>
  <si>
    <t xml:space="preserve">S058-16</t>
  </si>
  <si>
    <t xml:space="preserve">trachealess_B1_P1_16</t>
  </si>
  <si>
    <t xml:space="preserve">GAGGAGGGCAGCAAACGGAAGGTATAGCCGCCAAGTTTGTTCATC</t>
  </si>
  <si>
    <t xml:space="preserve">trachealess_B1_P2_16</t>
  </si>
  <si>
    <t xml:space="preserve">GATGACGGTTGCACAAGTCTGCATCTAGAAGAGTCTTCCTTTACG</t>
  </si>
  <si>
    <t xml:space="preserve">GGTATAGCCGCCAAGTTTGTTCATC</t>
  </si>
  <si>
    <t xml:space="preserve">GATGACGGTTGCACAAGTCTGCATC</t>
  </si>
  <si>
    <t xml:space="preserve">S058-17</t>
  </si>
  <si>
    <t xml:space="preserve">trachealess_B1_P1_17</t>
  </si>
  <si>
    <t xml:space="preserve">GAGGAGGGCAGCAAACGGAAGCCACTGATAACATAATTGACGCAA</t>
  </si>
  <si>
    <t xml:space="preserve">trachealess_B1_P2_17</t>
  </si>
  <si>
    <t xml:space="preserve">GTCCATCACCGTGTTTGGGTATTCTTAGAAGAGTCTTCCTTTACG</t>
  </si>
  <si>
    <t xml:space="preserve">GCCACTGATAACATAATTGACGCAA</t>
  </si>
  <si>
    <t xml:space="preserve">GTCCATCACCGTGTTTGGGTATTCT</t>
  </si>
  <si>
    <t xml:space="preserve">S058-18</t>
  </si>
  <si>
    <t xml:space="preserve">trachealess_B1_P1_18</t>
  </si>
  <si>
    <t xml:space="preserve">GAGGAGGGCAGCAAACGGAACCTGTGGTTTCCTCTCTCTTCACTC</t>
  </si>
  <si>
    <t xml:space="preserve">trachealess_B1_P2_18</t>
  </si>
  <si>
    <t xml:space="preserve">GCGTCCGGTGGGCCATTTTCTGGATTAGAAGAGTCTTCCTTTACG</t>
  </si>
  <si>
    <t xml:space="preserve">CCTGTGGTTTCCTCTCTCTTCACTC</t>
  </si>
  <si>
    <t xml:space="preserve">GCGTCCGGTGGGCCATTTTCTGGAT</t>
  </si>
  <si>
    <t xml:space="preserve">S058-19</t>
  </si>
  <si>
    <t xml:space="preserve">trachealess_B1_P1_19</t>
  </si>
  <si>
    <t xml:space="preserve">GAGGAGGGCAGCAAACGGAACAGTTCTTTCAGCAGTGTGTCTTGC</t>
  </si>
  <si>
    <t xml:space="preserve">trachealess_B1_P2_19</t>
  </si>
  <si>
    <t xml:space="preserve">AGGCTGAGTCTGTATTTGCAGGTGCTAGAAGAGTCTTCCTTTACG</t>
  </si>
  <si>
    <t xml:space="preserve">CAGTTCTTTCAGCAGTGTGTCTTGC</t>
  </si>
  <si>
    <t xml:space="preserve">AGGCTGAGTCTGTATTTGCAGGTGC</t>
  </si>
  <si>
    <t xml:space="preserve">S058-20</t>
  </si>
  <si>
    <t xml:space="preserve">trachealess_B1_P1_20</t>
  </si>
  <si>
    <t xml:space="preserve">GAGGAGGGCAGCAAACGGAAGCGAGTCACTTAGTCTTGTTAAATG</t>
  </si>
  <si>
    <t xml:space="preserve">trachealess_B1_P2_20</t>
  </si>
  <si>
    <t xml:space="preserve">CTTGGGTTGCATTTAGTGATATAGGTAGAAGAGTCTTCCTTTACG</t>
  </si>
  <si>
    <t xml:space="preserve">GCGAGTCACTTAGTCTTGTTAAATG</t>
  </si>
  <si>
    <t xml:space="preserve">CTTGGGTTGCATTTAGTGATATAGG</t>
  </si>
  <si>
    <t xml:space="preserve">S058-21</t>
  </si>
  <si>
    <t xml:space="preserve">trachealess_B1_P1_21</t>
  </si>
  <si>
    <t xml:space="preserve">GAGGAGGGCAGCAAACGGAATGTGGTATGTTTCCGTTTCTTCATC</t>
  </si>
  <si>
    <t xml:space="preserve">trachealess_B1_P2_21</t>
  </si>
  <si>
    <t xml:space="preserve">CTCTCTTTCTGGATCTTCCTCGCAGTAGAAGAGTCTTCCTTTACG</t>
  </si>
  <si>
    <t xml:space="preserve">TGTGGTATGTTTCCGTTTCTTCATC</t>
  </si>
  <si>
    <t xml:space="preserve">CTCTCTTTCTGGATCTTCCTCGCAG</t>
  </si>
  <si>
    <t xml:space="preserve">S058-22</t>
  </si>
  <si>
    <t xml:space="preserve">trachealess_B1_P1_22</t>
  </si>
  <si>
    <t xml:space="preserve">GAGGAGGGCAGCAAACGGAATAGTTTTAGTCATGTCCCGTTCTGT</t>
  </si>
  <si>
    <t xml:space="preserve">trachealess_B1_P2_22</t>
  </si>
  <si>
    <t xml:space="preserve">CATCAGATGTTTCTGGAATTGCTAGTAGAAGAGTCTTCCTTTACG</t>
  </si>
  <si>
    <t xml:space="preserve">TAGTTTTAGTCATGTCCCGTTCTGT</t>
  </si>
  <si>
    <t xml:space="preserve">CATCAGATGTTTCTGGAATTGCTAG</t>
  </si>
  <si>
    <t xml:space="preserve">S058-23</t>
  </si>
  <si>
    <t xml:space="preserve">trachealess_B1_P1_23</t>
  </si>
  <si>
    <t xml:space="preserve">GAGGAGGGCAGCAAACGGAACTAACGATGGCAAATGTTTGGACAT</t>
  </si>
  <si>
    <t xml:space="preserve">trachealess_B1_P2_23</t>
  </si>
  <si>
    <t xml:space="preserve">TAGGCCGATGAGATATCTCCTTCCCTAGAAGAGTCTTCCTTTACG</t>
  </si>
  <si>
    <t xml:space="preserve">CTAACGATGGCAAATGTTTGGACAT</t>
  </si>
  <si>
    <t xml:space="preserve">TAGGCCGATGAGATATCTCCTTCCC</t>
  </si>
  <si>
    <t xml:space="preserve">S058-24</t>
  </si>
  <si>
    <t xml:space="preserve">trachealess_B1_P1_24</t>
  </si>
  <si>
    <t xml:space="preserve">GAGGAGGGCAGCAAACGGAATTGCGTGCCGATCCATTGAATAGTA</t>
  </si>
  <si>
    <t xml:space="preserve">trachealess_B1_P2_24</t>
  </si>
  <si>
    <t xml:space="preserve">GCGATTCAAATGATTCAAGTGATGGTAGAAGAGTCTTCCTTTACG</t>
  </si>
  <si>
    <t xml:space="preserve">TTGCGTGCCGATCCATTGAATAGTA</t>
  </si>
  <si>
    <t xml:space="preserve">GCGATTCAAATGATTCAAGTGATGG</t>
  </si>
  <si>
    <t xml:space="preserve">S058-25</t>
  </si>
  <si>
    <t xml:space="preserve">trachealess_B1_P1_25</t>
  </si>
  <si>
    <t xml:space="preserve">GAGGAGGGCAGCAAACGGAAAGTTGCCTTAACAATGCTGAAGCGG</t>
  </si>
  <si>
    <t xml:space="preserve">trachealess_B1_P2_25</t>
  </si>
  <si>
    <t xml:space="preserve">CTAATAACGCTTTCTCGACTCGCGTTAGAAGAGTCTTCCTTTACG</t>
  </si>
  <si>
    <t xml:space="preserve">AGTTGCCTTAACAATGCTGAAGCGG</t>
  </si>
  <si>
    <t xml:space="preserve">CTAATAACGCTTTCTCGACTCGCGT</t>
  </si>
  <si>
    <t xml:space="preserve">S058-26</t>
  </si>
  <si>
    <t xml:space="preserve">trachealess_B1_P1_26</t>
  </si>
  <si>
    <t xml:space="preserve">GAGGAGGGCAGCAAACGGAAGTCCAGATTGACCATCACTTGAGTA</t>
  </si>
  <si>
    <t xml:space="preserve">trachealess_B1_P2_26</t>
  </si>
  <si>
    <t xml:space="preserve">CTTCGCTGCCGGGAGGCGTGGGTAGTAGAAGAGTCTTCCTTTACG</t>
  </si>
  <si>
    <t xml:space="preserve">GTCCAGATTGACCATCACTTGAGTA</t>
  </si>
  <si>
    <t xml:space="preserve">CTTCGCTGCCGGGAGGCGTGGGTAG</t>
  </si>
  <si>
    <t xml:space="preserve">S058-27</t>
  </si>
  <si>
    <t xml:space="preserve">trachealess_B1_P1_27</t>
  </si>
  <si>
    <t xml:space="preserve">GAGGAGGGCAGCAAACGGAAGGTAAGGAACTAATATCTGTGCCTT</t>
  </si>
  <si>
    <t xml:space="preserve">trachealess_B1_P2_27</t>
  </si>
  <si>
    <t xml:space="preserve">GGATGATAGTCTGCATACGGTCCGTTAGAAGAGTCTTCCTTTACG</t>
  </si>
  <si>
    <t xml:space="preserve">GGTAAGGAACTAATATCTGTGCCTT</t>
  </si>
  <si>
    <t xml:space="preserve">GGATGATAGTCTGCATACGGTCCGT</t>
  </si>
  <si>
    <t xml:space="preserve">S058-28</t>
  </si>
  <si>
    <t xml:space="preserve">trachealess_B1_P1_28</t>
  </si>
  <si>
    <t xml:space="preserve">GAGGAGGGCAGCAAACGGAAACTGTTATCGTATGGCAAAGGGTAT</t>
  </si>
  <si>
    <t xml:space="preserve">trachealess_B1_P2_28</t>
  </si>
  <si>
    <t xml:space="preserve">GGAGTGCCTTATTGCTTCTGAATAATAGAAGAGTCTTCCTTTACG</t>
  </si>
  <si>
    <t xml:space="preserve">ACTGTTATCGTATGGCAAAGGGTAT</t>
  </si>
  <si>
    <t xml:space="preserve">GGAGTGCCTTATTGCTTCTGAATAA</t>
  </si>
  <si>
    <t xml:space="preserve">S058-29</t>
  </si>
  <si>
    <t xml:space="preserve">trachealess_B1_P1_29</t>
  </si>
  <si>
    <t xml:space="preserve">GAGGAGGGCAGCAAACGGAACCAGGCACCGCTGAGTACGCTTGAG</t>
  </si>
  <si>
    <t xml:space="preserve">trachealess_B1_P2_29</t>
  </si>
  <si>
    <t xml:space="preserve">TCTATAGATGACGCGTAGTCAAGAGTAGAAGAGTCTTCCTTTACG</t>
  </si>
  <si>
    <t xml:space="preserve">CCAGGCACCGCTGAGTACGCTTGAG</t>
  </si>
  <si>
    <t xml:space="preserve">TCTATAGATGACGCGTAGTCAAGAG</t>
  </si>
  <si>
    <t xml:space="preserve">S058-30</t>
  </si>
  <si>
    <t xml:space="preserve">trachealess_B1_P1_30</t>
  </si>
  <si>
    <t xml:space="preserve">GAGGAGGGCAGCAAACGGAACTTGTGGGTGATAGAGATGAAAAGA</t>
  </si>
  <si>
    <t xml:space="preserve">trachealess_B1_P2_30</t>
  </si>
  <si>
    <t xml:space="preserve">GCGAGTGAGACGCATGAGCGGAATGTAGAAGAGTCTTCCTTTACG</t>
  </si>
  <si>
    <t xml:space="preserve">CTTGTGGGTGATAGAGATGAAAAGA</t>
  </si>
  <si>
    <t xml:space="preserve">GCGAGTGAGACGCATGAGCGGAATG</t>
  </si>
  <si>
    <t xml:space="preserve">S059-01</t>
  </si>
  <si>
    <t xml:space="preserve">vermilion_B1_P1_01</t>
  </si>
  <si>
    <t xml:space="preserve">GAGGAGGGCAGCAAACGGAAATCTTGGGCCGAGTCATCTGTCACC</t>
  </si>
  <si>
    <t xml:space="preserve">vermilion_B1_P2_01</t>
  </si>
  <si>
    <t xml:space="preserve">ACCAGCCTCGTTGCCCAGGTGGTCATAGAAGAGTCTTCCTTTACG</t>
  </si>
  <si>
    <t xml:space="preserve">vrm1_HCR_P1B1</t>
  </si>
  <si>
    <t xml:space="preserve">vrm1_HCR_P2B1</t>
  </si>
  <si>
    <t xml:space="preserve">ATCTTGGGCCGAGTCATCTGTCACC</t>
  </si>
  <si>
    <t xml:space="preserve">ACCAGCCTCGTTGCCCAGGTGGTCA</t>
  </si>
  <si>
    <t xml:space="preserve">S059-02</t>
  </si>
  <si>
    <t xml:space="preserve">vermilion_B1_P1_02</t>
  </si>
  <si>
    <t xml:space="preserve">GAGGAGGGCAGCAAACGGAAGAGCAATTTGTCCAGCATCAGGTAT</t>
  </si>
  <si>
    <t xml:space="preserve">vermilion_B1_P2_02</t>
  </si>
  <si>
    <t xml:space="preserve">CTCAGCGCTGAGCATCCTCTGAGCATAGAAGAGTCTTCCTTTACG</t>
  </si>
  <si>
    <t xml:space="preserve">vrm2_HCR_P1B1</t>
  </si>
  <si>
    <t xml:space="preserve">vrm2_HCR_P2B1</t>
  </si>
  <si>
    <t xml:space="preserve">GAGCAATTTGTCCAGCATCAGGTAT</t>
  </si>
  <si>
    <t xml:space="preserve">CTCAGCGCTGAGCATCCTCTGAGCA</t>
  </si>
  <si>
    <t xml:space="preserve">S059-03</t>
  </si>
  <si>
    <t xml:space="preserve">vermilion_B1_P1_03</t>
  </si>
  <si>
    <t xml:space="preserve">GAGGAGGGCAGCAAACGGAAAGCAGAGTCCTCACCGAGTCCACTT</t>
  </si>
  <si>
    <t xml:space="preserve">vermilion_B1_P2_03</t>
  </si>
  <si>
    <t xml:space="preserve">TGACTCTCATCTAGACCTTCCACGTTAGAAGAGTCTTCCTTTACG</t>
  </si>
  <si>
    <t xml:space="preserve">vrm3_HCR_P1B1</t>
  </si>
  <si>
    <t xml:space="preserve">vrm3_HCR_P2B1</t>
  </si>
  <si>
    <t xml:space="preserve">AGCAGAGTCCTCACCGAGTCCACTT</t>
  </si>
  <si>
    <t xml:space="preserve">TGACTCTCATCTAGACCTTCCACGT</t>
  </si>
  <si>
    <t xml:space="preserve">S059-04</t>
  </si>
  <si>
    <t xml:space="preserve">vermilion_B1_P1_04</t>
  </si>
  <si>
    <t xml:space="preserve">GAGGAGGGCAGCAAACGGAAGTACAACTCTGTTTAGCCTCTTCAA</t>
  </si>
  <si>
    <t xml:space="preserve">vermilion_B1_P2_04</t>
  </si>
  <si>
    <t xml:space="preserve">CCTGGTCCACTAGAAGCTTGAGAATTAGAAGAGTCTTCCTTTACG</t>
  </si>
  <si>
    <t xml:space="preserve">vrm4_HCR_P1B1</t>
  </si>
  <si>
    <t xml:space="preserve">vrm4_HCR_P2B1</t>
  </si>
  <si>
    <t xml:space="preserve">GTACAACTCTGTTTAGCCTCTTCAA</t>
  </si>
  <si>
    <t xml:space="preserve">CCTGGTCCACTAGAAGCTTGAGAAT</t>
  </si>
  <si>
    <t xml:space="preserve">S059-05</t>
  </si>
  <si>
    <t xml:space="preserve">vermilion_B1_P1_05</t>
  </si>
  <si>
    <t xml:space="preserve">GAGGAGGGCAGCAAACGGAACTTATTCTCCAAAAGTCGGAACTGT</t>
  </si>
  <si>
    <t xml:space="preserve">vermilion_B1_P2_05</t>
  </si>
  <si>
    <t xml:space="preserve">CACCCGTAGAGCTTGTTTTAAACCGTAGAAGAGTCTTCCTTTACG</t>
  </si>
  <si>
    <t xml:space="preserve">vrm5_HCR_P1B1</t>
  </si>
  <si>
    <t xml:space="preserve">vrm5_HCR_P2B1</t>
  </si>
  <si>
    <t xml:space="preserve">CTTATTCTCCAAAAGTCGGAACTGT</t>
  </si>
  <si>
    <t xml:space="preserve">CACCCGTAGAGCTTGTTTTAAACCG</t>
  </si>
  <si>
    <t xml:space="preserve">S059-06</t>
  </si>
  <si>
    <t xml:space="preserve">vermilion_B1_P1_06</t>
  </si>
  <si>
    <t xml:space="preserve">GAGGAGGGCAGCAAACGGAAATCGTCACCGAATACAGTTTGATAG</t>
  </si>
  <si>
    <t xml:space="preserve">vermilion_B1_P2_06</t>
  </si>
  <si>
    <t xml:space="preserve">TTTATGTAAAGAGTCCATAGCTTCTTAGAAGAGTCTTCCTTTACG</t>
  </si>
  <si>
    <t xml:space="preserve">vrm6_HCR_P1B1</t>
  </si>
  <si>
    <t xml:space="preserve">vrm6_HCR_P2B1</t>
  </si>
  <si>
    <t xml:space="preserve">ATCGTCACCGAATACAGTTTGATAG</t>
  </si>
  <si>
    <t xml:space="preserve">TTTATGTAAAGAGTCCATAGCTTCT</t>
  </si>
  <si>
    <t xml:space="preserve">S059-07</t>
  </si>
  <si>
    <t xml:space="preserve">vermilion_B1_P1_07</t>
  </si>
  <si>
    <t xml:space="preserve">GAGGAGGGCAGCAAACGGAAACTGCAGCCTGGAATTTGCCCCAAA</t>
  </si>
  <si>
    <t xml:space="preserve">vermilion_B1_P2_07</t>
  </si>
  <si>
    <t xml:space="preserve">TCAACAGATTCCCTGATCATTTTGTTAGAAGAGTCTTCCTTTACG</t>
  </si>
  <si>
    <t xml:space="preserve">vrm7_HCR_P1B1</t>
  </si>
  <si>
    <t xml:space="preserve">vrm7_HCR_P2B1</t>
  </si>
  <si>
    <t xml:space="preserve">ACTGCAGCCTGGAATTTGCCCCAAA</t>
  </si>
  <si>
    <t xml:space="preserve">TCAACAGATTCCCTGATCATTTTGT</t>
  </si>
  <si>
    <t xml:space="preserve">S059-08</t>
  </si>
  <si>
    <t xml:space="preserve">vermilion_B1_P1_08</t>
  </si>
  <si>
    <t xml:space="preserve">GAGGAGGGCAGCAAACGGAATGGCGACGAACCGTTTCGTTTGGTT</t>
  </si>
  <si>
    <t xml:space="preserve">vermilion_B1_P2_08</t>
  </si>
  <si>
    <t xml:space="preserve">CGTCGGTTCTCCGCGTCTTGCAGACTAGAAGAGTCTTCCTTTACG</t>
  </si>
  <si>
    <t xml:space="preserve">vrm8_HCR_P1B1</t>
  </si>
  <si>
    <t xml:space="preserve">vrm8_HCR_P2B1</t>
  </si>
  <si>
    <t xml:space="preserve">TGGCGACGAACCGTTTCGTTTGGTT</t>
  </si>
  <si>
    <t xml:space="preserve">CGTCGGTTCTCCGCGTCTTGCAGAC</t>
  </si>
  <si>
    <t xml:space="preserve">S060-01</t>
  </si>
  <si>
    <t xml:space="preserve">washout_B1_P1_01</t>
  </si>
  <si>
    <t xml:space="preserve">GAGGAGGGCAGCAAACGGAATATCAGATTGATTTTGTATATACCC</t>
  </si>
  <si>
    <t xml:space="preserve">washout_B1_P2_01</t>
  </si>
  <si>
    <t xml:space="preserve">GGTCCCTTCCATACTTAGATCGTTGTAGAAGAGTCTTCCTTTACG</t>
  </si>
  <si>
    <t xml:space="preserve">B1_P1 (washout)_1</t>
  </si>
  <si>
    <t xml:space="preserve">B1_P2 (washout)_1</t>
  </si>
  <si>
    <t xml:space="preserve">TATCAGATTGATTTTGTATATACCC</t>
  </si>
  <si>
    <t xml:space="preserve">GGTCCCTTCCATACTTAGATCGTTG</t>
  </si>
  <si>
    <t xml:space="preserve">S060-02</t>
  </si>
  <si>
    <t xml:space="preserve">washout_B1_P1_02</t>
  </si>
  <si>
    <t xml:space="preserve">GAGGAGGGCAGCAAACGGAATAAATTGTCTAGGGTGTCAGCGATC</t>
  </si>
  <si>
    <t xml:space="preserve">washout_B1_P2_02</t>
  </si>
  <si>
    <t xml:space="preserve">GGCAAACACGTCATCGACTATTCCGTAGAAGAGTCTTCCTTTACG</t>
  </si>
  <si>
    <t xml:space="preserve">B1_P1 (washout)_2</t>
  </si>
  <si>
    <t xml:space="preserve">B1_P2 (washout)_2</t>
  </si>
  <si>
    <t xml:space="preserve">TAAATTGTCTAGGGTGTCAGCGATC</t>
  </si>
  <si>
    <t xml:space="preserve">GGCAAACACGTCATCGACTATTCCG</t>
  </si>
  <si>
    <t xml:space="preserve">S060-03</t>
  </si>
  <si>
    <t xml:space="preserve">washout_B1_P1_03</t>
  </si>
  <si>
    <t xml:space="preserve">GAGGAGGGCAGCAAACGGAAGTCTGTGTTCACTTTTATTCTGTTC</t>
  </si>
  <si>
    <t xml:space="preserve">washout_B1_P2_03</t>
  </si>
  <si>
    <t xml:space="preserve">GATCCTTTCCTGGAGTTTAGAGGTCTAGAAGAGTCTTCCTTTACG</t>
  </si>
  <si>
    <t xml:space="preserve">B1_P1 (washout)_3</t>
  </si>
  <si>
    <t xml:space="preserve">B1_P2 (washout)_3</t>
  </si>
  <si>
    <t xml:space="preserve">GTCTGTGTTCACTTTTATTCTGTTC</t>
  </si>
  <si>
    <t xml:space="preserve">GATCCTTTCCTGGAGTTTAGAGGTC</t>
  </si>
  <si>
    <t xml:space="preserve">S060-04</t>
  </si>
  <si>
    <t xml:space="preserve">washout_B1_P1_04</t>
  </si>
  <si>
    <t xml:space="preserve">GAGGAGGGCAGCAAACGGAAAGCAAGTGTCTCCACTTTAGCTCTT</t>
  </si>
  <si>
    <t xml:space="preserve">washout_B1_P2_04</t>
  </si>
  <si>
    <t xml:space="preserve">GAACACTTTGATTGCCTTCTGCATATAGAAGAGTCTTCCTTTACG</t>
  </si>
  <si>
    <t xml:space="preserve">B1_P1 (washout)_4</t>
  </si>
  <si>
    <t xml:space="preserve">B1_P2 (washout)_4</t>
  </si>
  <si>
    <t xml:space="preserve">AGCAAGTGTCTCCACTTTAGCTCTT</t>
  </si>
  <si>
    <t xml:space="preserve">GAACACTTTGATTGCCTTCTGCATA</t>
  </si>
  <si>
    <t xml:space="preserve">S060-05</t>
  </si>
  <si>
    <t xml:space="preserve">washout_B1_P1_05</t>
  </si>
  <si>
    <t xml:space="preserve">GAGGAGGGCAGCAAACGGAAATGTTCAATGGAAGCGGGATACTTC</t>
  </si>
  <si>
    <t xml:space="preserve">washout_B1_P2_05</t>
  </si>
  <si>
    <t xml:space="preserve">GGTATCAAAAATCGATTGATAGTTCTAGAAGAGTCTTCCTTTACG</t>
  </si>
  <si>
    <t xml:space="preserve">B1_P1 (washout)_5</t>
  </si>
  <si>
    <t xml:space="preserve">B1_P2 (washout)_5</t>
  </si>
  <si>
    <t xml:space="preserve">ATGTTCAATGGAAGCGGGATACTTC</t>
  </si>
  <si>
    <t xml:space="preserve">GGTATCAAAAATCGATTGATAGTTC</t>
  </si>
  <si>
    <t xml:space="preserve">S060-06</t>
  </si>
  <si>
    <t xml:space="preserve">washout_B1_P1_06</t>
  </si>
  <si>
    <t xml:space="preserve">GAGGAGGGCAGCAAACGGAAAGTAACCTTTTTGGATTCGTAGTGG</t>
  </si>
  <si>
    <t xml:space="preserve">washout_B1_P2_06</t>
  </si>
  <si>
    <t xml:space="preserve">CGATTGCCTCTGAGACTTCCCGCTCTAGAAGAGTCTTCCTTTACG</t>
  </si>
  <si>
    <t xml:space="preserve">B1_P1 (washout)_6</t>
  </si>
  <si>
    <t xml:space="preserve">B1_P2 (washout)_6</t>
  </si>
  <si>
    <t xml:space="preserve">AGTAACCTTTTTGGATTCGTAGTGG</t>
  </si>
  <si>
    <t xml:space="preserve">CGATTGCCTCTGAGACTTCCCGCTC</t>
  </si>
  <si>
    <t xml:space="preserve">S061-01</t>
  </si>
  <si>
    <t xml:space="preserve">wg_B1_P1_01</t>
  </si>
  <si>
    <t xml:space="preserve">GAGGAGGGCAGCAAACGGAACCTAGCTGGACTGACAAAATCCAGC</t>
  </si>
  <si>
    <t xml:space="preserve">wg_B1_P2_01</t>
  </si>
  <si>
    <t xml:space="preserve">TTCGCCTGCCTTTGCTATGCCCCCCTAGAAGAGTCTTCCTTTACG</t>
  </si>
  <si>
    <t xml:space="preserve">wg1_HCR_P1B1</t>
  </si>
  <si>
    <t xml:space="preserve">wg1_HCR_P2B1</t>
  </si>
  <si>
    <t xml:space="preserve">CCTAGCTGGACTGACAAAATCCAGC</t>
  </si>
  <si>
    <t xml:space="preserve">TTCGCCTGCCTTTGCTATGCCCCCC</t>
  </si>
  <si>
    <t xml:space="preserve">S061-02</t>
  </si>
  <si>
    <t xml:space="preserve">wg_B1_P1_02</t>
  </si>
  <si>
    <t xml:space="preserve">GAGGAGGGCAGCAAACGGAAGTATAGGACACTTGGAGACAAGGGT</t>
  </si>
  <si>
    <t xml:space="preserve">wg_B1_P2_02</t>
  </si>
  <si>
    <t xml:space="preserve">CAAGGTGGCGTGAACAGCCGGGTCCTAGAAGAGTCTTCCTTTACG</t>
  </si>
  <si>
    <t xml:space="preserve">wg2_HCR_P1B1</t>
  </si>
  <si>
    <t xml:space="preserve">wg2_HCR_P2B1</t>
  </si>
  <si>
    <t xml:space="preserve">GTATAGGACACTTGGAGACAAGGGT</t>
  </si>
  <si>
    <t xml:space="preserve">CAAGGTGGCGTGAACAGCCGGGTCC</t>
  </si>
  <si>
    <t xml:space="preserve">S061-03</t>
  </si>
  <si>
    <t xml:space="preserve">wg_B1_P1_03</t>
  </si>
  <si>
    <t xml:space="preserve">GAGGAGGGCAGCAAACGGAACCCAGGGTTCTCCCTCGCTAGCCTT</t>
  </si>
  <si>
    <t xml:space="preserve">wg_B1_P2_03</t>
  </si>
  <si>
    <t xml:space="preserve">GGCTCCCTTGGATATTGCTGCGAGGTAGAAGAGTCTTCCTTTACG</t>
  </si>
  <si>
    <t xml:space="preserve">wg3_HCR_P1B1</t>
  </si>
  <si>
    <t xml:space="preserve">wg3_HCR_P2B1</t>
  </si>
  <si>
    <t xml:space="preserve">CCCAGGGTTCTCCCTCGCTAGCCTT</t>
  </si>
  <si>
    <t xml:space="preserve">GGCTCCCTTGGATATTGCTGCGAGG</t>
  </si>
  <si>
    <t xml:space="preserve">S061-04</t>
  </si>
  <si>
    <t xml:space="preserve">wg_B1_P1_04</t>
  </si>
  <si>
    <t xml:space="preserve">GAGGAGGGCAGCAAACGGAATATTTGAACTGATGCTGGCATTCGG</t>
  </si>
  <si>
    <t xml:space="preserve">wg_B1_P2_04</t>
  </si>
  <si>
    <t xml:space="preserve">TTTCTTGTAGAACAGTTCCATCTCCTAGAAGAGTCTTCCTTTACG</t>
  </si>
  <si>
    <t xml:space="preserve">wg4_HCR_P1B1</t>
  </si>
  <si>
    <t xml:space="preserve">wg4_HCR_P2B1</t>
  </si>
  <si>
    <t xml:space="preserve">TATTTGAACTGATGCTGGCATTCGG</t>
  </si>
  <si>
    <t xml:space="preserve">TTTCTTGTAGAACAGTTCCATCTCC</t>
  </si>
  <si>
    <t xml:space="preserve">S061-05</t>
  </si>
  <si>
    <t xml:space="preserve">wg_B1_P1_05</t>
  </si>
  <si>
    <t xml:space="preserve">GAGGAGGGCAGCAAACGGAAGTCAACAATTTTTCCAAATAGATTC</t>
  </si>
  <si>
    <t xml:space="preserve">wg_B1_P2_05</t>
  </si>
  <si>
    <t xml:space="preserve">CGGGGGGGCTTTGTCCGGCGAAACTTAGAAGAGTCTTCCTTTACG</t>
  </si>
  <si>
    <t xml:space="preserve">wg5_HCR_P1B1</t>
  </si>
  <si>
    <t xml:space="preserve">wg5_HCR_P2B1</t>
  </si>
  <si>
    <t xml:space="preserve">GTCAACAATTTTTCCAAATAGATTC</t>
  </si>
  <si>
    <t xml:space="preserve">CGGGGGGGCTTTGTCCGGCGAAACT</t>
  </si>
  <si>
    <t xml:space="preserve">S061-06</t>
  </si>
  <si>
    <t xml:space="preserve">wg_B1_P1_06</t>
  </si>
  <si>
    <t xml:space="preserve">GAGGAGGGCAGCAAACGGAAGCGTGTCGACGTGTATATTAGTAAT</t>
  </si>
  <si>
    <t xml:space="preserve">wg_B1_P2_06</t>
  </si>
  <si>
    <t xml:space="preserve">ATGAAGATGTCGCGTCAATCGTCAATAGAAGAGTCTTCCTTTACG</t>
  </si>
  <si>
    <t xml:space="preserve">wg6_HCR_P1B1</t>
  </si>
  <si>
    <t xml:space="preserve">wg6_HCR_P2B1</t>
  </si>
  <si>
    <t xml:space="preserve">GCGTGTCGACGTGTATATTAGTAAT</t>
  </si>
  <si>
    <t xml:space="preserve">ATGAAGATGTCGCGTCAATCGTCAA</t>
  </si>
  <si>
    <t xml:space="preserve">S062-01</t>
  </si>
  <si>
    <t xml:space="preserve">Wnt4_B1_P1_01</t>
  </si>
  <si>
    <t xml:space="preserve">GAGGAGGGCAGCAAACGGAACGCATGCGCGCGACACCGCGTGCGT</t>
  </si>
  <si>
    <t xml:space="preserve">Wnt4_B1_P2_01</t>
  </si>
  <si>
    <t xml:space="preserve">CCGTGCAGGACTCGATGGAGCCTTCTAGAAGAGTCTTCCTTTACG</t>
  </si>
  <si>
    <t xml:space="preserve">Wnt41_HCR_P1B1</t>
  </si>
  <si>
    <t xml:space="preserve">Wnt41_HCR_P2B1</t>
  </si>
  <si>
    <t xml:space="preserve">CGCATGCGCGCGACACCGCGTGCGT</t>
  </si>
  <si>
    <t xml:space="preserve">CCGTGCAGGACTCGATGGAGCCTTC</t>
  </si>
  <si>
    <t xml:space="preserve">S062-02</t>
  </si>
  <si>
    <t xml:space="preserve">Wnt4_B1_P1_02</t>
  </si>
  <si>
    <t xml:space="preserve">GAGGAGGGCAGCAAACGGAACGATGTTGTCGCTGCAGCCGCCCCA</t>
  </si>
  <si>
    <t xml:space="preserve">Wnt4_B1_P2_02</t>
  </si>
  <si>
    <t xml:space="preserve">ACTCTCGGCTGAACTTGAAGCCGAATAGAAGAGTCTTCCTTTACG</t>
  </si>
  <si>
    <t xml:space="preserve">Wnt42_HCR_P1B1</t>
  </si>
  <si>
    <t xml:space="preserve">Wnt42_HCR_P2B1</t>
  </si>
  <si>
    <t xml:space="preserve">CGATGTTGTCGCTGCAGCCGCCCCA</t>
  </si>
  <si>
    <t xml:space="preserve">ACTCTCGGCTGAACTTGAAGCCGAA</t>
  </si>
  <si>
    <t xml:space="preserve">S062-03</t>
  </si>
  <si>
    <t xml:space="preserve">Wnt4_B1_P1_03</t>
  </si>
  <si>
    <t xml:space="preserve">GAGGAGGGCAGCAAACGGAACCTAAGCGTCTTGCCCCTTTCCCCG</t>
  </si>
  <si>
    <t xml:space="preserve">Wnt4_B1_P2_03</t>
  </si>
  <si>
    <t xml:space="preserve">CTCATTGTTGTGCAAGTTCATCTTCTAGAAGAGTCTTCCTTTACG</t>
  </si>
  <si>
    <t xml:space="preserve">Wnt43_HCR_P1B1</t>
  </si>
  <si>
    <t xml:space="preserve">Wnt43_HCR_P2B1</t>
  </si>
  <si>
    <t xml:space="preserve">CCTAAGCGTCTTGCCCCTTTCCCCG</t>
  </si>
  <si>
    <t xml:space="preserve">CTCATTGTTGTGCAAGTTCATCTTC</t>
  </si>
  <si>
    <t xml:space="preserve">S062-04</t>
  </si>
  <si>
    <t xml:space="preserve">Wnt4_B1_P1_04</t>
  </si>
  <si>
    <t xml:space="preserve">GAGGAGGGCAGCAAACGGAAGGCGCATCTCCGTTTGCACGTGCAT</t>
  </si>
  <si>
    <t xml:space="preserve">Wnt4_B1_P2_04</t>
  </si>
  <si>
    <t xml:space="preserve">CAGACATACCGTGGCACTTGCACTCTAGAAGAGTCTTCCTTTACG</t>
  </si>
  <si>
    <t xml:space="preserve">Wnt44_HCR_P1B1</t>
  </si>
  <si>
    <t xml:space="preserve">Wnt44_HCR_P2B1</t>
  </si>
  <si>
    <t xml:space="preserve">GGCGCATCTCCGTTTGCACGTGCAT</t>
  </si>
  <si>
    <t xml:space="preserve">CAGACATACCGTGGCACTTGCACTC</t>
  </si>
  <si>
    <t xml:space="preserve">S062-05</t>
  </si>
  <si>
    <t xml:space="preserve">Wnt4_B1_P1_05</t>
  </si>
  <si>
    <t xml:space="preserve">GAGGAGGGCAGCAAACGGAAGCCTCATCCAGCACGTCTTCACCGT</t>
  </si>
  <si>
    <t xml:space="preserve">Wnt4_B1_P2_05</t>
  </si>
  <si>
    <t xml:space="preserve">CGTCGCCTACAGACCGGAACGTCGGTAGAAGAGTCTTCCTTTACG</t>
  </si>
  <si>
    <t xml:space="preserve">Wnt45_HCR_P1B1</t>
  </si>
  <si>
    <t xml:space="preserve">Wnt45_HCR_P2B1</t>
  </si>
  <si>
    <t xml:space="preserve">GCCTCATCCAGCACGTCTTCACCGT</t>
  </si>
  <si>
    <t xml:space="preserve">CGTCGCCTACAGACCGGAACGTCGG</t>
  </si>
  <si>
    <t xml:space="preserve">S062-06</t>
  </si>
  <si>
    <t xml:space="preserve">Wnt4_B1_P1_06</t>
  </si>
  <si>
    <t xml:space="preserve">GAGGAGGGCAGCAAACGGAACCCGCGACGCCCCGTCGAAGCTGTC</t>
  </si>
  <si>
    <t xml:space="preserve">Wnt4_B1_P2_06</t>
  </si>
  <si>
    <t xml:space="preserve">CCTCCACCTCGGTATTGGGCATCATTAGAAGAGTCTTCCTTTACG</t>
  </si>
  <si>
    <t xml:space="preserve">Wnt46_HCR_P1B1</t>
  </si>
  <si>
    <t xml:space="preserve">Wnt46_HCR_P2B1</t>
  </si>
  <si>
    <t xml:space="preserve">CCCGCGACGCCCCGTCGAAGCTGTC</t>
  </si>
  <si>
    <t xml:space="preserve">CCTCCACCTCGGTATTGGGCATCAT</t>
  </si>
  <si>
    <t xml:space="preserve">S062-07</t>
  </si>
  <si>
    <t xml:space="preserve">Wnt4_B1_P1_07</t>
  </si>
  <si>
    <t xml:space="preserve">GAGGAGGGCAGCAAACGGAAGTGAGGTGCGGCGTCGTTCCTCTGC</t>
  </si>
  <si>
    <t xml:space="preserve">Wnt4_B1_P2_07</t>
  </si>
  <si>
    <t xml:space="preserve">CCTGTAGCGGTCACGGCGCGGGACCTAGAAGAGTCTTCCTTTACG</t>
  </si>
  <si>
    <t xml:space="preserve">Wnt47_HCR_P1B1</t>
  </si>
  <si>
    <t xml:space="preserve">Wnt47_HCR_P2B1</t>
  </si>
  <si>
    <t xml:space="preserve">GTGAGGTGCGGCGTCGTTCCTCTGC</t>
  </si>
  <si>
    <t xml:space="preserve">CCTGTAGCGGTCACGGCGCGGGACC</t>
  </si>
  <si>
    <t xml:space="preserve">S063-01</t>
  </si>
  <si>
    <t xml:space="preserve">Wnt5_B1_P1_01</t>
  </si>
  <si>
    <t xml:space="preserve">GAGGAGGGCAGCAAACGGAAGCAGGTGGGCACACACCCGTGATTT</t>
  </si>
  <si>
    <t xml:space="preserve">Wnt5_B1_P2_01</t>
  </si>
  <si>
    <t xml:space="preserve">CGCGCCGCTGGCCCGGAGTCAGGCCTAGAAGAGTCTTCCTTTACG</t>
  </si>
  <si>
    <t xml:space="preserve">Wnt51_HCR_P1B1</t>
  </si>
  <si>
    <t xml:space="preserve">Wnt51_HCR_P2B1</t>
  </si>
  <si>
    <t xml:space="preserve">GCAGGTGGGCACACACCCGTGATTT</t>
  </si>
  <si>
    <t xml:space="preserve">CGCGCCGCTGGCCCGGAGTCAGGCC</t>
  </si>
  <si>
    <t xml:space="preserve">S063-02</t>
  </si>
  <si>
    <t xml:space="preserve">Wnt5_B1_P1_02</t>
  </si>
  <si>
    <t xml:space="preserve">GAGGAGGGCAGCAAACGGAAGCCGGCATGTGGTCCTTGTGTCGGC</t>
  </si>
  <si>
    <t xml:space="preserve">Wnt5_B1_P2_02</t>
  </si>
  <si>
    <t xml:space="preserve">ATGCCGCGCAGCACGCCGTCGCCGATAGAAGAGTCTTCCTTTACG</t>
  </si>
  <si>
    <t xml:space="preserve">Wnt52_HCR_P1B1</t>
  </si>
  <si>
    <t xml:space="preserve">Wnt52_HCR_P2B1</t>
  </si>
  <si>
    <t xml:space="preserve">GCCGGCATGTGGTCCTTGTGTCGGC</t>
  </si>
  <si>
    <t xml:space="preserve">ATGCCGCGCAGCACGCCGTCGCCGA</t>
  </si>
  <si>
    <t xml:space="preserve">S063-03</t>
  </si>
  <si>
    <t xml:space="preserve">Wnt5_B1_P1_03</t>
  </si>
  <si>
    <t xml:space="preserve">GAGGAGGGCAGCAAACGGAAACGCGCGGCTGATCTCCAGAGACAC</t>
  </si>
  <si>
    <t xml:space="preserve">Wnt5_B1_P2_03</t>
  </si>
  <si>
    <t xml:space="preserve">CGCACGACGCCAGCCGTCCGTCGCGTAGAAGAGTCTTCCTTTACG</t>
  </si>
  <si>
    <t xml:space="preserve">Wnt53_HCR_P1B1</t>
  </si>
  <si>
    <t xml:space="preserve">Wnt53_HCR_P2B1</t>
  </si>
  <si>
    <t xml:space="preserve">ACGCGCGGCTGATCTCCAGAGACAC</t>
  </si>
  <si>
    <t xml:space="preserve">CGCACGACGCCAGCCGTCCGTCGCG</t>
  </si>
  <si>
    <t xml:space="preserve">S063-04</t>
  </si>
  <si>
    <t xml:space="preserve">Wnt5_B1_P1_04</t>
  </si>
  <si>
    <t xml:space="preserve">GAGGAGGGCAGCAAACGGAAGTGCAAATGCCGCGGGCGAGCCGCG</t>
  </si>
  <si>
    <t xml:space="preserve">Wnt5_B1_P2_04</t>
  </si>
  <si>
    <t xml:space="preserve">CCCACAGCCGCCCCACACCCAGTCGTAGAAGAGTCTTCCTTTACG</t>
  </si>
  <si>
    <t xml:space="preserve">Wnt54_HCR_P1B1</t>
  </si>
  <si>
    <t xml:space="preserve">Wnt54_HCR_P2B1</t>
  </si>
  <si>
    <t xml:space="preserve">GTGCAAATGCCGCGGGCGAGCCGCG</t>
  </si>
  <si>
    <t xml:space="preserve">CCCACAGCCGCCCCACACCCAGTCG</t>
  </si>
  <si>
    <t xml:space="preserve">S063-05</t>
  </si>
  <si>
    <t xml:space="preserve">Wnt5_B1_P1_05</t>
  </si>
  <si>
    <t xml:space="preserve">GAGGAGGGCAGCAAACGGAATTGCGCAGTGGGTAGACTGTAGTTT</t>
  </si>
  <si>
    <t xml:space="preserve">Wnt5_B1_P2_05</t>
  </si>
  <si>
    <t xml:space="preserve">TGGTGAGTCCTCCAAATATACGAGATAGAAGAGTCTTCCTTTACG</t>
  </si>
  <si>
    <t xml:space="preserve">Wnt55_HCR_P1B1</t>
  </si>
  <si>
    <t xml:space="preserve">Wnt55_HCR_P2B1</t>
  </si>
  <si>
    <t xml:space="preserve">TTGCGCAGTGGGTAGACTGTAGTTT</t>
  </si>
  <si>
    <t xml:space="preserve">TGGTGAGTCCTCCAAATATACGAGA</t>
  </si>
  <si>
    <t xml:space="preserve">S063-06</t>
  </si>
  <si>
    <t xml:space="preserve">Wnt5_B1_P1_06</t>
  </si>
  <si>
    <t xml:space="preserve">GAGGAGGGCAGCAAACGGAAGTTCCAGGTGCACCCAAAGAAATAT</t>
  </si>
  <si>
    <t xml:space="preserve">Wnt5_B1_P2_06</t>
  </si>
  <si>
    <t xml:space="preserve">GAAGTTTTGTTGCACTCTCTGCCCATAGAAGAGTCTTCCTTTACG</t>
  </si>
  <si>
    <t xml:space="preserve">Wnt56_HCR_P1B1</t>
  </si>
  <si>
    <t xml:space="preserve">Wnt56_HCR_P2B1</t>
  </si>
  <si>
    <t xml:space="preserve">GTTCCAGGTGCACCCAAAGAAATAT</t>
  </si>
  <si>
    <t xml:space="preserve">GAAGTTTTGTTGCACTCTCTGCCCA</t>
  </si>
  <si>
    <t xml:space="preserve">S063-07</t>
  </si>
  <si>
    <t xml:space="preserve">Wnt5_B1_P1_07</t>
  </si>
  <si>
    <t xml:space="preserve">GAGGAGGGCAGCAAACGGAACCGTCCGCAGCACATTAGTGAGCAC</t>
  </si>
  <si>
    <t xml:space="preserve">Wnt5_B1_P2_07</t>
  </si>
  <si>
    <t xml:space="preserve">AACTACAATCTTCTTGGTGTTGTAGTAGAAGAGTCTTCCTTTACG</t>
  </si>
  <si>
    <t xml:space="preserve">Wnt57_HCR_P1B1</t>
  </si>
  <si>
    <t xml:space="preserve">Wnt57_HCR_P2B1</t>
  </si>
  <si>
    <t xml:space="preserve">CCGTCCGCAGCACATTAGTGAGCAC</t>
  </si>
  <si>
    <t xml:space="preserve">AACTACAATCTTCTTGGTGTTGTAG</t>
  </si>
  <si>
    <t xml:space="preserve">S063-08</t>
  </si>
  <si>
    <t xml:space="preserve">Wnt5_B1_P1_08</t>
  </si>
  <si>
    <t xml:space="preserve">GAGGAGGGCAGCAAACGGAACGGCAGCACCAGTGGAACTTGCACT</t>
  </si>
  <si>
    <t xml:space="preserve">Wnt5_B1_P2_08</t>
  </si>
  <si>
    <t xml:space="preserve">GTGGTAACACAAGTATTGCAATCCATAGAAGAGTCTTCCTTTACG</t>
  </si>
  <si>
    <t xml:space="preserve">Wnt58_HCR_P1B1</t>
  </si>
  <si>
    <t xml:space="preserve">Wnt58_HCR_P2B1</t>
  </si>
  <si>
    <t xml:space="preserve">CGGCAGCACCAGTGGAACTTGCACT</t>
  </si>
  <si>
    <t xml:space="preserve">GTGGTAACACAAGTATTGCAATCCA</t>
  </si>
  <si>
    <t xml:space="preserve">S064-01</t>
  </si>
  <si>
    <t xml:space="preserve">WntA_B1_P1_01</t>
  </si>
  <si>
    <t xml:space="preserve">GAGGAGGGCAGCAAACGGAACAACCACCCCACTGCCAATGCCGCG</t>
  </si>
  <si>
    <t xml:space="preserve">WntA_B1_P2_01</t>
  </si>
  <si>
    <t xml:space="preserve">TTTTCTCCATATCTTATATCCTCAGTAGAAGAGTCTTCCTTTACG</t>
  </si>
  <si>
    <t xml:space="preserve">wnta1_HCR_P1B1</t>
  </si>
  <si>
    <t xml:space="preserve">wnta1_HCR_P2B1</t>
  </si>
  <si>
    <t xml:space="preserve">CAACCACCCCACTGCCAATGCCGCG</t>
  </si>
  <si>
    <t xml:space="preserve">TTTTCTCCATATCTTATATCCTCAG</t>
  </si>
  <si>
    <t xml:space="preserve">S064-02</t>
  </si>
  <si>
    <t xml:space="preserve">WntA_B1_P1_02</t>
  </si>
  <si>
    <t xml:space="preserve">GAGGAGGGCAGCAAACGGAACCTTGTCTTCTTTAGCATCTACAAA</t>
  </si>
  <si>
    <t xml:space="preserve">WntA_B1_P2_02</t>
  </si>
  <si>
    <t xml:space="preserve">GTAAGTTCATGAGACCTTCATCATTTAGAAGAGTCTTCCTTTACG</t>
  </si>
  <si>
    <t xml:space="preserve">wnta2_HCR_P1B1</t>
  </si>
  <si>
    <t xml:space="preserve">wnta2_HCR_P2B1</t>
  </si>
  <si>
    <t xml:space="preserve">CCTTGTCTTCTTTAGCATCTACAAA</t>
  </si>
  <si>
    <t xml:space="preserve">GTAAGTTCATGAGACCTTCATCATT</t>
  </si>
  <si>
    <t xml:space="preserve">S064-03</t>
  </si>
  <si>
    <t xml:space="preserve">WntA_B1_P1_03</t>
  </si>
  <si>
    <t xml:space="preserve">GAGGAGGGCAGCAAACGGAACCGCGGACTGCTCTGCGGCCAGCTT</t>
  </si>
  <si>
    <t xml:space="preserve">WntA_B1_P2_03</t>
  </si>
  <si>
    <t xml:space="preserve">TGGCATTTGCACACGCGCTGCATCCTAGAAGAGTCTTCCTTTACG</t>
  </si>
  <si>
    <t xml:space="preserve">wnta3_HCR_P1B1</t>
  </si>
  <si>
    <t xml:space="preserve">wnta3_HCR_P2B1</t>
  </si>
  <si>
    <t xml:space="preserve">CCGCGGACTGCTCTGCGGCCAGCTT</t>
  </si>
  <si>
    <t xml:space="preserve">TGGCATTTGCACACGCGCTGCATCC</t>
  </si>
  <si>
    <t xml:space="preserve">S064-04</t>
  </si>
  <si>
    <t xml:space="preserve">WntA_B1_P1_04</t>
  </si>
  <si>
    <t xml:space="preserve">GAGGAGGGCAGCAAACGGAAGCACACGCGCACGGAGCACGAGCCC</t>
  </si>
  <si>
    <t xml:space="preserve">WntA_B1_P2_04</t>
  </si>
  <si>
    <t xml:space="preserve">CAGCCGCAGCTGCGGCAGGCGGCGCTAGAAGAGTCTTCCTTTACG</t>
  </si>
  <si>
    <t xml:space="preserve">wnta4_HCR_P1B1</t>
  </si>
  <si>
    <t xml:space="preserve">wnta4_HCR_P2B1</t>
  </si>
  <si>
    <t xml:space="preserve">GCACACGCGCACGGAGCACGAGCCC</t>
  </si>
  <si>
    <t xml:space="preserve">CAGCCGCAGCTGCGGCAGGCGGCGC</t>
  </si>
  <si>
    <t xml:space="preserve">S064-05</t>
  </si>
  <si>
    <t xml:space="preserve">WntA_B1_P1_05</t>
  </si>
  <si>
    <t xml:space="preserve">GAGGAGGGCAGCAAACGGAACGCCCTCGTATCTGGTGCTCAGCAC</t>
  </si>
  <si>
    <t xml:space="preserve">WntA_B1_P2_05</t>
  </si>
  <si>
    <t xml:space="preserve">TCCTCTCTACAACCTTAACATGAGATAGAAGAGTCTTCCTTTACG</t>
  </si>
  <si>
    <t xml:space="preserve">wnta5_HCR_P1B1</t>
  </si>
  <si>
    <t xml:space="preserve">wnta5_HCR_P2B1</t>
  </si>
  <si>
    <t xml:space="preserve">CGCCCTCGTATCTGGTGCTCAGCAC</t>
  </si>
  <si>
    <t xml:space="preserve">TCCTCTCTACAACCTTAACATGAGA</t>
  </si>
  <si>
    <t xml:space="preserve">S064-06</t>
  </si>
  <si>
    <t xml:space="preserve">WntA_B1_P1_06</t>
  </si>
  <si>
    <t xml:space="preserve">GAGGAGGGCAGCAAACGGAACGGTCGCAGTTTTCTTATATTCTTG</t>
  </si>
  <si>
    <t xml:space="preserve">WntA_B1_P2_06</t>
  </si>
  <si>
    <t xml:space="preserve">GTTCGGTTTCTTTATATCAGGATGCTAGAAGAGTCTTCCTTTACG</t>
  </si>
  <si>
    <t xml:space="preserve">wnta6_HCR_P1B1</t>
  </si>
  <si>
    <t xml:space="preserve">wnta6_HCR_P2B1</t>
  </si>
  <si>
    <t xml:space="preserve">CGGTCGCAGTTTTCTTATATTCTTG</t>
  </si>
  <si>
    <t xml:space="preserve">GTTCGGTTTCTTTATATCAGGATGC</t>
  </si>
  <si>
    <t xml:space="preserve">S064-07</t>
  </si>
  <si>
    <t xml:space="preserve">WntA_B1_P1_07</t>
  </si>
  <si>
    <t xml:space="preserve">GAGGAGGGCAGCAAACGGAAGGGAGAGTCCTCGAGATAGACTAGA</t>
  </si>
  <si>
    <t xml:space="preserve">WntA_B1_P2_07</t>
  </si>
  <si>
    <t xml:space="preserve">TTACTCGTCGTTCGGTTCACAGTAATAGAAGAGTCTTCCTTTACG</t>
  </si>
  <si>
    <t xml:space="preserve">wnta7_HCR_P1B1</t>
  </si>
  <si>
    <t xml:space="preserve">wnta7_HCR_P2B1</t>
  </si>
  <si>
    <t xml:space="preserve">GGGAGAGTCCTCGAGATAGACTAGA</t>
  </si>
  <si>
    <t xml:space="preserve">TTACTCGTCGTTCGGTTCACAGTAA</t>
  </si>
  <si>
    <t xml:space="preserve">S065-01</t>
  </si>
  <si>
    <t xml:space="preserve">wntless_B1_P1_01</t>
  </si>
  <si>
    <t xml:space="preserve">GAGGAGGGCAGCAAACGGAAGCTTAAGTTTTCAATTATAGTCCCC</t>
  </si>
  <si>
    <t xml:space="preserve">wntless_B1_P2_01</t>
  </si>
  <si>
    <t xml:space="preserve">TGTCACTAATACAGTGAGTTTCCGCTAGAAGAGTCTTCCTTTACG</t>
  </si>
  <si>
    <t xml:space="preserve">B1_P1 (wntless)_1</t>
  </si>
  <si>
    <t xml:space="preserve">B1_P2 (wntless)_1</t>
  </si>
  <si>
    <t xml:space="preserve">GCTTAAGTTTTCAATTATAGTCCCC</t>
  </si>
  <si>
    <t xml:space="preserve">TGTCACTAATACAGTGAGTTTCCGC</t>
  </si>
  <si>
    <t xml:space="preserve">S065-02</t>
  </si>
  <si>
    <t xml:space="preserve">wntless_B1_P1_02</t>
  </si>
  <si>
    <t xml:space="preserve">GAGGAGGGCAGCAAACGGAACTTGGCACAACAAAAGAAATGTCAC</t>
  </si>
  <si>
    <t xml:space="preserve">wntless_B1_P2_02</t>
  </si>
  <si>
    <t xml:space="preserve">CCAAACCACCGATTAGGAAACATATTAGAAGAGTCTTCCTTTACG</t>
  </si>
  <si>
    <t xml:space="preserve">wntless_shaggy_ck1_</t>
  </si>
  <si>
    <t xml:space="preserve">CTTGGCACAACAAAAGAAATGTCAC</t>
  </si>
  <si>
    <t xml:space="preserve">CCAAACCACCGATTAGGAAACATAT</t>
  </si>
  <si>
    <t xml:space="preserve">S065-03</t>
  </si>
  <si>
    <t xml:space="preserve">wntless_B1_P1_03</t>
  </si>
  <si>
    <t xml:space="preserve">GAGGAGGGCAGCAAACGGAAAACCACCGATTAGGAAACATATTAC</t>
  </si>
  <si>
    <t xml:space="preserve">wntless_B1_P2_03</t>
  </si>
  <si>
    <t xml:space="preserve">GTGCGTTTGCAGGCACGGGTGCGACTAGAAGAGTCTTCCTTTACG</t>
  </si>
  <si>
    <t xml:space="preserve">B1_P1 (wntless)_2</t>
  </si>
  <si>
    <t xml:space="preserve">B1_P2 (wntless)_2</t>
  </si>
  <si>
    <t xml:space="preserve">AACCACCGATTAGGAAACATATTAC</t>
  </si>
  <si>
    <t xml:space="preserve">GTGCGTTTGCAGGCACGGGTGCGAC</t>
  </si>
  <si>
    <t xml:space="preserve">S065-04</t>
  </si>
  <si>
    <t xml:space="preserve">wntless_B1_P1_04</t>
  </si>
  <si>
    <t xml:space="preserve">GAGGAGGGCAGCAAACGGAATTCATAATAGATGTATCTTTACATA</t>
  </si>
  <si>
    <t xml:space="preserve">wntless_B1_P2_04</t>
  </si>
  <si>
    <t xml:space="preserve">TAGTAATACCACTTCGTTGTGTCATTAGAAGAGTCTTCCTTTACG</t>
  </si>
  <si>
    <t xml:space="preserve">B1_P1 (wntless)_3</t>
  </si>
  <si>
    <t xml:space="preserve">B1_P2 (wntless)_3</t>
  </si>
  <si>
    <t xml:space="preserve">TTCATAATAGATGTATCTTTACATA</t>
  </si>
  <si>
    <t xml:space="preserve">TAGTAATACCACTTCGTTGTGTCAT</t>
  </si>
  <si>
    <t xml:space="preserve">S065-05</t>
  </si>
  <si>
    <t xml:space="preserve">wntless_B1_P1_05</t>
  </si>
  <si>
    <t xml:space="preserve">GAGGAGGGCAGCAAACGGAAGATAGTAATACCACTTCGTTGTGTC</t>
  </si>
  <si>
    <t xml:space="preserve">wntless_B1_P2_05</t>
  </si>
  <si>
    <t xml:space="preserve">CGATCTTCTCACATTTACCCGCGCCTAGAAGAGTCTTCCTTTACG</t>
  </si>
  <si>
    <t xml:space="preserve">GATAGTAATACCACTTCGTTGTGTC</t>
  </si>
  <si>
    <t xml:space="preserve">CGATCTTCTCACATTTACCCGCGCC</t>
  </si>
  <si>
    <t xml:space="preserve">S065-06</t>
  </si>
  <si>
    <t xml:space="preserve">wntless_B1_P1_06</t>
  </si>
  <si>
    <t xml:space="preserve">GAGGAGGGCAGCAAACGGAAAAATGCAAAGACGATGTCGCGCTCC</t>
  </si>
  <si>
    <t xml:space="preserve">wntless_B1_P2_06</t>
  </si>
  <si>
    <t xml:space="preserve">CTGCGACTCGCGAGGCACCGGCATTTAGAAGAGTCTTCCTTTACG</t>
  </si>
  <si>
    <t xml:space="preserve">AAATGCAAAGACGATGTCGCGCTCC</t>
  </si>
  <si>
    <t xml:space="preserve">CTGCGACTCGCGAGGCACCGGCATT</t>
  </si>
  <si>
    <t xml:space="preserve">S065-07</t>
  </si>
  <si>
    <t xml:space="preserve">wntless_B1_P1_07</t>
  </si>
  <si>
    <t xml:space="preserve">GAGGAGGGCAGCAAACGGAAGAGAGTGGTAACGTATATCAACTTG</t>
  </si>
  <si>
    <t xml:space="preserve">wntless_B1_P2_07</t>
  </si>
  <si>
    <t xml:space="preserve">TCGCACTCCGCGATGTCATTTCCATTAGAAGAGTCTTCCTTTACG</t>
  </si>
  <si>
    <t xml:space="preserve">GAGAGTGGTAACGTATATCAACTTG</t>
  </si>
  <si>
    <t xml:space="preserve">TCGCACTCCGCGATGTCATTTCCAT</t>
  </si>
  <si>
    <t xml:space="preserve">S065-08</t>
  </si>
  <si>
    <t xml:space="preserve">wntless_B1_P1_08</t>
  </si>
  <si>
    <t xml:space="preserve">GAGGAGGGCAGCAAACGGAAAGCGTCGTCCGGGTCGCCTTTGTTT</t>
  </si>
  <si>
    <t xml:space="preserve">wntless_B1_P2_08</t>
  </si>
  <si>
    <t xml:space="preserve">TTCCGTCGACTGTGTGTACAGTTTCTAGAAGAGTCTTCCTTTACG</t>
  </si>
  <si>
    <t xml:space="preserve">AGCGTCGTCCGGGTCGCCTTTGTTT</t>
  </si>
  <si>
    <t xml:space="preserve">TTCCGTCGACTGTGTGTACAGTTTC</t>
  </si>
  <si>
    <t xml:space="preserve">S065-09</t>
  </si>
  <si>
    <t xml:space="preserve">wntless_B1_P1_09</t>
  </si>
  <si>
    <t xml:space="preserve">GAGGAGGGCAGCAAACGGAAGAGCAGTTGTACAAGTAGTTTTCAG</t>
  </si>
  <si>
    <t xml:space="preserve">wntless_B1_P2_09</t>
  </si>
  <si>
    <t xml:space="preserve">GAACCGAGTTCAAACAGTGGTACAGTAGAAGAGTCTTCCTTTACG</t>
  </si>
  <si>
    <t xml:space="preserve">GAGCAGTTGTACAAGTAGTTTTCAG</t>
  </si>
  <si>
    <t xml:space="preserve">GAACCGAGTTCAAACAGTGGTACAG</t>
  </si>
  <si>
    <t xml:space="preserve">S065-10</t>
  </si>
  <si>
    <t xml:space="preserve">wntless_B1_P1_10</t>
  </si>
  <si>
    <t xml:space="preserve">GAGGAGGGCAGCAAACGGAACAATATGGGCATTCATATCAGGTGT</t>
  </si>
  <si>
    <t xml:space="preserve">wntless_B1_P2_10</t>
  </si>
  <si>
    <t xml:space="preserve">CGGTTACCCACAAATCTTGTATATGTAGAAGAGTCTTCCTTTACG</t>
  </si>
  <si>
    <t xml:space="preserve">CAATATGGGCATTCATATCAGGTGT</t>
  </si>
  <si>
    <t xml:space="preserve">CGGTTACCCACAAATCTTGTATATG</t>
  </si>
  <si>
    <t xml:space="preserve">S065-11</t>
  </si>
  <si>
    <t xml:space="preserve">wntless_B1_P1_11</t>
  </si>
  <si>
    <t xml:space="preserve">GAGGAGGGCAGCAAACGGAAGACGAGTATAGCAATGATACATGGA</t>
  </si>
  <si>
    <t xml:space="preserve">wntless_B1_P2_11</t>
  </si>
  <si>
    <t xml:space="preserve">CAAAATATGAATCCGACGCCAGAACTAGAAGAGTCTTCCTTTACG</t>
  </si>
  <si>
    <t xml:space="preserve">GACGAGTATAGCAATGATACATGGA</t>
  </si>
  <si>
    <t xml:space="preserve">CAAAATATGAATCCGACGCCAGAAC</t>
  </si>
  <si>
    <t xml:space="preserve">S065-12</t>
  </si>
  <si>
    <t xml:space="preserve">wntless_B1_P1_12</t>
  </si>
  <si>
    <t xml:space="preserve">GAGGAGGGCAGCAAACGGAAGAATGGCAGGTCATATTGTAAAGTC</t>
  </si>
  <si>
    <t xml:space="preserve">wntless_B1_P2_12</t>
  </si>
  <si>
    <t xml:space="preserve">TTGTCTAATATCCCCCAGTAACAGCTAGAAGAGTCTTCCTTTACG</t>
  </si>
  <si>
    <t xml:space="preserve">GAATGGCAGGTCATATTGTAAAGTC</t>
  </si>
  <si>
    <t xml:space="preserve">TTGTCTAATATCCCCCAGTAACAGC</t>
  </si>
  <si>
    <t xml:space="preserve">S065-13</t>
  </si>
  <si>
    <t xml:space="preserve">wntless_B1_P1_13</t>
  </si>
  <si>
    <t xml:space="preserve">GAGGAGGGCAGCAAACGGAATGTTCCCCGGCAAATACAAGCCAGA</t>
  </si>
  <si>
    <t xml:space="preserve">wntless_B1_P2_13</t>
  </si>
  <si>
    <t xml:space="preserve">TGAGCCGATGTATCTTGGATCAACATAGAAGAGTCTTCCTTTACG</t>
  </si>
  <si>
    <t xml:space="preserve">TGTTCCCCGGCAAATACAAGCCAGA</t>
  </si>
  <si>
    <t xml:space="preserve">TGAGCCGATGTATCTTGGATCAACA</t>
  </si>
  <si>
    <t xml:space="preserve">S066-01</t>
  </si>
  <si>
    <t xml:space="preserve">dsv_B1_P1_01</t>
  </si>
  <si>
    <t xml:space="preserve">GAGGAGGGCAGCAAACGGAAAAAGTCCAACAGTGTCACTTTTTCC</t>
  </si>
  <si>
    <t xml:space="preserve">dsv_B1_P2_01</t>
  </si>
  <si>
    <t xml:space="preserve">GTAGTTCGGCCTGTTCAATTGATTTTAGAAGAGTCTTCCTTTACG</t>
  </si>
  <si>
    <t xml:space="preserve">dsv_groucho_arrow</t>
  </si>
  <si>
    <t xml:space="preserve">AAAGTCCAACAGTGTCACTTTTTCC</t>
  </si>
  <si>
    <t xml:space="preserve">GTAGTTCGGCCTGTTCAATTGATTT</t>
  </si>
  <si>
    <t xml:space="preserve">S066-02</t>
  </si>
  <si>
    <t xml:space="preserve">dsv_B1_P1_02</t>
  </si>
  <si>
    <t xml:space="preserve">GAGGAGGGCAGCAAACGGAACACTATTTCCTCTTTAACAACACCG</t>
  </si>
  <si>
    <t xml:space="preserve">dsv_B1_P2_02</t>
  </si>
  <si>
    <t xml:space="preserve">AAAGCACGGCAAATGTGCGTTGTCGTAGAAGAGTCTTCCTTTACG</t>
  </si>
  <si>
    <t xml:space="preserve">CACTATTTCCTCTTTAACAACACCG</t>
  </si>
  <si>
    <t xml:space="preserve">AAAGCACGGCAAATGTGCGTTGTCG</t>
  </si>
  <si>
    <t xml:space="preserve">S066-03</t>
  </si>
  <si>
    <t xml:space="preserve">dsv_B1_P1_03</t>
  </si>
  <si>
    <t xml:space="preserve">GAGGAGGGCAGCAAACGGAATCGGAAGGGTTGGAGCCCTCGGCAG</t>
  </si>
  <si>
    <t xml:space="preserve">dsv_B1_P2_03</t>
  </si>
  <si>
    <t xml:space="preserve">TTGCTGTCAGTGCACTGGGAAGCGCTAGAAGAGTCTTCCTTTACG</t>
  </si>
  <si>
    <t xml:space="preserve">TCGGAAGGGTTGGAGCCCTCGGCAG</t>
  </si>
  <si>
    <t xml:space="preserve">TTGCTGTCAGTGCACTGGGAAGCGC</t>
  </si>
  <si>
    <t xml:space="preserve">S066-04</t>
  </si>
  <si>
    <t xml:space="preserve">dsv_B1_P1_04</t>
  </si>
  <si>
    <t xml:space="preserve">GAGGAGGGCAGCAAACGGAATAGTCAGAGGCACTGTGGGTGCCCC</t>
  </si>
  <si>
    <t xml:space="preserve">dsv_B1_P2_04</t>
  </si>
  <si>
    <t xml:space="preserve">TGCTATCTGTGTCCGTGCAGGTGTCTAGAAGAGTCTTCCTTTACG</t>
  </si>
  <si>
    <t xml:space="preserve">TAGTCAGAGGCACTGTGGGTGCCCC</t>
  </si>
  <si>
    <t xml:space="preserve">TGCTATCTGTGTCCGTGCAGGTGTC</t>
  </si>
  <si>
    <t xml:space="preserve">S066-05</t>
  </si>
  <si>
    <t xml:space="preserve">dsv_B1_P1_05</t>
  </si>
  <si>
    <t xml:space="preserve">GAGGAGGGCAGCAAACGGAACCTGTACTTGTATTTGTCGCAGGAC</t>
  </si>
  <si>
    <t xml:space="preserve">dsv_B1_P2_05</t>
  </si>
  <si>
    <t xml:space="preserve">CTTCGAATGCCCGTTTATTCTGAGGTAGAAGAGTCTTCCTTTACG</t>
  </si>
  <si>
    <t xml:space="preserve">CCTGTACTTGTATTTGTCGCAGGAC</t>
  </si>
  <si>
    <t xml:space="preserve">CTTCGAATGCCCGTTTATTCTGAGG</t>
  </si>
  <si>
    <t xml:space="preserve">S066-06</t>
  </si>
  <si>
    <t xml:space="preserve">dsv_B1_P1_06</t>
  </si>
  <si>
    <t xml:space="preserve">GAGGAGGGCAGCAAACGGAACCAAATCTGATGATAGAACTGAAGC</t>
  </si>
  <si>
    <t xml:space="preserve">dsv_B1_P2_06</t>
  </si>
  <si>
    <t xml:space="preserve">ATTGGCTGTCGAAGAGACTGGTGGATAGAAGAGTCTTCCTTTACG</t>
  </si>
  <si>
    <t xml:space="preserve">CCAAATCTGATGATAGAACTGAAGC</t>
  </si>
  <si>
    <t xml:space="preserve">ATTGGCTGTCGAAGAGACTGGTGGA</t>
  </si>
  <si>
    <t xml:space="preserve">S066-07</t>
  </si>
  <si>
    <t xml:space="preserve">dsv_B1_P1_07</t>
  </si>
  <si>
    <t xml:space="preserve">GAGGAGGGCAGCAAACGGAATGCTCTGTCTACGGAGGCATTGGTA</t>
  </si>
  <si>
    <t xml:space="preserve">dsv_B1_P2_07</t>
  </si>
  <si>
    <t xml:space="preserve">ATGAGATACACTGCTGCATTCTGTGTAGAAGAGTCTTCCTTTACG</t>
  </si>
  <si>
    <t xml:space="preserve">TGCTCTGTCTACGGAGGCATTGGTA</t>
  </si>
  <si>
    <t xml:space="preserve">ATGAGATACACTGCTGCATTCTGTG</t>
  </si>
  <si>
    <t xml:space="preserve">S066-08</t>
  </si>
  <si>
    <t xml:space="preserve">dsv_B1_P1_08</t>
  </si>
  <si>
    <t xml:space="preserve">GAGGAGGGCAGCAAACGGAAACTTGAGGCCTTTTCCGCCGCCTCT</t>
  </si>
  <si>
    <t xml:space="preserve">dsv_B1_P2_08</t>
  </si>
  <si>
    <t xml:space="preserve">GAGGAGTAGGAAGACGTGCGGGACATAGAAGAGTCTTCCTTTACG</t>
  </si>
  <si>
    <t xml:space="preserve">ACTTGAGGCCTTTTCCGCCGCCTCT</t>
  </si>
  <si>
    <t xml:space="preserve">GAGGAGTAGGAAGACGTGCGGGACA</t>
  </si>
  <si>
    <t xml:space="preserve">S066-09</t>
  </si>
  <si>
    <t xml:space="preserve">dsv_B1_P1_09</t>
  </si>
  <si>
    <t xml:space="preserve">GAGGAGGGCAGCAAACGGAATCACTGTGTCCATGTTTAAAGTCAC</t>
  </si>
  <si>
    <t xml:space="preserve">dsv_B1_P2_09</t>
  </si>
  <si>
    <t xml:space="preserve">GACCAACTATCGATATACCGAGAAATAGAAGAGTCTTCCTTTACG</t>
  </si>
  <si>
    <t xml:space="preserve">TCACTGTGTCCATGTTTAAAGTCAC</t>
  </si>
  <si>
    <t xml:space="preserve">GACCAACTATCGATATACCGAGAAA</t>
  </si>
  <si>
    <t xml:space="preserve">S066-10</t>
  </si>
  <si>
    <t xml:space="preserve">dsv_B1_P1_10</t>
  </si>
  <si>
    <t xml:space="preserve">GAGGAGGGCAGCAAACGGAACCACCTTTCATAATACTGCCAACAT</t>
  </si>
  <si>
    <t xml:space="preserve">dsv_B1_P2_10</t>
  </si>
  <si>
    <t xml:space="preserve">TCAATCCTGCCATCCAGCGCAACCGTAGAAGAGTCTTCCTTTACG</t>
  </si>
  <si>
    <t xml:space="preserve">CCACCTTTCATAATACTGCCAACAT</t>
  </si>
  <si>
    <t xml:space="preserve">TCAATCCTGCCATCCAGCGCAACCG</t>
  </si>
  <si>
    <t xml:space="preserve">S067-01</t>
  </si>
  <si>
    <t xml:space="preserve">porcupine_B1_P1_01</t>
  </si>
  <si>
    <t xml:space="preserve">GAGGAGGGCAGCAAACGGAAGTGAGGCATAGGTACATACTGAATA</t>
  </si>
  <si>
    <t xml:space="preserve">porcupine_B1_P2_01</t>
  </si>
  <si>
    <t xml:space="preserve">AATGAGAGACAAACTGTGCCGGACGTAGAAGAGTCTTCCTTTACG</t>
  </si>
  <si>
    <t xml:space="preserve">porcupine_apc_pygopus</t>
  </si>
  <si>
    <t xml:space="preserve">GTGAGGCATAGGTACATACTGAATA</t>
  </si>
  <si>
    <t xml:space="preserve">AATGAGAGACAAACTGTGCCGGACG</t>
  </si>
  <si>
    <t xml:space="preserve">S067-02</t>
  </si>
  <si>
    <t xml:space="preserve">porcupine_B1_P1_02</t>
  </si>
  <si>
    <t xml:space="preserve">GAGGAGGGCAGCAAACGGAAGCTGCCACATTATTGGATTCAATAC</t>
  </si>
  <si>
    <t xml:space="preserve">porcupine_B1_P2_02</t>
  </si>
  <si>
    <t xml:space="preserve">CTGCTACCATTTGGATGCCTCTTATTAGAAGAGTCTTCCTTTACG</t>
  </si>
  <si>
    <t xml:space="preserve">GCTGCCACATTATTGGATTCAATAC</t>
  </si>
  <si>
    <t xml:space="preserve">CTGCTACCATTTGGATGCCTCTTAT</t>
  </si>
  <si>
    <t xml:space="preserve">S067-03</t>
  </si>
  <si>
    <t xml:space="preserve">porcupine_B1_P1_03</t>
  </si>
  <si>
    <t xml:space="preserve">GAGGAGGGCAGCAAACGGAACCCTCCAAATTCAATGGGGTTTAAC</t>
  </si>
  <si>
    <t xml:space="preserve">porcupine_B1_P2_03</t>
  </si>
  <si>
    <t xml:space="preserve">GATACAATTAGCTGGACAGAGTACATAGAAGAGTCTTCCTTTACG</t>
  </si>
  <si>
    <t xml:space="preserve">CCCTCCAAATTCAATGGGGTTTAAC</t>
  </si>
  <si>
    <t xml:space="preserve">GATACAATTAGCTGGACAGAGTACA</t>
  </si>
  <si>
    <t xml:space="preserve">S067-04</t>
  </si>
  <si>
    <t xml:space="preserve">porcupine_B1_P1_04</t>
  </si>
  <si>
    <t xml:space="preserve">GAGGAGGGCAGCAAACGGAACATCTATATACCCAGGCACAAAACA</t>
  </si>
  <si>
    <t xml:space="preserve">porcupine_B1_P2_04</t>
  </si>
  <si>
    <t xml:space="preserve">AGGCAACTAACCATTTAGTTGCGCTTAGAAGAGTCTTCCTTTACG</t>
  </si>
  <si>
    <t xml:space="preserve">CATCTATATACCCAGGCACAAAACA</t>
  </si>
  <si>
    <t xml:space="preserve">AGGCAACTAACCATTTAGTTGCGCT</t>
  </si>
  <si>
    <t xml:space="preserve">S067-05</t>
  </si>
  <si>
    <t xml:space="preserve">porcupine_B1_P1_05</t>
  </si>
  <si>
    <t xml:space="preserve">GAGGAGGGCAGCAAACGGAACCAGCACTTATCATAGATACAACTG</t>
  </si>
  <si>
    <t xml:space="preserve">porcupine_B1_P2_05</t>
  </si>
  <si>
    <t xml:space="preserve">GAATGGCAATCGTTTGTTAGCCCAATAGAAGAGTCTTCCTTTACG</t>
  </si>
  <si>
    <t xml:space="preserve">CCAGCACTTATCATAGATACAACTG</t>
  </si>
  <si>
    <t xml:space="preserve">GAATGGCAATCGTTTGTTAGCCCAA</t>
  </si>
  <si>
    <t xml:space="preserve">S067-06</t>
  </si>
  <si>
    <t xml:space="preserve">porcupine_B1_P1_06</t>
  </si>
  <si>
    <t xml:space="preserve">GAGGAGGGCAGCAAACGGAAATTACAACCTGAACAAGCGAGCGGG</t>
  </si>
  <si>
    <t xml:space="preserve">porcupine_B1_P2_06</t>
  </si>
  <si>
    <t xml:space="preserve">CACTGATGCATTGGCATATTCCAATTAGAAGAGTCTTCCTTTACG</t>
  </si>
  <si>
    <t xml:space="preserve">ATTACAACCTGAACAAGCGAGCGGG</t>
  </si>
  <si>
    <t xml:space="preserve">CACTGATGCATTGGCATATTCCAAT</t>
  </si>
  <si>
    <t xml:space="preserve">S067-07</t>
  </si>
  <si>
    <t xml:space="preserve">porcupine_B1_P1_07</t>
  </si>
  <si>
    <t xml:space="preserve">GAGGAGGGCAGCAAACGGAAGCAGATGCCACTTTGTATCGAAAAT</t>
  </si>
  <si>
    <t xml:space="preserve">porcupine_B1_P2_07</t>
  </si>
  <si>
    <t xml:space="preserve">GGATTAGCTAAACAGCACACTTCCATAGAAGAGTCTTCCTTTACG</t>
  </si>
  <si>
    <t xml:space="preserve">GCAGATGCCACTTTGTATCGAAAAT</t>
  </si>
  <si>
    <t xml:space="preserve">GGATTAGCTAAACAGCACACTTCCA</t>
  </si>
  <si>
    <t xml:space="preserve">S067-08</t>
  </si>
  <si>
    <t xml:space="preserve">porcupine_B1_P1_08</t>
  </si>
  <si>
    <t xml:space="preserve">GAGGAGGGCAGCAAACGGAACACAAAAACTGCTAGAAAGCTGTTC</t>
  </si>
  <si>
    <t xml:space="preserve">porcupine_B1_P2_08</t>
  </si>
  <si>
    <t xml:space="preserve">GGCAGTAATTAGAGAAAAGACAGTGTAGAAGAGTCTTCCTTTACG</t>
  </si>
  <si>
    <t xml:space="preserve">CACAAAAACTGCTAGAAAGCTGTTC</t>
  </si>
  <si>
    <t xml:space="preserve">GGCAGTAATTAGAGAAAAGACAGTG</t>
  </si>
  <si>
    <t xml:space="preserve">S068-01</t>
  </si>
  <si>
    <t xml:space="preserve">3OHKT_B2_P1_01</t>
  </si>
  <si>
    <t xml:space="preserve">CCTCGTAAATCCTCATCAAACGATATAGATAATGCTCCATTGTAA</t>
  </si>
  <si>
    <t xml:space="preserve">3OHKT_B2_P2_01</t>
  </si>
  <si>
    <t xml:space="preserve">TTTGAGTGCAATCCCGCTCAAGAATAAATCATCCAGTAAACCGCC</t>
  </si>
  <si>
    <t xml:space="preserve">B2_P1 (3OHKT)_1</t>
  </si>
  <si>
    <t xml:space="preserve">B2_P2 (3OHKT)_1</t>
  </si>
  <si>
    <t xml:space="preserve">CGATATAGATAATGCTCCATTGTAA</t>
  </si>
  <si>
    <t xml:space="preserve">TTTGAGTGCAATCCCGCTCAAGAAT</t>
  </si>
  <si>
    <t xml:space="preserve">S068-02</t>
  </si>
  <si>
    <t xml:space="preserve">3OHKT_B2_P1_02</t>
  </si>
  <si>
    <t xml:space="preserve">CCTCGTAAATCCTCATCAAAACAGCCCAGCTCCGACTAAACCAAC</t>
  </si>
  <si>
    <t xml:space="preserve">3OHKT_B2_P2_02</t>
  </si>
  <si>
    <t xml:space="preserve">AGATTGTCAGTACATCGCCTAAAACAAATCATCCAGTAAACCGCC</t>
  </si>
  <si>
    <t xml:space="preserve">B2_P1 (3OHKT)_2</t>
  </si>
  <si>
    <t xml:space="preserve">B2_P2 (3OHKT)_2</t>
  </si>
  <si>
    <t xml:space="preserve">ACAGCCCAGCTCCGACTAAACCAAC</t>
  </si>
  <si>
    <t xml:space="preserve">AGATTGTCAGTACATCGCCTAAAAC</t>
  </si>
  <si>
    <t xml:space="preserve">S068-03</t>
  </si>
  <si>
    <t xml:space="preserve">3OHKT_B2_P1_03</t>
  </si>
  <si>
    <t xml:space="preserve">CCTCGTAAATCCTCATCAAAATAACACCAAACGTGAACACAAGCT</t>
  </si>
  <si>
    <t xml:space="preserve">3OHKT_B2_P2_03</t>
  </si>
  <si>
    <t xml:space="preserve">ATCATGACACCGAAACCTGCGCCTCAAATCATCCAGTAAACCGCC</t>
  </si>
  <si>
    <t xml:space="preserve">B2_P1 (3OHKT)_3</t>
  </si>
  <si>
    <t xml:space="preserve">B2_P2 (3OHKT)_3</t>
  </si>
  <si>
    <t xml:space="preserve">ATAACACCAAACGTGAACACAAGCT</t>
  </si>
  <si>
    <t xml:space="preserve">ATCATGACACCGAAACCTGCGCCTC</t>
  </si>
  <si>
    <t xml:space="preserve">S068-04</t>
  </si>
  <si>
    <t xml:space="preserve">3OHKT_B2_P1_04</t>
  </si>
  <si>
    <t xml:space="preserve">CCTCGTAAATCCTCATCAAATTTCTTTGTGAAATAGCAATTGAAC</t>
  </si>
  <si>
    <t xml:space="preserve">3OHKT_B2_P2_04</t>
  </si>
  <si>
    <t xml:space="preserve">TTGGTTGGCGCTCATCATGGCGGTGAAATCATCCAGTAAACCGCC</t>
  </si>
  <si>
    <t xml:space="preserve">B2_P1 (3OHKT)_4</t>
  </si>
  <si>
    <t xml:space="preserve">B2_P2 (3OHKT)_4</t>
  </si>
  <si>
    <t xml:space="preserve">TTTCTTTGTGAAATAGCAATTGAAC</t>
  </si>
  <si>
    <t xml:space="preserve">TTGGTTGGCGCTCATCATGGCGGTG</t>
  </si>
  <si>
    <t xml:space="preserve">S068-05</t>
  </si>
  <si>
    <t xml:space="preserve">3OHKT_B2_P1_05</t>
  </si>
  <si>
    <t xml:space="preserve">CCTCGTAAATCCTCATCAAATCACCATTATAGGGAACGTGATGGA</t>
  </si>
  <si>
    <t xml:space="preserve">3OHKT_B2_P2_05</t>
  </si>
  <si>
    <t xml:space="preserve">TGAAGCCATATTCAGACAGTAGGAAAAATCATCCAGTAAACCGCC</t>
  </si>
  <si>
    <t xml:space="preserve">B2_P1 (3OHKT)_5</t>
  </si>
  <si>
    <t xml:space="preserve">B2_P2 (3OHKT)_5</t>
  </si>
  <si>
    <t xml:space="preserve">TCACCATTATAGGGAACGTGATGGA</t>
  </si>
  <si>
    <t xml:space="preserve">TGAAGCCATATTCAGACAGTAGGAA</t>
  </si>
  <si>
    <t xml:space="preserve">S068-06</t>
  </si>
  <si>
    <t xml:space="preserve">3OHKT_B2_P1_06</t>
  </si>
  <si>
    <t xml:space="preserve">CCTCGTAAATCCTCATCAAAACTAAGTGCAGGTCCACAGCCATTA</t>
  </si>
  <si>
    <t xml:space="preserve">3OHKT_B2_P2_06</t>
  </si>
  <si>
    <t xml:space="preserve">ACGGGGTGCATAACCAGCATAGCAAAAATCATCCAGTAAACCGCC</t>
  </si>
  <si>
    <t xml:space="preserve">B2_P1 (3OHKT)_6</t>
  </si>
  <si>
    <t xml:space="preserve">B2_P2 (3OHKT)_6</t>
  </si>
  <si>
    <t xml:space="preserve">ACTAAGTGCAGGTCCACAGCCATTA</t>
  </si>
  <si>
    <t xml:space="preserve">ACGGGGTGCATAACCAGCATAGCAA</t>
  </si>
  <si>
    <t xml:space="preserve">S069-01</t>
  </si>
  <si>
    <t xml:space="preserve">A8_B2_P1_01</t>
  </si>
  <si>
    <t xml:space="preserve">CCTCGTAAATCCTCATCAAAATGTCAGTCTTGACAATAGCTGGCG</t>
  </si>
  <si>
    <t xml:space="preserve">A8_B2_P2_01</t>
  </si>
  <si>
    <t xml:space="preserve">ACTACAGGTGCGATTGCTGGAGCTAAAATCATCCAGTAAACCGCC</t>
  </si>
  <si>
    <t xml:space="preserve">B2_P1 (A8)_1</t>
  </si>
  <si>
    <t xml:space="preserve">B2_P2 (A8)_1</t>
  </si>
  <si>
    <t xml:space="preserve">ATGTCAGTCTTGACAATAGCTGGCG</t>
  </si>
  <si>
    <t xml:space="preserve">ACTACAGGTGCGATTGCTGGAGCTA</t>
  </si>
  <si>
    <t xml:space="preserve">S069-02</t>
  </si>
  <si>
    <t xml:space="preserve">A8_B2_P1_02</t>
  </si>
  <si>
    <t xml:space="preserve">CCTCGTAAATCCTCATCAAAGGGGGCGACAGCTAATGGCGCTGAG</t>
  </si>
  <si>
    <t xml:space="preserve">A8_B2_P2_02</t>
  </si>
  <si>
    <t xml:space="preserve">GATGCGTGATTGAGTCGACACTGCGAAATCATCCAGTAAACCGCC</t>
  </si>
  <si>
    <t xml:space="preserve">B2_P1 (A8)_2</t>
  </si>
  <si>
    <t xml:space="preserve">B2_P2 (A8)_2</t>
  </si>
  <si>
    <t xml:space="preserve">GGGGGCGACAGCTAATGGCGCTGAG</t>
  </si>
  <si>
    <t xml:space="preserve">GATGCGTGATTGAGTCGACACTGCG</t>
  </si>
  <si>
    <t xml:space="preserve">S069-03</t>
  </si>
  <si>
    <t xml:space="preserve">A8_B2_P1_03</t>
  </si>
  <si>
    <t xml:space="preserve">CCTCGTAAATCCTCATCAAACAGCGGCGTATGTGCTGATTACACC</t>
  </si>
  <si>
    <t xml:space="preserve">A8_B2_P2_03</t>
  </si>
  <si>
    <t xml:space="preserve">CCAGGGGCGCAGTGTACTCCAGGGGAAATCATCCAGTAAACCGCC</t>
  </si>
  <si>
    <t xml:space="preserve">B2_P1 (A8)_3</t>
  </si>
  <si>
    <t xml:space="preserve">B2_P2 (A8)_3</t>
  </si>
  <si>
    <t xml:space="preserve">CAGCGGCGTATGTGCTGATTACACC</t>
  </si>
  <si>
    <t xml:space="preserve">CCAGGGGCGCAGTGTACTCCAGGGG</t>
  </si>
  <si>
    <t xml:space="preserve">S069-04</t>
  </si>
  <si>
    <t xml:space="preserve">A8_B2_P1_04</t>
  </si>
  <si>
    <t xml:space="preserve">CCTCGTAAATCCTCATCAAATACGCTAATATGGGAGCACCATAAC</t>
  </si>
  <si>
    <t xml:space="preserve">A8_B2_P2_04</t>
  </si>
  <si>
    <t xml:space="preserve">ATGGCGGCAGCGTAGATGGATGGACAAATCATCCAGTAAACCGCC</t>
  </si>
  <si>
    <t xml:space="preserve">B2_P1 (A8)_4</t>
  </si>
  <si>
    <t xml:space="preserve">B2_P2 (A8)_4</t>
  </si>
  <si>
    <t xml:space="preserve">TACGCTAATATGGGAGCACCATAAC</t>
  </si>
  <si>
    <t xml:space="preserve">ATGGCGGCAGCGTAGATGGATGGAC</t>
  </si>
  <si>
    <t xml:space="preserve">S069-05</t>
  </si>
  <si>
    <t xml:space="preserve">A8_B2_P1_05</t>
  </si>
  <si>
    <t xml:space="preserve">CCTCGTAAATCCTCATCAAACGCTTGAGATGGGATAGCGATGGAC</t>
  </si>
  <si>
    <t xml:space="preserve">A8_B2_P2_05</t>
  </si>
  <si>
    <t xml:space="preserve">GGCCGCAGGGCTTTCAGGTGCAGGCAAATCATCCAGTAAACCGCC</t>
  </si>
  <si>
    <t xml:space="preserve">B2_P1 (A8)_5</t>
  </si>
  <si>
    <t xml:space="preserve">B2_P2 (A8)_5</t>
  </si>
  <si>
    <t xml:space="preserve">CGCTTGAGATGGGATAGCGATGGAC</t>
  </si>
  <si>
    <t xml:space="preserve">GGCCGCAGGGCTTTCAGGTGCAGGC</t>
  </si>
  <si>
    <t xml:space="preserve">S069-06</t>
  </si>
  <si>
    <t xml:space="preserve">A8_B2_P1_06</t>
  </si>
  <si>
    <t xml:space="preserve">CCTCGTAAATCCTCATCAAACCTCAGGAGTTTCAGTAGGCGCAAC</t>
  </si>
  <si>
    <t xml:space="preserve">A8_B2_P2_06</t>
  </si>
  <si>
    <t xml:space="preserve">CTAGATGAGCGGCGCGCGCGGCGGCAAATCATCCAGTAAACCGCC</t>
  </si>
  <si>
    <t xml:space="preserve">B2_P1 (A8)_6</t>
  </si>
  <si>
    <t xml:space="preserve">B2_P2 (A8)_6</t>
  </si>
  <si>
    <t xml:space="preserve">CCTCAGGAGTTTCAGTAGGCGCAAC</t>
  </si>
  <si>
    <t xml:space="preserve">CTAGATGAGCGGCGCGCGCGGCGGC</t>
  </si>
  <si>
    <t xml:space="preserve">S070-01</t>
  </si>
  <si>
    <t xml:space="preserve">abrupt_B2_P1_01</t>
  </si>
  <si>
    <t xml:space="preserve">CCTCGTAAATCCTCATCAAAAAATAGGGACTGCATACTGAGAGGA</t>
  </si>
  <si>
    <t xml:space="preserve">abrupt_B2_P2_01</t>
  </si>
  <si>
    <t xml:space="preserve">CAGGGATTCATCTTAAATAGCTCCTAAATCATCCAGTAAACCGCC</t>
  </si>
  <si>
    <t xml:space="preserve">B2_P1 (abrupt)_1</t>
  </si>
  <si>
    <t xml:space="preserve">B2_P2 (abrupt)_1</t>
  </si>
  <si>
    <t xml:space="preserve">AAATAGGGACTGCATACTGAGAGGA</t>
  </si>
  <si>
    <t xml:space="preserve">CAGGGATTCATCTTAAATAGCTCCT</t>
  </si>
  <si>
    <t xml:space="preserve">S070-02</t>
  </si>
  <si>
    <t xml:space="preserve">abrupt_B2_P1_02</t>
  </si>
  <si>
    <t xml:space="preserve">CCTCGTAAATCCTCATCAAATTCCTGGTGAGCTACATCCTTTAGT</t>
  </si>
  <si>
    <t xml:space="preserve">abrupt_B2_P2_02</t>
  </si>
  <si>
    <t xml:space="preserve">GTACATAAATTGCAAAAGCTGTCGCAAATCATCCAGTAAACCGCC</t>
  </si>
  <si>
    <t xml:space="preserve">B2_P1 (abrupt)_2</t>
  </si>
  <si>
    <t xml:space="preserve">B2_P2 (abrupt)_2</t>
  </si>
  <si>
    <t xml:space="preserve">TTCCTGGTGAGCTACATCCTTTAGT</t>
  </si>
  <si>
    <t xml:space="preserve">GTACATAAATTGCAAAAGCTGTCGC</t>
  </si>
  <si>
    <t xml:space="preserve">S070-03</t>
  </si>
  <si>
    <t xml:space="preserve">abrupt_B2_P1_03</t>
  </si>
  <si>
    <t xml:space="preserve">CCTCGTAAATCCTCATCAAAGAAAAGCAGACAACTCTTGCTGTCT</t>
  </si>
  <si>
    <t xml:space="preserve">abrupt_B2_P2_03</t>
  </si>
  <si>
    <t xml:space="preserve">TGACTTGCAGCAGCTCTGCTGTGTGAAATCATCCAGTAAACCGCC</t>
  </si>
  <si>
    <t xml:space="preserve">B2_P1 (abrupt)_3</t>
  </si>
  <si>
    <t xml:space="preserve">B2_P2 (abrupt)_3</t>
  </si>
  <si>
    <t xml:space="preserve">GAAAAGCAGACAACTCTTGCTGTCT</t>
  </si>
  <si>
    <t xml:space="preserve">TGACTTGCAGCAGCTCTGCTGTGTG</t>
  </si>
  <si>
    <t xml:space="preserve">S070-04</t>
  </si>
  <si>
    <t xml:space="preserve">abrupt_B2_P1_04</t>
  </si>
  <si>
    <t xml:space="preserve">CCTCGTAAATCCTCATCAAAGCAGGAGGTGATTCACTTCTCTCTC</t>
  </si>
  <si>
    <t xml:space="preserve">abrupt_B2_P2_04</t>
  </si>
  <si>
    <t xml:space="preserve">GCATTTAGTATATCTTCTTCCACTGAAATCATCCAGTAAACCGCC</t>
  </si>
  <si>
    <t xml:space="preserve">B2_P1 (abrupt)_4</t>
  </si>
  <si>
    <t xml:space="preserve">B2_P2 (abrupt)_4</t>
  </si>
  <si>
    <t xml:space="preserve">GCAGGAGGTGATTCACTTCTCTCTC</t>
  </si>
  <si>
    <t xml:space="preserve">GCATTTAGTATATCTTCTTCCACTG</t>
  </si>
  <si>
    <t xml:space="preserve">S070-05</t>
  </si>
  <si>
    <t xml:space="preserve">abrupt_B2_P1_05</t>
  </si>
  <si>
    <t xml:space="preserve">CCTCGTAAATCCTCATCAAACCATTCAGGCAAACTATCACCAATA</t>
  </si>
  <si>
    <t xml:space="preserve">abrupt_B2_P2_05</t>
  </si>
  <si>
    <t xml:space="preserve">AGGGATCGCTTCATCATTTGATGGTAAATCATCCAGTAAACCGCC</t>
  </si>
  <si>
    <t xml:space="preserve">B2_P1 (abrupt)_5</t>
  </si>
  <si>
    <t xml:space="preserve">B2_P2 (abrupt)_5</t>
  </si>
  <si>
    <t xml:space="preserve">CCATTCAGGCAAACTATCACCAATA</t>
  </si>
  <si>
    <t xml:space="preserve">AGGGATCGCTTCATCATTTGATGGT</t>
  </si>
  <si>
    <t xml:space="preserve">S070-06</t>
  </si>
  <si>
    <t xml:space="preserve">abrupt_B2_P1_06</t>
  </si>
  <si>
    <t xml:space="preserve">CCTCGTAAATCCTCATCAAACTTTAGGGACTAGAGAGCTAGCAGA</t>
  </si>
  <si>
    <t xml:space="preserve">abrupt_B2_P2_06</t>
  </si>
  <si>
    <t xml:space="preserve">TTTTCAAAGGGCTCCGAGCAGCTTCAAATCATCCAGTAAACCGCC</t>
  </si>
  <si>
    <t xml:space="preserve">B2_P1 (abrupt)_6</t>
  </si>
  <si>
    <t xml:space="preserve">B2_P2 (abrupt)_6</t>
  </si>
  <si>
    <t xml:space="preserve">CTTTAGGGACTAGAGAGCTAGCAGA</t>
  </si>
  <si>
    <t xml:space="preserve">TTTTCAAAGGGCTCCGAGCAGCTTC</t>
  </si>
  <si>
    <t xml:space="preserve">S071-01</t>
  </si>
  <si>
    <t xml:space="preserve">APC_B2_P1_01</t>
  </si>
  <si>
    <t xml:space="preserve">CCTCGTAAATCCTCATCAAAGACGTGGAAGGGGGGCAGTCGTCGC</t>
  </si>
  <si>
    <t xml:space="preserve">APC_B2_P2_01</t>
  </si>
  <si>
    <t xml:space="preserve">TGTACAGGCCTCCGGGGGGGTTCATAAATCATCCAGTAAACCGCC</t>
  </si>
  <si>
    <t xml:space="preserve">GACGTGGAAGGGGGGCAGTCGTCGC</t>
  </si>
  <si>
    <t xml:space="preserve">TGTACAGGCCTCCGGGGGGGTTCAT</t>
  </si>
  <si>
    <t xml:space="preserve">S071-02</t>
  </si>
  <si>
    <t xml:space="preserve">APC_B2_P1_02</t>
  </si>
  <si>
    <t xml:space="preserve">CCTCGTAAATCCTCATCAAAATTTGGATTTGGTGTCTTTTGGGTC</t>
  </si>
  <si>
    <t xml:space="preserve">APC_B2_P2_02</t>
  </si>
  <si>
    <t xml:space="preserve">CCGTTTTGGGTATCACATTTTTAGGAAATCATCCAGTAAACCGCC</t>
  </si>
  <si>
    <t xml:space="preserve">ATTTGGATTTGGTGTCTTTTGGGTC</t>
  </si>
  <si>
    <t xml:space="preserve">CCGTTTTGGGTATCACATTTTTAGG</t>
  </si>
  <si>
    <t xml:space="preserve">S071-03</t>
  </si>
  <si>
    <t xml:space="preserve">APC_B2_P1_03</t>
  </si>
  <si>
    <t xml:space="preserve">CCTCGTAAATCCTCATCAAAGGGGGATATGTTCGGAATCTATATT</t>
  </si>
  <si>
    <t xml:space="preserve">APC_B2_P2_03</t>
  </si>
  <si>
    <t xml:space="preserve">AGTCGTCGTCGAGGAAGTGCGGCCGAAATCATCCAGTAAACCGCC</t>
  </si>
  <si>
    <t xml:space="preserve">GGGGGATATGTTCGGAATCTATATT</t>
  </si>
  <si>
    <t xml:space="preserve">AGTCGTCGTCGAGGAAGTGCGGCCG</t>
  </si>
  <si>
    <t xml:space="preserve">S071-04</t>
  </si>
  <si>
    <t xml:space="preserve">APC_B2_P1_04</t>
  </si>
  <si>
    <t xml:space="preserve">CCTCGTAAATCCTCATCAAATCCACTTCATCGTCGAGGAAGTTGG</t>
  </si>
  <si>
    <t xml:space="preserve">APC_B2_P2_04</t>
  </si>
  <si>
    <t xml:space="preserve">TTCTTTTGTGCTTGATTGTCGTCGCAAATCATCCAGTAAACCGCC</t>
  </si>
  <si>
    <t xml:space="preserve">TCCACTTCATCGTCGAGGAAGTTGG</t>
  </si>
  <si>
    <t xml:space="preserve">TTCTTTTGTGCTTGATTGTCGTCGC</t>
  </si>
  <si>
    <t xml:space="preserve">template match: P1 only</t>
  </si>
  <si>
    <t xml:space="preserve">S071-05</t>
  </si>
  <si>
    <t xml:space="preserve">APC_B2_P1_05</t>
  </si>
  <si>
    <t xml:space="preserve">CCTCGTAAATCCTCATCAAACTTGAGATGTGTAATTGGAAGACTG</t>
  </si>
  <si>
    <t xml:space="preserve">APC_B2_P2_05</t>
  </si>
  <si>
    <t xml:space="preserve">TGTAATTAGTTCTGTGCGGTCTGTCAAATCATCCAGTAAACCGCC</t>
  </si>
  <si>
    <t xml:space="preserve">CTTGAGATGTGTAATTGGAAGACTG</t>
  </si>
  <si>
    <t xml:space="preserve">TGTAATTAGTTCTGTGCGGTCTGTC</t>
  </si>
  <si>
    <t xml:space="preserve">S071-06</t>
  </si>
  <si>
    <t xml:space="preserve">APC_B2_P1_06</t>
  </si>
  <si>
    <t xml:space="preserve">CCTCGTAAATCCTCATCAAAATCGCGCTCGCTCGATCTAGCTGCA</t>
  </si>
  <si>
    <t xml:space="preserve">APC_B2_P2_06</t>
  </si>
  <si>
    <t xml:space="preserve">CCCTCTATAGAGTTGGGACGCCCGTAAATCATCCAGTAAACCGCC</t>
  </si>
  <si>
    <t xml:space="preserve">ATCGCGCTCGCTCGATCTAGCTGCA</t>
  </si>
  <si>
    <t xml:space="preserve">CCCTCTATAGAGTTGGGACGCCCGT</t>
  </si>
  <si>
    <t xml:space="preserve">S071-07</t>
  </si>
  <si>
    <t xml:space="preserve">APC_B2_P1_07</t>
  </si>
  <si>
    <t xml:space="preserve">CCTCGTAAATCCTCATCAAACGTACACTTGAAGAATCGTGTGCTG</t>
  </si>
  <si>
    <t xml:space="preserve">APC_B2_P2_07</t>
  </si>
  <si>
    <t xml:space="preserve">CAATCCGAACCGTTGCTGGAAAAACAAATCATCCAGTAAACCGCC</t>
  </si>
  <si>
    <t xml:space="preserve">CGTACACTTGAAGAATCGTGTGCTG</t>
  </si>
  <si>
    <t xml:space="preserve">CAATCCGAACCGTTGCTGGAAAAAC</t>
  </si>
  <si>
    <t xml:space="preserve">S071-08</t>
  </si>
  <si>
    <t xml:space="preserve">APC_B2_P1_08</t>
  </si>
  <si>
    <t xml:space="preserve">CCTCGTAAATCCTCATCAAACAGGGGAAAGACTAAGAAGAGAAAT</t>
  </si>
  <si>
    <t xml:space="preserve">APC_B2_P2_08</t>
  </si>
  <si>
    <t xml:space="preserve">ATGGTCCGCTGAGGTCAGCATTATTAAATCATCCAGTAAACCGCC</t>
  </si>
  <si>
    <t xml:space="preserve">CAGGGGAAAGACTAAGAAGAGAAAT</t>
  </si>
  <si>
    <t xml:space="preserve">ATGGTCCGCTGAGGTCAGCATTATT</t>
  </si>
  <si>
    <t xml:space="preserve">S071-09</t>
  </si>
  <si>
    <t xml:space="preserve">APC_B2_P1_09</t>
  </si>
  <si>
    <t xml:space="preserve">CCTCGTAAATCCTCATCAAATAAAGGAATACACCCCGCTTGCCTC</t>
  </si>
  <si>
    <t xml:space="preserve">APC_B2_P2_09</t>
  </si>
  <si>
    <t xml:space="preserve">CACTTTTGAATGGATCAGTTGAACCAAATCATCCAGTAAACCGCC</t>
  </si>
  <si>
    <t xml:space="preserve">TAAAGGAATACACCCCGCTTGCCTC</t>
  </si>
  <si>
    <t xml:space="preserve">CACTTTTGAATGGATCAGTTGAACC</t>
  </si>
  <si>
    <t xml:space="preserve">S071-10</t>
  </si>
  <si>
    <t xml:space="preserve">APC_B2_P1_10</t>
  </si>
  <si>
    <t xml:space="preserve">CCTCGTAAATCCTCATCAAAGTGTGAATTATGTTACGGAGCGCCT</t>
  </si>
  <si>
    <t xml:space="preserve">APC_B2_P2_10</t>
  </si>
  <si>
    <t xml:space="preserve">CTCCTGCCAGCCTTGTCATCAGTCTAAATCATCCAGTAAACCGCC</t>
  </si>
  <si>
    <t xml:space="preserve">GTGTGAATTATGTTACGGAGCGCCT</t>
  </si>
  <si>
    <t xml:space="preserve">CTCCTGCCAGCCTTGTCATCAGTCT</t>
  </si>
  <si>
    <t xml:space="preserve">S071-11</t>
  </si>
  <si>
    <t xml:space="preserve">APC_B2_P1_11</t>
  </si>
  <si>
    <t xml:space="preserve">CCTCGTAAATCCTCATCAAACACGTCACGAGTGTCCATCACATTG</t>
  </si>
  <si>
    <t xml:space="preserve">APC_B2_P2_11</t>
  </si>
  <si>
    <t xml:space="preserve">GGCGTTGAACTCCGTATCGTTGTCGAAATCATCCAGTAAACCGCC</t>
  </si>
  <si>
    <t xml:space="preserve">CACGTCACGAGTGTCCATCACATTG</t>
  </si>
  <si>
    <t xml:space="preserve">GGCGTTGAACTCCGTATCGTTGTCG</t>
  </si>
  <si>
    <t xml:space="preserve">S071-12</t>
  </si>
  <si>
    <t xml:space="preserve">APC_B2_P1_12</t>
  </si>
  <si>
    <t xml:space="preserve">CCTCGTAAATCCTCATCAAACTAAAGTTGAAGCGGAGGTCGGTCG</t>
  </si>
  <si>
    <t xml:space="preserve">APC_B2_P2_12</t>
  </si>
  <si>
    <t xml:space="preserve">ACAACCTCGTGGAAGTTCCTCAAGGAAATCATCCAGTAAACCGCC</t>
  </si>
  <si>
    <t xml:space="preserve">CTAAAGTTGAAGCGGAGGTCGGTCG</t>
  </si>
  <si>
    <t xml:space="preserve">ACAACCTCGTGGAAGTTCCTCAAGG</t>
  </si>
  <si>
    <t xml:space="preserve">S071-13</t>
  </si>
  <si>
    <t xml:space="preserve">APC_B2_P1_13</t>
  </si>
  <si>
    <t xml:space="preserve">CCTCGTAAATCCTCATCAAACGTCGACGCCAGAGTCGTTGGGGTC</t>
  </si>
  <si>
    <t xml:space="preserve">APC_B2_P2_13</t>
  </si>
  <si>
    <t xml:space="preserve">TGTCATCCAAAGGGTTGCCGTTCTCAAATCATCCAGTAAACCGCC</t>
  </si>
  <si>
    <t xml:space="preserve">CGTCGACGCCAGAGTCGTTGGGGTC</t>
  </si>
  <si>
    <t xml:space="preserve">TGTCATCCAAAGGGTTGCCGTTCTC</t>
  </si>
  <si>
    <t xml:space="preserve">S071-14</t>
  </si>
  <si>
    <t xml:space="preserve">APC_B2_P1_14</t>
  </si>
  <si>
    <t xml:space="preserve">CCTCGTAAATCCTCATCAAAGGTATCTACCATAACTTCGTTCTCC</t>
  </si>
  <si>
    <t xml:space="preserve">APC_B2_P2_14</t>
  </si>
  <si>
    <t xml:space="preserve">AGAATTAGATGAGTCCATACTGCTCAAATCATCCAGTAAACCGCC</t>
  </si>
  <si>
    <t xml:space="preserve">GGTATCTACCATAACTTCGTTCTCC</t>
  </si>
  <si>
    <t xml:space="preserve">AGAATTAGATGAGTCCATACTGCTC</t>
  </si>
  <si>
    <t xml:space="preserve">S071-15</t>
  </si>
  <si>
    <t xml:space="preserve">APC_B2_P1_15</t>
  </si>
  <si>
    <t xml:space="preserve">CCTCGTAAATCCTCATCAAAGAAGTGTGGCTTTGGGATGCGACAT</t>
  </si>
  <si>
    <t xml:space="preserve">APC_B2_P2_15</t>
  </si>
  <si>
    <t xml:space="preserve">TTCATCCGGCGAAGGAGAGTGATCGAAATCATCCAGTAAACCGCC</t>
  </si>
  <si>
    <t xml:space="preserve">GAAGTGTGGCTTTGGGATGCGACAT</t>
  </si>
  <si>
    <t xml:space="preserve">TTCATCCGGCGAAGGAGAGTGATCG</t>
  </si>
  <si>
    <t xml:space="preserve">S072-01</t>
  </si>
  <si>
    <t xml:space="preserve">apoD_B2_P1_01</t>
  </si>
  <si>
    <t xml:space="preserve">CCTCGTAAATCCTCATCAAACCGCTATAGCTCGGAGAACAGACAT</t>
  </si>
  <si>
    <t xml:space="preserve">apoD_B2_P2_01</t>
  </si>
  <si>
    <t xml:space="preserve">GTAGGCAGAAGAATCCGCAGAGAAAAAATCATCCAGTAAACCGCC</t>
  </si>
  <si>
    <t xml:space="preserve">CCGCTATAGCTCGGAGAACAGACAT</t>
  </si>
  <si>
    <t xml:space="preserve">GTAGGCAGAAGAATCCGCAGAGAAA</t>
  </si>
  <si>
    <t xml:space="preserve">S072-02</t>
  </si>
  <si>
    <t xml:space="preserve">apoD_B2_P1_02</t>
  </si>
  <si>
    <t xml:space="preserve">CCTCGTAAATCCTCATCAAAAACAGCAACATCTGGGCACGCTCCG</t>
  </si>
  <si>
    <t xml:space="preserve">apoD_B2_P2_02</t>
  </si>
  <si>
    <t xml:space="preserve">GTATCTGCTAGCATCAAAATCAGTCAAATCATCCAGTAAACCGCC</t>
  </si>
  <si>
    <t xml:space="preserve">AACAGCAACATCTGGGCACGCTCCG</t>
  </si>
  <si>
    <t xml:space="preserve">GTATCTGCTAGCATCAAAATCAGTC</t>
  </si>
  <si>
    <t xml:space="preserve">S072-03</t>
  </si>
  <si>
    <t xml:space="preserve">apoD_B2_P1_03</t>
  </si>
  <si>
    <t xml:space="preserve">CCTCGTAAATCCTCATCAAACCCCCCAGCTCGAAAGCAGCGAAGT</t>
  </si>
  <si>
    <t xml:space="preserve">apoD_B2_P2_03</t>
  </si>
  <si>
    <t xml:space="preserve">AGCCCGTAGTTGGCGGTGATGCACTAAATCATCCAGTAAACCGCC</t>
  </si>
  <si>
    <t xml:space="preserve">CCCCCCAGCTCGAAAGCAGCGAAGT</t>
  </si>
  <si>
    <t xml:space="preserve">AGCCCGTAGTTGGCGGTGATGCACT</t>
  </si>
  <si>
    <t xml:space="preserve">S072-04</t>
  </si>
  <si>
    <t xml:space="preserve">apoD_B2_P1_04</t>
  </si>
  <si>
    <t xml:space="preserve">CCTCGTAAATCCTCATCAAAGACTTCATTCCCGTAAAAGTGCTTA</t>
  </si>
  <si>
    <t xml:space="preserve">apoD_B2_P2_04</t>
  </si>
  <si>
    <t xml:space="preserve">ACTTGCATGGCCTCTCCTTCTATCTAAATCATCCAGTAAACCGCC</t>
  </si>
  <si>
    <t xml:space="preserve">GACTTCATTCCCGTAAAAGTGCTTA</t>
  </si>
  <si>
    <t xml:space="preserve">ACTTGCATGGCCTCTCCTTCTATCT</t>
  </si>
  <si>
    <t xml:space="preserve">S072-05</t>
  </si>
  <si>
    <t xml:space="preserve">apoD_B2_P1_05</t>
  </si>
  <si>
    <t xml:space="preserve">CCTCGTAAATCCTCATCAAATGACTGGCAGCGACGGAAACCTCAC</t>
  </si>
  <si>
    <t xml:space="preserve">apoD_B2_P2_05</t>
  </si>
  <si>
    <t xml:space="preserve">CGACGACCCAGTACGGCGCCGCCACAAATCATCCAGTAAACCGCC</t>
  </si>
  <si>
    <t xml:space="preserve">TGACTGGCAGCGACGGAAACCTCAC</t>
  </si>
  <si>
    <t xml:space="preserve">CGACGACCCAGTACGGCGCCGCCAC</t>
  </si>
  <si>
    <t xml:space="preserve">S072-06</t>
  </si>
  <si>
    <t xml:space="preserve">apoD_B2_P1_06</t>
  </si>
  <si>
    <t xml:space="preserve">CCTCGTAAATCCTCATCAAAGATGCCGAAGTCATAGCAGCTCCAG</t>
  </si>
  <si>
    <t xml:space="preserve">apoD_B2_P2_06</t>
  </si>
  <si>
    <t xml:space="preserve">AAGTATCCATGCATTTCTTGTGTGGAAATCATCCAGTAAACCGCC</t>
  </si>
  <si>
    <t xml:space="preserve">GATGCCGAAGTCATAGCAGCTCCAG</t>
  </si>
  <si>
    <t xml:space="preserve">AAGTATCCATGCATTTCTTGTGTGG</t>
  </si>
  <si>
    <t xml:space="preserve">S072-07</t>
  </si>
  <si>
    <t xml:space="preserve">apoD_B2_P1_07</t>
  </si>
  <si>
    <t xml:space="preserve">CCTCGTAAATCCTCATCAAATTTGTCGGCTGCTGTGTACGCTTTC</t>
  </si>
  <si>
    <t xml:space="preserve">apoD_B2_P2_07</t>
  </si>
  <si>
    <t xml:space="preserve">CATGAAGTATGCACGGTTAATGTTGAAATCATCCAGTAAACCGCC</t>
  </si>
  <si>
    <t xml:space="preserve">TTTGTCGGCTGCTGTGTACGCTTTC</t>
  </si>
  <si>
    <t xml:space="preserve">CATGAAGTATGCACGGTTAATGTTG</t>
  </si>
  <si>
    <t xml:space="preserve">S073-01</t>
  </si>
  <si>
    <t xml:space="preserve">arrow_B2_P1_01</t>
  </si>
  <si>
    <t xml:space="preserve">CCTCGTAAATCCTCATCAAATTTCCACATTTTCCGTAAAAGCGTC</t>
  </si>
  <si>
    <t xml:space="preserve">arrow_B2_P2_01</t>
  </si>
  <si>
    <t xml:space="preserve">GCATAGTTTTTTGTGTTTCGAATGGAAATCATCCAGTAAACCGCC</t>
  </si>
  <si>
    <t xml:space="preserve">B2_P1 (arrow)_1</t>
  </si>
  <si>
    <t xml:space="preserve">B2_P2 (arrow)_1</t>
  </si>
  <si>
    <t xml:space="preserve">TTTCCACATTTTCCGTAAAAGCGTC</t>
  </si>
  <si>
    <t xml:space="preserve">GCATAGTTTTTTGTGTTTCGAATGG</t>
  </si>
  <si>
    <t xml:space="preserve">S073-02</t>
  </si>
  <si>
    <t xml:space="preserve">arrow_B2_P1_02</t>
  </si>
  <si>
    <t xml:space="preserve">CCTCGTAAATCCTCATCAAATCCACCAGCCTTCGCCCTCACATTC</t>
  </si>
  <si>
    <t xml:space="preserve">arrow_B2_P2_02</t>
  </si>
  <si>
    <t xml:space="preserve">TGCAGCCCCGGCCTTCCTTCGCCTCAAATCATCCAGTAAACCGCC</t>
  </si>
  <si>
    <t xml:space="preserve">B2_P1 (arrow)_2</t>
  </si>
  <si>
    <t xml:space="preserve">B2_P2 (arrow)_2</t>
  </si>
  <si>
    <t xml:space="preserve">TCCACCAGCCTTCGCCCTCACATTC</t>
  </si>
  <si>
    <t xml:space="preserve">TGCAGCCCCGGCCTTCCTTCGCCTC</t>
  </si>
  <si>
    <t xml:space="preserve">S073-03</t>
  </si>
  <si>
    <t xml:space="preserve">arrow_B2_P1_03</t>
  </si>
  <si>
    <t xml:space="preserve">CCTCGTAAATCCTCATCAAACAATTTTTTGTTCAGAGTTTTAGCA</t>
  </si>
  <si>
    <t xml:space="preserve">arrow_B2_P2_03</t>
  </si>
  <si>
    <t xml:space="preserve">GGCGCTGATGTCCAAGTTCACCCTCAAATCATCCAGTAAACCGCC</t>
  </si>
  <si>
    <t xml:space="preserve">B2_P1 (arrow)_3</t>
  </si>
  <si>
    <t xml:space="preserve">B2_P2 (arrow)_3</t>
  </si>
  <si>
    <t xml:space="preserve">CAATTTTTTGTTCAGAGTTTTAGCA</t>
  </si>
  <si>
    <t xml:space="preserve">GGCGCTGATGTCCAAGTTCACCCTC</t>
  </si>
  <si>
    <t xml:space="preserve">S074-01</t>
  </si>
  <si>
    <t xml:space="preserve">arylphorin-alpha_B2_P1_01</t>
  </si>
  <si>
    <t xml:space="preserve">CCTCGTAAATCCTCATCAAAGTCTGGATTCAAATAAACACCACTA</t>
  </si>
  <si>
    <t xml:space="preserve">arylphorin-alpha_B2_P2_01</t>
  </si>
  <si>
    <t xml:space="preserve">TTTGAGGTTTTGGAAATTGCCAACAAAATCATCCAGTAAACCGCC</t>
  </si>
  <si>
    <t xml:space="preserve">B2_P1 (arylphorin_alpha)_1</t>
  </si>
  <si>
    <t xml:space="preserve">B2_P2 (arylphorin_alpha)_1</t>
  </si>
  <si>
    <t xml:space="preserve">GTCTGGATTCAAATAAACACCACTA</t>
  </si>
  <si>
    <t xml:space="preserve">TTTGAGGTTTTGGAAATTGCCAACA</t>
  </si>
  <si>
    <t xml:space="preserve">S074-02</t>
  </si>
  <si>
    <t xml:space="preserve">arylphorin-alpha_B2_P1_02</t>
  </si>
  <si>
    <t xml:space="preserve">CCTCGTAAATCCTCATCAAATGAACTCTGTGAAAATTTCTCCCTT</t>
  </si>
  <si>
    <t xml:space="preserve">arylphorin-alpha_B2_P2_02</t>
  </si>
  <si>
    <t xml:space="preserve">CTTGCAGCTCATTCATGTGGTCAGGAAATCATCCAGTAAACCGCC</t>
  </si>
  <si>
    <t xml:space="preserve">B2_P1 (arylphorin_alpha)_2</t>
  </si>
  <si>
    <t xml:space="preserve">B2_P2 (arylphorin_alpha)_2</t>
  </si>
  <si>
    <t xml:space="preserve">TGAACTCTGTGAAAATTTCTCCCTT</t>
  </si>
  <si>
    <t xml:space="preserve">CTTGCAGCTCATTCATGTGGTCAGG</t>
  </si>
  <si>
    <t xml:space="preserve">S074-03</t>
  </si>
  <si>
    <t xml:space="preserve">arylphorin-alpha_B2_P1_03</t>
  </si>
  <si>
    <t xml:space="preserve">CCTCGTAAATCCTCATCAAAAATGTATCAAAGTCTCTTGCGTAGT</t>
  </si>
  <si>
    <t xml:space="preserve">arylphorin-alpha_B2_P2_03</t>
  </si>
  <si>
    <t xml:space="preserve">TGACGGGCCCAGCAAGCTGCTTTGTAAATCATCCAGTAAACCGCC</t>
  </si>
  <si>
    <t xml:space="preserve">B2_P1 (arylphorin_alpha)_3</t>
  </si>
  <si>
    <t xml:space="preserve">B2_P2 (arylphorin_alpha)_3</t>
  </si>
  <si>
    <t xml:space="preserve">AATGTATCAAAGTCTCTTGCGTAGT</t>
  </si>
  <si>
    <t xml:space="preserve">TGACGGGCCCAGCAAGCTGCTTTGT</t>
  </si>
  <si>
    <t xml:space="preserve">S074-04</t>
  </si>
  <si>
    <t xml:space="preserve">arylphorin-alpha_B2_P1_04</t>
  </si>
  <si>
    <t xml:space="preserve">CCTCGTAAATCCTCATCAAAAGCCAAGTATATGGCGTCAATGAAT</t>
  </si>
  <si>
    <t xml:space="preserve">arylphorin-alpha_B2_P2_04</t>
  </si>
  <si>
    <t xml:space="preserve">CTTTTCTGTGTCACGCCTGTTAAGAAAATCATCCAGTAAACCGCC</t>
  </si>
  <si>
    <t xml:space="preserve">B2_P1 (arylphorin_alpha)_4</t>
  </si>
  <si>
    <t xml:space="preserve">B2_P2 (arylphorin_alpha)_4</t>
  </si>
  <si>
    <t xml:space="preserve">AGCCAAGTATATGGCGTCAATGAAT</t>
  </si>
  <si>
    <t xml:space="preserve">CTTTTCTGTGTCACGCCTGTTAAGA</t>
  </si>
  <si>
    <t xml:space="preserve">S074-05</t>
  </si>
  <si>
    <t xml:space="preserve">arylphorin-alpha_B2_P1_05</t>
  </si>
  <si>
    <t xml:space="preserve">CCTCGTAAATCCTCATCAAACGAAATAGTTTGGTAAGATCTCATA</t>
  </si>
  <si>
    <t xml:space="preserve">arylphorin-alpha_B2_P2_05</t>
  </si>
  <si>
    <t xml:space="preserve">ATGCTTTTACTATATAACCCTTCCTAAATCATCCAGTAAACCGCC</t>
  </si>
  <si>
    <t xml:space="preserve">B2_P1 (arylphorin_alpha)_5</t>
  </si>
  <si>
    <t xml:space="preserve">B2_P2 (arylphorin_alpha)_5</t>
  </si>
  <si>
    <t xml:space="preserve">CGAAATAGTTTGGTAAGATCTCATA</t>
  </si>
  <si>
    <t xml:space="preserve">ATGCTTTTACTATATAACCCTTCCT</t>
  </si>
  <si>
    <t xml:space="preserve">S074-06</t>
  </si>
  <si>
    <t xml:space="preserve">arylphorin-alpha_B2_P1_06</t>
  </si>
  <si>
    <t xml:space="preserve">CCTCGTAAATCCTCATCAAAACGCAGTCGGTCATCAAAACTGGTT</t>
  </si>
  <si>
    <t xml:space="preserve">arylphorin-alpha_B2_P2_06</t>
  </si>
  <si>
    <t xml:space="preserve">AGAATGTATGAGTTTCCTTCGTTTCAAATCATCCAGTAAACCGCC</t>
  </si>
  <si>
    <t xml:space="preserve">B2_P1 (arylphorin_alpha)_6</t>
  </si>
  <si>
    <t xml:space="preserve">B2_P2 (arylphorin_alpha)_6</t>
  </si>
  <si>
    <t xml:space="preserve">ACGCAGTCGGTCATCAAAACTGGTT</t>
  </si>
  <si>
    <t xml:space="preserve">AGAATGTATGAGTTTCCTTCGTTTC</t>
  </si>
  <si>
    <t xml:space="preserve">S075-01</t>
  </si>
  <si>
    <t xml:space="preserve">axin_B2_P1_01</t>
  </si>
  <si>
    <t xml:space="preserve">CCTCGTAAATCCTCATCAAAGAACGGTGATAGAGGTTTGACACTT</t>
  </si>
  <si>
    <t xml:space="preserve">axin_B2_P2_01</t>
  </si>
  <si>
    <t xml:space="preserve">CTTGGCTCGGGTTGCTTTTGTATACAAATCATCCAGTAAACCGCC</t>
  </si>
  <si>
    <t xml:space="preserve">B2_P1 (axin)_1</t>
  </si>
  <si>
    <t xml:space="preserve">B2_P2 (axin)_1</t>
  </si>
  <si>
    <t xml:space="preserve">GAACGGTGATAGAGGTTTGACACTT</t>
  </si>
  <si>
    <t xml:space="preserve">CTTGGCTCGGGTTGCTTTTGTATAC</t>
  </si>
  <si>
    <t xml:space="preserve">S075-02</t>
  </si>
  <si>
    <t xml:space="preserve">axin_B2_P1_02</t>
  </si>
  <si>
    <t xml:space="preserve">CCTCGTAAATCCTCATCAAAACGCGTTAAATAGGAAAGTTAACGT</t>
  </si>
  <si>
    <t xml:space="preserve">axin_B2_P2_02</t>
  </si>
  <si>
    <t xml:space="preserve">TTGATCTGTACAAAACGGGAATAGAAAATCATCCAGTAAACCGCC</t>
  </si>
  <si>
    <t xml:space="preserve">B2_P1 (axin)_2</t>
  </si>
  <si>
    <t xml:space="preserve">B2_P2 (axin)_2</t>
  </si>
  <si>
    <t xml:space="preserve">ACGCGTTAAATAGGAAAGTTAACGT</t>
  </si>
  <si>
    <t xml:space="preserve">TTGATCTGTACAAAACGGGAATAGA</t>
  </si>
  <si>
    <t xml:space="preserve">S075-03</t>
  </si>
  <si>
    <t xml:space="preserve">axin_B2_P1_03</t>
  </si>
  <si>
    <t xml:space="preserve">CCTCGTAAATCCTCATCAAACCGCGCGCTGCATGGCGAGACACTA</t>
  </si>
  <si>
    <t xml:space="preserve">axin_B2_P2_03</t>
  </si>
  <si>
    <t xml:space="preserve">CTCATGGCGCACAGGCCCTGCTCCCAAATCATCCAGTAAACCGCC</t>
  </si>
  <si>
    <t xml:space="preserve">B2_P1 (axin)_3</t>
  </si>
  <si>
    <t xml:space="preserve">B2_P2 (axin)_3</t>
  </si>
  <si>
    <t xml:space="preserve">CCGCGCGCTGCATGGCGAGACACTA</t>
  </si>
  <si>
    <t xml:space="preserve">CTCATGGCGCACAGGCCCTGCTCCC</t>
  </si>
  <si>
    <t xml:space="preserve">S075-04</t>
  </si>
  <si>
    <t xml:space="preserve">axin_B2_P1_04</t>
  </si>
  <si>
    <t xml:space="preserve">CCTCGTAAATCCTCATCAAAAATAGGAGTGTGGCTCATGGCGCAC</t>
  </si>
  <si>
    <t xml:space="preserve">axin_B2_P2_04</t>
  </si>
  <si>
    <t xml:space="preserve">GTGCTCCCAACCTTGCGGGTGGCCGAAATCATCCAGTAAACCGCC</t>
  </si>
  <si>
    <t xml:space="preserve">AATAGGAGTGTGGCTCATGGCGCAC</t>
  </si>
  <si>
    <t xml:space="preserve">GTGCTCCCAACCTTGCGGGTGGCCG</t>
  </si>
  <si>
    <t xml:space="preserve">S075-05</t>
  </si>
  <si>
    <t xml:space="preserve">axin_B2_P1_05</t>
  </si>
  <si>
    <t xml:space="preserve">CCTCGTAAATCCTCATCAAATTACTCTTCTCCTCCCCCGGCGCCG</t>
  </si>
  <si>
    <t xml:space="preserve">axin_B2_P2_05</t>
  </si>
  <si>
    <t xml:space="preserve">TGTGCGAATACATGTCTGGCCTGAGAAATCATCCAGTAAACCGCC</t>
  </si>
  <si>
    <t xml:space="preserve">TTACTCTTCTCCTCCCCCGGCGCCG</t>
  </si>
  <si>
    <t xml:space="preserve">TGTGCGAATACATGTCTGGCCTGAG</t>
  </si>
  <si>
    <t xml:space="preserve">S075-06</t>
  </si>
  <si>
    <t xml:space="preserve">axin_B2_P1_06</t>
  </si>
  <si>
    <t xml:space="preserve">CCTCGTAAATCCTCATCAAAAGCCTTCCGTCTCCTCGCGCCACGA</t>
  </si>
  <si>
    <t xml:space="preserve">axin_B2_P2_06</t>
  </si>
  <si>
    <t xml:space="preserve">CGGGCGAGCGCGCGGAGCTGCCCGAAAATCATCCAGTAAACCGCC</t>
  </si>
  <si>
    <t xml:space="preserve">AGCCTTCCGTCTCCTCGCGCCACGA</t>
  </si>
  <si>
    <t xml:space="preserve">CGGGCGAGCGCGCGGAGCTGCCCGA</t>
  </si>
  <si>
    <t xml:space="preserve">S075-07</t>
  </si>
  <si>
    <t xml:space="preserve">axin_B2_P1_07</t>
  </si>
  <si>
    <t xml:space="preserve">CCTCGTAAATCCTCATCAAAGTCCTCGAGCAGATGGTGCAAGGTC</t>
  </si>
  <si>
    <t xml:space="preserve">axin_B2_P2_07</t>
  </si>
  <si>
    <t xml:space="preserve">CTTGCGGAACAGACGCACGCCCTCCAAATCATCCAGTAAACCGCC</t>
  </si>
  <si>
    <t xml:space="preserve">B2_P1 (axin)_4; pang_axin_naked</t>
  </si>
  <si>
    <t xml:space="preserve">B2_P2 (axin)_4; pang_axin_naked</t>
  </si>
  <si>
    <t xml:space="preserve">GTCCTCGAGCAGATGGTGCAAGGTC</t>
  </si>
  <si>
    <t xml:space="preserve">CTTGCGGAACAGACGCACGCCCTCC</t>
  </si>
  <si>
    <t xml:space="preserve">Master (Jul 2024); pang_axin_naked oPool</t>
  </si>
  <si>
    <t xml:space="preserve">S075-08</t>
  </si>
  <si>
    <t xml:space="preserve">axin_B2_P1_08</t>
  </si>
  <si>
    <t xml:space="preserve">CCTCGTAAATCCTCATCAAAAGTTGAGCCGGTCCACGTGCAGCCC</t>
  </si>
  <si>
    <t xml:space="preserve">axin_B2_P2_08</t>
  </si>
  <si>
    <t xml:space="preserve">GGCGCAGGCCCTGCACGGCGAAGTAAAATCATCCAGTAAACCGCC</t>
  </si>
  <si>
    <t xml:space="preserve">B2_P1 (axin)_5</t>
  </si>
  <si>
    <t xml:space="preserve">B2_P2 (axin)_5</t>
  </si>
  <si>
    <t xml:space="preserve">AGTTGAGCCGGTCCACGTGCAGCCC</t>
  </si>
  <si>
    <t xml:space="preserve">GGCGCAGGCCCTGCACGGCGAAGTA</t>
  </si>
  <si>
    <t xml:space="preserve">S075-09</t>
  </si>
  <si>
    <t xml:space="preserve">axin_B2_P1_09</t>
  </si>
  <si>
    <t xml:space="preserve">CCTCGTAAATCCTCATCAAAGCGAAGTAGAAGTTGAGCCGGTCCA</t>
  </si>
  <si>
    <t xml:space="preserve">axin_B2_P2_09</t>
  </si>
  <si>
    <t xml:space="preserve">TCGCTCTCCTGGCGCAGGCCCTGCAAAATCATCCAGTAAACCGCC</t>
  </si>
  <si>
    <t xml:space="preserve">GCGAAGTAGAAGTTGAGCCGGTCCA</t>
  </si>
  <si>
    <t xml:space="preserve">TCGCTCTCCTGGCGCAGGCCCTGCA</t>
  </si>
  <si>
    <t xml:space="preserve">S075-10</t>
  </si>
  <si>
    <t xml:space="preserve">axin_B2_P1_10</t>
  </si>
  <si>
    <t xml:space="preserve">CCTCGTAAATCCTCATCAAAATCGCGGAGACGACCTGCCGTATCT</t>
  </si>
  <si>
    <t xml:space="preserve">axin_B2_P2_10</t>
  </si>
  <si>
    <t xml:space="preserve">AGCTGAGACTTGCGCAAAAACTTGTAAATCATCCAGTAAACCGCC</t>
  </si>
  <si>
    <t xml:space="preserve">B2_P1 (axin)_6</t>
  </si>
  <si>
    <t xml:space="preserve">B2_P2 (axin)_6</t>
  </si>
  <si>
    <t xml:space="preserve">ATCGCGGAGACGACCTGCCGTATCT</t>
  </si>
  <si>
    <t xml:space="preserve">AGCTGAGACTTGCGCAAAAACTTGT</t>
  </si>
  <si>
    <t xml:space="preserve">S075-11</t>
  </si>
  <si>
    <t xml:space="preserve">axin_B2_P1_11</t>
  </si>
  <si>
    <t xml:space="preserve">CCTCGTAAATCCTCATCAAAACTTGCGCAGAAACTTGTATATCGC</t>
  </si>
  <si>
    <t xml:space="preserve">axin_B2_P2_11</t>
  </si>
  <si>
    <t xml:space="preserve">TCAGCTCCTCGGGCATCGCTAGCTGAAATCATCCAGTAAACCGCC</t>
  </si>
  <si>
    <t xml:space="preserve">ACTTGCGCAGAAACTTGTATATCGC</t>
  </si>
  <si>
    <t xml:space="preserve">TCAGCTCCTCGGGCATCGCTAGCTG</t>
  </si>
  <si>
    <t xml:space="preserve">S075-12</t>
  </si>
  <si>
    <t xml:space="preserve">axin_B2_P1_12</t>
  </si>
  <si>
    <t xml:space="preserve">CCTCGTAAATCCTCATCAAAGAGGCCCTGCTTCACACGCTGCTTC</t>
  </si>
  <si>
    <t xml:space="preserve">axin_B2_P2_12</t>
  </si>
  <si>
    <t xml:space="preserve">GGTCTTCTCGATGTTGGTGCCATCTAAATCATCCAGTAAACCGCC</t>
  </si>
  <si>
    <t xml:space="preserve">B2_P1 (axin)_7</t>
  </si>
  <si>
    <t xml:space="preserve">B2_P2 (axin)_7</t>
  </si>
  <si>
    <t xml:space="preserve">GAGGCCCTGCTTCACACGCTGCTTC</t>
  </si>
  <si>
    <t xml:space="preserve">GGTCTTCTCGATGTTGGTGCCATCT</t>
  </si>
  <si>
    <t xml:space="preserve">S075-13</t>
  </si>
  <si>
    <t xml:space="preserve">axin_B2_P1_13</t>
  </si>
  <si>
    <t xml:space="preserve">CCTCGTAAATCCTCATCAAACCGTGATCGCGCGCGTCACCTCCTG</t>
  </si>
  <si>
    <t xml:space="preserve">axin_B2_P2_13</t>
  </si>
  <si>
    <t xml:space="preserve">AGCGCAGGAACGACTGGTACGTCGAAAATCATCCAGTAAACCGCC</t>
  </si>
  <si>
    <t xml:space="preserve">B2_P1 (axin)_8</t>
  </si>
  <si>
    <t xml:space="preserve">B2_P2 (axin)_8</t>
  </si>
  <si>
    <t xml:space="preserve">CCGTGATCGCGCGCGTCACCTCCTG</t>
  </si>
  <si>
    <t xml:space="preserve">AGCGCAGGAACGACTGGTACGTCGA</t>
  </si>
  <si>
    <t xml:space="preserve">S075-14</t>
  </si>
  <si>
    <t xml:space="preserve">axin_B2_P1_14</t>
  </si>
  <si>
    <t xml:space="preserve">CCTCGTAAATCCTCATCAAAACGTAGGCGTCCGAGCGCAGGAACG</t>
  </si>
  <si>
    <t xml:space="preserve">axin_B2_P2_14</t>
  </si>
  <si>
    <t xml:space="preserve">GGCTGCGTGGCCGCGCTCACGTACGAAATCATCCAGTAAACCGCC</t>
  </si>
  <si>
    <t xml:space="preserve">ACGTAGGCGTCCGAGCGCAGGAACG</t>
  </si>
  <si>
    <t xml:space="preserve">GGCTGCGTGGCCGCGCTCACGTACG</t>
  </si>
  <si>
    <t xml:space="preserve">S075-15</t>
  </si>
  <si>
    <t xml:space="preserve">axin_B2_P1_15</t>
  </si>
  <si>
    <t xml:space="preserve">CCTCGTAAATCCTCATCAAACTCCTCCGCACATTTCTCTCGAGTG</t>
  </si>
  <si>
    <t xml:space="preserve">axin_B2_P2_15</t>
  </si>
  <si>
    <t xml:space="preserve">CCTGGCCTTCGTGGAGCGTGGCGAGAAATCATCCAGTAAACCGCC</t>
  </si>
  <si>
    <t xml:space="preserve">CTCCTCCGCACATTTCTCTCGAGTG</t>
  </si>
  <si>
    <t xml:space="preserve">CCTGGCCTTCGTGGAGCGTGGCGAG</t>
  </si>
  <si>
    <t xml:space="preserve">S075-16</t>
  </si>
  <si>
    <t xml:space="preserve">axin_B2_P1_16</t>
  </si>
  <si>
    <t xml:space="preserve">CCTCGTAAATCCTCATCAAAGCCCACGGCCGCAGCGCCCACGACC</t>
  </si>
  <si>
    <t xml:space="preserve">axin_B2_P2_16</t>
  </si>
  <si>
    <t xml:space="preserve">GATTAGCGCGTCGTGCGTGAGTCTTAAATCATCCAGTAAACCGCC</t>
  </si>
  <si>
    <t xml:space="preserve">GCCCACGGCCGCAGCGCCCACGACC</t>
  </si>
  <si>
    <t xml:space="preserve">GATTAGCGCGTCGTGCGTGAGTCTT</t>
  </si>
  <si>
    <t xml:space="preserve">S075-17</t>
  </si>
  <si>
    <t xml:space="preserve">axin_B2_P1_17</t>
  </si>
  <si>
    <t xml:space="preserve">CCTCGTAAATCCTCATCAAAGACCGCTTGCGGTGCGGTGCGACAT</t>
  </si>
  <si>
    <t xml:space="preserve">axin_B2_P2_17</t>
  </si>
  <si>
    <t xml:space="preserve">GCGTACGACACGTGCGCGCTGTACAAAATCATCCAGTAAACCGCC</t>
  </si>
  <si>
    <t xml:space="preserve">GACCGCTTGCGGTGCGGTGCGACAT</t>
  </si>
  <si>
    <t xml:space="preserve">GCGTACGACACGTGCGCGCTGTACA</t>
  </si>
  <si>
    <t xml:space="preserve">S075-18</t>
  </si>
  <si>
    <t xml:space="preserve">axin_B2_P1_18</t>
  </si>
  <si>
    <t xml:space="preserve">CCTCGTAAATCCTCATCAAACGCTGCTGAGACTGGCGCGCTCCGA</t>
  </si>
  <si>
    <t xml:space="preserve">axin_B2_P2_18</t>
  </si>
  <si>
    <t xml:space="preserve">GCGACACAGCATCGCTGTCGGTGCGAAATCATCCAGTAAACCGCC</t>
  </si>
  <si>
    <t xml:space="preserve">CGCTGCTGAGACTGGCGCGCTCCGA</t>
  </si>
  <si>
    <t xml:space="preserve">GCGACACAGCATCGCTGTCGGTGCG</t>
  </si>
  <si>
    <t xml:space="preserve">S075-19</t>
  </si>
  <si>
    <t xml:space="preserve">axin_B2_P1_19</t>
  </si>
  <si>
    <t xml:space="preserve">CCTCGTAAATCCTCATCAAAGCGGCTCTCGCGCGCGCCGCGCATC</t>
  </si>
  <si>
    <t xml:space="preserve">axin_B2_P2_19</t>
  </si>
  <si>
    <t xml:space="preserve">GTACAGGCGCGGCCGGTGGCGCGACAAATCATCCAGTAAACCGCC</t>
  </si>
  <si>
    <t xml:space="preserve">GCGGCTCTCGCGCGCGCCGCGCATC</t>
  </si>
  <si>
    <t xml:space="preserve">GTACAGGCGCGGCCGGTGGCGCGAC</t>
  </si>
  <si>
    <t xml:space="preserve">S075-20</t>
  </si>
  <si>
    <t xml:space="preserve">axin_B2_P1_20</t>
  </si>
  <si>
    <t xml:space="preserve">CCTCGTAAATCCTCATCAAAGGTATCATCATGGCCGTGTCCTGCT</t>
  </si>
  <si>
    <t xml:space="preserve">axin_B2_P2_20</t>
  </si>
  <si>
    <t xml:space="preserve">TGCTCCGACTGCACGCGCTGCGTCCAAATCATCCAGTAAACCGCC</t>
  </si>
  <si>
    <t xml:space="preserve">GGTATCATCATGGCCGTGTCCTGCT</t>
  </si>
  <si>
    <t xml:space="preserve">TGCTCCGACTGCACGCGCTGCGTCC</t>
  </si>
  <si>
    <t xml:space="preserve">S075-21</t>
  </si>
  <si>
    <t xml:space="preserve">axin_B2_P1_21</t>
  </si>
  <si>
    <t xml:space="preserve">CCTCGTAAATCCTCATCAAACCAGCTTCTCGATGAGCAGCGGCGC</t>
  </si>
  <si>
    <t xml:space="preserve">axin_B2_P2_21</t>
  </si>
  <si>
    <t xml:space="preserve">TGTTCTCCTGCTCGCGCTTGACCCGAAATCATCCAGTAAACCGCC</t>
  </si>
  <si>
    <t xml:space="preserve">CCAGCTTCTCGATGAGCAGCGGCGC</t>
  </si>
  <si>
    <t xml:space="preserve">TGTTCTCCTGCTCGCGCTTGACCCG</t>
  </si>
  <si>
    <t xml:space="preserve">S075-22</t>
  </si>
  <si>
    <t xml:space="preserve">axin_B2_P1_22</t>
  </si>
  <si>
    <t xml:space="preserve">CCTCGTAAATCCTCATCAAAGATGGTCTTCTCGATGTTGATGCCA</t>
  </si>
  <si>
    <t xml:space="preserve">axin_B2_P2_22</t>
  </si>
  <si>
    <t xml:space="preserve">CGTTACCTCCTGCTCCATATTGTCAAAATCATCCAGTAAACCGCC</t>
  </si>
  <si>
    <t xml:space="preserve">GATGGTCTTCTCGATGTTGATGCCA</t>
  </si>
  <si>
    <t xml:space="preserve">CGTTACCTCCTGCTCCATATTGTCA</t>
  </si>
  <si>
    <t xml:space="preserve">S076-01</t>
  </si>
  <si>
    <t xml:space="preserve">barh1_B2_P1_01</t>
  </si>
  <si>
    <t xml:space="preserve">CCTCGTAAATCCTCATCAAATTGACGCCTTCTCCTCTCCTCTCTT</t>
  </si>
  <si>
    <t xml:space="preserve">barh1_B2_P2_01</t>
  </si>
  <si>
    <t xml:space="preserve">GATAGAATGTCCAGTATGGAAAAGCAAATCATCCAGTAAACCGCC</t>
  </si>
  <si>
    <t xml:space="preserve">B2_P1 (barh1)_1</t>
  </si>
  <si>
    <t xml:space="preserve">B2_P2 (barh1)_1</t>
  </si>
  <si>
    <t xml:space="preserve">TTGACGCCTTCTCCTCTCCTCTCTT</t>
  </si>
  <si>
    <t xml:space="preserve">GATAGAATGTCCAGTATGGAAAAGC</t>
  </si>
  <si>
    <t xml:space="preserve">S076-02</t>
  </si>
  <si>
    <t xml:space="preserve">barh1_B2_P1_02</t>
  </si>
  <si>
    <t xml:space="preserve">CCTCGTAAATCCTCATCAAAATCCCAGGGTCTTACGATCCGCGGA</t>
  </si>
  <si>
    <t xml:space="preserve">barh1_B2_P2_02</t>
  </si>
  <si>
    <t xml:space="preserve">TCGCTGCAAACGCTCGAACCCTGACAAATCATCCAGTAAACCGCC</t>
  </si>
  <si>
    <t xml:space="preserve">B2_P1 (barh1)_2</t>
  </si>
  <si>
    <t xml:space="preserve">B2_P2 (barh1)_2</t>
  </si>
  <si>
    <t xml:space="preserve">ATCCCAGGGTCTTACGATCCGCGGA</t>
  </si>
  <si>
    <t xml:space="preserve">TCGCTGCAAACGCTCGAACCCTGAC</t>
  </si>
  <si>
    <t xml:space="preserve">S076-03</t>
  </si>
  <si>
    <t xml:space="preserve">barh1_B2_P1_03</t>
  </si>
  <si>
    <t xml:space="preserve">CCTCGTAAATCCTCATCAAAAGCGCTCGCCGTCCAATAACGCAGC</t>
  </si>
  <si>
    <t xml:space="preserve">barh1_B2_P2_03</t>
  </si>
  <si>
    <t xml:space="preserve">TCAACAATCCTAGAGCCGCCAGTCTAAATCATCCAGTAAACCGCC</t>
  </si>
  <si>
    <t xml:space="preserve">B2_P1 (barh1)_3</t>
  </si>
  <si>
    <t xml:space="preserve">B2_P2 (barh1)_3</t>
  </si>
  <si>
    <t xml:space="preserve">AGCGCTCGCCGTCCAATAACGCAGC</t>
  </si>
  <si>
    <t xml:space="preserve">TCAACAATCCTAGAGCCGCCAGTCT</t>
  </si>
  <si>
    <t xml:space="preserve">S076-04</t>
  </si>
  <si>
    <t xml:space="preserve">barh1_B2_P1_04</t>
  </si>
  <si>
    <t xml:space="preserve">CCTCGTAAATCCTCATCAAATCAGACGCTGAATCACAGCACTCCG</t>
  </si>
  <si>
    <t xml:space="preserve">barh1_B2_P2_04</t>
  </si>
  <si>
    <t xml:space="preserve">CAGCAATCCGAGGCGGACGAAGACCAAATCATCCAGTAAACCGCC</t>
  </si>
  <si>
    <t xml:space="preserve">B2_P1 (barh1)_4</t>
  </si>
  <si>
    <t xml:space="preserve">B2_P2 (barh1)_4</t>
  </si>
  <si>
    <t xml:space="preserve">TCAGACGCTGAATCACAGCACTCCG</t>
  </si>
  <si>
    <t xml:space="preserve">CAGCAATCCGAGGCGGACGAAGACC</t>
  </si>
  <si>
    <t xml:space="preserve">S076-05</t>
  </si>
  <si>
    <t xml:space="preserve">barh1_B2_P1_05</t>
  </si>
  <si>
    <t xml:space="preserve">CCTCGTAAATCCTCATCAAACGGCGCCGTAGATCCTCCCTGCGAC</t>
  </si>
  <si>
    <t xml:space="preserve">barh1_B2_P2_05</t>
  </si>
  <si>
    <t xml:space="preserve">GTGGAACAGAGCATCTAGCGGTGTGAAATCATCCAGTAAACCGCC</t>
  </si>
  <si>
    <t xml:space="preserve">B2_P1 (barh1)_5</t>
  </si>
  <si>
    <t xml:space="preserve">B2_P2 (barh1)_5</t>
  </si>
  <si>
    <t xml:space="preserve">CGGCGCCGTAGATCCTCCCTGCGAC</t>
  </si>
  <si>
    <t xml:space="preserve">GTGGAACAGAGCATCTAGCGGTGTG</t>
  </si>
  <si>
    <t xml:space="preserve">S076-06</t>
  </si>
  <si>
    <t xml:space="preserve">barh1_B2_P1_06</t>
  </si>
  <si>
    <t xml:space="preserve">CCTCGTAAATCCTCATCAAACTCCACTGTCAGCATTATTCGCCTC</t>
  </si>
  <si>
    <t xml:space="preserve">barh1_B2_P2_06</t>
  </si>
  <si>
    <t xml:space="preserve">TGAAGAGGTTCAAGTGATTTTGACCAAATCATCCAGTAAACCGCC</t>
  </si>
  <si>
    <t xml:space="preserve">B2_P1 (barh1)_6</t>
  </si>
  <si>
    <t xml:space="preserve">B2_P2 (barh1)_6</t>
  </si>
  <si>
    <t xml:space="preserve">CTCCACTGTCAGCATTATTCGCCTC</t>
  </si>
  <si>
    <t xml:space="preserve">TGAAGAGGTTCAAGTGATTTTGACC</t>
  </si>
  <si>
    <t xml:space="preserve">S077-01</t>
  </si>
  <si>
    <t xml:space="preserve">blistered_B2_P1_01</t>
  </si>
  <si>
    <t xml:space="preserve">CCTCGTAAATCCTCATCAAATGCATGCCGGGCCGGAGCCCCAGCG</t>
  </si>
  <si>
    <t xml:space="preserve">blistered_B2_P2_01</t>
  </si>
  <si>
    <t xml:space="preserve">CGCTTGACTCCGCGCGACGGGCAGGAAATCATCCAGTAAACCGCC</t>
  </si>
  <si>
    <t xml:space="preserve">B2_P1 (bls)_1</t>
  </si>
  <si>
    <t xml:space="preserve">B2_P2 (bls)_1</t>
  </si>
  <si>
    <t xml:space="preserve">TGCATGCCGGGCCGGAGCCCCAGCG</t>
  </si>
  <si>
    <t xml:space="preserve">CGCTTGACTCCGCGCGACGGGCAGG</t>
  </si>
  <si>
    <t xml:space="preserve">S077-02</t>
  </si>
  <si>
    <t xml:space="preserve">blistered_B2_P1_02</t>
  </si>
  <si>
    <t xml:space="preserve">CCTCGTAAATCCTCATCAAAGCCCAGGCTCTGCGGCCGCTCCTCG</t>
  </si>
  <si>
    <t xml:space="preserve">blistered_B2_P2_02</t>
  </si>
  <si>
    <t xml:space="preserve">GATGTCGGGCAGCGCGCAGTGCTCCAAATCATCCAGTAAACCGCC</t>
  </si>
  <si>
    <t xml:space="preserve">B2_P1 (bls)_2</t>
  </si>
  <si>
    <t xml:space="preserve">B2_P2 (bls)_2</t>
  </si>
  <si>
    <t xml:space="preserve">GCCCAGGCTCTGCGGCCGCTCCTCG</t>
  </si>
  <si>
    <t xml:space="preserve">GATGTCGGGCAGCGCGCAGTGCTCC</t>
  </si>
  <si>
    <t xml:space="preserve">S077-03</t>
  </si>
  <si>
    <t xml:space="preserve">blistered_B2_P1_03</t>
  </si>
  <si>
    <t xml:space="preserve">CCTCGTAAATCCTCATCAAAGCGGCGACTTCTTGGGCTGCAGCGA</t>
  </si>
  <si>
    <t xml:space="preserve">blistered_B2_P2_03</t>
  </si>
  <si>
    <t xml:space="preserve">GGCCCTTGGTCTTCTTGCCGTTGGAAAATCATCCAGTAAACCGCC</t>
  </si>
  <si>
    <t xml:space="preserve">B2_P1 (bls)_3</t>
  </si>
  <si>
    <t xml:space="preserve">B2_P2 (bls)_3</t>
  </si>
  <si>
    <t xml:space="preserve">GCGGCGACTTCTTGGGCTGCAGCGA</t>
  </si>
  <si>
    <t xml:space="preserve">GGCCCTTGGTCTTCTTGCCGTTGGA</t>
  </si>
  <si>
    <t xml:space="preserve">S077-04</t>
  </si>
  <si>
    <t xml:space="preserve">blistered_B2_P1_04</t>
  </si>
  <si>
    <t xml:space="preserve">CCTCGTAAATCCTCATCAAACGACGCAGCTTGTTGTCAATGTACT</t>
  </si>
  <si>
    <t xml:space="preserve">blistered_B2_P2_04</t>
  </si>
  <si>
    <t xml:space="preserve">GTTTTCCGCTTGGAGAAGGTGGTGTAAATCATCCAGTAAACCGCC</t>
  </si>
  <si>
    <t xml:space="preserve">B2_P1 (bls)_4</t>
  </si>
  <si>
    <t xml:space="preserve">B2_P2 (bls)_4</t>
  </si>
  <si>
    <t xml:space="preserve">CGACGCAGCTTGTTGTCAATGTACT</t>
  </si>
  <si>
    <t xml:space="preserve">GTTTTCCGCTTGGAGAAGGTGGTGT</t>
  </si>
  <si>
    <t xml:space="preserve">S077-05</t>
  </si>
  <si>
    <t xml:space="preserve">blistered_B2_P1_05</t>
  </si>
  <si>
    <t xml:space="preserve">CCTCGTAAATCCTCATCAAAGCCGGTCAGCGTTGATAGCTCGTAT</t>
  </si>
  <si>
    <t xml:space="preserve">blistered_B2_P2_05</t>
  </si>
  <si>
    <t xml:space="preserve">CGACGCGACCAGCAGCATCACTTGCAAATCATCCAGTAAACCGCC</t>
  </si>
  <si>
    <t xml:space="preserve">B2_P1 (bls)_5</t>
  </si>
  <si>
    <t xml:space="preserve">B2_P2 (bls)_5</t>
  </si>
  <si>
    <t xml:space="preserve">GCCGGTCAGCGTTGATAGCTCGTAT</t>
  </si>
  <si>
    <t xml:space="preserve">CGACGCGACCAGCAGCATCACTTGC</t>
  </si>
  <si>
    <t xml:space="preserve">S077-06</t>
  </si>
  <si>
    <t xml:space="preserve">blistered_B2_P1_06</t>
  </si>
  <si>
    <t xml:space="preserve">CCTCGTAAATCCTCATCAAAGCTGCAGTTTGCGTGTCGCGAACGT</t>
  </si>
  <si>
    <t xml:space="preserve">blistered_B2_P2_06</t>
  </si>
  <si>
    <t xml:space="preserve">GCTTGCCCGAGTCGGACGTGATCATAAATCATCCAGTAAACCGCC</t>
  </si>
  <si>
    <t xml:space="preserve">B2_P1 (bls)_6</t>
  </si>
  <si>
    <t xml:space="preserve">B2_P2 (bls)_6</t>
  </si>
  <si>
    <t xml:space="preserve">GCTGCAGTTTGCGTGTCGCGAACGT</t>
  </si>
  <si>
    <t xml:space="preserve">GCTTGCCCGAGTCGGACGTGATCAT</t>
  </si>
  <si>
    <t xml:space="preserve">S078-01</t>
  </si>
  <si>
    <t xml:space="preserve">brinker_B2_P1_01</t>
  </si>
  <si>
    <t xml:space="preserve">CCTCGTAAATCCTCATCAAAGCGGAGGGAAGATGCGGCGGGAGCC</t>
  </si>
  <si>
    <t xml:space="preserve">brinker_B2_P2_01</t>
  </si>
  <si>
    <t xml:space="preserve">ACGCGTCGAGCACTTGCAGCTTGAAAAATCATCCAGTAAACCGCC</t>
  </si>
  <si>
    <t xml:space="preserve">Brinker1_HCR_P1B2</t>
  </si>
  <si>
    <t xml:space="preserve">Brinker1_HCR_P2B2</t>
  </si>
  <si>
    <t xml:space="preserve">GCGGAGGGAAGATGCGGCGGGAGCC</t>
  </si>
  <si>
    <t xml:space="preserve">ACGCGTCGAGCACTTGCAGCTTGAA</t>
  </si>
  <si>
    <t xml:space="preserve">S078-02</t>
  </si>
  <si>
    <t xml:space="preserve">brinker_B2_P1_02</t>
  </si>
  <si>
    <t xml:space="preserve">CCTCGTAAATCCTCATCAAAGTTGCCGCGGCACTGCGCGTCGCGC</t>
  </si>
  <si>
    <t xml:space="preserve">brinker_B2_P2_02</t>
  </si>
  <si>
    <t xml:space="preserve">GCCGAACTTCCTGGCGGTGGCGCGCAAATCATCCAGTAAACCGCC</t>
  </si>
  <si>
    <t xml:space="preserve">Brinker2_HCR_P1B2</t>
  </si>
  <si>
    <t xml:space="preserve">Brinker2_HCR_P2B2</t>
  </si>
  <si>
    <t xml:space="preserve">GTTGCCGCGGCACTGCGCGTCGCGC</t>
  </si>
  <si>
    <t xml:space="preserve">GCCGAACTTCCTGGCGGTGGCGCGC</t>
  </si>
  <si>
    <t xml:space="preserve">S078-03</t>
  </si>
  <si>
    <t xml:space="preserve">brinker_B2_P1_03</t>
  </si>
  <si>
    <t xml:space="preserve">CCTCGTAAATCCTCATCAAACCTGCAGCACTTCTGTATCTGGCGG</t>
  </si>
  <si>
    <t xml:space="preserve">brinker_B2_P2_03</t>
  </si>
  <si>
    <t xml:space="preserve">GCAGCGCCGCTCGCAGCGCGGGCTCAAATCATCCAGTAAACCGCC</t>
  </si>
  <si>
    <t xml:space="preserve">Brinker3_HCR_P1B2</t>
  </si>
  <si>
    <t xml:space="preserve">Brinker3_HCR_P2B2</t>
  </si>
  <si>
    <t xml:space="preserve">CCTGCAGCACTTCTGTATCTGGCGG</t>
  </si>
  <si>
    <t xml:space="preserve">GCAGCGCCGCTCGCAGCGCGGGCTC</t>
  </si>
  <si>
    <t xml:space="preserve">T053</t>
  </si>
  <si>
    <t xml:space="preserve">S078-04</t>
  </si>
  <si>
    <t xml:space="preserve">brinker_B2_P1_04</t>
  </si>
  <si>
    <t xml:space="preserve">CCTCGTAAATCCTCATCAAAGGCCACCGGCGTGGGCGGCGCGGCG</t>
  </si>
  <si>
    <t xml:space="preserve">brinker_B2_P2_04</t>
  </si>
  <si>
    <t xml:space="preserve">ATTCGGCGCGGGCAGCGGCGTGGGCAAATCATCCAGTAAACCGCC</t>
  </si>
  <si>
    <t xml:space="preserve">Brinker5_HCR_P1B2</t>
  </si>
  <si>
    <t xml:space="preserve">Brinker5_HCR_P2B2</t>
  </si>
  <si>
    <t xml:space="preserve">GGCCACCGGCGTGGGCGGCGCGGCG</t>
  </si>
  <si>
    <t xml:space="preserve">ATTCGGCGCGGGCAGCGGCGTGGGC</t>
  </si>
  <si>
    <t xml:space="preserve">S078-05</t>
  </si>
  <si>
    <t xml:space="preserve">brinker_B2_P1_05</t>
  </si>
  <si>
    <t xml:space="preserve">CCTCGTAAATCCTCATCAAACGCAGTACGGCGGCGGCGACGGCGG</t>
  </si>
  <si>
    <t xml:space="preserve">brinker_B2_P2_05</t>
  </si>
  <si>
    <t xml:space="preserve">CAGCCTCGCGCTCTCCGGGCGAGCCAAATCATCCAGTAAACCGCC</t>
  </si>
  <si>
    <t xml:space="preserve">Brinker4_HCR_P1B2</t>
  </si>
  <si>
    <t xml:space="preserve">Brinker4_HCR_P2B2</t>
  </si>
  <si>
    <t xml:space="preserve">CGCAGTACGGCGGCGGCGACGGCGG</t>
  </si>
  <si>
    <t xml:space="preserve">CAGCCTCGCGCTCTCCGGGCGAGCC</t>
  </si>
  <si>
    <t xml:space="preserve">S078-06</t>
  </si>
  <si>
    <t xml:space="preserve">brinker_B2_P1_06</t>
  </si>
  <si>
    <t xml:space="preserve">CCTCGTAAATCCTCATCAAACGCACCGACAGGTCGATGGGCTCCG</t>
  </si>
  <si>
    <t xml:space="preserve">brinker_B2_P2_06</t>
  </si>
  <si>
    <t xml:space="preserve">GGCGGGGGCGCGGGCGCTGCCAGCCAAATCATCCAGTAAACCGCC</t>
  </si>
  <si>
    <t xml:space="preserve">Brinker6_HCR_P1B2</t>
  </si>
  <si>
    <t xml:space="preserve">Brinker6_HCR_P2B2</t>
  </si>
  <si>
    <t xml:space="preserve">CGCACCGACAGGTCGATGGGCTCCG</t>
  </si>
  <si>
    <t xml:space="preserve">GGCGGGGGCGCGGGCGCTGCCAGCC</t>
  </si>
  <si>
    <t xml:space="preserve">S078-07</t>
  </si>
  <si>
    <t xml:space="preserve">brinker_B2_P1_07</t>
  </si>
  <si>
    <t xml:space="preserve">CCTCGTAAATCCTCATCAAAGTACGGCCGGAACAGCTTGAAGGGT</t>
  </si>
  <si>
    <t xml:space="preserve">brinker_B2_P2_07</t>
  </si>
  <si>
    <t xml:space="preserve">GGGCCGCCGCGCGCAGTCGTCCAGCAAATCATCCAGTAAACCGCC</t>
  </si>
  <si>
    <t xml:space="preserve">Brinker7_HCR_P1B2</t>
  </si>
  <si>
    <t xml:space="preserve">Brinker7_HCR_P2B2</t>
  </si>
  <si>
    <t xml:space="preserve">GTACGGCCGGAACAGCTTGAAGGGT</t>
  </si>
  <si>
    <t xml:space="preserve">GGGCCGCCGCGCGCAGTCGTCCAGC</t>
  </si>
  <si>
    <t xml:space="preserve">S078-08</t>
  </si>
  <si>
    <t xml:space="preserve">brinker_B2_P1_08</t>
  </si>
  <si>
    <t xml:space="preserve">CCTCGTAAATCCTCATCAAAGAAGGCGGACACGCGCGCGCCGCCC</t>
  </si>
  <si>
    <t xml:space="preserve">brinker_B2_P2_08</t>
  </si>
  <si>
    <t xml:space="preserve">GCACGCCGCCGCGCTCTGCACGGGCAAATCATCCAGTAAACCGCC</t>
  </si>
  <si>
    <t xml:space="preserve">Brinker8_HCR_P1B2</t>
  </si>
  <si>
    <t xml:space="preserve">Brinker8_HCR_P2B2</t>
  </si>
  <si>
    <t xml:space="preserve">GAAGGCGGACACGCGCGCGCCGCCC</t>
  </si>
  <si>
    <t xml:space="preserve">GCACGCCGCCGCGCTCTGCACGGGC</t>
  </si>
  <si>
    <t xml:space="preserve">S079-01</t>
  </si>
  <si>
    <t xml:space="preserve">chopper_B2_P1_01</t>
  </si>
  <si>
    <t xml:space="preserve">CCTCGTAAATCCTCATCAAAATAAAGAGAACAAAATATTTACATA</t>
  </si>
  <si>
    <t xml:space="preserve">chopper_B2_P2_01</t>
  </si>
  <si>
    <t xml:space="preserve">TCGAGATGATCAGACATGTTACTGAAAATCATCCAGTAAACCGCC</t>
  </si>
  <si>
    <t xml:space="preserve">B2_P1 (chopper)_1</t>
  </si>
  <si>
    <t xml:space="preserve">B2_P2 (chopper)_1</t>
  </si>
  <si>
    <t xml:space="preserve">ATAAAGAGAACAAAATATTTACATA</t>
  </si>
  <si>
    <t xml:space="preserve">TCGAGATGATCAGACATGTTACTGA</t>
  </si>
  <si>
    <t xml:space="preserve">S079-02</t>
  </si>
  <si>
    <t xml:space="preserve">chopper_B2_P1_02</t>
  </si>
  <si>
    <t xml:space="preserve">CCTCGTAAATCCTCATCAAATCGAGCGACGCGTCATCGGTCAGAG</t>
  </si>
  <si>
    <t xml:space="preserve">chopper_B2_P2_02</t>
  </si>
  <si>
    <t xml:space="preserve">CTGAACAAGATGGTAGTAGTAATAGAAATCATCCAGTAAACCGCC</t>
  </si>
  <si>
    <t xml:space="preserve">B2_P1 (chopper)_2</t>
  </si>
  <si>
    <t xml:space="preserve">B2_P2 (chopper)_2</t>
  </si>
  <si>
    <t xml:space="preserve">TCGAGCGACGCGTCATCGGTCAGAG</t>
  </si>
  <si>
    <t xml:space="preserve">CTGAACAAGATGGTAGTAGTAATAG</t>
  </si>
  <si>
    <t xml:space="preserve">S079-03</t>
  </si>
  <si>
    <t xml:space="preserve">chopper_B2_P1_03</t>
  </si>
  <si>
    <t xml:space="preserve">CCTCGTAAATCCTCATCAAAGACAAGAAGCAAGAAATTAAGTATT</t>
  </si>
  <si>
    <t xml:space="preserve">chopper_B2_P2_03</t>
  </si>
  <si>
    <t xml:space="preserve">CATTGAAATATCTTTCTGGTGCCCGAAATCATCCAGTAAACCGCC</t>
  </si>
  <si>
    <t xml:space="preserve">B2_P1 (chopper)_3</t>
  </si>
  <si>
    <t xml:space="preserve">B2_P2 (chopper)_3</t>
  </si>
  <si>
    <t xml:space="preserve">GACAAGAAGCAAGAAATTAAGTATT</t>
  </si>
  <si>
    <t xml:space="preserve">CATTGAAATATCTTTCTGGTGCCCG</t>
  </si>
  <si>
    <t xml:space="preserve">S079-04</t>
  </si>
  <si>
    <t xml:space="preserve">chopper_B2_P1_04</t>
  </si>
  <si>
    <t xml:space="preserve">CCTCGTAAATCCTCATCAAACTGCGAGGGCAGTTGCTACTGCATA</t>
  </si>
  <si>
    <t xml:space="preserve">chopper_B2_P2_04</t>
  </si>
  <si>
    <t xml:space="preserve">AGAGCAGAAATGCAGTCGGTATGAAAAATCATCCAGTAAACCGCC</t>
  </si>
  <si>
    <t xml:space="preserve">B2_P1 (chopper)_4</t>
  </si>
  <si>
    <t xml:space="preserve">B2_P2 (chopper)_4</t>
  </si>
  <si>
    <t xml:space="preserve">CTGCGAGGGCAGTTGCTACTGCATA</t>
  </si>
  <si>
    <t xml:space="preserve">AGAGCAGAAATGCAGTCGGTATGAA</t>
  </si>
  <si>
    <t xml:space="preserve">S079-05</t>
  </si>
  <si>
    <t xml:space="preserve">chopper_B2_P1_05</t>
  </si>
  <si>
    <t xml:space="preserve">CCTCGTAAATCCTCATCAAAATTGCAACCAAAGCGATTACAACTT</t>
  </si>
  <si>
    <t xml:space="preserve">chopper_B2_P2_05</t>
  </si>
  <si>
    <t xml:space="preserve">AGCACGATGACGTAGCACTGCATTGAAATCATCCAGTAAACCGCC</t>
  </si>
  <si>
    <t xml:space="preserve">B2_P1 (chopper)_5</t>
  </si>
  <si>
    <t xml:space="preserve">B2_P2 (chopper)_5</t>
  </si>
  <si>
    <t xml:space="preserve">ATTGCAACCAAAGCGATTACAACTT</t>
  </si>
  <si>
    <t xml:space="preserve">AGCACGATGACGTAGCACTGCATTG</t>
  </si>
  <si>
    <t xml:space="preserve">S079-06</t>
  </si>
  <si>
    <t xml:space="preserve">chopper_B2_P1_06</t>
  </si>
  <si>
    <t xml:space="preserve">CCTCGTAAATCCTCATCAAAGATCAACTGTTTCTCTTCCAGCTTC</t>
  </si>
  <si>
    <t xml:space="preserve">chopper_B2_P2_06</t>
  </si>
  <si>
    <t xml:space="preserve">CAAGCCTGAATGTAAATCCTCCAATAAATCATCCAGTAAACCGCC</t>
  </si>
  <si>
    <t xml:space="preserve">B2_P1 (chopper)_6</t>
  </si>
  <si>
    <t xml:space="preserve">B2_P2 (chopper)_6</t>
  </si>
  <si>
    <t xml:space="preserve">GATCAACTGTTTCTCTTCCAGCTTC</t>
  </si>
  <si>
    <t xml:space="preserve">CAAGCCTGAATGTAAATCCTCCAAT</t>
  </si>
  <si>
    <t xml:space="preserve">S080-01</t>
  </si>
  <si>
    <t xml:space="preserve">Dll_B2_P1_01</t>
  </si>
  <si>
    <t xml:space="preserve">CCTCGTAAATCCTCATCAAAGAACGCTACCCGGCCTCTCGTGGCG</t>
  </si>
  <si>
    <t xml:space="preserve">Dll_B2_P2_01</t>
  </si>
  <si>
    <t xml:space="preserve">AATTTTGAGGGATTTCTGGACTGCTAAATCATCCAGTAAACCGCC</t>
  </si>
  <si>
    <t xml:space="preserve">Dll1_HCR_P1B2</t>
  </si>
  <si>
    <t xml:space="preserve">Dll1_HCR_P2B2</t>
  </si>
  <si>
    <t xml:space="preserve">GAACGCTACCCGGCCTCTCGTGGCG</t>
  </si>
  <si>
    <t xml:space="preserve">AATTTTGAGGGATTTCTGGACTGCT</t>
  </si>
  <si>
    <t xml:space="preserve">S080-02</t>
  </si>
  <si>
    <t xml:space="preserve">Dll_B2_P1_02</t>
  </si>
  <si>
    <t xml:space="preserve">CCTCGTAAATCCTCATCAAACGGGCTGCGGGGTCGACGGGCCCCC</t>
  </si>
  <si>
    <t xml:space="preserve">Dll_B2_P2_02</t>
  </si>
  <si>
    <t xml:space="preserve">GGTGGTCCAGCTCCTGGGTGGTCATAAATCATCCAGTAAACCGCC</t>
  </si>
  <si>
    <t xml:space="preserve">Dll2_HCR_P1B2</t>
  </si>
  <si>
    <t xml:space="preserve">Dll2_HCR_P2B2</t>
  </si>
  <si>
    <t xml:space="preserve">CGGGCTGCGGGGTCGACGGGCCCCC</t>
  </si>
  <si>
    <t xml:space="preserve">GGTGGTCCAGCTCCTGGGTGGTCAT</t>
  </si>
  <si>
    <t xml:space="preserve">S080-03</t>
  </si>
  <si>
    <t xml:space="preserve">Dll_B2_P1_03</t>
  </si>
  <si>
    <t xml:space="preserve">CCTCGTAAATCCTCATCAAATTGCTGTAACTCTATGAAGGCGGAT</t>
  </si>
  <si>
    <t xml:space="preserve">Dll_B2_P2_03</t>
  </si>
  <si>
    <t xml:space="preserve">ACCACCTTTGAAAGGCCCGTAACCGAAATCATCCAGTAAACCGCC</t>
  </si>
  <si>
    <t xml:space="preserve">Dll3_HCR_P1B2</t>
  </si>
  <si>
    <t xml:space="preserve">Dll3_HCR_P2B2</t>
  </si>
  <si>
    <t xml:space="preserve">TTGCTGTAACTCTATGAAGGCGGAT</t>
  </si>
  <si>
    <t xml:space="preserve">ACCACCTTTGAAAGGCCCGTAACCG</t>
  </si>
  <si>
    <t xml:space="preserve">S080-04</t>
  </si>
  <si>
    <t xml:space="preserve">Dll_B2_P1_04</t>
  </si>
  <si>
    <t xml:space="preserve">CCTCGTAAATCCTCATCAAAGCTGACCCCCCGGGCTGCCGAAATG</t>
  </si>
  <si>
    <t xml:space="preserve">Dll_B2_P2_04</t>
  </si>
  <si>
    <t xml:space="preserve">GGAACCCCGACGCCTCGTGGGGGTTAAATCATCCAGTAAACCGCC</t>
  </si>
  <si>
    <t xml:space="preserve">Dll4_HCR_P1B2</t>
  </si>
  <si>
    <t xml:space="preserve">Dll4_HCR_P2B2</t>
  </si>
  <si>
    <t xml:space="preserve">GCTGACCCCCCGGGCTGCCGAAATG</t>
  </si>
  <si>
    <t xml:space="preserve">GGAACCCCGACGCCTCGTGGGGGTT</t>
  </si>
  <si>
    <t xml:space="preserve">S080-05</t>
  </si>
  <si>
    <t xml:space="preserve">Dll_B2_P1_05</t>
  </si>
  <si>
    <t xml:space="preserve">CCTCGTAAATCCTCATCAAATTCATCTTTGGGCGGACTTGCACAT</t>
  </si>
  <si>
    <t xml:space="preserve">Dll_B2_P2_05</t>
  </si>
  <si>
    <t xml:space="preserve">CCCAGGGTCGTCGGATAGACCACATAAATCATCCAGTAAACCGCC</t>
  </si>
  <si>
    <t xml:space="preserve">Dll5_HCR_P1B2</t>
  </si>
  <si>
    <t xml:space="preserve">Dll5_HCR_P2B2</t>
  </si>
  <si>
    <t xml:space="preserve">TTCATCTTTGGGCGGACTTGCACAT</t>
  </si>
  <si>
    <t xml:space="preserve">CCCAGGGTCGTCGGATAGACCACAT</t>
  </si>
  <si>
    <t xml:space="preserve">S080-06</t>
  </si>
  <si>
    <t xml:space="preserve">Dll_B2_P1_06</t>
  </si>
  <si>
    <t xml:space="preserve">CCTCGTAAATCCTCATCAAAGGTTTGCGCATCTTCTTGCCCTTGC</t>
  </si>
  <si>
    <t xml:space="preserve">Dll_B2_P2_06</t>
  </si>
  <si>
    <t xml:space="preserve">AGCTGCAAGCTGGAGTAGATGGTGCAAATCATCCAGTAAACCGCC</t>
  </si>
  <si>
    <t xml:space="preserve">Dll6_HCR_P1B2</t>
  </si>
  <si>
    <t xml:space="preserve">Dll6_HCR_P2B2</t>
  </si>
  <si>
    <t xml:space="preserve">GGTTTGCGCATCTTCTTGCCCTTGC</t>
  </si>
  <si>
    <t xml:space="preserve">AGCTGCAAGCTGGAGTAGATGGTGC</t>
  </si>
  <si>
    <t xml:space="preserve">S081-01</t>
  </si>
  <si>
    <t xml:space="preserve">domeless_B2_P1_01</t>
  </si>
  <si>
    <t xml:space="preserve">CCTCGTAAATCCTCATCAAAATCCACGAGCACCCTGCTGGTGCAT</t>
  </si>
  <si>
    <t xml:space="preserve">domeless_B2_P2_01</t>
  </si>
  <si>
    <t xml:space="preserve">GAAGTCTGTGACATTACCAGGTGGAAAATCATCCAGTAAACCGCC</t>
  </si>
  <si>
    <t xml:space="preserve">B2_P1 (domeless)_1</t>
  </si>
  <si>
    <t xml:space="preserve">B2_P2 (domeless)_1</t>
  </si>
  <si>
    <t xml:space="preserve">ATCCACGAGCACCCTGCTGGTGCAT</t>
  </si>
  <si>
    <t xml:space="preserve">GAAGTCTGTGACATTACCAGGTGGA</t>
  </si>
  <si>
    <t xml:space="preserve">S081-02</t>
  </si>
  <si>
    <t xml:space="preserve">domeless_B2_P1_02</t>
  </si>
  <si>
    <t xml:space="preserve">CCTCGTAAATCCTCATCAAAATTTAATATATCTAAATTTTTTGAT</t>
  </si>
  <si>
    <t xml:space="preserve">domeless_B2_P2_02</t>
  </si>
  <si>
    <t xml:space="preserve">TAGCATGGATAGATTAGTCCATGAGAAATCATCCAGTAAACCGCC</t>
  </si>
  <si>
    <t xml:space="preserve">B2_P1 (domeless)_2</t>
  </si>
  <si>
    <t xml:space="preserve">B2_P2 (domeless)_2</t>
  </si>
  <si>
    <t xml:space="preserve">ATTTAATATATCTAAATTTTTTGAT</t>
  </si>
  <si>
    <t xml:space="preserve">TAGCATGGATAGATTAGTCCATGAG</t>
  </si>
  <si>
    <t xml:space="preserve">S081-03</t>
  </si>
  <si>
    <t xml:space="preserve">domeless_B2_P1_03</t>
  </si>
  <si>
    <t xml:space="preserve">CCTCGTAAATCCTCATCAAAGACAGAAAAAGTTAATGTGTATTGA</t>
  </si>
  <si>
    <t xml:space="preserve">domeless_B2_P2_03</t>
  </si>
  <si>
    <t xml:space="preserve">ACAGGCGGGAGTCACATAATTCATAAAATCATCCAGTAAACCGCC</t>
  </si>
  <si>
    <t xml:space="preserve">B2_P1 (domeless)_3</t>
  </si>
  <si>
    <t xml:space="preserve">B2_P2 (domeless)_3</t>
  </si>
  <si>
    <t xml:space="preserve">GACAGAAAAAGTTAATGTGTATTGA</t>
  </si>
  <si>
    <t xml:space="preserve">ACAGGCGGGAGTCACATAATTCATA</t>
  </si>
  <si>
    <t xml:space="preserve">S081-04</t>
  </si>
  <si>
    <t xml:space="preserve">domeless_B2_P1_04</t>
  </si>
  <si>
    <t xml:space="preserve">CCTCGTAAATCCTCATCAAAACAGTATTTGGTTGAACCAATTTGC</t>
  </si>
  <si>
    <t xml:space="preserve">domeless_B2_P2_04</t>
  </si>
  <si>
    <t xml:space="preserve">CCTAGGATAGCTAGTTGTGTTCCACAAATCATCCAGTAAACCGCC</t>
  </si>
  <si>
    <t xml:space="preserve">B2_P1 (domeless)_4</t>
  </si>
  <si>
    <t xml:space="preserve">B2_P2 (domeless)_4</t>
  </si>
  <si>
    <t xml:space="preserve">ACAGTATTTGGTTGAACCAATTTGC</t>
  </si>
  <si>
    <t xml:space="preserve">CCTAGGATAGCTAGTTGTGTTCCAC</t>
  </si>
  <si>
    <t xml:space="preserve">S081-05</t>
  </si>
  <si>
    <t xml:space="preserve">domeless_B2_P1_05</t>
  </si>
  <si>
    <t xml:space="preserve">CCTCGTAAATCCTCATCAAAGTAAAAGTACTGCGTTTCTTCCTGT</t>
  </si>
  <si>
    <t xml:space="preserve">domeless_B2_P2_05</t>
  </si>
  <si>
    <t xml:space="preserve">GAATCCAAATACATTTTTAGCATACAAATCATCCAGTAAACCGCC</t>
  </si>
  <si>
    <t xml:space="preserve">B2_P1 (domeless)_5</t>
  </si>
  <si>
    <t xml:space="preserve">B2_P2 (domeless)_5</t>
  </si>
  <si>
    <t xml:space="preserve">GTAAAAGTACTGCGTTTCTTCCTGT</t>
  </si>
  <si>
    <t xml:space="preserve">GAATCCAAATACATTTTTAGCATAC</t>
  </si>
  <si>
    <t xml:space="preserve">S081-06</t>
  </si>
  <si>
    <t xml:space="preserve">domeless_B2_P1_06</t>
  </si>
  <si>
    <t xml:space="preserve">CCTCGTAAATCCTCATCAAAGGCAAAGTGATCTATGATAAAATTT</t>
  </si>
  <si>
    <t xml:space="preserve">domeless_B2_P2_06</t>
  </si>
  <si>
    <t xml:space="preserve">ATCATAAGGAGGATCTGGTATGACAAAATCATCCAGTAAACCGCC</t>
  </si>
  <si>
    <t xml:space="preserve">B2_P1 (domeless)_6</t>
  </si>
  <si>
    <t xml:space="preserve">B2_P2 (domeless)_6</t>
  </si>
  <si>
    <t xml:space="preserve">GGCAAAGTGATCTATGATAAAATTT</t>
  </si>
  <si>
    <t xml:space="preserve">ATCATAAGGAGGATCTGGTATGACA</t>
  </si>
  <si>
    <t xml:space="preserve">S082-01</t>
  </si>
  <si>
    <t xml:space="preserve">dragonaut-blaze_B2_P1_01</t>
  </si>
  <si>
    <t xml:space="preserve">CCTCGTAAATCCTCATCAAAAAGGTCTCGTATTGCTGTCTCTTTC</t>
  </si>
  <si>
    <t xml:space="preserve">dragonaut-blaze_B2_P2_01</t>
  </si>
  <si>
    <t xml:space="preserve">TCGTGGATCGTCGTAATCGGCACCCAAATCATCCAGTAAACCGCC</t>
  </si>
  <si>
    <t xml:space="preserve">B2_P1 (dragonaut)_1</t>
  </si>
  <si>
    <t xml:space="preserve">B2_P2 (dragonaut)_1</t>
  </si>
  <si>
    <t xml:space="preserve">AAGGTCTCGTATTGCTGTCTCTTTC</t>
  </si>
  <si>
    <t xml:space="preserve">TCGTGGATCGTCGTAATCGGCACCC</t>
  </si>
  <si>
    <t xml:space="preserve">S082-02</t>
  </si>
  <si>
    <t xml:space="preserve">dragonaut-blaze_B2_P1_02</t>
  </si>
  <si>
    <t xml:space="preserve">CCTCGTAAATCCTCATCAAATAATCTTCACAAGACCGTAGCTCTG</t>
  </si>
  <si>
    <t xml:space="preserve">dragonaut-blaze_B2_P2_02</t>
  </si>
  <si>
    <t xml:space="preserve">GTTGAGAAGCAGCTAACGGAATAATAAATCATCCAGTAAACCGCC</t>
  </si>
  <si>
    <t xml:space="preserve">B2_P1 (dragonaut)_2</t>
  </si>
  <si>
    <t xml:space="preserve">B2_P2 (dragonaut)_2</t>
  </si>
  <si>
    <t xml:space="preserve">TAATCTTCACAAGACCGTAGCTCTG</t>
  </si>
  <si>
    <t xml:space="preserve">GTTGAGAAGCAGCTAACGGAATAAT</t>
  </si>
  <si>
    <t xml:space="preserve">S082-03</t>
  </si>
  <si>
    <t xml:space="preserve">dragonaut-blaze_B2_P1_03</t>
  </si>
  <si>
    <t xml:space="preserve">CCTCGTAAATCCTCATCAAAGCTGTTAAAACGTTCGCATCTTGTT</t>
  </si>
  <si>
    <t xml:space="preserve">dragonaut-blaze_B2_P2_03</t>
  </si>
  <si>
    <t xml:space="preserve">GGTCGTGGAGCAGTTCTAGCATTGTAAATCATCCAGTAAACCGCC</t>
  </si>
  <si>
    <t xml:space="preserve">B2_P1 (dragonaut)_3</t>
  </si>
  <si>
    <t xml:space="preserve">B2_P2 (dragonaut)_3</t>
  </si>
  <si>
    <t xml:space="preserve">GCTGTTAAAACGTTCGCATCTTGTT</t>
  </si>
  <si>
    <t xml:space="preserve">GGTCGTGGAGCAGTTCTAGCATTGT</t>
  </si>
  <si>
    <t xml:space="preserve">S082-04</t>
  </si>
  <si>
    <t xml:space="preserve">dragonaut-blaze_B2_P1_04</t>
  </si>
  <si>
    <t xml:space="preserve">CCTCGTAAATCCTCATCAAATGAATACGGTGTTGGTCGTGCTCTG</t>
  </si>
  <si>
    <t xml:space="preserve">dragonaut-blaze_B2_P2_04</t>
  </si>
  <si>
    <t xml:space="preserve">TCTTTCAATTGGAACAGCTGCTGGTAAATCATCCAGTAAACCGCC</t>
  </si>
  <si>
    <t xml:space="preserve">B2_P1 (dragonaut)_4</t>
  </si>
  <si>
    <t xml:space="preserve">B2_P2 (dragonaut)_4</t>
  </si>
  <si>
    <t xml:space="preserve">TGAATACGGTGTTGGTCGTGCTCTG</t>
  </si>
  <si>
    <t xml:space="preserve">TCTTTCAATTGGAACAGCTGCTGGT</t>
  </si>
  <si>
    <t xml:space="preserve">S082-05</t>
  </si>
  <si>
    <t xml:space="preserve">dragonaut-blaze_B2_P1_05</t>
  </si>
  <si>
    <t xml:space="preserve">CCTCGTAAATCCTCATCAAAAGTTACGAGGGGTTTCTTCTTCACT</t>
  </si>
  <si>
    <t xml:space="preserve">dragonaut-blaze_B2_P2_05</t>
  </si>
  <si>
    <t xml:space="preserve">ATGATGGTGGAGGCGACGGTGGGAGAAATCATCCAGTAAACCGCC</t>
  </si>
  <si>
    <t xml:space="preserve">B2_P1 (dragonaut)_5</t>
  </si>
  <si>
    <t xml:space="preserve">B2_P2 (dragonaut)_5</t>
  </si>
  <si>
    <t xml:space="preserve">AGTTACGAGGGGTTTCTTCTTCACT</t>
  </si>
  <si>
    <t xml:space="preserve">ATGATGGTGGAGGCGACGGTGGGAG</t>
  </si>
  <si>
    <t xml:space="preserve">S082-06</t>
  </si>
  <si>
    <t xml:space="preserve">dragonaut-blaze_B2_P1_06</t>
  </si>
  <si>
    <t xml:space="preserve">CCTCGTAAATCCTCATCAAAGGCTGGAGTTCATATGGCGCCGGAG</t>
  </si>
  <si>
    <t xml:space="preserve">dragonaut-blaze_B2_P2_06</t>
  </si>
  <si>
    <t xml:space="preserve">AATATGTCTCGCAAGCGTGTCTCCAAAATCATCCAGTAAACCGCC</t>
  </si>
  <si>
    <t xml:space="preserve">B2_P1 (dragonaut)_6</t>
  </si>
  <si>
    <t xml:space="preserve">B2_P2 (dragonaut)_6</t>
  </si>
  <si>
    <t xml:space="preserve">GGCTGGAGTTCATATGGCGCCGGAG</t>
  </si>
  <si>
    <t xml:space="preserve">AATATGTCTCGCAAGCGTGTCTCCA</t>
  </si>
  <si>
    <t xml:space="preserve">S083-01</t>
  </si>
  <si>
    <t xml:space="preserve">dsv_B2_P1_01</t>
  </si>
  <si>
    <t xml:space="preserve">CCTCGTAAATCCTCATCAAACGTTAGGTATCGTGATCTTGAGCCA</t>
  </si>
  <si>
    <t xml:space="preserve">dsv_B2_P2_01</t>
  </si>
  <si>
    <t xml:space="preserve">AGTCCACGACGTCGGCGCCGATGAAAAATCATCCAGTAAACCGCC</t>
  </si>
  <si>
    <t xml:space="preserve">dsv1_HCR_P1B2</t>
  </si>
  <si>
    <t xml:space="preserve">dsv1_HCR_P2B2</t>
  </si>
  <si>
    <t xml:space="preserve">CGTTAGGTATCGTGATCTTGAGCCA</t>
  </si>
  <si>
    <t xml:space="preserve">AGTCCACGACGTCGGCGCCGATGAA</t>
  </si>
  <si>
    <t xml:space="preserve">S083-02</t>
  </si>
  <si>
    <t xml:space="preserve">dsv_B2_P1_02</t>
  </si>
  <si>
    <t xml:space="preserve">CCTCGTAAATCCTCATCAAATCGCGGCGGTCCGCCACGCCGGCCA</t>
  </si>
  <si>
    <t xml:space="preserve">dsv_B2_P2_02</t>
  </si>
  <si>
    <t xml:space="preserve">AGCATGTGCGAGGCGTACTTGCGCGAAATCATCCAGTAAACCGCC</t>
  </si>
  <si>
    <t xml:space="preserve">dsv2_HCR_P1B2</t>
  </si>
  <si>
    <t xml:space="preserve">dsv2_HCR_P2B2</t>
  </si>
  <si>
    <t xml:space="preserve">TCGCGGCGGTCCGCCACGCCGGCCA</t>
  </si>
  <si>
    <t xml:space="preserve">AGCATGTGCGAGGCGTACTTGCGCG</t>
  </si>
  <si>
    <t xml:space="preserve">S083-03</t>
  </si>
  <si>
    <t xml:space="preserve">dsv_B2_P1_03</t>
  </si>
  <si>
    <t xml:space="preserve">CCTCGTAAATCCTCATCAAACTGAGGCGCAGCGCCGCCATGTCGG</t>
  </si>
  <si>
    <t xml:space="preserve">dsv_B2_P2_03</t>
  </si>
  <si>
    <t xml:space="preserve">GAGGCGAGGCTGTCCTGGTCGGCGCAAATCATCCAGTAAACCGCC</t>
  </si>
  <si>
    <t xml:space="preserve">dsv3_HCR_P1B2</t>
  </si>
  <si>
    <t xml:space="preserve">dsv3_HCR_P2B2</t>
  </si>
  <si>
    <t xml:space="preserve">CTGAGGCGCAGCGCCGCCATGTCGG</t>
  </si>
  <si>
    <t xml:space="preserve">GAGGCGAGGCTGTCCTGGTCGGCGC</t>
  </si>
  <si>
    <t xml:space="preserve">S083-04</t>
  </si>
  <si>
    <t xml:space="preserve">dsv_B2_P1_04</t>
  </si>
  <si>
    <t xml:space="preserve">CCTCGTAAATCCTCATCAAACCCATCATGTTGGGGTTGGGCAGCG</t>
  </si>
  <si>
    <t xml:space="preserve">dsv_B2_P2_04</t>
  </si>
  <si>
    <t xml:space="preserve">GAGCCAGCGTACGGCATGTAGCCCGAAATCATCCAGTAAACCGCC</t>
  </si>
  <si>
    <t xml:space="preserve">dsv4_HCR_P1B2</t>
  </si>
  <si>
    <t xml:space="preserve">dsv4_HCR_P2B2</t>
  </si>
  <si>
    <t xml:space="preserve">CCCATCATGTTGGGGTTGGGCAGCG</t>
  </si>
  <si>
    <t xml:space="preserve">GAGCCAGCGTACGGCATGTAGCCCG</t>
  </si>
  <si>
    <t xml:space="preserve">S083-05</t>
  </si>
  <si>
    <t xml:space="preserve">dsv_B2_P1_05</t>
  </si>
  <si>
    <t xml:space="preserve">CCTCGTAAATCCTCATCAAATAGAACTGGTTCTGTCTCAGCTGCA</t>
  </si>
  <si>
    <t xml:space="preserve">dsv_B2_P2_05</t>
  </si>
  <si>
    <t xml:space="preserve">CTGCAGAAAACTGGTTCTGTTTTCTAAATCATCCAGTAAACCGCC</t>
  </si>
  <si>
    <t xml:space="preserve">dsv5_HCR_P1B2</t>
  </si>
  <si>
    <t xml:space="preserve">dsv5_HCR_P2B2</t>
  </si>
  <si>
    <t xml:space="preserve">TAGAACTGGTTCTGTCTCAGCTGCA</t>
  </si>
  <si>
    <t xml:space="preserve">CTGCAGAAAACTGGTTCTGTTTTCT</t>
  </si>
  <si>
    <t xml:space="preserve">S084-01</t>
  </si>
  <si>
    <t xml:space="preserve">dsx_B2_P1_01</t>
  </si>
  <si>
    <t xml:space="preserve">CCTCGTAAATCCTCATCAAAGCCGCCACGGGCCCACGGACACCAT</t>
  </si>
  <si>
    <t xml:space="preserve">dsx_B2_P2_01</t>
  </si>
  <si>
    <t xml:space="preserve">GCTCGTCGCATTCGTCGGGCGTGCGAAATCATCCAGTAAACCGCC</t>
  </si>
  <si>
    <t xml:space="preserve">GCCGCCACGGGCCCACGGACACCAT</t>
  </si>
  <si>
    <t xml:space="preserve">GCTCGTCGCATTCGTCGGGCGTGCG</t>
  </si>
  <si>
    <t xml:space="preserve">S084-02</t>
  </si>
  <si>
    <t xml:space="preserve">dsx_B2_P1_02</t>
  </si>
  <si>
    <t xml:space="preserve">CCTCGTAAATCCTCATCAAAACAGTTGGGCGGCGCGCGCGGCACG</t>
  </si>
  <si>
    <t xml:space="preserve">dsx_B2_P2_02</t>
  </si>
  <si>
    <t xml:space="preserve">CTTGAGCCGGTGGTTGCGGCAGCGCAAATCATCCAGTAAACCGCC</t>
  </si>
  <si>
    <t xml:space="preserve">ACAGTTGGGCGGCGCGCGCGGCACG</t>
  </si>
  <si>
    <t xml:space="preserve">CTTGAGCCGGTGGTTGCGGCAGCGC</t>
  </si>
  <si>
    <t xml:space="preserve">S084-03</t>
  </si>
  <si>
    <t xml:space="preserve">dsx_B2_P1_03</t>
  </si>
  <si>
    <t xml:space="preserve">CCTCGTAAATCCTCATCAAATCGCACGTGCAGTACCGGTACTTGC</t>
  </si>
  <si>
    <t xml:space="preserve">dsx_B2_P2_03</t>
  </si>
  <si>
    <t xml:space="preserve">TGCCGGTCGGCCGTCAGCCGGCACTAAATCATCCAGTAAACCGCC</t>
  </si>
  <si>
    <t xml:space="preserve">TCGCACGTGCAGTACCGGTACTTGC</t>
  </si>
  <si>
    <t xml:space="preserve">TGCCGGTCGGCCGTCAGCCGGCACT</t>
  </si>
  <si>
    <t xml:space="preserve">S084-04</t>
  </si>
  <si>
    <t xml:space="preserve">dsx_B2_P1_04</t>
  </si>
  <si>
    <t xml:space="preserve">CCTCGTAAATCCTCATCAAACCTCGTCCTGCGCCTGGGCACGCCG</t>
  </si>
  <si>
    <t xml:space="preserve">dsx_B2_P2_04</t>
  </si>
  <si>
    <t xml:space="preserve">GCCCGCCGCCCCGCGCCCGCGCGCGAAATCATCCAGTAAACCGCC</t>
  </si>
  <si>
    <t xml:space="preserve">CCTCGTCCTGCGCCTGGGCACGCCG</t>
  </si>
  <si>
    <t xml:space="preserve">GCCCGCCGCCCCGCGCCCGCGCGCG</t>
  </si>
  <si>
    <t xml:space="preserve">S084-05</t>
  </si>
  <si>
    <t xml:space="preserve">dsx_B2_P1_05</t>
  </si>
  <si>
    <t xml:space="preserve">CCTCGTAAATCCTCATCAAACGGCGCCTTCACCACGGGCGGCTCG</t>
  </si>
  <si>
    <t xml:space="preserve">dsx_B2_P2_05</t>
  </si>
  <si>
    <t xml:space="preserve">GCGCGGCGGCGGCGGCGGCGGGCTGAAATCATCCAGTAAACCGCC</t>
  </si>
  <si>
    <t xml:space="preserve">CGGCGCCTTCACCACGGGCGGCTCG</t>
  </si>
  <si>
    <t xml:space="preserve">GCGCGGCGGCGGCGGCGGCGGGCTG</t>
  </si>
  <si>
    <t xml:space="preserve">S084-06</t>
  </si>
  <si>
    <t xml:space="preserve">dsx_B2_P1_06</t>
  </si>
  <si>
    <t xml:space="preserve">CCTCGTAAATCCTCATCAAAGGCGACACGCCGGGCGAGCCGGGCA</t>
  </si>
  <si>
    <t xml:space="preserve">dsx_B2_P2_06</t>
  </si>
  <si>
    <t xml:space="preserve">GCCGAGGGCGGCGGCGGCGGCGCGTAAATCATCCAGTAAACCGCC</t>
  </si>
  <si>
    <t xml:space="preserve">GGCGACACGCCGGGCGAGCCGGGCA</t>
  </si>
  <si>
    <t xml:space="preserve">GCCGAGGGCGGCGGCGGCGGCGCGT</t>
  </si>
  <si>
    <t xml:space="preserve">S084-07</t>
  </si>
  <si>
    <t xml:space="preserve">dsx_B2_P1_07</t>
  </si>
  <si>
    <t xml:space="preserve">CCTCGTAAATCCTCATCAAAACACCGCGGGCTGTTGCGGAGGCAA</t>
  </si>
  <si>
    <t xml:space="preserve">dsx_B2_P2_07</t>
  </si>
  <si>
    <t xml:space="preserve">GACAGTTTTCAACTAGGGTCTCCAGAAATCATCCAGTAAACCGCC</t>
  </si>
  <si>
    <t xml:space="preserve">ACACCGCGGGCTGTTGCGGAGGCAA</t>
  </si>
  <si>
    <t xml:space="preserve">GACAGTTTTCAACTAGGGTCTCCAG</t>
  </si>
  <si>
    <t xml:space="preserve">S084-08</t>
  </si>
  <si>
    <t xml:space="preserve">dsx_B2_P1_08</t>
  </si>
  <si>
    <t xml:space="preserve">CCTCGTAAATCCTCATCAAATAGCACGAGGGGCATCATCTCCCAC</t>
  </si>
  <si>
    <t xml:space="preserve">dsx_B2_P2_08</t>
  </si>
  <si>
    <t xml:space="preserve">ATCGCTGCCCGCGTAGTTGAGGATGAAATCATCCAGTAAACCGCC</t>
  </si>
  <si>
    <t xml:space="preserve">TAGCACGAGGGGCATCATCTCCCAC</t>
  </si>
  <si>
    <t xml:space="preserve">ATCGCTGCCCGCGTAGTTGAGGATG</t>
  </si>
  <si>
    <t xml:space="preserve">S084-09</t>
  </si>
  <si>
    <t xml:space="preserve">dsx_B2_P1_09</t>
  </si>
  <si>
    <t xml:space="preserve">CCTCGTAAATCCTCATCAAATACTCGTTGATGATCATCTTCCCTT</t>
  </si>
  <si>
    <t xml:space="preserve">dsx_B2_P2_09</t>
  </si>
  <si>
    <t xml:space="preserve">AAGATGTTCAGATTGTGTTTCCTCGAAATCATCCAGTAAACCGCC</t>
  </si>
  <si>
    <t xml:space="preserve">TACTCGTTGATGATCATCTTCCCTT</t>
  </si>
  <si>
    <t xml:space="preserve">AAGATGTTCAGATTGTGTTTCCTCG</t>
  </si>
  <si>
    <t xml:space="preserve">S085-01</t>
  </si>
  <si>
    <t xml:space="preserve">EcR_B2_P1_01</t>
  </si>
  <si>
    <t xml:space="preserve">CCTCGTAAATCCTCATCAAACGTCGGGCCTCGCCGTCTGTGCTGC</t>
  </si>
  <si>
    <t xml:space="preserve">EcR_B2_P2_01</t>
  </si>
  <si>
    <t xml:space="preserve">TGCCGCGGCGCCGGGCCTTTCTTCTAAATCATCCAGTAAACCGCC</t>
  </si>
  <si>
    <t xml:space="preserve">B2_P1 (ecr)_1</t>
  </si>
  <si>
    <t xml:space="preserve">B2_P2 (ecr)_1</t>
  </si>
  <si>
    <t xml:space="preserve">CGTCGGGCCTCGCCGTCTGTGCTGC</t>
  </si>
  <si>
    <t xml:space="preserve">TGCCGCGGCGCCGGGCCTTTCTTCT</t>
  </si>
  <si>
    <t xml:space="preserve">S085-02</t>
  </si>
  <si>
    <t xml:space="preserve">EcR_B2_P1_02</t>
  </si>
  <si>
    <t xml:space="preserve">CCTCGTAAATCCTCATCAAATCCGGAGGCTCTGTCGCCGCAGACG</t>
  </si>
  <si>
    <t xml:space="preserve">EcR_B2_P2_02</t>
  </si>
  <si>
    <t xml:space="preserve">TTCACATGTGAGCGCATTATAATGGAAATCATCCAGTAAACCGCC</t>
  </si>
  <si>
    <t xml:space="preserve">B2_P1 (ecr)_2</t>
  </si>
  <si>
    <t xml:space="preserve">B2_P2 (ecr)_2</t>
  </si>
  <si>
    <t xml:space="preserve">TCCGGAGGCTCTGTCGCCGCAGACG</t>
  </si>
  <si>
    <t xml:space="preserve">TTCACATGTGAGCGCATTATAATGG</t>
  </si>
  <si>
    <t xml:space="preserve">S085-03</t>
  </si>
  <si>
    <t xml:space="preserve">EcR_B2_P1_03</t>
  </si>
  <si>
    <t xml:space="preserve">CCTCGTAAATCCTCATCAAACCGCATTTTTTGTGACACTCCGTCT</t>
  </si>
  <si>
    <t xml:space="preserve">EcR_B2_P2_03</t>
  </si>
  <si>
    <t xml:space="preserve">ACGCGTGCCCGAATTTGCATATGTAAAATCATCCAGTAAACCGCC</t>
  </si>
  <si>
    <t xml:space="preserve">B2_P1 (ecr)_3</t>
  </si>
  <si>
    <t xml:space="preserve">B2_P2 (ecr)_3</t>
  </si>
  <si>
    <t xml:space="preserve">CCGCATTTTTTGTGACACTCCGTCT</t>
  </si>
  <si>
    <t xml:space="preserve">ACGCGTGCCCGAATTTGCATATGTA</t>
  </si>
  <si>
    <t xml:space="preserve">S085-04</t>
  </si>
  <si>
    <t xml:space="preserve">EcR_B2_P1_04</t>
  </si>
  <si>
    <t xml:space="preserve">CCTCGTAAATCCTCATCAAACTGCACTCCTGGCATTTTCTCCGCA</t>
  </si>
  <si>
    <t xml:space="preserve">EcR_B2_P2_04</t>
  </si>
  <si>
    <t xml:space="preserve">ATGCCGACCGCGAGGCATTTCTTTAAAATCATCCAGTAAACCGCC</t>
  </si>
  <si>
    <t xml:space="preserve">B2_P1 (ecr)_4</t>
  </si>
  <si>
    <t xml:space="preserve">B2_P2 (ecr)_4</t>
  </si>
  <si>
    <t xml:space="preserve">CTGCACTCCTGGCATTTTCTCCGCA</t>
  </si>
  <si>
    <t xml:space="preserve">ATGCCGACCGCGAGGCATTTCTTTA</t>
  </si>
  <si>
    <t xml:space="preserve">S085-05</t>
  </si>
  <si>
    <t xml:space="preserve">EcR_B2_P1_05</t>
  </si>
  <si>
    <t xml:space="preserve">CCTCGTAAATCCTCATCAAACTTGATCGCGCACTGGTTCTCCGGC</t>
  </si>
  <si>
    <t xml:space="preserve">EcR_B2_P2_05</t>
  </si>
  <si>
    <t xml:space="preserve">CTCCCTTTGCGCCTTCTTCTCTTTCAAATCATCCAGTAAACCGCC</t>
  </si>
  <si>
    <t xml:space="preserve">B2_P1 (ecr)_5</t>
  </si>
  <si>
    <t xml:space="preserve">B2_P2 (ecr)_5</t>
  </si>
  <si>
    <t xml:space="preserve">CTTGATCGCGCACTGGTTCTCCGGC</t>
  </si>
  <si>
    <t xml:space="preserve">CTCCCTTTGCGCCTTCTTCTCTTTC</t>
  </si>
  <si>
    <t xml:space="preserve">S085-06</t>
  </si>
  <si>
    <t xml:space="preserve">EcR_B2_P1_06</t>
  </si>
  <si>
    <t xml:space="preserve">CCTCGTAAATCCTCATCAAATGTGATCGTCTACTGTGGTTGTGCT</t>
  </si>
  <si>
    <t xml:space="preserve">EcR_B2_P2_06</t>
  </si>
  <si>
    <t xml:space="preserve">GCGGATCGCACTGCATTATGGGCGGAAATCATCCAGTAAACCGCC</t>
  </si>
  <si>
    <t xml:space="preserve">B2_P1 (ecr)_6</t>
  </si>
  <si>
    <t xml:space="preserve">B2_P2 (ecr)_6</t>
  </si>
  <si>
    <t xml:space="preserve">TGTGATCGTCTACTGTGGTTGTGCT</t>
  </si>
  <si>
    <t xml:space="preserve">GCGGATCGCACTGCATTATGGGCGG</t>
  </si>
  <si>
    <t xml:space="preserve">S086-01</t>
  </si>
  <si>
    <t xml:space="preserve">egfr_B2_P1_01</t>
  </si>
  <si>
    <t xml:space="preserve">CCTCGTAAATCCTCATCAAAGAGGTTGCCGTCGACATAGGTGCAG</t>
  </si>
  <si>
    <t xml:space="preserve">egfr_B2_P2_01</t>
  </si>
  <si>
    <t xml:space="preserve">GGATTTGTTTTCAAGCCATGTGAGCAAATCATCCAGTAAACCGCC</t>
  </si>
  <si>
    <t xml:space="preserve">B2_P1 (egfr)_1</t>
  </si>
  <si>
    <t xml:space="preserve">B2_P2 (egfr)_1</t>
  </si>
  <si>
    <t xml:space="preserve">GAGGTTGCCGTCGACATAGGTGCAG</t>
  </si>
  <si>
    <t xml:space="preserve">GGATTTGTTTTCAAGCCATGTGAGC</t>
  </si>
  <si>
    <t xml:space="preserve">S086-02</t>
  </si>
  <si>
    <t xml:space="preserve">egfr_B2_P1_02</t>
  </si>
  <si>
    <t xml:space="preserve">CCTCGTAAATCCTCATCAAAAGCCAGTCACTTCCCTGATATGTTC</t>
  </si>
  <si>
    <t xml:space="preserve">egfr_B2_P2_02</t>
  </si>
  <si>
    <t xml:space="preserve">CAACTTGCACGTAAGCAATCAAAACAAATCATCCAGTAAACCGCC</t>
  </si>
  <si>
    <t xml:space="preserve">B2_P1 (egfr)_2</t>
  </si>
  <si>
    <t xml:space="preserve">B2_P2 (egfr)_2</t>
  </si>
  <si>
    <t xml:space="preserve">AGCCAGTCACTTCCCTGATATGTTC</t>
  </si>
  <si>
    <t xml:space="preserve">CAACTTGCACGTAAGCAATCAAAAC</t>
  </si>
  <si>
    <t xml:space="preserve">S086-03</t>
  </si>
  <si>
    <t xml:space="preserve">egfr_B2_P1_03</t>
  </si>
  <si>
    <t xml:space="preserve">CCTCGTAAATCCTCATCAAAGTCCGTCCGCGAATGATTTGTAGGT</t>
  </si>
  <si>
    <t xml:space="preserve">egfr_B2_P2_03</t>
  </si>
  <si>
    <t xml:space="preserve">TCTTCTCTAACTTTGAGCTTGAACAAAATCATCCAGTAAACCGCC</t>
  </si>
  <si>
    <t xml:space="preserve">B2_P1 (egfr)_3</t>
  </si>
  <si>
    <t xml:space="preserve">B2_P2 (egfr)_3</t>
  </si>
  <si>
    <t xml:space="preserve">GTCCGTCCGCGAATGATTTGTAGGT</t>
  </si>
  <si>
    <t xml:space="preserve">TCTTCTCTAACTTTGAGCTTGAACA</t>
  </si>
  <si>
    <t xml:space="preserve">S086-04</t>
  </si>
  <si>
    <t xml:space="preserve">egfr_B2_P1_04</t>
  </si>
  <si>
    <t xml:space="preserve">CCTCGTAAATCCTCATCAAAGAGGGTAAACGCCGAAGACATAGTG</t>
  </si>
  <si>
    <t xml:space="preserve">egfr_B2_P2_04</t>
  </si>
  <si>
    <t xml:space="preserve">TAACACGTCACGCAAGGCGGGTAGCAAATCATCCAGTAAACCGCC</t>
  </si>
  <si>
    <t xml:space="preserve">B2_P1 (egfr)_4</t>
  </si>
  <si>
    <t xml:space="preserve">B2_P2 (egfr)_4</t>
  </si>
  <si>
    <t xml:space="preserve">GAGGGTAAACGCCGAAGACATAGTG</t>
  </si>
  <si>
    <t xml:space="preserve">TAACACGTCACGCAAGGCGGGTAGC</t>
  </si>
  <si>
    <t xml:space="preserve">S086-05</t>
  </si>
  <si>
    <t xml:space="preserve">egfr_B2_P1_05</t>
  </si>
  <si>
    <t xml:space="preserve">CCTCGTAAATCCTCATCAAACGTGGCAAAGGTTGTAGTTGTTGTA</t>
  </si>
  <si>
    <t xml:space="preserve">egfr_B2_P2_05</t>
  </si>
  <si>
    <t xml:space="preserve">TTATTTCATCCCAGTTTATTGTTTTAAATCATCCAGTAAACCGCC</t>
  </si>
  <si>
    <t xml:space="preserve">B2_P1 (egfr)_5</t>
  </si>
  <si>
    <t xml:space="preserve">B2_P2 (egfr)_5</t>
  </si>
  <si>
    <t xml:space="preserve">CGTGGCAAAGGTTGTAGTTGTTGTA</t>
  </si>
  <si>
    <t xml:space="preserve">TTATTTCATCCCAGTTTATTGTTTT</t>
  </si>
  <si>
    <t xml:space="preserve">S086-06</t>
  </si>
  <si>
    <t xml:space="preserve">egfr_B2_P1_06</t>
  </si>
  <si>
    <t xml:space="preserve">CCTCGTAAATCCTCATCAAATTGAACGTGTAAACAAAAACGTACG</t>
  </si>
  <si>
    <t xml:space="preserve">egfr_B2_P2_06</t>
  </si>
  <si>
    <t xml:space="preserve">CATCCGGGGCACTCTCGCTCGGGTAAAATCATCCAGTAAACCGCC</t>
  </si>
  <si>
    <t xml:space="preserve">B2_P1 (egfr)_6</t>
  </si>
  <si>
    <t xml:space="preserve">B2_P2 (egfr)_6</t>
  </si>
  <si>
    <t xml:space="preserve">TTGAACGTGTAAACAAAAACGTACG</t>
  </si>
  <si>
    <t xml:space="preserve">CATCCGGGGCACTCTCGCTCGGGTA</t>
  </si>
  <si>
    <t xml:space="preserve">S087-01</t>
  </si>
  <si>
    <t xml:space="preserve">emc_B2_P1_01</t>
  </si>
  <si>
    <t xml:space="preserve">CCTCGTAAATCCTCATCAAAGGTCGCGCACACTGCGGTTATAGCT</t>
  </si>
  <si>
    <t xml:space="preserve">emc_B2_P2_01</t>
  </si>
  <si>
    <t xml:space="preserve">GCTGGCGATCGCCGGCACGGACGCTAAATCATCCAGTAAACCGCC</t>
  </si>
  <si>
    <t xml:space="preserve">B2_P1 (emc)_1</t>
  </si>
  <si>
    <t xml:space="preserve">B2_P2(emc)_1</t>
  </si>
  <si>
    <t xml:space="preserve">GGTCGCGCACACTGCGGTTATAGCT</t>
  </si>
  <si>
    <t xml:space="preserve">GCTGGCGATCGCCGGCACGGACGCT</t>
  </si>
  <si>
    <t xml:space="preserve">S087-02</t>
  </si>
  <si>
    <t xml:space="preserve">emc_B2_P1_02</t>
  </si>
  <si>
    <t xml:space="preserve">CCTCGTAAATCCTCATCAAAGGATCTCGGCGTTCTCGCCGTCCCG</t>
  </si>
  <si>
    <t xml:space="preserve">emc_B2_P2_02</t>
  </si>
  <si>
    <t xml:space="preserve">GGTCTTGCAGCTTCGACAGATACATAAATCATCCAGTAAACCGCC</t>
  </si>
  <si>
    <t xml:space="preserve">B2_P1 (emc)_2</t>
  </si>
  <si>
    <t xml:space="preserve">B2_P2(emc)_2</t>
  </si>
  <si>
    <t xml:space="preserve">GGATCTCGGCGTTCTCGCCGTCCCG</t>
  </si>
  <si>
    <t xml:space="preserve">GGTCTTGCAGCTTCGACAGATACAT</t>
  </si>
  <si>
    <t xml:space="preserve">S087-03</t>
  </si>
  <si>
    <t xml:space="preserve">emc_B2_P1_03</t>
  </si>
  <si>
    <t xml:space="preserve">CCTCGTAAATCCTCATCAAATCCAGCTTTGAGATCCGCCTGTTCT</t>
  </si>
  <si>
    <t xml:space="preserve">emc_B2_P2_03</t>
  </si>
  <si>
    <t xml:space="preserve">ATGTAGTCAATCACATGCTGGATGAAAATCATCCAGTAAACCGCC</t>
  </si>
  <si>
    <t xml:space="preserve">B2_P1 (emc)_3</t>
  </si>
  <si>
    <t xml:space="preserve">B2_P2(emc)_3</t>
  </si>
  <si>
    <t xml:space="preserve">TCCAGCTTTGAGATCCGCCTGTTCT</t>
  </si>
  <si>
    <t xml:space="preserve">ATGTAGTCAATCACATGCTGGATGA</t>
  </si>
  <si>
    <t xml:space="preserve">S087-04</t>
  </si>
  <si>
    <t xml:space="preserve">emc_B2_P1_04</t>
  </si>
  <si>
    <t xml:space="preserve">CCTCGTAAATCCTCATCAAAACCCACCGCGGGGTGGTTCTCCAAC</t>
  </si>
  <si>
    <t xml:space="preserve">emc_B2_P2_04</t>
  </si>
  <si>
    <t xml:space="preserve">CGCCAACGCCGCCTCGGCCTCGAACAAATCATCCAGTAAACCGCC</t>
  </si>
  <si>
    <t xml:space="preserve">B2_P1 (emc)_4</t>
  </si>
  <si>
    <t xml:space="preserve">B2_P2(emc)_4</t>
  </si>
  <si>
    <t xml:space="preserve">ACCCACCGCGGGGTGGTTCTCCAAC</t>
  </si>
  <si>
    <t xml:space="preserve">CGCCAACGCCGCCTCGGCCTCGAAC</t>
  </si>
  <si>
    <t xml:space="preserve">S087-05</t>
  </si>
  <si>
    <t xml:space="preserve">emc_B2_P1_05</t>
  </si>
  <si>
    <t xml:space="preserve">CCTCGTAAATCCTCATCAAACAAGGGGTCGGCGGCGCGGGCGGGG</t>
  </si>
  <si>
    <t xml:space="preserve">emc_B2_P2_05</t>
  </si>
  <si>
    <t xml:space="preserve">GGATGGTGTTGGGCGCCGGCCGGGGAAATCATCCAGTAAACCGCC</t>
  </si>
  <si>
    <t xml:space="preserve">B2_P1 (emc)_5</t>
  </si>
  <si>
    <t xml:space="preserve">B2_P2(emc)_5</t>
  </si>
  <si>
    <t xml:space="preserve">CAAGGGGTCGGCGGCGCGGGCGGGG</t>
  </si>
  <si>
    <t xml:space="preserve">GGATGGTGTTGGGCGCCGGCCGGGG</t>
  </si>
  <si>
    <t xml:space="preserve">S087-06</t>
  </si>
  <si>
    <t xml:space="preserve">emc_B2_P1_06</t>
  </si>
  <si>
    <t xml:space="preserve">CCTCGTAAATCCTCATCAAATGGTTGGAGTGGTGCAATGAGGATA</t>
  </si>
  <si>
    <t xml:space="preserve">emc_B2_P2_06</t>
  </si>
  <si>
    <t xml:space="preserve">GGTTGGTCTTGTTTTTCTGGGGTCGAAATCATCCAGTAAACCGCC</t>
  </si>
  <si>
    <t xml:space="preserve">B2_P1 (emc)_6</t>
  </si>
  <si>
    <t xml:space="preserve">B2_P2(emc)_6</t>
  </si>
  <si>
    <t xml:space="preserve">TGGTTGGAGTGGTGCAATGAGGATA</t>
  </si>
  <si>
    <t xml:space="preserve">GGTTGGTCTTGTTTTTCTGGGGTCG</t>
  </si>
  <si>
    <t xml:space="preserve">S088-01</t>
  </si>
  <si>
    <t xml:space="preserve">eyg_B2_P1_01</t>
  </si>
  <si>
    <t xml:space="preserve">CCTCGTAAATCCTCATCAAAGGAGCCGCCACCGCGCTTGAGGAGG</t>
  </si>
  <si>
    <t xml:space="preserve">eyg_B2_P2_01</t>
  </si>
  <si>
    <t xml:space="preserve">GGGGGAGTGGGGCAAGCGGTGCGAGAAATCATCCAGTAAACCGCC</t>
  </si>
  <si>
    <t xml:space="preserve">B2_P1 (eyg)_1</t>
  </si>
  <si>
    <t xml:space="preserve">B2_P2 (eyg)_1</t>
  </si>
  <si>
    <t xml:space="preserve">GGAGCCGCCACCGCGCTTGAGGAGG</t>
  </si>
  <si>
    <t xml:space="preserve">GGGGGAGTGGGGCAAGCGGTGCGAG</t>
  </si>
  <si>
    <t xml:space="preserve">S088-02</t>
  </si>
  <si>
    <t xml:space="preserve">eyg_B2_P1_02</t>
  </si>
  <si>
    <t xml:space="preserve">CCTCGTAAATCCTCATCAAACCGCCCATCTGGGGGGTATGGTAGG</t>
  </si>
  <si>
    <t xml:space="preserve">eyg_B2_P2_02</t>
  </si>
  <si>
    <t xml:space="preserve">GCCAGAGCCTTGAACGCACTATTCTAAATCATCCAGTAAACCGCC</t>
  </si>
  <si>
    <t xml:space="preserve">B2_P1 (eyg)_2</t>
  </si>
  <si>
    <t xml:space="preserve">B2_P2 (eyg)_2</t>
  </si>
  <si>
    <t xml:space="preserve">CCGCCCATCTGGGGGGTATGGTAGG</t>
  </si>
  <si>
    <t xml:space="preserve">GCCAGAGCCTTGAACGCACTATTCT</t>
  </si>
  <si>
    <t xml:space="preserve">S088-03</t>
  </si>
  <si>
    <t xml:space="preserve">eyg_B2_P1_03</t>
  </si>
  <si>
    <t xml:space="preserve">CCTCGTAAATCCTCATCAAAAGCCTGCTGCGAGAGAGCCTTCAGC</t>
  </si>
  <si>
    <t xml:space="preserve">eyg_B2_P2_03</t>
  </si>
  <si>
    <t xml:space="preserve">CGCTTTCAGCGTCGTACTGTCGAACAAATCATCCAGTAAACCGCC</t>
  </si>
  <si>
    <t xml:space="preserve">B2_P1 (eyg)_3</t>
  </si>
  <si>
    <t xml:space="preserve">B2_P2 (eyg)_3</t>
  </si>
  <si>
    <t xml:space="preserve">AGCCTGCTGCGAGAGAGCCTTCAGC</t>
  </si>
  <si>
    <t xml:space="preserve">CGCTTTCAGCGTCGTACTGTCGAAC</t>
  </si>
  <si>
    <t xml:space="preserve">S088-04</t>
  </si>
  <si>
    <t xml:space="preserve">eyg_B2_P1_04</t>
  </si>
  <si>
    <t xml:space="preserve">CCTCGTAAATCCTCATCAAAGCGCTGGGTGCGGCTGGAACGAGTC</t>
  </si>
  <si>
    <t xml:space="preserve">eyg_B2_P2_04</t>
  </si>
  <si>
    <t xml:space="preserve">CGAGCGCTTTGAAAGCGCTGCTCTCAAATCATCCAGTAAACCGCC</t>
  </si>
  <si>
    <t xml:space="preserve">B2_P1 (eyg)_4</t>
  </si>
  <si>
    <t xml:space="preserve">B2_P2 (eyg)_4</t>
  </si>
  <si>
    <t xml:space="preserve">GCGCTGGGTGCGGCTGGAACGAGTC</t>
  </si>
  <si>
    <t xml:space="preserve">CGAGCGCTTTGAAAGCGCTGCTCTC</t>
  </si>
  <si>
    <t xml:space="preserve">S088-05</t>
  </si>
  <si>
    <t xml:space="preserve">eyg_B2_P1_05</t>
  </si>
  <si>
    <t xml:space="preserve">CCTCGTAAATCCTCATCAAAATCGATTGTGCTGCCAGAAGCGCGG</t>
  </si>
  <si>
    <t xml:space="preserve">eyg_B2_P2_05</t>
  </si>
  <si>
    <t xml:space="preserve">TGAGATTCGTATCCGCGGGCTAATTAAATCATCCAGTAAACCGCC</t>
  </si>
  <si>
    <t xml:space="preserve">B2_P1 (eyg)_5</t>
  </si>
  <si>
    <t xml:space="preserve">B2_P2 (eyg)_5</t>
  </si>
  <si>
    <t xml:space="preserve">ATCGATTGTGCTGCCAGAAGCGCGG</t>
  </si>
  <si>
    <t xml:space="preserve">TGAGATTCGTATCCGCGGGCTAATT</t>
  </si>
  <si>
    <t xml:space="preserve">S088-06</t>
  </si>
  <si>
    <t xml:space="preserve">eyg_B2_P1_06</t>
  </si>
  <si>
    <t xml:space="preserve">CCTCGTAAATCCTCATCAAAGTCACTCGAGTCGTGGACGTTTATT</t>
  </si>
  <si>
    <t xml:space="preserve">eyg_B2_P2_06</t>
  </si>
  <si>
    <t xml:space="preserve">CTTGTTAATCTGTTTCTCGGCTTCGAAATCATCCAGTAAACCGCC</t>
  </si>
  <si>
    <t xml:space="preserve">B2_P1 (eyg)_6</t>
  </si>
  <si>
    <t xml:space="preserve">B2_P2 (eyg)_6</t>
  </si>
  <si>
    <t xml:space="preserve">GTCACTCGAGTCGTGGACGTTTATT</t>
  </si>
  <si>
    <t xml:space="preserve">CTTGTTAATCTGTTTCTCGGCTTCG</t>
  </si>
  <si>
    <t xml:space="preserve">S089-01</t>
  </si>
  <si>
    <t xml:space="preserve">GOR22_B2_P1_01</t>
  </si>
  <si>
    <t xml:space="preserve">CCTCGTAAATCCTCATCAAAAAGCAAAATTTGTGGTAAAATTTGG</t>
  </si>
  <si>
    <t xml:space="preserve">GOR22_B2_P2_01</t>
  </si>
  <si>
    <t xml:space="preserve">TTATGCATGTCGACATTTCGGATGAAAATCATCCAGTAAACCGCC</t>
  </si>
  <si>
    <t xml:space="preserve">B2_P1 (gor22)_1</t>
  </si>
  <si>
    <t xml:space="preserve">B2_P2 (gor22)_1</t>
  </si>
  <si>
    <t xml:space="preserve">AAGCAAAATTTGTGGTAAAATTTGG</t>
  </si>
  <si>
    <t xml:space="preserve">TTATGCATGTCGACATTTCGGATGA</t>
  </si>
  <si>
    <t xml:space="preserve">S089-02</t>
  </si>
  <si>
    <t xml:space="preserve">GOR22_B2_P1_02</t>
  </si>
  <si>
    <t xml:space="preserve">CCTCGTAAATCCTCATCAAACATATAAATGCTAATGTAATTTTCG</t>
  </si>
  <si>
    <t xml:space="preserve">GOR22_B2_P2_02</t>
  </si>
  <si>
    <t xml:space="preserve">TTTACTGCATAAATAAACATCATTTAAATCATCCAGTAAACCGCC</t>
  </si>
  <si>
    <t xml:space="preserve">B2_P1 (gor22)_2</t>
  </si>
  <si>
    <t xml:space="preserve">B2_P2 (gor22)_2</t>
  </si>
  <si>
    <t xml:space="preserve">CATATAAATGCTAATGTAATTTTCG</t>
  </si>
  <si>
    <t xml:space="preserve">TTTACTGCATAAATAAACATCATTT</t>
  </si>
  <si>
    <t xml:space="preserve">S089-03</t>
  </si>
  <si>
    <t xml:space="preserve">GOR22_B2_P1_03</t>
  </si>
  <si>
    <t xml:space="preserve">CCTCGTAAATCCTCATCAAATTTCGAACACGTGTCAGAAAATATT</t>
  </si>
  <si>
    <t xml:space="preserve">GOR22_B2_P2_03</t>
  </si>
  <si>
    <t xml:space="preserve">GAACCGCCTCTGAAAAATTAAAGCTAAATCATCCAGTAAACCGCC</t>
  </si>
  <si>
    <t xml:space="preserve">B2_P1 (gor22)_3</t>
  </si>
  <si>
    <t xml:space="preserve">B2_P2 (gor22)_3</t>
  </si>
  <si>
    <t xml:space="preserve">TTTCGAACACGTGTCAGAAAATATT</t>
  </si>
  <si>
    <t xml:space="preserve">GAACCGCCTCTGAAAAATTAAAGCT</t>
  </si>
  <si>
    <t xml:space="preserve">S089-04</t>
  </si>
  <si>
    <t xml:space="preserve">GOR22_B2_P1_04</t>
  </si>
  <si>
    <t xml:space="preserve">CCTCGTAAATCCTCATCAAATTATTATAAGCATTCTTAAGAATAT</t>
  </si>
  <si>
    <t xml:space="preserve">GOR22_B2_P2_04</t>
  </si>
  <si>
    <t xml:space="preserve">TGAAACAAAACGAGATTTTTCCGTTAAATCATCCAGTAAACCGCC</t>
  </si>
  <si>
    <t xml:space="preserve">B2_P1 (gor22)_4</t>
  </si>
  <si>
    <t xml:space="preserve">B2_P2 (gor22)_4</t>
  </si>
  <si>
    <t xml:space="preserve">TTATTATAAGCATTCTTAAGAATAT</t>
  </si>
  <si>
    <t xml:space="preserve">TGAAACAAAACGAGATTTTTCCGTT</t>
  </si>
  <si>
    <t xml:space="preserve">S089-05</t>
  </si>
  <si>
    <t xml:space="preserve">GOR22_B2_P1_05</t>
  </si>
  <si>
    <t xml:space="preserve">CCTCGTAAATCCTCATCAAATGTCTGTTATCTGTGGTCCGTACAC</t>
  </si>
  <si>
    <t xml:space="preserve">GOR22_B2_P2_05</t>
  </si>
  <si>
    <t xml:space="preserve">CGTGTTTGTCTAGCAGTGCGCCATCAAATCATCCAGTAAACCGCC</t>
  </si>
  <si>
    <t xml:space="preserve">B2_P1 (gor22)_5</t>
  </si>
  <si>
    <t xml:space="preserve">B2_P2 (gor22)_5</t>
  </si>
  <si>
    <t xml:space="preserve">TGTCTGTTATCTGTGGTCCGTACAC</t>
  </si>
  <si>
    <t xml:space="preserve">CGTGTTTGTCTAGCAGTGCGCCATC</t>
  </si>
  <si>
    <t xml:space="preserve">S089-06</t>
  </si>
  <si>
    <t xml:space="preserve">GOR22_B2_P1_06</t>
  </si>
  <si>
    <t xml:space="preserve">CCTCGTAAATCCTCATCAAATGGAATAGCACCAGCAGGCTCTTCG</t>
  </si>
  <si>
    <t xml:space="preserve">GOR22_B2_P2_06</t>
  </si>
  <si>
    <t xml:space="preserve">CGCATGATGGGCATAACGCCCATGAAAATCATCCAGTAAACCGCC</t>
  </si>
  <si>
    <t xml:space="preserve">B2_P1 (gor22)_6</t>
  </si>
  <si>
    <t xml:space="preserve">B2_P2 (gor22)_6</t>
  </si>
  <si>
    <t xml:space="preserve">TGGAATAGCACCAGCAGGCTCTTCG</t>
  </si>
  <si>
    <t xml:space="preserve">CGCATGATGGGCATAACGCCCATGA</t>
  </si>
  <si>
    <t xml:space="preserve">S089-07</t>
  </si>
  <si>
    <t xml:space="preserve">GOR22_B2_P1_07</t>
  </si>
  <si>
    <t xml:space="preserve">CCTCGTAAATCCTCATCAAAATTAAATGTTGTCCGTTTTGTTGTT</t>
  </si>
  <si>
    <t xml:space="preserve">GOR22_B2_P2_07</t>
  </si>
  <si>
    <t xml:space="preserve">CGCCCATAAGGTTGCCTTAGACAGGAAATCATCCAGTAAACCGCC</t>
  </si>
  <si>
    <t xml:space="preserve">B2_P1 (gor22)_7</t>
  </si>
  <si>
    <t xml:space="preserve">B2_P2 (gor22)_7</t>
  </si>
  <si>
    <t xml:space="preserve">ATTAAATGTTGTCCGTTTTGTTGTT</t>
  </si>
  <si>
    <t xml:space="preserve">CGCCCATAAGGTTGCCTTAGACAGG</t>
  </si>
  <si>
    <t xml:space="preserve">S089-08</t>
  </si>
  <si>
    <t xml:space="preserve">GOR22_B2_P1_08</t>
  </si>
  <si>
    <t xml:space="preserve">CCTCGTAAATCCTCATCAAACCACTTTTATAACAATAATGCTTTC</t>
  </si>
  <si>
    <t xml:space="preserve">GOR22_B2_P2_08</t>
  </si>
  <si>
    <t xml:space="preserve">GTTGGAAATTTTCGAGTCTCTCCTTAAATCATCCAGTAAACCGCC</t>
  </si>
  <si>
    <t xml:space="preserve">B2_P1 (gor22)_8</t>
  </si>
  <si>
    <t xml:space="preserve">B2_P2 (gor22)_8</t>
  </si>
  <si>
    <t xml:space="preserve">CCACTTTTATAACAATAATGCTTTC</t>
  </si>
  <si>
    <t xml:space="preserve">GTTGGAAATTTTCGAGTCTCTCCTT</t>
  </si>
  <si>
    <t xml:space="preserve">S090-01</t>
  </si>
  <si>
    <t xml:space="preserve">groucho-like_B2_P1_01</t>
  </si>
  <si>
    <t xml:space="preserve">CCTCGTAAATCCTCATCAAACATCTCAACATTAAGGCCATATGAC</t>
  </si>
  <si>
    <t xml:space="preserve">groucho-like_B2_P2_01</t>
  </si>
  <si>
    <t xml:space="preserve">ACGTTTCGCTATCTCGGTTTGTTTGAAATCATCCAGTAAACCGCC</t>
  </si>
  <si>
    <t xml:space="preserve">CATCTCAACATTAAGGCCATATGAC</t>
  </si>
  <si>
    <t xml:space="preserve">ACGTTTCGCTATCTCGGTTTGTTTG</t>
  </si>
  <si>
    <t xml:space="preserve">S090-02</t>
  </si>
  <si>
    <t xml:space="preserve">groucho-like_B2_P1_02</t>
  </si>
  <si>
    <t xml:space="preserve">CCTCGTAAATCCTCATCAAATGCTGGTGCTCTTGTGCTAGGAACG</t>
  </si>
  <si>
    <t xml:space="preserve">groucho-like_B2_P2_02</t>
  </si>
  <si>
    <t xml:space="preserve">GCTCTGTCCACTGCCGTCGCCACCTAAATCATCCAGTAAACCGCC</t>
  </si>
  <si>
    <t xml:space="preserve">TGCTGGTGCTCTTGTGCTAGGAACG</t>
  </si>
  <si>
    <t xml:space="preserve">GCTCTGTCCACTGCCGTCGCCACCT</t>
  </si>
  <si>
    <t xml:space="preserve">S090-03</t>
  </si>
  <si>
    <t xml:space="preserve">groucho-like_B2_P1_03</t>
  </si>
  <si>
    <t xml:space="preserve">CCTCGTAAATCCTCATCAAAGTTGTTGTTGTTGCCCGATAATAGC</t>
  </si>
  <si>
    <t xml:space="preserve">groucho-like_B2_P2_03</t>
  </si>
  <si>
    <t xml:space="preserve">TCTGTTGAAGCAGTTGCTGGAGGCCAAATCATCCAGTAAACCGCC</t>
  </si>
  <si>
    <t xml:space="preserve">GTTGTTGTTGTTGCCCGATAATAGC</t>
  </si>
  <si>
    <t xml:space="preserve">TCTGTTGAAGCAGTTGCTGGAGGCC</t>
  </si>
  <si>
    <t xml:space="preserve">S090-04</t>
  </si>
  <si>
    <t xml:space="preserve">groucho-like_B2_P1_04</t>
  </si>
  <si>
    <t xml:space="preserve">CCTCGTAAATCCTCATCAAACAGCAACGCGCCCGCACCGCCCACG</t>
  </si>
  <si>
    <t xml:space="preserve">groucho-like_B2_P2_04</t>
  </si>
  <si>
    <t xml:space="preserve">GGAGGGGAACAGCAGGCCGCCCGCAAAATCATCCAGTAAACCGCC</t>
  </si>
  <si>
    <t xml:space="preserve">CAGCAACGCGCCCGCACCGCCCACG</t>
  </si>
  <si>
    <t xml:space="preserve">GGAGGGGAACAGCAGGCCGCCCGCA</t>
  </si>
  <si>
    <t xml:space="preserve">S090-05</t>
  </si>
  <si>
    <t xml:space="preserve">groucho-like_B2_P1_05</t>
  </si>
  <si>
    <t xml:space="preserve">CCTCGTAAATCCTCATCAAAAGCTCAACCTTGTGCGCAGGCGGAG</t>
  </si>
  <si>
    <t xml:space="preserve">groucho-like_B2_P2_05</t>
  </si>
  <si>
    <t xml:space="preserve">GGCGGCTTAATATCCGCGGGGGGAGAAATCATCCAGTAAACCGCC</t>
  </si>
  <si>
    <t xml:space="preserve">AGCTCAACCTTGTGCGCAGGCGGAG</t>
  </si>
  <si>
    <t xml:space="preserve">GGCGGCTTAATATCCGCGGGGGGAG</t>
  </si>
  <si>
    <t xml:space="preserve">S090-06</t>
  </si>
  <si>
    <t xml:space="preserve">groucho-like_B2_P1_06</t>
  </si>
  <si>
    <t xml:space="preserve">CCTCGTAAATCCTCATCAAACTCGCGCTCGTGCGGCGACACTGAG</t>
  </si>
  <si>
    <t xml:space="preserve">groucho-like_B2_P2_06</t>
  </si>
  <si>
    <t xml:space="preserve">CTCGGGCGAGCGAGGACGGTACTTTAAATCATCCAGTAAACCGCC</t>
  </si>
  <si>
    <t xml:space="preserve">CTCGCGCTCGTGCGGCGACACTGAG</t>
  </si>
  <si>
    <t xml:space="preserve">CTCGGGCGAGCGAGGACGGTACTTT</t>
  </si>
  <si>
    <t xml:space="preserve">S090-07</t>
  </si>
  <si>
    <t xml:space="preserve">groucho-like_B2_P1_07</t>
  </si>
  <si>
    <t xml:space="preserve">CCTCGTAAATCCTCATCAAACTCACATGGCCGAGCTTCTCCTCCT</t>
  </si>
  <si>
    <t xml:space="preserve">groucho-like_B2_P2_07</t>
  </si>
  <si>
    <t xml:space="preserve">TTCTCTGCATCACTGTCACTACACAAAATCATCCAGTAAACCGCC</t>
  </si>
  <si>
    <t xml:space="preserve">CTCACATGGCCGAGCTTCTCCTCCT</t>
  </si>
  <si>
    <t xml:space="preserve">TTCTCTGCATCACTGTCACTACACA</t>
  </si>
  <si>
    <t xml:space="preserve">S090-08</t>
  </si>
  <si>
    <t xml:space="preserve">groucho-like_B2_P1_08</t>
  </si>
  <si>
    <t xml:space="preserve">CCTCGTAAATCCTCATCAAAGAGATCCTCTTTCCTCCTCATTCGC</t>
  </si>
  <si>
    <t xml:space="preserve">groucho-like_B2_P2_08</t>
  </si>
  <si>
    <t xml:space="preserve">TGTCACCGCCCTCCGTTCTGACGCTAAATCATCCAGTAAACCGCC</t>
  </si>
  <si>
    <t xml:space="preserve">GAGATCCTCTTTCCTCCTCATTCGC</t>
  </si>
  <si>
    <t xml:space="preserve">TGTCACCGCCCTCCGTTCTGACGCT</t>
  </si>
  <si>
    <t xml:space="preserve">S090-09</t>
  </si>
  <si>
    <t xml:space="preserve">groucho-like_B2_P1_09</t>
  </si>
  <si>
    <t xml:space="preserve">CCTCGTAAATCCTCATCAAAGCGGCGGTTGTCCGGGCAACAGTGG</t>
  </si>
  <si>
    <t xml:space="preserve">groucho-like_B2_P2_09</t>
  </si>
  <si>
    <t xml:space="preserve">GGGCAGCTATTCGCTCATCCTCCCGAAATCATCCAGTAAACCGCC</t>
  </si>
  <si>
    <t xml:space="preserve">GCGGCGGTTGTCCGGGCAACAGTGG</t>
  </si>
  <si>
    <t xml:space="preserve">GGGCAGCTATTCGCTCATCCTCCCG</t>
  </si>
  <si>
    <t xml:space="preserve">S090-10</t>
  </si>
  <si>
    <t xml:space="preserve">groucho-like_B2_P1_10</t>
  </si>
  <si>
    <t xml:space="preserve">CCTCGTAAATCCTCATCAAAGGAGTAGAACGACTTGATGAAGAGC</t>
  </si>
  <si>
    <t xml:space="preserve">groucho-like_B2_P2_10</t>
  </si>
  <si>
    <t xml:space="preserve">CCGGGTTTTTCGTCTTTAGAACTTTAAATCATCCAGTAAACCGCC</t>
  </si>
  <si>
    <t xml:space="preserve">GGAGTAGAACGACTTGATGAAGAGC</t>
  </si>
  <si>
    <t xml:space="preserve">CCGGGTTTTTCGTCTTTAGAACTTT</t>
  </si>
  <si>
    <t xml:space="preserve">S091-01</t>
  </si>
  <si>
    <t xml:space="preserve">GSK3beta_B2_P1_01</t>
  </si>
  <si>
    <t xml:space="preserve">CCTCGTAAATCCTCATCAAAAGCCACCTCGCCCACGGGGCGAAGG</t>
  </si>
  <si>
    <t xml:space="preserve">GSK3beta_B2_P2_01</t>
  </si>
  <si>
    <t xml:space="preserve">TTTGAGCAGGGACGGTTCGGAGCGCAAATCATCCAGTAAACCGCC</t>
  </si>
  <si>
    <t xml:space="preserve">B2_P1 (GSK3beta)_1</t>
  </si>
  <si>
    <t xml:space="preserve">B2_P2 (GSK3beta)_1</t>
  </si>
  <si>
    <t xml:space="preserve">AGCCACCTCGCCCACGGGGCGAAGG</t>
  </si>
  <si>
    <t xml:space="preserve">TTTGAGCAGGGACGGTTCGGAGCGC</t>
  </si>
  <si>
    <t xml:space="preserve">S091-02</t>
  </si>
  <si>
    <t xml:space="preserve">GSK3beta_B2_P1_02</t>
  </si>
  <si>
    <t xml:space="preserve">CCTCGTAAATCCTCATCAAACACGAGCTCTGCTTAATTGGCCACT</t>
  </si>
  <si>
    <t xml:space="preserve">GSK3beta_B2_P2_02</t>
  </si>
  <si>
    <t xml:space="preserve">ATTTCTTAAAACAAGTGGAAAGGCGAAATCATCCAGTAAACCGCC</t>
  </si>
  <si>
    <t xml:space="preserve">B2_P1 (GSK3beta)_2</t>
  </si>
  <si>
    <t xml:space="preserve">B2_P2 (GSK3beta)_2</t>
  </si>
  <si>
    <t xml:space="preserve">CACGAGCTCTGCTTAATTGGCCACT</t>
  </si>
  <si>
    <t xml:space="preserve">ATTTCTTAAAACAAGTGGAAAGGCG</t>
  </si>
  <si>
    <t xml:space="preserve">S091-03</t>
  </si>
  <si>
    <t xml:space="preserve">GSK3beta_B2_P1_03</t>
  </si>
  <si>
    <t xml:space="preserve">CCTCGTAAATCCTCATCAAATCGGTCTTTTTAGGTGTATCCACTT</t>
  </si>
  <si>
    <t xml:space="preserve">GSK3beta_B2_P2_03</t>
  </si>
  <si>
    <t xml:space="preserve">GCGGCAGATTTCTTTTCCGAAGCCAAAATCATCCAGTAAACCGCC</t>
  </si>
  <si>
    <t xml:space="preserve">B2_P1 (GSK3beta)_3</t>
  </si>
  <si>
    <t xml:space="preserve">B2_P2 (GSK3beta)_3</t>
  </si>
  <si>
    <t xml:space="preserve">TCGGTCTTTTTAGGTGTATCCACTT</t>
  </si>
  <si>
    <t xml:space="preserve">GCGGCAGATTTCTTTTCCGAAGCCA</t>
  </si>
  <si>
    <t xml:space="preserve">S091-04</t>
  </si>
  <si>
    <t xml:space="preserve">GSK3beta_B2_P1_04</t>
  </si>
  <si>
    <t xml:space="preserve">CCTCGTAAATCCTCATCAAATTGCCCCGGCGTCGCTACCACAGTC</t>
  </si>
  <si>
    <t xml:space="preserve">GSK3beta_B2_P2_04</t>
  </si>
  <si>
    <t xml:space="preserve">GCTCACCTCCTGCGGCCTGTCGGGGAAATCATCCAGTAAACCGCC</t>
  </si>
  <si>
    <t xml:space="preserve">TTGCCCCGGCGTCGCTACCACAGTC</t>
  </si>
  <si>
    <t xml:space="preserve">GCTCACCTCCTGCGGCCTGTCGGGG</t>
  </si>
  <si>
    <t xml:space="preserve">S091-05</t>
  </si>
  <si>
    <t xml:space="preserve">GSK3beta_B2_P1_05</t>
  </si>
  <si>
    <t xml:space="preserve">CCTCGTAAATCCTCATCAAAGCCTGGTAGACGACGCCGAAGCTGC</t>
  </si>
  <si>
    <t xml:space="preserve">GSK3beta_B2_P2_05</t>
  </si>
  <si>
    <t xml:space="preserve">ATGAGCTCGCCGGTGTCGCATAGTTAAATCATCCAGTAAACCGCC</t>
  </si>
  <si>
    <t xml:space="preserve">GCCTGGTAGACGACGCCGAAGCTGC</t>
  </si>
  <si>
    <t xml:space="preserve">ATGAGCTCGCCGGTGTCGCATAGTT</t>
  </si>
  <si>
    <t xml:space="preserve">S091-06</t>
  </si>
  <si>
    <t xml:space="preserve">GSK3beta_B2_P1_06</t>
  </si>
  <si>
    <t xml:space="preserve">CCTCGTAAATCCTCATCAAAGCATGATTTGCAGTTCTCGATTCTT</t>
  </si>
  <si>
    <t xml:space="preserve">GSK3beta_B2_P2_06</t>
  </si>
  <si>
    <t xml:space="preserve">TGACAATATTACAGTGCTCCAGCCGAAATCATCCAGTAAACCGCC</t>
  </si>
  <si>
    <t xml:space="preserve">GCATGATTTGCAGTTCTCGATTCTT</t>
  </si>
  <si>
    <t xml:space="preserve">TGACAATATTACAGTGCTCCAGCCG</t>
  </si>
  <si>
    <t xml:space="preserve">S091-07</t>
  </si>
  <si>
    <t xml:space="preserve">GSK3beta_B2_P1_07</t>
  </si>
  <si>
    <t xml:space="preserve">CCTCGTAAATCCTCATCAAACGCTTCGGGCACTGCCACCTTTTCT</t>
  </si>
  <si>
    <t xml:space="preserve">GSK3beta_B2_P2_07</t>
  </si>
  <si>
    <t xml:space="preserve">CTGCATTGCATTTAGCAGAGAGCTAAAATCATCCAGTAAACCGCC</t>
  </si>
  <si>
    <t xml:space="preserve">CGCTTCGGGCACTGCCACCTTTTCT</t>
  </si>
  <si>
    <t xml:space="preserve">CTGCATTGCATTTAGCAGAGAGCTA</t>
  </si>
  <si>
    <t xml:space="preserve">S091-08</t>
  </si>
  <si>
    <t xml:space="preserve">GSK3beta_B2_P1_08</t>
  </si>
  <si>
    <t xml:space="preserve">CCTCGTAAATCCTCATCAAAATATACTCCAGCACCAAATTCAGGT</t>
  </si>
  <si>
    <t xml:space="preserve">GSK3beta_B2_P2_08</t>
  </si>
  <si>
    <t xml:space="preserve">CGCGCAACTTTATACACAGTCTCTGAAATCATCCAGTAAACCGCC</t>
  </si>
  <si>
    <t xml:space="preserve">ATATACTCCAGCACCAAATTCAGGT</t>
  </si>
  <si>
    <t xml:space="preserve">CGCGCAACTTTATACACAGTCTCTG</t>
  </si>
  <si>
    <t xml:space="preserve">S091-09</t>
  </si>
  <si>
    <t xml:space="preserve">GSK3beta_B2_P1_09</t>
  </si>
  <si>
    <t xml:space="preserve">CCTCGTAAATCCTCATCAAACTGAACAACTGGTACATGTATAGCT</t>
  </si>
  <si>
    <t xml:space="preserve">GSK3beta_B2_P2_09</t>
  </si>
  <si>
    <t xml:space="preserve">CCCAGCGAGTGGATATACGCCAGGCAAATCATCCAGTAAACCGCC</t>
  </si>
  <si>
    <t xml:space="preserve">CTGAACAACTGGTACATGTATAGCT</t>
  </si>
  <si>
    <t xml:space="preserve">CCCAGCGAGTGGATATACGCCAGGC</t>
  </si>
  <si>
    <t xml:space="preserve">S091-10</t>
  </si>
  <si>
    <t xml:space="preserve">GSK3beta_B2_P1_10</t>
  </si>
  <si>
    <t xml:space="preserve">CCTCGTAAATCCTCATCAAACTGTCTTGGGGTCCAGCAACAGATT</t>
  </si>
  <si>
    <t xml:space="preserve">GSK3beta_B2_P2_10</t>
  </si>
  <si>
    <t xml:space="preserve">AACCAAAGTCGCACAGCTTCAGTACAAATCATCCAGTAAACCGCC</t>
  </si>
  <si>
    <t xml:space="preserve">CTGTCTTGGGGTCCAGCAACAGATT</t>
  </si>
  <si>
    <t xml:space="preserve">AACCAAAGTCGCACAGCTTCAGTAC</t>
  </si>
  <si>
    <t xml:space="preserve">S091-11</t>
  </si>
  <si>
    <t xml:space="preserve">GSK3beta_B2_P1_11</t>
  </si>
  <si>
    <t xml:space="preserve">CCTCGTAAATCCTCATCAAACCGCGAGCAGATGTAGGAAACATTC</t>
  </si>
  <si>
    <t xml:space="preserve">GSK3beta_B2_P2_11</t>
  </si>
  <si>
    <t xml:space="preserve">AAAGATGAGTTCTGGCGCGCGGTAGAAATCATCCAGTAAACCGCC</t>
  </si>
  <si>
    <t xml:space="preserve">CCGCGAGCAGATGTAGGAAACATTC</t>
  </si>
  <si>
    <t xml:space="preserve">AAAGATGAGTTCTGGCGCGCGGTAG</t>
  </si>
  <si>
    <t xml:space="preserve">S091-12</t>
  </si>
  <si>
    <t xml:space="preserve">GSK3beta_B2_P1_12</t>
  </si>
  <si>
    <t xml:space="preserve">CCTCGTAAATCCTCATCAAAACCACGCAGCCTGCGCTCCATACAT</t>
  </si>
  <si>
    <t xml:space="preserve">GSK3beta_B2_P2_12</t>
  </si>
  <si>
    <t xml:space="preserve">ATCGGCTGGCCCAGAAGCAATTCCGAAATCATCCAGTAAACCGCC</t>
  </si>
  <si>
    <t xml:space="preserve">ACCACGCAGCCTGCGCTCCATACAT</t>
  </si>
  <si>
    <t xml:space="preserve">ATCGGCTGGCCCAGAAGCAATTCCG</t>
  </si>
  <si>
    <t xml:space="preserve">S091-13</t>
  </si>
  <si>
    <t xml:space="preserve">GSK3beta_B2_P1_13</t>
  </si>
  <si>
    <t xml:space="preserve">CCTCGTAAATCCTCATCAAAGTGGTTGATTATCGAATGTCTTTCG</t>
  </si>
  <si>
    <t xml:space="preserve">GSK3beta_B2_P2_13</t>
  </si>
  <si>
    <t xml:space="preserve">TTTTTACGCCTCCTAGAGTTGGTTTAAATCATCCAGTAAACCGCC</t>
  </si>
  <si>
    <t xml:space="preserve">GTGGTTGATTATCGAATGTCTTTCG</t>
  </si>
  <si>
    <t xml:space="preserve">TTTTTACGCCTCCTAGAGTTGGTTT</t>
  </si>
  <si>
    <t xml:space="preserve">S092-01</t>
  </si>
  <si>
    <t xml:space="preserve">h_B2_P1_01</t>
  </si>
  <si>
    <t xml:space="preserve">CCTCGTAAATCCTCATCAAACAGTTCATTCAAACAGTTGTTAATA</t>
  </si>
  <si>
    <t xml:space="preserve">h_B2_P2_01</t>
  </si>
  <si>
    <t xml:space="preserve">CTTCATAGCGTCCAAGATAAGAGCCAAATCATCCAGTAAACCGCC</t>
  </si>
  <si>
    <t xml:space="preserve">B2_P1 (h)_1</t>
  </si>
  <si>
    <t xml:space="preserve">B2_P2 (h)_1</t>
  </si>
  <si>
    <t xml:space="preserve">CAGTTCATTCAAACAGTTGTTAATA</t>
  </si>
  <si>
    <t xml:space="preserve">CTTCATAGCGTCCAAGATAAGAGCC</t>
  </si>
  <si>
    <t xml:space="preserve">S092-02</t>
  </si>
  <si>
    <t xml:space="preserve">h_B2_P1_02</t>
  </si>
  <si>
    <t xml:space="preserve">CCTCGTAAATCCTCATCAAATATCAGCTTTTTCTAATTTCGAGTG</t>
  </si>
  <si>
    <t xml:space="preserve">h_B2_P2_02</t>
  </si>
  <si>
    <t xml:space="preserve">CCAAATGTTTTACAGTCATTTCCAAAAATCATCCAGTAAACCGCC</t>
  </si>
  <si>
    <t xml:space="preserve">B2_P1 (h)_2</t>
  </si>
  <si>
    <t xml:space="preserve">B2_P2 (h)_2</t>
  </si>
  <si>
    <t xml:space="preserve">TATCAGCTTTTTCTAATTTCGAGTG</t>
  </si>
  <si>
    <t xml:space="preserve">CCAAATGTTTTACAGTCATTTCCAA</t>
  </si>
  <si>
    <t xml:space="preserve">S092-03</t>
  </si>
  <si>
    <t xml:space="preserve">h_B2_P1_03</t>
  </si>
  <si>
    <t xml:space="preserve">CCTCGTAAATCCTCATCAAAAACCTATCTGGAGAACCGGAACCTT</t>
  </si>
  <si>
    <t xml:space="preserve">h_B2_P2_03</t>
  </si>
  <si>
    <t xml:space="preserve">GTCAGACAATGTCGGTATCCAGCTTAAATCATCCAGTAAACCGCC</t>
  </si>
  <si>
    <t xml:space="preserve">B2_P1 (h)_3</t>
  </si>
  <si>
    <t xml:space="preserve">B2_P2 (h)_3</t>
  </si>
  <si>
    <t xml:space="preserve">AACCTATCTGGAGAACCGGAACCTT</t>
  </si>
  <si>
    <t xml:space="preserve">GTCAGACAATGTCGGTATCCAGCTT</t>
  </si>
  <si>
    <t xml:space="preserve">S092-04</t>
  </si>
  <si>
    <t xml:space="preserve">h_B2_P1_04</t>
  </si>
  <si>
    <t xml:space="preserve">CCTCGTAAATCCTCATCAAACTTCAACCCAGCCTCTAGTCCAGGA</t>
  </si>
  <si>
    <t xml:space="preserve">h_B2_P2_04</t>
  </si>
  <si>
    <t xml:space="preserve">TCCTTCTAAGTGTCGCACTAGGCGCAAATCATCCAGTAAACCGCC</t>
  </si>
  <si>
    <t xml:space="preserve">B2_P1 (h)_4</t>
  </si>
  <si>
    <t xml:space="preserve">B2_P2 (h)_4</t>
  </si>
  <si>
    <t xml:space="preserve">CTTCAACCCAGCCTCTAGTCCAGGA</t>
  </si>
  <si>
    <t xml:space="preserve">TCCTTCTAAGTGTCGCACTAGGCGC</t>
  </si>
  <si>
    <t xml:space="preserve">S092-05</t>
  </si>
  <si>
    <t xml:space="preserve">h_B2_P1_05</t>
  </si>
  <si>
    <t xml:space="preserve">CCTCGTAAATCCTCATCAAACGGTGCAGCGAAAGGTCGTGCACCA</t>
  </si>
  <si>
    <t xml:space="preserve">h_B2_P2_05</t>
  </si>
  <si>
    <t xml:space="preserve">AGCATCTTCAGTATCAGAGGGTGGAAAATCATCCAGTAAACCGCC</t>
  </si>
  <si>
    <t xml:space="preserve">B2_P1 (h)_5</t>
  </si>
  <si>
    <t xml:space="preserve">B2_P2 (h)_5</t>
  </si>
  <si>
    <t xml:space="preserve">CGGTGCAGCGAAAGGTCGTGCACCA</t>
  </si>
  <si>
    <t xml:space="preserve">AGCATCTTCAGTATCAGAGGGTGGA</t>
  </si>
  <si>
    <t xml:space="preserve">S092-06</t>
  </si>
  <si>
    <t xml:space="preserve">h_B2_P1_06</t>
  </si>
  <si>
    <t xml:space="preserve">CCTCGTAAATCCTCATCAAAGGCCCAGCTGAGATAAATATGGTAG</t>
  </si>
  <si>
    <t xml:space="preserve">h_B2_P2_06</t>
  </si>
  <si>
    <t xml:space="preserve">GTTGGAACGAGGCGTACTCCAGATCAAATCATCCAGTAAACCGCC</t>
  </si>
  <si>
    <t xml:space="preserve">B2_P1 (h)_6</t>
  </si>
  <si>
    <t xml:space="preserve">B2_P2 (h)_6</t>
  </si>
  <si>
    <t xml:space="preserve">GGCCCAGCTGAGATAAATATGGTAG</t>
  </si>
  <si>
    <t xml:space="preserve">GTTGGAACGAGGCGTACTCCAGATC</t>
  </si>
  <si>
    <t xml:space="preserve">S093-01</t>
  </si>
  <si>
    <t xml:space="preserve">hh_B2_P1_01</t>
  </si>
  <si>
    <t xml:space="preserve">CCTCGTAAATCCTCATCAAACAGCCACAGTAGCACCAGCGGCAGC</t>
  </si>
  <si>
    <t xml:space="preserve">hh_B2_P2_01</t>
  </si>
  <si>
    <t xml:space="preserve">GCCCGGGCCGCAAGCCGCCGCCGCTAAATCATCCAGTAAACCGCC</t>
  </si>
  <si>
    <t xml:space="preserve">B2_P1 (hh)_1</t>
  </si>
  <si>
    <t xml:space="preserve">B2_P2 (hh)_1</t>
  </si>
  <si>
    <t xml:space="preserve">CAGCCACAGTAGCACCAGCGGCAGC</t>
  </si>
  <si>
    <t xml:space="preserve">GCCCGGGCCGCAAGCCGCCGCCGCT</t>
  </si>
  <si>
    <t xml:space="preserve">S093-02</t>
  </si>
  <si>
    <t xml:space="preserve">hh_B2_P1_02</t>
  </si>
  <si>
    <t xml:space="preserve">CCTCGTAAATCCTCATCAAAGAGGGGTCATGCGGCGCGGTCCGTG</t>
  </si>
  <si>
    <t xml:space="preserve">hh_B2_P2_02</t>
  </si>
  <si>
    <t xml:space="preserve">TGTTGGGCTCGTGCTGGTTGAAGACAAATCATCCAGTAAACCGCC</t>
  </si>
  <si>
    <t xml:space="preserve">B2_P1 (hh)_2</t>
  </si>
  <si>
    <t xml:space="preserve">B2_P2 (hh)_2</t>
  </si>
  <si>
    <t xml:space="preserve">GAGGGGTCATGCGGCGCGGTCCGTG</t>
  </si>
  <si>
    <t xml:space="preserve">TGTTGGGCTCGTGCTGGTTGAAGAC</t>
  </si>
  <si>
    <t xml:space="preserve">S093-03</t>
  </si>
  <si>
    <t xml:space="preserve">hh_B2_P1_03</t>
  </si>
  <si>
    <t xml:space="preserve">CCTCGTAAATCCTCATCAAACGGCCCTCGGGAGGGCCACTGGCGG</t>
  </si>
  <si>
    <t xml:space="preserve">hh_B2_P2_03</t>
  </si>
  <si>
    <t xml:space="preserve">TTGAACTTTTCGTCTTCCCTCGTGAAAATCATCCAGTAAACCGCC</t>
  </si>
  <si>
    <t xml:space="preserve">B2_P1 (hh)_3</t>
  </si>
  <si>
    <t xml:space="preserve">B2_P2 (hh)_3</t>
  </si>
  <si>
    <t xml:space="preserve">CGGCCCTCGGGAGGGCCACTGGCGG</t>
  </si>
  <si>
    <t xml:space="preserve">TTGAACTTTTCGTCTTCCCTCGTGA</t>
  </si>
  <si>
    <t xml:space="preserve">S093-04</t>
  </si>
  <si>
    <t xml:space="preserve">hh_B2_P1_04</t>
  </si>
  <si>
    <t xml:space="preserve">CCTCGTAAATCCTCATCAAAATCCTTAAACTCTATGTCCGGGTTA</t>
  </si>
  <si>
    <t xml:space="preserve">hh_B2_P2_04</t>
  </si>
  <si>
    <t xml:space="preserve">GAGGCGGTCGGCTCCGGTGCCCTCGAAATCATCCAGTAAACCGCC</t>
  </si>
  <si>
    <t xml:space="preserve">B2_P1 (hh)_4</t>
  </si>
  <si>
    <t xml:space="preserve">B2_P2 (hh)_4</t>
  </si>
  <si>
    <t xml:space="preserve">ATCCTTAAACTCTATGTCCGGGTTA</t>
  </si>
  <si>
    <t xml:space="preserve">GAGGCGGTCGGCTCCGGTGCCCTCG</t>
  </si>
  <si>
    <t xml:space="preserve">S093-05</t>
  </si>
  <si>
    <t xml:space="preserve">hh_B2_P1_05</t>
  </si>
  <si>
    <t xml:space="preserve">CCTCGTAAATCCTCATCAAATGATGGCGAGCGTGTTCAACTTCTC</t>
  </si>
  <si>
    <t xml:space="preserve">hh_B2_P2_05</t>
  </si>
  <si>
    <t xml:space="preserve">GAACCCCCGGCCACTGGTTCATCACAAATCATCCAGTAAACCGCC</t>
  </si>
  <si>
    <t xml:space="preserve">B2_P1 (hh)_5</t>
  </si>
  <si>
    <t xml:space="preserve">B2_P2 (hh)_5</t>
  </si>
  <si>
    <t xml:space="preserve">TGATGGCGAGCGTGTTCAACTTCTC</t>
  </si>
  <si>
    <t xml:space="preserve">GAACCCCCGGCCACTGGTTCATCAC</t>
  </si>
  <si>
    <t xml:space="preserve">S093-06</t>
  </si>
  <si>
    <t xml:space="preserve">hh_B2_P1_06</t>
  </si>
  <si>
    <t xml:space="preserve">CCTCGTAAATCCTCATCAAATGAGCCGAGTTCTCCTCGTCCCAGC</t>
  </si>
  <si>
    <t xml:space="preserve">hh_B2_P2_06</t>
  </si>
  <si>
    <t xml:space="preserve">CCCTCGTAGTGCAGTGAGTTTTCCAAAATCATCCAGTAAACCGCC</t>
  </si>
  <si>
    <t xml:space="preserve">B2_P1 (hh)_6</t>
  </si>
  <si>
    <t xml:space="preserve">B2_P2 (hh)_6</t>
  </si>
  <si>
    <t xml:space="preserve">TGAGCCGAGTTCTCCTCGTCCCAGC</t>
  </si>
  <si>
    <t xml:space="preserve">CCCTCGTAGTGCAGTGAGTTTTCCA</t>
  </si>
  <si>
    <t xml:space="preserve">S094-01</t>
  </si>
  <si>
    <t xml:space="preserve">HR38_B2_P1_01</t>
  </si>
  <si>
    <t xml:space="preserve">CCTCGTAAATCCTCATCAAAATATGTAGATCCACTGAACTGGGAA</t>
  </si>
  <si>
    <t xml:space="preserve">HR38_B2_P2_01</t>
  </si>
  <si>
    <t xml:space="preserve">CGTTGCCTAGCTCCTTGGTCGGAAGAAATCATCCAGTAAACCGCC</t>
  </si>
  <si>
    <t xml:space="preserve">B2_P1 (HR38)_1</t>
  </si>
  <si>
    <t xml:space="preserve">B2_P2 (HR38)_1</t>
  </si>
  <si>
    <t xml:space="preserve">ATATGTAGATCCACTGAACTGGGAA</t>
  </si>
  <si>
    <t xml:space="preserve">CGTTGCCTAGCTCCTTGGTCGGAAG</t>
  </si>
  <si>
    <t xml:space="preserve">S094-02</t>
  </si>
  <si>
    <t xml:space="preserve">HR38_B2_P1_02</t>
  </si>
  <si>
    <t xml:space="preserve">CCTCGTAAATCCTCATCAAAGTCGTTAGAACTACTAGACTCTGAT</t>
  </si>
  <si>
    <t xml:space="preserve">HR38_B2_P2_02</t>
  </si>
  <si>
    <t xml:space="preserve">TATTCTGCTGCCGTGTAATTTGGGAAAATCATCCAGTAAACCGCC</t>
  </si>
  <si>
    <t xml:space="preserve">B2_P1 (HR38)_2</t>
  </si>
  <si>
    <t xml:space="preserve">B2_P2 (HR38)_2</t>
  </si>
  <si>
    <t xml:space="preserve">GTCGTTAGAACTACTAGACTCTGAT</t>
  </si>
  <si>
    <t xml:space="preserve">TATTCTGCTGCCGTGTAATTTGGGA</t>
  </si>
  <si>
    <t xml:space="preserve">S094-03</t>
  </si>
  <si>
    <t xml:space="preserve">HR38_B2_P1_03</t>
  </si>
  <si>
    <t xml:space="preserve">CCTCGTAAATCCTCATCAAACACCAGGCGAGCTCGACGCGGAGCT</t>
  </si>
  <si>
    <t xml:space="preserve">HR38_B2_P2_03</t>
  </si>
  <si>
    <t xml:space="preserve">GAGAACCGGAGTTGTCTTGCTGAGGAAATCATCCAGTAAACCGCC</t>
  </si>
  <si>
    <t xml:space="preserve">B2_P1 (HR38)_3</t>
  </si>
  <si>
    <t xml:space="preserve">B2_P2 (HR38)_3</t>
  </si>
  <si>
    <t xml:space="preserve">CACCAGGCGAGCTCGACGCGGAGCT</t>
  </si>
  <si>
    <t xml:space="preserve">GAGAACCGGAGTTGTCTTGCTGAGG</t>
  </si>
  <si>
    <t xml:space="preserve">S094-04</t>
  </si>
  <si>
    <t xml:space="preserve">HR38_B2_P1_04</t>
  </si>
  <si>
    <t xml:space="preserve">CCTCGTAAATCCTCATCAAAGTATCTCCACAAACAGCACAGAGTT</t>
  </si>
  <si>
    <t xml:space="preserve">HR38_B2_P2_04</t>
  </si>
  <si>
    <t xml:space="preserve">CGCACTCCGTAATGTTGACATGCAGAAATCATCCAGTAAACCGCC</t>
  </si>
  <si>
    <t xml:space="preserve">B2_P1 (HR38)_4</t>
  </si>
  <si>
    <t xml:space="preserve">B2_P2 (HR38)_4</t>
  </si>
  <si>
    <t xml:space="preserve">GTATCTCCACAAACAGCACAGAGTT</t>
  </si>
  <si>
    <t xml:space="preserve">CGCACTCCGTAATGTTGACATGCAG</t>
  </si>
  <si>
    <t xml:space="preserve">S094-05</t>
  </si>
  <si>
    <t xml:space="preserve">HR38_B2_P1_05</t>
  </si>
  <si>
    <t xml:space="preserve">CCTCGTAAATCCTCATCAAAACCTTTTTGGACAGTTCTTTTGAAA</t>
  </si>
  <si>
    <t xml:space="preserve">HR38_B2_P2_05</t>
  </si>
  <si>
    <t xml:space="preserve">TTTTTCAGCTAAGCAAACATATTTAAAATCATCCAGTAAACCGCC</t>
  </si>
  <si>
    <t xml:space="preserve">B2_P1 (HR38)_5</t>
  </si>
  <si>
    <t xml:space="preserve">B2_P2 (HR38)_5</t>
  </si>
  <si>
    <t xml:space="preserve">ACCTTTTTGGACAGTTCTTTTGAAA</t>
  </si>
  <si>
    <t xml:space="preserve">TTTTTCAGCTAAGCAAACATATTTA</t>
  </si>
  <si>
    <t xml:space="preserve">S094-06</t>
  </si>
  <si>
    <t xml:space="preserve">HR38_B2_P1_06</t>
  </si>
  <si>
    <t xml:space="preserve">CCTCGTAAATCCTCATCAAAACCGACAAAATTGACACCTGTTTCT</t>
  </si>
  <si>
    <t xml:space="preserve">HR38_B2_P2_06</t>
  </si>
  <si>
    <t xml:space="preserve">CCATTCCTACAGCAAGACACTTCTGAAATCATCCAGTAAACCGCC</t>
  </si>
  <si>
    <t xml:space="preserve">B2_P1 (HR38)_6</t>
  </si>
  <si>
    <t xml:space="preserve">B2_P2 (HR38)_6</t>
  </si>
  <si>
    <t xml:space="preserve">ACCGACAAAATTGACACCTGTTTCT</t>
  </si>
  <si>
    <t xml:space="preserve">CCATTCCTACAGCAAGACACTTCTG</t>
  </si>
  <si>
    <t xml:space="preserve">S094-07</t>
  </si>
  <si>
    <t xml:space="preserve">HR38_B2_P1_07</t>
  </si>
  <si>
    <t xml:space="preserve">CCTCGTAAATCCTCATCAAAAATCTCCCTCGTCTCCCTTTAAGCG</t>
  </si>
  <si>
    <t xml:space="preserve">HR38_B2_P2_07</t>
  </si>
  <si>
    <t xml:space="preserve">TCTTGCGGACATTTTGGTTTTGACGAAATCATCCAGTAAACCGCC</t>
  </si>
  <si>
    <t xml:space="preserve">B2_P1 (HR38)_7</t>
  </si>
  <si>
    <t xml:space="preserve">B2_P2 (HR38)_7</t>
  </si>
  <si>
    <t xml:space="preserve">AATCTCCCTCGTCTCCCTTTAAGCG</t>
  </si>
  <si>
    <t xml:space="preserve">TCTTGCGGACATTTTGGTTTTGACG</t>
  </si>
  <si>
    <t xml:space="preserve">S094-08</t>
  </si>
  <si>
    <t xml:space="preserve">HR38_B2_P1_08</t>
  </si>
  <si>
    <t xml:space="preserve">CCTCGTAAATCCTCATCAAACGCTCTGACTAATGCCGTTATTAAA</t>
  </si>
  <si>
    <t xml:space="preserve">HR38_B2_P2_08</t>
  </si>
  <si>
    <t xml:space="preserve">GCCAAAATCAGGAGACGTGTCGACAAAATCATCCAGTAAACCGCC</t>
  </si>
  <si>
    <t xml:space="preserve">B2_P1 (HR38)_8</t>
  </si>
  <si>
    <t xml:space="preserve">B2_P2 (HR38)_8</t>
  </si>
  <si>
    <t xml:space="preserve">CGCTCTGACTAATGCCGTTATTAAA</t>
  </si>
  <si>
    <t xml:space="preserve">GCCAAAATCAGGAGACGTGTCGACA</t>
  </si>
  <si>
    <t xml:space="preserve">S095-01</t>
  </si>
  <si>
    <t xml:space="preserve">ichiro_B2_P1_01</t>
  </si>
  <si>
    <t xml:space="preserve">CCTCGTAAATCCTCATCAAATGGTGTGGTACATCTGATAACTTGA</t>
  </si>
  <si>
    <t xml:space="preserve">ichiro_B2_P2_01</t>
  </si>
  <si>
    <t xml:space="preserve">GGTACATCTGATAACTTGATTTTCTAAATCATCCAGTAAACCGCC</t>
  </si>
  <si>
    <t xml:space="preserve">B2_P1 (ichiro)_1</t>
  </si>
  <si>
    <t xml:space="preserve">B2_P2 (ichiro)_1</t>
  </si>
  <si>
    <t xml:space="preserve">TGGTGTGGTACATCTGATAACTTGA</t>
  </si>
  <si>
    <t xml:space="preserve">GGTACATCTGATAACTTGATTTTCT</t>
  </si>
  <si>
    <t xml:space="preserve">S095-02</t>
  </si>
  <si>
    <t xml:space="preserve">ichiro_B2_P1_02</t>
  </si>
  <si>
    <t xml:space="preserve">CCTCGTAAATCCTCATCAAATTTTCTTGTGGTGTGGTACATCTGA</t>
  </si>
  <si>
    <t xml:space="preserve">ichiro_B2_P2_02</t>
  </si>
  <si>
    <t xml:space="preserve">TATGGTGTGGTACATCTGATAACTTAAATCATCCAGTAAACCGCC</t>
  </si>
  <si>
    <t xml:space="preserve">B2_P1 (ichiro)_3</t>
  </si>
  <si>
    <t xml:space="preserve">B2_P2 (ichiro)_3</t>
  </si>
  <si>
    <t xml:space="preserve">TTTTCTTGTGGTGTGGTACATCTGA</t>
  </si>
  <si>
    <t xml:space="preserve">TATGGTGTGGTACATCTGATAACTT</t>
  </si>
  <si>
    <t xml:space="preserve">S095-03</t>
  </si>
  <si>
    <t xml:space="preserve">ichiro_B2_P1_03</t>
  </si>
  <si>
    <t xml:space="preserve">CCTCGTAAATCCTCATCAAATTGATTTTCTTGTGGTGTGGTACAT</t>
  </si>
  <si>
    <t xml:space="preserve">ichiro_B2_P2_03</t>
  </si>
  <si>
    <t xml:space="preserve">TTCTTATGGTGTGGTACATCTGATAAAATCATCCAGTAAACCGCC</t>
  </si>
  <si>
    <t xml:space="preserve">B2_P1 (ichiro)_4</t>
  </si>
  <si>
    <t xml:space="preserve">B2_P2 (ichiro)_4</t>
  </si>
  <si>
    <t xml:space="preserve">TTGATTTTCTTGTGGTGTGGTACAT</t>
  </si>
  <si>
    <t xml:space="preserve">TTCTTATGGTGTGGTACATCTGATA</t>
  </si>
  <si>
    <t xml:space="preserve">S095-04</t>
  </si>
  <si>
    <t xml:space="preserve">ichiro_B2_P1_04</t>
  </si>
  <si>
    <t xml:space="preserve">CCTCGTAAATCCTCATCAAATAACTTGATTTTCTTGTGGTGTGGT</t>
  </si>
  <si>
    <t xml:space="preserve">ichiro_B2_P2_04</t>
  </si>
  <si>
    <t xml:space="preserve">GAATTTCTTTTGGTATGCTACATCTAAATCATCCAGTAAACCGCC</t>
  </si>
  <si>
    <t xml:space="preserve">B2_P1 (ichiro)_5</t>
  </si>
  <si>
    <t xml:space="preserve">B2_P2 (ichiro)_5</t>
  </si>
  <si>
    <t xml:space="preserve">TAACTTGATTTTCTTGTGGTGTGGT</t>
  </si>
  <si>
    <t xml:space="preserve">GAATTTCTTTTGGTATGCTACATCT</t>
  </si>
  <si>
    <t xml:space="preserve">S095-05</t>
  </si>
  <si>
    <t xml:space="preserve">ichiro_B2_P1_05</t>
  </si>
  <si>
    <t xml:space="preserve">CCTCGTAAATCCTCATCAAAGGTATGCTACATCTGATAACTTGAT</t>
  </si>
  <si>
    <t xml:space="preserve">ichiro_B2_P2_05</t>
  </si>
  <si>
    <t xml:space="preserve">GTACATCTGATAATTTGATTTTCTTAAATCATCCAGTAAACCGCC</t>
  </si>
  <si>
    <t xml:space="preserve">B2_P1 (ichiro)_6</t>
  </si>
  <si>
    <t xml:space="preserve">B2_P2 (ichiro)_6</t>
  </si>
  <si>
    <t xml:space="preserve">GGTATGCTACATCTGATAACTTGAT</t>
  </si>
  <si>
    <t xml:space="preserve">GTACATCTGATAATTTGATTTTCTT</t>
  </si>
  <si>
    <t xml:space="preserve">S095-06</t>
  </si>
  <si>
    <t xml:space="preserve">ichiro_B2_P1_06</t>
  </si>
  <si>
    <t xml:space="preserve">CCTCGTAAATCCTCATCAAACTTATGGTGTGGTACATCTGATAAC</t>
  </si>
  <si>
    <t xml:space="preserve">ichiro_B2_P2_06</t>
  </si>
  <si>
    <t xml:space="preserve">GTGTGGTACATCTGATAACTTGATTAAATCATCCAGTAAACCGCC</t>
  </si>
  <si>
    <t xml:space="preserve">B2_P1 (ichiro)_2</t>
  </si>
  <si>
    <t xml:space="preserve">B2_P2 (ichiro)_2</t>
  </si>
  <si>
    <t xml:space="preserve">CTTATGGTGTGGTACATCTGATAAC</t>
  </si>
  <si>
    <t xml:space="preserve">GTGTGGTACATCTGATAACTTGATT</t>
  </si>
  <si>
    <t xml:space="preserve">S096-01</t>
  </si>
  <si>
    <t xml:space="preserve">inrho1_B2_P1_01</t>
  </si>
  <si>
    <t xml:space="preserve">CCTCGTAAATCCTCATCAAAGACCTGCGCTCGAACGCCAATCATG</t>
  </si>
  <si>
    <t xml:space="preserve">inrho1_B2_P2_01</t>
  </si>
  <si>
    <t xml:space="preserve">TCTGGCAGGTGAGCTGCGGCGCCAGAAATCATCCAGTAAACCGCC</t>
  </si>
  <si>
    <t xml:space="preserve">B2_P1 (inrho1)_1</t>
  </si>
  <si>
    <t xml:space="preserve">B2_P2 (inrho1)_1</t>
  </si>
  <si>
    <t xml:space="preserve">GACCTGCGCTCGAACGCCAATCATG</t>
  </si>
  <si>
    <t xml:space="preserve">TCTGGCAGGTGAGCTGCGGCGCCAG</t>
  </si>
  <si>
    <t xml:space="preserve">S096-02</t>
  </si>
  <si>
    <t xml:space="preserve">inrho1_B2_P1_02</t>
  </si>
  <si>
    <t xml:space="preserve">CCTCGTAAATCCTCATCAAAGGTGGGGGGATGGTTGGTGCTGGCG</t>
  </si>
  <si>
    <t xml:space="preserve">inrho1_B2_P2_02</t>
  </si>
  <si>
    <t xml:space="preserve">GCGGAGACTATTCTCGGTGGTGATGAAATCATCCAGTAAACCGCC</t>
  </si>
  <si>
    <t xml:space="preserve">B2_P1 (inrho1)_2</t>
  </si>
  <si>
    <t xml:space="preserve">B2_P2 (inrho1)_2</t>
  </si>
  <si>
    <t xml:space="preserve">GGTGGGGGGATGGTTGGTGCTGGCG</t>
  </si>
  <si>
    <t xml:space="preserve">GCGGAGACTATTCTCGGTGGTGATG</t>
  </si>
  <si>
    <t xml:space="preserve">S096-03</t>
  </si>
  <si>
    <t xml:space="preserve">inrho1_B2_P1_03</t>
  </si>
  <si>
    <t xml:space="preserve">CCTCGTAAATCCTCATCAAACGCGGGTGGTATTGACTCGGGGGGA</t>
  </si>
  <si>
    <t xml:space="preserve">inrho1_B2_P2_03</t>
  </si>
  <si>
    <t xml:space="preserve">CCTTCGCAATCTCACGTCGTCTTCTAAATCATCCAGTAAACCGCC</t>
  </si>
  <si>
    <t xml:space="preserve">B2_P1 (inrho1)_3</t>
  </si>
  <si>
    <t xml:space="preserve">B2_P2 (inrho1)_3</t>
  </si>
  <si>
    <t xml:space="preserve">CGCGGGTGGTATTGACTCGGGGGGA</t>
  </si>
  <si>
    <t xml:space="preserve">CCTTCGCAATCTCACGTCGTCTTCT</t>
  </si>
  <si>
    <t xml:space="preserve">S096-04</t>
  </si>
  <si>
    <t xml:space="preserve">inrho1_B2_P1_04</t>
  </si>
  <si>
    <t xml:space="preserve">CCTCGTAAATCCTCATCAAAGCGTCTCCCTTTTCAAATAATCCCT</t>
  </si>
  <si>
    <t xml:space="preserve">inrho1_B2_P2_04</t>
  </si>
  <si>
    <t xml:space="preserve">TGTCCCTCTGGACCCCAAAGAACGTAAATCATCCAGTAAACCGCC</t>
  </si>
  <si>
    <t xml:space="preserve">B2_P1 (inrho1)_4</t>
  </si>
  <si>
    <t xml:space="preserve">B2_P2 (inrho1)_4</t>
  </si>
  <si>
    <t xml:space="preserve">GCGTCTCCCTTTTCAAATAATCCCT</t>
  </si>
  <si>
    <t xml:space="preserve">TGTCCCTCTGGACCCCAAAGAACGT</t>
  </si>
  <si>
    <t xml:space="preserve">S096-05</t>
  </si>
  <si>
    <t xml:space="preserve">inrho1_B2_P1_05</t>
  </si>
  <si>
    <t xml:space="preserve">CCTCGTAAATCCTCATCAAACTCCTCCGCCTCTCGAACCACAGCC</t>
  </si>
  <si>
    <t xml:space="preserve">inrho1_B2_P2_05</t>
  </si>
  <si>
    <t xml:space="preserve">AGGTCGCCGAGCGCCCGCGCCGCGTAAATCATCCAGTAAACCGCC</t>
  </si>
  <si>
    <t xml:space="preserve">B2_P1 (inrho1)_5</t>
  </si>
  <si>
    <t xml:space="preserve">B2_P2 (inrho1)_5</t>
  </si>
  <si>
    <t xml:space="preserve">CTCCTCCGCCTCTCGAACCACAGCC</t>
  </si>
  <si>
    <t xml:space="preserve">AGGTCGCCGAGCGCCCGCGCCGCGT</t>
  </si>
  <si>
    <t xml:space="preserve">S097-01</t>
  </si>
  <si>
    <t xml:space="preserve">JNK1-MAPK8-assoc._B2_P1_01</t>
  </si>
  <si>
    <t xml:space="preserve">CCTCGTAAATCCTCATCAAAAAGTCCTGAACATGTTCTGACTATT</t>
  </si>
  <si>
    <t xml:space="preserve">JNK1-MAPK8-assoc._B2_P2_01</t>
  </si>
  <si>
    <t xml:space="preserve">GTTCTCTAACTCTGTACGACCACAGAAATCATCCAGTAAACCGCC</t>
  </si>
  <si>
    <t xml:space="preserve">B2_P1 (JNK1)_1</t>
  </si>
  <si>
    <t xml:space="preserve">B2_P2 (JNK1)_1</t>
  </si>
  <si>
    <t xml:space="preserve">AAGTCCTGAACATGTTCTGACTATT</t>
  </si>
  <si>
    <t xml:space="preserve">GTTCTCTAACTCTGTACGACCACAG</t>
  </si>
  <si>
    <t xml:space="preserve">S097-02</t>
  </si>
  <si>
    <t xml:space="preserve">JNK1-MAPK8-assoc._B2_P1_02</t>
  </si>
  <si>
    <t xml:space="preserve">CCTCGTAAATCCTCATCAAATGCGGAACCCTCTAGGGCAAGCGCC</t>
  </si>
  <si>
    <t xml:space="preserve">JNK1-MAPK8-assoc._B2_P2_02</t>
  </si>
  <si>
    <t xml:space="preserve">ATTCTACGCAGTAGCTAGTGGCGTTAAATCATCCAGTAAACCGCC</t>
  </si>
  <si>
    <t xml:space="preserve">B2_P1 (JNK1)_2</t>
  </si>
  <si>
    <t xml:space="preserve">B2_P2 (JNK1)_2</t>
  </si>
  <si>
    <t xml:space="preserve">TGCGGAACCCTCTAGGGCAAGCGCC</t>
  </si>
  <si>
    <t xml:space="preserve">ATTCTACGCAGTAGCTAGTGGCGTT</t>
  </si>
  <si>
    <t xml:space="preserve">S097-03</t>
  </si>
  <si>
    <t xml:space="preserve">JNK1-MAPK8-assoc._B2_P1_03</t>
  </si>
  <si>
    <t xml:space="preserve">CCTCGTAAATCCTCATCAAAAAGCCAAGATACTGCCAGTCGTACA</t>
  </si>
  <si>
    <t xml:space="preserve">JNK1-MAPK8-assoc._B2_P2_03</t>
  </si>
  <si>
    <t xml:space="preserve">TGCAGAACCAGTGGCAACAGCATCAAAATCATCCAGTAAACCGCC</t>
  </si>
  <si>
    <t xml:space="preserve">B2_P1 (JNK1)_3</t>
  </si>
  <si>
    <t xml:space="preserve">B2_P2 (JNK1)_3</t>
  </si>
  <si>
    <t xml:space="preserve">AAGCCAAGATACTGCCAGTCGTACA</t>
  </si>
  <si>
    <t xml:space="preserve">TGCAGAACCAGTGGCAACAGCATCA</t>
  </si>
  <si>
    <t xml:space="preserve">S098-01</t>
  </si>
  <si>
    <t xml:space="preserve">knot-collier_B2_P1_01</t>
  </si>
  <si>
    <t xml:space="preserve">CCTCGTAAATCCTCATCAAACTGCTTCTCGAAGTGGGCGCGGCCA</t>
  </si>
  <si>
    <t xml:space="preserve">knot-collier_B2_P2_01</t>
  </si>
  <si>
    <t xml:space="preserve">GTTGCTCTTGCGAAGGTTGCTGGGCAAATCATCCAGTAAACCGCC</t>
  </si>
  <si>
    <t xml:space="preserve">Knot1_HCR_P1B2</t>
  </si>
  <si>
    <t xml:space="preserve">Knot1_HCR_P2B2</t>
  </si>
  <si>
    <t xml:space="preserve">CTGCTTCTCGAAGTGGGCGCGGCCA</t>
  </si>
  <si>
    <t xml:space="preserve">GTTGCTCTTGCGAAGGTTGCTGGGC</t>
  </si>
  <si>
    <t xml:space="preserve">S098-02</t>
  </si>
  <si>
    <t xml:space="preserve">knot-collier_B2_P1_02</t>
  </si>
  <si>
    <t xml:space="preserve">CCTCGTAAATCCTCATCAAATGACCTTCTGCTTCCTGGTCCTTCT</t>
  </si>
  <si>
    <t xml:space="preserve">knot-collier_B2_P2_02</t>
  </si>
  <si>
    <t xml:space="preserve">CTGTACTGAATACCGTTGTTTGTTTAAATCATCCAGTAAACCGCC</t>
  </si>
  <si>
    <t xml:space="preserve">Knot2_HCR_P1B2</t>
  </si>
  <si>
    <t xml:space="preserve">Knot2_HCR_P2B2</t>
  </si>
  <si>
    <t xml:space="preserve">TGACCTTCTGCTTCCTGGTCCTTCT</t>
  </si>
  <si>
    <t xml:space="preserve">CTGTACTGAATACCGTTGTTTGTTT</t>
  </si>
  <si>
    <t xml:space="preserve">S098-03</t>
  </si>
  <si>
    <t xml:space="preserve">knot-collier_B2_P1_03</t>
  </si>
  <si>
    <t xml:space="preserve">CCTCGTAAATCCTCATCAAACTTGTCTTGTCCTTCATAGACAATA</t>
  </si>
  <si>
    <t xml:space="preserve">knot-collier_B2_P2_03</t>
  </si>
  <si>
    <t xml:space="preserve">GAGTAAAACTCTGCACATTTCCGGGAAATCATCCAGTAAACCGCC</t>
  </si>
  <si>
    <t xml:space="preserve">Knot3_HCR_P1B2</t>
  </si>
  <si>
    <t xml:space="preserve">Knot3_HCR_P2B2</t>
  </si>
  <si>
    <t xml:space="preserve">CTTGTCTTGTCCTTCATAGACAATA</t>
  </si>
  <si>
    <t xml:space="preserve">GAGTAAAACTCTGCACATTTCCGGG</t>
  </si>
  <si>
    <t xml:space="preserve">S098-04</t>
  </si>
  <si>
    <t xml:space="preserve">knot-collier_B2_P1_04</t>
  </si>
  <si>
    <t xml:space="preserve">CCTCGTAAATCCTCATCAAAAGAATTTGAGAAAAAACCGATCTAT</t>
  </si>
  <si>
    <t xml:space="preserve">knot-collier_B2_P2_04</t>
  </si>
  <si>
    <t xml:space="preserve">TCAAACAGTTCTGGTTGCATTTCAAAAATCATCCAGTAAACCGCC</t>
  </si>
  <si>
    <t xml:space="preserve">Knot4_HCR_P1B2</t>
  </si>
  <si>
    <t xml:space="preserve">Knot4_HCR_P2B2</t>
  </si>
  <si>
    <t xml:space="preserve">AGAATTTGAGAAAAAACCGATCTAT</t>
  </si>
  <si>
    <t xml:space="preserve">TCAAACAGTTCTGGTTGCATTTCAA</t>
  </si>
  <si>
    <t xml:space="preserve">S098-05</t>
  </si>
  <si>
    <t xml:space="preserve">knot-collier_B2_P1_05</t>
  </si>
  <si>
    <t xml:space="preserve">CCTCGTAAATCCTCATCAAAGTGGACGAACATGTTGTCGGATATG</t>
  </si>
  <si>
    <t xml:space="preserve">knot-collier_B2_P2_05</t>
  </si>
  <si>
    <t xml:space="preserve">GGCGCGCCGGCCGTGCTTGCTGTTGAAATCATCCAGTAAACCGCC</t>
  </si>
  <si>
    <t xml:space="preserve">Knot5_HCR_P1B2</t>
  </si>
  <si>
    <t xml:space="preserve">Knot5_HCR_P2B2</t>
  </si>
  <si>
    <t xml:space="preserve">GTGGACGAACATGTTGTCGGATATG</t>
  </si>
  <si>
    <t xml:space="preserve">GGCGCGCCGGCCGTGCTTGCTGTTG</t>
  </si>
  <si>
    <t xml:space="preserve">S099-01</t>
  </si>
  <si>
    <t xml:space="preserve">mad3_B2_P1_01</t>
  </si>
  <si>
    <t xml:space="preserve">CCTCGTAAATCCTCATCAAAGCGGCGTGGTGGTGTTGCCGGGCAC</t>
  </si>
  <si>
    <t xml:space="preserve">mad3_B2_P2_01</t>
  </si>
  <si>
    <t xml:space="preserve">CGCCGTCCTCGCTCATGTAGCCCGGAAATCATCCAGTAAACCGCC</t>
  </si>
  <si>
    <t xml:space="preserve">Mad21_P1_B2</t>
  </si>
  <si>
    <t xml:space="preserve">Mad21_P2_B2</t>
  </si>
  <si>
    <t xml:space="preserve">GCGGCGTGGTGGTGTTGCCGGGCAC</t>
  </si>
  <si>
    <t xml:space="preserve">CGCCGTCCTCGCTCATGTAGCCCGG</t>
  </si>
  <si>
    <t xml:space="preserve">S099-02</t>
  </si>
  <si>
    <t xml:space="preserve">mad3_B2_P1_02</t>
  </si>
  <si>
    <t xml:space="preserve">CCTCGTAAATCCTCATCAAATGATGCTGCACCAGAAGGCGGGCTC</t>
  </si>
  <si>
    <t xml:space="preserve">mad3_B2_P2_02</t>
  </si>
  <si>
    <t xml:space="preserve">CCACGCGCGTGTTCAGCTCGTAGTAAAATCATCCAGTAAACCGCC</t>
  </si>
  <si>
    <t xml:space="preserve">Mad22_P1_B2</t>
  </si>
  <si>
    <t xml:space="preserve">Mad22_P2_B2</t>
  </si>
  <si>
    <t xml:space="preserve">TGATGCTGCACCAGAAGGCGGGCTC</t>
  </si>
  <si>
    <t xml:space="preserve">CCACGCGCGTGTTCAGCTCGTAGTA</t>
  </si>
  <si>
    <t xml:space="preserve">S099-03</t>
  </si>
  <si>
    <t xml:space="preserve">mad3_B2_P1_03</t>
  </si>
  <si>
    <t xml:space="preserve">CCTCGTAAATCCTCATCAAACTCCACCACCTCGTTTCTGTTCACG</t>
  </si>
  <si>
    <t xml:space="preserve">mad3_B2_P2_03</t>
  </si>
  <si>
    <t xml:space="preserve">CGCCCTTGCCGATGTGTCGGCGCGTCAAATCATCCAGTAAACCGCC</t>
  </si>
  <si>
    <t xml:space="preserve">Mad23_P1_B2</t>
  </si>
  <si>
    <t xml:space="preserve">Mad23_P2_B2</t>
  </si>
  <si>
    <t xml:space="preserve">CTCCACCACCTCGTTTCTGTTCACG</t>
  </si>
  <si>
    <t xml:space="preserve">CGCCCTTGCCGATGTGTCGGCGCGTC</t>
  </si>
  <si>
    <t xml:space="preserve">P2 arm 26 nt</t>
  </si>
  <si>
    <t xml:space="preserve">S099-04</t>
  </si>
  <si>
    <t xml:space="preserve">mad3_B2_P1_04</t>
  </si>
  <si>
    <t xml:space="preserve">CCTCGTAAATCCTCATCAAAAACTCGGTGGCGGGGTGCCAGCCGT</t>
  </si>
  <si>
    <t xml:space="preserve">mad3_B2_P2_04</t>
  </si>
  <si>
    <t xml:space="preserve">GACACCGACTGCGACAGCAGCGCCGAAATCATCCAGTAAACCGCC</t>
  </si>
  <si>
    <t xml:space="preserve">Mad24_P1_B2</t>
  </si>
  <si>
    <t xml:space="preserve">Mad24_P2_B2</t>
  </si>
  <si>
    <t xml:space="preserve">AACTCGGTGGCGGGGTGCCAGCCGT</t>
  </si>
  <si>
    <t xml:space="preserve">GACACCGACTGCGACAGCAGCGCCG</t>
  </si>
  <si>
    <t xml:space="preserve">S099-05</t>
  </si>
  <si>
    <t xml:space="preserve">mad3_B2_P1_05</t>
  </si>
  <si>
    <t xml:space="preserve">CCTCGTAAATCCTCATCAAAATCCAGCATGGCGTCGACGTCACCG</t>
  </si>
  <si>
    <t xml:space="preserve">mad3_B2_P2_05</t>
  </si>
  <si>
    <t xml:space="preserve">TGCAGCGGCCCGTTCAGGTGCAGCTAAATCATCCAGTAAACCGCC</t>
  </si>
  <si>
    <t xml:space="preserve">Mad25_P1_B2</t>
  </si>
  <si>
    <t xml:space="preserve">Mad25_P2_B2</t>
  </si>
  <si>
    <t xml:space="preserve">ATCCAGCATGGCGTCGACGTCACCG</t>
  </si>
  <si>
    <t xml:space="preserve">TGCAGCGGCCCGTTCAGGTGCAGCT</t>
  </si>
  <si>
    <t xml:space="preserve">S100-01</t>
  </si>
  <si>
    <t xml:space="preserve">msh-hox_B2_P1_01</t>
  </si>
  <si>
    <t xml:space="preserve">CCTCGTAAATCCTCATCAAAGTTTCATCCACTTGGCTCGCCTTAG</t>
  </si>
  <si>
    <t xml:space="preserve">msh-hox_B2_P2_01</t>
  </si>
  <si>
    <t xml:space="preserve">GTCCGATGGTGTCTTATCATCTCGGAAATCATCCAGTAAACCGCC</t>
  </si>
  <si>
    <t xml:space="preserve">B2_P1 (msh-hox)_1</t>
  </si>
  <si>
    <t xml:space="preserve">B2_P2 (msh-hox)_1</t>
  </si>
  <si>
    <t xml:space="preserve">GTTTCATCCACTTGGCTCGCCTTAG</t>
  </si>
  <si>
    <t xml:space="preserve">GTCCGATGGTGTCTTATCATCTCGG</t>
  </si>
  <si>
    <t xml:space="preserve">S100-02</t>
  </si>
  <si>
    <t xml:space="preserve">msh-hox_B2_P1_02</t>
  </si>
  <si>
    <t xml:space="preserve">CCTCGTAAATCCTCATCAAAGGGTTGTGCTCCAGGGGACTGTCGT</t>
  </si>
  <si>
    <t xml:space="preserve">msh-hox_B2_P2_02</t>
  </si>
  <si>
    <t xml:space="preserve">AGATAGAGATTTGCCGCCGGGCAATAAATCATCCAGTAAACCGCC</t>
  </si>
  <si>
    <t xml:space="preserve">B2_P1 (msh-hox)_2</t>
  </si>
  <si>
    <t xml:space="preserve">B2_P2 (msh-hox)_2</t>
  </si>
  <si>
    <t xml:space="preserve">GGGTTGTGCTCCAGGGGACTGTCGT</t>
  </si>
  <si>
    <t xml:space="preserve">AGATAGAGATTTGCCGCCGGGCAAT</t>
  </si>
  <si>
    <t xml:space="preserve">S100-03</t>
  </si>
  <si>
    <t xml:space="preserve">msh-hox_B2_P1_03</t>
  </si>
  <si>
    <t xml:space="preserve">CCTCGTAAATCCTCATCAAAACGCGTTGAGATTCAAAGGGGGAGT</t>
  </si>
  <si>
    <t xml:space="preserve">msh-hox_B2_P2_03</t>
  </si>
  <si>
    <t xml:space="preserve">CGTCGTCAGAAGACGTCACAGTCGCAAATCATCCAGTAAACCGCC</t>
  </si>
  <si>
    <t xml:space="preserve">B2_P1 (msh-hox)_3</t>
  </si>
  <si>
    <t xml:space="preserve">B2_P2 (msh-hox)_3</t>
  </si>
  <si>
    <t xml:space="preserve">ACGCGTTGAGATTCAAAGGGGGAGT</t>
  </si>
  <si>
    <t xml:space="preserve">CGTCGTCAGAAGACGTCACAGTCGC</t>
  </si>
  <si>
    <t xml:space="preserve">S100-04</t>
  </si>
  <si>
    <t xml:space="preserve">msh-hox_B2_P1_04</t>
  </si>
  <si>
    <t xml:space="preserve">CCTCGTAAATCCTCATCAAAACATCTACTATAGAGTCTTCTTGGT</t>
  </si>
  <si>
    <t xml:space="preserve">msh-hox_B2_P2_04</t>
  </si>
  <si>
    <t xml:space="preserve">CTCTGTGCGCCATTTTGTAGATCCTAAATCATCCAGTAAACCGCC</t>
  </si>
  <si>
    <t xml:space="preserve">B2_P1 (msh-hox)_4</t>
  </si>
  <si>
    <t xml:space="preserve">B2_P2 (msh-hox)_4</t>
  </si>
  <si>
    <t xml:space="preserve">ACATCTACTATAGAGTCTTCTTGGT</t>
  </si>
  <si>
    <t xml:space="preserve">CTCTGTGCGCCATTTTGTAGATCCT</t>
  </si>
  <si>
    <t xml:space="preserve">S100-05</t>
  </si>
  <si>
    <t xml:space="preserve">msh-hox_B2_P1_05</t>
  </si>
  <si>
    <t xml:space="preserve">CCTCGTAAATCCTCATCAAACCTCTCCTTCTCATTAGGTGTCGAC</t>
  </si>
  <si>
    <t xml:space="preserve">msh-hox_B2_P2_05</t>
  </si>
  <si>
    <t xml:space="preserve">GAAGGGCGTCGGCCTAATCGGACCTAAATCATCCAGTAAACCGCC</t>
  </si>
  <si>
    <t xml:space="preserve">B2_P1 (msh-hox)_5</t>
  </si>
  <si>
    <t xml:space="preserve">B2_P2 (msh-hox)_5</t>
  </si>
  <si>
    <t xml:space="preserve">CCTCTCCTTCTCATTAGGTGTCGAC</t>
  </si>
  <si>
    <t xml:space="preserve">GAAGGGCGTCGGCCTAATCGGACCT</t>
  </si>
  <si>
    <t xml:space="preserve">S100-06</t>
  </si>
  <si>
    <t xml:space="preserve">msh-hox_B2_P1_06</t>
  </si>
  <si>
    <t xml:space="preserve">CCTCGTAAATCCTCATCAAAAGCCCAGGCCGTGGTAGGCCGCCGC</t>
  </si>
  <si>
    <t xml:space="preserve">msh-hox_B2_P2_06</t>
  </si>
  <si>
    <t xml:space="preserve">AGGGAACCACTGACGGAGCGCCGGGAAATCATCCAGTAAACCGCC</t>
  </si>
  <si>
    <t xml:space="preserve">B2_P1 (msh-hox)_6</t>
  </si>
  <si>
    <t xml:space="preserve">B2_P2 (msh-hox)_6</t>
  </si>
  <si>
    <t xml:space="preserve">AGCCCAGGCCGTGGTAGGCCGCCGC</t>
  </si>
  <si>
    <t xml:space="preserve">AGGGAACCACTGACGGAGCGCCGGG</t>
  </si>
  <si>
    <t xml:space="preserve">S101-01</t>
  </si>
  <si>
    <t xml:space="preserve">msp20_B2_P1_01</t>
  </si>
  <si>
    <t xml:space="preserve">CCTCGTAAATCCTCATCAAAGGAACTTCTCTCCGATGACCGCTTC</t>
  </si>
  <si>
    <t xml:space="preserve">msp20_B2_P2_01</t>
  </si>
  <si>
    <t xml:space="preserve">GGGCATGCTCGTAAGGTACGCCTGCAAATCATCCAGTAAACCGCC</t>
  </si>
  <si>
    <t xml:space="preserve">B2_P1 (msp20)_1</t>
  </si>
  <si>
    <t xml:space="preserve">B2_P2 (msp20)_1</t>
  </si>
  <si>
    <t xml:space="preserve">GGAACTTCTCTCCGATGACCGCTTC</t>
  </si>
  <si>
    <t xml:space="preserve">GGGCATGCTCGTAAGGTACGCCTGC</t>
  </si>
  <si>
    <t xml:space="preserve">S101-02</t>
  </si>
  <si>
    <t xml:space="preserve">msp20_B2_P1_02</t>
  </si>
  <si>
    <t xml:space="preserve">CCTCGTAAATCCTCATCAAATGGAGCCTGTTCATCAGCTTGCAGA</t>
  </si>
  <si>
    <t xml:space="preserve">msp20_B2_P2_02</t>
  </si>
  <si>
    <t xml:space="preserve">ATGTTCACTTTAGAGATGATGCCGGAAATCATCCAGTAAACCGCC</t>
  </si>
  <si>
    <t xml:space="preserve">B2_P1 (msp20)_2</t>
  </si>
  <si>
    <t xml:space="preserve">B2_P2 (msp20)_2</t>
  </si>
  <si>
    <t xml:space="preserve">TGGAGCCTGTTCATCAGCTTGCAGA</t>
  </si>
  <si>
    <t xml:space="preserve">ATGTTCACTTTAGAGATGATGCCGG</t>
  </si>
  <si>
    <t xml:space="preserve">S101-03</t>
  </si>
  <si>
    <t xml:space="preserve">msp20_B2_P1_03</t>
  </si>
  <si>
    <t xml:space="preserve">CCTCGTAAATCCTCATCAAAGAATTGGCTAATATTGTCCATGAAC</t>
  </si>
  <si>
    <t xml:space="preserve">msp20_B2_P2_03</t>
  </si>
  <si>
    <t xml:space="preserve">AACTCCGTATTTGATACACGCTTTTAAATCATCCAGTAAACCGCC</t>
  </si>
  <si>
    <t xml:space="preserve">B2_P1 (msp20)_3</t>
  </si>
  <si>
    <t xml:space="preserve">B2_P2 (msp20)_3</t>
  </si>
  <si>
    <t xml:space="preserve">GAATTGGCTAATATTGTCCATGAAC</t>
  </si>
  <si>
    <t xml:space="preserve">AACTCCGTATTTGATACACGCTTTT</t>
  </si>
  <si>
    <t xml:space="preserve">S101-04</t>
  </si>
  <si>
    <t xml:space="preserve">msp20_B2_P1_04</t>
  </si>
  <si>
    <t xml:space="preserve">CCTCGTAAATCCTCATCAAATTTGGTCCCAGAGGTCAGTTGACTG</t>
  </si>
  <si>
    <t xml:space="preserve">msp20_B2_P2_04</t>
  </si>
  <si>
    <t xml:space="preserve">TCGTTTGTGTCACCAGTGCGATGTTAAATCATCCAGTAAACCGCC</t>
  </si>
  <si>
    <t xml:space="preserve">B2_P1 (msp20)_4</t>
  </si>
  <si>
    <t xml:space="preserve">B2_P2 (msp20)_4</t>
  </si>
  <si>
    <t xml:space="preserve">TTTGGTCCCAGAGGTCAGTTGACTG</t>
  </si>
  <si>
    <t xml:space="preserve">TCGTTTGTGTCACCAGTGCGATGTT</t>
  </si>
  <si>
    <t xml:space="preserve">S101-05</t>
  </si>
  <si>
    <t xml:space="preserve">msp20_B2_P1_05</t>
  </si>
  <si>
    <t xml:space="preserve">CCTCGTAAATCCTCATCAAACGCCATTCTTGGTGCTTGTATGACG</t>
  </si>
  <si>
    <t xml:space="preserve">msp20_B2_P2_05</t>
  </si>
  <si>
    <t xml:space="preserve">GCAGGCCTGGGGCCAAGGAAAGGACAAATCATCCAGTAAACCGCC</t>
  </si>
  <si>
    <t xml:space="preserve">B2_P1 (msp20)_5</t>
  </si>
  <si>
    <t xml:space="preserve">B2_P2 (msp20)_5</t>
  </si>
  <si>
    <t xml:space="preserve">CGCCATTCTTGGTGCTTGTATGACG</t>
  </si>
  <si>
    <t xml:space="preserve">GCAGGCCTGGGGCCAAGGAAAGGAC</t>
  </si>
  <si>
    <t xml:space="preserve">S101-06</t>
  </si>
  <si>
    <t xml:space="preserve">msp20_B2_P1_06</t>
  </si>
  <si>
    <t xml:space="preserve">CCTCGTAAATCCTCATCAAATGCCCTGAGGACGTCCTCGCTGAAT</t>
  </si>
  <si>
    <t xml:space="preserve">msp20_B2_P2_06</t>
  </si>
  <si>
    <t xml:space="preserve">GGCTTGTAAGCCGATAACTGCCTCTAAATCATCCAGTAAACCGCC</t>
  </si>
  <si>
    <t xml:space="preserve">B2_P1 (msp20)_6</t>
  </si>
  <si>
    <t xml:space="preserve">B2_P2 (msp20)_6</t>
  </si>
  <si>
    <t xml:space="preserve">TGCCCTGAGGACGTCCTCGCTGAAT</t>
  </si>
  <si>
    <t xml:space="preserve">GGCTTGTAAGCCGATAACTGCCTCT</t>
  </si>
  <si>
    <t xml:space="preserve">S102-01</t>
  </si>
  <si>
    <t xml:space="preserve">naked-cuticle_B2_P1_01</t>
  </si>
  <si>
    <t xml:space="preserve">CCTCGTAAATCCTCATCAAACGAAGCTCTCAACGTTTCGTAGCAC</t>
  </si>
  <si>
    <t xml:space="preserve">naked-cuticle_B2_P2_01</t>
  </si>
  <si>
    <t xml:space="preserve">CGCCATGGGGGCGTCCGCGGCGGGTAAATCATCCAGTAAACCGCC</t>
  </si>
  <si>
    <t xml:space="preserve">B2_P1 (naked_cuticle)_1</t>
  </si>
  <si>
    <t xml:space="preserve">B2_P2 (naked_cuticle)_1</t>
  </si>
  <si>
    <t xml:space="preserve">CGAAGCTCTCAACGTTTCGTAGCAC</t>
  </si>
  <si>
    <t xml:space="preserve">CGCCATGGGGGCGTCCGCGGCGGGT</t>
  </si>
  <si>
    <t xml:space="preserve">S102-02</t>
  </si>
  <si>
    <t xml:space="preserve">naked-cuticle_B2_P1_02</t>
  </si>
  <si>
    <t xml:space="preserve">CCTCGTAAATCCTCATCAAAATCCATTTCTAAACTTGTTGCGCCA</t>
  </si>
  <si>
    <t xml:space="preserve">naked-cuticle_B2_P2_02</t>
  </si>
  <si>
    <t xml:space="preserve">CCTCGGTGCCTATGCTGAATTTCTTAAATCATCCAGTAAACCGCC</t>
  </si>
  <si>
    <t xml:space="preserve">B2_P1 (naked_cuticle)_2</t>
  </si>
  <si>
    <t xml:space="preserve">B2_P2 (naked_cuticle)_2</t>
  </si>
  <si>
    <t xml:space="preserve">ATCCATTTCTAAACTTGTTGCGCCA</t>
  </si>
  <si>
    <t xml:space="preserve">CCTCGGTGCCTATGCTGAATTTCTT</t>
  </si>
  <si>
    <t xml:space="preserve">S102-03</t>
  </si>
  <si>
    <t xml:space="preserve">naked-cuticle_B2_P1_03</t>
  </si>
  <si>
    <t xml:space="preserve">CCTCGTAAATCCTCATCAAAGACGCTGCTCGTCCTACCAACTCTT</t>
  </si>
  <si>
    <t xml:space="preserve">naked-cuticle_B2_P2_03</t>
  </si>
  <si>
    <t xml:space="preserve">AAGATGTCCGGCGGCGCCGAGCACTAAATCATCCAGTAAACCGCC</t>
  </si>
  <si>
    <t xml:space="preserve">B2_P1 (naked_cuticle)_3</t>
  </si>
  <si>
    <t xml:space="preserve">B2_P2 (naked_cuticle)_3</t>
  </si>
  <si>
    <t xml:space="preserve">GACGCTGCTCGTCCTACCAACTCTT</t>
  </si>
  <si>
    <t xml:space="preserve">AAGATGTCCGGCGGCGCCGAGCACT</t>
  </si>
  <si>
    <t xml:space="preserve">S102-04</t>
  </si>
  <si>
    <t xml:space="preserve">naked-cuticle_B2_P1_04</t>
  </si>
  <si>
    <t xml:space="preserve">CCTCGTAAATCCTCATCAAACGTCCTCCGTATGTCTTTCCGGCGA</t>
  </si>
  <si>
    <t xml:space="preserve">naked-cuticle_B2_P2_04</t>
  </si>
  <si>
    <t xml:space="preserve">ATCGCAGTCTTGGCTGCTTTTCATCAAATCATCCAGTAAACCGCC</t>
  </si>
  <si>
    <t xml:space="preserve">B2_P1 (naked)_4</t>
  </si>
  <si>
    <t xml:space="preserve">B2_P2 (naked)_4</t>
  </si>
  <si>
    <t xml:space="preserve">CGTCCTCCGTATGTCTTTCCGGCGA</t>
  </si>
  <si>
    <t xml:space="preserve">ATCGCAGTCTTGGCTGCTTTTCATC</t>
  </si>
  <si>
    <t xml:space="preserve">S102-05</t>
  </si>
  <si>
    <t xml:space="preserve">naked-cuticle_B2_P1_05</t>
  </si>
  <si>
    <t xml:space="preserve">CCTCGTAAATCCTCATCAAAGATTCCGGATGTTGTAGTTCGACGT</t>
  </si>
  <si>
    <t xml:space="preserve">naked-cuticle_B2_P2_05</t>
  </si>
  <si>
    <t xml:space="preserve">GAAAACTGCAACGGTTGTTGTTTCGAAATCATCCAGTAAACCGCC</t>
  </si>
  <si>
    <t xml:space="preserve">B2_P1 (naked)_5</t>
  </si>
  <si>
    <t xml:space="preserve">B2_P2 (naked)_5</t>
  </si>
  <si>
    <t xml:space="preserve">GATTCCGGATGTTGTAGTTCGACGT</t>
  </si>
  <si>
    <t xml:space="preserve">GAAAACTGCAACGGTTGTTGTTTCG</t>
  </si>
  <si>
    <t xml:space="preserve">S102-06</t>
  </si>
  <si>
    <t xml:space="preserve">naked-cuticle_B2_P1_06</t>
  </si>
  <si>
    <t xml:space="preserve">CCTCGTAAATCCTCATCAAATTTTGTCATCCTGCCGTGACCGTCA</t>
  </si>
  <si>
    <t xml:space="preserve">naked-cuticle_B2_P2_06</t>
  </si>
  <si>
    <t xml:space="preserve">AGTCGACACTATGCCCGCTATATCGAAATCATCCAGTAAACCGCC</t>
  </si>
  <si>
    <t xml:space="preserve">B2_P1 (naked)_6</t>
  </si>
  <si>
    <t xml:space="preserve">B2_P2 (naked)_6</t>
  </si>
  <si>
    <t xml:space="preserve">TTTTGTCATCCTGCCGTGACCGTCA</t>
  </si>
  <si>
    <t xml:space="preserve">AGTCGACACTATGCCCGCTATATCG</t>
  </si>
  <si>
    <t xml:space="preserve">S102-07</t>
  </si>
  <si>
    <t xml:space="preserve">naked-cuticle_B2_P1_07</t>
  </si>
  <si>
    <t xml:space="preserve">CCTCGTAAATCCTCATCAAACGTAGTGCGGAACTGTGACCGATTT</t>
  </si>
  <si>
    <t xml:space="preserve">naked-cuticle_B2_P2_07</t>
  </si>
  <si>
    <t xml:space="preserve">TTAAACGGACTTGTATTGTTTTGGAAAATCATCCAGTAAACCGCC</t>
  </si>
  <si>
    <t xml:space="preserve">B2_P1 (naked)_7</t>
  </si>
  <si>
    <t xml:space="preserve">B2_P2 (naked)_7</t>
  </si>
  <si>
    <t xml:space="preserve">CGTAGTGCGGAACTGTGACCGATTT</t>
  </si>
  <si>
    <t xml:space="preserve">TTAAACGGACTTGTATTGTTTTGGA</t>
  </si>
  <si>
    <t xml:space="preserve">S102-08</t>
  </si>
  <si>
    <t xml:space="preserve">naked-cuticle_B2_P1_08</t>
  </si>
  <si>
    <t xml:space="preserve">CCTCGTAAATCCTCATCAAACTATCCCGAGGGTTGAGAGGTCGAC</t>
  </si>
  <si>
    <t xml:space="preserve">naked-cuticle_B2_P2_08</t>
  </si>
  <si>
    <t xml:space="preserve">TCTCGACGTCTTCTTCTTCTTTCTCAAATCATCCAGTAAACCGCC</t>
  </si>
  <si>
    <t xml:space="preserve">B2_P1 (naked)_8</t>
  </si>
  <si>
    <t xml:space="preserve">B2_P2 (naked)_8</t>
  </si>
  <si>
    <t xml:space="preserve">CTATCCCGAGGGTTGAGAGGTCGAC</t>
  </si>
  <si>
    <t xml:space="preserve">TCTCGACGTCTTCTTCTTCTTTCTC</t>
  </si>
  <si>
    <t xml:space="preserve">S103-01</t>
  </si>
  <si>
    <t xml:space="preserve">nebula_B2_P1_01</t>
  </si>
  <si>
    <t xml:space="preserve">CCTCGTAAATCCTCATCAAAAGGGTGGGTAGTACGGTGGCGGGAA</t>
  </si>
  <si>
    <t xml:space="preserve">nebula_B2_P2_01</t>
  </si>
  <si>
    <t xml:space="preserve">AGGCGTTGTGATGCGGCGGCACCCCAAATCATCCAGTAAACCGCC</t>
  </si>
  <si>
    <t xml:space="preserve">TTCTGCCTAA B2_P1 (nebula)_1</t>
  </si>
  <si>
    <t xml:space="preserve">B2_P2 (nebula)_1</t>
  </si>
  <si>
    <t xml:space="preserve">AGGGTGGGTAGTACGGTGGCGGGAA</t>
  </si>
  <si>
    <t xml:space="preserve">AGGCGTTGTGATGCGGCGGCACCCC</t>
  </si>
  <si>
    <t xml:space="preserve">S103-02</t>
  </si>
  <si>
    <t xml:space="preserve">nebula_B2_P1_02</t>
  </si>
  <si>
    <t xml:space="preserve">CCTCGTAAATCCTCATCAAAGGTGGCGTTCGCCCGGTCATGGATA</t>
  </si>
  <si>
    <t xml:space="preserve">nebula_B2_P2_02</t>
  </si>
  <si>
    <t xml:space="preserve">AGCTTGGACACGGGGTTTTCGCGAGAAATCATCCAGTAAACCGCC</t>
  </si>
  <si>
    <t xml:space="preserve">B2_P1 (nebula)_2</t>
  </si>
  <si>
    <t xml:space="preserve">B2_P2 (nebula)_2</t>
  </si>
  <si>
    <t xml:space="preserve">GGTGGCGTTCGCCCGGTCATGGATA</t>
  </si>
  <si>
    <t xml:space="preserve">AGCTTGGACACGGGGTTTTCGCGAG</t>
  </si>
  <si>
    <t xml:space="preserve">S103-03</t>
  </si>
  <si>
    <t xml:space="preserve">nebula_B2_P1_03</t>
  </si>
  <si>
    <t xml:space="preserve">CCTCGTAAATCCTCATCAAACCTGTTCTGAATGATGAGTGGAGCA</t>
  </si>
  <si>
    <t xml:space="preserve">nebula_B2_P2_03</t>
  </si>
  <si>
    <t xml:space="preserve">TACGGTGGTAAATTTTCTGCGGTCGAAATCATCCAGTAAACCGCC</t>
  </si>
  <si>
    <t xml:space="preserve">B2_P1 (nebula)_3</t>
  </si>
  <si>
    <t xml:space="preserve">B2_P2 (nebula)_3</t>
  </si>
  <si>
    <t xml:space="preserve">CCTGTTCTGAATGATGAGTGGAGCA</t>
  </si>
  <si>
    <t xml:space="preserve">TACGGTGGTAAATTTTCTGCGGTCG</t>
  </si>
  <si>
    <t xml:space="preserve">S103-04</t>
  </si>
  <si>
    <t xml:space="preserve">nebula_B2_P1_04</t>
  </si>
  <si>
    <t xml:space="preserve">CCTCGTAAATCCTCATCAAATATTCTCTGGCGGCAAAACTGTGCG</t>
  </si>
  <si>
    <t xml:space="preserve">nebula_B2_P2_04</t>
  </si>
  <si>
    <t xml:space="preserve">TTTCTGGGTCAGGTCTGTCTCTCGTAAATCATCCAGTAAACCGCC</t>
  </si>
  <si>
    <t xml:space="preserve">B2_P1 (nebula)_4</t>
  </si>
  <si>
    <t xml:space="preserve">B2_P2 (nebula)_4</t>
  </si>
  <si>
    <t xml:space="preserve">TATTCTCTGGCGGCAAAACTGTGCG</t>
  </si>
  <si>
    <t xml:space="preserve">TTTCTGGGTCAGGTCTGTCTCTCGT</t>
  </si>
  <si>
    <t xml:space="preserve">S103-05</t>
  </si>
  <si>
    <t xml:space="preserve">nebula_B2_P1_05</t>
  </si>
  <si>
    <t xml:space="preserve">CCTCGTAAATCCTCATCAAATGCTGCTGATGTTGTTGCTGATGTT</t>
  </si>
  <si>
    <t xml:space="preserve">nebula_B2_P2_05</t>
  </si>
  <si>
    <t xml:space="preserve">TTGTTGCGTCCGCGAGAGGGGCGCGAAATCATCCAGTAAACCGCC</t>
  </si>
  <si>
    <t xml:space="preserve">B2_P1 (nebula)_5</t>
  </si>
  <si>
    <t xml:space="preserve">B2_P2 (nebula)_5</t>
  </si>
  <si>
    <t xml:space="preserve">TGCTGCTGATGTTGTTGCTGATGTT</t>
  </si>
  <si>
    <t xml:space="preserve">TTGTTGCGTCCGCGAGAGGGGCGCG</t>
  </si>
  <si>
    <t xml:space="preserve">S103-06</t>
  </si>
  <si>
    <t xml:space="preserve">nebula_B2_P1_06</t>
  </si>
  <si>
    <t xml:space="preserve">CCTCGTAAATCCTCATCAAAGCCGGAACTTTCATCACTAGCGACA</t>
  </si>
  <si>
    <t xml:space="preserve">nebula_B2_P2_06</t>
  </si>
  <si>
    <t xml:space="preserve">TGGCAACATTGTTTCAGAATTGGTGAAATCATCCAGTAAACCGCC</t>
  </si>
  <si>
    <t xml:space="preserve">B2_P1 (nebula)_6</t>
  </si>
  <si>
    <t xml:space="preserve">B2_P2 (nebula)_6</t>
  </si>
  <si>
    <t xml:space="preserve">GCCGGAACTTTCATCACTAGCGACA</t>
  </si>
  <si>
    <t xml:space="preserve">TGGCAACATTGTTTCAGAATTGGTG</t>
  </si>
  <si>
    <t xml:space="preserve">S104-01</t>
  </si>
  <si>
    <t xml:space="preserve">neuroligin-2_B2_P1_01</t>
  </si>
  <si>
    <t xml:space="preserve">CCTCGTAAATCCTCATCAAACAGGCGCGTGCCGGGCCAGGCGGGC</t>
  </si>
  <si>
    <t xml:space="preserve">neuroligin-2_B2_P2_01</t>
  </si>
  <si>
    <t xml:space="preserve">CGGGCACACGGGCGCGAAGGTGTCGAAATCATCCAGTAAACCGCC</t>
  </si>
  <si>
    <t xml:space="preserve">B2_P1 (neuroligin-2)_1</t>
  </si>
  <si>
    <t xml:space="preserve">B2_P2 (neuroligin-2)_1</t>
  </si>
  <si>
    <t xml:space="preserve">CAGGCGCGTGCCGGGCCAGGCGGGC</t>
  </si>
  <si>
    <t xml:space="preserve">CGGGCACACGGGCGCGAAGGTGTCG</t>
  </si>
  <si>
    <t xml:space="preserve">S104-02</t>
  </si>
  <si>
    <t xml:space="preserve">neuroligin-2_B2_P1_02</t>
  </si>
  <si>
    <t xml:space="preserve">CCTCGTAAATCCTCATCAAAGCGCCAGCGCCGCGCTCCTGTTGGA</t>
  </si>
  <si>
    <t xml:space="preserve">neuroligin-2_B2_P2_02</t>
  </si>
  <si>
    <t xml:space="preserve">GCTCGTTGTACAGGCCCAGCGGCATAAATCATCCAGTAAACCGCC</t>
  </si>
  <si>
    <t xml:space="preserve">B2_P1 (neuroligin-2)_2</t>
  </si>
  <si>
    <t xml:space="preserve">B2_P2 (neuroligin-2)_2</t>
  </si>
  <si>
    <t xml:space="preserve">GCGCCAGCGCCGCGCTCCTGTTGGA</t>
  </si>
  <si>
    <t xml:space="preserve">GCTCGTTGTACAGGCCCAGCGGCAT</t>
  </si>
  <si>
    <t xml:space="preserve">S104-03</t>
  </si>
  <si>
    <t xml:space="preserve">neuroligin-2_B2_P1_03</t>
  </si>
  <si>
    <t xml:space="preserve">CCTCGTAAATCCTCATCAAACAGTCTTCGCTCTGGTTGGCGAGCA</t>
  </si>
  <si>
    <t xml:space="preserve">neuroligin-2_B2_P2_03</t>
  </si>
  <si>
    <t xml:space="preserve">CCGGGCACGTAGATGTTGAGGTAGAAAATCATCCAGTAAACCGCC</t>
  </si>
  <si>
    <t xml:space="preserve">B2_P1 (neuroligin-2)_3</t>
  </si>
  <si>
    <t xml:space="preserve">B2_P2 (neuroligin-2)_3</t>
  </si>
  <si>
    <t xml:space="preserve">CAGTCTTCGCTCTGGTTGGCGAGCA</t>
  </si>
  <si>
    <t xml:space="preserve">CCGGGCACGTAGATGTTGAGGTAGA</t>
  </si>
  <si>
    <t xml:space="preserve">S104-04</t>
  </si>
  <si>
    <t xml:space="preserve">neuroligin-2_B2_P1_04</t>
  </si>
  <si>
    <t xml:space="preserve">CCTCGTAAATCCTCATCAAACACCGCCACGGCGTACGGCGCCTCC</t>
  </si>
  <si>
    <t xml:space="preserve">neuroligin-2_B2_P2_04</t>
  </si>
  <si>
    <t xml:space="preserve">GCCCCACTCGTGCGCGGCGGCCAGCAAATCATCCAGTAAACCGCC</t>
  </si>
  <si>
    <t xml:space="preserve">B2_P1 (neuroligin-2)_4</t>
  </si>
  <si>
    <t xml:space="preserve">B2_P2 (neuroligin-2)_4</t>
  </si>
  <si>
    <t xml:space="preserve">CACCGCCACGGCGTACGGCGCCTCC</t>
  </si>
  <si>
    <t xml:space="preserve">GCCCCACTCGTGCGCGGCGGCCAGC</t>
  </si>
  <si>
    <t xml:space="preserve">S104-05</t>
  </si>
  <si>
    <t xml:space="preserve">neuroligin-2_B2_P1_05</t>
  </si>
  <si>
    <t xml:space="preserve">CCTCGTAAATCCTCATCAAAGCGCGCGCGCCGCCAGCACGGCGCC</t>
  </si>
  <si>
    <t xml:space="preserve">neuroligin-2_B2_P2_05</t>
  </si>
  <si>
    <t xml:space="preserve">TATAGTTGAGCGTGACCACGAGCAGAAATCATCCAGTAAACCGCC</t>
  </si>
  <si>
    <t xml:space="preserve">B2_P1 (neuroligin-2)_5</t>
  </si>
  <si>
    <t xml:space="preserve">B2_P2 (neuroligin-2)_5</t>
  </si>
  <si>
    <t xml:space="preserve">GCGCGCGCGCCGCCAGCACGGCGCC</t>
  </si>
  <si>
    <t xml:space="preserve">TATAGTTGAGCGTGACCACGAGCAG</t>
  </si>
  <si>
    <t xml:space="preserve">S104-06</t>
  </si>
  <si>
    <t xml:space="preserve">neuroligin-2_B2_P1_06</t>
  </si>
  <si>
    <t xml:space="preserve">CCTCGTAAATCCTCATCAAATCGTCCGCGGCGCCGCTCGTCAAGT</t>
  </si>
  <si>
    <t xml:space="preserve">neuroligin-2_B2_P2_06</t>
  </si>
  <si>
    <t xml:space="preserve">GCCGCCGCCCCGCCCGCCTGCGACGAAATCATCCAGTAAACCGCC</t>
  </si>
  <si>
    <t xml:space="preserve">B2_P1 (neuroligin-2)_6</t>
  </si>
  <si>
    <t xml:space="preserve">B2_P2 (neuroligin-2)_6</t>
  </si>
  <si>
    <t xml:space="preserve">TCGTCCGCGGCGCCGCTCGTCAAGT</t>
  </si>
  <si>
    <t xml:space="preserve">GCCGCCGCCCCGCCCGCCTGCGACG</t>
  </si>
  <si>
    <t xml:space="preserve">S105-01</t>
  </si>
  <si>
    <t xml:space="preserve">odd_B2_P1_01</t>
  </si>
  <si>
    <t xml:space="preserve">CCTCGTAAATCCTCATCAAAATCTTCCATTTCCAAAATAGTACAA</t>
  </si>
  <si>
    <t xml:space="preserve">odd_B2_P2_01</t>
  </si>
  <si>
    <t xml:space="preserve">GTCGGAACTGTCAACACTGTACGGCAAATCATCCAGTAAACCGCC</t>
  </si>
  <si>
    <t xml:space="preserve">B2_P1 (odd)_1</t>
  </si>
  <si>
    <t xml:space="preserve">B2_P2 (odd)_1</t>
  </si>
  <si>
    <t xml:space="preserve">ATCTTCCATTTCCAAAATAGTACAA</t>
  </si>
  <si>
    <t xml:space="preserve">GTCGGAACTGTCAACACTGTACGGC</t>
  </si>
  <si>
    <t xml:space="preserve">S105-02</t>
  </si>
  <si>
    <t xml:space="preserve">odd_B2_P1_02</t>
  </si>
  <si>
    <t xml:space="preserve">CCTCGTAAATCCTCATCAAATCTCTTCAATTTGTTCTTCTTCCTC</t>
  </si>
  <si>
    <t xml:space="preserve">odd_B2_P2_02</t>
  </si>
  <si>
    <t xml:space="preserve">TTGGGAAGTCTGGTGGGTAACTATGAAATCATCCAGTAAACCGCC</t>
  </si>
  <si>
    <t xml:space="preserve">B2_P1 (odd)_2</t>
  </si>
  <si>
    <t xml:space="preserve">B2_P2 (odd)_2</t>
  </si>
  <si>
    <t xml:space="preserve">TCTCTTCAATTTGTTCTTCTTCCTC</t>
  </si>
  <si>
    <t xml:space="preserve">TTGGGAAGTCTGGTGGGTAACTATG</t>
  </si>
  <si>
    <t xml:space="preserve">S105-03</t>
  </si>
  <si>
    <t xml:space="preserve">odd_B2_P1_03</t>
  </si>
  <si>
    <t xml:space="preserve">CCTCGTAAATCCTCATCAAAGGCAGAGGTGGCGACGGACGCTCTA</t>
  </si>
  <si>
    <t xml:space="preserve">odd_B2_P2_03</t>
  </si>
  <si>
    <t xml:space="preserve">TCGTCGGTCGGTGTGTGAGGTGGCGAAATCATCCAGTAAACCGCC</t>
  </si>
  <si>
    <t xml:space="preserve">B2_P1 (odd)_3</t>
  </si>
  <si>
    <t xml:space="preserve">B2_P2 (odd)_3</t>
  </si>
  <si>
    <t xml:space="preserve">GGCAGAGGTGGCGACGGACGCTCTA</t>
  </si>
  <si>
    <t xml:space="preserve">TCGTCGGTCGGTGTGTGAGGTGGCG</t>
  </si>
  <si>
    <t xml:space="preserve">S105-04</t>
  </si>
  <si>
    <t xml:space="preserve">odd_B2_P1_04</t>
  </si>
  <si>
    <t xml:space="preserve">CCTCGTAAATCCTCATCAAACCAGGTGGCTTGGTGGCGTGATACA</t>
  </si>
  <si>
    <t xml:space="preserve">odd_B2_P2_04</t>
  </si>
  <si>
    <t xml:space="preserve">GGTTCTAGGCACGGAGTATTGAGGAAAATCATCCAGTAAACCGCC</t>
  </si>
  <si>
    <t xml:space="preserve">B2_P1 (odd)_4</t>
  </si>
  <si>
    <t xml:space="preserve">B2_P2 (odd)_4</t>
  </si>
  <si>
    <t xml:space="preserve">CCAGGTGGCTTGGTGGCGTGATACA</t>
  </si>
  <si>
    <t xml:space="preserve">GGTTCTAGGCACGGAGTATTGAGGA</t>
  </si>
  <si>
    <t xml:space="preserve">S105-05</t>
  </si>
  <si>
    <t xml:space="preserve">odd_B2_P1_05</t>
  </si>
  <si>
    <t xml:space="preserve">CCTCGTAAATCCTCATCAAATGTAGTTAGGAACTTGTTTGTCGTA</t>
  </si>
  <si>
    <t xml:space="preserve">odd_B2_P2_05</t>
  </si>
  <si>
    <t xml:space="preserve">GTTGGACGTAGGGCACTCCAGGATAAAATCATCCAGTAAACCGCC</t>
  </si>
  <si>
    <t xml:space="preserve">B2_P1 (odd)_5</t>
  </si>
  <si>
    <t xml:space="preserve">B2_P2 (odd)_5</t>
  </si>
  <si>
    <t xml:space="preserve">TGTAGTTAGGAACTTGTTTGTCGTA</t>
  </si>
  <si>
    <t xml:space="preserve">GTTGGACGTAGGGCACTCCAGGATA</t>
  </si>
  <si>
    <t xml:space="preserve">S106-01</t>
  </si>
  <si>
    <t xml:space="preserve">optix_B2_P1_01</t>
  </si>
  <si>
    <t xml:space="preserve">CCTCGTAAATCCTCATCAAACGCCGTCGTGGACTCGTCCCAG</t>
  </si>
  <si>
    <t xml:space="preserve">optix_B2_P2_01</t>
  </si>
  <si>
    <t xml:space="preserve">CGCCTCCAGGATGCGCGCGTGCAGCAAATCATCCAGTAAACCGCC</t>
  </si>
  <si>
    <t xml:space="preserve">Optix1_HCR_P1B2</t>
  </si>
  <si>
    <t xml:space="preserve">Optix1_HCR_P2B2</t>
  </si>
  <si>
    <t xml:space="preserve">CGCCGTCGTGGACTCGTCCCAG</t>
  </si>
  <si>
    <t xml:space="preserve">CGCCTCCAGGATGCGCGCGTGCAGC</t>
  </si>
  <si>
    <t xml:space="preserve">P1 arm 22 nt</t>
  </si>
  <si>
    <t xml:space="preserve">S106-02</t>
  </si>
  <si>
    <t xml:space="preserve">optix_B2_P1_02</t>
  </si>
  <si>
    <t xml:space="preserve">CCTCGTAAATCCTCATCAAAGGCGGACCCGCGGTGCGCCTCCAGG</t>
  </si>
  <si>
    <t xml:space="preserve">optix_B2_P2_02</t>
  </si>
  <si>
    <t xml:space="preserve">GCACGCGGGCTCGGCGCGGTCGGGCAAATCATCCAGTAAACCGCC</t>
  </si>
  <si>
    <t xml:space="preserve">Optix_B2_P1_1</t>
  </si>
  <si>
    <t xml:space="preserve">Optix_B2_P2_1</t>
  </si>
  <si>
    <t xml:space="preserve">GGCGGACCCGCGGTGCGCCTCCAGG</t>
  </si>
  <si>
    <t xml:space="preserve">GCACGCGGGCTCGGCGCGGTCGGGC</t>
  </si>
  <si>
    <t xml:space="preserve">Master (Jul 2024); hcr_probes (4)</t>
  </si>
  <si>
    <t xml:space="preserve">S106-03</t>
  </si>
  <si>
    <t xml:space="preserve">optix_B2_P1_03</t>
  </si>
  <si>
    <t xml:space="preserve">CCTCGTAAATCCTCATCAAAGGCTCGGCGCGGTCGGGCGCGGCGG</t>
  </si>
  <si>
    <t xml:space="preserve">optix_B2_P2_03</t>
  </si>
  <si>
    <t xml:space="preserve">AGCGTCAGCGGCGGAGGCTCGCACGAAATCATCCAGTAAACCGCC</t>
  </si>
  <si>
    <t xml:space="preserve">Optix2_HCR_P1B2</t>
  </si>
  <si>
    <t xml:space="preserve">Optix2_HCR_P2B2</t>
  </si>
  <si>
    <t xml:space="preserve">GGCTCGGCGCGGTCGGGCGCGGCGG</t>
  </si>
  <si>
    <t xml:space="preserve">AGCGTCAGCGGCGGAGGCTCGCACG</t>
  </si>
  <si>
    <t xml:space="preserve">S106-04</t>
  </si>
  <si>
    <t xml:space="preserve">optix_B2_P1_04</t>
  </si>
  <si>
    <t xml:space="preserve">CCTCGTAAATCCTCATCAAAAGCGGCGTGGGCGCCGCCAGCTCCA</t>
  </si>
  <si>
    <t xml:space="preserve">optix_B2_P2_04</t>
  </si>
  <si>
    <t xml:space="preserve">CTGAAGCTCAGCGTGGGCAGCGGCAAAATCATCCAGTAAACCGCC</t>
  </si>
  <si>
    <t xml:space="preserve">Optix_B2_P1_2</t>
  </si>
  <si>
    <t xml:space="preserve">Optix_B2_P2_2</t>
  </si>
  <si>
    <t xml:space="preserve">AGCGGCGTGGGCGCCGCCAGCTCCA</t>
  </si>
  <si>
    <t xml:space="preserve">CTGAAGCTCAGCGTGGGCAGCGGCA</t>
  </si>
  <si>
    <t xml:space="preserve">S106-05</t>
  </si>
  <si>
    <t xml:space="preserve">optix_B2_P1_05</t>
  </si>
  <si>
    <t xml:space="preserve">CCTCGTAAATCCTCATCAAAGGCAGCAGCGGCGTGGGCGCCGCCA</t>
  </si>
  <si>
    <t xml:space="preserve">optix_B2_P2_05</t>
  </si>
  <si>
    <t xml:space="preserve">GCGGCGCTGAAGCTCAGCGTGGGCAAAATCATCCAGTAAACCGCC</t>
  </si>
  <si>
    <t xml:space="preserve">Optix3_HCR_P1B2</t>
  </si>
  <si>
    <t xml:space="preserve">Optix3_HCR_P2B2</t>
  </si>
  <si>
    <t xml:space="preserve">GGCAGCAGCGGCGTGGGCGCCGCCA</t>
  </si>
  <si>
    <t xml:space="preserve">GCGGCGCTGAAGCTCAGCGTGGGCA</t>
  </si>
  <si>
    <t xml:space="preserve">S106-06</t>
  </si>
  <si>
    <t xml:space="preserve">optix_B2_P1_06</t>
  </si>
  <si>
    <t xml:space="preserve">CCTCGTAAATCCTCATCAAACCGCTCTCCTCCAGCGTCTCGCACA</t>
  </si>
  <si>
    <t xml:space="preserve">optix_B2_P2_06</t>
  </si>
  <si>
    <t xml:space="preserve">AAGAAGCGCGCCAGGCGCTCCACGTAAATCATCCAGTAAACCGCC</t>
  </si>
  <si>
    <t xml:space="preserve">Optix4_HCR_P1B2</t>
  </si>
  <si>
    <t xml:space="preserve">Optix4_HCR_P2B2</t>
  </si>
  <si>
    <t xml:space="preserve">CCGCTCTCCTCCAGCGTCTCGCACA</t>
  </si>
  <si>
    <t xml:space="preserve">AAGAAGCGCGCCAGGCGCTCCACGT</t>
  </si>
  <si>
    <t xml:space="preserve">S106-07</t>
  </si>
  <si>
    <t xml:space="preserve">optix_B2_P1_07</t>
  </si>
  <si>
    <t xml:space="preserve">CCTCGTAAATCCTCATCAAACCACGTCGCCGCTCTCCTCCAGCGT</t>
  </si>
  <si>
    <t xml:space="preserve">optix_B2_P2_07</t>
  </si>
  <si>
    <t xml:space="preserve">GCGACCACAAGAAGCGCGCCAGGCGAAATCATCCAGTAAACCGCC</t>
  </si>
  <si>
    <t xml:space="preserve">Optix_B2_P1_3</t>
  </si>
  <si>
    <t xml:space="preserve">Optix_B2_P2_3</t>
  </si>
  <si>
    <t xml:space="preserve">CCACGTCGCCGCTCTCCTCCAGCGT</t>
  </si>
  <si>
    <t xml:space="preserve">GCGACCACAAGAAGCGCGCCAGGCG</t>
  </si>
  <si>
    <t xml:space="preserve">S106-08</t>
  </si>
  <si>
    <t xml:space="preserve">optix_B2_P1_08</t>
  </si>
  <si>
    <t xml:space="preserve">CCTCGTAAATCCTCATCAAACAGCACGGCTTCGCAGCGCTCCAGC</t>
  </si>
  <si>
    <t xml:space="preserve">optix_B2_P2_08</t>
  </si>
  <si>
    <t xml:space="preserve">GTGGAAGGCGACGACGGCGCGCGCGAAATCATCCAGTAAACCGCC</t>
  </si>
  <si>
    <t xml:space="preserve">Optix_B2_P1_4</t>
  </si>
  <si>
    <t xml:space="preserve">Optix_B2_P2_4</t>
  </si>
  <si>
    <t xml:space="preserve">CAGCACGGCTTCGCAGCGCTCCAGC</t>
  </si>
  <si>
    <t xml:space="preserve">GTGGAAGGCGACGACGGCGCGCGCG</t>
  </si>
  <si>
    <t xml:space="preserve">S106-09</t>
  </si>
  <si>
    <t xml:space="preserve">optix_B2_P1_09</t>
  </si>
  <si>
    <t xml:space="preserve">CCTCGTAAATCCTCATCAAAGCGGTGGCGGCCGGCGTGGAAGGCG</t>
  </si>
  <si>
    <t xml:space="preserve">optix_B2_P2_09</t>
  </si>
  <si>
    <t xml:space="preserve">GTGGCGCTCGAGGATGGCGTACAGCAAATCATCCAGTAAACCGCC</t>
  </si>
  <si>
    <t xml:space="preserve">Optix5_HCR_P1B2</t>
  </si>
  <si>
    <t xml:space="preserve">Optix5_HCR_P2B2</t>
  </si>
  <si>
    <t xml:space="preserve">GCGGTGGCGGCCGGCGTGGAAGGCG</t>
  </si>
  <si>
    <t xml:space="preserve">GTGGCGCTCGAGGATGGCGTACAGC</t>
  </si>
  <si>
    <t xml:space="preserve">S106-10</t>
  </si>
  <si>
    <t xml:space="preserve">optix_B2_P1_10</t>
  </si>
  <si>
    <t xml:space="preserve">CCTCGTAAATCCTCATCAAACGCTGGAAGCGGTGGCGCTCGAGGA</t>
  </si>
  <si>
    <t xml:space="preserve">optix_B2_P2_10</t>
  </si>
  <si>
    <t xml:space="preserve">AGCGCTTGCAGCTTGGCGTGGCTGGAAATCATCCAGTAAACCGCC</t>
  </si>
  <si>
    <t xml:space="preserve">Optix_B2_P1_5</t>
  </si>
  <si>
    <t xml:space="preserve">Optix_B2_P2_5</t>
  </si>
  <si>
    <t xml:space="preserve">CGCTGGAAGCGGTGGCGCTCGAGGA</t>
  </si>
  <si>
    <t xml:space="preserve">AGCGCTTGCAGCTTGGCGTGGCTGG</t>
  </si>
  <si>
    <t xml:space="preserve">S106-11</t>
  </si>
  <si>
    <t xml:space="preserve">optix_B2_P1_11</t>
  </si>
  <si>
    <t xml:space="preserve">CCTCGTAAATCCTCATCAAAACAGCGCTTGCAGCTTGGCGTGGCT</t>
  </si>
  <si>
    <t xml:space="preserve">optix_B2_P2_11</t>
  </si>
  <si>
    <t xml:space="preserve">CAGCCTCCTGGTAGTGCGCCTCCAGAAATCATCCAGTAAACCGCC</t>
  </si>
  <si>
    <t xml:space="preserve">Optix6_HCR_P1B2</t>
  </si>
  <si>
    <t xml:space="preserve">Optix6_HCR_P2B2</t>
  </si>
  <si>
    <t xml:space="preserve">ACAGCGCTTGCAGCTTGGCGTGGCT</t>
  </si>
  <si>
    <t xml:space="preserve">CAGCCTCCTGGTAGTGCGCCTCCAG</t>
  </si>
  <si>
    <t xml:space="preserve">S106-12</t>
  </si>
  <si>
    <t xml:space="preserve">optix_B2_P1_12</t>
  </si>
  <si>
    <t xml:space="preserve">CCTCGTAAATCCTCATCAAACCAGCGGACGGCCGCGCAGGCGCTC</t>
  </si>
  <si>
    <t xml:space="preserve">optix_B2_P2_12</t>
  </si>
  <si>
    <t xml:space="preserve">TCCGCACGCGGTACTTGTCGACGGGAAATCATCCAGTAAACCGCC</t>
  </si>
  <si>
    <t xml:space="preserve">Optix_B2_P1_6</t>
  </si>
  <si>
    <t xml:space="preserve">Optix_B2_P2_6</t>
  </si>
  <si>
    <t xml:space="preserve">CCAGCGGACGGCCGCGCAGGCGCTC</t>
  </si>
  <si>
    <t xml:space="preserve">TCCGCACGCGGTACTTGTCGACGGG</t>
  </si>
  <si>
    <t xml:space="preserve">S106-13</t>
  </si>
  <si>
    <t xml:space="preserve">optix_B2_P1_13</t>
  </si>
  <si>
    <t xml:space="preserve">CCTCGTAAATCCTCATCAAAACAGTGCGTCTTCTGCTCGCCGTCC</t>
  </si>
  <si>
    <t xml:space="preserve">optix_B2_P2_13</t>
  </si>
  <si>
    <t xml:space="preserve">GAGTAGAGATCGCGTCCGCTCCTTGAAATCATCCAGTAAACCGCC</t>
  </si>
  <si>
    <t xml:space="preserve">Optix7_HCR_P1B2; Optix_B2_P1_7</t>
  </si>
  <si>
    <t xml:space="preserve">Optix7_HCR_P2B2; Optix_B2_P2_7</t>
  </si>
  <si>
    <t xml:space="preserve">ACAGTGCGTCTTCTGCTCGCCGTCC</t>
  </si>
  <si>
    <t xml:space="preserve">GAGTAGAGATCGCGTCCGCTCCTTG</t>
  </si>
  <si>
    <t xml:space="preserve">S106-14</t>
  </si>
  <si>
    <t xml:space="preserve">optix_B2_P1_14</t>
  </si>
  <si>
    <t xml:space="preserve">CCTCGTAAATCCTCATCAAACGTCGGGTTCGGGTAGGGATCTTGG</t>
  </si>
  <si>
    <t xml:space="preserve">optix_B2_P2_14</t>
  </si>
  <si>
    <t xml:space="preserve">CGTCGCCGCCGCCAATTCCCTCTTCAAATCATCCAGTAAACCGCC</t>
  </si>
  <si>
    <t xml:space="preserve">Optix8_HCR_P1B2</t>
  </si>
  <si>
    <t xml:space="preserve">Optix8_HCR_P2B2</t>
  </si>
  <si>
    <t xml:space="preserve">CGTCGGGTTCGGGTAGGGATCTTGG</t>
  </si>
  <si>
    <t xml:space="preserve">CGTCGCCGCCGCCAATTCCCTCTTC</t>
  </si>
  <si>
    <t xml:space="preserve">S106-15</t>
  </si>
  <si>
    <t xml:space="preserve">optix_B2_P1_15</t>
  </si>
  <si>
    <t xml:space="preserve">CCTCGTAAATCCTCATCAAAAATTCCCTCTTCTTCGTCGGGTTCG</t>
  </si>
  <si>
    <t xml:space="preserve">optix_B2_P2_15</t>
  </si>
  <si>
    <t xml:space="preserve">GTCGGCGTCAGACCCGTCGCCGCCGAAATCATCCAGTAAACCGCC</t>
  </si>
  <si>
    <t xml:space="preserve">Optix_B2_P1_8</t>
  </si>
  <si>
    <t xml:space="preserve">Optix_B2_P2_8</t>
  </si>
  <si>
    <t xml:space="preserve">AATTCCCTCTTCTTCGTCGGGTTCG</t>
  </si>
  <si>
    <t xml:space="preserve">GTCGGCGTCAGACCCGTCGCCGCCG</t>
  </si>
  <si>
    <t xml:space="preserve">S106-16</t>
  </si>
  <si>
    <t xml:space="preserve">optix_B2_P1_16</t>
  </si>
  <si>
    <t xml:space="preserve">CCTCGTAAATCCTCATCAAATTTGAACCAGTTGCCGACTTGCGTC</t>
  </si>
  <si>
    <t xml:space="preserve">optix_B2_P2_16</t>
  </si>
  <si>
    <t xml:space="preserve">GGCCGCTCGGTCTCTTTGCCGTCGGAAATCATCCAGTAAACCGCC</t>
  </si>
  <si>
    <t xml:space="preserve">Optix9_HCR_P1B2</t>
  </si>
  <si>
    <t xml:space="preserve">Optix9_HCR_P2B2</t>
  </si>
  <si>
    <t xml:space="preserve">TTTGAACCAGTTGCCGACTTGCGTC</t>
  </si>
  <si>
    <t xml:space="preserve">GGCCGCTCGGTCTCTTTGCCGTCGG</t>
  </si>
  <si>
    <t xml:space="preserve">S106-17</t>
  </si>
  <si>
    <t xml:space="preserve">optix_B2_P1_17</t>
  </si>
  <si>
    <t xml:space="preserve">CCTCGTAAATCCTCATCAAACGGCGGCCGCTCGGTCTCTTTGCCG</t>
  </si>
  <si>
    <t xml:space="preserve">optix_B2_P2_17</t>
  </si>
  <si>
    <t xml:space="preserve">TGCCCAGCACGGCGGAGCGGTTCTTAAATCATCCAGTAAACCGCC</t>
  </si>
  <si>
    <t xml:space="preserve">Optix_B2_P1_9</t>
  </si>
  <si>
    <t xml:space="preserve">Optix_B2_P2_9</t>
  </si>
  <si>
    <t xml:space="preserve">CGGCGGCCGCTCGGTCTCTTTGCCG</t>
  </si>
  <si>
    <t xml:space="preserve">TGCCCAGCACGGCGGAGCGGTTCTT</t>
  </si>
  <si>
    <t xml:space="preserve">S107-01</t>
  </si>
  <si>
    <t xml:space="preserve">orco_B2_P1_01</t>
  </si>
  <si>
    <t xml:space="preserve">CCTCGTAAATCCTCATCAAAGAGAGGATGGCTGTTCGACTGGTTC</t>
  </si>
  <si>
    <t xml:space="preserve">orco_B2_P2_01</t>
  </si>
  <si>
    <t xml:space="preserve">GTGGTACCTTGAGTCGGACTCCGTGAAATCATCCAGTAAACCGCC</t>
  </si>
  <si>
    <t xml:space="preserve">B2_P1 (orco)_1</t>
  </si>
  <si>
    <t xml:space="preserve">B2_P2 (orco)_1</t>
  </si>
  <si>
    <t xml:space="preserve">GAGAGGATGGCTGTTCGACTGGTTC</t>
  </si>
  <si>
    <t xml:space="preserve">GTGGTACCTTGAGTCGGACTCCGTG</t>
  </si>
  <si>
    <t xml:space="preserve">S107-02</t>
  </si>
  <si>
    <t xml:space="preserve">orco_B2_P1_02</t>
  </si>
  <si>
    <t xml:space="preserve">CCTCGTAAATCCTCATCAAAAGATGAAGTAGAGGAGCCTCCTCAT</t>
  </si>
  <si>
    <t xml:space="preserve">orco_B2_P2_02</t>
  </si>
  <si>
    <t xml:space="preserve">ACGTCACAGCAAAGATGGTCGTTCCAAATCATCCAGTAAACCGCC</t>
  </si>
  <si>
    <t xml:space="preserve">B2_P1 (orco)_2</t>
  </si>
  <si>
    <t xml:space="preserve">B2_P2 (orco)_2</t>
  </si>
  <si>
    <t xml:space="preserve">AGATGAAGTAGAGGAGCCTCCTCAT</t>
  </si>
  <si>
    <t xml:space="preserve">ACGTCACAGCAAAGATGGTCGTTCC</t>
  </si>
  <si>
    <t xml:space="preserve">S107-03</t>
  </si>
  <si>
    <t xml:space="preserve">orco_B2_P1_03</t>
  </si>
  <si>
    <t xml:space="preserve">CCTCGTAAATCCTCATCAAAAGCATACGCACTGAGTCTCCGAAGA</t>
  </si>
  <si>
    <t xml:space="preserve">orco_B2_P2_03</t>
  </si>
  <si>
    <t xml:space="preserve">AGCGTCTCATTAGTCTCCTTGTCCAAAATCATCCAGTAAACCGCC</t>
  </si>
  <si>
    <t xml:space="preserve">B2_P1 (orco)_3</t>
  </si>
  <si>
    <t xml:space="preserve">B2_P2 (orco)_3</t>
  </si>
  <si>
    <t xml:space="preserve">AGCATACGCACTGAGTCTCCGAAGA</t>
  </si>
  <si>
    <t xml:space="preserve">AGCGTCTCATTAGTCTCCTTGTCCA</t>
  </si>
  <si>
    <t xml:space="preserve">S107-04</t>
  </si>
  <si>
    <t xml:space="preserve">orco_B2_P1_04</t>
  </si>
  <si>
    <t xml:space="preserve">CCTCGTAAATCCTCATCAAAAGGATACCAAGCCTTGAGTGGTAGT</t>
  </si>
  <si>
    <t xml:space="preserve">orco_B2_P2_04</t>
  </si>
  <si>
    <t xml:space="preserve">GTACATGGTGCCGCTCATAGCATCGAAATCATCCAGTAAACCGCC</t>
  </si>
  <si>
    <t xml:space="preserve">B2_P1 (orco)_4</t>
  </si>
  <si>
    <t xml:space="preserve">B2_P2 (orco)_4</t>
  </si>
  <si>
    <t xml:space="preserve">AGGATACCAAGCCTTGAGTGGTAGT</t>
  </si>
  <si>
    <t xml:space="preserve">GTACATGGTGCCGCTCATAGCATCG</t>
  </si>
  <si>
    <t xml:space="preserve">S107-05</t>
  </si>
  <si>
    <t xml:space="preserve">orco_B2_P1_05</t>
  </si>
  <si>
    <t xml:space="preserve">CCTCGTAAATCCTCATCAAATGGCAAAGAGCAGCCAGTAGATCTG</t>
  </si>
  <si>
    <t xml:space="preserve">orco_B2_P2_05</t>
  </si>
  <si>
    <t xml:space="preserve">TCACGTCCAGGAGGTTCGCGATGGAAAATCATCCAGTAAACCGCC</t>
  </si>
  <si>
    <t xml:space="preserve">B2_P1 (orco)_5</t>
  </si>
  <si>
    <t xml:space="preserve">B2_P2 (orco)_5</t>
  </si>
  <si>
    <t xml:space="preserve">TGGCAAAGAGCAGCCAGTAGATCTG</t>
  </si>
  <si>
    <t xml:space="preserve">TCACGTCCAGGAGGTTCGCGATGGA</t>
  </si>
  <si>
    <t xml:space="preserve">S107-06</t>
  </si>
  <si>
    <t xml:space="preserve">orco_B2_P1_06</t>
  </si>
  <si>
    <t xml:space="preserve">CCTCGTAAATCCTCATCAAATGTTGGAGCTGTTCGCACGCGTAGA</t>
  </si>
  <si>
    <t xml:space="preserve">orco_B2_P2_06</t>
  </si>
  <si>
    <t xml:space="preserve">ATCAAAGGCTTCATGATGGCTTTCAAAATCATCCAGTAAACCGCC</t>
  </si>
  <si>
    <t xml:space="preserve">B2_P1 (orco)_6</t>
  </si>
  <si>
    <t xml:space="preserve">B2_P2 (orco)_6</t>
  </si>
  <si>
    <t xml:space="preserve">TGTTGGAGCTGTTCGCACGCGTAGA</t>
  </si>
  <si>
    <t xml:space="preserve">ATCAAAGGCTTCATGATGGCTTTCA</t>
  </si>
  <si>
    <t xml:space="preserve">S107-07</t>
  </si>
  <si>
    <t xml:space="preserve">orco_B2_P1_07</t>
  </si>
  <si>
    <t xml:space="preserve">CCTCGTAAATCCTCATCAAAAGCAGTATTCGGTCTGTAGGTGTCC</t>
  </si>
  <si>
    <t xml:space="preserve">orco_B2_P2_07</t>
  </si>
  <si>
    <t xml:space="preserve">CTCCGTAGAGGAAACTTTAAACAGTAAATCATCCAGTAAACCGCC</t>
  </si>
  <si>
    <t xml:space="preserve">B2_P1 (orco)_7</t>
  </si>
  <si>
    <t xml:space="preserve">B2_P2 (orco)_7</t>
  </si>
  <si>
    <t xml:space="preserve">AGCAGTATTCGGTCTGTAGGTGTCC</t>
  </si>
  <si>
    <t xml:space="preserve">CTCCGTAGAGGAAACTTTAAACAGT</t>
  </si>
  <si>
    <t xml:space="preserve">S107-08</t>
  </si>
  <si>
    <t xml:space="preserve">orco_B2_P1_08</t>
  </si>
  <si>
    <t xml:space="preserve">CCTCGTAAATCCTCATCAAACTCTGATATCCATGTCTACTGGTTC</t>
  </si>
  <si>
    <t xml:space="preserve">orco_B2_P2_08</t>
  </si>
  <si>
    <t xml:space="preserve">CAAAGTCATGCTGACTTGAATATATAAATCATCCAGTAAACCGCC</t>
  </si>
  <si>
    <t xml:space="preserve">B2_P1 (orco)_8</t>
  </si>
  <si>
    <t xml:space="preserve">B2_P2 (orco)_8</t>
  </si>
  <si>
    <t xml:space="preserve">CTCTGATATCCATGTCTACTGGTTC</t>
  </si>
  <si>
    <t xml:space="preserve">CAAAGTCATGCTGACTTGAATATAT</t>
  </si>
  <si>
    <t xml:space="preserve">S107-09</t>
  </si>
  <si>
    <t xml:space="preserve">orco_B2_P1_09</t>
  </si>
  <si>
    <t xml:space="preserve">CCTCGTAAATCCTCATCAAACCAAAAGTCTGCAGTCTGCCCCCGC</t>
  </si>
  <si>
    <t xml:space="preserve">orco_B2_P2_09</t>
  </si>
  <si>
    <t xml:space="preserve">AAACCGTTCGGGTTGTTGGGGTTCTAAATCATCCAGTAAACCGCC</t>
  </si>
  <si>
    <t xml:space="preserve">B2_P1 (orco)_9</t>
  </si>
  <si>
    <t xml:space="preserve">B2_P2 (orco)_9</t>
  </si>
  <si>
    <t xml:space="preserve">CCAAAAGTCTGCAGTCTGCCCCCGC</t>
  </si>
  <si>
    <t xml:space="preserve">AAACCGTTCGGGTTGTTGGGGTTCT</t>
  </si>
  <si>
    <t xml:space="preserve">S107-10</t>
  </si>
  <si>
    <t xml:space="preserve">orco_B2_P1_10</t>
  </si>
  <si>
    <t xml:space="preserve">CCTCGTAAATCCTCATCAAAATACTTGATAGCTGAACGTGCGAGT</t>
  </si>
  <si>
    <t xml:space="preserve">orco_B2_P2_10</t>
  </si>
  <si>
    <t xml:space="preserve">CACAATATGTTTGTGCCTTTCAACCAAATCATCCAGTAAACCGCC</t>
  </si>
  <si>
    <t xml:space="preserve">B2_P1 (orco)_10</t>
  </si>
  <si>
    <t xml:space="preserve">B2_P2 (orco)_10</t>
  </si>
  <si>
    <t xml:space="preserve">ATACTTGATAGCTGAACGTGCGAGT</t>
  </si>
  <si>
    <t xml:space="preserve">CACAATATGTTTGTGCCTTTCAACC</t>
  </si>
  <si>
    <t xml:space="preserve">S108-01</t>
  </si>
  <si>
    <t xml:space="preserve">pangolin_B2_P1_01</t>
  </si>
  <si>
    <t xml:space="preserve">CCTCGTAAATCCTCATCAAA</t>
  </si>
  <si>
    <t xml:space="preserve">pangolin_B2_P2_01</t>
  </si>
  <si>
    <t xml:space="preserve">AAATCATCCAGTAAACCGCC</t>
  </si>
  <si>
    <t xml:space="preserve">pang1_HCR_P1B2</t>
  </si>
  <si>
    <t xml:space="preserve">pang1_HCR_P2B2</t>
  </si>
  <si>
    <t xml:space="preserve">P1 arm 0 nt; P2 arm 0 nt</t>
  </si>
  <si>
    <t xml:space="preserve">S109-01</t>
  </si>
  <si>
    <t xml:space="preserve">peter-pan_B2_P1_01</t>
  </si>
  <si>
    <t xml:space="preserve">CCTCGTAAATCCTCATCAAATGCTTGCGGAGCGACGACACCACGT</t>
  </si>
  <si>
    <t xml:space="preserve">peter-pan_B2_P2_01</t>
  </si>
  <si>
    <t xml:space="preserve">TGCTGGAACGCGCGCGAGATCACGTAAATCATCCAGTAAACCGCC</t>
  </si>
  <si>
    <t xml:space="preserve">B1_P1 (peter)_1</t>
  </si>
  <si>
    <t xml:space="preserve">B1_P2 (peter)_1</t>
  </si>
  <si>
    <t xml:space="preserve">TGCTTGCGGAGCGACGACACCACGT</t>
  </si>
  <si>
    <t xml:space="preserve">TGCTGGAACGCGCGCGAGATCACGT</t>
  </si>
  <si>
    <t xml:space="preserve">S109-02</t>
  </si>
  <si>
    <t xml:space="preserve">peter-pan_B2_P1_02</t>
  </si>
  <si>
    <t xml:space="preserve">CCTCGTAAATCCTCATCAAACATGCCCTCGCCGGAGAAGCTGTTG</t>
  </si>
  <si>
    <t xml:space="preserve">peter-pan_B2_P2_02</t>
  </si>
  <si>
    <t xml:space="preserve">GAACATGGTGGCCATCAGCTTCATGAAATCATCCAGTAAACCGCC</t>
  </si>
  <si>
    <t xml:space="preserve">B1_P1 (peter)_2</t>
  </si>
  <si>
    <t xml:space="preserve">B1_P2 (peter)_2</t>
  </si>
  <si>
    <t xml:space="preserve">CATGCCCTCGCCGGAGAAGCTGTTG</t>
  </si>
  <si>
    <t xml:space="preserve">GAACATGGTGGCCATCAGCTTCATG</t>
  </si>
  <si>
    <t xml:space="preserve">S109-03</t>
  </si>
  <si>
    <t xml:space="preserve">peter-pan_B2_P1_03</t>
  </si>
  <si>
    <t xml:space="preserve">CCTCGTAAATCCTCATCAAATCAGTTTTACATTGGTAATGTTGAT</t>
  </si>
  <si>
    <t xml:space="preserve">peter-pan_B2_P2_03</t>
  </si>
  <si>
    <t xml:space="preserve">TCATGAGCACACAACGCCTGATGTTAAATCATCCAGTAAACCGCC</t>
  </si>
  <si>
    <t xml:space="preserve">B1_P1 (peter)_3</t>
  </si>
  <si>
    <t xml:space="preserve">B1_P2 (peter)_3</t>
  </si>
  <si>
    <t xml:space="preserve">TCAGTTTTACATTGGTAATGTTGAT</t>
  </si>
  <si>
    <t xml:space="preserve">TCATGAGCACACAACGCCTGATGTT</t>
  </si>
  <si>
    <t xml:space="preserve">S109-04</t>
  </si>
  <si>
    <t xml:space="preserve">peter-pan_B2_P1_04</t>
  </si>
  <si>
    <t xml:space="preserve">CCTCGTAAATCCTCATCAAAACGTAGTGGCGCATGTCGATCAGTT</t>
  </si>
  <si>
    <t xml:space="preserve">peter-pan_B2_P2_04</t>
  </si>
  <si>
    <t xml:space="preserve">TTGAGCCCCACGGGCGTGGCTCGTAAAATCATCCAGTAAACCGCC</t>
  </si>
  <si>
    <t xml:space="preserve">B1_P1 (peter)_4</t>
  </si>
  <si>
    <t xml:space="preserve">B1_P2 (peter)_4</t>
  </si>
  <si>
    <t xml:space="preserve">ACGTAGTGGCGCATGTCGATCAGTT</t>
  </si>
  <si>
    <t xml:space="preserve">TTGAGCCCCACGGGCGTGGCTCGTA</t>
  </si>
  <si>
    <t xml:space="preserve">S109-05</t>
  </si>
  <si>
    <t xml:space="preserve">peter-pan_B2_P1_05</t>
  </si>
  <si>
    <t xml:space="preserve">CCTCGTAAATCCTCATCAAAGAGGTTGGGTATTTTCCCTTGCACC</t>
  </si>
  <si>
    <t xml:space="preserve">peter-pan_B2_P2_05</t>
  </si>
  <si>
    <t xml:space="preserve">GAATTCTGACATGTCTTTACATCTGAAATCATCCAGTAAACCGCC</t>
  </si>
  <si>
    <t xml:space="preserve">B1_P1 (peter)_5</t>
  </si>
  <si>
    <t xml:space="preserve">B1_P2 (peter)_5</t>
  </si>
  <si>
    <t xml:space="preserve">GAGGTTGGGTATTTTCCCTTGCACC</t>
  </si>
  <si>
    <t xml:space="preserve">GAATTCTGACATGTCTTTACATCTG</t>
  </si>
  <si>
    <t xml:space="preserve">S109-06</t>
  </si>
  <si>
    <t xml:space="preserve">peter-pan_B2_P1_06</t>
  </si>
  <si>
    <t xml:space="preserve">CCTCGTAAATCCTCATCAAACGTCTTCGTACTCGCTCTCAGATAA</t>
  </si>
  <si>
    <t xml:space="preserve">peter-pan_B2_P2_06</t>
  </si>
  <si>
    <t xml:space="preserve">TTTGCGGGAGCTCCACCTGGTTGCCAAATCATCCAGTAAACCGCC</t>
  </si>
  <si>
    <t xml:space="preserve">B1_P1 (peter)_6</t>
  </si>
  <si>
    <t xml:space="preserve">B1_P2 (peter)_6</t>
  </si>
  <si>
    <t xml:space="preserve">CGTCTTCGTACTCGCTCTCAGATAA</t>
  </si>
  <si>
    <t xml:space="preserve">TTTGCGGGAGCTCCACCTGGTTGCC</t>
  </si>
  <si>
    <t xml:space="preserve">S110-01</t>
  </si>
  <si>
    <t xml:space="preserve">pygopus_B2_P1_01</t>
  </si>
  <si>
    <t xml:space="preserve">CCTCGTAAATCCTCATCAAACTTGATATAATTCTCAGCCAGCTCT</t>
  </si>
  <si>
    <t xml:space="preserve">pygopus_B2_P2_01</t>
  </si>
  <si>
    <t xml:space="preserve">CGGCATACCCGCCAGATTGTGACTCAAATCATCCAGTAAACCGCC</t>
  </si>
  <si>
    <t xml:space="preserve">B2_P1 (pygopus)_1</t>
  </si>
  <si>
    <t xml:space="preserve">B2_P2 (pygopus)_1</t>
  </si>
  <si>
    <t xml:space="preserve">CTTGATATAATTCTCAGCCAGCTCT</t>
  </si>
  <si>
    <t xml:space="preserve">CGGCATACCCGCCAGATTGTGACTC</t>
  </si>
  <si>
    <t xml:space="preserve">S110-02</t>
  </si>
  <si>
    <t xml:space="preserve">pygopus_B2_P1_02</t>
  </si>
  <si>
    <t xml:space="preserve">CCTCGTAAATCCTCATCAAATGAAGTCCGGGGGGCCGAGCCCTGG</t>
  </si>
  <si>
    <t xml:space="preserve">pygopus_B2_P2_02</t>
  </si>
  <si>
    <t xml:space="preserve">GTGGCGTGGGCGTGTCCATCGGCGGAAATCATCCAGTAAACCGCC</t>
  </si>
  <si>
    <t xml:space="preserve">B2_P1 (pygopus)_2</t>
  </si>
  <si>
    <t xml:space="preserve">B2_P2 (pygopus)_2</t>
  </si>
  <si>
    <t xml:space="preserve">TGAAGTCCGGGGGGCCGAGCCCTGG</t>
  </si>
  <si>
    <t xml:space="preserve">GTGGCGTGGGCGTGTCCATCGGCGG</t>
  </si>
  <si>
    <t xml:space="preserve">S110-03</t>
  </si>
  <si>
    <t xml:space="preserve">pygopus_B2_P1_03</t>
  </si>
  <si>
    <t xml:space="preserve">CCTCGTAAATCCTCATCAAAGATGTTTTTCTCCTCTTTTTTGGAT</t>
  </si>
  <si>
    <t xml:space="preserve">pygopus_B2_P2_03</t>
  </si>
  <si>
    <t xml:space="preserve">TGTGGTGTTATTGCATTGTTTGCGTAAATCATCCAGTAAACCGCC</t>
  </si>
  <si>
    <t xml:space="preserve">B2_P1 (pygopus)_3</t>
  </si>
  <si>
    <t xml:space="preserve">B2_P2 (pygopus)_3</t>
  </si>
  <si>
    <t xml:space="preserve">GATGTTTTTCTCCTCTTTTTTGGAT</t>
  </si>
  <si>
    <t xml:space="preserve">TGTGGTGTTATTGCATTGTTTGCGT</t>
  </si>
  <si>
    <t xml:space="preserve">S111-01</t>
  </si>
  <si>
    <t xml:space="preserve">rap1_B2_P1_01</t>
  </si>
  <si>
    <t xml:space="preserve">CCTCGTAAATCCTCATCAAAGAAATATGGCGGCAACACTGCCCTC</t>
  </si>
  <si>
    <t xml:space="preserve">rap1_B2_P2_01</t>
  </si>
  <si>
    <t xml:space="preserve">ACGATCGGTCGGTCGGGACACCTGAAAATCATCCAGTAAACCGCC</t>
  </si>
  <si>
    <t xml:space="preserve">B2_P1 (rap1)_1</t>
  </si>
  <si>
    <t xml:space="preserve">B2_P2 (rap1)_1</t>
  </si>
  <si>
    <t xml:space="preserve">GAAATATGGCGGCAACACTGCCCTC</t>
  </si>
  <si>
    <t xml:space="preserve">ACGATCGGTCGGTCGGGACACCTGA</t>
  </si>
  <si>
    <t xml:space="preserve">S111-02</t>
  </si>
  <si>
    <t xml:space="preserve">rap1_B2_P1_02</t>
  </si>
  <si>
    <t xml:space="preserve">CCTCGTAAATCCTCATCAAAACGAATGCCTGCCAGAGCTGGCCGC</t>
  </si>
  <si>
    <t xml:space="preserve">rap1_B2_P2_02</t>
  </si>
  <si>
    <t xml:space="preserve">GGGGCTCCGGGACTCTGTCCTGCAGAAATCATCCAGTAAACCGCC</t>
  </si>
  <si>
    <t xml:space="preserve">B2_P1 (rap1)_2</t>
  </si>
  <si>
    <t xml:space="preserve">B2_P2 (rap1)_2</t>
  </si>
  <si>
    <t xml:space="preserve">ACGAATGCCTGCCAGAGCTGGCCGC</t>
  </si>
  <si>
    <t xml:space="preserve">GGGGCTCCGGGACTCTGTCCTGCAG</t>
  </si>
  <si>
    <t xml:space="preserve">S111-03</t>
  </si>
  <si>
    <t xml:space="preserve">rap1_B2_P1_03</t>
  </si>
  <si>
    <t xml:space="preserve">CCTCGTAAATCCTCATCAAACGTCGTTGTGCGGCGACCGCACCAG</t>
  </si>
  <si>
    <t xml:space="preserve">rap1_B2_P2_03</t>
  </si>
  <si>
    <t xml:space="preserve">CGGCTAGCCTGGCAAGCGGCGGCGTAAATCATCCAGTAAACCGCC</t>
  </si>
  <si>
    <t xml:space="preserve">B2_P1 (rap1)_3</t>
  </si>
  <si>
    <t xml:space="preserve">B2_P2 (rap1)_3</t>
  </si>
  <si>
    <t xml:space="preserve">CGTCGTTGTGCGGCGACCGCACCAG</t>
  </si>
  <si>
    <t xml:space="preserve">CGGCTAGCCTGGCAAGCGGCGGCGT</t>
  </si>
  <si>
    <t xml:space="preserve">S111-04</t>
  </si>
  <si>
    <t xml:space="preserve">rap1_B2_P1_04</t>
  </si>
  <si>
    <t xml:space="preserve">CCTCGTAAATCCTCATCAAAGGGGGGTGTTCCTGGCCTAGCCAAA</t>
  </si>
  <si>
    <t xml:space="preserve">rap1_B2_P2_04</t>
  </si>
  <si>
    <t xml:space="preserve">GCCACCATTGGGCGGCTGCACTATAAAATCATCCAGTAAACCGCC</t>
  </si>
  <si>
    <t xml:space="preserve">B2_P1 (rap1)_4</t>
  </si>
  <si>
    <t xml:space="preserve">B2_P2 (rap1)_4</t>
  </si>
  <si>
    <t xml:space="preserve">GGGGGGTGTTCCTGGCCTAGCCAAA</t>
  </si>
  <si>
    <t xml:space="preserve">GCCACCATTGGGCGGCTGCACTATA</t>
  </si>
  <si>
    <t xml:space="preserve">S111-05</t>
  </si>
  <si>
    <t xml:space="preserve">rap1_B2_P1_05</t>
  </si>
  <si>
    <t xml:space="preserve">CCTCGTAAATCCTCATCAAATTTCCTCGTCCACCGAACTGTCTTC</t>
  </si>
  <si>
    <t xml:space="preserve">rap1_B2_P2_05</t>
  </si>
  <si>
    <t xml:space="preserve">GTGTACCCGGCTGTGGCCGTGGCTCAAATCATCCAGTAAACCGCC</t>
  </si>
  <si>
    <t xml:space="preserve">B2_P1 (rap1)_5</t>
  </si>
  <si>
    <t xml:space="preserve">B2_P2 (rap1)_5</t>
  </si>
  <si>
    <t xml:space="preserve">TTTCCTCGTCCACCGAACTGTCTTC</t>
  </si>
  <si>
    <t xml:space="preserve">GTGTACCCGGCTGTGGCCGTGGCTC</t>
  </si>
  <si>
    <t xml:space="preserve">S111-06</t>
  </si>
  <si>
    <t xml:space="preserve">rap1_B2_P1_06</t>
  </si>
  <si>
    <t xml:space="preserve">CCTCGTAAATCCTCATCAAAGTGTCATCTGTATCGATATTGTGCC</t>
  </si>
  <si>
    <t xml:space="preserve">rap1_B2_P2_06</t>
  </si>
  <si>
    <t xml:space="preserve">AAGAAGAACTTCCTGTAGAACTTGGAAATCATCCAGTAAACCGCC</t>
  </si>
  <si>
    <t xml:space="preserve">B2_P1 (rap1)_6</t>
  </si>
  <si>
    <t xml:space="preserve">B2_P2 (rap1)_6</t>
  </si>
  <si>
    <t xml:space="preserve">GTGTCATCTGTATCGATATTGTGCC</t>
  </si>
  <si>
    <t xml:space="preserve">AAGAAGAACTTCCTGTAGAACTTGG</t>
  </si>
  <si>
    <t xml:space="preserve">S112-01</t>
  </si>
  <si>
    <t xml:space="preserve">Rho-GTPase_B2_P1_01</t>
  </si>
  <si>
    <t xml:space="preserve">CCTCGTAAATCCTCATCAAAAACTGTACGGGGAATAGATTCAAAC</t>
  </si>
  <si>
    <t xml:space="preserve">Rho-GTPase_B2_P2_01</t>
  </si>
  <si>
    <t xml:space="preserve">ACCAGGTTCTCCTAATAAAATTATCAAATCATCCAGTAAACCGCC</t>
  </si>
  <si>
    <t xml:space="preserve">B2_P1 (Rho_GTPase)_1</t>
  </si>
  <si>
    <t xml:space="preserve">B2_P2 (Rho_GTPase)_1</t>
  </si>
  <si>
    <t xml:space="preserve">AACTGTACGGGGAATAGATTCAAAC</t>
  </si>
  <si>
    <t xml:space="preserve">ACCAGGTTCTCCTAATAAAATTATC</t>
  </si>
  <si>
    <t xml:space="preserve">S112-02</t>
  </si>
  <si>
    <t xml:space="preserve">Rho-GTPase_B2_P1_02</t>
  </si>
  <si>
    <t xml:space="preserve">CCTCGTAAATCCTCATCAAAACTCTTCGGTTACTAGTGAAAGTAT</t>
  </si>
  <si>
    <t xml:space="preserve">Rho-GTPase_B2_P2_02</t>
  </si>
  <si>
    <t xml:space="preserve">CTGCTTTTGGAGGCACATTTTCAGCAAATCATCCAGTAAACCGCC</t>
  </si>
  <si>
    <t xml:space="preserve">B2_P1 (Rho_GTPase)_2</t>
  </si>
  <si>
    <t xml:space="preserve">B2_P2 (Rho_GTPase)_2</t>
  </si>
  <si>
    <t xml:space="preserve">ACTCTTCGGTTACTAGTGAAAGTAT</t>
  </si>
  <si>
    <t xml:space="preserve">CTGCTTTTGGAGGCACATTTTCAGC</t>
  </si>
  <si>
    <t xml:space="preserve">S112-03</t>
  </si>
  <si>
    <t xml:space="preserve">Rho-GTPase_B2_P1_03</t>
  </si>
  <si>
    <t xml:space="preserve">CCTCGTAAATCCTCATCAAAGGTACTTGCTCCGGTGTGACATCTG</t>
  </si>
  <si>
    <t xml:space="preserve">Rho-GTPase_B2_P2_03</t>
  </si>
  <si>
    <t xml:space="preserve">GCTAGGCAGACATCGATTATATTGGAAATCATCCAGTAAACCGCC</t>
  </si>
  <si>
    <t xml:space="preserve">B2_P1 (Rho_GTPase)_3</t>
  </si>
  <si>
    <t xml:space="preserve">B2_P2 (Rho_GTPase)_3</t>
  </si>
  <si>
    <t xml:space="preserve">GGTACTTGCTCCGGTGTGACATCTG</t>
  </si>
  <si>
    <t xml:space="preserve">GCTAGGCAGACATCGATTATATTGG</t>
  </si>
  <si>
    <t xml:space="preserve">S113-01</t>
  </si>
  <si>
    <t xml:space="preserve">rho3_B2_P1_01</t>
  </si>
  <si>
    <t xml:space="preserve">CCTCGTAAATCCTCATCAAATGGGGTCTTCGAGAAGGAGATGGAA</t>
  </si>
  <si>
    <t xml:space="preserve">rho3_B2_P2_01</t>
  </si>
  <si>
    <t xml:space="preserve">CGAGGTGCACCATCCTGGCAAATAGAAATCATCCAGTAAACCGCC</t>
  </si>
  <si>
    <t xml:space="preserve">CCGACGCCGGCTTCTGA B2_P1 (rho3)_1</t>
  </si>
  <si>
    <t xml:space="preserve">B2_P2 (rho3)_1</t>
  </si>
  <si>
    <t xml:space="preserve">TGGGGTCTTCGAGAAGGAGATGGAA</t>
  </si>
  <si>
    <t xml:space="preserve">CGAGGTGCACCATCCTGGCAAATAG</t>
  </si>
  <si>
    <t xml:space="preserve">S113-02</t>
  </si>
  <si>
    <t xml:space="preserve">rho3_B2_P1_02</t>
  </si>
  <si>
    <t xml:space="preserve">CCTCGTAAATCCTCATCAAATAGTACTTGCGGTCCCTCTCCTCGG</t>
  </si>
  <si>
    <t xml:space="preserve">rho3_B2_P2_02</t>
  </si>
  <si>
    <t xml:space="preserve">GGTGGACAACACGTGTACCGCTCCTAAATCATCCAGTAAACCGCC</t>
  </si>
  <si>
    <t xml:space="preserve">B2_P1 (rho3)_2</t>
  </si>
  <si>
    <t xml:space="preserve">B2_P2 (rho3)_2</t>
  </si>
  <si>
    <t xml:space="preserve">TAGTACTTGCGGTCCCTCTCCTCGG</t>
  </si>
  <si>
    <t xml:space="preserve">GGTGGACAACACGTGTACCGCTCCT</t>
  </si>
  <si>
    <t xml:space="preserve">S113-03</t>
  </si>
  <si>
    <t xml:space="preserve">rho3_B2_P1_03</t>
  </si>
  <si>
    <t xml:space="preserve">CCTCGTAAATCCTCATCAAATACTCCTAACTCTAGTAAAGTAACA</t>
  </si>
  <si>
    <t xml:space="preserve">rho3_B2_P2_03</t>
  </si>
  <si>
    <t xml:space="preserve">GCCTGCACCCCATGCGTACCACGCGAAATCATCCAGTAAACCGCC</t>
  </si>
  <si>
    <t xml:space="preserve">B2_P1 (rho3)_3</t>
  </si>
  <si>
    <t xml:space="preserve">B2_P2 (rho3)_3</t>
  </si>
  <si>
    <t xml:space="preserve">TACTCCTAACTCTAGTAAAGTAACA</t>
  </si>
  <si>
    <t xml:space="preserve">GCCTGCACCCCATGCGTACCACGCG</t>
  </si>
  <si>
    <t xml:space="preserve">S113-04</t>
  </si>
  <si>
    <t xml:space="preserve">rho3_B2_P1_04</t>
  </si>
  <si>
    <t xml:space="preserve">CCTCGTAAATCCTCATCAAAAAGGCGAGTCGACCGGCACGGGGCC</t>
  </si>
  <si>
    <t xml:space="preserve">rho3_B2_P2_04</t>
  </si>
  <si>
    <t xml:space="preserve">CTCGTCTCCTGTCGGGGCGATACACAAATCATCCAGTAAACCGCC</t>
  </si>
  <si>
    <t xml:space="preserve">B2_P1 (rho3)_4</t>
  </si>
  <si>
    <t xml:space="preserve">B2_P2 (rho3)_4</t>
  </si>
  <si>
    <t xml:space="preserve">AAGGCGAGTCGACCGGCACGGGGCC</t>
  </si>
  <si>
    <t xml:space="preserve">CTCGTCTCCTGTCGGGGCGATACAC</t>
  </si>
  <si>
    <t xml:space="preserve">S113-05</t>
  </si>
  <si>
    <t xml:space="preserve">rho3_B2_P1_05</t>
  </si>
  <si>
    <t xml:space="preserve">CCTCGTAAATCCTCATCAAACATCCGGCATGCACAACACTGTAGG</t>
  </si>
  <si>
    <t xml:space="preserve">rho3_B2_P2_05</t>
  </si>
  <si>
    <t xml:space="preserve">ACAAGCAGGTTGAACGCGAGGTGCAAAATCATCCAGTAAACCGCC</t>
  </si>
  <si>
    <t xml:space="preserve">B2_P1 (rho3)_5</t>
  </si>
  <si>
    <t xml:space="preserve">B2_P2 (rho3)_5</t>
  </si>
  <si>
    <t xml:space="preserve">CATCCGGCATGCACAACACTGTAGG</t>
  </si>
  <si>
    <t xml:space="preserve">ACAAGCAGGTTGAACGCGAGGTGCA</t>
  </si>
  <si>
    <t xml:space="preserve">S113-06</t>
  </si>
  <si>
    <t xml:space="preserve">rho3_B2_P1_06</t>
  </si>
  <si>
    <t xml:space="preserve">CCTCGTAAATCCTCATCAAACGCTCCGTGCACCATTTCTAAAGGT</t>
  </si>
  <si>
    <t xml:space="preserve">rho3_B2_P2_06</t>
  </si>
  <si>
    <t xml:space="preserve">GGCAAGGTACACCGCACCGCACCTCAAATCATCCAGTAAACCGCC</t>
  </si>
  <si>
    <t xml:space="preserve">B2_P1 (rho3)_6</t>
  </si>
  <si>
    <t xml:space="preserve">B2_P2 (rho3)_6</t>
  </si>
  <si>
    <t xml:space="preserve">CGCTCCGTGCACCATTTCTAAAGGT</t>
  </si>
  <si>
    <t xml:space="preserve">GGCAAGGTACACCGCACCGCACCTC</t>
  </si>
  <si>
    <t xml:space="preserve">S114-01</t>
  </si>
  <si>
    <t xml:space="preserve">rho7_B2_P1_01</t>
  </si>
  <si>
    <t xml:space="preserve">CCTCGTAAATCCTCATCAAATATAGTGAAGAAGAAGGGCTTTAAC</t>
  </si>
  <si>
    <t xml:space="preserve">rho7_B2_P2_01</t>
  </si>
  <si>
    <t xml:space="preserve">ACCAGCCAGACTTACAGATGTTACCAAATCATCCAGTAAACCGCC</t>
  </si>
  <si>
    <t xml:space="preserve">B2_P1 (rho7)_1</t>
  </si>
  <si>
    <t xml:space="preserve">B2_P2 (rho7)_1</t>
  </si>
  <si>
    <t xml:space="preserve">TATAGTGAAGAAGAAGGGCTTTAAC</t>
  </si>
  <si>
    <t xml:space="preserve">ACCAGCCAGACTTACAGATGTTACC</t>
  </si>
  <si>
    <t xml:space="preserve">S114-02</t>
  </si>
  <si>
    <t xml:space="preserve">rho7_B2_P1_02</t>
  </si>
  <si>
    <t xml:space="preserve">CCTCGTAAATCCTCATCAAAAACTTGCATGTGAGCGGAGATTCTC</t>
  </si>
  <si>
    <t xml:space="preserve">rho7_B2_P2_02</t>
  </si>
  <si>
    <t xml:space="preserve">ACCATTGTCCTGGTTTTTTGAGAAAAAATCATCCAGTAAACCGCC</t>
  </si>
  <si>
    <t xml:space="preserve">B2_P1 (rho7)_2</t>
  </si>
  <si>
    <t xml:space="preserve">B2_P2 (rho7)_2</t>
  </si>
  <si>
    <t xml:space="preserve">AACTTGCATGTGAGCGGAGATTCTC</t>
  </si>
  <si>
    <t xml:space="preserve">ACCATTGTCCTGGTTTTTTGAGAAA</t>
  </si>
  <si>
    <t xml:space="preserve">S114-03</t>
  </si>
  <si>
    <t xml:space="preserve">rho7_B2_P1_03</t>
  </si>
  <si>
    <t xml:space="preserve">CCTCGTAAATCCTCATCAAATCTGATCTATTATATGCTGATACAC</t>
  </si>
  <si>
    <t xml:space="preserve">rho7_B2_P2_03</t>
  </si>
  <si>
    <t xml:space="preserve">CTCCACCATTTCCTAATAGGTCCAGAAATCATCCAGTAAACCGCC</t>
  </si>
  <si>
    <t xml:space="preserve">B2_P1 (rho7)_3</t>
  </si>
  <si>
    <t xml:space="preserve">B2_P2 (rho7)_3</t>
  </si>
  <si>
    <t xml:space="preserve">TCTGATCTATTATATGCTGATACAC</t>
  </si>
  <si>
    <t xml:space="preserve">CTCCACCATTTCCTAATAGGTCCAG</t>
  </si>
  <si>
    <t xml:space="preserve">S114-04</t>
  </si>
  <si>
    <t xml:space="preserve">rho7_B2_P1_04</t>
  </si>
  <si>
    <t xml:space="preserve">CCTCGTAAATCCTCATCAAATGCTAAAATTGGAAAGAAAACTTTT</t>
  </si>
  <si>
    <t xml:space="preserve">rho7_B2_P2_04</t>
  </si>
  <si>
    <t xml:space="preserve">CCAAGCACAGAAGACTAGAACATTGAAATCATCCAGTAAACCGCC</t>
  </si>
  <si>
    <t xml:space="preserve">B2_P1 (rho7)_4</t>
  </si>
  <si>
    <t xml:space="preserve">B2_P2 (rho7)_4</t>
  </si>
  <si>
    <t xml:space="preserve">TGCTAAAATTGGAAAGAAAACTTTT</t>
  </si>
  <si>
    <t xml:space="preserve">CCAAGCACAGAAGACTAGAACATTG</t>
  </si>
  <si>
    <t xml:space="preserve">S114-05</t>
  </si>
  <si>
    <t xml:space="preserve">rho7_B2_P1_05</t>
  </si>
  <si>
    <t xml:space="preserve">CCTCGTAAATCCTCATCAAAAACAGAAGTATTTGATCATGAACGG</t>
  </si>
  <si>
    <t xml:space="preserve">rho7_B2_P2_05</t>
  </si>
  <si>
    <t xml:space="preserve">GACATTTTGCTCTGCCAGAAGGGTTAAATCATCCAGTAAACCGCC</t>
  </si>
  <si>
    <t xml:space="preserve">B2_P1 (rho7)_5</t>
  </si>
  <si>
    <t xml:space="preserve">B2_P2 (rho7)_5</t>
  </si>
  <si>
    <t xml:space="preserve">AACAGAAGTATTTGATCATGAACGG</t>
  </si>
  <si>
    <t xml:space="preserve">GACATTTTGCTCTGCCAGAAGGGTT</t>
  </si>
  <si>
    <t xml:space="preserve">S115-01</t>
  </si>
  <si>
    <t xml:space="preserve">sam-sonia_B2_P1_01</t>
  </si>
  <si>
    <t xml:space="preserve">CCTCGTAAATCCTCATCAAAAATTTTGATAGGTCTTAGAGATAAT</t>
  </si>
  <si>
    <t xml:space="preserve">sam-sonia_B2_P2_01</t>
  </si>
  <si>
    <t xml:space="preserve">AATGTTGTTCTTAGTGAGAAGAAGTAAATCATCCAGTAAACCGCC</t>
  </si>
  <si>
    <t xml:space="preserve">B2_P1 (sam)_1</t>
  </si>
  <si>
    <t xml:space="preserve">B2_P2 (sam)_1</t>
  </si>
  <si>
    <t xml:space="preserve">AATTTTGATAGGTCTTAGAGATAAT</t>
  </si>
  <si>
    <t xml:space="preserve">AATGTTGTTCTTAGTGAGAAGAAGT</t>
  </si>
  <si>
    <t xml:space="preserve">S115-02</t>
  </si>
  <si>
    <t xml:space="preserve">sam-sonia_B2_P1_02</t>
  </si>
  <si>
    <t xml:space="preserve">CCTCGTAAATCCTCATCAAATATTTCTACCTACTGACTTAACACC</t>
  </si>
  <si>
    <t xml:space="preserve">sam-sonia_B2_P2_02</t>
  </si>
  <si>
    <t xml:space="preserve">CACCTCGTTTAAATTCGATTGAAACAAATCATCCAGTAAACCGCC</t>
  </si>
  <si>
    <t xml:space="preserve">B2_P1 (sam)_2</t>
  </si>
  <si>
    <t xml:space="preserve">B2_P2 (sam)_2</t>
  </si>
  <si>
    <t xml:space="preserve">TATTTCTACCTACTGACTTAACACC</t>
  </si>
  <si>
    <t xml:space="preserve">CACCTCGTTTAAATTCGATTGAAAC</t>
  </si>
  <si>
    <t xml:space="preserve">S115-03</t>
  </si>
  <si>
    <t xml:space="preserve">sam-sonia_B2_P1_03</t>
  </si>
  <si>
    <t xml:space="preserve">CCTCGTAAATCCTCATCAAACAACCATTTAGGCATTTATGCTGTA</t>
  </si>
  <si>
    <t xml:space="preserve">sam-sonia_B2_P2_03</t>
  </si>
  <si>
    <t xml:space="preserve">AAAGCAGGGATACTAGCTTTAAGCTAAATCATCCAGTAAACCGCC</t>
  </si>
  <si>
    <t xml:space="preserve">B2_P1 (sam)_3</t>
  </si>
  <si>
    <t xml:space="preserve">B2_P2 (sam)_3</t>
  </si>
  <si>
    <t xml:space="preserve">CAACCATTTAGGCATTTATGCTGTA</t>
  </si>
  <si>
    <t xml:space="preserve">AAAGCAGGGATACTAGCTTTAAGCT</t>
  </si>
  <si>
    <t xml:space="preserve">S115-04</t>
  </si>
  <si>
    <t xml:space="preserve">sam-sonia_B2_P1_04</t>
  </si>
  <si>
    <t xml:space="preserve">CCTCGTAAATCCTCATCAAACTCCTTAGGAACGCCTCTGACGAGA</t>
  </si>
  <si>
    <t xml:space="preserve">sam-sonia_B2_P2_04</t>
  </si>
  <si>
    <t xml:space="preserve">AGATTCTACGAGTTCCACCATAGACAAATCATCCAGTAAACCGCC</t>
  </si>
  <si>
    <t xml:space="preserve">B2_P1 (sam)_4</t>
  </si>
  <si>
    <t xml:space="preserve">B2_P2 (sam)_4</t>
  </si>
  <si>
    <t xml:space="preserve">CTCCTTAGGAACGCCTCTGACGAGA</t>
  </si>
  <si>
    <t xml:space="preserve">AGATTCTACGAGTTCCACCATAGAC</t>
  </si>
  <si>
    <t xml:space="preserve">S115-05</t>
  </si>
  <si>
    <t xml:space="preserve">sam-sonia_B2_P1_05</t>
  </si>
  <si>
    <t xml:space="preserve">CCTCGTAAATCCTCATCAAATCCTCGCTTTGAGGACTTTACCACA</t>
  </si>
  <si>
    <t xml:space="preserve">sam-sonia_B2_P2_05</t>
  </si>
  <si>
    <t xml:space="preserve">CTTCATTAATTATTTTGCGGTTGAGAAATCATCCAGTAAACCGCC</t>
  </si>
  <si>
    <t xml:space="preserve">B2_P1 (sam)_5</t>
  </si>
  <si>
    <t xml:space="preserve">B2_P2 (sam)_5</t>
  </si>
  <si>
    <t xml:space="preserve">TCCTCGCTTTGAGGACTTTACCACA</t>
  </si>
  <si>
    <t xml:space="preserve">CTTCATTAATTATTTTGCGGTTGAG</t>
  </si>
  <si>
    <t xml:space="preserve">S115-06</t>
  </si>
  <si>
    <t xml:space="preserve">sam-sonia_B2_P1_06</t>
  </si>
  <si>
    <t xml:space="preserve">CCTCGTAAATCCTCATCAAAAATGTGAGGACAACAGATTGAGTAG</t>
  </si>
  <si>
    <t xml:space="preserve">sam-sonia_B2_P2_06</t>
  </si>
  <si>
    <t xml:space="preserve">ATATGTTTTGGCAAAACTTGACGACAAATCATCCAGTAAACCGCC</t>
  </si>
  <si>
    <t xml:space="preserve">B2_P1 (sam)_6</t>
  </si>
  <si>
    <t xml:space="preserve">B2_P2 (sam)_6</t>
  </si>
  <si>
    <t xml:space="preserve">AATGTGAGGACAACAGATTGAGTAG</t>
  </si>
  <si>
    <t xml:space="preserve">ATATGTTTTGGCAAAACTTGACGAC</t>
  </si>
  <si>
    <t xml:space="preserve">S116-01</t>
  </si>
  <si>
    <t xml:space="preserve">sifar_B2_P1_01</t>
  </si>
  <si>
    <t xml:space="preserve">CCTCGTAAATCCTCATCAAACACAAGGAAGATGTTCGTTACATTT</t>
  </si>
  <si>
    <t xml:space="preserve">sifar_B2_P2_01</t>
  </si>
  <si>
    <t xml:space="preserve">CACCAGCAGATCGGCCGCTGACAGGAAATCATCCAGTAAACCGCC</t>
  </si>
  <si>
    <t xml:space="preserve">B2_P1 (sifar)_1</t>
  </si>
  <si>
    <t xml:space="preserve">B2_P2 (sifar)_1</t>
  </si>
  <si>
    <t xml:space="preserve">CACAAGGAAGATGTTCGTTACATTT</t>
  </si>
  <si>
    <t xml:space="preserve">CACCAGCAGATCGGCCGCTGACAGG</t>
  </si>
  <si>
    <t xml:space="preserve">S116-02</t>
  </si>
  <si>
    <t xml:space="preserve">sifar_B2_P1_02</t>
  </si>
  <si>
    <t xml:space="preserve">CCTCGTAAATCCTCATCAAAGTGTGATGGCCTTACTGAGCTGGAT</t>
  </si>
  <si>
    <t xml:space="preserve">sifar_B2_P2_02</t>
  </si>
  <si>
    <t xml:space="preserve">AGACGGTCTCCCCGTAGAACCACACAAATCATCCAGTAAACCGCC</t>
  </si>
  <si>
    <t xml:space="preserve">B2_P1 (sifar)_2</t>
  </si>
  <si>
    <t xml:space="preserve">B2_P2 (sifar)_2</t>
  </si>
  <si>
    <t xml:space="preserve">GTGTGATGGCCTTACTGAGCTGGAT</t>
  </si>
  <si>
    <t xml:space="preserve">AGACGGTCTCCCCGTAGAACCACAC</t>
  </si>
  <si>
    <t xml:space="preserve">S116-03</t>
  </si>
  <si>
    <t xml:space="preserve">sifar_B2_P1_03</t>
  </si>
  <si>
    <t xml:space="preserve">CCTCGTAAATCCTCATCAAACTTGCAGCCACCGCTACTCCTTGTA</t>
  </si>
  <si>
    <t xml:space="preserve">sifar_B2_P2_03</t>
  </si>
  <si>
    <t xml:space="preserve">ACCGACATCGCTGTGAGGGTGAACAAAATCATCCAGTAAACCGCC</t>
  </si>
  <si>
    <t xml:space="preserve">B2_P1 (sifar)_3</t>
  </si>
  <si>
    <t xml:space="preserve">B2_P2 (sifar)_3</t>
  </si>
  <si>
    <t xml:space="preserve">CTTGCAGCCACCGCTACTCCTTGTA</t>
  </si>
  <si>
    <t xml:space="preserve">ACCGACATCGCTGTGAGGGTGAACA</t>
  </si>
  <si>
    <t xml:space="preserve">S116-04</t>
  </si>
  <si>
    <t xml:space="preserve">sifar_B2_P1_04</t>
  </si>
  <si>
    <t xml:space="preserve">CCTCGTAAATCCTCATCAAAGGGTCGCAGCCGCGGCTCGGGGGAG</t>
  </si>
  <si>
    <t xml:space="preserve">sifar_B2_P2_04</t>
  </si>
  <si>
    <t xml:space="preserve">CAGCAGCAAGGCCTGCCGTCGCCCGAAATCATCCAGTAAACCGCC</t>
  </si>
  <si>
    <t xml:space="preserve">B2_P1 (sifar)_4</t>
  </si>
  <si>
    <t xml:space="preserve">B2_P2 (sifar)_4</t>
  </si>
  <si>
    <t xml:space="preserve">GGGTCGCAGCCGCGGCTCGGGGGAG</t>
  </si>
  <si>
    <t xml:space="preserve">CAGCAGCAAGGCCTGCCGTCGCCCG</t>
  </si>
  <si>
    <t xml:space="preserve">S116-05</t>
  </si>
  <si>
    <t xml:space="preserve">sifar_B2_P1_05</t>
  </si>
  <si>
    <t xml:space="preserve">CCTCGTAAATCCTCATCAAAGTGGGATAAAGATAAGCAGCGCTGC</t>
  </si>
  <si>
    <t xml:space="preserve">sifar_B2_P2_05</t>
  </si>
  <si>
    <t xml:space="preserve">CCTTCCTGACAGACGCCACCATCAGAAATCATCCAGTAAACCGCC</t>
  </si>
  <si>
    <t xml:space="preserve">B2_P1 (sifar)_5</t>
  </si>
  <si>
    <t xml:space="preserve">B2_P2 (sifar)_5</t>
  </si>
  <si>
    <t xml:space="preserve">GTGGGATAAAGATAAGCAGCGCTGC</t>
  </si>
  <si>
    <t xml:space="preserve">CCTTCCTGACAGACGCCACCATCAG</t>
  </si>
  <si>
    <t xml:space="preserve">S116-06</t>
  </si>
  <si>
    <t xml:space="preserve">sifar_B2_P1_06</t>
  </si>
  <si>
    <t xml:space="preserve">CCTCGTAAATCCTCATCAAAATCGAAATATTCCTATGAGCTTTAG</t>
  </si>
  <si>
    <t xml:space="preserve">sifar_B2_P2_06</t>
  </si>
  <si>
    <t xml:space="preserve">GTACAAAAGTGGACGTCCTTAGTTTAAATCATCCAGTAAACCGCC</t>
  </si>
  <si>
    <t xml:space="preserve">B2_P1 (sifar)_6</t>
  </si>
  <si>
    <t xml:space="preserve">B2_P2 (sifar)_6</t>
  </si>
  <si>
    <t xml:space="preserve">ATCGAAATATTCCTATGAGCTTTAG</t>
  </si>
  <si>
    <t xml:space="preserve">GTACAAAAGTGGACGTCCTTAGTTT</t>
  </si>
  <si>
    <t xml:space="preserve">S117-01</t>
  </si>
  <si>
    <t xml:space="preserve">sine-oculis_B2_P1_01</t>
  </si>
  <si>
    <t xml:space="preserve">CCTCGTAAATCCTCATCAAACCGCTGGCCCCACTCGGGGCCCCCC</t>
  </si>
  <si>
    <t xml:space="preserve">sine-oculis_B2_P2_01</t>
  </si>
  <si>
    <t xml:space="preserve">GGGGGCGTCTCTAGGGGGGGTGGTCAAATCATCCAGTAAACCGCC</t>
  </si>
  <si>
    <t xml:space="preserve">B2_P1 (sin_oc)_1</t>
  </si>
  <si>
    <t xml:space="preserve">B2_P2 (sin_oc)_1</t>
  </si>
  <si>
    <t xml:space="preserve">CCGCTGGCCCCACTCGGGGCCCCCC</t>
  </si>
  <si>
    <t xml:space="preserve">GGGGGCGTCTCTAGGGGGGGTGGTC</t>
  </si>
  <si>
    <t xml:space="preserve">S117-02</t>
  </si>
  <si>
    <t xml:space="preserve">sine-oculis_B2_P1_02</t>
  </si>
  <si>
    <t xml:space="preserve">CCTCGTAAATCCTCATCAAAATACGCACGCGACTTGCTCCTGCGT</t>
  </si>
  <si>
    <t xml:space="preserve">sine-oculis_B2_P2_02</t>
  </si>
  <si>
    <t xml:space="preserve">TGTTGCCAGCTTGCTGCAGCACCTCAAATCATCCAGTAAACCGCC</t>
  </si>
  <si>
    <t xml:space="preserve">B2_P1 (sin_oc)_2</t>
  </si>
  <si>
    <t xml:space="preserve">B2_P2 (sin_oc)_2</t>
  </si>
  <si>
    <t xml:space="preserve">ATACGCACGCGACTTGCTCCTGCGT</t>
  </si>
  <si>
    <t xml:space="preserve">TGTTGCCAGCTTGCTGCAGCACCTC</t>
  </si>
  <si>
    <t xml:space="preserve">S117-03</t>
  </si>
  <si>
    <t xml:space="preserve">sine-oculis_B2_P1_03</t>
  </si>
  <si>
    <t xml:space="preserve">CCTCGTAAATCCTCATCAAATCACACGCTGGCAGCGACCACAGGA</t>
  </si>
  <si>
    <t xml:space="preserve">sine-oculis_B2_P2_03</t>
  </si>
  <si>
    <t xml:space="preserve">AGTACCGACTCGTGCGCGTGCAGGCAAATCATCCAGTAAACCGCC</t>
  </si>
  <si>
    <t xml:space="preserve">B2_P1 (sin_oc)_3</t>
  </si>
  <si>
    <t xml:space="preserve">B2_P2 (sin_oc)_3</t>
  </si>
  <si>
    <t xml:space="preserve">TCACACGCTGGCAGCGACCACAGGA</t>
  </si>
  <si>
    <t xml:space="preserve">AGTACCGACTCGTGCGCGTGCAGGC</t>
  </si>
  <si>
    <t xml:space="preserve">S117-04</t>
  </si>
  <si>
    <t xml:space="preserve">sine-oculis_B2_P1_04</t>
  </si>
  <si>
    <t xml:space="preserve">CCTCGTAAATCCTCATCAAACTTGAAGTTGCCGCGGTGGAAGGCG</t>
  </si>
  <si>
    <t xml:space="preserve">sine-oculis_B2_P2_04</t>
  </si>
  <si>
    <t xml:space="preserve">GTGCGACTCCAACAGTCGGTACAGCAAATCATCCAGTAAACCGCC</t>
  </si>
  <si>
    <t xml:space="preserve">B2_P1 (sin_oc)_4</t>
  </si>
  <si>
    <t xml:space="preserve">B2_P2 (sin_oc)_4</t>
  </si>
  <si>
    <t xml:space="preserve">CTTGAAGTTGCCGCGGTGGAAGGCG</t>
  </si>
  <si>
    <t xml:space="preserve">GTGCGACTCCAACAGTCGGTACAGC</t>
  </si>
  <si>
    <t xml:space="preserve">S117-05</t>
  </si>
  <si>
    <t xml:space="preserve">sine-oculis_B2_P1_05</t>
  </si>
  <si>
    <t xml:space="preserve">CCTCGTAAATCCTCATCAAAGCCAAAGGTTCTGTAACTTGGCATG</t>
  </si>
  <si>
    <t xml:space="preserve">sine-oculis_B2_P2_05</t>
  </si>
  <si>
    <t xml:space="preserve">GCTCTGCCTCCATGTAGTGGGCTTTAAATCATCCAGTAAACCGCC</t>
  </si>
  <si>
    <t xml:space="preserve">B2_P1 (sin_oc)_5</t>
  </si>
  <si>
    <t xml:space="preserve">B2_P2 (sin_oc)_5</t>
  </si>
  <si>
    <t xml:space="preserve">GCCAAAGGTTCTGTAACTTGGCATG</t>
  </si>
  <si>
    <t xml:space="preserve">GCTCTGCCTCCATGTAGTGGGCTTT</t>
  </si>
  <si>
    <t xml:space="preserve">S118-01</t>
  </si>
  <si>
    <t xml:space="preserve">sob_B2_P1_01</t>
  </si>
  <si>
    <t xml:space="preserve">CCTCGTAAATCCTCATCAAAGTTGGTGCGGGATGTGCTTTGTTCT</t>
  </si>
  <si>
    <t xml:space="preserve">sob_B2_P2_01</t>
  </si>
  <si>
    <t xml:space="preserve">GCTCTCCAGTGAGTTGAGTGTGGTTAAATCATCCAGTAAACCGCC</t>
  </si>
  <si>
    <t xml:space="preserve">B2_P1 (sob)_1</t>
  </si>
  <si>
    <t xml:space="preserve">B2_P2 (sob)_1</t>
  </si>
  <si>
    <t xml:space="preserve">GTTGGTGCGGGATGTGCTTTGTTCT</t>
  </si>
  <si>
    <t xml:space="preserve">GCTCTCCAGTGAGTTGAGTGTGGTT</t>
  </si>
  <si>
    <t xml:space="preserve">S118-02</t>
  </si>
  <si>
    <t xml:space="preserve">sob_B2_P1_02</t>
  </si>
  <si>
    <t xml:space="preserve">CCTCGTAAATCCTCATCAAATGGTGTCCTGTATCTGCAGGTTGTT</t>
  </si>
  <si>
    <t xml:space="preserve">sob_B2_P2_02</t>
  </si>
  <si>
    <t xml:space="preserve">TCAACAGACCGGTCATGTCTGCGGGAAATCATCCAGTAAACCGCC</t>
  </si>
  <si>
    <t xml:space="preserve">B2_P1 (sob)_2</t>
  </si>
  <si>
    <t xml:space="preserve">B2_P2 (sob)_2</t>
  </si>
  <si>
    <t xml:space="preserve">TGGTGTCCTGTATCTGCAGGTTGTT</t>
  </si>
  <si>
    <t xml:space="preserve">TCAACAGACCGGTCATGTCTGCGGG</t>
  </si>
  <si>
    <t xml:space="preserve">S118-03</t>
  </si>
  <si>
    <t xml:space="preserve">sob_B2_P1_03</t>
  </si>
  <si>
    <t xml:space="preserve">CCTCGTAAATCCTCATCAAAGAGCTCTTACTTGGGCTTTTAGTGT</t>
  </si>
  <si>
    <t xml:space="preserve">sob_B2_P2_03</t>
  </si>
  <si>
    <t xml:space="preserve">AAGTTTAAGTTCGTTGTAGTTGAACAAATCATCCAGTAAACCGCC</t>
  </si>
  <si>
    <t xml:space="preserve">B2_P1 (sob)_3</t>
  </si>
  <si>
    <t xml:space="preserve">B2_P2 (sob)_3</t>
  </si>
  <si>
    <t xml:space="preserve">GAGCTCTTACTTGGGCTTTTAGTGT</t>
  </si>
  <si>
    <t xml:space="preserve">AAGTTTAAGTTCGTTGTAGTTGAAC</t>
  </si>
  <si>
    <t xml:space="preserve">S118-04</t>
  </si>
  <si>
    <t xml:space="preserve">sob_B2_P1_04</t>
  </si>
  <si>
    <t xml:space="preserve">CCTCGTAAATCCTCATCAAACTGGAGCATGTTCTCTTGTAACAAC</t>
  </si>
  <si>
    <t xml:space="preserve">sob_B2_P2_04</t>
  </si>
  <si>
    <t xml:space="preserve">GGATATCACTACGCCTTGCAACGATAAATCATCCAGTAAACCGCC</t>
  </si>
  <si>
    <t xml:space="preserve">B2_P1 (sob)_4</t>
  </si>
  <si>
    <t xml:space="preserve">B2_P2 (sob)_4</t>
  </si>
  <si>
    <t xml:space="preserve">CTGGAGCATGTTCTCTTGTAACAAC</t>
  </si>
  <si>
    <t xml:space="preserve">GGATATCACTACGCCTTGCAACGAT</t>
  </si>
  <si>
    <t xml:space="preserve">S118-05</t>
  </si>
  <si>
    <t xml:space="preserve">sob_B2_P1_05</t>
  </si>
  <si>
    <t xml:space="preserve">CCTCGTAAATCCTCATCAAAATAAAGCAGCCTGTTGCAGAGAATT</t>
  </si>
  <si>
    <t xml:space="preserve">sob_B2_P2_05</t>
  </si>
  <si>
    <t xml:space="preserve">CAGCGGCTGCCGCAGAATTCGACGGAAATCATCCAGTAAACCGCC</t>
  </si>
  <si>
    <t xml:space="preserve">B2_P1 (sob)_5</t>
  </si>
  <si>
    <t xml:space="preserve">B2_P2 (sob)_5</t>
  </si>
  <si>
    <t xml:space="preserve">ATAAAGCAGCCTGTTGCAGAGAATT</t>
  </si>
  <si>
    <t xml:space="preserve">CAGCGGCTGCCGCAGAATTCGACGG</t>
  </si>
  <si>
    <t xml:space="preserve">S118-06</t>
  </si>
  <si>
    <t xml:space="preserve">sob_B2_P1_06</t>
  </si>
  <si>
    <t xml:space="preserve">CCTCGTAAATCCTCATCAAACGTTGTAAAGTTAAATAGGATTCTA</t>
  </si>
  <si>
    <t xml:space="preserve">sob_B2_P2_06</t>
  </si>
  <si>
    <t xml:space="preserve">TTGTTTACAGATGACACAGATGTGAAAATCATCCAGTAAACCGCC</t>
  </si>
  <si>
    <t xml:space="preserve">B2_P1 (sob)_6</t>
  </si>
  <si>
    <t xml:space="preserve">B2_P2 (sob)_6</t>
  </si>
  <si>
    <t xml:space="preserve">CGTTGTAAAGTTAAATAGGATTCTA</t>
  </si>
  <si>
    <t xml:space="preserve">TTGTTTACAGATGACACAGATGTGA</t>
  </si>
  <si>
    <t xml:space="preserve">S119-01</t>
  </si>
  <si>
    <t xml:space="preserve">Sp4-like_B2_P1_01</t>
  </si>
  <si>
    <t xml:space="preserve">CCTCGTAAATCCTCATCAAATATTCCACTGTCACTTTACAGGGTT</t>
  </si>
  <si>
    <t xml:space="preserve">Sp4-like_B2_P2_01</t>
  </si>
  <si>
    <t xml:space="preserve">TCCTTTATTATTTTGTCCTCACTAAAAATCATCCAGTAAACCGCC</t>
  </si>
  <si>
    <t xml:space="preserve">Sp4like1_HCR_P1B2</t>
  </si>
  <si>
    <t xml:space="preserve">Sp4like1_HCR_P2B2</t>
  </si>
  <si>
    <t xml:space="preserve">TATTCCACTGTCACTTTACAGGGTT</t>
  </si>
  <si>
    <t xml:space="preserve">TCCTTTATTATTTTGTCCTCACTAA</t>
  </si>
  <si>
    <t xml:space="preserve">S119-02</t>
  </si>
  <si>
    <t xml:space="preserve">Sp4-like_B2_P1_02</t>
  </si>
  <si>
    <t xml:space="preserve">CCTCGTAAATCCTCATCAAATGATCACCAACGCCAGGGGCGACTG</t>
  </si>
  <si>
    <t xml:space="preserve">Sp4-like_B2_P2_02</t>
  </si>
  <si>
    <t xml:space="preserve">CCCGCAATTGCTGCACAACAGCAGTAAATCATCCAGTAAACCGCC</t>
  </si>
  <si>
    <t xml:space="preserve">Sp4like2_HCR_P1B2</t>
  </si>
  <si>
    <t xml:space="preserve">Sp4like2_HCR_P2B2</t>
  </si>
  <si>
    <t xml:space="preserve">TGATCACCAACGCCAGGGGCGACTG</t>
  </si>
  <si>
    <t xml:space="preserve">CCCGCAATTGCTGCACAACAGCAGT</t>
  </si>
  <si>
    <t xml:space="preserve">S119-03</t>
  </si>
  <si>
    <t xml:space="preserve">Sp4-like_B2_P1_03</t>
  </si>
  <si>
    <t xml:space="preserve">CCTCGTAAATCCTCATCAAATATCGCTGCTGATAGATCATTGCCC</t>
  </si>
  <si>
    <t xml:space="preserve">Sp4-like_B2_P2_03</t>
  </si>
  <si>
    <t xml:space="preserve">ATTAGGTACAGTGCTGGCCGCATTTAAATCATCCAGTAAACCGCC</t>
  </si>
  <si>
    <t xml:space="preserve">Sp4like3_HCR_P1B2</t>
  </si>
  <si>
    <t xml:space="preserve">Sp4like3_HCR_P2B2</t>
  </si>
  <si>
    <t xml:space="preserve">TATCGCTGCTGATAGATCATTGCCC</t>
  </si>
  <si>
    <t xml:space="preserve">ATTAGGTACAGTGCTGGCCGCATTT</t>
  </si>
  <si>
    <t xml:space="preserve">S119-04</t>
  </si>
  <si>
    <t xml:space="preserve">Sp4-like_B2_P1_04</t>
  </si>
  <si>
    <t xml:space="preserve">CCTCGTAAATCCTCATCAAATGCATTGATATCACCTGAGGTTGCT</t>
  </si>
  <si>
    <t xml:space="preserve">Sp4-like_B2_P2_04</t>
  </si>
  <si>
    <t xml:space="preserve">CCGCCGCCCAGAAGCGACTGCAGCTAAATCATCCAGTAAACCGCC</t>
  </si>
  <si>
    <t xml:space="preserve">Sp4like4_HCR_P1B2</t>
  </si>
  <si>
    <t xml:space="preserve">Sp4like4_HCR_P2B2</t>
  </si>
  <si>
    <t xml:space="preserve">TGCATTGATATCACCTGAGGTTGCT</t>
  </si>
  <si>
    <t xml:space="preserve">CCGCCGCCCAGAAGCGACTGCAGCT</t>
  </si>
  <si>
    <t xml:space="preserve">S119-05</t>
  </si>
  <si>
    <t xml:space="preserve">Sp4-like_B2_P1_05</t>
  </si>
  <si>
    <t xml:space="preserve">CCTCGTAAATCCTCATCAAAACCCCCGTACACATTGCCTGCTTGT</t>
  </si>
  <si>
    <t xml:space="preserve">Sp4-like_B2_P2_05</t>
  </si>
  <si>
    <t xml:space="preserve">CAGCGGCGCCACCCCGCCCACCATGAAATCATCCAGTAAACCGCC</t>
  </si>
  <si>
    <t xml:space="preserve">Sp4like5_HCR_P1B2</t>
  </si>
  <si>
    <t xml:space="preserve">Sp4like5_HCR_P2B2</t>
  </si>
  <si>
    <t xml:space="preserve">ACCCCCGTACACATTGCCTGCTTGT</t>
  </si>
  <si>
    <t xml:space="preserve">CAGCGGCGCCACCCCGCCCACCATG</t>
  </si>
  <si>
    <t xml:space="preserve">S119-06</t>
  </si>
  <si>
    <t xml:space="preserve">Sp4-like_B2_P1_06</t>
  </si>
  <si>
    <t xml:space="preserve">CCTCGTAAATCCTCATCAAAATGAAGAGCGCCTCCTGACCGTCCA</t>
  </si>
  <si>
    <t xml:space="preserve">Sp4-like_B2_P2_06</t>
  </si>
  <si>
    <t xml:space="preserve">GAGAAATTCTGAGCGTGATGTGAGGAAATCATCCAGTAAACCGCC</t>
  </si>
  <si>
    <t xml:space="preserve">Sp4like6_HCR_P1B2</t>
  </si>
  <si>
    <t xml:space="preserve">Sp4like6_HCR_P2B2</t>
  </si>
  <si>
    <t xml:space="preserve">ATGAAGAGCGCCTCCTGACCGTCCA</t>
  </si>
  <si>
    <t xml:space="preserve">GAGAAATTCTGAGCGTGATGTGAGG</t>
  </si>
  <si>
    <t xml:space="preserve">S119-07</t>
  </si>
  <si>
    <t xml:space="preserve">Sp4-like_B2_P1_07</t>
  </si>
  <si>
    <t xml:space="preserve">CCTCGTAAATCCTCATCAAACGCCTGTTGCTCTGTTGGTAGATGC</t>
  </si>
  <si>
    <t xml:space="preserve">Sp4-like_B2_P2_07</t>
  </si>
  <si>
    <t xml:space="preserve">TATGTTAGTACCGGGGATGGTGACGAAATCATCCAGTAAACCGCC</t>
  </si>
  <si>
    <t xml:space="preserve">Sp4like7_HCR_P1B2</t>
  </si>
  <si>
    <t xml:space="preserve">Sp4like7_HCR_P2B2</t>
  </si>
  <si>
    <t xml:space="preserve">CGCCTGTTGCTCTGTTGGTAGATGC</t>
  </si>
  <si>
    <t xml:space="preserve">TATGTTAGTACCGGGGATGGTGACG</t>
  </si>
  <si>
    <t xml:space="preserve">S119-08</t>
  </si>
  <si>
    <t xml:space="preserve">Sp4-like_B2_P1_08</t>
  </si>
  <si>
    <t xml:space="preserve">CCTCGTAAATCCTCATCAAAGATCATCTGGTTCCCGGCGAGTGCG</t>
  </si>
  <si>
    <t xml:space="preserve">Sp4-like_B2_P2_08</t>
  </si>
  <si>
    <t xml:space="preserve">GATGGATATGTTGGTCCCCGGTATAAAATCATCCAGTAAACCGCC</t>
  </si>
  <si>
    <t xml:space="preserve">Sp4like8_HCR_P1B2</t>
  </si>
  <si>
    <t xml:space="preserve">Sp4like8_HCR_P2B2</t>
  </si>
  <si>
    <t xml:space="preserve">GATCATCTGGTTCCCGGCGAGTGCG</t>
  </si>
  <si>
    <t xml:space="preserve">GATGGATATGTTGGTCCCCGGTATA</t>
  </si>
  <si>
    <t xml:space="preserve">S119-09</t>
  </si>
  <si>
    <t xml:space="preserve">Sp4-like_B2_P1_09</t>
  </si>
  <si>
    <t xml:space="preserve">CCTCGTAAATCCTCATCAAAGGTAATGGGCTGGCTCGTCGGTATC</t>
  </si>
  <si>
    <t xml:space="preserve">Sp4-like_B2_P2_09</t>
  </si>
  <si>
    <t xml:space="preserve">CACCGGCAGCTGGACGGGGCTAGGTAAATCATCCAGTAAACCGCC</t>
  </si>
  <si>
    <t xml:space="preserve">Sp4like9_HCR_P1B2</t>
  </si>
  <si>
    <t xml:space="preserve">Sp4like9_HCR_P2B2</t>
  </si>
  <si>
    <t xml:space="preserve">GGTAATGGGCTGGCTCGTCGGTATC</t>
  </si>
  <si>
    <t xml:space="preserve">CACCGGCAGCTGGACGGGGCTAGGT</t>
  </si>
  <si>
    <t xml:space="preserve">S119-10</t>
  </si>
  <si>
    <t xml:space="preserve">Sp4-like_B2_P1_10</t>
  </si>
  <si>
    <t xml:space="preserve">CCTCGTAAATCCTCATCAAAGGTGACGTTGGCCATGTTGGCCATG</t>
  </si>
  <si>
    <t xml:space="preserve">Sp4-like_B2_P2_10</t>
  </si>
  <si>
    <t xml:space="preserve">GGCCACATTGGCCACCGTGGCGACGAAATCATCCAGTAAACCGCC</t>
  </si>
  <si>
    <t xml:space="preserve">Sp4like10_HCR_P1B2</t>
  </si>
  <si>
    <t xml:space="preserve">Sp4like10_HCR_P2B2</t>
  </si>
  <si>
    <t xml:space="preserve">GGTGACGTTGGCCATGTTGGCCATG</t>
  </si>
  <si>
    <t xml:space="preserve">GGCCACATTGGCCACCGTGGCGACG</t>
  </si>
  <si>
    <t xml:space="preserve">S120-01</t>
  </si>
  <si>
    <t xml:space="preserve">Sp5-buttonhead_B2_P1_01</t>
  </si>
  <si>
    <t xml:space="preserve">CCTCGTAAATCCTCATCAAATCTGTTGCGCGGGCGGATCCACGTA</t>
  </si>
  <si>
    <t xml:space="preserve">Sp5-buttonhead_B2_P2_01</t>
  </si>
  <si>
    <t xml:space="preserve">AACCGTAGCCGCTCATTACGTTCATAAATCATCCAGTAAACCGCC</t>
  </si>
  <si>
    <t xml:space="preserve">Sp51_HCR_P1B2</t>
  </si>
  <si>
    <t xml:space="preserve">Sp51_HCR_P2B2</t>
  </si>
  <si>
    <t xml:space="preserve">TCTGTTGCGCGGGCGGATCCACGTA</t>
  </si>
  <si>
    <t xml:space="preserve">AACCGTAGCCGCTCATTACGTTCAT</t>
  </si>
  <si>
    <t xml:space="preserve">S120-02</t>
  </si>
  <si>
    <t xml:space="preserve">Sp5-buttonhead_B2_P1_02</t>
  </si>
  <si>
    <t xml:space="preserve">CCTCGTAAATCCTCATCAAAACAAGTCGGAGGCGGGTGACAGCGC</t>
  </si>
  <si>
    <t xml:space="preserve">Sp5-buttonhead_B2_P2_02</t>
  </si>
  <si>
    <t xml:space="preserve">CGCCCGAGGAAGCGCTGCTGCATGAAAATCATCCAGTAAACCGCC</t>
  </si>
  <si>
    <t xml:space="preserve">Sp52_HCR_P1B2</t>
  </si>
  <si>
    <t xml:space="preserve">Sp52_HCR_P2B2</t>
  </si>
  <si>
    <t xml:space="preserve">ACAAGTCGGAGGCGGGTGACAGCGC</t>
  </si>
  <si>
    <t xml:space="preserve">CGCCCGAGGAAGCGCTGCTGCATGA</t>
  </si>
  <si>
    <t xml:space="preserve">S120-03</t>
  </si>
  <si>
    <t xml:space="preserve">Sp5-buttonhead_B2_P1_03</t>
  </si>
  <si>
    <t xml:space="preserve">CCTCGTAAATCCTCATCAAATACTGTGGATAAGGCGGCAATTCCC</t>
  </si>
  <si>
    <t xml:space="preserve">Sp5-buttonhead_B2_P2_03</t>
  </si>
  <si>
    <t xml:space="preserve">GCGGTCGCCGCGGGCCAGTACGGCGAAATCATCCAGTAAACCGCC</t>
  </si>
  <si>
    <t xml:space="preserve">Sp53_HCR_P1B2</t>
  </si>
  <si>
    <t xml:space="preserve">Sp53_HCR_P2B2</t>
  </si>
  <si>
    <t xml:space="preserve">TACTGTGGATAAGGCGGCAATTCCC</t>
  </si>
  <si>
    <t xml:space="preserve">GCGGTCGCCGCGGGCCAGTACGGCG</t>
  </si>
  <si>
    <t xml:space="preserve">S120-04</t>
  </si>
  <si>
    <t xml:space="preserve">Sp5-buttonhead_B2_P1_04</t>
  </si>
  <si>
    <t xml:space="preserve">CCTCGTAAATCCTCATCAAAGGCACTTCGCGCAGCGGCGCTGCAA</t>
  </si>
  <si>
    <t xml:space="preserve">Sp5-buttonhead_B2_P2_04</t>
  </si>
  <si>
    <t xml:space="preserve">CCGCTTCGGTGAGGCAGTTCGGGCAAAATCATCCAGTAAACCGCC</t>
  </si>
  <si>
    <t xml:space="preserve">Sp54_HCR_P1B2</t>
  </si>
  <si>
    <t xml:space="preserve">Sp54_HCR_P2B2</t>
  </si>
  <si>
    <t xml:space="preserve">GGCACTTCGCGCAGCGGCGCTGCAA</t>
  </si>
  <si>
    <t xml:space="preserve">CCGCTTCGGTGAGGCAGTTCGGGCA</t>
  </si>
  <si>
    <t xml:space="preserve">S120-05</t>
  </si>
  <si>
    <t xml:space="preserve">Sp5-buttonhead_B2_P1_05</t>
  </si>
  <si>
    <t xml:space="preserve">CCTCGTAAATCCTCATCAAACGCGTCGTCTTCTTTAGCTTTCTTC</t>
  </si>
  <si>
    <t xml:space="preserve">Sp5-buttonhead_B2_P2_05</t>
  </si>
  <si>
    <t xml:space="preserve">ATCGCTCGGTTTCGGGGAGTCCGCTAAATCATCCAGTAAACCGCC</t>
  </si>
  <si>
    <t xml:space="preserve">Sp55_HCR_P1B2</t>
  </si>
  <si>
    <t xml:space="preserve">Sp55_HCR_P2B2</t>
  </si>
  <si>
    <t xml:space="preserve">CGCGTCGTCTTCTTTAGCTTTCTTC</t>
  </si>
  <si>
    <t xml:space="preserve">ATCGCTCGGTTTCGGGGAGTCCGCT</t>
  </si>
  <si>
    <t xml:space="preserve">S120-06</t>
  </si>
  <si>
    <t xml:space="preserve">Sp5-buttonhead_B2_P1_06</t>
  </si>
  <si>
    <t xml:space="preserve">CCTCGTAAATCCTCATCAAACAGCTGGAACAACTGTCTCGTTGGG</t>
  </si>
  <si>
    <t xml:space="preserve">Sp5-buttonhead_B2_P2_06</t>
  </si>
  <si>
    <t xml:space="preserve">TGCCGTAATGCGAACTTCCGATTGAAAATCATCCAGTAAACCGCC</t>
  </si>
  <si>
    <t xml:space="preserve">Sp56_HCR_P1B2</t>
  </si>
  <si>
    <t xml:space="preserve">Sp56_HCR_P2B2</t>
  </si>
  <si>
    <t xml:space="preserve">CAGCTGGAACAACTGTCTCGTTGGG</t>
  </si>
  <si>
    <t xml:space="preserve">TGCCGTAATGCGAACTTCCGATTGA</t>
  </si>
  <si>
    <t xml:space="preserve">S120-07</t>
  </si>
  <si>
    <t xml:space="preserve">Sp5-buttonhead_B2_P1_07</t>
  </si>
  <si>
    <t xml:space="preserve">CCTCGTAAATCCTCATCAAATGCCGTAGTTCAACATCTGTTTAGG</t>
  </si>
  <si>
    <t xml:space="preserve">Sp5-buttonhead_B2_P2_07</t>
  </si>
  <si>
    <t xml:space="preserve">TACCCTGCATCACTTGCGGAGCTACAAATCATCCAGTAAACCGCC</t>
  </si>
  <si>
    <t xml:space="preserve">Sp57_HCR_P1B2</t>
  </si>
  <si>
    <t xml:space="preserve">Sp57_HCR_P2B2</t>
  </si>
  <si>
    <t xml:space="preserve">TGCCGTAGTTCAACATCTGTTTAGG</t>
  </si>
  <si>
    <t xml:space="preserve">TACCCTGCATCACTTGCGGAGCTAC</t>
  </si>
  <si>
    <t xml:space="preserve">S120-08</t>
  </si>
  <si>
    <t xml:space="preserve">Sp5-buttonhead_B2_P1_08</t>
  </si>
  <si>
    <t xml:space="preserve">CCTCGTAAATCCTCATCAAAACGCTGCCGCTTGTAAACACAGCAT</t>
  </si>
  <si>
    <t xml:space="preserve">Sp5-buttonhead_B2_P2_08</t>
  </si>
  <si>
    <t xml:space="preserve">TCCGGACACCAACCGCTTCCGTACAAAATCATCCAGTAAACCGCC</t>
  </si>
  <si>
    <t xml:space="preserve">Sp58_HCR_P1B2</t>
  </si>
  <si>
    <t xml:space="preserve">Sp58_HCR_P2B2</t>
  </si>
  <si>
    <t xml:space="preserve">ACGCTGCCGCTTGTAAACACAGCAT</t>
  </si>
  <si>
    <t xml:space="preserve">TCCGGACACCAACCGCTTCCGTACA</t>
  </si>
  <si>
    <t xml:space="preserve">S120-09</t>
  </si>
  <si>
    <t xml:space="preserve">Sp5-buttonhead_B2_P1_09</t>
  </si>
  <si>
    <t xml:space="preserve">CCTCGTAAATCCTCATCAAAGGGTCTCTAGCTGGCGGACGAGCGT</t>
  </si>
  <si>
    <t xml:space="preserve">Sp5-buttonhead_B2_P2_09</t>
  </si>
  <si>
    <t xml:space="preserve">AGCGGTGTGTACTGCTGGTAGAGCCAAATCATCCAGTAAACCGCC</t>
  </si>
  <si>
    <t xml:space="preserve">Sp59_HCR_P1B2</t>
  </si>
  <si>
    <t xml:space="preserve">Sp59_HCR_P2B2</t>
  </si>
  <si>
    <t xml:space="preserve">GGGTCTCTAGCTGGCGGACGAGCGT</t>
  </si>
  <si>
    <t xml:space="preserve">AGCGGTGTGTACTGCTGGTAGAGCC</t>
  </si>
  <si>
    <t xml:space="preserve">S120-10</t>
  </si>
  <si>
    <t xml:space="preserve">Sp5-buttonhead_B2_P1_10</t>
  </si>
  <si>
    <t xml:space="preserve">CCTCGTAAATCCTCATCAAAGGAACATGGCGTAACTGTTATCCTT</t>
  </si>
  <si>
    <t xml:space="preserve">Sp5-buttonhead_B2_P2_10</t>
  </si>
  <si>
    <t xml:space="preserve">CCGGCGGCTGTAAGTTGTAATGTCCAAATCATCCAGTAAACCGCC</t>
  </si>
  <si>
    <t xml:space="preserve">Sp510_HCR_P1B2</t>
  </si>
  <si>
    <t xml:space="preserve">Sp510_HCR_P2B2</t>
  </si>
  <si>
    <t xml:space="preserve">GGAACATGGCGTAACTGTTATCCTT</t>
  </si>
  <si>
    <t xml:space="preserve">CCGGCGGCTGTAAGTTGTAATGTCC</t>
  </si>
  <si>
    <t xml:space="preserve">S121-01</t>
  </si>
  <si>
    <t xml:space="preserve">Sp6-9-cluster_B2_P1_01</t>
  </si>
  <si>
    <t xml:space="preserve">CCTCGTAAATCCTCATCAAAGCGGCGTGCCGCGTAAGCTCGGGTG</t>
  </si>
  <si>
    <t xml:space="preserve">Sp6-9-cluster_B2_P2_01</t>
  </si>
  <si>
    <t xml:space="preserve">TGTTGCACTGCGCCGCGAGCATCGCAAATCATCCAGTAAACCGCC</t>
  </si>
  <si>
    <t xml:space="preserve">Sp69cluster1_HCR_P1B2</t>
  </si>
  <si>
    <t xml:space="preserve">Sp69cluster1_HCR_P2B2</t>
  </si>
  <si>
    <t xml:space="preserve">GCGGCGTGCCGCGTAAGCTCGGGTG</t>
  </si>
  <si>
    <t xml:space="preserve">TGTTGCACTGCGCCGCGAGCATCGC</t>
  </si>
  <si>
    <t xml:space="preserve">S121-02</t>
  </si>
  <si>
    <t xml:space="preserve">Sp6-9-cluster_B2_P1_02</t>
  </si>
  <si>
    <t xml:space="preserve">CCTCGTAAATCCTCATCAAACTCTGTAGAGCCGTATGAACTGAAA</t>
  </si>
  <si>
    <t xml:space="preserve">Sp6-9-cluster_B2_P2_02</t>
  </si>
  <si>
    <t xml:space="preserve">TATCAAAAGTACATCCATACGTTACAAATCATCCAGTAAACCGCC</t>
  </si>
  <si>
    <t xml:space="preserve">Sp69cluster2_HCR_P1B2</t>
  </si>
  <si>
    <t xml:space="preserve">Sp69cluster2_HCR_P2B2</t>
  </si>
  <si>
    <t xml:space="preserve">CTCTGTAGAGCCGTATGAACTGAAA</t>
  </si>
  <si>
    <t xml:space="preserve">TATCAAAAGTACATCCATACGTTAC</t>
  </si>
  <si>
    <t xml:space="preserve">S121-03</t>
  </si>
  <si>
    <t xml:space="preserve">Sp6-9-cluster_B2_P1_03</t>
  </si>
  <si>
    <t xml:space="preserve">CCTCGTAAATCCTCATCAAACTTTTATCGACTTGCTTGTAGTAAT</t>
  </si>
  <si>
    <t xml:space="preserve">Sp6-9-cluster_B2_P2_03</t>
  </si>
  <si>
    <t xml:space="preserve">GTAAGCAAGTAAATGAGAAATTGCAAAATCATCCAGTAAACCGCC</t>
  </si>
  <si>
    <t xml:space="preserve">Sp69cluster3_HCR_P1B2</t>
  </si>
  <si>
    <t xml:space="preserve">Sp69cluster3_HCR_P2B2</t>
  </si>
  <si>
    <t xml:space="preserve">CTTTTATCGACTTGCTTGTAGTAAT</t>
  </si>
  <si>
    <t xml:space="preserve">GTAAGCAAGTAAATGAGAAATTGCA</t>
  </si>
  <si>
    <t xml:space="preserve">S122-01</t>
  </si>
  <si>
    <t xml:space="preserve">Sp9-like_B2_P1_01</t>
  </si>
  <si>
    <t xml:space="preserve">CCTCGTAAATCCTCATCAAAGTTAGCAACAAATGACATGAGAACC</t>
  </si>
  <si>
    <t xml:space="preserve">Sp9-like_B2_P2_01</t>
  </si>
  <si>
    <t xml:space="preserve">CGTCTGAGGTGACATTATGTTTGTGAAATCATCCAGTAAACCGCC</t>
  </si>
  <si>
    <t xml:space="preserve">Sp9like1_HCR_P1B2</t>
  </si>
  <si>
    <t xml:space="preserve">Sp9like1_HCR_P2B2</t>
  </si>
  <si>
    <t xml:space="preserve">GTTAGCAACAAATGACATGAGAACC</t>
  </si>
  <si>
    <t xml:space="preserve">CGTCTGAGGTGACATTATGTTTGTG</t>
  </si>
  <si>
    <t xml:space="preserve">S122-02</t>
  </si>
  <si>
    <t xml:space="preserve">Sp9-like_B2_P1_02</t>
  </si>
  <si>
    <t xml:space="preserve">CCTCGTAAATCCTCATCAAATGAACGTATCGACACAGGCGAGGCG</t>
  </si>
  <si>
    <t xml:space="preserve">Sp9-like_B2_P2_02</t>
  </si>
  <si>
    <t xml:space="preserve">TTTTATTTCTTGTTGCGTATCGGATAAATCATCCAGTAAACCGCC</t>
  </si>
  <si>
    <t xml:space="preserve">Sp9like2_HCR_P1B2</t>
  </si>
  <si>
    <t xml:space="preserve">Sp9like2_HCR_P2B2</t>
  </si>
  <si>
    <t xml:space="preserve">TGAACGTATCGACACAGGCGAGGCG</t>
  </si>
  <si>
    <t xml:space="preserve">TTTTATTTCTTGTTGCGTATCGGAT</t>
  </si>
  <si>
    <t xml:space="preserve">S122-03</t>
  </si>
  <si>
    <t xml:space="preserve">Sp9-like_B2_P1_03</t>
  </si>
  <si>
    <t xml:space="preserve">CCTCGTAAATCCTCATCAAATCACATCGCTGCATCTTTATAGAAT</t>
  </si>
  <si>
    <t xml:space="preserve">Sp9-like_B2_P2_03</t>
  </si>
  <si>
    <t xml:space="preserve">AGGTAGTTGCCATGAAAATGAGCGAAAATCATCCAGTAAACCGCC</t>
  </si>
  <si>
    <t xml:space="preserve">Sp9like3_HCR_P1B2</t>
  </si>
  <si>
    <t xml:space="preserve">Sp9like3_HCR_P2B2</t>
  </si>
  <si>
    <t xml:space="preserve">TCACATCGCTGCATCTTTATAGAAT</t>
  </si>
  <si>
    <t xml:space="preserve">AGGTAGTTGCCATGAAAATGAGCGA</t>
  </si>
  <si>
    <t xml:space="preserve">S122-04</t>
  </si>
  <si>
    <t xml:space="preserve">Sp9-like_B2_P1_04</t>
  </si>
  <si>
    <t xml:space="preserve">CCTCGTAAATCCTCATCAAAGCCAGCGGCGTGCCGCGTAAGCTCG</t>
  </si>
  <si>
    <t xml:space="preserve">Sp9-like_B2_P2_04</t>
  </si>
  <si>
    <t xml:space="preserve">AGCTTGTTGCACTGCGCCGCGAGCAAAATCATCCAGTAAACCGCC</t>
  </si>
  <si>
    <t xml:space="preserve">Sp9like4_HCR_P1B2</t>
  </si>
  <si>
    <t xml:space="preserve">Sp9like4_HCR_P2B2</t>
  </si>
  <si>
    <t xml:space="preserve">GCCAGCGGCGTGCCGCGTAAGCTCG</t>
  </si>
  <si>
    <t xml:space="preserve">AGCTTGTTGCACTGCGCCGCGAGCA</t>
  </si>
  <si>
    <t xml:space="preserve">S122-05</t>
  </si>
  <si>
    <t xml:space="preserve">Sp9-like_B2_P1_05</t>
  </si>
  <si>
    <t xml:space="preserve">CCTCGTAAATCCTCATCAAACACGAAATCGCACAGGCCACAGCCG</t>
  </si>
  <si>
    <t xml:space="preserve">Sp9-like_B2_P2_05</t>
  </si>
  <si>
    <t xml:space="preserve">GAAACATCCACAACCCTTTCGGTTTAAATCATCCAGTAAACCGCC</t>
  </si>
  <si>
    <t xml:space="preserve">Sp9like5_HCR_P1B2</t>
  </si>
  <si>
    <t xml:space="preserve">Sp9like5_HCR_P2B2</t>
  </si>
  <si>
    <t xml:space="preserve">CACGAAATCGCACAGGCCACAGCCG</t>
  </si>
  <si>
    <t xml:space="preserve">GAAACATCCACAACCCTTTCGGTTT</t>
  </si>
  <si>
    <t xml:space="preserve">S122-06</t>
  </si>
  <si>
    <t xml:space="preserve">Sp9-like_B2_P1_06</t>
  </si>
  <si>
    <t xml:space="preserve">CCTCGTAAATCCTCATCAAAGCTACTAGGGATGTGATTTCAAGTA</t>
  </si>
  <si>
    <t xml:space="preserve">Sp9-like_B2_P2_06</t>
  </si>
  <si>
    <t xml:space="preserve">ACTGATGTTAAAATGATGGGGGAGCAAATCATCCAGTAAACCGCC</t>
  </si>
  <si>
    <t xml:space="preserve">Sp9like6_HCR_P1B2</t>
  </si>
  <si>
    <t xml:space="preserve">Sp9like6_HCR_P2B2</t>
  </si>
  <si>
    <t xml:space="preserve">GCTACTAGGGATGTGATTTCAAGTA</t>
  </si>
  <si>
    <t xml:space="preserve">ACTGATGTTAAAATGATGGGGGAGC</t>
  </si>
  <si>
    <t xml:space="preserve">S122-07</t>
  </si>
  <si>
    <t xml:space="preserve">Sp9-like_B2_P1_07</t>
  </si>
  <si>
    <t xml:space="preserve">CCTCGTAAATCCTCATCAAAGGTGCGGCACGCAGAGCGCCGCGCC</t>
  </si>
  <si>
    <t xml:space="preserve">Sp9-like_B2_P2_07</t>
  </si>
  <si>
    <t xml:space="preserve">GGCCAGGGTATCACAGGAGCGAGGCAAATCATCCAGTAAACCGCC</t>
  </si>
  <si>
    <t xml:space="preserve">Sp9like7_HCR_P1B2</t>
  </si>
  <si>
    <t xml:space="preserve">Sp9like7_HCR_P2B2</t>
  </si>
  <si>
    <t xml:space="preserve">GGTGCGGCACGCAGAGCGCCGCGCC</t>
  </si>
  <si>
    <t xml:space="preserve">GGCCAGGGTATCACAGGAGCGAGGC</t>
  </si>
  <si>
    <t xml:space="preserve">S122-08</t>
  </si>
  <si>
    <t xml:space="preserve">Sp9-like_B2_P1_08</t>
  </si>
  <si>
    <t xml:space="preserve">CCTCGTAAATCCTCATCAAACAGTGTTTGATATGTCGCTATGTAC</t>
  </si>
  <si>
    <t xml:space="preserve">Sp9-like_B2_P2_08</t>
  </si>
  <si>
    <t xml:space="preserve">AATTCACAATTTACACAGAATGTTAAAATCATCCAGTAAACCGCC</t>
  </si>
  <si>
    <t xml:space="preserve">Sp9like8_HCR_P1B2</t>
  </si>
  <si>
    <t xml:space="preserve">Sp9like8_HCR_P2B2</t>
  </si>
  <si>
    <t xml:space="preserve">CAGTGTTTGATATGTCGCTATGTAC</t>
  </si>
  <si>
    <t xml:space="preserve">AATTCACAATTTACACAGAATGTTA</t>
  </si>
  <si>
    <t xml:space="preserve">S122-09</t>
  </si>
  <si>
    <t xml:space="preserve">Sp9-like_B2_P1_09</t>
  </si>
  <si>
    <t xml:space="preserve">CCTCGTAAATCCTCATCAAATTCACTATTAAGGCAGCGTTCACAC</t>
  </si>
  <si>
    <t xml:space="preserve">Sp9-like_B2_P2_09</t>
  </si>
  <si>
    <t xml:space="preserve">TAAACTGTACACTTTCAAATCTCACAAATCATCCAGTAAACCGCC</t>
  </si>
  <si>
    <t xml:space="preserve">Sp9like9_HCR_P1B2</t>
  </si>
  <si>
    <t xml:space="preserve">Sp9like9_HCR_P2B2</t>
  </si>
  <si>
    <t xml:space="preserve">TTCACTATTAAGGCAGCGTTCACAC</t>
  </si>
  <si>
    <t xml:space="preserve">TAAACTGTACACTTTCAAATCTCAC</t>
  </si>
  <si>
    <t xml:space="preserve">S122-10</t>
  </si>
  <si>
    <t xml:space="preserve">Sp9-like_B2_P1_10</t>
  </si>
  <si>
    <t xml:space="preserve">CCTCGTAAATCCTCATCAAACCAGTTATTACTATTAATAGACAAT</t>
  </si>
  <si>
    <t xml:space="preserve">Sp9-like_B2_P2_10</t>
  </si>
  <si>
    <t xml:space="preserve">TATTCTATATCAATTATAATATAATAAATCATCCAGTAAACCGCC</t>
  </si>
  <si>
    <t xml:space="preserve">Sp9like10_HCR_P1B2</t>
  </si>
  <si>
    <t xml:space="preserve">Sp9like10_HCR_P2B2</t>
  </si>
  <si>
    <t xml:space="preserve">CCAGTTATTACTATTAATAGACAAT</t>
  </si>
  <si>
    <t xml:space="preserve">TATTCTATATCAATTATAATATAAT</t>
  </si>
  <si>
    <t xml:space="preserve">S123-01</t>
  </si>
  <si>
    <t xml:space="preserve">tkv_B2_P1_01</t>
  </si>
  <si>
    <t xml:space="preserve">CCTCGTAAATCCTCATCAAACGTGCACTCGCACACGATGCCCCGA</t>
  </si>
  <si>
    <t xml:space="preserve">tkv_B2_P2_01</t>
  </si>
  <si>
    <t xml:space="preserve">CGCGCCGCCGGGGCACATGCCCGCGAAATCATCCAGTAAACCGCC</t>
  </si>
  <si>
    <t xml:space="preserve">tkv1_HCR_P1B2</t>
  </si>
  <si>
    <t xml:space="preserve">tkv1_HCR_P2B2</t>
  </si>
  <si>
    <t xml:space="preserve">CGTGCACTCGCACACGATGCCCCGA</t>
  </si>
  <si>
    <t xml:space="preserve">CGCGCCGCCGGGGCACATGCCCGCG</t>
  </si>
  <si>
    <t xml:space="preserve">S123-02</t>
  </si>
  <si>
    <t xml:space="preserve">tkv_B2_P1_02</t>
  </si>
  <si>
    <t xml:space="preserve">CCTCGTAAATCCTCATCAAAGCGGTGCGCTCCAGCACCACGAGCC</t>
  </si>
  <si>
    <t xml:space="preserve">tkv_B2_P2_02</t>
  </si>
  <si>
    <t xml:space="preserve">CCCGACTCGTCGGGCGGCAGGCAGCAAATCATCCAGTAAACCGCC</t>
  </si>
  <si>
    <t xml:space="preserve">tkv2_HCR_P1B2</t>
  </si>
  <si>
    <t xml:space="preserve">tkv2_HCR_P2B2</t>
  </si>
  <si>
    <t xml:space="preserve">GCGGTGCGCTCCAGCACCACGAGCC</t>
  </si>
  <si>
    <t xml:space="preserve">CCCGACTCGTCGGGCGGCAGGCAGC</t>
  </si>
  <si>
    <t xml:space="preserve">S123-03</t>
  </si>
  <si>
    <t xml:space="preserve">tkv_B2_P1_03</t>
  </si>
  <si>
    <t xml:space="preserve">CCTCGTAAATCCTCATCAAAGGGGCTCCGGCAGCTGCGGCCGCAG</t>
  </si>
  <si>
    <t xml:space="preserve">tkv_B2_P2_03</t>
  </si>
  <si>
    <t xml:space="preserve">GGCCGGGGGTCTCGGTGACGTCGGGAAATCATCCAGTAAACCGCC</t>
  </si>
  <si>
    <t xml:space="preserve">tkv3_HCR_P1B2</t>
  </si>
  <si>
    <t xml:space="preserve">tkv3_HCR_P2B2</t>
  </si>
  <si>
    <t xml:space="preserve">GGGGCTCCGGCAGCTGCGGCCGCAG</t>
  </si>
  <si>
    <t xml:space="preserve">GGCCGGGGGTCTCGGTGACGTCGGG</t>
  </si>
  <si>
    <t xml:space="preserve">S123-04</t>
  </si>
  <si>
    <t xml:space="preserve">tkv_B2_P1_04</t>
  </si>
  <si>
    <t xml:space="preserve">CCTCGTAAATCCTCATCAAACTGCGCATCCTGAAGAGCAGCCAGA</t>
  </si>
  <si>
    <t xml:space="preserve">tkv_B2_P2_04</t>
  </si>
  <si>
    <t xml:space="preserve">GGGGAAGGCGGTCGCTTGCATCCTCAAATCATCCAGTAAACCGCC</t>
  </si>
  <si>
    <t xml:space="preserve">tkv4_HCR_P1B2</t>
  </si>
  <si>
    <t xml:space="preserve">tkv4_HCR_P2B2</t>
  </si>
  <si>
    <t xml:space="preserve">CTGCGCATCCTGAAGAGCAGCCAGA</t>
  </si>
  <si>
    <t xml:space="preserve">GGGGAAGGCGGTCGCTTGCATCCTC</t>
  </si>
  <si>
    <t xml:space="preserve">S123-05</t>
  </si>
  <si>
    <t xml:space="preserve">tkv_B2_P1_05</t>
  </si>
  <si>
    <t xml:space="preserve">CCTCGTAAATCCTCATCAAACGATCGACTCGACCATTTGTATCTG</t>
  </si>
  <si>
    <t xml:space="preserve">tkv_B2_P2_05</t>
  </si>
  <si>
    <t xml:space="preserve">ACCAGACTTCGCCGTAGCGACCTTTAAATCATCCAGTAAACCGCC</t>
  </si>
  <si>
    <t xml:space="preserve">tkv5_HCR_P1B2</t>
  </si>
  <si>
    <t xml:space="preserve">tkv5_HCR_P2B2</t>
  </si>
  <si>
    <t xml:space="preserve">CGATCGACTCGACCATTTGTATCTG</t>
  </si>
  <si>
    <t xml:space="preserve">ACCAGACTTCGCCGTAGCGACCTTT</t>
  </si>
  <si>
    <t xml:space="preserve">S123-06</t>
  </si>
  <si>
    <t xml:space="preserve">tkv_B2_P1_06</t>
  </si>
  <si>
    <t xml:space="preserve">CCTCGTAAATCCTCATCAAATCGCATGAGAACCGTCTGGTATATC</t>
  </si>
  <si>
    <t xml:space="preserve">tkv_B2_P2_06</t>
  </si>
  <si>
    <t xml:space="preserve">CGCGATGAAGCCGAGGATGTTTTCGAAATCATCCAGTAAACCGCC</t>
  </si>
  <si>
    <t xml:space="preserve">tkv6_HCR_P1B2</t>
  </si>
  <si>
    <t xml:space="preserve">tkv6_HCR_P2B2</t>
  </si>
  <si>
    <t xml:space="preserve">TCGCATGAGAACCGTCTGGTATATC</t>
  </si>
  <si>
    <t xml:space="preserve">CGCGATGAAGCCGAGGATGTTTTCG</t>
  </si>
  <si>
    <t xml:space="preserve">S124-01</t>
  </si>
  <si>
    <t xml:space="preserve">tsu_B2_P1_01</t>
  </si>
  <si>
    <t xml:space="preserve">CCTCGTAAATCCTCATCAAAACGGGTATACTGCAAATCTGAACAT</t>
  </si>
  <si>
    <t xml:space="preserve">tsu_B2_P2_01</t>
  </si>
  <si>
    <t xml:space="preserve">TTGTAGCAGTCAGTATCAACAGGAGAAATCATCCAGTAAACCGCC</t>
  </si>
  <si>
    <t xml:space="preserve">Gene2	tox3_tsu_mab21_Gene2_B2_P1_1; tox3_tsu_mab21_</t>
  </si>
  <si>
    <t xml:space="preserve">tox3_tsu_mab21_Gene2_B2_P2_1; tox3_tsu_mab21_</t>
  </si>
  <si>
    <t xml:space="preserve">ACGGGTATACTGCAAATCTGAACAT</t>
  </si>
  <si>
    <t xml:space="preserve">TTGTAGCAGTCAGTATCAACAGGAG</t>
  </si>
  <si>
    <t xml:space="preserve">S124-02</t>
  </si>
  <si>
    <t xml:space="preserve">tsu_B2_P1_02</t>
  </si>
  <si>
    <t xml:space="preserve">CCTCGTAAATCCTCATCAAACGTCGGCTTCGCTCCCAACGCCTCG</t>
  </si>
  <si>
    <t xml:space="preserve">tsu_B2_P2_02</t>
  </si>
  <si>
    <t xml:space="preserve">CTCAAAGGCGTATGCGTACGTACAAAAATCATCCAGTAAACCGCC</t>
  </si>
  <si>
    <t xml:space="preserve">Gene2	tox3_tsu_mab21_Gene2_B2_P1_2; tox3_tsu_mab21_</t>
  </si>
  <si>
    <t xml:space="preserve">tox3_tsu_mab21_Gene2_B2_P2_2; tox3_tsu_mab21_</t>
  </si>
  <si>
    <t xml:space="preserve">CGTCGGCTTCGCTCCCAACGCCTCG</t>
  </si>
  <si>
    <t xml:space="preserve">CTCAAAGGCGTATGCGTACGTACAA</t>
  </si>
  <si>
    <t xml:space="preserve">S124-03</t>
  </si>
  <si>
    <t xml:space="preserve">tsu_B2_P1_03</t>
  </si>
  <si>
    <t xml:space="preserve">CCTCGTAAATCCTCATCAAACCCACTTCTGAGACTTGGTATTTTA</t>
  </si>
  <si>
    <t xml:space="preserve">tsu_B2_P2_03</t>
  </si>
  <si>
    <t xml:space="preserve">GTTGTCGCTGAAGTCAAGGATCTCAAAATCATCCAGTAAACCGCC</t>
  </si>
  <si>
    <t xml:space="preserve">Gene2	tox3_tsu_mab21_Gene2_B2_P1_3; tox3_tsu_mab21_</t>
  </si>
  <si>
    <t xml:space="preserve">tox3_tsu_mab21_Gene2_B2_P2_3; tox3_tsu_mab21_</t>
  </si>
  <si>
    <t xml:space="preserve">CCCACTTCTGAGACTTGGTATTTTA</t>
  </si>
  <si>
    <t xml:space="preserve">GTTGTCGCTGAAGTCAAGGATCTCA</t>
  </si>
  <si>
    <t xml:space="preserve">S124-04</t>
  </si>
  <si>
    <t xml:space="preserve">tsu_B2_P1_04</t>
  </si>
  <si>
    <t xml:space="preserve">CCTCGTAAATCCTCATCAAAGGAATAGATTTGGTTTTCGGTCAAG</t>
  </si>
  <si>
    <t xml:space="preserve">tsu_B2_P2_04</t>
  </si>
  <si>
    <t xml:space="preserve">GAGGTAGGCGAAAGCGTCTGTGTGGAAATCATCCAGTAAACCGCC</t>
  </si>
  <si>
    <t xml:space="preserve">Gene2	tox3_tsu_mab21_Gene2_B2_P1_4; tox3_tsu_mab21_</t>
  </si>
  <si>
    <t xml:space="preserve">tox3_tsu_mab21_Gene2_B2_P2_4; tox3_tsu_mab21_</t>
  </si>
  <si>
    <t xml:space="preserve">GGAATAGATTTGGTTTTCGGTCAAG</t>
  </si>
  <si>
    <t xml:space="preserve">GAGGTAGGCGAAAGCGTCTGTGTGG</t>
  </si>
  <si>
    <t xml:space="preserve">S124-05</t>
  </si>
  <si>
    <t xml:space="preserve">tsu_B2_P1_05</t>
  </si>
  <si>
    <t xml:space="preserve">CCTCGTAAATCCTCATCAAACGCTTTGATAGGCTTGTGAATTATC</t>
  </si>
  <si>
    <t xml:space="preserve">tsu_B2_P2_05</t>
  </si>
  <si>
    <t xml:space="preserve">GTCGGACAAATCTAGCAGCTCCAATAAATCATCCAGTAAACCGCC</t>
  </si>
  <si>
    <t xml:space="preserve">Gene2	tox3_tsu_mab21_Gene2_B2_P1_5; tox3_tsu_mab21_</t>
  </si>
  <si>
    <t xml:space="preserve">tox3_tsu_mab21_Gene2_B2_P2_5; tox3_tsu_mab21_</t>
  </si>
  <si>
    <t xml:space="preserve">CGCTTTGATAGGCTTGTGAATTATC</t>
  </si>
  <si>
    <t xml:space="preserve">GTCGGACAAATCTAGCAGCTCCAAT</t>
  </si>
  <si>
    <t xml:space="preserve">S124-06</t>
  </si>
  <si>
    <t xml:space="preserve">tsu_B2_P1_06</t>
  </si>
  <si>
    <t xml:space="preserve">CCTCGTAAATCCTCATCAAACGTTGTAGAAACTCATTTGTGGTAG</t>
  </si>
  <si>
    <t xml:space="preserve">tsu_B2_P2_06</t>
  </si>
  <si>
    <t xml:space="preserve">CTAGCTTTACTAGAGGATTGTACGAAAATCATCCAGTAAACCGCC</t>
  </si>
  <si>
    <t xml:space="preserve">Gene2	tox3_tsu_mab21_Gene2_B2_P1_6; tox3_tsu_mab21_</t>
  </si>
  <si>
    <t xml:space="preserve">tox3_tsu_mab21_Gene2_B2_P2_6; tox3_tsu_mab21_</t>
  </si>
  <si>
    <t xml:space="preserve">CGTTGTAGAAACTCATTTGTGGTAG</t>
  </si>
  <si>
    <t xml:space="preserve">CTAGCTTTACTAGAGGATTGTACGA</t>
  </si>
  <si>
    <t xml:space="preserve">S124-07</t>
  </si>
  <si>
    <t xml:space="preserve">tsu_B2_P1_07</t>
  </si>
  <si>
    <t xml:space="preserve">CCTCGTAAATCCTCATCAAAGGACTCTGATAAGTCAACTTTCGTC</t>
  </si>
  <si>
    <t xml:space="preserve">tsu_B2_P2_07</t>
  </si>
  <si>
    <t xml:space="preserve">CAGGTCGCAGAGCTTAATATTTTGAAAATCATCCAGTAAACCGCC</t>
  </si>
  <si>
    <t xml:space="preserve">Gene2	tox3_tsu_mab21_Gene2_B2_P1_7; tox3_tsu_mab21_</t>
  </si>
  <si>
    <t xml:space="preserve">tox3_tsu_mab21_Gene2_B2_P2_7; tox3_tsu_mab21_</t>
  </si>
  <si>
    <t xml:space="preserve">GGACTCTGATAAGTCAACTTTCGTC</t>
  </si>
  <si>
    <t xml:space="preserve">CAGGTCGCAGAGCTTAATATTTTGA</t>
  </si>
  <si>
    <t xml:space="preserve">S124-08</t>
  </si>
  <si>
    <t xml:space="preserve">tsu_B2_P1_08</t>
  </si>
  <si>
    <t xml:space="preserve">CCTCGTAAATCCTCATCAAACAACTGAGAGTATTCGTCCAACTTA</t>
  </si>
  <si>
    <t xml:space="preserve">tsu_B2_P2_08</t>
  </si>
  <si>
    <t xml:space="preserve">CGGACAGTTTTCAAATTCTCTAGAGAAATCATCCAGTAAACCGCC</t>
  </si>
  <si>
    <t xml:space="preserve">Gene2	tox3_tsu_mab21_Gene2_B2_P1_8; tox3_tsu_mab21_</t>
  </si>
  <si>
    <t xml:space="preserve">tox3_tsu_mab21_Gene2_B2_P2_8; tox3_tsu_mab21_</t>
  </si>
  <si>
    <t xml:space="preserve">CAACTGAGAGTATTCGTCCAACTTA</t>
  </si>
  <si>
    <t xml:space="preserve">CGGACAGTTTTCAAATTCTCTAGAG</t>
  </si>
  <si>
    <t xml:space="preserve">S124-09</t>
  </si>
  <si>
    <t xml:space="preserve">tsu_B2_P1_09</t>
  </si>
  <si>
    <t xml:space="preserve">CCTCGTAAATCCTCATCAAATCATTTTGGCAGTGGTTATAACTGG</t>
  </si>
  <si>
    <t xml:space="preserve">tsu_B2_P2_09</t>
  </si>
  <si>
    <t xml:space="preserve">GTCGTTACGTTTTGTACCTCAGTATAAATCATCCAGTAAACCGCC</t>
  </si>
  <si>
    <t xml:space="preserve">Gene2	tox3_tsu_mab21_Gene2_B2_P1_9; tox3_tsu_mab21_</t>
  </si>
  <si>
    <t xml:space="preserve">tox3_tsu_mab21_Gene2_B2_P2_9; tox3_tsu_mab21_</t>
  </si>
  <si>
    <t xml:space="preserve">TCATTTTGGCAGTGGTTATAACTGG</t>
  </si>
  <si>
    <t xml:space="preserve">GTCGTTACGTTTTGTACCTCAGTAT</t>
  </si>
  <si>
    <t xml:space="preserve">S124-10</t>
  </si>
  <si>
    <t xml:space="preserve">tsu_B2_P1_10</t>
  </si>
  <si>
    <t xml:space="preserve">CCTCGTAAATCCTCATCAAACGACGAGGAAGCCGAAGAGACCACC</t>
  </si>
  <si>
    <t xml:space="preserve">tsu_B2_P2_10</t>
  </si>
  <si>
    <t xml:space="preserve">GCATTATGTACAGCAGTAGCACGAAAAATCATCCAGTAAACCGCC</t>
  </si>
  <si>
    <t xml:space="preserve">Gene2	tox3_tsu_mab21_Gene2_B2_P1_10; tox3_tsu_mab21_</t>
  </si>
  <si>
    <t xml:space="preserve">tox3_tsu_mab21_Gene2_B2_P2_10; tox3_tsu_mab21_</t>
  </si>
  <si>
    <t xml:space="preserve">CGACGAGGAAGCCGAAGAGACCACC</t>
  </si>
  <si>
    <t xml:space="preserve">GCATTATGTACAGCAGTAGCACGAA</t>
  </si>
  <si>
    <t xml:space="preserve">S124-11</t>
  </si>
  <si>
    <t xml:space="preserve">tsu_B2_P1_11</t>
  </si>
  <si>
    <t xml:space="preserve">CCTCGTAAATCCTCATCAAACTTATCTACATCGGACGGTTTTTCT</t>
  </si>
  <si>
    <t xml:space="preserve">tsu_B2_P2_11</t>
  </si>
  <si>
    <t xml:space="preserve">GTTATTTAGGAGTATGGCAGTGGCGAAATCATCCAGTAAACCGCC</t>
  </si>
  <si>
    <t xml:space="preserve">Gene2	tox3_tsu_mab21_Gene2_B2_P1_11</t>
  </si>
  <si>
    <t xml:space="preserve">tox3_tsu_mab21_Gene2_B2_P2_11</t>
  </si>
  <si>
    <t xml:space="preserve">CTTATCTACATCGGACGGTTTTTCT</t>
  </si>
  <si>
    <t xml:space="preserve">GTTATTTAGGAGTATGGCAGTGGCG</t>
  </si>
  <si>
    <t xml:space="preserve">S125-01</t>
  </si>
  <si>
    <t xml:space="preserve">vein_B2_P1_01</t>
  </si>
  <si>
    <t xml:space="preserve">CCTCGTAAATCCTCATCAAAACGTCCGCCCGCTCGCAGTAGAGGC</t>
  </si>
  <si>
    <t xml:space="preserve">vein_B2_P2_01</t>
  </si>
  <si>
    <t xml:space="preserve">GCGGGGGCTCGGTAGGCGCGCCAGGAAATCATCCAGTAAACCGCC</t>
  </si>
  <si>
    <t xml:space="preserve">vein1_HCR_P1B2</t>
  </si>
  <si>
    <t xml:space="preserve">vein1_HCR_P2B2</t>
  </si>
  <si>
    <t xml:space="preserve">ACGTCCGCCCGCTCGCAGTAGAGGC</t>
  </si>
  <si>
    <t xml:space="preserve">GCGGGGGCTCGGTAGGCGCGCCAGG</t>
  </si>
  <si>
    <t xml:space="preserve">S125-02</t>
  </si>
  <si>
    <t xml:space="preserve">vein_B2_P1_02</t>
  </si>
  <si>
    <t xml:space="preserve">CCTCGTAAATCCTCATCAAACACGGCGTCCTCGCGCGGCCAGCG</t>
  </si>
  <si>
    <t xml:space="preserve">vein_B2_P2_02</t>
  </si>
  <si>
    <t xml:space="preserve">GGGCTGCTCGGGCAGCTTGAGGCGCAAATCATCCAGTAAACCGCC</t>
  </si>
  <si>
    <t xml:space="preserve">vein2_HCR_P1B2</t>
  </si>
  <si>
    <t xml:space="preserve">vein2_HCR_P2B2</t>
  </si>
  <si>
    <t xml:space="preserve">CACGGCGTCCTCGCGCGGCCAGCG</t>
  </si>
  <si>
    <t xml:space="preserve">GGGCTGCTCGGGCAGCTTGAGGCGC</t>
  </si>
  <si>
    <t xml:space="preserve">S125-03</t>
  </si>
  <si>
    <t xml:space="preserve">vein_B2_P1_03</t>
  </si>
  <si>
    <t xml:space="preserve">CCTCGTAAATCCTCATCAAAAGCGGCGGGCCCAGCGCCACGGCGG</t>
  </si>
  <si>
    <t xml:space="preserve">vein_B2_P2_03</t>
  </si>
  <si>
    <t xml:space="preserve">CTCCGGATCAACTTGGCAGTCCTGCAAATCATCCAGTAAACCGCC</t>
  </si>
  <si>
    <t xml:space="preserve">vein3_HCR_P1B2</t>
  </si>
  <si>
    <t xml:space="preserve">vein3_HCR_P2B2</t>
  </si>
  <si>
    <t xml:space="preserve">AGCGGCGGGCCCAGCGCCACGGCGG</t>
  </si>
  <si>
    <t xml:space="preserve">CTCCGGATCAACTTGGCAGTCCTGC</t>
  </si>
  <si>
    <t xml:space="preserve">S125-04</t>
  </si>
  <si>
    <t xml:space="preserve">vein_B2_P1_04</t>
  </si>
  <si>
    <t xml:space="preserve">CCTCGTAAATCCTCATCAAAGCGGCACTCCAGCCGGACCTTGCCG</t>
  </si>
  <si>
    <t xml:space="preserve">vein_B2_P2_04</t>
  </si>
  <si>
    <t xml:space="preserve">TATCCGCGGCGGCGGGCGCGCGCTGAAATCATCCAGTAAACCGCC</t>
  </si>
  <si>
    <t xml:space="preserve">vein4_HCR_P1B2</t>
  </si>
  <si>
    <t xml:space="preserve">vein4_HCR_P2B2</t>
  </si>
  <si>
    <t xml:space="preserve">GCGGCACTCCAGCCGGACCTTGCCG</t>
  </si>
  <si>
    <t xml:space="preserve">TATCCGCGGCGGCGGGCGCGCGCTG</t>
  </si>
  <si>
    <t xml:space="preserve">S125-05</t>
  </si>
  <si>
    <t xml:space="preserve">vein_B2_P1_05</t>
  </si>
  <si>
    <t xml:space="preserve">CCTCGTAAATCCTCATCAAAGCGACGCGCATGTCTTATTACTAAT</t>
  </si>
  <si>
    <t xml:space="preserve">vein_B2_P2_05</t>
  </si>
  <si>
    <t xml:space="preserve">CCTACATTCGTACGTCGCGGTGTCCAAATCATCCAGTAAACCGCC</t>
  </si>
  <si>
    <t xml:space="preserve">vein5_HCR_P1B2</t>
  </si>
  <si>
    <t xml:space="preserve">vein5_HCR_P2B2</t>
  </si>
  <si>
    <t xml:space="preserve">GCGACGCGCATGTCTTATTACTAAT</t>
  </si>
  <si>
    <t xml:space="preserve">CCTACATTCGTACGTCGCGGTGTCC</t>
  </si>
  <si>
    <t xml:space="preserve">S125-06</t>
  </si>
  <si>
    <t xml:space="preserve">vein_B2_P1_06</t>
  </si>
  <si>
    <t xml:space="preserve">CCTCGTAAATCCTCATCAAATTGTTCCTGAACAAGCTCGAAGAAT</t>
  </si>
  <si>
    <t xml:space="preserve">vein_B2_P2_06</t>
  </si>
  <si>
    <t xml:space="preserve">GGTGAAGCCTTCCGGGCATTTGCAAAAATCATCCAGTAAACCGCC</t>
  </si>
  <si>
    <t xml:space="preserve">vein6_HCR_P1B2</t>
  </si>
  <si>
    <t xml:space="preserve">vein6_HCR_P2B2</t>
  </si>
  <si>
    <t xml:space="preserve">TTGTTCCTGAACAAGCTCGAAGAAT</t>
  </si>
  <si>
    <t xml:space="preserve">GGTGAAGCCTTCCGGGCATTTGCAA</t>
  </si>
  <si>
    <t xml:space="preserve">S126-01</t>
  </si>
  <si>
    <t xml:space="preserve">Wnt10_B2_P1_01</t>
  </si>
  <si>
    <t xml:space="preserve">CCTCGTAAATCCTCATCAAACACAACCTCAAAAAATGCAATCAGC</t>
  </si>
  <si>
    <t xml:space="preserve">Wnt10_B2_P2_01</t>
  </si>
  <si>
    <t xml:space="preserve">GTGTGGCAGCATGTTGTCTCTTGAGAAATCATCCAGTAAACCGCC</t>
  </si>
  <si>
    <t xml:space="preserve">Wnt101_HCR_P1B2</t>
  </si>
  <si>
    <t xml:space="preserve">Wnt101_HCR_P2B2</t>
  </si>
  <si>
    <t xml:space="preserve">CACAACCTCAAAAAATGCAATCAGC</t>
  </si>
  <si>
    <t xml:space="preserve">GTGTGGCAGCATGTTGTCTCTTGAG</t>
  </si>
  <si>
    <t xml:space="preserve">S126-02</t>
  </si>
  <si>
    <t xml:space="preserve">Wnt10_B2_P1_02</t>
  </si>
  <si>
    <t xml:space="preserve">CCTCGTAAATCCTCATCAAACCGATGAGTCGACAAGTTAGAGTAG</t>
  </si>
  <si>
    <t xml:space="preserve">Wnt10_B2_P2_02</t>
  </si>
  <si>
    <t xml:space="preserve">ACAGATCTCTGTTCTCTGGTCAGACAAATCATCCAGTAAACCGCC</t>
  </si>
  <si>
    <t xml:space="preserve">Wnt102_HCR_P1B2</t>
  </si>
  <si>
    <t xml:space="preserve">Wnt102_HCR_P2B2</t>
  </si>
  <si>
    <t xml:space="preserve">CCGATGAGTCGACAAGTTAGAGTAG</t>
  </si>
  <si>
    <t xml:space="preserve">ACAGATCTCTGTTCTCTGGTCAGAC</t>
  </si>
  <si>
    <t xml:space="preserve">S126-03</t>
  </si>
  <si>
    <t xml:space="preserve">Wnt10_B2_P1_03</t>
  </si>
  <si>
    <t xml:space="preserve">CCTCGTAAATCCTCATCAAACTGGAGCAGTTCCACCTGTGCCAGC</t>
  </si>
  <si>
    <t xml:space="preserve">Wnt10_B2_P2_03</t>
  </si>
  <si>
    <t xml:space="preserve">TGAGGATTGGAACTCTTGACCAGCAAAATCATCCAGTAAACCGCC</t>
  </si>
  <si>
    <t xml:space="preserve">Wnt103_HCR_P1B2</t>
  </si>
  <si>
    <t xml:space="preserve">Wnt103_HCR_P2B2</t>
  </si>
  <si>
    <t xml:space="preserve">CTGGAGCAGTTCCACCTGTGCCAGC</t>
  </si>
  <si>
    <t xml:space="preserve">TGAGGATTGGAACTCTTGACCAGCA</t>
  </si>
  <si>
    <t xml:space="preserve">S126-04</t>
  </si>
  <si>
    <t xml:space="preserve">Wnt10_B2_P1_04</t>
  </si>
  <si>
    <t xml:space="preserve">CCTCGTAAATCCTCATCAAACGCGGTTTCCCGGAATCCTCTCTTC</t>
  </si>
  <si>
    <t xml:space="preserve">Wnt10_B2_P2_04</t>
  </si>
  <si>
    <t xml:space="preserve">TCCTGCCGCTGTTAGGGCGTACAGGAAATCATCCAGTAAACCGCC</t>
  </si>
  <si>
    <t xml:space="preserve">Wnt104_HCR_P1B2</t>
  </si>
  <si>
    <t xml:space="preserve">Wnt104_HCR_P2B2</t>
  </si>
  <si>
    <t xml:space="preserve">CGCGGTTTCCCGGAATCCTCTCTTC</t>
  </si>
  <si>
    <t xml:space="preserve">TCCTGCCGCTGTTAGGGCGTACAGG</t>
  </si>
  <si>
    <t xml:space="preserve">S126-05</t>
  </si>
  <si>
    <t xml:space="preserve">Wnt10_B2_P1_05</t>
  </si>
  <si>
    <t xml:space="preserve">CCTCGTAAATCCTCATCAAAGTCCTCGTGCGGCCCCTCTCATGGG</t>
  </si>
  <si>
    <t xml:space="preserve">Wnt10_B2_P2_05</t>
  </si>
  <si>
    <t xml:space="preserve">GAGCAGCCACTCCACTCCCACTTGTAAATCATCCAGTAAACCGCC</t>
  </si>
  <si>
    <t xml:space="preserve">Wnt105_HCR_P1B2</t>
  </si>
  <si>
    <t xml:space="preserve">Wnt105_HCR_P2B2</t>
  </si>
  <si>
    <t xml:space="preserve">GTCCTCGTGCGGCCCCTCTCATGGG</t>
  </si>
  <si>
    <t xml:space="preserve">GAGCAGCCACTCCACTCCCACTTGT</t>
  </si>
  <si>
    <t xml:space="preserve">S126-06</t>
  </si>
  <si>
    <t xml:space="preserve">Wnt10_B2_P1_06</t>
  </si>
  <si>
    <t xml:space="preserve">CCTCGTAAATCCTCATCAAAAATTTCTTGGAGAACTCGACGCCAT</t>
  </si>
  <si>
    <t xml:space="preserve">Wnt10_B2_P2_06</t>
  </si>
  <si>
    <t xml:space="preserve">TCGTCCACCTTTTCCCGTACATCGAAAATCATCCAGTAAACCGCC</t>
  </si>
  <si>
    <t xml:space="preserve">Wnt106_HCR_P1B2</t>
  </si>
  <si>
    <t xml:space="preserve">Wnt106_HCR_P2B2</t>
  </si>
  <si>
    <t xml:space="preserve">AATTTCTTGGAGAACTCGACGCCAT</t>
  </si>
  <si>
    <t xml:space="preserve">TCGTCCACCTTTTCCCGTACATCGA</t>
  </si>
  <si>
    <t xml:space="preserve">S127-01</t>
  </si>
  <si>
    <t xml:space="preserve">Wnt11_B2_P1_01</t>
  </si>
  <si>
    <t xml:space="preserve">CCTCGTAAATCCTCATCAAACCTCCGTCCAGTTGCCTTCGTTCTC</t>
  </si>
  <si>
    <t xml:space="preserve">Wnt11_B2_P2_01</t>
  </si>
  <si>
    <t xml:space="preserve">CCCGCCGCCGCGCGTCGCCGCACTCAAATCATCCAGTAAACCGCC</t>
  </si>
  <si>
    <t xml:space="preserve">Wnt111_HCR_P1B2</t>
  </si>
  <si>
    <t xml:space="preserve">Wnt111_HCR_P2B2</t>
  </si>
  <si>
    <t xml:space="preserve">CCTCCGTCCAGTTGCCTTCGTTCTC</t>
  </si>
  <si>
    <t xml:space="preserve">CCCGCCGCCGCGCGTCGCCGCACTC</t>
  </si>
  <si>
    <t xml:space="preserve">S127-02</t>
  </si>
  <si>
    <t xml:space="preserve">Wnt11_B2_P1_02</t>
  </si>
  <si>
    <t xml:space="preserve">CCTCGTAAATCCTCATCAAAGCCGGCGTGCGCGGCGAGGCAGGCT</t>
  </si>
  <si>
    <t xml:space="preserve">Wnt11_B2_P2_02</t>
  </si>
  <si>
    <t xml:space="preserve">ATCGATGGAACTGCAGTTCCAGCGCAAATCATCCAGTAAACCGCC</t>
  </si>
  <si>
    <t xml:space="preserve">Wnt112_HCR_P1B2</t>
  </si>
  <si>
    <t xml:space="preserve">Wnt112_HCR_P2B2</t>
  </si>
  <si>
    <t xml:space="preserve">GCCGGCGTGCGCGGCGAGGCAGGCT</t>
  </si>
  <si>
    <t xml:space="preserve">ATCGATGGAACTGCAGTTCCAGCGC</t>
  </si>
  <si>
    <t xml:space="preserve">S127-03</t>
  </si>
  <si>
    <t xml:space="preserve">Wnt11_B2_P1_03</t>
  </si>
  <si>
    <t xml:space="preserve">CCTCGTAAATCCTCATCAAACCGACGCGCACGCGCTGCGCTCAAA</t>
  </si>
  <si>
    <t xml:space="preserve">Wnt11_B2_P2_03</t>
  </si>
  <si>
    <t xml:space="preserve">GGCGCACGAGCACGCGGCCAGCGCGAAATCATCCAGTAAACCGCC</t>
  </si>
  <si>
    <t xml:space="preserve">Wnt113_HCR_P1B2</t>
  </si>
  <si>
    <t xml:space="preserve">Wnt113_HCR_P2B2</t>
  </si>
  <si>
    <t xml:space="preserve">CCGACGCGCACGCGCTGCGCTCAAA</t>
  </si>
  <si>
    <t xml:space="preserve">GGCGCACGAGCACGCGGCCAGCGCG</t>
  </si>
  <si>
    <t xml:space="preserve">S127-04</t>
  </si>
  <si>
    <t xml:space="preserve">Wnt11_B2_P1_04</t>
  </si>
  <si>
    <t xml:space="preserve">CCTCGTAAATCCTCATCAAAAATCTCTCAGCCGCACTGAATTAGT</t>
  </si>
  <si>
    <t xml:space="preserve">Wnt11_B2_P2_04</t>
  </si>
  <si>
    <t xml:space="preserve">TCGTGTGTGTCCAAGAATTGTTTCGAAATCATCCAGTAAACCGCC</t>
  </si>
  <si>
    <t xml:space="preserve">Wnt114_HCR_P1B2</t>
  </si>
  <si>
    <t xml:space="preserve">Wnt114_HCR_P2B2</t>
  </si>
  <si>
    <t xml:space="preserve">AATCTCTCAGCCGCACTGAATTAGT</t>
  </si>
  <si>
    <t xml:space="preserve">TCGTGTGTGTCCAAGAATTGTTTCG</t>
  </si>
  <si>
    <t xml:space="preserve">S127-05</t>
  </si>
  <si>
    <t xml:space="preserve">Wnt11_B2_P1_05</t>
  </si>
  <si>
    <t xml:space="preserve">CCTCGTAAATCCTCATCAAACGTCCACCAATATGACGACGGGAGG</t>
  </si>
  <si>
    <t xml:space="preserve">Wnt11_B2_P2_05</t>
  </si>
  <si>
    <t xml:space="preserve">CGGTGGTGTTCGGCGGCGCCGGCTGAAATCATCCAGTAAACCGCC</t>
  </si>
  <si>
    <t xml:space="preserve">Wnt115_HCR_P1B2</t>
  </si>
  <si>
    <t xml:space="preserve">Wnt115_HCR_P2B2</t>
  </si>
  <si>
    <t xml:space="preserve">CGTCCACCAATATGACGACGGGAGG</t>
  </si>
  <si>
    <t xml:space="preserve">CGGTGGTGTTCGGCGGCGCCGGCTG</t>
  </si>
  <si>
    <t xml:space="preserve">S127-06</t>
  </si>
  <si>
    <t xml:space="preserve">Wnt11_B2_P1_06</t>
  </si>
  <si>
    <t xml:space="preserve">CCTCGTAAATCCTCATCAAATTCTTTCTCGTTATCGTAGTCGTAT</t>
  </si>
  <si>
    <t xml:space="preserve">Wnt11_B2_P2_06</t>
  </si>
  <si>
    <t xml:space="preserve">GCGGTACTCTATGTTTCGATGTTCAAAATCATCCAGTAAACCGCC</t>
  </si>
  <si>
    <t xml:space="preserve">Wnt116_HCR_P1B2</t>
  </si>
  <si>
    <t xml:space="preserve">Wnt116_HCR_P2B2</t>
  </si>
  <si>
    <t xml:space="preserve">TTCTTTCTCGTTATCGTAGTCGTAT</t>
  </si>
  <si>
    <t xml:space="preserve">GCGGTACTCTATGTTTCGATGTTCA</t>
  </si>
  <si>
    <t xml:space="preserve">S127-07</t>
  </si>
  <si>
    <t xml:space="preserve">Wnt11_B2_P1_07</t>
  </si>
  <si>
    <t xml:space="preserve">CCTCGTAAATCCTCATCAAAACCACCTTTCTTCCGAAGCGGCTAT</t>
  </si>
  <si>
    <t xml:space="preserve">Wnt11_B2_P2_07</t>
  </si>
  <si>
    <t xml:space="preserve">GTGCACTTGGTGCGCATGCCTTGCGAAATCATCCAGTAAACCGCC</t>
  </si>
  <si>
    <t xml:space="preserve">Wnt117_HCR_P1B2</t>
  </si>
  <si>
    <t xml:space="preserve">Wnt117_HCR_P2B2</t>
  </si>
  <si>
    <t xml:space="preserve">ACCACCTTTCTTCCGAAGCGGCTAT</t>
  </si>
  <si>
    <t xml:space="preserve">GTGCACTTGGTGCGCATGCCTTGCG</t>
  </si>
  <si>
    <t xml:space="preserve">S128-01</t>
  </si>
  <si>
    <t xml:space="preserve">Wnt2_B2_P1_01</t>
  </si>
  <si>
    <t xml:space="preserve">CCTCGTAAATCCTCATCAAACGTTCACAAACCCCGTCTCTCTTGT</t>
  </si>
  <si>
    <t xml:space="preserve">Wnt2_B2_P2_01</t>
  </si>
  <si>
    <t xml:space="preserve">CGTATGTCACTCCGGCTGCAGTGATAAATCATCCAGTAAACCGCC</t>
  </si>
  <si>
    <t xml:space="preserve">Wnt21_HCR_P1B2</t>
  </si>
  <si>
    <t xml:space="preserve">Wnt21_HCR_P2B2</t>
  </si>
  <si>
    <t xml:space="preserve">CGTTCACAAACCCCGTCTCTCTTGT</t>
  </si>
  <si>
    <t xml:space="preserve">CGTATGTCACTCCGGCTGCAGTGAT</t>
  </si>
  <si>
    <t xml:space="preserve">S128-02</t>
  </si>
  <si>
    <t xml:space="preserve">Wnt2_B2_P1_02</t>
  </si>
  <si>
    <t xml:space="preserve">CCTCGTAAATCCTCATCAAACTGTCTGAGTTGGTGCTGGGGGCTG</t>
  </si>
  <si>
    <t xml:space="preserve">Wnt2_B2_P2_02</t>
  </si>
  <si>
    <t xml:space="preserve">CACTGCATCCGCCCCACTGCCACTGAAATCATCCAGTAAACCGCC</t>
  </si>
  <si>
    <t xml:space="preserve">Wnt22_HCR_P1B2</t>
  </si>
  <si>
    <t xml:space="preserve">Wnt22_HCR_P2B2</t>
  </si>
  <si>
    <t xml:space="preserve">CTGTCTGAGTTGGTGCTGGGGGCTG</t>
  </si>
  <si>
    <t xml:space="preserve">CACTGCATCCGCCCCACTGCCACTG</t>
  </si>
  <si>
    <t xml:space="preserve">S128-03</t>
  </si>
  <si>
    <t xml:space="preserve">Wnt2_B2_P1_03</t>
  </si>
  <si>
    <t xml:space="preserve">CCTCGTAAATCCTCATCAAATGCCAACCTCCCAGCGTTGTGGTTA</t>
  </si>
  <si>
    <t xml:space="preserve">Wnt2_B2_P2_03</t>
  </si>
  <si>
    <t xml:space="preserve">TACAGTCTACTTTCATGTTATTTTTGAAATCATCCAGTAAACCGCC</t>
  </si>
  <si>
    <t xml:space="preserve">Wnt23_HCR_P1B2</t>
  </si>
  <si>
    <t xml:space="preserve">Wnt23_HCR_P2B2</t>
  </si>
  <si>
    <t xml:space="preserve">TGCCAACCTCCCAGCGTTGTGGTTA</t>
  </si>
  <si>
    <t xml:space="preserve">TACAGTCTACTTTCATGTTATTTTTG</t>
  </si>
  <si>
    <t xml:space="preserve">S128-04</t>
  </si>
  <si>
    <t xml:space="preserve">Wnt2_B2_P1_04</t>
  </si>
  <si>
    <t xml:space="preserve">CCTCGTAAATCCTCATCAAAAGATCACCTTAGCAGCACCTTCAAA</t>
  </si>
  <si>
    <t xml:space="preserve">Wnt2_B2_P2_04</t>
  </si>
  <si>
    <t xml:space="preserve">GCATAAAACTGTCGCCATCATTACTAAATCATCCAGTAAACCGCC</t>
  </si>
  <si>
    <t xml:space="preserve">Wnt24_HCR_P1B2</t>
  </si>
  <si>
    <t xml:space="preserve">Wnt24_HCR_P2B2</t>
  </si>
  <si>
    <t xml:space="preserve">AGATCACCTTAGCAGCACCTTCAAA</t>
  </si>
  <si>
    <t xml:space="preserve">GCATAAAACTGTCGCCATCATTACT</t>
  </si>
  <si>
    <t xml:space="preserve">S128-05</t>
  </si>
  <si>
    <t xml:space="preserve">Wnt2_B2_P1_05</t>
  </si>
  <si>
    <t xml:space="preserve">CCTCGTAAATCCTCATCAAATGCACTGGCGCCCTTCAGTGCCGAG</t>
  </si>
  <si>
    <t xml:space="preserve">Wnt2_B2_P2_05</t>
  </si>
  <si>
    <t xml:space="preserve">AACTGTCAGTTCCCGCAGAACTTATAAATCATCCAGTAAACCGCC</t>
  </si>
  <si>
    <t xml:space="preserve">Wnt25_HCR_P1B2</t>
  </si>
  <si>
    <t xml:space="preserve">Wnt25_HCR_P2B2</t>
  </si>
  <si>
    <t xml:space="preserve">TGCACTGGCGCCCTTCAGTGCCGAG</t>
  </si>
  <si>
    <t xml:space="preserve">AACTGTCAGTTCCCGCAGAACTTAT</t>
  </si>
  <si>
    <t xml:space="preserve">S128-06</t>
  </si>
  <si>
    <t xml:space="preserve">Wnt2_B2_P1_06</t>
  </si>
  <si>
    <t xml:space="preserve">CCTCGTAAATCCTCATCAAATTTATAGATGTTTGTATGTACCCTC</t>
  </si>
  <si>
    <t xml:space="preserve">Wnt2_B2_P2_06</t>
  </si>
  <si>
    <t xml:space="preserve">AATTGACAATTGCAATTTTCAGCCTAAATCATCCAGTAAACCGCC</t>
  </si>
  <si>
    <t xml:space="preserve">Wnt26_HCR_P1B2</t>
  </si>
  <si>
    <t xml:space="preserve">Wnt26_HCR_P2B2</t>
  </si>
  <si>
    <t xml:space="preserve">TTTATAGATGTTTGTATGTACCCTC</t>
  </si>
  <si>
    <t xml:space="preserve">AATTGACAATTGCAATTTTCAGCCT</t>
  </si>
  <si>
    <t xml:space="preserve">S129-01</t>
  </si>
  <si>
    <t xml:space="preserve">Wnt9_B2_P1_01</t>
  </si>
  <si>
    <t xml:space="preserve">CCTCGTAAATCCTCATCAAACCGGTCGAGATCCCTCAACATTTTT</t>
  </si>
  <si>
    <t xml:space="preserve">Wnt9_B2_P2_01</t>
  </si>
  <si>
    <t xml:space="preserve">ATAAGGCTTCAACTGTCTTCTCTAGAAATCATCCAGTAAACCGCC</t>
  </si>
  <si>
    <t xml:space="preserve">Wnt91_HCR_P1B2</t>
  </si>
  <si>
    <t xml:space="preserve">Wnt91_HCR_P2B2</t>
  </si>
  <si>
    <t xml:space="preserve">CCGGTCGAGATCCCTCAACATTTTT</t>
  </si>
  <si>
    <t xml:space="preserve">ATAAGGCTTCAACTGTCTTCTCTAG</t>
  </si>
  <si>
    <t xml:space="preserve">S129-02</t>
  </si>
  <si>
    <t xml:space="preserve">Wnt9_B2_P1_02</t>
  </si>
  <si>
    <t xml:space="preserve">CCTCGTAAATCCTCATCAAATTTCGCTTTGACTAGTATATTCGGC</t>
  </si>
  <si>
    <t xml:space="preserve">Wnt9_B2_P2_02</t>
  </si>
  <si>
    <t xml:space="preserve">CTCTTCACAAGCCTTAATTGCTTGCAAATCATCCAGTAAACCGCC</t>
  </si>
  <si>
    <t xml:space="preserve">Wnt92_HCR_P1B2</t>
  </si>
  <si>
    <t xml:space="preserve">Wnt92_HCR_P2B2</t>
  </si>
  <si>
    <t xml:space="preserve">TTTCGCTTTGACTAGTATATTCGGC</t>
  </si>
  <si>
    <t xml:space="preserve">CTCTTCACAAGCCTTAATTGCTTGC</t>
  </si>
  <si>
    <t xml:space="preserve">S129-03</t>
  </si>
  <si>
    <t xml:space="preserve">Wnt9_B2_P1_03</t>
  </si>
  <si>
    <t xml:space="preserve">CCTCGTAAATCCTCATCAAAATAGAAGCTGCCACAAGAGAGTGTA</t>
  </si>
  <si>
    <t xml:space="preserve">Wnt9_B2_P2_03</t>
  </si>
  <si>
    <t xml:space="preserve">GCACATCCTTTTGCTACTGCGTGAGAAATCATCCAGTAAACCGCC</t>
  </si>
  <si>
    <t xml:space="preserve">Wnt93_HCR_P1B2</t>
  </si>
  <si>
    <t xml:space="preserve">Wnt93_HCR_P2B2</t>
  </si>
  <si>
    <t xml:space="preserve">ATAGAAGCTGCCACAAGAGAGTGTA</t>
  </si>
  <si>
    <t xml:space="preserve">GCACATCCTTTTGCTACTGCGTGAG</t>
  </si>
  <si>
    <t xml:space="preserve">S129-04</t>
  </si>
  <si>
    <t xml:space="preserve">Wnt9_B2_P1_04</t>
  </si>
  <si>
    <t xml:space="preserve">CCTCGTAAATCCTCATCAAAAGAAAGTTCTTAGCAAATCGTTTAC</t>
  </si>
  <si>
    <t xml:space="preserve">Wnt9_B2_P2_04</t>
  </si>
  <si>
    <t xml:space="preserve">TGATCGTTCCCCGCTGTTTTCCATTAAATCATCCAGTAAACCGCC</t>
  </si>
  <si>
    <t xml:space="preserve">Wnt94_HCR_P1B2</t>
  </si>
  <si>
    <t xml:space="preserve">Wnt94_HCR_P2B2</t>
  </si>
  <si>
    <t xml:space="preserve">AGAAAGTTCTTAGCAAATCGTTTAC</t>
  </si>
  <si>
    <t xml:space="preserve">TGATCGTTCCCCGCTGTTTTCCATT</t>
  </si>
  <si>
    <t xml:space="preserve">S129-05</t>
  </si>
  <si>
    <t xml:space="preserve">Wnt9_B2_P1_05</t>
  </si>
  <si>
    <t xml:space="preserve">CCTCGTAAATCCTCATCAAACCAGCAAGTCTTCGTTGTACACGAA</t>
  </si>
  <si>
    <t xml:space="preserve">Wnt9_B2_P2_05</t>
  </si>
  <si>
    <t xml:space="preserve">AGCTGAGTTGAAAGGACCCAGTCTTAAATCATCCAGTAAACCGCC</t>
  </si>
  <si>
    <t xml:space="preserve">Wnt95_HCR_P1B2</t>
  </si>
  <si>
    <t xml:space="preserve">Wnt95_HCR_P2B2</t>
  </si>
  <si>
    <t xml:space="preserve">CCAGCAAGTCTTCGTTGTACACGAA</t>
  </si>
  <si>
    <t xml:space="preserve">AGCTGAGTTGAAAGGACCCAGTCTT</t>
  </si>
  <si>
    <t xml:space="preserve">S130-01</t>
  </si>
  <si>
    <t xml:space="preserve">abd-A_B3_P1_01</t>
  </si>
  <si>
    <t xml:space="preserve">GTCCCTGCCTCTATATCTTTCCCAGCCCGCCAGACAGCGACGACG</t>
  </si>
  <si>
    <t xml:space="preserve">abd-A_B3_P2_01</t>
  </si>
  <si>
    <t xml:space="preserve">GGCGAGCCGGCCCCCAGCGCGGCCGTTCCACTCAACTTTAACCCG</t>
  </si>
  <si>
    <t xml:space="preserve">B3_P1(abA)_1</t>
  </si>
  <si>
    <t xml:space="preserve">B3_P2(abA)_1</t>
  </si>
  <si>
    <t xml:space="preserve">CCCAGCCCGCCAGACAGCGACGACG</t>
  </si>
  <si>
    <t xml:space="preserve">GGCGAGCCGGCCCCCAGCGCGGCCG</t>
  </si>
  <si>
    <t xml:space="preserve">S130-02</t>
  </si>
  <si>
    <t xml:space="preserve">abd-A_B3_P1_02</t>
  </si>
  <si>
    <t xml:space="preserve">GTCCCTGCCTCTATATCTTTCGCCGACGACGACGACGACGAGCGC</t>
  </si>
  <si>
    <t xml:space="preserve">abd-A_B3_P2_02</t>
  </si>
  <si>
    <t xml:space="preserve">ATACATCCTCGCCGGCGCGCCCGGCTTCCACTCAACTTTAACCCG</t>
  </si>
  <si>
    <t xml:space="preserve">B3_P1(abA)_2</t>
  </si>
  <si>
    <t xml:space="preserve">B3_P2(abA)_2</t>
  </si>
  <si>
    <t xml:space="preserve">CGCCGACGACGACGACGACGAGCGC</t>
  </si>
  <si>
    <t xml:space="preserve">ATACATCCTCGCCGGCGCGCCCGGC</t>
  </si>
  <si>
    <t xml:space="preserve">S130-03</t>
  </si>
  <si>
    <t xml:space="preserve">abd-A_B3_P1_03</t>
  </si>
  <si>
    <t xml:space="preserve">GTCCCTGCCTCTATATCTTTACGGCACCGACCCCCCGAACTGCTG</t>
  </si>
  <si>
    <t xml:space="preserve">abd-A_B3_P2_03</t>
  </si>
  <si>
    <t xml:space="preserve">CGTCCGCCAGCCCGCCGCCCGCGGGTTCCACTCAACTTTAACCCG</t>
  </si>
  <si>
    <t xml:space="preserve">B3_P1(abA)_3</t>
  </si>
  <si>
    <t xml:space="preserve">B3_P2(abA)_3</t>
  </si>
  <si>
    <t xml:space="preserve">ACGGCACCGACCCCCCGAACTGCTG</t>
  </si>
  <si>
    <t xml:space="preserve">CGTCCGCCAGCCCGCCGCCCGCGGG</t>
  </si>
  <si>
    <t xml:space="preserve">S130-04</t>
  </si>
  <si>
    <t xml:space="preserve">abd-A_B3_P1_04</t>
  </si>
  <si>
    <t xml:space="preserve">GTCCCTGCCTCTATATCTTTATGGGGTCGCCGCTCACGGCCCCAG</t>
  </si>
  <si>
    <t xml:space="preserve">abd-A_B3_P2_04</t>
  </si>
  <si>
    <t xml:space="preserve">TTGTGCTGCCCCAGCGCGTAGTTCATTCCACTCAACTTTAACCCG</t>
  </si>
  <si>
    <t xml:space="preserve">B3_P1(abA)_4</t>
  </si>
  <si>
    <t xml:space="preserve">B3_P2(abA)_4</t>
  </si>
  <si>
    <t xml:space="preserve">ATGGGGTCGCCGCTCACGGCCCCAG</t>
  </si>
  <si>
    <t xml:space="preserve">TTGTGCTGCCCCAGCGCGTAGTTCA</t>
  </si>
  <si>
    <t xml:space="preserve">S130-05</t>
  </si>
  <si>
    <t xml:space="preserve">abd-A_B3_P1_05</t>
  </si>
  <si>
    <t xml:space="preserve">GTCCCTGCCTCTATATCTTTCGCCGCCATGCTGGCCGACGCGGCC</t>
  </si>
  <si>
    <t xml:space="preserve">abd-A_B3_P2_05</t>
  </si>
  <si>
    <t xml:space="preserve">CGCAGCCTGGTGGTAGAACTGCGCCTTCCACTCAACTTTAACCCG</t>
  </si>
  <si>
    <t xml:space="preserve">B3_P1(abA)_5</t>
  </si>
  <si>
    <t xml:space="preserve">B3_P2(abA)_5</t>
  </si>
  <si>
    <t xml:space="preserve">CGCCGCCATGCTGGCCGACGCGGCC</t>
  </si>
  <si>
    <t xml:space="preserve">CGCAGCCTGGTGGTAGAACTGCGCC</t>
  </si>
  <si>
    <t xml:space="preserve">S130-06</t>
  </si>
  <si>
    <t xml:space="preserve">abd-A_B3_P1_06</t>
  </si>
  <si>
    <t xml:space="preserve">GTCCCTGCCTCTATATCTTTTGGCGTCGACGGAGGCGGCCGACGC</t>
  </si>
  <si>
    <t xml:space="preserve">abd-A_B3_P2_06</t>
  </si>
  <si>
    <t xml:space="preserve">CGGACGGCTGCGCGCACGTGCCGCCTTCCACTCAACTTTAACCCG</t>
  </si>
  <si>
    <t xml:space="preserve">B3_P1(abA)_6</t>
  </si>
  <si>
    <t xml:space="preserve">B3_P2(abA)_6</t>
  </si>
  <si>
    <t xml:space="preserve">TGGCGTCGACGGAGGCGGCCGACGC</t>
  </si>
  <si>
    <t xml:space="preserve">CGGACGGCTGCGCGCACGTGCCGCC</t>
  </si>
  <si>
    <t xml:space="preserve">S131-01</t>
  </si>
  <si>
    <t xml:space="preserve">androgen-1_B3_P1_01</t>
  </si>
  <si>
    <t xml:space="preserve">GTCCCTGCCTCTATATCTTTTACACTGTTTGCAAAATCAAACACC</t>
  </si>
  <si>
    <t xml:space="preserve">androgen-1_B3_P2_01</t>
  </si>
  <si>
    <t xml:space="preserve">ACGTCATTCAGGAATGCGACGAAGTTTCCACTCAACTTTAACCCG</t>
  </si>
  <si>
    <t xml:space="preserve">B3_P1(androgen-1)_1</t>
  </si>
  <si>
    <t xml:space="preserve">B3_P2(androgen-1)_1</t>
  </si>
  <si>
    <t xml:space="preserve">TACACTGTTTGCAAAATCAAACACC</t>
  </si>
  <si>
    <t xml:space="preserve">ACGTCATTCAGGAATGCGACGAAGT</t>
  </si>
  <si>
    <t xml:space="preserve">S131-02</t>
  </si>
  <si>
    <t xml:space="preserve">androgen-1_B3_P1_02</t>
  </si>
  <si>
    <t xml:space="preserve">GTCCCTGCCTCTATATCTTTGATTACAGGCGTCTTTTTCGGTGAC</t>
  </si>
  <si>
    <t xml:space="preserve">androgen-1_B3_P2_02</t>
  </si>
  <si>
    <t xml:space="preserve">GGAGAAGATGGTGTCTTTAATTTGCTTCCACTCAACTTTAACCCG</t>
  </si>
  <si>
    <t xml:space="preserve">B3_P1(androgen-1)_2</t>
  </si>
  <si>
    <t xml:space="preserve">B3_P2(androgen-1)_2</t>
  </si>
  <si>
    <t xml:space="preserve">GATTACAGGCGTCTTTTTCGGTGAC</t>
  </si>
  <si>
    <t xml:space="preserve">GGAGAAGATGGTGTCTTTAATTTGC</t>
  </si>
  <si>
    <t xml:space="preserve">S131-03</t>
  </si>
  <si>
    <t xml:space="preserve">androgen-1_B3_P1_03</t>
  </si>
  <si>
    <t xml:space="preserve">GTCCCTGCCTCTATATCTTTTCCAAAATGCGATAGACACGTAAAT</t>
  </si>
  <si>
    <t xml:space="preserve">androgen-1_B3_P2_03</t>
  </si>
  <si>
    <t xml:space="preserve">TAAGCTCCTTGTCTATGGCGTATATTTCCACTCAACTTTAACCCG</t>
  </si>
  <si>
    <t xml:space="preserve">B3_P1(androgen-1)_3</t>
  </si>
  <si>
    <t xml:space="preserve">B3_P2(androgen-1)_3</t>
  </si>
  <si>
    <t xml:space="preserve">TCCAAAATGCGATAGACACGTAAAT</t>
  </si>
  <si>
    <t xml:space="preserve">TAAGCTCCTTGTCTATGGCGTATAT</t>
  </si>
  <si>
    <t xml:space="preserve">S131-04</t>
  </si>
  <si>
    <t xml:space="preserve">androgen-1_B3_P1_04</t>
  </si>
  <si>
    <t xml:space="preserve">GTCCCTGCCTCTATATCTTTTTGAGCGCTGGGTGGTATAATTTGG</t>
  </si>
  <si>
    <t xml:space="preserve">androgen-1_B3_P2_04</t>
  </si>
  <si>
    <t xml:space="preserve">AACGACACAGTTGTATGCATAACATTTCCACTCAACTTTAACCCG</t>
  </si>
  <si>
    <t xml:space="preserve">B3_P1(androgen-1)_4</t>
  </si>
  <si>
    <t xml:space="preserve">B3_P2(androgen-1)_4</t>
  </si>
  <si>
    <t xml:space="preserve">TTGAGCGCTGGGTGGTATAATTTGG</t>
  </si>
  <si>
    <t xml:space="preserve">AACGACACAGTTGTATGCATAACAT</t>
  </si>
  <si>
    <t xml:space="preserve">S131-05</t>
  </si>
  <si>
    <t xml:space="preserve">androgen-1_B3_P1_05</t>
  </si>
  <si>
    <t xml:space="preserve">GTCCCTGCCTCTATATCTTTGGGATAATTTCTGTATGATGTGAAC</t>
  </si>
  <si>
    <t xml:space="preserve">androgen-1_B3_P2_05</t>
  </si>
  <si>
    <t xml:space="preserve">TGTTACCATATAACCCACTTTTCTTTTCCACTCAACTTTAACCCG</t>
  </si>
  <si>
    <t xml:space="preserve">B3_P1(androgen-1)_5</t>
  </si>
  <si>
    <t xml:space="preserve">B3_P2(androgen-1)_5</t>
  </si>
  <si>
    <t xml:space="preserve">GGGATAATTTCTGTATGATGTGAAC</t>
  </si>
  <si>
    <t xml:space="preserve">TGTTACCATATAACCCACTTTTCTT</t>
  </si>
  <si>
    <t xml:space="preserve">S131-06</t>
  </si>
  <si>
    <t xml:space="preserve">androgen-1_B3_P1_06</t>
  </si>
  <si>
    <t xml:space="preserve">GTCCCTGCCTCTATATCTTTAGACAATAAAGAACCATACTAAATA</t>
  </si>
  <si>
    <t xml:space="preserve">androgen-1_B3_P2_06</t>
  </si>
  <si>
    <t xml:space="preserve">GGTATACCCATGCACCCGTTTTGGCTTCCACTCAACTTTAACCCG</t>
  </si>
  <si>
    <t xml:space="preserve">B3_P1(androgen-1)_6</t>
  </si>
  <si>
    <t xml:space="preserve">B3_P2(androgen-1)_6</t>
  </si>
  <si>
    <t xml:space="preserve">AGACAATAAAGAACCATACTAAATA</t>
  </si>
  <si>
    <t xml:space="preserve">GGTATACCCATGCACCCGTTTTGGC</t>
  </si>
  <si>
    <t xml:space="preserve">S132-01</t>
  </si>
  <si>
    <t xml:space="preserve">arrow_B3_P1_01</t>
  </si>
  <si>
    <t xml:space="preserve">GTCCCTGCCTCTATATCTTTCTAGAGTAGTAGCCTTTTAGTTGCA</t>
  </si>
  <si>
    <t xml:space="preserve">arrow_B3_P2_01</t>
  </si>
  <si>
    <t xml:space="preserve">GAATACAACAACACCGGATTGCTTATTCCACTCAACTTTAACCCG</t>
  </si>
  <si>
    <t xml:space="preserve">CTAGAGTAGTAGCCTTTTAGTTGCA</t>
  </si>
  <si>
    <t xml:space="preserve">GAATACAACAACACCGGATTGCTTA</t>
  </si>
  <si>
    <t xml:space="preserve">S132-02</t>
  </si>
  <si>
    <t xml:space="preserve">arrow_B3_P1_02</t>
  </si>
  <si>
    <t xml:space="preserve">GTCCCTGCCTCTATATCTTTTGCACAGGAAATCAACAGCTGAGCC</t>
  </si>
  <si>
    <t xml:space="preserve">arrow_B3_P2_02</t>
  </si>
  <si>
    <t xml:space="preserve">GGTCCGACCAGCATATTAAATTACTTTCCACTCAACTTTAACCCG</t>
  </si>
  <si>
    <t xml:space="preserve">TGCACAGGAAATCAACAGCTGAGCC</t>
  </si>
  <si>
    <t xml:space="preserve">GGTCCGACCAGCATATTAAATTACT</t>
  </si>
  <si>
    <t xml:space="preserve">S132-03</t>
  </si>
  <si>
    <t xml:space="preserve">arrow_B3_P1_03</t>
  </si>
  <si>
    <t xml:space="preserve">GTCCCTGCCTCTATATCTTTTACCAATCTATTGCAATACCGGTAG</t>
  </si>
  <si>
    <t xml:space="preserve">arrow_B3_P2_03</t>
  </si>
  <si>
    <t xml:space="preserve">CCATCTGTCCAATAGATTTTGTCTGTTCCACTCAACTTTAACCCG</t>
  </si>
  <si>
    <t xml:space="preserve">TACCAATCTATTGCAATACCGGTAG</t>
  </si>
  <si>
    <t xml:space="preserve">CCATCTGTCCAATAGATTTTGTCTG</t>
  </si>
  <si>
    <t xml:space="preserve">S132-04</t>
  </si>
  <si>
    <t xml:space="preserve">arrow_B3_P1_04</t>
  </si>
  <si>
    <t xml:space="preserve">GTCCCTGCCTCTATATCTTTCCTCAGTCCAGAATAGAACTTTTCT</t>
  </si>
  <si>
    <t xml:space="preserve">arrow_B3_P2_04</t>
  </si>
  <si>
    <t xml:space="preserve">CTAAAGCAATGGCCCTTGCCAGGTCTTCCACTCAACTTTAACCCG</t>
  </si>
  <si>
    <t xml:space="preserve">CCTCAGTCCAGAATAGAACTTTTCT</t>
  </si>
  <si>
    <t xml:space="preserve">CTAAAGCAATGGCCCTTGCCAGGTC</t>
  </si>
  <si>
    <t xml:space="preserve">S132-05</t>
  </si>
  <si>
    <t xml:space="preserve">arrow_B3_P1_05</t>
  </si>
  <si>
    <t xml:space="preserve">GTCCCTGCCTCTATATCTTTAATCTTGGGTATTTCACCCCAGTCA</t>
  </si>
  <si>
    <t xml:space="preserve">arrow_B3_P2_05</t>
  </si>
  <si>
    <t xml:space="preserve">GGGGTCACCGTTCATACCAGCTCTTTTCCACTCAACTTTAACCCG</t>
  </si>
  <si>
    <t xml:space="preserve">AATCTTGGGTATTTCACCCCAGTCA</t>
  </si>
  <si>
    <t xml:space="preserve">GGGGTCACCGTTCATACCAGCTCTT</t>
  </si>
  <si>
    <t xml:space="preserve">S132-06</t>
  </si>
  <si>
    <t xml:space="preserve">arrow_B3_P1_06</t>
  </si>
  <si>
    <t xml:space="preserve">GTCCCTGCCTCTATATCTTTCCAATCAGTCCAGTAAAGCTTTTCA</t>
  </si>
  <si>
    <t xml:space="preserve">arrow_B3_P2_06</t>
  </si>
  <si>
    <t xml:space="preserve">GTCCCATGTATATATTCCCCAAGTCTTCCACTCAACTTTAACCCG</t>
  </si>
  <si>
    <t xml:space="preserve">CCAATCAGTCCAGTAAAGCTTTTCA</t>
  </si>
  <si>
    <t xml:space="preserve">GTCCCATGTATATATTCCCCAAGTC</t>
  </si>
  <si>
    <t xml:space="preserve">S132-07</t>
  </si>
  <si>
    <t xml:space="preserve">arrow_B3_P1_07</t>
  </si>
  <si>
    <t xml:space="preserve">GTCCCTGCCTCTATATCTTTACAGGCACCGGGTCTGACTTGATGA</t>
  </si>
  <si>
    <t xml:space="preserve">arrow_B3_P2_07</t>
  </si>
  <si>
    <t xml:space="preserve">CTGCTCCGGTCGTACACTTTAATGTTTCCACTCAACTTTAACCCG</t>
  </si>
  <si>
    <t xml:space="preserve">ACAGGCACCGGGTCTGACTTGATGA</t>
  </si>
  <si>
    <t xml:space="preserve">CTGCTCCGGTCGTACACTTTAATGT</t>
  </si>
  <si>
    <t xml:space="preserve">S132-08</t>
  </si>
  <si>
    <t xml:space="preserve">arrow_B3_P1_08</t>
  </si>
  <si>
    <t xml:space="preserve">GTCCCTGCCTCTATATCTTTGTGAACATCCCTCATTGTCTTTACA</t>
  </si>
  <si>
    <t xml:space="preserve">arrow_B3_P2_08</t>
  </si>
  <si>
    <t xml:space="preserve">GTGGGGTTGGTGATAACAGGCACAGTTCCACTCAACTTTAACCCG</t>
  </si>
  <si>
    <t xml:space="preserve">GTGAACATCCCTCATTGTCTTTACA</t>
  </si>
  <si>
    <t xml:space="preserve">GTGGGGTTGGTGATAACAGGCACAG</t>
  </si>
  <si>
    <t xml:space="preserve">S132-09</t>
  </si>
  <si>
    <t xml:space="preserve">arrow_B3_P1_09</t>
  </si>
  <si>
    <t xml:space="preserve">GTCCCTGCCTCTATATCTTTGTTGGTATCCTCTTTTAACTTCACC</t>
  </si>
  <si>
    <t xml:space="preserve">arrow_B3_P2_09</t>
  </si>
  <si>
    <t xml:space="preserve">AGACTGTGGCGAGTTGTAGCAGGTATTCCACTCAACTTTAACCCG</t>
  </si>
  <si>
    <t xml:space="preserve">GTTGGTATCCTCTTTTAACTTCACC</t>
  </si>
  <si>
    <t xml:space="preserve">AGACTGTGGCGAGTTGTAGCAGGTA</t>
  </si>
  <si>
    <t xml:space="preserve">S132-10</t>
  </si>
  <si>
    <t xml:space="preserve">arrow_B3_P1_10</t>
  </si>
  <si>
    <t xml:space="preserve">GTCCCTGCCTCTATATCTTTGGTGAATCCAGCGATATCTTGGATA</t>
  </si>
  <si>
    <t xml:space="preserve">arrow_B3_P2_10</t>
  </si>
  <si>
    <t xml:space="preserve">AAGGGCAGGGTATAAGGGGTAAAGTTTCCACTCAACTTTAACCCG</t>
  </si>
  <si>
    <t xml:space="preserve">GGTGAATCCAGCGATATCTTGGATA</t>
  </si>
  <si>
    <t xml:space="preserve">AAGGGCAGGGTATAAGGGGTAAAGT</t>
  </si>
  <si>
    <t xml:space="preserve">S132-11</t>
  </si>
  <si>
    <t xml:space="preserve">arrow_B3_P1_11</t>
  </si>
  <si>
    <t xml:space="preserve">GTCCCTGCCTCTATATCTTTCCCAGTAAATGTATTCAGTTTTCGG</t>
  </si>
  <si>
    <t xml:space="preserve">arrow_B3_P2_11</t>
  </si>
  <si>
    <t xml:space="preserve">GGGATATGGTTTTTGACTGACTGTCTTCCACTCAACTTTAACCCG</t>
  </si>
  <si>
    <t xml:space="preserve">CCCAGTAAATGTATTCAGTTTTCGG</t>
  </si>
  <si>
    <t xml:space="preserve">GGGATATGGTTTTTGACTGACTGTC</t>
  </si>
  <si>
    <t xml:space="preserve">S132-12</t>
  </si>
  <si>
    <t xml:space="preserve">arrow_B3_P1_12</t>
  </si>
  <si>
    <t xml:space="preserve">GTCCCTGCCTCTATATCTTTCACGCCGTTGCTGTGTATGACCACA</t>
  </si>
  <si>
    <t xml:space="preserve">arrow_B3_P2_12</t>
  </si>
  <si>
    <t xml:space="preserve">GAGGGGGTCTATCGCGATACTGTCGTTCCACTCAACTTTAACCCG</t>
  </si>
  <si>
    <t xml:space="preserve">CACGCCGTTGCTGTGTATGACCACA</t>
  </si>
  <si>
    <t xml:space="preserve">GAGGGGGTCTATCGCGATACTGTCG</t>
  </si>
  <si>
    <t xml:space="preserve">S132-13</t>
  </si>
  <si>
    <t xml:space="preserve">arrow_B3_P1_13</t>
  </si>
  <si>
    <t xml:space="preserve">GTCCCTGCCTCTATATCTTTCTAGCAACAGTGATGGTGTCCGAGA</t>
  </si>
  <si>
    <t xml:space="preserve">arrow_B3_P2_13</t>
  </si>
  <si>
    <t xml:space="preserve">ATGACCTTCCTCGCGCTGCCGTCCATTCCACTCAACTTTAACCCG</t>
  </si>
  <si>
    <t xml:space="preserve">CTAGCAACAGTGATGGTGTCCGAGA</t>
  </si>
  <si>
    <t xml:space="preserve">ATGACCTTCCTCGCGCTGCCGTCCA</t>
  </si>
  <si>
    <t xml:space="preserve">S132-14</t>
  </si>
  <si>
    <t xml:space="preserve">arrow_B3_P1_14</t>
  </si>
  <si>
    <t xml:space="preserve">GTCCCTGCCTCTATATCTTTCGGCGGTCGGGTGGAGAGCTATTGC</t>
  </si>
  <si>
    <t xml:space="preserve">arrow_B3_P2_14</t>
  </si>
  <si>
    <t xml:space="preserve">CATTCCAATCAGACCAGAACATCCATTCCACTCAACTTTAACCCG</t>
  </si>
  <si>
    <t xml:space="preserve">CGGCGGTCGGGTGGAGAGCTATTGC</t>
  </si>
  <si>
    <t xml:space="preserve">CATTCCAATCAGACCAGAACATCCA</t>
  </si>
  <si>
    <t xml:space="preserve">S132-15</t>
  </si>
  <si>
    <t xml:space="preserve">arrow_B3_P1_15</t>
  </si>
  <si>
    <t xml:space="preserve">GTCCCTGCCTCTATATCTTTCATCATCCGGTCAGTTCCGTCCAAG</t>
  </si>
  <si>
    <t xml:space="preserve">arrow_B3_P2_15</t>
  </si>
  <si>
    <t xml:space="preserve">GGGCCAAGTTAGTTTTTCAGAGACCTTCCACTCAACTTTAACCCG</t>
  </si>
  <si>
    <t xml:space="preserve">CATCATCCGGTCAGTTCCGTCCAAG</t>
  </si>
  <si>
    <t xml:space="preserve">GGGCCAAGTTAGTTTTTCAGAGACC</t>
  </si>
  <si>
    <t xml:space="preserve">S133-01</t>
  </si>
  <si>
    <t xml:space="preserve">car-anh10_B3_P1_01</t>
  </si>
  <si>
    <t xml:space="preserve">GTCCCTGCCTCTATATCTTTGATTACTGAGTGACCGGTGTTACTT</t>
  </si>
  <si>
    <t xml:space="preserve">car-anh10_B3_P2_01</t>
  </si>
  <si>
    <t xml:space="preserve">GTGGCGGGTCTCGTTCTCCACTGTGTTCCACTCAACTTTAACCCG</t>
  </si>
  <si>
    <t xml:space="preserve">B3_P1(car_anh10)_1</t>
  </si>
  <si>
    <t xml:space="preserve">B3_P2(car_anh10)_1</t>
  </si>
  <si>
    <t xml:space="preserve">GATTACTGAGTGACCGGTGTTACTT</t>
  </si>
  <si>
    <t xml:space="preserve">GTGGCGGGTCTCGTTCTCCACTGTG</t>
  </si>
  <si>
    <t xml:space="preserve">S133-02</t>
  </si>
  <si>
    <t xml:space="preserve">car-anh10_B3_P1_02</t>
  </si>
  <si>
    <t xml:space="preserve">GTCCCTGCCTCTATATCTTTACTGGTACTTGTATGAGAGAGGGCC</t>
  </si>
  <si>
    <t xml:space="preserve">car-anh10_B3_P2_02</t>
  </si>
  <si>
    <t xml:space="preserve">GCCCATAGTGTATGTGGATCTCATGTTCCACTCAACTTTAACCCG</t>
  </si>
  <si>
    <t xml:space="preserve">B3_P1(car_anh10)_2</t>
  </si>
  <si>
    <t xml:space="preserve">B3_P2(car_anh10)_2</t>
  </si>
  <si>
    <t xml:space="preserve">ACTGGTACTTGTATGAGAGAGGGCC</t>
  </si>
  <si>
    <t xml:space="preserve">GCCCATAGTGTATGTGGATCTCATG</t>
  </si>
  <si>
    <t xml:space="preserve">S133-03</t>
  </si>
  <si>
    <t xml:space="preserve">car-anh10_B3_P1_03</t>
  </si>
  <si>
    <t xml:space="preserve">GTCCCTGCCTCTATATCTTTGAGTAGCCATTGATGGCGTGCTCCG</t>
  </si>
  <si>
    <t xml:space="preserve">car-anh10_B3_P2_03</t>
  </si>
  <si>
    <t xml:space="preserve">CCGAATATTTGAATCTCAGCAGGGATTCCACTCAACTTTAACCCG</t>
  </si>
  <si>
    <t xml:space="preserve">B3_P1(car_anh10)_3</t>
  </si>
  <si>
    <t xml:space="preserve">B3_P2(car_anh10)_3</t>
  </si>
  <si>
    <t xml:space="preserve">GAGTAGCCATTGATGGCGTGCTCCG</t>
  </si>
  <si>
    <t xml:space="preserve">CCGAATATTTGAATCTCAGCAGGGA</t>
  </si>
  <si>
    <t xml:space="preserve">S133-04</t>
  </si>
  <si>
    <t xml:space="preserve">car-anh10_B3_P1_04</t>
  </si>
  <si>
    <t xml:space="preserve">GTCCCTGCCTCTATATCTTTGTGAAGAGCTTCTGAGAAGTTTGAA</t>
  </si>
  <si>
    <t xml:space="preserve">car-anh10_B3_P2_04</t>
  </si>
  <si>
    <t xml:space="preserve">AGAAATTGAGACGATTCCTTGAGCTTTCCACTCAACTTTAACCCG</t>
  </si>
  <si>
    <t xml:space="preserve">B3_P1(car_anh10)_4</t>
  </si>
  <si>
    <t xml:space="preserve">B3_P2(car_anh10)_4</t>
  </si>
  <si>
    <t xml:space="preserve">GTGAAGAGCTTCTGAGAAGTTTGAA</t>
  </si>
  <si>
    <t xml:space="preserve">AGAAATTGAGACGATTCCTTGAGCT</t>
  </si>
  <si>
    <t xml:space="preserve">S133-05</t>
  </si>
  <si>
    <t xml:space="preserve">car-anh10_B3_P1_05</t>
  </si>
  <si>
    <t xml:space="preserve">GTCCCTGCCTCTATATCTTTTCCTGAGCTCGGGATTTGATAAATC</t>
  </si>
  <si>
    <t xml:space="preserve">car-anh10_B3_P2_05</t>
  </si>
  <si>
    <t xml:space="preserve">TTATATTTTCTAACTCCTCCGTTAATTCCACTCAACTTTAACCCG</t>
  </si>
  <si>
    <t xml:space="preserve">B3_P1(car_anh10)_5</t>
  </si>
  <si>
    <t xml:space="preserve">B3_P2(car_anh10)_5</t>
  </si>
  <si>
    <t xml:space="preserve">TCCTGAGCTCGGGATTTGATAAATC</t>
  </si>
  <si>
    <t xml:space="preserve">TTATATTTTCTAACTCCTCCGTTAA</t>
  </si>
  <si>
    <t xml:space="preserve">S133-06</t>
  </si>
  <si>
    <t xml:space="preserve">car-anh10_B3_P1_06</t>
  </si>
  <si>
    <t xml:space="preserve">GTCCCTGCCTCTATATCTTTCGCACCGACAGCCGGTTTACTGGCA</t>
  </si>
  <si>
    <t xml:space="preserve">car-anh10_B3_P2_06</t>
  </si>
  <si>
    <t xml:space="preserve">TAGTAGTCGGTGTCTGGCAGCAGGCTTCCACTCAACTTTAACCCG</t>
  </si>
  <si>
    <t xml:space="preserve">B3_P1(car_anh10)_6</t>
  </si>
  <si>
    <t xml:space="preserve">B3_P2(car_anh10)_6</t>
  </si>
  <si>
    <t xml:space="preserve">CGCACCGACAGCCGGTTTACTGGCA</t>
  </si>
  <si>
    <t xml:space="preserve">TAGTAGTCGGTGTCTGGCAGCAGGC</t>
  </si>
  <si>
    <t xml:space="preserve">S134-01</t>
  </si>
  <si>
    <t xml:space="preserve">caupolican_B3_P1_01</t>
  </si>
  <si>
    <t xml:space="preserve">GTCCCTGCCTCTATATCTTTGGCGGCGAGCGCGGGGAAGTAGGCT</t>
  </si>
  <si>
    <t xml:space="preserve">caupolican_B3_P2_01</t>
  </si>
  <si>
    <t xml:space="preserve">CGTGTTCGCGTAGAAGGGTGGTTGGTTCCACTCAACTTTAACCCG</t>
  </si>
  <si>
    <t xml:space="preserve">B3_P1(caupolican)_1</t>
  </si>
  <si>
    <t xml:space="preserve">B3_P2(caupolican)_1</t>
  </si>
  <si>
    <t xml:space="preserve">GGCGGCGAGCGCGGGGAAGTAGGCT</t>
  </si>
  <si>
    <t xml:space="preserve">CGTGTTCGCGTAGAAGGGTGGTTGG</t>
  </si>
  <si>
    <t xml:space="preserve">S134-02</t>
  </si>
  <si>
    <t xml:space="preserve">caupolican_B3_P1_02</t>
  </si>
  <si>
    <t xml:space="preserve">GTCCCTGCCTCTATATCTTTCCGCGCTGGCTGCCAGGTTCTCCTT</t>
  </si>
  <si>
    <t xml:space="preserve">caupolican_B3_P2_02</t>
  </si>
  <si>
    <t xml:space="preserve">GGTAGACTGTGGGGTAAGGCCAACTTTCCACTCAACTTTAACCCG</t>
  </si>
  <si>
    <t xml:space="preserve">B3_P1(caupolican)_2</t>
  </si>
  <si>
    <t xml:space="preserve">B3_P2(caupolican)_2</t>
  </si>
  <si>
    <t xml:space="preserve">CCGCGCTGGCTGCCAGGTTCTCCTT</t>
  </si>
  <si>
    <t xml:space="preserve">GGTAGACTGTGGGGTAAGGCCAACT</t>
  </si>
  <si>
    <t xml:space="preserve">S134-03</t>
  </si>
  <si>
    <t xml:space="preserve">caupolican_B3_P1_03</t>
  </si>
  <si>
    <t xml:space="preserve">GTCCCTGCCTCTATATCTTTTATCCATTAAAGGGGTAGCCAGCGA</t>
  </si>
  <si>
    <t xml:space="preserve">caupolican_B3_P2_03</t>
  </si>
  <si>
    <t xml:space="preserve">CTTCTTGCACCATTCAAATCCATTCTTCCACTCAACTTTAACCCG</t>
  </si>
  <si>
    <t xml:space="preserve">B3_P1(caupolican)_3</t>
  </si>
  <si>
    <t xml:space="preserve">B3_P2(caupolican)_3</t>
  </si>
  <si>
    <t xml:space="preserve">TATCCATTAAAGGGGTAGCCAGCGA</t>
  </si>
  <si>
    <t xml:space="preserve">CTTCTTGCACCATTCAAATCCATTC</t>
  </si>
  <si>
    <t xml:space="preserve">S134-04</t>
  </si>
  <si>
    <t xml:space="preserve">caupolican_B3_P1_04</t>
  </si>
  <si>
    <t xml:space="preserve">GTCCCTGCCTCTATATCTTTCCACGCTTTGAGTGTACTCGTCGTT</t>
  </si>
  <si>
    <t xml:space="preserve">caupolican_B3_P2_04</t>
  </si>
  <si>
    <t xml:space="preserve">GTACGGGTTCTTCTTGTGCTCGTTGTTCCACTCAACTTTAACCCG</t>
  </si>
  <si>
    <t xml:space="preserve">B3_P1(caupolican)_4</t>
  </si>
  <si>
    <t xml:space="preserve">B3_P2(caupolican)_4</t>
  </si>
  <si>
    <t xml:space="preserve">CCACGCTTTGAGTGTACTCGTCGTT</t>
  </si>
  <si>
    <t xml:space="preserve">GTACGGGTTCTTCTTGTGCTCGTTG</t>
  </si>
  <si>
    <t xml:space="preserve">S134-05</t>
  </si>
  <si>
    <t xml:space="preserve">caupolican_B3_P1_05</t>
  </si>
  <si>
    <t xml:space="preserve">GTCCCTGCCTCTATATCTTTTCTTGGTGATGATCGCCAACATTAT</t>
  </si>
  <si>
    <t xml:space="preserve">caupolican_B3_P2_05</t>
  </si>
  <si>
    <t xml:space="preserve">ACCACGTGGACACCTGCGTCAGCGTTTCCACTCAACTTTAACCCG</t>
  </si>
  <si>
    <t xml:space="preserve">B3_P1(caupolican)_5</t>
  </si>
  <si>
    <t xml:space="preserve">B3_P2(caupolican)_5</t>
  </si>
  <si>
    <t xml:space="preserve">TCTTGGTGATGATCGCCAACATTAT</t>
  </si>
  <si>
    <t xml:space="preserve">ACCACGTGGACACCTGCGTCAGCGT</t>
  </si>
  <si>
    <t xml:space="preserve">S134-06</t>
  </si>
  <si>
    <t xml:space="preserve">caupolican_B3_P1_06</t>
  </si>
  <si>
    <t xml:space="preserve">GTCCCTGCCTCTATATCTTTGTCATCTTGTTTTCCTTCTTGAGCC</t>
  </si>
  <si>
    <t xml:space="preserve">caupolican_B3_P2_06</t>
  </si>
  <si>
    <t xml:space="preserve">TCATCGACCCTGTTTCTCGGCTCCCTTCCACTCAACTTTAACCCG</t>
  </si>
  <si>
    <t xml:space="preserve">B3_P1(caupolican)_6</t>
  </si>
  <si>
    <t xml:space="preserve">B3_P2(caupolican)_6</t>
  </si>
  <si>
    <t xml:space="preserve">GTCATCTTGTTTTCCTTCTTGAGCC</t>
  </si>
  <si>
    <t xml:space="preserve">TCATCGACCCTGTTTCTCGGCTCCC</t>
  </si>
  <si>
    <t xml:space="preserve">S135-01</t>
  </si>
  <si>
    <t xml:space="preserve">CK1_B3_P1_01</t>
  </si>
  <si>
    <t xml:space="preserve">GTCCCTGCCTCTATATCTTTCGCGCCAGTCGCGGTGGAAGTTCTT</t>
  </si>
  <si>
    <t xml:space="preserve">CK1_B3_P2_01</t>
  </si>
  <si>
    <t xml:space="preserve">GCTTCCCACGCCGCGCCCGCCACCCTTCCACTCAACTTTAACCCG</t>
  </si>
  <si>
    <t xml:space="preserve">CGCGCCAGTCGCGGTGGAAGTTCTT</t>
  </si>
  <si>
    <t xml:space="preserve">GCTTCCCACGCCGCGCCCGCCACCC</t>
  </si>
  <si>
    <t xml:space="preserve">S135-02</t>
  </si>
  <si>
    <t xml:space="preserve">CK1_B3_P1_02</t>
  </si>
  <si>
    <t xml:space="preserve">GTCCCTGCCTCTATATCTTTATAAGGACGCCCGAAGACGAGGTGA</t>
  </si>
  <si>
    <t xml:space="preserve">CK1_B3_P2_02</t>
  </si>
  <si>
    <t xml:space="preserve">TTGCCGACGCGGAAGTTGGGCCCGATTCCACTCAACTTTAACCCG</t>
  </si>
  <si>
    <t xml:space="preserve">ATAAGGACGCCCGAAGACGAGGTGA</t>
  </si>
  <si>
    <t xml:space="preserve">TTGCCGACGCGGAAGTTGGGCCCGA</t>
  </si>
  <si>
    <t xml:space="preserve">S135-03</t>
  </si>
  <si>
    <t xml:space="preserve">CK1_B3_P1_03</t>
  </si>
  <si>
    <t xml:space="preserve">GTCCCTGCCTCTATATCTTTTGTAGAGATTTTTTCCAAGCCGGAG</t>
  </si>
  <si>
    <t xml:space="preserve">CK1_B3_P2_03</t>
  </si>
  <si>
    <t xml:space="preserve">CCATCTTAATCGCTACGTGTTCATTTTCCACTCAACTTTAACCCG</t>
  </si>
  <si>
    <t xml:space="preserve">TGTAGAGATTTTTTCCAAGCCGGAG</t>
  </si>
  <si>
    <t xml:space="preserve">CCATCTTAATCGCTACGTGTTCATT</t>
  </si>
  <si>
    <t xml:space="preserve">S135-04</t>
  </si>
  <si>
    <t xml:space="preserve">CK1_B3_P1_04</t>
  </si>
  <si>
    <t xml:space="preserve">GTCCCTGCCTCTATATCTTTGCGTGCGTTCCTAATAGTTTGTAAA</t>
  </si>
  <si>
    <t xml:space="preserve">CK1_B3_P2_04</t>
  </si>
  <si>
    <t xml:space="preserve">TCGGGGATGCCTTCCGCTGTCGACGTTCCACTCAACTTTAACCCG</t>
  </si>
  <si>
    <t xml:space="preserve">GCGTGCGTTCCTAATAGTTTGTAAA</t>
  </si>
  <si>
    <t xml:space="preserve">TCGGGGATGCCTTCCGCTGTCGACG</t>
  </si>
  <si>
    <t xml:space="preserve">S135-05</t>
  </si>
  <si>
    <t xml:space="preserve">CK1_B3_P1_05</t>
  </si>
  <si>
    <t xml:space="preserve">GTCCCTGCCTCTATATCTTTGCAGTTCCATGACCAACGCATTGTA</t>
  </si>
  <si>
    <t xml:space="preserve">CK1_B3_P2_05</t>
  </si>
  <si>
    <t xml:space="preserve">CGAACAGATCCTCTAGGGACGGGCCTTCCACTCAACTTTAACCCG</t>
  </si>
  <si>
    <t xml:space="preserve">GCAGTTCCATGACCAACGCATTGTA</t>
  </si>
  <si>
    <t xml:space="preserve">CGAACAGATCCTCTAGGGACGGGCC</t>
  </si>
  <si>
    <t xml:space="preserve">S135-06</t>
  </si>
  <si>
    <t xml:space="preserve">CK1_B3_P1_06</t>
  </si>
  <si>
    <t xml:space="preserve">GTCCCTGCCTCTATATCTTTCTGCATAGCGATCATCAGAACAGTC</t>
  </si>
  <si>
    <t xml:space="preserve">CK1_B3_P2_06</t>
  </si>
  <si>
    <t xml:space="preserve">ATGGACATATTCGATGCGATGTAGCTTCCACTCAACTTTAACCCG</t>
  </si>
  <si>
    <t xml:space="preserve">CTGCATAGCGATCATCAGAACAGTC</t>
  </si>
  <si>
    <t xml:space="preserve">ATGGACATATTCGATGCGATGTAGC</t>
  </si>
  <si>
    <t xml:space="preserve">S135-07</t>
  </si>
  <si>
    <t xml:space="preserve">CK1_B3_P1_07</t>
  </si>
  <si>
    <t xml:space="preserve">GTCCCTGCCTCTATATCTTTATTTTGTCCCTTTTACTCGTAGCTC</t>
  </si>
  <si>
    <t xml:space="preserve">CK1_B3_P2_07</t>
  </si>
  <si>
    <t xml:space="preserve">GCCAATCCGAAATCAATGATGTGTATTCCACTCAACTTTAACCCG</t>
  </si>
  <si>
    <t xml:space="preserve">ATTTTGTCCCTTTTACTCGTAGCTC</t>
  </si>
  <si>
    <t xml:space="preserve">GCCAATCCGAAATCAATGATGTGTA</t>
  </si>
  <si>
    <t xml:space="preserve">S135-08</t>
  </si>
  <si>
    <t xml:space="preserve">CK1_B3_P1_08</t>
  </si>
  <si>
    <t xml:space="preserve">GTCCCTGCCTCTATATCTTTTGTGCTCCCGGTATGGGATATGTTT</t>
  </si>
  <si>
    <t xml:space="preserve">CK1_B3_P2_08</t>
  </si>
  <si>
    <t xml:space="preserve">TGTATCTCGCAGTCCCGGTTAGTGATTCCACTCAACTTTAACCCG</t>
  </si>
  <si>
    <t xml:space="preserve">TGTGCTCCCGGTATGGGATATGTTT</t>
  </si>
  <si>
    <t xml:space="preserve">TGTATCTCGCAGTCCCGGTTAGTGA</t>
  </si>
  <si>
    <t xml:space="preserve">S135-09</t>
  </si>
  <si>
    <t xml:space="preserve">CK1_B3_P1_09</t>
  </si>
  <si>
    <t xml:space="preserve">GTCCCTGCCTCTATATCTTTAAACATATGCCCCAGAGCTTCTAGG</t>
  </si>
  <si>
    <t xml:space="preserve">CK1_B3_P2_09</t>
  </si>
  <si>
    <t xml:space="preserve">GGGTAAGGAACCACGTAAAAAATACTTCCACTCAACTTTAACCCG</t>
  </si>
  <si>
    <t xml:space="preserve">AAACATATGCCCCAGAGCTTCTAGG</t>
  </si>
  <si>
    <t xml:space="preserve">GGGTAAGGAACCACGTAAAAAATAC</t>
  </si>
  <si>
    <t xml:space="preserve">S135-10</t>
  </si>
  <si>
    <t xml:space="preserve">CK1_B3_P1_10</t>
  </si>
  <si>
    <t xml:space="preserve">GTCCCTGCCTCTATATCTTTCGTTTGGTATCACCGATTTTTTGGT</t>
  </si>
  <si>
    <t xml:space="preserve">CK1_B3_P2_10</t>
  </si>
  <si>
    <t xml:space="preserve">TCGCATAACACCTCGATTGGAGTCGTTCCACTCAACTTTAACCCG</t>
  </si>
  <si>
    <t xml:space="preserve">CGTTTGGTATCACCGATTTTTTGGT</t>
  </si>
  <si>
    <t xml:space="preserve">TCGCATAACACCTCGATTGGAGTCG</t>
  </si>
  <si>
    <t xml:space="preserve">S136-01</t>
  </si>
  <si>
    <t xml:space="preserve">cut_B3_P1_01</t>
  </si>
  <si>
    <t xml:space="preserve">GTCCCTGCCTCTATATCTTTTAGGCGGGAGGACCGCTTTCATCGA</t>
  </si>
  <si>
    <t xml:space="preserve">cut_B3_P2_01</t>
  </si>
  <si>
    <t xml:space="preserve">TAAAGAGATCGAATTGTTGCTGCGTTTCCACTCAACTTTAACCCG</t>
  </si>
  <si>
    <t xml:space="preserve">B3_P1(cut)_1</t>
  </si>
  <si>
    <t xml:space="preserve">B3_P2(cut)_1</t>
  </si>
  <si>
    <t xml:space="preserve">TAGGCGGGAGGACCGCTTTCATCGA</t>
  </si>
  <si>
    <t xml:space="preserve">TAAAGAGATCGAATTGTTGCTGCGT</t>
  </si>
  <si>
    <t xml:space="preserve">S136-02</t>
  </si>
  <si>
    <t xml:space="preserve">cut_B3_P1_02</t>
  </si>
  <si>
    <t xml:space="preserve">GTCCCTGCCTCTATATCTTTAAAGCTTCCTTGACCCTCTTAACGA</t>
  </si>
  <si>
    <t xml:space="preserve">cut_B3_P2_02</t>
  </si>
  <si>
    <t xml:space="preserve">AATCTTTGGCTGATCGAGTACTGGCTTCCACTCAACTTTAACCCG</t>
  </si>
  <si>
    <t xml:space="preserve">B3_P1(cut)_2</t>
  </si>
  <si>
    <t xml:space="preserve">B3_P2(cut)_2</t>
  </si>
  <si>
    <t xml:space="preserve">AAAGCTTCCTTGACCCTCTTAACGA</t>
  </si>
  <si>
    <t xml:space="preserve">AATCTTTGGCTGATCGAGTACTGGC</t>
  </si>
  <si>
    <t xml:space="preserve">S136-03</t>
  </si>
  <si>
    <t xml:space="preserve">cut_B3_P1_03</t>
  </si>
  <si>
    <t xml:space="preserve">GTCCCTGCCTCTATATCTTTATCGCTCACGGAACCTTGTGACAGT</t>
  </si>
  <si>
    <t xml:space="preserve">cut_B3_P2_03</t>
  </si>
  <si>
    <t xml:space="preserve">GTGCCACGGTTTCGGTCGGGCGAGCTTCCACTCAACTTTAACCCG</t>
  </si>
  <si>
    <t xml:space="preserve">B3_P1(cut)_3</t>
  </si>
  <si>
    <t xml:space="preserve">B3_P2(cut)_3</t>
  </si>
  <si>
    <t xml:space="preserve">ATCGCTCACGGAACCTTGTGACAGT</t>
  </si>
  <si>
    <t xml:space="preserve">GTGCCACGGTTTCGGTCGGGCGAGC</t>
  </si>
  <si>
    <t xml:space="preserve">S136-04</t>
  </si>
  <si>
    <t xml:space="preserve">cut_B3_P1_04</t>
  </si>
  <si>
    <t xml:space="preserve">GTCCCTGCCTCTATATCTTTACATTTTCATTCTGATGAAGGGTTC</t>
  </si>
  <si>
    <t xml:space="preserve">cut_B3_P2_04</t>
  </si>
  <si>
    <t xml:space="preserve">TGTGAACAGCGTTGTCGTCCTCCAATTCCACTCAACTTTAACCCG</t>
  </si>
  <si>
    <t xml:space="preserve">B3_P1(cut)_4</t>
  </si>
  <si>
    <t xml:space="preserve">B3_P2(cut)_4</t>
  </si>
  <si>
    <t xml:space="preserve">ACATTTTCATTCTGATGAAGGGTTC</t>
  </si>
  <si>
    <t xml:space="preserve">TGTGAACAGCGTTGTCGTCCTCCAA</t>
  </si>
  <si>
    <t xml:space="preserve">S136-05</t>
  </si>
  <si>
    <t xml:space="preserve">cut_B3_P1_05</t>
  </si>
  <si>
    <t xml:space="preserve">GTCCCTGCCTCTATATCTTTCTCATAAGTTTTTCAGGGGCGATTT</t>
  </si>
  <si>
    <t xml:space="preserve">cut_B3_P2_05</t>
  </si>
  <si>
    <t xml:space="preserve">TGAGGTACTCCGCTGTAGTTTCCAGTTCCACTCAACTTTAACCCG</t>
  </si>
  <si>
    <t xml:space="preserve">B3_P1(cut)_5</t>
  </si>
  <si>
    <t xml:space="preserve">B3_P2(cut)_5</t>
  </si>
  <si>
    <t xml:space="preserve">CTCATAAGTTTTTCAGGGGCGATTT</t>
  </si>
  <si>
    <t xml:space="preserve">TGAGGTACTCCGCTGTAGTTTCCAG</t>
  </si>
  <si>
    <t xml:space="preserve">S136-06</t>
  </si>
  <si>
    <t xml:space="preserve">cut_B3_P1_06</t>
  </si>
  <si>
    <t xml:space="preserve">GTCCCTGCCTCTATATCTTTCATTTTTTGAGTCGGTGGTATGGGC</t>
  </si>
  <si>
    <t xml:space="preserve">cut_B3_P2_06</t>
  </si>
  <si>
    <t xml:space="preserve">GCTCAGCAATGATGTCGCATCTGAGTTCCACTCAACTTTAACCCG</t>
  </si>
  <si>
    <t xml:space="preserve">B3_P1(cut)_6</t>
  </si>
  <si>
    <t xml:space="preserve">B3_P2(cut)_6</t>
  </si>
  <si>
    <t xml:space="preserve">CATTTTTTGAGTCGGTGGTATGGGC</t>
  </si>
  <si>
    <t xml:space="preserve">GCTCAGCAATGATGTCGCATCTGAG</t>
  </si>
  <si>
    <t xml:space="preserve">S136-07</t>
  </si>
  <si>
    <t xml:space="preserve">cut_B3_P1_07</t>
  </si>
  <si>
    <t xml:space="preserve">GTCCCTGCCTCTATATCTTTGGTGGCCGAGGTGGCCGGGCCCGAG</t>
  </si>
  <si>
    <t xml:space="preserve">cut_B3_P2_07</t>
  </si>
  <si>
    <t xml:space="preserve">TGAGCAGCAGTGGCGTGGGGGGCCCTTCCACTCAACTTTAACCCG</t>
  </si>
  <si>
    <t xml:space="preserve">B3_P1(cut)_7</t>
  </si>
  <si>
    <t xml:space="preserve">B3_P2(cut)_7</t>
  </si>
  <si>
    <t xml:space="preserve">GGTGGCCGAGGTGGCCGGGCCCGAG</t>
  </si>
  <si>
    <t xml:space="preserve">TGAGCAGCAGTGGCGTGGGGGGCCC</t>
  </si>
  <si>
    <t xml:space="preserve">S136-08</t>
  </si>
  <si>
    <t xml:space="preserve">cut_B3_P1_08</t>
  </si>
  <si>
    <t xml:space="preserve">GTCCCTGCCTCTATATCTTTTGCGGGGGCAGCGTGACGGCGTGGT</t>
  </si>
  <si>
    <t xml:space="preserve">cut_B3_P2_08</t>
  </si>
  <si>
    <t xml:space="preserve">CGCTCTTTGTTGTTGTTGTCGTGGATTCCACTCAACTTTAACCCG</t>
  </si>
  <si>
    <t xml:space="preserve">B3_P1(cut)_8</t>
  </si>
  <si>
    <t xml:space="preserve">B3_P2(cut)_8</t>
  </si>
  <si>
    <t xml:space="preserve">TGCGGGGGCAGCGTGACGGCGTGGT</t>
  </si>
  <si>
    <t xml:space="preserve">CGCTCTTTGTTGTTGTTGTCGTGGA</t>
  </si>
  <si>
    <t xml:space="preserve">S137-01</t>
  </si>
  <si>
    <t xml:space="preserve">dac_B3_P1_01</t>
  </si>
  <si>
    <t xml:space="preserve">GTCCCTGCCTCTATATCTTTCCTCGCTGGCGGTCGACGCTGAGTC</t>
  </si>
  <si>
    <t xml:space="preserve">dac_B3_P2_01</t>
  </si>
  <si>
    <t xml:space="preserve">GCGGCGAGCCCCCGGACGAGCCGCTTTCCACTCAACTTTAACCCG</t>
  </si>
  <si>
    <t xml:space="preserve">Dac1_HCR_P1B3</t>
  </si>
  <si>
    <t xml:space="preserve">Dac1_HCR_P2B3</t>
  </si>
  <si>
    <t xml:space="preserve">CCTCGCTGGCGGTCGACGCTGAGTC</t>
  </si>
  <si>
    <t xml:space="preserve">GCGGCGAGCCCCCGGACGAGCCGCT</t>
  </si>
  <si>
    <t xml:space="preserve">S137-02</t>
  </si>
  <si>
    <t xml:space="preserve">dac_B3_P1_02</t>
  </si>
  <si>
    <t xml:space="preserve">GTCCCTGCCTCTATATCTTTGCAGGCCCAGGCCCGGCGGCGGCAG</t>
  </si>
  <si>
    <t xml:space="preserve">dac_B3_P2_02</t>
  </si>
  <si>
    <t xml:space="preserve">AGTGGTGCATCATCTGCAGCGAGCCTTCCACTCAACTTTAACCCG</t>
  </si>
  <si>
    <t xml:space="preserve">Dac2_HCR_P1B3</t>
  </si>
  <si>
    <t xml:space="preserve">Dac2_HCR_P2B3</t>
  </si>
  <si>
    <t xml:space="preserve">GCAGGCCCAGGCCCGGCGGCGGCAG</t>
  </si>
  <si>
    <t xml:space="preserve">AGTGGTGCATCATCTGCAGCGAGCC</t>
  </si>
  <si>
    <t xml:space="preserve">S137-03</t>
  </si>
  <si>
    <t xml:space="preserve">dac_B3_P1_03</t>
  </si>
  <si>
    <t xml:space="preserve">GTCCCTGCCTCTATATCTTTTGCGGGTGGTGGTGCGCCGCCGCCA</t>
  </si>
  <si>
    <t xml:space="preserve">dac_B3_P2_03</t>
  </si>
  <si>
    <t xml:space="preserve">GAGATGGGCGGCGGGCTCCCGTAGCTTCCACTCAACTTTAACCCG</t>
  </si>
  <si>
    <t xml:space="preserve">Dac3_HCR_P1B3</t>
  </si>
  <si>
    <t xml:space="preserve">Dac3_HCR_P2B3</t>
  </si>
  <si>
    <t xml:space="preserve">TGCGGGTGGTGGTGCGCCGCCGCCA</t>
  </si>
  <si>
    <t xml:space="preserve">GAGATGGGCGGCGGGCTCCCGTAGC</t>
  </si>
  <si>
    <t xml:space="preserve">S137-04</t>
  </si>
  <si>
    <t xml:space="preserve">dac_B3_P1_04</t>
  </si>
  <si>
    <t xml:space="preserve">GTCCCTGCCTCTATATCTTTGGCCTGCGGCAGGCACAGCATCGTG</t>
  </si>
  <si>
    <t xml:space="preserve">dac_B3_P2_04</t>
  </si>
  <si>
    <t xml:space="preserve">CACCAGGTGCTTCAGGAACAGCTCGTTCCACTCAACTTTAACCCG</t>
  </si>
  <si>
    <t xml:space="preserve">Dac4_HCR_P1B3</t>
  </si>
  <si>
    <t xml:space="preserve">Dac4_HCR_P2B3</t>
  </si>
  <si>
    <t xml:space="preserve">GGCCTGCGGCAGGCACAGCATCGTG</t>
  </si>
  <si>
    <t xml:space="preserve">CACCAGGTGCTTCAGGAACAGCTCG</t>
  </si>
  <si>
    <t xml:space="preserve">S137-05</t>
  </si>
  <si>
    <t xml:space="preserve">dac_B3_P1_05</t>
  </si>
  <si>
    <t xml:space="preserve">GTCCCTGCCTCTATATCTTTCTGGATGGCGCCCAGCCCGCGCAGG</t>
  </si>
  <si>
    <t xml:space="preserve">dac_B3_P2_05</t>
  </si>
  <si>
    <t xml:space="preserve">GAGCAGCTTGCAGCGGTTGACGCCCTTCCACTCAACTTTAACCCG</t>
  </si>
  <si>
    <t xml:space="preserve">Dac5_HCR_P1B3</t>
  </si>
  <si>
    <t xml:space="preserve">Dac5_HCR_P2B3</t>
  </si>
  <si>
    <t xml:space="preserve">CTGGATGGCGCCCAGCCCGCGCAGG</t>
  </si>
  <si>
    <t xml:space="preserve">GAGCAGCTTGCAGCGGTTGACGCCC</t>
  </si>
  <si>
    <t xml:space="preserve">S137-06</t>
  </si>
  <si>
    <t xml:space="preserve">dac_B3_P1_06</t>
  </si>
  <si>
    <t xml:space="preserve">GTCCCTGCCTCTATATCTTTAGCACGCTTCGGAGGTCGACCCGGT</t>
  </si>
  <si>
    <t xml:space="preserve">dac_B3_P2_06</t>
  </si>
  <si>
    <t xml:space="preserve">GGCGGCAAGCGAAAGACCAACTCCATTCCACTCAACTTTAACCCG</t>
  </si>
  <si>
    <t xml:space="preserve">Dac6_HCR_P1B3</t>
  </si>
  <si>
    <t xml:space="preserve">Dac6_HCR_P2B3</t>
  </si>
  <si>
    <t xml:space="preserve">AGCACGCTTCGGAGGTCGACCCGGT</t>
  </si>
  <si>
    <t xml:space="preserve">GGCGGCAAGCGAAAGACCAACTCCA</t>
  </si>
  <si>
    <t xml:space="preserve">S138-01</t>
  </si>
  <si>
    <t xml:space="preserve">dragonaut-blaze_B3_P1_01</t>
  </si>
  <si>
    <t xml:space="preserve">GTCCCTGCCTCTATATCTTTAAGGTCTCGTATTGCTGTCTCTTTC</t>
  </si>
  <si>
    <t xml:space="preserve">dragonaut-blaze_B3_P2_01</t>
  </si>
  <si>
    <t xml:space="preserve">TCGTGGATCGTCGTAATCGGCACCCTTCCACTCAACTTTAACCCG</t>
  </si>
  <si>
    <t xml:space="preserve">B3_P1(blaze)_1</t>
  </si>
  <si>
    <t xml:space="preserve">B3_P2(blaze)_1</t>
  </si>
  <si>
    <t xml:space="preserve">S138-02</t>
  </si>
  <si>
    <t xml:space="preserve">dragonaut-blaze_B3_P1_02</t>
  </si>
  <si>
    <t xml:space="preserve">GTCCCTGCCTCTATATCTTTTAATCTTCACAAGACCGTAGCTCTG</t>
  </si>
  <si>
    <t xml:space="preserve">dragonaut-blaze_B3_P2_02</t>
  </si>
  <si>
    <t xml:space="preserve">GTTGAGAAGCAGCTAACGGAATAATTTCCACTCAACTTTAACCCG</t>
  </si>
  <si>
    <t xml:space="preserve">B3_P1(blaze)_2</t>
  </si>
  <si>
    <t xml:space="preserve">B3_P2(blaze)_2</t>
  </si>
  <si>
    <t xml:space="preserve">S138-03</t>
  </si>
  <si>
    <t xml:space="preserve">dragonaut-blaze_B3_P1_03</t>
  </si>
  <si>
    <t xml:space="preserve">GTCCCTGCCTCTATATCTTTGCTGTTAAAACGTTCGCATCTTGTT</t>
  </si>
  <si>
    <t xml:space="preserve">dragonaut-blaze_B3_P2_03</t>
  </si>
  <si>
    <t xml:space="preserve">GGTCGTGGAGCAGTTCTAGCATTGTTTCCACTCAACTTTAACCCG</t>
  </si>
  <si>
    <t xml:space="preserve">B3_P1(blaze)_3</t>
  </si>
  <si>
    <t xml:space="preserve">B3_P2(blaze)_3</t>
  </si>
  <si>
    <t xml:space="preserve">S138-04</t>
  </si>
  <si>
    <t xml:space="preserve">dragonaut-blaze_B3_P1_04</t>
  </si>
  <si>
    <t xml:space="preserve">GTCCCTGCCTCTATATCTTTTGAATACGGTGTTGGTCGTGCTCTG</t>
  </si>
  <si>
    <t xml:space="preserve">dragonaut-blaze_B3_P2_04</t>
  </si>
  <si>
    <t xml:space="preserve">TCTTTCAATTGGAACAGCTGCTGGTTTCCACTCAACTTTAACCCG</t>
  </si>
  <si>
    <t xml:space="preserve">B3_P1(blaze)_4</t>
  </si>
  <si>
    <t xml:space="preserve">B3_P2(blaze)_4</t>
  </si>
  <si>
    <t xml:space="preserve">S138-05</t>
  </si>
  <si>
    <t xml:space="preserve">dragonaut-blaze_B3_P1_05</t>
  </si>
  <si>
    <t xml:space="preserve">GTCCCTGCCTCTATATCTTTAGTTACGAGGGGTTTCTTCTTCACT</t>
  </si>
  <si>
    <t xml:space="preserve">dragonaut-blaze_B3_P2_05</t>
  </si>
  <si>
    <t xml:space="preserve">ATGATGGTGGAGGCGACGGTGGGAGTTCCACTCAACTTTAACCCG</t>
  </si>
  <si>
    <t xml:space="preserve">B3_P1(blaze)_5</t>
  </si>
  <si>
    <t xml:space="preserve">B3_P2(blaze)_5</t>
  </si>
  <si>
    <t xml:space="preserve">S138-06</t>
  </si>
  <si>
    <t xml:space="preserve">dragonaut-blaze_B3_P1_06</t>
  </si>
  <si>
    <t xml:space="preserve">GTCCCTGCCTCTATATCTTTGGCTGGAGTTCATATGGCGCCGGAG</t>
  </si>
  <si>
    <t xml:space="preserve">dragonaut-blaze_B3_P2_06</t>
  </si>
  <si>
    <t xml:space="preserve">AATATGTCTCGCAAGCGTGTCTCCATTCCACTCAACTTTAACCCG</t>
  </si>
  <si>
    <t xml:space="preserve">B3_P1(blaze)_6</t>
  </si>
  <si>
    <t xml:space="preserve">B3_P2(blaze)_6</t>
  </si>
  <si>
    <t xml:space="preserve">S139-01</t>
  </si>
  <si>
    <t xml:space="preserve">ems_B3_P1_01</t>
  </si>
  <si>
    <t xml:space="preserve">GTCCCTGCCTCTATATCTTTCAGGCGTCGGTGCGAGAGGCATCAT</t>
  </si>
  <si>
    <t xml:space="preserve">ems_B3_P2_01</t>
  </si>
  <si>
    <t xml:space="preserve">TCTTCGGCTTCGAAGGCACCGCCAATTCCACTCAACTTTAACCCG</t>
  </si>
  <si>
    <t xml:space="preserve">CAGGCGTCGGTGCGAGAGGCATCAT</t>
  </si>
  <si>
    <t xml:space="preserve">TCTTCGGCTTCGAAGGCACCGCCAA</t>
  </si>
  <si>
    <t xml:space="preserve">S139-02</t>
  </si>
  <si>
    <t xml:space="preserve">ems_B3_P1_02</t>
  </si>
  <si>
    <t xml:space="preserve">GTCCCTGCCTCTATATCTTTCGTATGCTTCGGCCTCTCCGAACCA</t>
  </si>
  <si>
    <t xml:space="preserve">ems_B3_P2_02</t>
  </si>
  <si>
    <t xml:space="preserve">AGACCCGGGACTCGCCAACGGAGGATTCCACTCAACTTTAACCCG</t>
  </si>
  <si>
    <t xml:space="preserve">CGTATGCTTCGGCCTCTCCGAACCA</t>
  </si>
  <si>
    <t xml:space="preserve">AGACCCGGGACTCGCCAACGGAGGA</t>
  </si>
  <si>
    <t xml:space="preserve">S139-03</t>
  </si>
  <si>
    <t xml:space="preserve">ems_B3_P1_03</t>
  </si>
  <si>
    <t xml:space="preserve">GTCCCTGCCTCTATATCTTTGGTCGTAGCAAAGGCCTCGGCGAAG</t>
  </si>
  <si>
    <t xml:space="preserve">ems_B3_P2_03</t>
  </si>
  <si>
    <t xml:space="preserve">CTCGGGAACACCGCTGGTAGAGCGCTTCCACTCAACTTTAACCCG</t>
  </si>
  <si>
    <t xml:space="preserve">GGTCGTAGCAAAGGCCTCGGCGAAG</t>
  </si>
  <si>
    <t xml:space="preserve">CTCGGGAACACCGCTGGTAGAGCGC</t>
  </si>
  <si>
    <t xml:space="preserve">S139-04</t>
  </si>
  <si>
    <t xml:space="preserve">ems_B3_P1_04</t>
  </si>
  <si>
    <t xml:space="preserve">GTCCCTGCCTCTATATCTTTACTGGTGGTGATGGCTCTGAGCATC</t>
  </si>
  <si>
    <t xml:space="preserve">ems_B3_P2_04</t>
  </si>
  <si>
    <t xml:space="preserve">AAGCAGCACCTTGGAAATGCGCCAATTCCACTCAACTTTAACCCG</t>
  </si>
  <si>
    <t xml:space="preserve">ACTGGTGGTGATGGCTCTGAGCATC</t>
  </si>
  <si>
    <t xml:space="preserve">AAGCAGCACCTTGGAAATGCGCCAA</t>
  </si>
  <si>
    <t xml:space="preserve">S139-05</t>
  </si>
  <si>
    <t xml:space="preserve">ems_B3_P1_05</t>
  </si>
  <si>
    <t xml:space="preserve">GTCCCTGCCTCTATATCTTTGGGTGGTAGCGGACCCCCAAAGCCT</t>
  </si>
  <si>
    <t xml:space="preserve">ems_B3_P2_05</t>
  </si>
  <si>
    <t xml:space="preserve">CGGCGCAGCGGGGTGCGGCGGCGGGTTCCACTCAACTTTAACCCG</t>
  </si>
  <si>
    <t xml:space="preserve">GGGTGGTAGCGGACCCCCAAAGCCT</t>
  </si>
  <si>
    <t xml:space="preserve">CGGCGCAGCGGGGTGCGGCGGCGGG</t>
  </si>
  <si>
    <t xml:space="preserve">S139-06</t>
  </si>
  <si>
    <t xml:space="preserve">ems_B3_P1_06</t>
  </si>
  <si>
    <t xml:space="preserve">GTCCCTGCCTCTATATCTTTCTCCCATGCCTGTTGATGAGCCACG</t>
  </si>
  <si>
    <t xml:space="preserve">ems_B3_P2_06</t>
  </si>
  <si>
    <t xml:space="preserve">CCCCCAGGAAACCTGTGAGGGAAAATTCCACTCAACTTTAACCCG</t>
  </si>
  <si>
    <t xml:space="preserve">CTCCCATGCCTGTTGATGAGCCACG</t>
  </si>
  <si>
    <t xml:space="preserve">CCCCCAGGAAACCTGTGAGGGAAAA</t>
  </si>
  <si>
    <t xml:space="preserve">S139-07</t>
  </si>
  <si>
    <t xml:space="preserve">ems_B3_P1_07</t>
  </si>
  <si>
    <t xml:space="preserve">GTCCCTGCCTCTATATCTTTGGATCCTCTTCGGCTTCCTGAAGGG</t>
  </si>
  <si>
    <t xml:space="preserve">ems_B3_P2_07</t>
  </si>
  <si>
    <t xml:space="preserve">GGAGTTGCGAGGGGGAGAAGGCGGTTTCCACTCAACTTTAACCCG</t>
  </si>
  <si>
    <t xml:space="preserve">GGATCCTCTTCGGCTTCCTGAAGGG</t>
  </si>
  <si>
    <t xml:space="preserve">GGAGTTGCGAGGGGGAGAAGGCGGT</t>
  </si>
  <si>
    <t xml:space="preserve">S139-08</t>
  </si>
  <si>
    <t xml:space="preserve">ems_B3_P1_08</t>
  </si>
  <si>
    <t xml:space="preserve">GTCCCTGCCTCTATATCTTTCCTCTCCGCCCCCACCACGTAATGG</t>
  </si>
  <si>
    <t xml:space="preserve">ems_B3_P2_08</t>
  </si>
  <si>
    <t xml:space="preserve">CAAGCTCAACACTTGAGCCAGTTGTTTCCACTCAACTTTAACCCG</t>
  </si>
  <si>
    <t xml:space="preserve">CCTCTCCGCCCCCACCACGTAATGG</t>
  </si>
  <si>
    <t xml:space="preserve">CAAGCTCAACACTTGAGCCAGTTGT</t>
  </si>
  <si>
    <t xml:space="preserve">S139-09</t>
  </si>
  <si>
    <t xml:space="preserve">ems_B3_P1_09</t>
  </si>
  <si>
    <t xml:space="preserve">GTCCCTGCCTCTATATCTTTGCTGCATTCTTTTGTGTTTCGTTCT</t>
  </si>
  <si>
    <t xml:space="preserve">ems_B3_P2_09</t>
  </si>
  <si>
    <t xml:space="preserve">TGGTTCCAGTTTTCGCTTCTTCTTCTTCCACTCAACTTTAACCCG</t>
  </si>
  <si>
    <t xml:space="preserve">GCTGCATTCTTTTGTGTTTCGTTCT</t>
  </si>
  <si>
    <t xml:space="preserve">TGGTTCCAGTTTTCGCTTCTTCTTC</t>
  </si>
  <si>
    <t xml:space="preserve">S140-01</t>
  </si>
  <si>
    <t xml:space="preserve">en_B3_P1_01</t>
  </si>
  <si>
    <t xml:space="preserve">GTCCCTGCCTCTATATCTTTTGGCCTGGTTCGGACTGCAACGGTC</t>
  </si>
  <si>
    <t xml:space="preserve">en_B3_P2_01</t>
  </si>
  <si>
    <t xml:space="preserve">CTCTGCCGGTGACCGGACCGGGGCTTTCCACTCAACTTTAACCCG</t>
  </si>
  <si>
    <t xml:space="preserve">En1_HCR_P1B3</t>
  </si>
  <si>
    <t xml:space="preserve">En1_HCR_P2B3</t>
  </si>
  <si>
    <t xml:space="preserve">S140-02</t>
  </si>
  <si>
    <t xml:space="preserve">en_B3_P1_02</t>
  </si>
  <si>
    <t xml:space="preserve">GTCCCTGCCTCTATATCTTTTTTGGTACNCGTTTCTTACTTCGGA</t>
  </si>
  <si>
    <t xml:space="preserve">en_B3_P2_02</t>
  </si>
  <si>
    <t xml:space="preserve">GATCGATAGTCGTGCAAGTGTATTGTTCCACTCAACTTTAACCCG</t>
  </si>
  <si>
    <t xml:space="preserve">En2_HCR_P1B3</t>
  </si>
  <si>
    <t xml:space="preserve">En2_HCR_P2B3</t>
  </si>
  <si>
    <t xml:space="preserve">S140-03</t>
  </si>
  <si>
    <t xml:space="preserve">en_B3_P1_03</t>
  </si>
  <si>
    <t xml:space="preserve">GTCCCTGCCTCTATATCTTTGCTGCACTTTCACCACTGTCATCGT</t>
  </si>
  <si>
    <t xml:space="preserve">en_B3_P2_03</t>
  </si>
  <si>
    <t xml:space="preserve">TCAGTGGACTCATCGGTGGTGAATTTTCCACTCAACTTTAACCCG</t>
  </si>
  <si>
    <t xml:space="preserve">En3_HCR_P1B3</t>
  </si>
  <si>
    <t xml:space="preserve">En3_HCR_P2B3</t>
  </si>
  <si>
    <t xml:space="preserve">S140-04</t>
  </si>
  <si>
    <t xml:space="preserve">en_B3_P1_04</t>
  </si>
  <si>
    <t xml:space="preserve">GTCCCTGCCTCTATATCTTTGTTTCTCTTGTCTTCAAACTCAGGG</t>
  </si>
  <si>
    <t xml:space="preserve">en_B3_P2_04</t>
  </si>
  <si>
    <t xml:space="preserve">GAAGGGTATGGTTGGTGGTGGTTGTTTCCACTCAACTTTAACCCG</t>
  </si>
  <si>
    <t xml:space="preserve">En4_HCR_P1B3</t>
  </si>
  <si>
    <t xml:space="preserve">En4_HCR_P2B3</t>
  </si>
  <si>
    <t xml:space="preserve">S140-05</t>
  </si>
  <si>
    <t xml:space="preserve">en_B3_P1_05</t>
  </si>
  <si>
    <t xml:space="preserve">GTCCCTGCCTCTATATCTTTCTGTCAAACCGAATTCTGGGTGTAA</t>
  </si>
  <si>
    <t xml:space="preserve">en_B3_P2_05</t>
  </si>
  <si>
    <t xml:space="preserve">CTTCGATTTTGTTCGTTTTTCGAATTTCCACTCAACTTTAACCCG</t>
  </si>
  <si>
    <t xml:space="preserve">En5_HCR_P1B3</t>
  </si>
  <si>
    <t xml:space="preserve">En5_HCR_P2B3</t>
  </si>
  <si>
    <t xml:space="preserve">S140-06</t>
  </si>
  <si>
    <t xml:space="preserve">en_B3_P1_06</t>
  </si>
  <si>
    <t xml:space="preserve">GTCCCTGCCTCTATATCTTTTGTACAAAATGCTGTGGTTGGGGCC</t>
  </si>
  <si>
    <t xml:space="preserve">en_B3_P2_06</t>
  </si>
  <si>
    <t xml:space="preserve">TCGATAACTCGTTCGACAAATAAGGTTCCACTCAACTTTAACCCG</t>
  </si>
  <si>
    <t xml:space="preserve">En6_HCR_P1B3</t>
  </si>
  <si>
    <t xml:space="preserve">En6_HCR_P2B3</t>
  </si>
  <si>
    <t xml:space="preserve">S140-07</t>
  </si>
  <si>
    <t xml:space="preserve">en_B3_P1_07</t>
  </si>
  <si>
    <t xml:space="preserve">GTCCCTGCCTCTATATCTTTATCATCCTTAGATTTTAAATAATCG</t>
  </si>
  <si>
    <t xml:space="preserve">en_B3_P2_07</t>
  </si>
  <si>
    <t xml:space="preserve">ACCGCCAAGTGGAGGTAATGCACCGTTCCACTCAACTTTAACCCG</t>
  </si>
  <si>
    <t xml:space="preserve">En7_HCR_P1B3</t>
  </si>
  <si>
    <t xml:space="preserve">En7_HCR_P2B3</t>
  </si>
  <si>
    <t xml:space="preserve">S141-01</t>
  </si>
  <si>
    <t xml:space="preserve">ets5_B3_P1_01</t>
  </si>
  <si>
    <t xml:space="preserve">GTCCCTGCCTCTATATCTTTACGGCAGGAAGGGAGGCTGCGACAT</t>
  </si>
  <si>
    <t xml:space="preserve">ets5_B3_P2_01</t>
  </si>
  <si>
    <t xml:space="preserve">CGTGCGGGGAAGGCGGGGGCAGCCCTTCCACTCAACTTTAACCCG</t>
  </si>
  <si>
    <t xml:space="preserve">ACGGCAGGAAGGGAGGCTGCGACAT</t>
  </si>
  <si>
    <t xml:space="preserve">CGTGCGGGGAAGGCGGGGGCAGCCC</t>
  </si>
  <si>
    <t xml:space="preserve">S141-02</t>
  </si>
  <si>
    <t xml:space="preserve">ets5_B3_P1_02</t>
  </si>
  <si>
    <t xml:space="preserve">GTCCCTGCCTCTATATCTTTGTGCAGGTGCTCGTACGAGTCGCGC</t>
  </si>
  <si>
    <t xml:space="preserve">ets5_B3_P2_02</t>
  </si>
  <si>
    <t xml:space="preserve">GTGCGAGTACAGCGCCGGGTGCTGCTTCCACTCAACTTTAACCCG</t>
  </si>
  <si>
    <t xml:space="preserve">GTGCAGGTGCTCGTACGAGTCGCGC</t>
  </si>
  <si>
    <t xml:space="preserve">GTGCGAGTACAGCGCCGGGTGCTGC</t>
  </si>
  <si>
    <t xml:space="preserve">S141-03</t>
  </si>
  <si>
    <t xml:space="preserve">ets5_B3_P1_03</t>
  </si>
  <si>
    <t xml:space="preserve">GTCCCTGCCTCTATATCTTTGTCTCCTCCGCCTCGCCCTTACATT</t>
  </si>
  <si>
    <t xml:space="preserve">ets5_B3_P2_03</t>
  </si>
  <si>
    <t xml:space="preserve">TGCAGGTAGTCTGTGTAGTCGACACTTCCACTCAACTTTAACCCG</t>
  </si>
  <si>
    <t xml:space="preserve">GTCTCCTCCGCCTCGCCCTTACATT</t>
  </si>
  <si>
    <t xml:space="preserve">TGCAGGTAGTCTGTGTAGTCGACAC</t>
  </si>
  <si>
    <t xml:space="preserve">S141-04</t>
  </si>
  <si>
    <t xml:space="preserve">ets5_B3_P1_04</t>
  </si>
  <si>
    <t xml:space="preserve">GTCCCTGCCTCTATATCTTTCGCGCGGCTCGCCGCAATCCGTCTC</t>
  </si>
  <si>
    <t xml:space="preserve">ets5_B3_P2_04</t>
  </si>
  <si>
    <t xml:space="preserve">CGTCGCGCGGCTCGACGCGCGTTTCTTCCACTCAACTTTAACCCG</t>
  </si>
  <si>
    <t xml:space="preserve">CGCGCGGCTCGCCGCAATCCGTCTC</t>
  </si>
  <si>
    <t xml:space="preserve">CGTCGCGCGGCTCGACGCGCGTTTC</t>
  </si>
  <si>
    <t xml:space="preserve">S141-05</t>
  </si>
  <si>
    <t xml:space="preserve">ets5_B3_P1_05</t>
  </si>
  <si>
    <t xml:space="preserve">GTCCCTGCCTCTATATCTTTCGAGCTGCTCACGAGTGCGTCGCCC</t>
  </si>
  <si>
    <t xml:space="preserve">ets5_B3_P2_05</t>
  </si>
  <si>
    <t xml:space="preserve">CGCGCGCGCGCGCGACTCGCCGCAGTTCCACTCAACTTTAACCCG</t>
  </si>
  <si>
    <t xml:space="preserve">CGAGCTGCTCACGAGTGCGTCGCCC</t>
  </si>
  <si>
    <t xml:space="preserve">CGCGCGCGCGCGCGACTCGCCGCAG</t>
  </si>
  <si>
    <t xml:space="preserve">S141-06</t>
  </si>
  <si>
    <t xml:space="preserve">ets5_B3_P1_06</t>
  </si>
  <si>
    <t xml:space="preserve">GTCCCTGCCTCTATATCTTTCCGCGACGCCCGCCGCTGCCGTGTG</t>
  </si>
  <si>
    <t xml:space="preserve">ets5_B3_P2_06</t>
  </si>
  <si>
    <t xml:space="preserve">ACCAGGAACTGCCACAACTGCAGCGTTCCACTCAACTTTAACCCG</t>
  </si>
  <si>
    <t xml:space="preserve">CCGCGACGCCCGCCGCTGCCGTGTG</t>
  </si>
  <si>
    <t xml:space="preserve">ACCAGGAACTGCCACAACTGCAGCG</t>
  </si>
  <si>
    <t xml:space="preserve">S141-07</t>
  </si>
  <si>
    <t xml:space="preserve">ets5_B3_P1_07</t>
  </si>
  <si>
    <t xml:space="preserve">GTCCCTGCCTCTATATCTTTCCAGTCCCCGGCCGGTCCACGCCAC</t>
  </si>
  <si>
    <t xml:space="preserve">ets5_B3_P2_07</t>
  </si>
  <si>
    <t xml:space="preserve">CCTCCTCTGGCTCGTGCAGTTTGAATTCCACTCAACTTTAACCCG</t>
  </si>
  <si>
    <t xml:space="preserve">CCAGTCCCCGGCCGGTCCACGCCAC</t>
  </si>
  <si>
    <t xml:space="preserve">CCTCCTCTGGCTCGTGCAGTTTGAA</t>
  </si>
  <si>
    <t xml:space="preserve">S141-08</t>
  </si>
  <si>
    <t xml:space="preserve">ets5_B3_P1_08</t>
  </si>
  <si>
    <t xml:space="preserve">GTCCCTGCCTCTATATCTTTCTTGTCGTAGTTCATGGCGGGACGG</t>
  </si>
  <si>
    <t xml:space="preserve">ets5_B3_P2_08</t>
  </si>
  <si>
    <t xml:space="preserve">GTAGTAGTAGCGCAGCGAGCGGGACTTCCACTCAACTTTAACCCG</t>
  </si>
  <si>
    <t xml:space="preserve">CTTGTCGTAGTTCATGGCGGGACGG</t>
  </si>
  <si>
    <t xml:space="preserve">GTAGTAGTAGCGCAGCGAGCGGGAC</t>
  </si>
  <si>
    <t xml:space="preserve">S141-09</t>
  </si>
  <si>
    <t xml:space="preserve">ets5_B3_P1_09</t>
  </si>
  <si>
    <t xml:space="preserve">GTCCCTGCCTCTATATCTTTACGAACTTGTACACGTAGCGCTCGC</t>
  </si>
  <si>
    <t xml:space="preserve">ets5_B3_P2_09</t>
  </si>
  <si>
    <t xml:space="preserve">ATGCTGAACAGCGCCTCGGGGTCGCTTCCACTCAACTTTAACCCG</t>
  </si>
  <si>
    <t xml:space="preserve">ACGAACTTGTACACGTAGCGCTCGC</t>
  </si>
  <si>
    <t xml:space="preserve">ATGCTGAACAGCGCCTCGGGGTCGC</t>
  </si>
  <si>
    <t xml:space="preserve">S141-10</t>
  </si>
  <si>
    <t xml:space="preserve">ets5_B3_P1_10</t>
  </si>
  <si>
    <t xml:space="preserve">GTCCCTGCCTCTATATCTTTAGGGCGCGTATAGCGACAGCACGTC</t>
  </si>
  <si>
    <t xml:space="preserve">ets5_B3_P2_10</t>
  </si>
  <si>
    <t xml:space="preserve">GCGCGGGGGGCGCGGGGGCCGCGGGTTCCACTCAACTTTAACCCG</t>
  </si>
  <si>
    <t xml:space="preserve">AGGGCGCGTATAGCGACAGCACGTC</t>
  </si>
  <si>
    <t xml:space="preserve">GCGCGGGGGGCGCGGGGGCCGCGGG</t>
  </si>
  <si>
    <t xml:space="preserve">S142-01</t>
  </si>
  <si>
    <t xml:space="preserve">fz9_B3_P1_01</t>
  </si>
  <si>
    <t xml:space="preserve">GTCCCTGCCTCTATATCTTTCTGGTCTCTATGTCCAATGAGATTG</t>
  </si>
  <si>
    <t xml:space="preserve">fz9_B3_P2_01</t>
  </si>
  <si>
    <t xml:space="preserve">CGCAGTCATCGCTTCTTCTGCCTCCTTCCACTCAACTTTAACCCG</t>
  </si>
  <si>
    <t xml:space="preserve">Ftz91_HCR_P1B3</t>
  </si>
  <si>
    <t xml:space="preserve">Ftz91_HCR_P2B3</t>
  </si>
  <si>
    <t xml:space="preserve">CTGGTCTCTATGTCCAATGAGATTG</t>
  </si>
  <si>
    <t xml:space="preserve">CGCAGTCATCGCTTCTTCTGCCTCC</t>
  </si>
  <si>
    <t xml:space="preserve">S142-02</t>
  </si>
  <si>
    <t xml:space="preserve">fz9_B3_P1_02</t>
  </si>
  <si>
    <t xml:space="preserve">GTCCCTGCCTCTATATCTTTAGGCGCTGACGGAGCCCGACACCTG</t>
  </si>
  <si>
    <t xml:space="preserve">fz9_B3_P2_02</t>
  </si>
  <si>
    <t xml:space="preserve">GGACGACCTTGTCGCAGAGCGCGCGTTCCACTCAACTTTAACCCG</t>
  </si>
  <si>
    <t xml:space="preserve">Ftz92_HCR_P1B3</t>
  </si>
  <si>
    <t xml:space="preserve">Ftz92_HCR_P2B3</t>
  </si>
  <si>
    <t xml:space="preserve">AGGCGCTGACGGAGCCCGACACCTG</t>
  </si>
  <si>
    <t xml:space="preserve">GGACGACCTTGTCGCAGAGCGCGCG</t>
  </si>
  <si>
    <t xml:space="preserve">S142-03</t>
  </si>
  <si>
    <t xml:space="preserve">fz9_B3_P1_03</t>
  </si>
  <si>
    <t xml:space="preserve">GTCCCTGCCTCTATATCTTTGGCGTTGGGCGGCCGCATGCAGAGC</t>
  </si>
  <si>
    <t xml:space="preserve">fz9_B3_P2_03</t>
  </si>
  <si>
    <t xml:space="preserve">CACCGGCGGCGGCTCGGGCTCCTCGTTCCACTCAACTTTAACCCG</t>
  </si>
  <si>
    <t xml:space="preserve">Ftz93_HCR_P1B3</t>
  </si>
  <si>
    <t xml:space="preserve">Ftz93_HCR_P2B3</t>
  </si>
  <si>
    <t xml:space="preserve">GGCGTTGGGCGGCCGCATGCAGAGC</t>
  </si>
  <si>
    <t xml:space="preserve">CACCGGCGGCGGCTCGGGCTCCTCG</t>
  </si>
  <si>
    <t xml:space="preserve">S142-04</t>
  </si>
  <si>
    <t xml:space="preserve">fz9_B3_P1_04</t>
  </si>
  <si>
    <t xml:space="preserve">GTCCCTGCCTCTATATCTTTGCGCGGGCTTGTCGCAGGCGGGCCA</t>
  </si>
  <si>
    <t xml:space="preserve">fz9_B3_P2_04</t>
  </si>
  <si>
    <t xml:space="preserve">CTTTTCTCTTGTTAGCTTGCGTGTATTCCACTCAACTTTAACCCG</t>
  </si>
  <si>
    <t xml:space="preserve">Ftz94_HCR_P1B3</t>
  </si>
  <si>
    <t xml:space="preserve">Ftz94_HCR_P2B3</t>
  </si>
  <si>
    <t xml:space="preserve">GCGCGGGCTTGTCGCAGGCGGGCCA</t>
  </si>
  <si>
    <t xml:space="preserve">CTTTTCTCTTGTTAGCTTGCGTGTA</t>
  </si>
  <si>
    <t xml:space="preserve">S142-05</t>
  </si>
  <si>
    <t xml:space="preserve">fz9_B3_P1_05</t>
  </si>
  <si>
    <t xml:space="preserve">GTCCCTGCCTCTATATCTTTACGGGCCTCTCGGGGTAGCGGTATC</t>
  </si>
  <si>
    <t xml:space="preserve">fz9_B3_P2_05</t>
  </si>
  <si>
    <t xml:space="preserve">ACAGCGTGGCACGCGGCCATCCAGATTCCACTCAACTTTAACCCG</t>
  </si>
  <si>
    <t xml:space="preserve">Ftz95_HCR_P1B3</t>
  </si>
  <si>
    <t xml:space="preserve">Ftz95_HCR_P2B3</t>
  </si>
  <si>
    <t xml:space="preserve">ACGGGCCTCTCGGGGTAGCGGTATC</t>
  </si>
  <si>
    <t xml:space="preserve">ACAGCGTGGCACGCGGCCATCCAGA</t>
  </si>
  <si>
    <t xml:space="preserve">S142-06</t>
  </si>
  <si>
    <t xml:space="preserve">fz9_B3_P1_06</t>
  </si>
  <si>
    <t xml:space="preserve">GTCCCTGCCTCTATATCTTTTGCGACGCAAATCGTCGAACCCATT</t>
  </si>
  <si>
    <t xml:space="preserve">fz9_B3_P2_06</t>
  </si>
  <si>
    <t xml:space="preserve">CGTGAAGTAGTATGTAAGAGAGAAGTTCCACTCAACTTTAACCCG</t>
  </si>
  <si>
    <t xml:space="preserve">Ftz96_HCR_P1B3</t>
  </si>
  <si>
    <t xml:space="preserve">Ftz96_HCR_P2B3</t>
  </si>
  <si>
    <t xml:space="preserve">TGCGACGCAAATCGTCGAACCCATT</t>
  </si>
  <si>
    <t xml:space="preserve">CGTGAAGTAGTATGTAAGAGAGAAG</t>
  </si>
  <si>
    <t xml:space="preserve">S143-01</t>
  </si>
  <si>
    <t xml:space="preserve">hh_B3_P1_01</t>
  </si>
  <si>
    <t xml:space="preserve">GTCCCTGCCTCTATATCTTTATCCTTAAACTCTATGTCCGGGTTA</t>
  </si>
  <si>
    <t xml:space="preserve">hh_B3_P2_01</t>
  </si>
  <si>
    <t xml:space="preserve">GAGGCGGTCGGCTCCGGTGCCCTCGTTCCACTCAACTTTAACCCG</t>
  </si>
  <si>
    <t xml:space="preserve">B3_P1(hh)_1</t>
  </si>
  <si>
    <t xml:space="preserve">B3_P2(hh)_1</t>
  </si>
  <si>
    <t xml:space="preserve">S143-02</t>
  </si>
  <si>
    <t xml:space="preserve">hh_B3_P1_02</t>
  </si>
  <si>
    <t xml:space="preserve">GTCCCTGCCTCTATATCTTTTGATGGCGAGCGTGTTCAACTTCTC</t>
  </si>
  <si>
    <t xml:space="preserve">hh_B3_P2_02</t>
  </si>
  <si>
    <t xml:space="preserve">GAACCCCCGGCCACTGGTTCATCACTTCCACTCAACTTTAACCCG</t>
  </si>
  <si>
    <t xml:space="preserve">B3_P1(hh)_2</t>
  </si>
  <si>
    <t xml:space="preserve">B3_P2(hh)_2</t>
  </si>
  <si>
    <t xml:space="preserve">S143-03</t>
  </si>
  <si>
    <t xml:space="preserve">hh_B3_P1_03</t>
  </si>
  <si>
    <t xml:space="preserve">GTCCCTGCCTCTATATCTTTTGAGCCGAGTTCTCCTCGTCCCAGC</t>
  </si>
  <si>
    <t xml:space="preserve">hh_B3_P2_03</t>
  </si>
  <si>
    <t xml:space="preserve">CCCTCGTAGTGCAGTGAGTTTTCCATTCCACTCAACTTTAACCCG</t>
  </si>
  <si>
    <t xml:space="preserve">B3_P1(hh)_3</t>
  </si>
  <si>
    <t xml:space="preserve">B3_P2(hh)_3</t>
  </si>
  <si>
    <t xml:space="preserve">S143-04</t>
  </si>
  <si>
    <t xml:space="preserve">hh_B3_P1_04</t>
  </si>
  <si>
    <t xml:space="preserve">GTCCCTGCCTCTATATCTTTCTTGCTGCGATCCCGGTCGCTGGTG</t>
  </si>
  <si>
    <t xml:space="preserve">hh_B3_P2_04</t>
  </si>
  <si>
    <t xml:space="preserve">CACAGCAAGGCGTGCCAGCATGCCGTTCCACTCAACTTTAACCCG</t>
  </si>
  <si>
    <t xml:space="preserve">B3_P1(hh)_4</t>
  </si>
  <si>
    <t xml:space="preserve">B3_P2(hh)_4</t>
  </si>
  <si>
    <t xml:space="preserve">CTTGCTGCGATCCCGGTCGCTGGTG</t>
  </si>
  <si>
    <t xml:space="preserve">CACAGCAAGGCGTGCCAGCATGCCG</t>
  </si>
  <si>
    <t xml:space="preserve">S143-05</t>
  </si>
  <si>
    <t xml:space="preserve">hh_B3_P1_05</t>
  </si>
  <si>
    <t xml:space="preserve">GTCCCTGCCTCTATATCTTTTGTAGGACCGGCTCTCATAGAACAC</t>
  </si>
  <si>
    <t xml:space="preserve">hh_B3_P2_05</t>
  </si>
  <si>
    <t xml:space="preserve">ATGATTCTGTCTTGACAGAACAATGTTCCACTCAACTTTAACCCG</t>
  </si>
  <si>
    <t xml:space="preserve">B3_P1(hh)_5</t>
  </si>
  <si>
    <t xml:space="preserve">B3_P2(hh)_5</t>
  </si>
  <si>
    <t xml:space="preserve">TGTAGGACCGGCTCTCATAGAACAC</t>
  </si>
  <si>
    <t xml:space="preserve">ATGATTCTGTCTTGACAGAACAATG</t>
  </si>
  <si>
    <t xml:space="preserve">S143-06</t>
  </si>
  <si>
    <t xml:space="preserve">hh_B3_P1_06</t>
  </si>
  <si>
    <t xml:space="preserve">GTCCCTGCCTCTATATCTTTACAACAGACCCAGAAGGAAAACAAC</t>
  </si>
  <si>
    <t xml:space="preserve">hh_B3_P2_06</t>
  </si>
  <si>
    <t xml:space="preserve">ATGTCCCGAGGACCTTCTTCCGTGTTTCCACTCAACTTTAACCCG</t>
  </si>
  <si>
    <t xml:space="preserve">B3_P1(hh)_6</t>
  </si>
  <si>
    <t xml:space="preserve">B3_P2(hh)_6</t>
  </si>
  <si>
    <t xml:space="preserve">ACAACAGACCCAGAAGGAAAACAAC</t>
  </si>
  <si>
    <t xml:space="preserve">ATGTCCCGAGGACCTTCTTCCGTGT</t>
  </si>
  <si>
    <t xml:space="preserve">S144-01</t>
  </si>
  <si>
    <t xml:space="preserve">hth_B3_P1_01</t>
  </si>
  <si>
    <t xml:space="preserve">GTCCCTGCCTCTATATCTTTGCGACCCGCACCATTTGCCCATGGC</t>
  </si>
  <si>
    <t xml:space="preserve">hth_B3_P2_01</t>
  </si>
  <si>
    <t xml:space="preserve">CGTCGGGAGGGGATGACCATTCCCGTTCCACTCAACTTTAACCCG</t>
  </si>
  <si>
    <t xml:space="preserve">Htha_HCR_P1B3</t>
  </si>
  <si>
    <t xml:space="preserve">Htha_HCR_P2B3</t>
  </si>
  <si>
    <t xml:space="preserve">S144-02</t>
  </si>
  <si>
    <t xml:space="preserve">hth_B3_P1_02</t>
  </si>
  <si>
    <t xml:space="preserve">GTCCCTGCCTCTATATCTTTTTCCTCCCCCGTACCCTCGCCGGAG</t>
  </si>
  <si>
    <t xml:space="preserve">hth_B3_P2_02</t>
  </si>
  <si>
    <t xml:space="preserve">GTTCTTCTTTCCGTTCGTGTCGTCGTTCCACTCAACTTTAACCCG</t>
  </si>
  <si>
    <t xml:space="preserve">Hthb_HCR_P1B3</t>
  </si>
  <si>
    <t xml:space="preserve">Hthb_HCR_P2B3</t>
  </si>
  <si>
    <t xml:space="preserve">S144-03</t>
  </si>
  <si>
    <t xml:space="preserve">hth_B3_P1_03</t>
  </si>
  <si>
    <t xml:space="preserve">GTCCCTGCCTCTATATCTTTCTGTTTCTTCTGGTCTTCCGAAGGG</t>
  </si>
  <si>
    <t xml:space="preserve">hth_B3_P2_03</t>
  </si>
  <si>
    <t xml:space="preserve">TATCGTTAACCCTGTGTCTTGTGCCTTCCACTCAACTTTAACCCG</t>
  </si>
  <si>
    <t xml:space="preserve">Hthc_HCR_P1B3</t>
  </si>
  <si>
    <t xml:space="preserve">Hthc_HCR_P2B3</t>
  </si>
  <si>
    <t xml:space="preserve">S144-04</t>
  </si>
  <si>
    <t xml:space="preserve">hth_B3_P1_04</t>
  </si>
  <si>
    <t xml:space="preserve">GGTCCCTGCCTCTATATCTTTACTGCGGGGTAGAACACTGCACGGT</t>
  </si>
  <si>
    <t xml:space="preserve">hth_B3_P2_04</t>
  </si>
  <si>
    <t xml:space="preserve">GCGCCGCTGGGGCCCGCGTGCGGGATTCCACTCAACTTTAACCCG</t>
  </si>
  <si>
    <t xml:space="preserve">hth3_HCR_P1B3</t>
  </si>
  <si>
    <t xml:space="preserve">hth3_HCR_P2B3</t>
  </si>
  <si>
    <t xml:space="preserve">P1: extra nucleotide(s) at end of oligo (46 nt total); template match: P2 only</t>
  </si>
  <si>
    <t xml:space="preserve">S144-05</t>
  </si>
  <si>
    <t xml:space="preserve">hth_B3_P1_05</t>
  </si>
  <si>
    <t xml:space="preserve">GTCCCTGCCTCTATATCTTTGTCCATCATGTAGCCCATGGTGGCC</t>
  </si>
  <si>
    <t xml:space="preserve">hth_B3_P2_05</t>
  </si>
  <si>
    <t xml:space="preserve">CGGCGGCCTGTGCATCATCTGCTGGTTCCACTCAACTTTAACCCG</t>
  </si>
  <si>
    <t xml:space="preserve">hth4_HCR_P1B3</t>
  </si>
  <si>
    <t xml:space="preserve">hth4_HCR_P2B3</t>
  </si>
  <si>
    <t xml:space="preserve">S144-06</t>
  </si>
  <si>
    <t xml:space="preserve">hth_B3_P1_06</t>
  </si>
  <si>
    <t xml:space="preserve">GTCCCTGCCTCTATATCTTTTAGTGCGCGTAGCCCTGGTGGAAGG</t>
  </si>
  <si>
    <t xml:space="preserve">hth_B3_P2_06</t>
  </si>
  <si>
    <t xml:space="preserve">AGATGGTGTCCGTAGTACTCGGCGGTTCCACTCAACTTTAACCCG</t>
  </si>
  <si>
    <t xml:space="preserve">hth5_HCR_P1B3</t>
  </si>
  <si>
    <t xml:space="preserve">hth5_HCR_P2B3</t>
  </si>
  <si>
    <t xml:space="preserve">S145-01</t>
  </si>
  <si>
    <t xml:space="preserve">irx-5_B3_P1_01</t>
  </si>
  <si>
    <t xml:space="preserve">GTCCCTGCCTCTATATCTTTTAGCGTTTTATTTCTGGAGTGAAGA</t>
  </si>
  <si>
    <t xml:space="preserve">irx-5_B3_P2_01</t>
  </si>
  <si>
    <t xml:space="preserve">CTTCGCCTCACGAGCCAGTCTTTCATTCCACTCAACTTTAACCCG</t>
  </si>
  <si>
    <t xml:space="preserve">B3_P1(irx-5)_1</t>
  </si>
  <si>
    <t xml:space="preserve">B3_P2(irx-5)_1</t>
  </si>
  <si>
    <t xml:space="preserve">TAGCGTTTTATTTCTGGAGTGAAGA</t>
  </si>
  <si>
    <t xml:space="preserve">CTTCGCCTCACGAGCCAGTCTTTCA</t>
  </si>
  <si>
    <t xml:space="preserve">S145-02</t>
  </si>
  <si>
    <t xml:space="preserve">irx-5_B3_P1_02</t>
  </si>
  <si>
    <t xml:space="preserve">GTCCCTGCCTCTATATCTTTAGATAATTGTTTTTTCTCTTCGCGG</t>
  </si>
  <si>
    <t xml:space="preserve">irx-5_B3_P2_02</t>
  </si>
  <si>
    <t xml:space="preserve">CTGTATGTACGTGAGACCTGTTTCGTTCCACTCAACTTTAACCCG</t>
  </si>
  <si>
    <t xml:space="preserve">B3_P1(irx-5)_2</t>
  </si>
  <si>
    <t xml:space="preserve">B3_P2(irx-5)_2</t>
  </si>
  <si>
    <t xml:space="preserve">AGATAATTGTTTTTTCTCTTCGCGG</t>
  </si>
  <si>
    <t xml:space="preserve">CTGTATGTACGTGAGACCTGTTTCG</t>
  </si>
  <si>
    <t xml:space="preserve">S145-03</t>
  </si>
  <si>
    <t xml:space="preserve">irx-5_B3_P1_03</t>
  </si>
  <si>
    <t xml:space="preserve">GTCCCTGCCTCTATATCTTTCGTTTTTCAACTTTCGGCGCCAGTT</t>
  </si>
  <si>
    <t xml:space="preserve">irx-5_B3_P2_03</t>
  </si>
  <si>
    <t xml:space="preserve">AAGTCAGCTGGTTCCGATCTGCGTTTTCCACTCAACTTTAACCCG</t>
  </si>
  <si>
    <t xml:space="preserve">B3_P1(irx-5)_3</t>
  </si>
  <si>
    <t xml:space="preserve">B3_P2(irx-5)_3</t>
  </si>
  <si>
    <t xml:space="preserve">CGTTTTTCAACTTTCGGCGCCAGTT</t>
  </si>
  <si>
    <t xml:space="preserve">AAGTCAGCTGGTTCCGATCTGCGTT</t>
  </si>
  <si>
    <t xml:space="preserve">S145-04</t>
  </si>
  <si>
    <t xml:space="preserve">irx-5_B3_P1_04</t>
  </si>
  <si>
    <t xml:space="preserve">GTCCCTGCCTCTATATCTTTTTGCCTTGGGCTTTGTCATTATAAG</t>
  </si>
  <si>
    <t xml:space="preserve">irx-5_B3_P2_04</t>
  </si>
  <si>
    <t xml:space="preserve">TCGGAGCAGATGCTAAACTGTTCCATTCCACTCAACTTTAACCCG</t>
  </si>
  <si>
    <t xml:space="preserve">B3_P1(irx-5)_4</t>
  </si>
  <si>
    <t xml:space="preserve">B3_P2(irx-5)_4</t>
  </si>
  <si>
    <t xml:space="preserve">TTGCCTTGGGCTTTGTCATTATAAG</t>
  </si>
  <si>
    <t xml:space="preserve">TCGGAGCAGATGCTAAACTGTTCCA</t>
  </si>
  <si>
    <t xml:space="preserve">S145-05</t>
  </si>
  <si>
    <t xml:space="preserve">irx-5_B3_P1_05</t>
  </si>
  <si>
    <t xml:space="preserve">GTCCCTGCCTCTATATCTTTAAAGCCAGGGCTGGTAGGTTCTGGT</t>
  </si>
  <si>
    <t xml:space="preserve">irx-5_B3_P2_05</t>
  </si>
  <si>
    <t xml:space="preserve">CAATCTTTCATCTGTTTCTAGGGTTTTCCACTCAACTTTAACCCG</t>
  </si>
  <si>
    <t xml:space="preserve">B3_P1(irx-5)_5</t>
  </si>
  <si>
    <t xml:space="preserve">B3_P2(irx-5)_5</t>
  </si>
  <si>
    <t xml:space="preserve">AAAGCCAGGGCTGGTAGGTTCTGGT</t>
  </si>
  <si>
    <t xml:space="preserve">CAATCTTTCATCTGTTTCTAGGGTT</t>
  </si>
  <si>
    <t xml:space="preserve">S145-06</t>
  </si>
  <si>
    <t xml:space="preserve">irx-5_B3_P1_06</t>
  </si>
  <si>
    <t xml:space="preserve">GTCCCTGCCTCTATATCTTTTGTCTTCCTGCTTGTAGGAGTTCAC</t>
  </si>
  <si>
    <t xml:space="preserve">irx-5_B3_P2_06</t>
  </si>
  <si>
    <t xml:space="preserve">TGTCCTGTGATGTGCAGGATTCATCTTCCACTCAACTTTAACCCG</t>
  </si>
  <si>
    <t xml:space="preserve">B3_P1(irx-5)_6</t>
  </si>
  <si>
    <t xml:space="preserve">B3_P2(irx-5)_6</t>
  </si>
  <si>
    <t xml:space="preserve">TGTCTTCCTGCTTGTAGGAGTTCAC</t>
  </si>
  <si>
    <t xml:space="preserve">TGTCCTGTGATGTGCAGGATTCATC</t>
  </si>
  <si>
    <t xml:space="preserve">S146-01</t>
  </si>
  <si>
    <t xml:space="preserve">jheh_B3_P1_01</t>
  </si>
  <si>
    <t xml:space="preserve">GTCCCTGCCTCTATATCTTTCGCGAGCGGGTGTTTGTCCCTCAGG</t>
  </si>
  <si>
    <t xml:space="preserve">jheh_B3_P2_01</t>
  </si>
  <si>
    <t xml:space="preserve">TTCGAAGGCGACGCCCTCTAGAGGCTTCCACTCAACTTTAACCCG</t>
  </si>
  <si>
    <t xml:space="preserve">B3_P1(jheh)_1</t>
  </si>
  <si>
    <t xml:space="preserve">B3_P2(jheh)_1</t>
  </si>
  <si>
    <t xml:space="preserve">CGCGAGCGGGTGTTTGTCCCTCAGG</t>
  </si>
  <si>
    <t xml:space="preserve">TTCGAAGGCGACGCCCTCTAGAGGC</t>
  </si>
  <si>
    <t xml:space="preserve">S146-02</t>
  </si>
  <si>
    <t xml:space="preserve">jheh_B3_P1_02</t>
  </si>
  <si>
    <t xml:space="preserve">GTCCCTGCCTCTATATCTTTAGTACTTCAGCCAGGTCTCGAGCTG</t>
  </si>
  <si>
    <t xml:space="preserve">jheh_B3_P2_02</t>
  </si>
  <si>
    <t xml:space="preserve">GTTCACTGAACGGATACTCGTCAGCTTCCACTCAACTTTAACCCG</t>
  </si>
  <si>
    <t xml:space="preserve">B3_P1(jheh)_2</t>
  </si>
  <si>
    <t xml:space="preserve">B3_P2(jheh)_2</t>
  </si>
  <si>
    <t xml:space="preserve">AGTACTTCAGCCAGGTCTCGAGCTG</t>
  </si>
  <si>
    <t xml:space="preserve">GTTCACTGAACGGATACTCGTCAGC</t>
  </si>
  <si>
    <t xml:space="preserve">S146-03</t>
  </si>
  <si>
    <t xml:space="preserve">jheh_B3_P1_03</t>
  </si>
  <si>
    <t xml:space="preserve">GTCCCTGCCTCTATATCTTTATGTTAGTCTTGAAATGCGGGTATT</t>
  </si>
  <si>
    <t xml:space="preserve">jheh_B3_P2_03</t>
  </si>
  <si>
    <t xml:space="preserve">CTAATGAAGTGAATGTCCAACCCCTTTCCACTCAACTTTAACCCG</t>
  </si>
  <si>
    <t xml:space="preserve">B3_P1(jheh)_3</t>
  </si>
  <si>
    <t xml:space="preserve">B3_P2(jheh)_3</t>
  </si>
  <si>
    <t xml:space="preserve">ATGTTAGTCTTGAAATGCGGGTATT</t>
  </si>
  <si>
    <t xml:space="preserve">CTAATGAAGTGAATGTCCAACCCCT</t>
  </si>
  <si>
    <t xml:space="preserve">S146-04</t>
  </si>
  <si>
    <t xml:space="preserve">jheh_B3_P1_04</t>
  </si>
  <si>
    <t xml:space="preserve">GTCCCTGCCTCTATATCTTTCAGTGGCACCACCTCCACGCCGGAG</t>
  </si>
  <si>
    <t xml:space="preserve">jheh_B3_P2_04</t>
  </si>
  <si>
    <t xml:space="preserve">CGACCCCGGCCAGCCGTGCAGCAGCTTCCACTCAACTTTAACCCG</t>
  </si>
  <si>
    <t xml:space="preserve">B3_P1(jheh)_4</t>
  </si>
  <si>
    <t xml:space="preserve">B3_P2(jheh)_4</t>
  </si>
  <si>
    <t xml:space="preserve">CAGTGGCACCACCTCCACGCCGGAG</t>
  </si>
  <si>
    <t xml:space="preserve">CGACCCCGGCCAGCCGTGCAGCAGC</t>
  </si>
  <si>
    <t xml:space="preserve">S146-05</t>
  </si>
  <si>
    <t xml:space="preserve">jheh_B3_P1_05</t>
  </si>
  <si>
    <t xml:space="preserve">GTCCCTGCCTCTATATCTTTTCACCGAGGTCAGCAGCGGGATGGC</t>
  </si>
  <si>
    <t xml:space="preserve">jheh_B3_P2_05</t>
  </si>
  <si>
    <t xml:space="preserve">CCTCGATGGCAAAGTCCCGGTCCTTTTCCACTCAACTTTAACCCG</t>
  </si>
  <si>
    <t xml:space="preserve">B3_P1(jheh)_5</t>
  </si>
  <si>
    <t xml:space="preserve">B3_P2(jheh)_5</t>
  </si>
  <si>
    <t xml:space="preserve">TCACCGAGGTCAGCAGCGGGATGGC</t>
  </si>
  <si>
    <t xml:space="preserve">CCTCGATGGCAAAGTCCCGGTCCTT</t>
  </si>
  <si>
    <t xml:space="preserve">S146-06</t>
  </si>
  <si>
    <t xml:space="preserve">jheh_B3_P1_06</t>
  </si>
  <si>
    <t xml:space="preserve">GTCCCTGCCTCTATATCTTTGCTGCGCTGGAAAACCCATATCCAG</t>
  </si>
  <si>
    <t xml:space="preserve">jheh_B3_P2_06</t>
  </si>
  <si>
    <t xml:space="preserve">TTGTCCGCGCCCAGGCCGGGGCGGATTCCACTCAACTTTAACCCG</t>
  </si>
  <si>
    <t xml:space="preserve">B3_P1(jheh)_6</t>
  </si>
  <si>
    <t xml:space="preserve">B3_P2(jheh)_6</t>
  </si>
  <si>
    <t xml:space="preserve">GCTGCGCTGGAAAACCCATATCCAG</t>
  </si>
  <si>
    <t xml:space="preserve">TTGTCCGCGCCCAGGCCGGGGCGGA</t>
  </si>
  <si>
    <t xml:space="preserve">S147-01</t>
  </si>
  <si>
    <t xml:space="preserve">lebercilin_B3_P1_01</t>
  </si>
  <si>
    <t xml:space="preserve">GTCCCTGCCTCTATATCTTTCAACTGATTCTGCAGCTGCTTCACC</t>
  </si>
  <si>
    <t xml:space="preserve">lebercilin_B3_P2_01</t>
  </si>
  <si>
    <t xml:space="preserve">TTCTTGTAAATGATAGTGCGCATCATTCCACTCAACTTTAACCCG</t>
  </si>
  <si>
    <t xml:space="preserve">B3_P1(lebercilin)_1</t>
  </si>
  <si>
    <t xml:space="preserve">B3_P2(lebercilin)_1</t>
  </si>
  <si>
    <t xml:space="preserve">CAACTGATTCTGCAGCTGCTTCACC</t>
  </si>
  <si>
    <t xml:space="preserve">TTCTTGTAAATGATAGTGCGCATCA</t>
  </si>
  <si>
    <t xml:space="preserve">S147-02</t>
  </si>
  <si>
    <t xml:space="preserve">lebercilin_B3_P1_02</t>
  </si>
  <si>
    <t xml:space="preserve">GTCCCTGCCTCTATATCTTTGTTTCTTTTGGAGAGCACGTAACAC</t>
  </si>
  <si>
    <t xml:space="preserve">lebercilin_B3_P2_02</t>
  </si>
  <si>
    <t xml:space="preserve">TCTCGTATCTCTGTAACGCGATTTCTTCCACTCAACTTTAACCCG</t>
  </si>
  <si>
    <t xml:space="preserve">B3_P1(lebercilin)_2</t>
  </si>
  <si>
    <t xml:space="preserve">B3_P2(lebercilin)_2</t>
  </si>
  <si>
    <t xml:space="preserve">GTTTCTTTTGGAGAGCACGTAACAC</t>
  </si>
  <si>
    <t xml:space="preserve">TCTCGTATCTCTGTAACGCGATTTC</t>
  </si>
  <si>
    <t xml:space="preserve">S147-03</t>
  </si>
  <si>
    <t xml:space="preserve">lebercilin_B3_P1_03</t>
  </si>
  <si>
    <t xml:space="preserve">GTCCCTGCCTCTATATCTTTTCGCTGTGGGAGTTCAGCACTTGGG</t>
  </si>
  <si>
    <t xml:space="preserve">lebercilin_B3_P2_03</t>
  </si>
  <si>
    <t xml:space="preserve">TACCGGCTCTGCTGCACGCGCATCTTTCCACTCAACTTTAACCCG</t>
  </si>
  <si>
    <t xml:space="preserve">B3_P1(lebercilin)_3</t>
  </si>
  <si>
    <t xml:space="preserve">B3_P2(lebercilin)_3</t>
  </si>
  <si>
    <t xml:space="preserve">TCGCTGTGGGAGTTCAGCACTTGGG</t>
  </si>
  <si>
    <t xml:space="preserve">TACCGGCTCTGCTGCACGCGCATCT</t>
  </si>
  <si>
    <t xml:space="preserve">S147-04</t>
  </si>
  <si>
    <t xml:space="preserve">lebercilin_B3_P1_04</t>
  </si>
  <si>
    <t xml:space="preserve">GTCCCTGCCTCTATATCTTTAAGCCGCTGCGCCGCGTCCCGGTGC</t>
  </si>
  <si>
    <t xml:space="preserve">lebercilin_B3_P2_04</t>
  </si>
  <si>
    <t xml:space="preserve">CTGCTGCAGCTGCAGGTCCCGCTCCTTCCACTCAACTTTAACCCG</t>
  </si>
  <si>
    <t xml:space="preserve">B3_P1(lebercilin)_4</t>
  </si>
  <si>
    <t xml:space="preserve">B3_P2(lebercilin)_4</t>
  </si>
  <si>
    <t xml:space="preserve">AAGCCGCTGCGCCGCGTCCCGGTGC</t>
  </si>
  <si>
    <t xml:space="preserve">CTGCTGCAGCTGCAGGTCCCGCTCC</t>
  </si>
  <si>
    <t xml:space="preserve">S147-05</t>
  </si>
  <si>
    <t xml:space="preserve">lebercilin_B3_P1_05</t>
  </si>
  <si>
    <t xml:space="preserve">GTCCCTGCCTCTATATCTTTTGTCCTTGCTCAAGTCCAACAGATG</t>
  </si>
  <si>
    <t xml:space="preserve">lebercilin_B3_P2_05</t>
  </si>
  <si>
    <t xml:space="preserve">GCAGCTTTTCGCGTTCCAACAAGTTTTCCACTCAACTTTAACCCG</t>
  </si>
  <si>
    <t xml:space="preserve">B3_P1(lebercilin)_5</t>
  </si>
  <si>
    <t xml:space="preserve">B3_P2(lebercilin)_5</t>
  </si>
  <si>
    <t xml:space="preserve">TGTCCTTGCTCAAGTCCAACAGATG</t>
  </si>
  <si>
    <t xml:space="preserve">GCAGCTTTTCGCGTTCCAACAAGTT</t>
  </si>
  <si>
    <t xml:space="preserve">S147-06</t>
  </si>
  <si>
    <t xml:space="preserve">lebercilin_B3_P1_06</t>
  </si>
  <si>
    <t xml:space="preserve">GTCCCTGCCTCTATATCTTTCCCTGTTGCTGCACTTTGGCGGTCA</t>
  </si>
  <si>
    <t xml:space="preserve">lebercilin_B3_P2_06</t>
  </si>
  <si>
    <t xml:space="preserve">CGTCGCTGCAGCATGCTGATAGTTTTTCCACTCAACTTTAACCCG</t>
  </si>
  <si>
    <t xml:space="preserve">B3_P1(lebercilin)_6</t>
  </si>
  <si>
    <t xml:space="preserve">B3_P2(lebercilin)_6</t>
  </si>
  <si>
    <t xml:space="preserve">CCCTGTTGCTGCACTTTGGCGGTCA</t>
  </si>
  <si>
    <t xml:space="preserve">CGTCGCTGCAGCATGCTGATAGTTT</t>
  </si>
  <si>
    <t xml:space="preserve">S148-01</t>
  </si>
  <si>
    <t xml:space="preserve">mab21_B3_P1_01</t>
  </si>
  <si>
    <t xml:space="preserve">GTCCCTGCCTCTATATCTTTCCATCATCTCGGGTGGCACGAGCAT</t>
  </si>
  <si>
    <t xml:space="preserve">mab21_B3_P2_01</t>
  </si>
  <si>
    <t xml:space="preserve">TCTGGTACACCAGCTTGGATTGCGCTTCCACTCAACTTTAACCCG</t>
  </si>
  <si>
    <t xml:space="preserve">Gene3	tox3_tsu_mab21_Gene3_B3_P1_1</t>
  </si>
  <si>
    <t xml:space="preserve">tox3_tsu_mab21_Gene3_B3_P2_1</t>
  </si>
  <si>
    <t xml:space="preserve">CCATCATCTCGGGTGGCACGAGCAT</t>
  </si>
  <si>
    <t xml:space="preserve">TCTGGTACACCAGCTTGGATTGCGC</t>
  </si>
  <si>
    <t xml:space="preserve">S148-02</t>
  </si>
  <si>
    <t xml:space="preserve">mab21_B3_P1_02</t>
  </si>
  <si>
    <t xml:space="preserve">GTCCCTGCCTCTATATCTTTTTTGGCGATCTGCGCCTTGCGGTTG</t>
  </si>
  <si>
    <t xml:space="preserve">mab21_B3_P2_02</t>
  </si>
  <si>
    <t xml:space="preserve">AACTATTCTGCACACTTCGTGTATCTTCCACTCAACTTTAACCCG</t>
  </si>
  <si>
    <t xml:space="preserve">Gene3	tox3_tsu_mab21_Gene3_B3_P1_2; tox3_tsu_mab21_</t>
  </si>
  <si>
    <t xml:space="preserve">tox3_tsu_mab21_Gene3_B3_P2_2; tox3_tsu_mab21_</t>
  </si>
  <si>
    <t xml:space="preserve">TTTGGCGATCTGCGCCTTGCGGTTG</t>
  </si>
  <si>
    <t xml:space="preserve">AACTATTCTGCACACTTCGTGTATC</t>
  </si>
  <si>
    <t xml:space="preserve">S148-03</t>
  </si>
  <si>
    <t xml:space="preserve">mab21_B3_P1_03</t>
  </si>
  <si>
    <t xml:space="preserve">GTCCCTGCCTCTATATCTTTAGGGAGGATATAAACCGCGGTTCTT</t>
  </si>
  <si>
    <t xml:space="preserve">mab21_B3_P2_03</t>
  </si>
  <si>
    <t xml:space="preserve">CCGTCGAACCGACCATTGTAATCCGTTCCACTCAACTTTAACCCG</t>
  </si>
  <si>
    <t xml:space="preserve">Gene3	tox3_tsu_mab21_Gene3_B3_P1_3; tox3_tsu_mab21_</t>
  </si>
  <si>
    <t xml:space="preserve">tox3_tsu_mab21_Gene3_B3_P2_3; tox3_tsu_mab21_</t>
  </si>
  <si>
    <t xml:space="preserve">AGGGAGGATATAAACCGCGGTTCTT</t>
  </si>
  <si>
    <t xml:space="preserve">CCGTCGAACCGACCATTGTAATCCG</t>
  </si>
  <si>
    <t xml:space="preserve">S148-04</t>
  </si>
  <si>
    <t xml:space="preserve">mab21_B3_P1_04</t>
  </si>
  <si>
    <t xml:space="preserve">GTCCCTGCCTCTATATCTTTCCCATCTGGTTCAAATAGATGATGA</t>
  </si>
  <si>
    <t xml:space="preserve">mab21_B3_P2_04</t>
  </si>
  <si>
    <t xml:space="preserve">GATCCGTCGTCGACGAAGTTTAAAATTCCACTCAACTTTAACCCG</t>
  </si>
  <si>
    <t xml:space="preserve">Gene3	tox3_tsu_mab21_Gene3_B3_P1_4; tox3_tsu_mab21_</t>
  </si>
  <si>
    <t xml:space="preserve">tox3_tsu_mab21_Gene3_B3_P2_4; tox3_tsu_mab21_</t>
  </si>
  <si>
    <t xml:space="preserve">CCCATCTGGTTCAAATAGATGATGA</t>
  </si>
  <si>
    <t xml:space="preserve">GATCCGTCGTCGACGAAGTTTAAAA</t>
  </si>
  <si>
    <t xml:space="preserve">S148-05</t>
  </si>
  <si>
    <t xml:space="preserve">mab21_B3_P1_05</t>
  </si>
  <si>
    <t xml:space="preserve">GTCCCTGCCTCTATATCTTTACATGGATCGCTTCCTGCCGTCGCT</t>
  </si>
  <si>
    <t xml:space="preserve">mab21_B3_P2_05</t>
  </si>
  <si>
    <t xml:space="preserve">ACGCCGTGATGAACTCCACCCACAGTTCCACTCAACTTTAACCCG</t>
  </si>
  <si>
    <t xml:space="preserve">Gene3	tox3_tsu_mab21_Gene3_B3_P1_5; tox3_tsu_mab21_</t>
  </si>
  <si>
    <t xml:space="preserve">tox3_tsu_mab21_Gene3_B3_P2_5; tox3_tsu_mab21_</t>
  </si>
  <si>
    <t xml:space="preserve">ACATGGATCGCTTCCTGCCGTCGCT</t>
  </si>
  <si>
    <t xml:space="preserve">ACGCCGTGATGAACTCCACCCACAG</t>
  </si>
  <si>
    <t xml:space="preserve">S148-06</t>
  </si>
  <si>
    <t xml:space="preserve">mab21_B3_P1_06</t>
  </si>
  <si>
    <t xml:space="preserve">GTCCCTGCCTCTATATCTTTCGCCACCAGCGTCTGGAAGCGCGAC</t>
  </si>
  <si>
    <t xml:space="preserve">mab21_B3_P2_06</t>
  </si>
  <si>
    <t xml:space="preserve">ACGGTACGAGCACTTGTCGCAGGCCTTCCACTCAACTTTAACCCG</t>
  </si>
  <si>
    <t xml:space="preserve">Gene3	tox3_tsu_mab21_Gene3_B3_P1_6; tox3_tsu_mab21_</t>
  </si>
  <si>
    <t xml:space="preserve">tox3_tsu_mab21_Gene3_B3_P2_6; tox3_tsu_mab21_</t>
  </si>
  <si>
    <t xml:space="preserve">CGCCACCAGCGTCTGGAAGCGCGAC</t>
  </si>
  <si>
    <t xml:space="preserve">ACGGTACGAGCACTTGTCGCAGGCC</t>
  </si>
  <si>
    <t xml:space="preserve">S148-07</t>
  </si>
  <si>
    <t xml:space="preserve">mab21_B3_P1_07</t>
  </si>
  <si>
    <t xml:space="preserve">GTCCCTGCCTCTATATCTTTTCCCGAATACGTAACTTCACTTCCG</t>
  </si>
  <si>
    <t xml:space="preserve">mab21_B3_P2_07</t>
  </si>
  <si>
    <t xml:space="preserve">GCTGGCGTTATTTGCACGATGTAACTTCCACTCAACTTTAACCCG</t>
  </si>
  <si>
    <t xml:space="preserve">Gene3	tox3_tsu_mab21_Gene3_B3_P1_7; tox3_tsu_mab21_</t>
  </si>
  <si>
    <t xml:space="preserve">tox3_tsu_mab21_Gene3_B3_P2_7; tox3_tsu_mab21_</t>
  </si>
  <si>
    <t xml:space="preserve">TCCCGAATACGTAACTTCACTTCCG</t>
  </si>
  <si>
    <t xml:space="preserve">GCTGGCGTTATTTGCACGATGTAAC</t>
  </si>
  <si>
    <t xml:space="preserve">S148-08</t>
  </si>
  <si>
    <t xml:space="preserve">mab21_B3_P1_08</t>
  </si>
  <si>
    <t xml:space="preserve">GTCCCTGCCTCTATATCTTTTCGGCAGCGGCCAGTGCGCCGCCGA</t>
  </si>
  <si>
    <t xml:space="preserve">mab21_B3_P2_08</t>
  </si>
  <si>
    <t xml:space="preserve">CGATGTTCGGATGCGGCCAAGGAATTTCCACTCAACTTTAACCCG</t>
  </si>
  <si>
    <t xml:space="preserve">Gene3	tox3_tsu_mab21_Gene3_B3_P1_8; tox3_tsu_mab21_</t>
  </si>
  <si>
    <t xml:space="preserve">tox3_tsu_mab21_Gene3_B3_P2_8; tox3_tsu_mab21_</t>
  </si>
  <si>
    <t xml:space="preserve">TCGGCAGCGGCCAGTGCGCCGCCGA</t>
  </si>
  <si>
    <t xml:space="preserve">CGATGTTCGGATGCGGCCAAGGAAT</t>
  </si>
  <si>
    <t xml:space="preserve">S148-09</t>
  </si>
  <si>
    <t xml:space="preserve">mab21_B3_P1_09</t>
  </si>
  <si>
    <t xml:space="preserve">GTCCCTGCCTCTATATCTTTCGTCAAACACTCCTTCGACAACAAG</t>
  </si>
  <si>
    <t xml:space="preserve">mab21_B3_P2_09</t>
  </si>
  <si>
    <t xml:space="preserve">TTCCATGGCGGAGTTCTTCCCTTGCTTCCACTCAACTTTAACCCG</t>
  </si>
  <si>
    <t xml:space="preserve">Gene3	tox3_tsu_mab21_Gene3_B3_P1_9; tox3_tsu_mab21_</t>
  </si>
  <si>
    <t xml:space="preserve">tox3_tsu_mab21_Gene3_B3_P2_9; tox3_tsu_mab21_</t>
  </si>
  <si>
    <t xml:space="preserve">CGTCAAACACTCCTTCGACAACAAG</t>
  </si>
  <si>
    <t xml:space="preserve">TTCCATGGCGGAGTTCTTCCCTTGC</t>
  </si>
  <si>
    <t xml:space="preserve">S148-10</t>
  </si>
  <si>
    <t xml:space="preserve">mab21_B3_P1_10</t>
  </si>
  <si>
    <t xml:space="preserve">GTCCCTGCCTCTATATCTTTTCTGCAACCGCCTTGAAGCAAGCGG</t>
  </si>
  <si>
    <t xml:space="preserve">mab21_B3_P2_10</t>
  </si>
  <si>
    <t xml:space="preserve">CGTCTTGAGTATGCTCAAACACTTTTTCCACTCAACTTTAACCCG</t>
  </si>
  <si>
    <t xml:space="preserve">Gene3	tox3_tsu_mab21_Gene3_B3_P1_10; tox3_tsu_mab21_</t>
  </si>
  <si>
    <t xml:space="preserve">tox3_tsu_mab21_Gene3_B3_P2_10; tox3_tsu_mab21_</t>
  </si>
  <si>
    <t xml:space="preserve">TCTGCAACCGCCTTGAAGCAAGCGG</t>
  </si>
  <si>
    <t xml:space="preserve">CGTCTTGAGTATGCTCAAACACTTT</t>
  </si>
  <si>
    <t xml:space="preserve">S148-11</t>
  </si>
  <si>
    <t xml:space="preserve">mab21_B3_P1_11</t>
  </si>
  <si>
    <t xml:space="preserve">GTCCCTGCCTCTATATCTTTATGTGATAGCACGTCACTGGATTCC</t>
  </si>
  <si>
    <t xml:space="preserve">mab21_B3_P2_11</t>
  </si>
  <si>
    <t xml:space="preserve">TCACATTCGTACAGCAACAGCGTCTTTCCACTCAACTTTAACCCG</t>
  </si>
  <si>
    <t xml:space="preserve">Gene3	tox3_tsu_mab21_Gene3_B3_P1_11; tox3_tsu_mab21_</t>
  </si>
  <si>
    <t xml:space="preserve">tox3_tsu_mab21_Gene3_B3_P2_11; tox3_tsu_mab21_</t>
  </si>
  <si>
    <t xml:space="preserve">ATGTGATAGCACGTCACTGGATTCC</t>
  </si>
  <si>
    <t xml:space="preserve">TCACATTCGTACAGCAACAGCGTCT</t>
  </si>
  <si>
    <t xml:space="preserve">S148-12</t>
  </si>
  <si>
    <t xml:space="preserve">mab21_B3_P1_12</t>
  </si>
  <si>
    <t xml:space="preserve">GTCCCTGCCTCTATATCTTTTGATCCTGTCGCCTATGGCGCCCTC</t>
  </si>
  <si>
    <t xml:space="preserve">mab21_B3_P2_12</t>
  </si>
  <si>
    <t xml:space="preserve">AAGAGATCAGCTGGAGGAATATGCCTTCCACTCAACTTTAACCCG</t>
  </si>
  <si>
    <t xml:space="preserve">Gene3	tox3_tsu_mab21_Gene3_B3_P1_12</t>
  </si>
  <si>
    <t xml:space="preserve">tox3_tsu_mab21_Gene3_B3_P2_12</t>
  </si>
  <si>
    <t xml:space="preserve">TGATCCTGTCGCCTATGGCGCCCTC</t>
  </si>
  <si>
    <t xml:space="preserve">AAGAGATCAGCTGGAGGAATATGCC</t>
  </si>
  <si>
    <t xml:space="preserve">S148-13</t>
  </si>
  <si>
    <t xml:space="preserve">mab21_B3_P1_13</t>
  </si>
  <si>
    <t xml:space="preserve">GTCCCTGCCTCTATATCTTTGAAGAGGTCGACGTGCGGGAGGAAG</t>
  </si>
  <si>
    <t xml:space="preserve">mab21_B3_P2_13</t>
  </si>
  <si>
    <t xml:space="preserve">CTCCATCGCCGTCGGCGACTTCCCTTTCCACTCAACTTTAACCCG</t>
  </si>
  <si>
    <t xml:space="preserve">Gene3	tox3_tsu_mab21_Gene3_B3_P1_13</t>
  </si>
  <si>
    <t xml:space="preserve">tox3_tsu_mab21_Gene3_B3_P2_13</t>
  </si>
  <si>
    <t xml:space="preserve">GAAGAGGTCGACGTGCGGGAGGAAG</t>
  </si>
  <si>
    <t xml:space="preserve">CTCCATCGCCGTCGGCGACTTCCCT</t>
  </si>
  <si>
    <t xml:space="preserve">S149-01</t>
  </si>
  <si>
    <t xml:space="preserve">mad_B3_P1_01</t>
  </si>
  <si>
    <t xml:space="preserve">GTCCCTGCCTCTATATCTTTCCACTGCTTGAAGATTCTCCATCGT</t>
  </si>
  <si>
    <t xml:space="preserve">mad_B3_P2_01</t>
  </si>
  <si>
    <t xml:space="preserve">AACAAGCTATTCAAGCTGGACATAGTTCCACTCAACTTTAACCCG</t>
  </si>
  <si>
    <t xml:space="preserve">mad1_HCR_P1B3</t>
  </si>
  <si>
    <t xml:space="preserve">mad1_HCR_P2B3</t>
  </si>
  <si>
    <t xml:space="preserve">CCACTGCTTGAAGATTCTCCATCGT</t>
  </si>
  <si>
    <t xml:space="preserve">AACAAGCTATTCAAGCTGGACATAG</t>
  </si>
  <si>
    <t xml:space="preserve">S149-02</t>
  </si>
  <si>
    <t xml:space="preserve">mad_B3_P1_02</t>
  </si>
  <si>
    <t xml:space="preserve">GTCCCTGCCTCTATATCTTTCAGCCCAACAGTTTTTTGACGGCAG</t>
  </si>
  <si>
    <t xml:space="preserve">mad_B3_P2_02</t>
  </si>
  <si>
    <t xml:space="preserve">CACTTCTCTTCTTCGTCACCCTGTTTTCCACTCAACTTTAACCCG</t>
  </si>
  <si>
    <t xml:space="preserve">mad2_HCR_P1B3</t>
  </si>
  <si>
    <t xml:space="preserve">mad2_HCR_P2B3</t>
  </si>
  <si>
    <t xml:space="preserve">CAGCCCAACAGTTTTTTGACGGCAG</t>
  </si>
  <si>
    <t xml:space="preserve">CACTTCTCTTCTTCGTCACCCTGTT</t>
  </si>
  <si>
    <t xml:space="preserve">S149-03</t>
  </si>
  <si>
    <t xml:space="preserve">mad_B3_P1_03</t>
  </si>
  <si>
    <t xml:space="preserve">GTCCCTGCCTCTATATCTTTAACTTCTTCACCAGGCTGTCCACCG</t>
  </si>
  <si>
    <t xml:space="preserve">mad_B3_P2_03</t>
  </si>
  <si>
    <t xml:space="preserve">TCTTCGATGGCGCCTTTCCGCTTCTTTCCACTCAACTTTAACCCG</t>
  </si>
  <si>
    <t xml:space="preserve">mad3_HCR_P1B3</t>
  </si>
  <si>
    <t xml:space="preserve">mad3_HCR_P2B3</t>
  </si>
  <si>
    <t xml:space="preserve">AACTTCTTCACCAGGCTGTCCACCG</t>
  </si>
  <si>
    <t xml:space="preserve">TCTTCGATGGCGCCTTTCCGCTTCT</t>
  </si>
  <si>
    <t xml:space="preserve">S149-04</t>
  </si>
  <si>
    <t xml:space="preserve">mad_B3_P1_04</t>
  </si>
  <si>
    <t xml:space="preserve">GTCCCTGCCTCTATATCTTTTGGATGGCGTGCCTGGACAAGACAG</t>
  </si>
  <si>
    <t xml:space="preserve">mad_B3_P2_04</t>
  </si>
  <si>
    <t xml:space="preserve">CCAGCGACCTGGGTATGGTGACGCATTCCACTCAACTTTAACCCG</t>
  </si>
  <si>
    <t xml:space="preserve">mad4_HCR_P1B3</t>
  </si>
  <si>
    <t xml:space="preserve">mad4_HCR_P2B3</t>
  </si>
  <si>
    <t xml:space="preserve">TGGATGGCGTGCCTGGACAAGACAG</t>
  </si>
  <si>
    <t xml:space="preserve">CCAGCGACCTGGGTATGGTGACGCA</t>
  </si>
  <si>
    <t xml:space="preserve">S149-05</t>
  </si>
  <si>
    <t xml:space="preserve">mad_B3_P1_05</t>
  </si>
  <si>
    <t xml:space="preserve">GTCCCTGCCTCTATATCTTTGAGCGGTTTGAGCTCGTGATGGCTC</t>
  </si>
  <si>
    <t xml:space="preserve">mad_B3_P2_05</t>
  </si>
  <si>
    <t xml:space="preserve">GGCGCTGAAGGGATACTGGCATATCTTCCACTCAACTTTAACCCG</t>
  </si>
  <si>
    <t xml:space="preserve">mad5_HCR_P1B3</t>
  </si>
  <si>
    <t xml:space="preserve">mad5_HCR_P2B3</t>
  </si>
  <si>
    <t xml:space="preserve">GAGCGGTTTGAGCTCGTGATGGCTC</t>
  </si>
  <si>
    <t xml:space="preserve">GGCGCTGAAGGGATACTGGCATATC</t>
  </si>
  <si>
    <t xml:space="preserve">S149-06</t>
  </si>
  <si>
    <t xml:space="preserve">mad_B3_P1_06</t>
  </si>
  <si>
    <t xml:space="preserve">GTCCCTGCCTCTATATCTTTGCTTGTAGTGGTAAGGGTTGATGCA</t>
  </si>
  <si>
    <t xml:space="preserve">mad_B3_P2_06</t>
  </si>
  <si>
    <t xml:space="preserve">CTGGCGGTAGGACCGGACTTTCGACTTCCACTCAACTTTAACCCG</t>
  </si>
  <si>
    <t xml:space="preserve">mad6_HCR_P1B3</t>
  </si>
  <si>
    <t xml:space="preserve">mad6_HCR_P2B3</t>
  </si>
  <si>
    <t xml:space="preserve">GCTTGTAGTGGTAAGGGTTGATGCA</t>
  </si>
  <si>
    <t xml:space="preserve">CTGGCGGTAGGACCGGACTTTCGAC</t>
  </si>
  <si>
    <t xml:space="preserve">S149-07</t>
  </si>
  <si>
    <t xml:space="preserve">mad_B3_P1_07</t>
  </si>
  <si>
    <t xml:space="preserve">GTCCCTGCCTCTATATCTTTTCATCTGACGGCGGTGAATACGCGG</t>
  </si>
  <si>
    <t xml:space="preserve">mad_B3_P2_07</t>
  </si>
  <si>
    <t xml:space="preserve">GGCGCGACTTCCCCCGGGGGTTCACTTCCACTCAACTTTAACCCG</t>
  </si>
  <si>
    <t xml:space="preserve">mad7_HCR_P1B3</t>
  </si>
  <si>
    <t xml:space="preserve">mad7_HCR_P2B3</t>
  </si>
  <si>
    <t xml:space="preserve">TCATCTGACGGCGGTGAATACGCGG</t>
  </si>
  <si>
    <t xml:space="preserve">GGCGCGACTTCCCCCGGGGGTTCAC</t>
  </si>
  <si>
    <t xml:space="preserve">S149-08</t>
  </si>
  <si>
    <t xml:space="preserve">mad_B3_P1_08</t>
  </si>
  <si>
    <t xml:space="preserve">GTCCCTGCCTCTATATCTTTGCAACGGACGCCCAGTACAAAGGCT</t>
  </si>
  <si>
    <t xml:space="preserve">mad_B3_P2_08</t>
  </si>
  <si>
    <t xml:space="preserve">CCGACTCTGCAGTTCAGTTCGTAGTTTCCACTCAACTTTAACCCG</t>
  </si>
  <si>
    <t xml:space="preserve">mad8_HCR_P1B3</t>
  </si>
  <si>
    <t xml:space="preserve">mad8_HCR_P2B3</t>
  </si>
  <si>
    <t xml:space="preserve">GCAACGGACGCCCAGTACAAAGGCT</t>
  </si>
  <si>
    <t xml:space="preserve">CCGACTCTGCAGTTCAGTTCGTAGT</t>
  </si>
  <si>
    <t xml:space="preserve">S149-09</t>
  </si>
  <si>
    <t xml:space="preserve">mad_B3_P1_09</t>
  </si>
  <si>
    <t xml:space="preserve">GTCCCTGCCTCTATATCTTTCCTGTTCACATTGCTCAATTGTCCC</t>
  </si>
  <si>
    <t xml:space="preserve">mad_B3_P2_09</t>
  </si>
  <si>
    <t xml:space="preserve">ACGCCTCGTGTTCTCGATCGTCGAATTCCACTCAACTTTAACCCG</t>
  </si>
  <si>
    <t xml:space="preserve">mad9_HCR_P1B3</t>
  </si>
  <si>
    <t xml:space="preserve">mad9_HCR_P2B3</t>
  </si>
  <si>
    <t xml:space="preserve">CCTGTTCACATTGCTCAATTGTCCC</t>
  </si>
  <si>
    <t xml:space="preserve">ACGCCTCGTGTTCTCGATCGTCGAA</t>
  </si>
  <si>
    <t xml:space="preserve">S149-10</t>
  </si>
  <si>
    <t xml:space="preserve">mad_B3_P1_10</t>
  </si>
  <si>
    <t xml:space="preserve">GTCCCTGCCTCTATATCTTTGCCCCCGACGTAGTATAAATGTACG</t>
  </si>
  <si>
    <t xml:space="preserve">mad_B3_P2_10</t>
  </si>
  <si>
    <t xml:space="preserve">GTCCGACAAACATTCAGCGTACACTTTCCACTCAACTTTAACCCG</t>
  </si>
  <si>
    <t xml:space="preserve">mad10_HCR_P1B3</t>
  </si>
  <si>
    <t xml:space="preserve">mad10_HCR_P2B3</t>
  </si>
  <si>
    <t xml:space="preserve">GCCCCCGACGTAGTATAAATGTACG</t>
  </si>
  <si>
    <t xml:space="preserve">GTCCGACAAACATTCAGCGTACACT</t>
  </si>
  <si>
    <t xml:space="preserve">S150-01</t>
  </si>
  <si>
    <t xml:space="preserve">mad4_B3_P1_01</t>
  </si>
  <si>
    <t xml:space="preserve">GTCCCTGCCTCTATATCTTTGCTCTCTTGGAGAAACCCTCGCTC</t>
  </si>
  <si>
    <t xml:space="preserve">mad4_B3_P2_01</t>
  </si>
  <si>
    <t xml:space="preserve">TTCAACTTCTTGACTAGTGACTCAATTCCACTCAACTTTAACCCG</t>
  </si>
  <si>
    <t xml:space="preserve">Mad41_P1_B3</t>
  </si>
  <si>
    <t xml:space="preserve">Mad41_P2_B3</t>
  </si>
  <si>
    <t xml:space="preserve">GCTCTCTTGGAGAAACCCTCGCTC</t>
  </si>
  <si>
    <t xml:space="preserve">TTCAACTTCTTGACTAGTGACTCAA</t>
  </si>
  <si>
    <t xml:space="preserve">S150-02</t>
  </si>
  <si>
    <t xml:space="preserve">mad4_B3_P1_02</t>
  </si>
  <si>
    <t xml:space="preserve">GTCCCTGCCTCTATATCTTTTTCTTCCTGCTACCTGTAACCGACC</t>
  </si>
  <si>
    <t xml:space="preserve">mad4_B3_P2_02</t>
  </si>
  <si>
    <t xml:space="preserve">GGGCGTAGATGACGTGAGGAAAACCTTCCACTCAACTTTAACCCG</t>
  </si>
  <si>
    <t xml:space="preserve">Mad42_P1_B3</t>
  </si>
  <si>
    <t xml:space="preserve">Mad42_P2_B3</t>
  </si>
  <si>
    <t xml:space="preserve">TTCTTCCTGCTACCTGTAACCGACC</t>
  </si>
  <si>
    <t xml:space="preserve">GGGCGTAGATGACGTGAGGAAAACC</t>
  </si>
  <si>
    <t xml:space="preserve">S150-03</t>
  </si>
  <si>
    <t xml:space="preserve">mad4_B3_P1_03</t>
  </si>
  <si>
    <t xml:space="preserve">GTCCCTGCCTCTATATCTTTACAACTCTCTCATAGTGGTAAGGGT</t>
  </si>
  <si>
    <t xml:space="preserve">mad4_B3_P2_03</t>
  </si>
  <si>
    <t xml:space="preserve">TTCGCAACGCCATCTGGCGCTGGAGTTCCACTCAACTTTAACCCG</t>
  </si>
  <si>
    <t xml:space="preserve">Mad43_P1_B3</t>
  </si>
  <si>
    <t xml:space="preserve">Mad43_P2_B3</t>
  </si>
  <si>
    <t xml:space="preserve">ACAACTCTCTCATAGTGGTAAGGGT</t>
  </si>
  <si>
    <t xml:space="preserve">TTCGCAACGCCATCTGGCGCTGGAG</t>
  </si>
  <si>
    <t xml:space="preserve">S150-04</t>
  </si>
  <si>
    <t xml:space="preserve">mad4_B3_P1_04</t>
  </si>
  <si>
    <t xml:space="preserve">GTCCCTGCCTCTATATCTTTCTGGCATCTGATTCGACTGGTGGTT</t>
  </si>
  <si>
    <t xml:space="preserve">mad4_B3_P2_04</t>
  </si>
  <si>
    <t xml:space="preserve">GTGTCCCCGGCCCCATTTGCGGTGTTTCCACTCAACTTTAACCCG</t>
  </si>
  <si>
    <t xml:space="preserve">Mad44_P1_B3</t>
  </si>
  <si>
    <t xml:space="preserve">Mad44_P2_B3</t>
  </si>
  <si>
    <t xml:space="preserve">CTGGCATCTGATTCGACTGGTGGTT</t>
  </si>
  <si>
    <t xml:space="preserve">GTGTCCCCGGCCCCATTTGCGGTGT</t>
  </si>
  <si>
    <t xml:space="preserve">S150-05</t>
  </si>
  <si>
    <t xml:space="preserve">mad4_B3_P1_05</t>
  </si>
  <si>
    <t xml:space="preserve">GTCCCTGCCTCTATATCTTTCCCATCTGAGGCGGCCCTGGTCCCA</t>
  </si>
  <si>
    <t xml:space="preserve">mad4_B3_P2_05</t>
  </si>
  <si>
    <t xml:space="preserve">TTTGTCCCCATCTGCGGTGTCCCCGTTCCACTCAACTTTAACCCG</t>
  </si>
  <si>
    <t xml:space="preserve">Mad45_P1_B3</t>
  </si>
  <si>
    <t xml:space="preserve">Mad45_P2_B3</t>
  </si>
  <si>
    <t xml:space="preserve">CCCATCTGAGGCGGCCCTGGTCCCA</t>
  </si>
  <si>
    <t xml:space="preserve">TTTGTCCCCATCTGCGGTGTCCCCG</t>
  </si>
  <si>
    <t xml:space="preserve">S151-01</t>
  </si>
  <si>
    <t xml:space="preserve">mad6_B3_P1_01</t>
  </si>
  <si>
    <t xml:space="preserve">GTCCCTGCCTCTATATCTTTCGTCTTGTGTAATTTCGCCGTGTTC</t>
  </si>
  <si>
    <t xml:space="preserve">mad6_B3_P2_01</t>
  </si>
  <si>
    <t xml:space="preserve">CAAGCCGCTCATGATTCGTCCTCCTTTCCACTCAACTTTAACCCG</t>
  </si>
  <si>
    <t xml:space="preserve">Mad61_P1_B3</t>
  </si>
  <si>
    <t xml:space="preserve">Mad61_P2_B3</t>
  </si>
  <si>
    <t xml:space="preserve">S151-02</t>
  </si>
  <si>
    <t xml:space="preserve">mad6_B3_P1_02</t>
  </si>
  <si>
    <t xml:space="preserve">GTCCCTGCCTCTATATCTTTAAGCCGCTCATGATTCGTCCTCCTC</t>
  </si>
  <si>
    <t xml:space="preserve">mad6_B3_P2_02</t>
  </si>
  <si>
    <t xml:space="preserve">GCCATCAGTAGCGAGGGAGCCTGTATTCCACTCAACTTTAACCCG</t>
  </si>
  <si>
    <t xml:space="preserve">B3_P1(mad6)_4</t>
  </si>
  <si>
    <t xml:space="preserve">B3_P2(mad6)_4</t>
  </si>
  <si>
    <t xml:space="preserve">AAGCCGCTCATGATTCGTCCTCCTC</t>
  </si>
  <si>
    <t xml:space="preserve">GCCATCAGTAGCGAGGGAGCCTGTA</t>
  </si>
  <si>
    <t xml:space="preserve">S151-03</t>
  </si>
  <si>
    <t xml:space="preserve">mad6_B3_P1_03</t>
  </si>
  <si>
    <t xml:space="preserve">GTCCCTGCCTCTATATCTTTCCCAGCTCTGCCGCTCTTCGCCATC</t>
  </si>
  <si>
    <t xml:space="preserve">mad6_B3_P2_03</t>
  </si>
  <si>
    <t xml:space="preserve">AGTACGCCAGCCTGCACCACTCGGTTTCCACTCAACTTTAACCCG</t>
  </si>
  <si>
    <t xml:space="preserve">Mad62_P1_B3</t>
  </si>
  <si>
    <t xml:space="preserve">Mad62_P2_B3</t>
  </si>
  <si>
    <t xml:space="preserve">S151-04</t>
  </si>
  <si>
    <t xml:space="preserve">mad6_B3_P1_04</t>
  </si>
  <si>
    <t xml:space="preserve">GTCCCTGCCTCTATATCTTTACGCCAGCCTGCACCACTCGGTCTC</t>
  </si>
  <si>
    <t xml:space="preserve">mad6_B3_P2_04</t>
  </si>
  <si>
    <t xml:space="preserve">GCCCCACACGCTGCGTCAGCTCCCATTCCACTCAACTTTAACCCG</t>
  </si>
  <si>
    <t xml:space="preserve">B3_P1(mad6)_5</t>
  </si>
  <si>
    <t xml:space="preserve">B3_P2(mad6)_5</t>
  </si>
  <si>
    <t xml:space="preserve">ACGCCAGCCTGCACCACTCGGTCTC</t>
  </si>
  <si>
    <t xml:space="preserve">GCCCCACACGCTGCGTCAGCTCCCA</t>
  </si>
  <si>
    <t xml:space="preserve">S151-05</t>
  </si>
  <si>
    <t xml:space="preserve">mad6_B3_P1_05</t>
  </si>
  <si>
    <t xml:space="preserve">GTCCCTGCCTCTATATCTTTCGCGCGCAGCACGGCCGGGCGCAGC</t>
  </si>
  <si>
    <t xml:space="preserve">mad6_B3_P2_05</t>
  </si>
  <si>
    <t xml:space="preserve">GCTGGGGTCCCGCAGGTCGGGGCGGTTCCACTCAACTTTAACCCG</t>
  </si>
  <si>
    <t xml:space="preserve">B3_P1(mad6)_1</t>
  </si>
  <si>
    <t xml:space="preserve">B3_P2(mad6)_1</t>
  </si>
  <si>
    <t xml:space="preserve">CGCGCGCAGCACGGCCGGGCGCAGC</t>
  </si>
  <si>
    <t xml:space="preserve">GCTGGGGTCCCGCAGGTCGGGGCGG</t>
  </si>
  <si>
    <t xml:space="preserve">T112</t>
  </si>
  <si>
    <t xml:space="preserve">S151-06</t>
  </si>
  <si>
    <t xml:space="preserve">mad6_B3_P1_06</t>
  </si>
  <si>
    <t xml:space="preserve">GTCCCTGCCTCTATATCTTTGCCAATCTTCGCTCGAGTTTTTCGC</t>
  </si>
  <si>
    <t xml:space="preserve">mad6_B3_P2_06</t>
  </si>
  <si>
    <t xml:space="preserve">AGATTCTAAGGACAGTGTGACACCTTTCCACTCAACTTTAACCCG</t>
  </si>
  <si>
    <t xml:space="preserve">Mad63_P1_B3</t>
  </si>
  <si>
    <t xml:space="preserve">Mad63_P2_B3</t>
  </si>
  <si>
    <t xml:space="preserve">S151-07</t>
  </si>
  <si>
    <t xml:space="preserve">mad6_B3_P1_07</t>
  </si>
  <si>
    <t xml:space="preserve">GTCCCTGCCTCTATATCTTTCGCCATCAGATTCTAAGGACAGTGT</t>
  </si>
  <si>
    <t xml:space="preserve">mad6_B3_P2_07</t>
  </si>
  <si>
    <t xml:space="preserve">GTTCTTGGCTTCTATTGTAGAGCCATTCCACTCAACTTTAACCCG</t>
  </si>
  <si>
    <t xml:space="preserve">B3_P1(mad6)_8</t>
  </si>
  <si>
    <t xml:space="preserve">B3_P2(mad6)_8</t>
  </si>
  <si>
    <t xml:space="preserve">CGCCATCAGATTCTAAGGACAGTGT</t>
  </si>
  <si>
    <t xml:space="preserve">GTTCTTGGCTTCTATTGTAGAGCCA</t>
  </si>
  <si>
    <t xml:space="preserve">S151-08</t>
  </si>
  <si>
    <t xml:space="preserve">mad6_B3_P1_08</t>
  </si>
  <si>
    <t xml:space="preserve">GTCCCTGCCTCTATATCTTTAGCAGTGGTGGTGCTCGCAGTGCGG</t>
  </si>
  <si>
    <t xml:space="preserve">mad6_B3_P2_08</t>
  </si>
  <si>
    <t xml:space="preserve">AGAGGCGGCTGTAGTGGTAGGGGTTTTCCACTCAACTTTAACCCG</t>
  </si>
  <si>
    <t xml:space="preserve">B3_P1(mad6)_2</t>
  </si>
  <si>
    <t xml:space="preserve">B3_P2(mad6)_2</t>
  </si>
  <si>
    <t xml:space="preserve">AGCAGTGGTGGTGCTCGCAGTGCGG</t>
  </si>
  <si>
    <t xml:space="preserve">AGAGGCGGCTGTAGTGGTAGGGGTT</t>
  </si>
  <si>
    <t xml:space="preserve">S151-09</t>
  </si>
  <si>
    <t xml:space="preserve">mad6_B3_P1_09</t>
  </si>
  <si>
    <t xml:space="preserve">GTCCCTGCCTCTATATCTTTGCTTTCGCAGCAGCAGCGTCTAACG</t>
  </si>
  <si>
    <t xml:space="preserve">mad6_B3_P2_09</t>
  </si>
  <si>
    <t xml:space="preserve">CCTGGTGCAACCCTCCATACAAGAATTCCACTCAACTTTAACCCG</t>
  </si>
  <si>
    <t xml:space="preserve">B3_P1(mad6)_9</t>
  </si>
  <si>
    <t xml:space="preserve">B3_P2(mad6)_9</t>
  </si>
  <si>
    <t xml:space="preserve">GCTTTCGCAGCAGCAGCGTCTAACG</t>
  </si>
  <si>
    <t xml:space="preserve">CCTGGTGCAACCCTCCATACAAGAA</t>
  </si>
  <si>
    <t xml:space="preserve">S151-10</t>
  </si>
  <si>
    <t xml:space="preserve">mad6_B3_P1_10</t>
  </si>
  <si>
    <t xml:space="preserve">GTCCCTGCCTCTATATCTTTTTGCGATTCGACTGTATGGAGGTGG</t>
  </si>
  <si>
    <t xml:space="preserve">mad6_B3_P2_10</t>
  </si>
  <si>
    <t xml:space="preserve">CGTGTTCTTTCGGTTTTACGTCGTCTTCCACTCAACTTTAACCCG</t>
  </si>
  <si>
    <t xml:space="preserve">B3_P1(mad6)_3</t>
  </si>
  <si>
    <t xml:space="preserve">B3_P2(mad6)_3</t>
  </si>
  <si>
    <t xml:space="preserve">TTGCGATTCGACTGTATGGAGGTGG</t>
  </si>
  <si>
    <t xml:space="preserve">CGTGTTCTTTCGGTTTTACGTCGTC</t>
  </si>
  <si>
    <t xml:space="preserve">S151-11</t>
  </si>
  <si>
    <t xml:space="preserve">mad6_B3_P1_11</t>
  </si>
  <si>
    <t xml:space="preserve">GTCCCTGCCTCTATATCTTTCAGAGACAGTGTCCTGGTGCAACCC</t>
  </si>
  <si>
    <t xml:space="preserve">mad6_B3_P2_11</t>
  </si>
  <si>
    <t xml:space="preserve">GGCGGGGGCGACGAGGGGTCGAAGATTCCACTCAACTTTAACCCG</t>
  </si>
  <si>
    <t xml:space="preserve">Mad64_P1_B3</t>
  </si>
  <si>
    <t xml:space="preserve">Mad64_P2_B3</t>
  </si>
  <si>
    <t xml:space="preserve">S151-12</t>
  </si>
  <si>
    <t xml:space="preserve">mad6_B3_P1_12</t>
  </si>
  <si>
    <t xml:space="preserve">GTCCCTGCCTCTATATCTTTACAGCGGGCGGGGGCGACGAGGGGT</t>
  </si>
  <si>
    <t xml:space="preserve">mad6_B3_P2_12</t>
  </si>
  <si>
    <t xml:space="preserve">TCAACTGGCCCCACGTGGGGTAGCGTTCCACTCAACTTTAACCCG</t>
  </si>
  <si>
    <t xml:space="preserve">B3_P1(mad6)_10</t>
  </si>
  <si>
    <t xml:space="preserve">B3_P2(mad6)_10</t>
  </si>
  <si>
    <t xml:space="preserve">ACAGCGGGCGGGGGCGACGAGGGGT</t>
  </si>
  <si>
    <t xml:space="preserve">TCAACTGGCCCCACGTGGGGTAGCG</t>
  </si>
  <si>
    <t xml:space="preserve">S151-13</t>
  </si>
  <si>
    <t xml:space="preserve">mad6_B3_P1_13</t>
  </si>
  <si>
    <t xml:space="preserve">GTCCCTGCCTCTATATCTTTTCACAGATCTGGGGTCAACTGGCCC</t>
  </si>
  <si>
    <t xml:space="preserve">mad6_B3_P2_13</t>
  </si>
  <si>
    <t xml:space="preserve">GGCCCCAGCCTTTCGCGAACGATATTTCCACTCAACTTTAACCCG</t>
  </si>
  <si>
    <t xml:space="preserve">Mad65_P1_B3</t>
  </si>
  <si>
    <t xml:space="preserve">Mad65_P2_B3</t>
  </si>
  <si>
    <t xml:space="preserve">S151-14</t>
  </si>
  <si>
    <t xml:space="preserve">mad6_B3_P1_14</t>
  </si>
  <si>
    <t xml:space="preserve">GTCCCTGCCTCTATATCTTTCCCCGAACACGTCCACAGCGCGCAC</t>
  </si>
  <si>
    <t xml:space="preserve">mad6_B3_P2_14</t>
  </si>
  <si>
    <t xml:space="preserve">GCCTGCCGGCGCACGTGTCGCCCCCTTCCACTCAACTTTAACCCG</t>
  </si>
  <si>
    <t xml:space="preserve">B3_P1(mad6)_6</t>
  </si>
  <si>
    <t xml:space="preserve">B3_P2(mad6)_6</t>
  </si>
  <si>
    <t xml:space="preserve">CCCCGAACACGTCCACAGCGCGCAC</t>
  </si>
  <si>
    <t xml:space="preserve">GCCTGCCGGCGCACGTGTCGCCCCC</t>
  </si>
  <si>
    <t xml:space="preserve">S151-15</t>
  </si>
  <si>
    <t xml:space="preserve">mad6_B3_P1_15</t>
  </si>
  <si>
    <t xml:space="preserve">GTCCCTGCCTCTATATCTTTTTGCGGCTCCTTGGTGTCGAGCGCG</t>
  </si>
  <si>
    <t xml:space="preserve">mad6_B3_P2_15</t>
  </si>
  <si>
    <t xml:space="preserve">CGCTCGAGTTTTTCGCACCTGTTCATTCCACTCAACTTTAACCCG</t>
  </si>
  <si>
    <t xml:space="preserve">B3_P1(mad6)_7</t>
  </si>
  <si>
    <t xml:space="preserve">B3_P2(mad6)_7</t>
  </si>
  <si>
    <t xml:space="preserve">TTGCGGCTCCTTGGTGTCGAGCGCG</t>
  </si>
  <si>
    <t xml:space="preserve">CGCTCGAGTTTTTCGCACCTGTTCA</t>
  </si>
  <si>
    <t xml:space="preserve">S152-01</t>
  </si>
  <si>
    <t xml:space="preserve">naked-cuticle_B3_P1_01</t>
  </si>
  <si>
    <t xml:space="preserve">GTCCCTGCCTCTATATCTTTCATTTCTAAACTTGTTGCGCCACCA</t>
  </si>
  <si>
    <t xml:space="preserve">naked-cuticle_B3_P2_01</t>
  </si>
  <si>
    <t xml:space="preserve">CGGTGCCTATGCTGAATTTCTTATATTCCACTCAACTTTAACCCG</t>
  </si>
  <si>
    <t xml:space="preserve">CATTTCTAAACTTGTTGCGCCACCA</t>
  </si>
  <si>
    <t xml:space="preserve">CGGTGCCTATGCTGAATTTCTTATA</t>
  </si>
  <si>
    <t xml:space="preserve">S152-02</t>
  </si>
  <si>
    <t xml:space="preserve">naked-cuticle_B3_P1_02</t>
  </si>
  <si>
    <t xml:space="preserve">GTCCCTGCCTCTATATCTTTGCACTGGGACGCTGCTCGTCCTACC</t>
  </si>
  <si>
    <t xml:space="preserve">naked-cuticle_B3_P2_02</t>
  </si>
  <si>
    <t xml:space="preserve">GCTGGGCAAGATGTCCGGCGGCGCATTCCACTCAACTTTAACCCG</t>
  </si>
  <si>
    <t xml:space="preserve">GCACTGGGACGCTGCTCGTCCTACC</t>
  </si>
  <si>
    <t xml:space="preserve">GCTGGGCAAGATGTCCGGCGGCGCA</t>
  </si>
  <si>
    <t xml:space="preserve">S152-03</t>
  </si>
  <si>
    <t xml:space="preserve">naked-cuticle_B3_P1_03</t>
  </si>
  <si>
    <t xml:space="preserve">GTCCCTGCCTCTATATCTTTTTCCTCGCCGGCACAGGCGGCGGGG</t>
  </si>
  <si>
    <t xml:space="preserve">naked-cuticle_B3_P2_03</t>
  </si>
  <si>
    <t xml:space="preserve">GGCGGCCTCTTGGCGTAGGGTTCTGTTCCACTCAACTTTAACCCG</t>
  </si>
  <si>
    <t xml:space="preserve">TTCCTCGCCGGCACAGGCGGCGGGG</t>
  </si>
  <si>
    <t xml:space="preserve">GGCGGCCTCTTGGCGTAGGGTTCTG</t>
  </si>
  <si>
    <t xml:space="preserve">S152-04</t>
  </si>
  <si>
    <t xml:space="preserve">naked-cuticle_B3_P1_04</t>
  </si>
  <si>
    <t xml:space="preserve">GTCCCTGCCTCTATATCTTTATCGCAGTCTAGGCTGCTTTTCATC</t>
  </si>
  <si>
    <t xml:space="preserve">naked-cuticle_B3_P2_04</t>
  </si>
  <si>
    <t xml:space="preserve">GTTCGACGTCGCAAGTCAGCTCCTCTTCCACTCAACTTTAACCCG</t>
  </si>
  <si>
    <t xml:space="preserve">ATCGCAGTCTAGGCTGCTTTTCATC</t>
  </si>
  <si>
    <t xml:space="preserve">GTTCGACGTCGCAAGTCAGCTCCTC</t>
  </si>
  <si>
    <t xml:space="preserve">S152-05</t>
  </si>
  <si>
    <t xml:space="preserve">naked-cuticle_B3_P1_05</t>
  </si>
  <si>
    <t xml:space="preserve">GTCCCTGCCTCTATATCTTTGAGCGTAAAAGAAAACTGCAACGGT</t>
  </si>
  <si>
    <t xml:space="preserve">naked-cuticle_B3_P2_05</t>
  </si>
  <si>
    <t xml:space="preserve">CATCCTGCCGTGACCGTCAAGGTCGTTCCACTCAACTTTAACCCG</t>
  </si>
  <si>
    <t xml:space="preserve">GAGCGTAAAAGAAAACTGCAACGGT</t>
  </si>
  <si>
    <t xml:space="preserve">CATCCTGCCGTGACCGTCAAGGTCG</t>
  </si>
  <si>
    <t xml:space="preserve">S152-06</t>
  </si>
  <si>
    <t xml:space="preserve">naked-cuticle_B3_P1_06</t>
  </si>
  <si>
    <t xml:space="preserve">GTCCCTGCCTCTATATCTTTTTTCCTATCGACTCGTATATAGTCG</t>
  </si>
  <si>
    <t xml:space="preserve">naked-cuticle_B3_P2_06</t>
  </si>
  <si>
    <t xml:space="preserve">GACCCGTAGTGCGGAACTGTGACCGTTCCACTCAACTTTAACCCG</t>
  </si>
  <si>
    <t xml:space="preserve">TTTCCTATCGACTCGTATATAGTCG</t>
  </si>
  <si>
    <t xml:space="preserve">GACCCGTAGTGCGGAACTGTGACCG</t>
  </si>
  <si>
    <t xml:space="preserve">S152-07</t>
  </si>
  <si>
    <t xml:space="preserve">naked-cuticle_B3_P1_07</t>
  </si>
  <si>
    <t xml:space="preserve">GTCCCTGCCTCTATATCTTTTGAGAGGTCGTCCGTCTTCCGGTAC</t>
  </si>
  <si>
    <t xml:space="preserve">naked-cuticle_B3_P2_07</t>
  </si>
  <si>
    <t xml:space="preserve">TTCTTCTTTCTCTTCTATCCCGAGGTTCCACTCAACTTTAACCCG</t>
  </si>
  <si>
    <t xml:space="preserve">TGAGAGGTCGTCCGTCTTCCGGTAC</t>
  </si>
  <si>
    <t xml:space="preserve">TTCTTCTTTCTCTTCTATCCCGAGG</t>
  </si>
  <si>
    <t xml:space="preserve">S152-08</t>
  </si>
  <si>
    <t xml:space="preserve">naked-cuticle_B3_P1_08</t>
  </si>
  <si>
    <t xml:space="preserve">GTCCCTGCCTCTATATCTTTAGCGCACTCTGCTGGCGGAGTCAAG</t>
  </si>
  <si>
    <t xml:space="preserve">naked-cuticle_B3_P2_08</t>
  </si>
  <si>
    <t xml:space="preserve">GTCGTGATGCTCATCCTCACTATGCTTCCACTCAACTTTAACCCG</t>
  </si>
  <si>
    <t xml:space="preserve">AGCGCACTCTGCTGGCGGAGTCAAG</t>
  </si>
  <si>
    <t xml:space="preserve">GTCGTGATGCTCATCCTCACTATGC</t>
  </si>
  <si>
    <t xml:space="preserve">S152-09</t>
  </si>
  <si>
    <t xml:space="preserve">naked-cuticle_B3_P1_09</t>
  </si>
  <si>
    <t xml:space="preserve">GTCCCTGCCTCTATATCTTTCGATCTCCAGAATACGAGGACTTCG</t>
  </si>
  <si>
    <t xml:space="preserve">naked-cuticle_B3_P2_09</t>
  </si>
  <si>
    <t xml:space="preserve">AATGGTGGTGGTCGCTGCGGTGGCTTTCCACTCAACTTTAACCCG</t>
  </si>
  <si>
    <t xml:space="preserve">CGATCTCCAGAATACGAGGACTTCG</t>
  </si>
  <si>
    <t xml:space="preserve">AATGGTGGTGGTCGCTGCGGTGGCT</t>
  </si>
  <si>
    <t xml:space="preserve">S152-10</t>
  </si>
  <si>
    <t xml:space="preserve">naked-cuticle_B3_P1_10</t>
  </si>
  <si>
    <t xml:space="preserve">GTCCCTGCCTCTATATCTTTGGTTTTTTTCCATGTTCGCCTGTAT</t>
  </si>
  <si>
    <t xml:space="preserve">naked-cuticle_B3_P2_10</t>
  </si>
  <si>
    <t xml:space="preserve">GCTTTCTTGAAGCTTGAAAGCTCATTTCCACTCAACTTTAACCCG</t>
  </si>
  <si>
    <t xml:space="preserve">GGTTTTTTTCCATGTTCGCCTGTAT</t>
  </si>
  <si>
    <t xml:space="preserve">GCTTTCTTGAAGCTTGAAAGCTCAT</t>
  </si>
  <si>
    <t xml:space="preserve">S152-11</t>
  </si>
  <si>
    <t xml:space="preserve">naked-cuticle_B3_P1_11</t>
  </si>
  <si>
    <t xml:space="preserve">GTCCCTGCCTCTATATCTTTTCGCTGACAGTGTACGATCTATTTC</t>
  </si>
  <si>
    <t xml:space="preserve">naked-cuticle_B3_P2_11</t>
  </si>
  <si>
    <t xml:space="preserve">GATTTTTGGAATGCATGTGCAGGTTTTCCACTCAACTTTAACCCG</t>
  </si>
  <si>
    <t xml:space="preserve">TCGCTGACAGTGTACGATCTATTTC</t>
  </si>
  <si>
    <t xml:space="preserve">GATTTTTGGAATGCATGTGCAGGTT</t>
  </si>
  <si>
    <t xml:space="preserve">S152-12</t>
  </si>
  <si>
    <t xml:space="preserve">naked-cuticle_B3_P1_12</t>
  </si>
  <si>
    <t xml:space="preserve">GTCCCTGCCTCTATATCTTTAGTCGCCTCCACTCGCCAAGTCTAA</t>
  </si>
  <si>
    <t xml:space="preserve">naked-cuticle_B3_P2_12</t>
  </si>
  <si>
    <t xml:space="preserve">AGTACCTGTCGTATCTGCATAAGTTTTCCACTCAACTTTAACCCG</t>
  </si>
  <si>
    <t xml:space="preserve">AGTCGCCTCCACTCGCCAAGTCTAA</t>
  </si>
  <si>
    <t xml:space="preserve">AGTACCTGTCGTATCTGCATAAGTT</t>
  </si>
  <si>
    <t xml:space="preserve">S152-13</t>
  </si>
  <si>
    <t xml:space="preserve">naked-cuticle_B3_P1_13</t>
  </si>
  <si>
    <t xml:space="preserve">GTCCCTGCCTCTATATCTTTCTGGTGGTAGCCCGTGTGTGCGTGC</t>
  </si>
  <si>
    <t xml:space="preserve">naked-cuticle_B3_P2_13</t>
  </si>
  <si>
    <t xml:space="preserve">GGTGTGTCTTGGAGGCTGCGAATGCTTCCACTCAACTTTAACCCG</t>
  </si>
  <si>
    <t xml:space="preserve">CTGGTGGTAGCCCGTGTGTGCGTGC</t>
  </si>
  <si>
    <t xml:space="preserve">GGTGTGTCTTGGAGGCTGCGAATGC</t>
  </si>
  <si>
    <t xml:space="preserve">S152-14</t>
  </si>
  <si>
    <t xml:space="preserve">naked-cuticle_B3_P1_14</t>
  </si>
  <si>
    <t xml:space="preserve">GTCCCTGCCTCTATATCTTTTGATGTTGAGTGGGCAAATCATGTG</t>
  </si>
  <si>
    <t xml:space="preserve">naked-cuticle_B3_P2_14</t>
  </si>
  <si>
    <t xml:space="preserve">TGAAGCACTCTTGGCTGTTGTGTTGTTCCACTCAACTTTAACCCG</t>
  </si>
  <si>
    <t xml:space="preserve">TGATGTTGAGTGGGCAAATCATGTG</t>
  </si>
  <si>
    <t xml:space="preserve">TGAAGCACTCTTGGCTGTTGTGTTG</t>
  </si>
  <si>
    <t xml:space="preserve">S152-15</t>
  </si>
  <si>
    <t xml:space="preserve">naked-cuticle_B3_P1_15</t>
  </si>
  <si>
    <t xml:space="preserve">GTCCCTGCCTCTATATCTTTCTTTCTCGCGGCTCCCTCCTCGCAT</t>
  </si>
  <si>
    <t xml:space="preserve">naked-cuticle_B3_P2_15</t>
  </si>
  <si>
    <t xml:space="preserve">CTTCCAGATCTCTTTTTCGAGTGTTTTCCACTCAACTTTAACCCG</t>
  </si>
  <si>
    <t xml:space="preserve">CTTTCTCGCGGCTCCCTCCTCGCAT</t>
  </si>
  <si>
    <t xml:space="preserve">CTTCCAGATCTCTTTTTCGAGTGTT</t>
  </si>
  <si>
    <t xml:space="preserve">S153-01</t>
  </si>
  <si>
    <t xml:space="preserve">OBPA10.2_B3_P1_01</t>
  </si>
  <si>
    <t xml:space="preserve">GTCCCTGCCTCTATATCTTTGGCTTGCCTTAGCCTTGGGTTCTCC</t>
  </si>
  <si>
    <t xml:space="preserve">OBPA10.2_B3_P2_01</t>
  </si>
  <si>
    <t xml:space="preserve">CCCCTTACCAAGCATACAGTTGCCATTCCACTCAACTTTAACCCG</t>
  </si>
  <si>
    <t xml:space="preserve">B3_P1(OBPA10.2)_1</t>
  </si>
  <si>
    <t xml:space="preserve">B3_P2(OBPA10.2)_1</t>
  </si>
  <si>
    <t xml:space="preserve">GGCTTGCCTTAGCCTTGGGTTCTCC</t>
  </si>
  <si>
    <t xml:space="preserve">CCCCTTACCAAGCATACAGTTGCCA</t>
  </si>
  <si>
    <t xml:space="preserve">S153-02</t>
  </si>
  <si>
    <t xml:space="preserve">OBPA10.2_B3_P1_02</t>
  </si>
  <si>
    <t xml:space="preserve">GTCCCTGCCTCTATATCTTTCCTGCATATGTTCTGTGAGTTCCTT</t>
  </si>
  <si>
    <t xml:space="preserve">OBPA10.2_B3_P2_02</t>
  </si>
  <si>
    <t xml:space="preserve">ATTTTTTGCATCCAGTCTCAAGGGCTTCCACTCAACTTTAACCCG</t>
  </si>
  <si>
    <t xml:space="preserve">B3_P1(OBPA10.2)_2</t>
  </si>
  <si>
    <t xml:space="preserve">B3_P2(OBPA10.2)_2</t>
  </si>
  <si>
    <t xml:space="preserve">CCTGCATATGTTCTGTGAGTTCCTT</t>
  </si>
  <si>
    <t xml:space="preserve">ATTTTTTGCATCCAGTCTCAAGGGC</t>
  </si>
  <si>
    <t xml:space="preserve">S153-03</t>
  </si>
  <si>
    <t xml:space="preserve">OBPA10.2_B3_P1_03</t>
  </si>
  <si>
    <t xml:space="preserve">GTCCCTGCCTCTATATCTTTTAATCGGTCACGGTAGCTGTTCCGT</t>
  </si>
  <si>
    <t xml:space="preserve">OBPA10.2_B3_P2_03</t>
  </si>
  <si>
    <t xml:space="preserve">CACAGAGCAGGGTCGTGTTTAATGATTCCACTCAACTTTAACCCG</t>
  </si>
  <si>
    <t xml:space="preserve">B3_P1(OBPA10.2)_3</t>
  </si>
  <si>
    <t xml:space="preserve">B3_P2(OBPA10.2)_3</t>
  </si>
  <si>
    <t xml:space="preserve">TAATCGGTCACGGTAGCTGTTCCGT</t>
  </si>
  <si>
    <t xml:space="preserve">CACAGAGCAGGGTCGTGTTTAATGA</t>
  </si>
  <si>
    <t xml:space="preserve">S153-04</t>
  </si>
  <si>
    <t xml:space="preserve">OBPA10.2_B3_P1_04</t>
  </si>
  <si>
    <t xml:space="preserve">GTCCCTGCCTCTATATCTTTCCTGTAGGTTCCCGTGGGGTCAAAC</t>
  </si>
  <si>
    <t xml:space="preserve">OBPA10.2_B3_P2_04</t>
  </si>
  <si>
    <t xml:space="preserve">TTCTCTAGCACGGTCTTCGTACTGCTTCCACTCAACTTTAACCCG</t>
  </si>
  <si>
    <t xml:space="preserve">B3_P1(OBPA10.2)_4</t>
  </si>
  <si>
    <t xml:space="preserve">B3_P2(OBPA10.2)_4</t>
  </si>
  <si>
    <t xml:space="preserve">CCTGTAGGTTCCCGTGGGGTCAAAC</t>
  </si>
  <si>
    <t xml:space="preserve">TTCTCTAGCACGGTCTTCGTACTGC</t>
  </si>
  <si>
    <t xml:space="preserve">S153-05</t>
  </si>
  <si>
    <t xml:space="preserve">OBPA10.2_B3_P1_05</t>
  </si>
  <si>
    <t xml:space="preserve">GTCCCTGCCTCTATATCTTTATTTTTTGCATCCTGTTTGCATGCC</t>
  </si>
  <si>
    <t xml:space="preserve">OBPA10.2_B3_P2_05</t>
  </si>
  <si>
    <t xml:space="preserve">GTGCCTTTTCCTTTTGAGCTTGAGTTTCCACTCAACTTTAACCCG</t>
  </si>
  <si>
    <t xml:space="preserve">B3_P1(OBPA10.2)_5</t>
  </si>
  <si>
    <t xml:space="preserve">B3_P2(OBPA10.2)_5</t>
  </si>
  <si>
    <t xml:space="preserve">ATTTTTTGCATCCTGTTTGCATGCC</t>
  </si>
  <si>
    <t xml:space="preserve">GTGCCTTTTCCTTTTGAGCTTGAGT</t>
  </si>
  <si>
    <t xml:space="preserve">S153-06</t>
  </si>
  <si>
    <t xml:space="preserve">OBPA10.2_B3_P1_06</t>
  </si>
  <si>
    <t xml:space="preserve">GTCCCTGCCTCTATATCTTTCAGAATTTTGGTTCGTGATTTTTGA</t>
  </si>
  <si>
    <t xml:space="preserve">OBPA10.2_B3_P2_06</t>
  </si>
  <si>
    <t xml:space="preserve">GGATCAAATTTATGTTTTAAATCTTTTCCACTCAACTTTAACCCG</t>
  </si>
  <si>
    <t xml:space="preserve">B3_P1(OBPA10.2)_6</t>
  </si>
  <si>
    <t xml:space="preserve">B3_P2(OBPA10.2)_6</t>
  </si>
  <si>
    <t xml:space="preserve">CAGAATTTTGGTTCGTGATTTTTGA</t>
  </si>
  <si>
    <t xml:space="preserve">GGATCAAATTTATGTTTTAAATCTT</t>
  </si>
  <si>
    <t xml:space="preserve">S153-07</t>
  </si>
  <si>
    <t xml:space="preserve">OBPA10.2_B3_P1_07</t>
  </si>
  <si>
    <t xml:space="preserve">GTCCCTGCCTCTATATCTTTAGATGCCAGAAAAGCTTCATAAGTT</t>
  </si>
  <si>
    <t xml:space="preserve">OBPA10.2_B3_P2_07</t>
  </si>
  <si>
    <t xml:space="preserve">AGCACAATGTTATGTTGCTTATTCCTTCCACTCAACTTTAACCCG</t>
  </si>
  <si>
    <t xml:space="preserve">B3_P1(OBPA10.2)_7</t>
  </si>
  <si>
    <t xml:space="preserve">B3_P2(OBPA10.2)_7</t>
  </si>
  <si>
    <t xml:space="preserve">AGATGCCAGAAAAGCTTCATAAGTT</t>
  </si>
  <si>
    <t xml:space="preserve">AGCACAATGTTATGTTGCTTATTCC</t>
  </si>
  <si>
    <t xml:space="preserve">S153-08</t>
  </si>
  <si>
    <t xml:space="preserve">OBPA10.2_B3_P1_08</t>
  </si>
  <si>
    <t xml:space="preserve">GTCCCTGCCTCTATATCTTTAGATAGAGATTTATTTAGACTTTTA</t>
  </si>
  <si>
    <t xml:space="preserve">OBPA10.2_B3_P2_08</t>
  </si>
  <si>
    <t xml:space="preserve">ATTGTTAGACGATAATGCTACTTTATTCCACTCAACTTTAACCCG</t>
  </si>
  <si>
    <t xml:space="preserve">B3_P1(OBPA10.2)_8</t>
  </si>
  <si>
    <t xml:space="preserve">B3_P2(OBPA10.2)_8</t>
  </si>
  <si>
    <t xml:space="preserve">AGATAGAGATTTATTTAGACTTTTA</t>
  </si>
  <si>
    <t xml:space="preserve">ATTGTTAGACGATAATGCTACTTTA</t>
  </si>
  <si>
    <t xml:space="preserve">S154-01</t>
  </si>
  <si>
    <t xml:space="preserve">omb_B3_P1_01</t>
  </si>
  <si>
    <t xml:space="preserve">GTCCCTGCCTCTATATCTTTCGAATAATCGATAGAGGCGCCACCG</t>
  </si>
  <si>
    <t xml:space="preserve">omb_B3_P2_01</t>
  </si>
  <si>
    <t xml:space="preserve">CGCGGCGCTACGCGCGACCGAGAGGTTCCACTCAACTTTAACCCG</t>
  </si>
  <si>
    <t xml:space="preserve">Omb1_HCR_P1B3</t>
  </si>
  <si>
    <t xml:space="preserve">Omb1_HCR_P2B3</t>
  </si>
  <si>
    <t xml:space="preserve">S154-02</t>
  </si>
  <si>
    <t xml:space="preserve">omb_B3_P1_02</t>
  </si>
  <si>
    <t xml:space="preserve">GTCCCTGCCTCTATATCTTTCATGACGCGGCGGGCGCCACCCGCG</t>
  </si>
  <si>
    <t xml:space="preserve">omb_B3_P2_02</t>
  </si>
  <si>
    <t xml:space="preserve">GGTCGCGCCAGTCGCGCGGTGGTCGTTCCACTCAACTTTAACCCG</t>
  </si>
  <si>
    <t xml:space="preserve">omB2_HCR_P1B3</t>
  </si>
  <si>
    <t xml:space="preserve">omb2_HCR_P2B3</t>
  </si>
  <si>
    <t xml:space="preserve">S154-03</t>
  </si>
  <si>
    <t xml:space="preserve">omb_B3_P1_03</t>
  </si>
  <si>
    <t xml:space="preserve">GTCCCTGCCTCTATATCTTTCTTTGACAACATCCGTTGACTTTGG</t>
  </si>
  <si>
    <t xml:space="preserve">omb_B3_P2_03</t>
  </si>
  <si>
    <t xml:space="preserve">ACTAGGCACTGGGTTTGGCCACAGCTTCCACTCAACTTTAACCCG</t>
  </si>
  <si>
    <t xml:space="preserve">omb3_HCR_P1B3</t>
  </si>
  <si>
    <t xml:space="preserve">omb3_HCR_P2B3</t>
  </si>
  <si>
    <t xml:space="preserve">S154-04</t>
  </si>
  <si>
    <t xml:space="preserve">omb_B3_P1_04</t>
  </si>
  <si>
    <t xml:space="preserve">GTCCCTGCCTCTATATCTTTCAGGATCGTCAAATGATCTGAGTGG</t>
  </si>
  <si>
    <t xml:space="preserve">omb_B3_P2_04</t>
  </si>
  <si>
    <t xml:space="preserve">CCGTGGCTGGTACTTGTGCATCGAGTTCCACTCAACTTTAACCCG</t>
  </si>
  <si>
    <t xml:space="preserve">omB3_HCR_P1B3</t>
  </si>
  <si>
    <t xml:space="preserve">omB3_HCR_P2B3</t>
  </si>
  <si>
    <t xml:space="preserve">S154-05</t>
  </si>
  <si>
    <t xml:space="preserve">omb_B3_P1_05</t>
  </si>
  <si>
    <t xml:space="preserve">GTCCCTGCCTCTATATCTTTCGTTCTGGTAGGCGGTGACGGCGAT</t>
  </si>
  <si>
    <t xml:space="preserve">omb_B3_P2_05</t>
  </si>
  <si>
    <t xml:space="preserve">TGTCGATTTTCAGCTGCGTTATCTTTTCCACTCAACTTTAACCCG</t>
  </si>
  <si>
    <t xml:space="preserve">omb5_HCR_P1B3</t>
  </si>
  <si>
    <t xml:space="preserve">omb5_HCR_P2B3</t>
  </si>
  <si>
    <t xml:space="preserve">S154-06</t>
  </si>
  <si>
    <t xml:space="preserve">omb_B3_P1_06</t>
  </si>
  <si>
    <t xml:space="preserve">GTCCCTGCCTCTATATCTTTCCGCCCCCGTGTCTCGGAAGCCTTT</t>
  </si>
  <si>
    <t xml:space="preserve">omb_B3_P2_06</t>
  </si>
  <si>
    <t xml:space="preserve">ACACGGACAGATTCTTCTCCCGCTTTTCCACTCAACTTTAACCCG</t>
  </si>
  <si>
    <t xml:space="preserve">omb6_HCR_P1B3</t>
  </si>
  <si>
    <t xml:space="preserve">omb6_HCR_P2B3</t>
  </si>
  <si>
    <t xml:space="preserve">S155-01</t>
  </si>
  <si>
    <t xml:space="preserve">optix_B3_P1_01</t>
  </si>
  <si>
    <t xml:space="preserve">GTCCCTGCCTCTATATCTTTGGCGGACCCGCGGTGCGCCTCCAGG</t>
  </si>
  <si>
    <t xml:space="preserve">optix_B3_P2_01</t>
  </si>
  <si>
    <t xml:space="preserve">GCACGCGGGCTCGGCGCGGTCGGGCTTCCACTCAACTTTAACCCG</t>
  </si>
  <si>
    <t xml:space="preserve">optix_B3_P1_1</t>
  </si>
  <si>
    <t xml:space="preserve">optix_B3_P2_1</t>
  </si>
  <si>
    <t xml:space="preserve">S155-02</t>
  </si>
  <si>
    <t xml:space="preserve">optix_B3_P1_02</t>
  </si>
  <si>
    <t xml:space="preserve">GTCCCTGCCTCTATATCTTTAGCGGCGTGGGCGCCGCCAGCTCCA</t>
  </si>
  <si>
    <t xml:space="preserve">optix_B3_P2_02</t>
  </si>
  <si>
    <t xml:space="preserve">CTGAAGCTCAGCGTGGGCAGCGGCATTCCACTCAACTTTAACCCG</t>
  </si>
  <si>
    <t xml:space="preserve">optix_B3_P1_2</t>
  </si>
  <si>
    <t xml:space="preserve">optix_B3_P2_2</t>
  </si>
  <si>
    <t xml:space="preserve">S155-03</t>
  </si>
  <si>
    <t xml:space="preserve">optix_B3_P1_03</t>
  </si>
  <si>
    <t xml:space="preserve">GTCCCTGCCTCTATATCTTTCCACGTCGCCGCTCTCCTCCAGCGT</t>
  </si>
  <si>
    <t xml:space="preserve">optix_B3_P2_03</t>
  </si>
  <si>
    <t xml:space="preserve">GCGACCACAAGAAGCGCGCCAGGCGTTCCACTCAACTTTAACCCG</t>
  </si>
  <si>
    <t xml:space="preserve">optix_B3_P1_3</t>
  </si>
  <si>
    <t xml:space="preserve">optix_B3_P2_3</t>
  </si>
  <si>
    <t xml:space="preserve">S155-04</t>
  </si>
  <si>
    <t xml:space="preserve">optix_B3_P1_04</t>
  </si>
  <si>
    <t xml:space="preserve">GTCCCTGCCTCTATATCTTTCAGCACGGCTTCGCAGCGCTCCAGC</t>
  </si>
  <si>
    <t xml:space="preserve">optix_B3_P2_04</t>
  </si>
  <si>
    <t xml:space="preserve">GTGGAAGGCGACGACGGCGCGCGCGTTCCACTCAACTTTAACCCG</t>
  </si>
  <si>
    <t xml:space="preserve">optix_B3_P1_4</t>
  </si>
  <si>
    <t xml:space="preserve">optix_B3_P2_4</t>
  </si>
  <si>
    <t xml:space="preserve">S155-05</t>
  </si>
  <si>
    <t xml:space="preserve">optix_B3_P1_05</t>
  </si>
  <si>
    <t xml:space="preserve">GTCCCTGCCTCTATATCTTTCGCTGGAAGCGGTGGCGCTCGAGGA</t>
  </si>
  <si>
    <t xml:space="preserve">optix_B3_P2_05</t>
  </si>
  <si>
    <t xml:space="preserve">AGCGCTTGCAGCTTGGCGTGGCTGGTTCCACTCAACTTTAACCCG</t>
  </si>
  <si>
    <t xml:space="preserve">optix_B3_P1_5</t>
  </si>
  <si>
    <t xml:space="preserve">optix_B3_P2_5</t>
  </si>
  <si>
    <t xml:space="preserve">S155-06</t>
  </si>
  <si>
    <t xml:space="preserve">optix_B3_P1_06</t>
  </si>
  <si>
    <t xml:space="preserve">GTCCCTGCCTCTATATCTTTCCAGCGGACGGCCGCGCAGGCGCTC</t>
  </si>
  <si>
    <t xml:space="preserve">optix_B3_P2_06</t>
  </si>
  <si>
    <t xml:space="preserve">TCCGCACGCGGTACTTGTCGACGGGTTCCACTCAACTTTAACCCG</t>
  </si>
  <si>
    <t xml:space="preserve">optix_B3_P1_6</t>
  </si>
  <si>
    <t xml:space="preserve">optix_B3_P2_6</t>
  </si>
  <si>
    <t xml:space="preserve">S155-07</t>
  </si>
  <si>
    <t xml:space="preserve">optix_B3_P1_07</t>
  </si>
  <si>
    <t xml:space="preserve">GTCCCTGCCTCTATATCTTTACAGTGCGTCTTCTGCTCGCCGTCC</t>
  </si>
  <si>
    <t xml:space="preserve">optix_B3_P2_07</t>
  </si>
  <si>
    <t xml:space="preserve">GAGTAGAGATCGCGTCCGCTCCTTGTTCCACTCAACTTTAACCCG</t>
  </si>
  <si>
    <t xml:space="preserve">optix_B3_P1_7</t>
  </si>
  <si>
    <t xml:space="preserve">optix_B3_P2_7</t>
  </si>
  <si>
    <t xml:space="preserve">S155-08</t>
  </si>
  <si>
    <t xml:space="preserve">optix_B3_P1_08</t>
  </si>
  <si>
    <t xml:space="preserve">GTCCCTGCCTCTATATCTTTAATTCCCTCTTCTTCGTCGGGTTCG</t>
  </si>
  <si>
    <t xml:space="preserve">optix_B3_P2_08</t>
  </si>
  <si>
    <t xml:space="preserve">GTCGGCGTCAGACCCGTCGCCGCCGTTCCACTCAACTTTAACCCG</t>
  </si>
  <si>
    <t xml:space="preserve">optix_B3_P1_8</t>
  </si>
  <si>
    <t xml:space="preserve">optix_B3_P2_8</t>
  </si>
  <si>
    <t xml:space="preserve">S155-09</t>
  </si>
  <si>
    <t xml:space="preserve">optix_B3_P1_09</t>
  </si>
  <si>
    <t xml:space="preserve">GTCCCTGCCTCTATATCTTTCGGCGGCCGCTCGGTCTCTTTGCCG</t>
  </si>
  <si>
    <t xml:space="preserve">optix_B3_P2_09</t>
  </si>
  <si>
    <t xml:space="preserve">TGCCCAGCACGGCGGAGCGGTTCTTTTCCACTCAACTTTAACCCG</t>
  </si>
  <si>
    <t xml:space="preserve">optix_B3_P1_9</t>
  </si>
  <si>
    <t xml:space="preserve">optix_B3_P2_9</t>
  </si>
  <si>
    <t xml:space="preserve">S156-01</t>
  </si>
  <si>
    <t xml:space="preserve">OR17_B3_P1_01</t>
  </si>
  <si>
    <t xml:space="preserve">GTCCCTGCCTCTATATCTTTATCACAGCGAACACCAACAACACTG</t>
  </si>
  <si>
    <t xml:space="preserve">OR17_B3_P2_01</t>
  </si>
  <si>
    <t xml:space="preserve">TTTGCCTTCAGTATATCAGGATTGATTCCACTCAACTTTAACCCG</t>
  </si>
  <si>
    <t xml:space="preserve">B3_P1(OR17)_1</t>
  </si>
  <si>
    <t xml:space="preserve">B3_P2(OR17)_1</t>
  </si>
  <si>
    <t xml:space="preserve">ATCACAGCGAACACCAACAACACTG</t>
  </si>
  <si>
    <t xml:space="preserve">TTTGCCTTCAGTATATCAGGATTGA</t>
  </si>
  <si>
    <t xml:space="preserve">S156-02</t>
  </si>
  <si>
    <t xml:space="preserve">OR17_B3_P1_02</t>
  </si>
  <si>
    <t xml:space="preserve">GTCCCTGCCTCTATATCTTTTACTAAGGCTTCCCGATCCGTTGGG</t>
  </si>
  <si>
    <t xml:space="preserve">OR17_B3_P2_02</t>
  </si>
  <si>
    <t xml:space="preserve">AGCCTCTACAAAGTCACACAGCAAGTTCCACTCAACTTTAACCCG</t>
  </si>
  <si>
    <t xml:space="preserve">B3_P1(OR17)_2</t>
  </si>
  <si>
    <t xml:space="preserve">B3_P2(OR17)_2</t>
  </si>
  <si>
    <t xml:space="preserve">TACTAAGGCTTCCCGATCCGTTGGG</t>
  </si>
  <si>
    <t xml:space="preserve">AGCCTCTACAAAGTCACACAGCAAG</t>
  </si>
  <si>
    <t xml:space="preserve">S156-03</t>
  </si>
  <si>
    <t xml:space="preserve">OR17_B3_P1_03</t>
  </si>
  <si>
    <t xml:space="preserve">GTCCCTGCCTCTATATCTTTTGAGTATGATGGGACTCCTTGTTAA</t>
  </si>
  <si>
    <t xml:space="preserve">OR17_B3_P2_03</t>
  </si>
  <si>
    <t xml:space="preserve">TCAGTTCCCCGGCCAGGTCGCGATCTTCCACTCAACTTTAACCCG</t>
  </si>
  <si>
    <t xml:space="preserve">B3_P1(OR17)_3</t>
  </si>
  <si>
    <t xml:space="preserve">B3_P2(OR17)_3</t>
  </si>
  <si>
    <t xml:space="preserve">TGAGTATGATGGGACTCCTTGTTAA</t>
  </si>
  <si>
    <t xml:space="preserve">TCAGTTCCCCGGCCAGGTCGCGATC</t>
  </si>
  <si>
    <t xml:space="preserve">S156-04</t>
  </si>
  <si>
    <t xml:space="preserve">OR17_B3_P1_04</t>
  </si>
  <si>
    <t xml:space="preserve">GTCCCTGCCTCTATATCTTTTTCTCCCGTTCTCTCTTGGCCTGCA</t>
  </si>
  <si>
    <t xml:space="preserve">OR17_B3_P2_04</t>
  </si>
  <si>
    <t xml:space="preserve">TTATACATAACCTCCTGGTTGAGTCTTCCACTCAACTTTAACCCG</t>
  </si>
  <si>
    <t xml:space="preserve">B3_P1(OR17)_4</t>
  </si>
  <si>
    <t xml:space="preserve">B3_P2(OR17)_4</t>
  </si>
  <si>
    <t xml:space="preserve">TTCTCCCGTTCTCTCTTGGCCTGCA</t>
  </si>
  <si>
    <t xml:space="preserve">TTATACATAACCTCCTGGTTGAGTC</t>
  </si>
  <si>
    <t xml:space="preserve">S156-05</t>
  </si>
  <si>
    <t xml:space="preserve">OR17_B3_P1_05</t>
  </si>
  <si>
    <t xml:space="preserve">GTCCCTGCCTCTATATCTTTTTCATTGGGGTCTTCACAACCTATG</t>
  </si>
  <si>
    <t xml:space="preserve">OR17_B3_P2_05</t>
  </si>
  <si>
    <t xml:space="preserve">TTTGTTTCTGCTGTTTGTTTGCTCTTTCCACTCAACTTTAACCCG</t>
  </si>
  <si>
    <t xml:space="preserve">B3_P1(OR17)_5</t>
  </si>
  <si>
    <t xml:space="preserve">B3_P2(OR17)_5</t>
  </si>
  <si>
    <t xml:space="preserve">TTCATTGGGGTCTTCACAACCTATG</t>
  </si>
  <si>
    <t xml:space="preserve">TTTGTTTCTGCTGTTTGTTTGCTCT</t>
  </si>
  <si>
    <t xml:space="preserve">S156-06</t>
  </si>
  <si>
    <t xml:space="preserve">OR17_B3_P1_06</t>
  </si>
  <si>
    <t xml:space="preserve">GTCCCTGCCTCTATATCTTTTTTCACAATTCTGTGTTCTGTTTAG</t>
  </si>
  <si>
    <t xml:space="preserve">OR17_B3_P2_06</t>
  </si>
  <si>
    <t xml:space="preserve">TAGAAGATTTCACTGGGTATTTTCGTTCCACTCAACTTTAACCCG</t>
  </si>
  <si>
    <t xml:space="preserve">B3_P1(OR17)_6</t>
  </si>
  <si>
    <t xml:space="preserve">B3_P2(OR17)_6</t>
  </si>
  <si>
    <t xml:space="preserve">TTTCACAATTCTGTGTTCTGTTTAG</t>
  </si>
  <si>
    <t xml:space="preserve">TAGAAGATTTCACTGGGTATTTTCG</t>
  </si>
  <si>
    <t xml:space="preserve">S156-07</t>
  </si>
  <si>
    <t xml:space="preserve">OR17_B3_P1_07</t>
  </si>
  <si>
    <t xml:space="preserve">GTCCCTGCCTCTATATCTTTGAGTCAAATTCTGACTTTTGTCCAG</t>
  </si>
  <si>
    <t xml:space="preserve">OR17_B3_P2_07</t>
  </si>
  <si>
    <t xml:space="preserve">TGGTTCAGCTGACAGTTGTTCATCCTTCCACTCAACTTTAACCCG</t>
  </si>
  <si>
    <t xml:space="preserve">B3_P1(OR17)_7</t>
  </si>
  <si>
    <t xml:space="preserve">B3_P2(OR17)_7</t>
  </si>
  <si>
    <t xml:space="preserve">GAGTCAAATTCTGACTTTTGTCCAG</t>
  </si>
  <si>
    <t xml:space="preserve">TGGTTCAGCTGACAGTTGTTCATCC</t>
  </si>
  <si>
    <t xml:space="preserve">S156-08</t>
  </si>
  <si>
    <t xml:space="preserve">OR17_B3_P1_08</t>
  </si>
  <si>
    <t xml:space="preserve">GTCCCTGCCTCTATATCTTTCTGGTCAGTGTTGCCACAACGGTTG</t>
  </si>
  <si>
    <t xml:space="preserve">OR17_B3_P2_08</t>
  </si>
  <si>
    <t xml:space="preserve">GTACACTGGTGTACAGTACGTAGTGTTCCACTCAACTTTAACCCG</t>
  </si>
  <si>
    <t xml:space="preserve">B3_P1(OR17)_8</t>
  </si>
  <si>
    <t xml:space="preserve">B3_P2(OR17)_8</t>
  </si>
  <si>
    <t xml:space="preserve">CTGGTCAGTGTTGCCACAACGGTTG</t>
  </si>
  <si>
    <t xml:space="preserve">GTACACTGGTGTACAGTACGTAGTG</t>
  </si>
  <si>
    <t xml:space="preserve">S157-01</t>
  </si>
  <si>
    <t xml:space="preserve">pika_B3_P1_01</t>
  </si>
  <si>
    <t xml:space="preserve">GTCCCTGCCTCTATATCTTTGCGCCGCGGACTCCTTCCGGTGTGA</t>
  </si>
  <si>
    <t xml:space="preserve">pika_B3_P2_01</t>
  </si>
  <si>
    <t xml:space="preserve">TGGCGCCGTCCCGCTCTGCCGTCAGTTCCACTCAACTTTAACCCG</t>
  </si>
  <si>
    <t xml:space="preserve">B3_P1(pika)_1</t>
  </si>
  <si>
    <t xml:space="preserve">B3_P2(pika)_1</t>
  </si>
  <si>
    <t xml:space="preserve">GCGCCGCGGACTCCTTCCGGTGTGA</t>
  </si>
  <si>
    <t xml:space="preserve">TGGCGCCGTCCCGCTCTGCCGTCAG</t>
  </si>
  <si>
    <t xml:space="preserve">S157-02</t>
  </si>
  <si>
    <t xml:space="preserve">pika_B3_P1_02</t>
  </si>
  <si>
    <t xml:space="preserve">GTCCCTGCCTCTATATCTTTCGCAGCACCAAAGCGAGTGGGTACG</t>
  </si>
  <si>
    <t xml:space="preserve">pika_B3_P2_02</t>
  </si>
  <si>
    <t xml:space="preserve">CCGCATACTATCTGAAGAACTCGAATTCCACTCAACTTTAACCCG</t>
  </si>
  <si>
    <t xml:space="preserve">B3_P1(pika)_2</t>
  </si>
  <si>
    <t xml:space="preserve">B3_P2(pika)_2</t>
  </si>
  <si>
    <t xml:space="preserve">CGCAGCACCAAAGCGAGTGGGTACG</t>
  </si>
  <si>
    <t xml:space="preserve">CCGCATACTATCTGAAGAACTCGAA</t>
  </si>
  <si>
    <t xml:space="preserve">S157-03</t>
  </si>
  <si>
    <t xml:space="preserve">pika_B3_P1_03</t>
  </si>
  <si>
    <t xml:space="preserve">GTCCCTGCCTCTATATCTTTCTCTTCTATAAAGGCGACACTTCCC</t>
  </si>
  <si>
    <t xml:space="preserve">pika_B3_P2_03</t>
  </si>
  <si>
    <t xml:space="preserve">GCCGAGCCCCATGTTGAACTTCTGCTTCCACTCAACTTTAACCCG</t>
  </si>
  <si>
    <t xml:space="preserve">B3_P1(pika)_3</t>
  </si>
  <si>
    <t xml:space="preserve">B3_P2(pika)_3</t>
  </si>
  <si>
    <t xml:space="preserve">CTCTTCTATAAAGGCGACACTTCCC</t>
  </si>
  <si>
    <t xml:space="preserve">GCCGAGCCCCATGTTGAACTTCTGC</t>
  </si>
  <si>
    <t xml:space="preserve">S157-04</t>
  </si>
  <si>
    <t xml:space="preserve">pika_B3_P1_04</t>
  </si>
  <si>
    <t xml:space="preserve">GTCCCTGCCTCTATATCTTTTTGACACCGCAGCGGCTACTATGCT</t>
  </si>
  <si>
    <t xml:space="preserve">pika_B3_P2_04</t>
  </si>
  <si>
    <t xml:space="preserve">ACACCCCCCAGCCGCGCGACGTGTGTTCCACTCAACTTTAACCCG</t>
  </si>
  <si>
    <t xml:space="preserve">B3_P1(pika)_4</t>
  </si>
  <si>
    <t xml:space="preserve">B3_P2(pika)_4</t>
  </si>
  <si>
    <t xml:space="preserve">TTGACACCGCAGCGGCTACTATGCT</t>
  </si>
  <si>
    <t xml:space="preserve">ACACCCCCCAGCCGCGCGACGTGTG</t>
  </si>
  <si>
    <t xml:space="preserve">S157-05</t>
  </si>
  <si>
    <t xml:space="preserve">pika_B3_P1_05</t>
  </si>
  <si>
    <t xml:space="preserve">GTCCCTGCCTCTATATCTTTGCCCACAGCACGGCCGCCGCCACGC</t>
  </si>
  <si>
    <t xml:space="preserve">pika_B3_P2_05</t>
  </si>
  <si>
    <t xml:space="preserve">AGCGCGACCAGCAGACAGCCCGACGTTCCACTCAACTTTAACCCG</t>
  </si>
  <si>
    <t xml:space="preserve">B3_P1(pika)_5</t>
  </si>
  <si>
    <t xml:space="preserve">B3_P2(pika)_5</t>
  </si>
  <si>
    <t xml:space="preserve">GCCCACAGCACGGCCGCCGCCACGC</t>
  </si>
  <si>
    <t xml:space="preserve">AGCGCGACCAGCAGACAGCCCGACG</t>
  </si>
  <si>
    <t xml:space="preserve">S157-06</t>
  </si>
  <si>
    <t xml:space="preserve">pika_B3_P1_06</t>
  </si>
  <si>
    <t xml:space="preserve">GTCCCTGCCTCTATATCTTTGAACCCGGGCGGGTCCAGTATAGTC</t>
  </si>
  <si>
    <t xml:space="preserve">pika_B3_P2_06</t>
  </si>
  <si>
    <t xml:space="preserve">TTCCTCGTCGGGTCCGTCCCCATGATTCCACTCAACTTTAACCCG</t>
  </si>
  <si>
    <t xml:space="preserve">B3_P1(pika)_6</t>
  </si>
  <si>
    <t xml:space="preserve">B3_P2(pika)_6</t>
  </si>
  <si>
    <t xml:space="preserve">GAACCCGGGCGGGTCCAGTATAGTC</t>
  </si>
  <si>
    <t xml:space="preserve">TTCCTCGTCGGGTCCGTCCCCATGA</t>
  </si>
  <si>
    <t xml:space="preserve">S158-01</t>
  </si>
  <si>
    <t xml:space="preserve">PPO1_B3_P1_01</t>
  </si>
  <si>
    <t xml:space="preserve">GTCCCTGCCTCTATATCTTTGTGGTCAGGATCGTGGGAATATGAG</t>
  </si>
  <si>
    <t xml:space="preserve">PPO1_B3_P2_01</t>
  </si>
  <si>
    <t xml:space="preserve">CATGACACCAAATTGCTCCAAGTTCTTCCACTCAACTTTAACCCG</t>
  </si>
  <si>
    <t xml:space="preserve">B3_P1(PPO1)_1</t>
  </si>
  <si>
    <t xml:space="preserve">B3_P2(PPO1)_1</t>
  </si>
  <si>
    <t xml:space="preserve">GTGGTCAGGATCGTGGGAATATGAG</t>
  </si>
  <si>
    <t xml:space="preserve">CATGACACCAAATTGCTCCAAGTTC</t>
  </si>
  <si>
    <t xml:space="preserve">S158-02</t>
  </si>
  <si>
    <t xml:space="preserve">PPO1_B3_P1_02</t>
  </si>
  <si>
    <t xml:space="preserve">GTCCCTGCCTCTATATCTTTGGTAAAATACGGGATCACGCATCGC</t>
  </si>
  <si>
    <t xml:space="preserve">PPO1_B3_P2_02</t>
  </si>
  <si>
    <t xml:space="preserve">ATATGTCATCAATGTATGAGTGCCATTCCACTCAACTTTAACCCG</t>
  </si>
  <si>
    <t xml:space="preserve">B3_P1(PPO1)_2</t>
  </si>
  <si>
    <t xml:space="preserve">B3_P2(PPO1)_2</t>
  </si>
  <si>
    <t xml:space="preserve">GGTAAAATACGGGATCACGCATCGC</t>
  </si>
  <si>
    <t xml:space="preserve">ATATGTCATCAATGTATGAGTGCCA</t>
  </si>
  <si>
    <t xml:space="preserve">S158-03</t>
  </si>
  <si>
    <t xml:space="preserve">PPO1_B3_P1_03</t>
  </si>
  <si>
    <t xml:space="preserve">GTCCCTGCCTCTATATCTTTTTCTGCGGGATAAGGAGGAAGTTTG</t>
  </si>
  <si>
    <t xml:space="preserve">PPO1_B3_P2_03</t>
  </si>
  <si>
    <t xml:space="preserve">TACTCTGACACCTGGGAAATCTAACTTCCACTCAACTTTAACCCG</t>
  </si>
  <si>
    <t xml:space="preserve">B3_P1(PPO1)_3</t>
  </si>
  <si>
    <t xml:space="preserve">B3_P2(PPO1)_3</t>
  </si>
  <si>
    <t xml:space="preserve">TTCTGCGGGATAAGGAGGAAGTTTG</t>
  </si>
  <si>
    <t xml:space="preserve">TACTCTGACACCTGGGAAATCTAAC</t>
  </si>
  <si>
    <t xml:space="preserve">S158-04</t>
  </si>
  <si>
    <t xml:space="preserve">PPO1_B3_P1_04</t>
  </si>
  <si>
    <t xml:space="preserve">GTCCCTGCCTCTATATCTTTATATATTAGCGCCACTAGCTCCTTC</t>
  </si>
  <si>
    <t xml:space="preserve">PPO1_B3_P2_04</t>
  </si>
  <si>
    <t xml:space="preserve">CCGTGCTTTGCTCCCATTGGGTCGTTTCCACTCAACTTTAACCCG</t>
  </si>
  <si>
    <t xml:space="preserve">B3_P1(PPO1)_4</t>
  </si>
  <si>
    <t xml:space="preserve">B3_P2(PPO1)_4</t>
  </si>
  <si>
    <t xml:space="preserve">ATATATTAGCGCCACTAGCTCCTTC</t>
  </si>
  <si>
    <t xml:space="preserve">CCGTGCTTTGCTCCCATTGGGTCGT</t>
  </si>
  <si>
    <t xml:space="preserve">S158-05</t>
  </si>
  <si>
    <t xml:space="preserve">PPO1_B3_P1_05</t>
  </si>
  <si>
    <t xml:space="preserve">GTCCCTGCCTCTATATCTTTACCACGTGGTGTAAAATCGAGACCT</t>
  </si>
  <si>
    <t xml:space="preserve">PPO1_B3_P2_05</t>
  </si>
  <si>
    <t xml:space="preserve">CAAGTGTGTGAAACGCGCTAGCACTTTCCACTCAACTTTAACCCG</t>
  </si>
  <si>
    <t xml:space="preserve">B3_P1(PPO1)_5</t>
  </si>
  <si>
    <t xml:space="preserve">B3_P2(PPO1)_5</t>
  </si>
  <si>
    <t xml:space="preserve">ACCACGTGGTGTAAAATCGAGACCT</t>
  </si>
  <si>
    <t xml:space="preserve">CAAGTGTGTGAAACGCGCTAGCACT</t>
  </si>
  <si>
    <t xml:space="preserve">S158-06</t>
  </si>
  <si>
    <t xml:space="preserve">PPO1_B3_P1_06</t>
  </si>
  <si>
    <t xml:space="preserve">GTCCCTGCCTCTATATCTTTAGTTTGTAACGGTACAAACGTAGTT</t>
  </si>
  <si>
    <t xml:space="preserve">PPO1_B3_P2_06</t>
  </si>
  <si>
    <t xml:space="preserve">CTGTACCCATCAAATCTGAACCACTTTCCACTCAACTTTAACCCG</t>
  </si>
  <si>
    <t xml:space="preserve">B3_P1(PPO1)_6</t>
  </si>
  <si>
    <t xml:space="preserve">B3_P2(PPO1)_6</t>
  </si>
  <si>
    <t xml:space="preserve">AGTTTGTAACGGTACAAACGTAGTT</t>
  </si>
  <si>
    <t xml:space="preserve">CTGTACCCATCAAATCTGAACCACT</t>
  </si>
  <si>
    <t xml:space="preserve">S159-01</t>
  </si>
  <si>
    <t xml:space="preserve">ptc_B3_P1_01</t>
  </si>
  <si>
    <t xml:space="preserve">GTCCCTGCCTCTATATCTTTGAATCTTTACTCGAGTCGCGGCACT</t>
  </si>
  <si>
    <t xml:space="preserve">ptc_B3_P2_01</t>
  </si>
  <si>
    <t xml:space="preserve">TGAGCCGCCACTCGATGTCGTACATTTCCACTCAACTTTAACCCG</t>
  </si>
  <si>
    <t xml:space="preserve">B3_P1(ptc)_5</t>
  </si>
  <si>
    <t xml:space="preserve">B3_P2(ptc)_5</t>
  </si>
  <si>
    <t xml:space="preserve">GAATCTTTACTCGAGTCGCGGCACT</t>
  </si>
  <si>
    <t xml:space="preserve">TGAGCCGCCACTCGATGTCGTACAT</t>
  </si>
  <si>
    <t xml:space="preserve">S159-02</t>
  </si>
  <si>
    <t xml:space="preserve">ptc_B3_P1_02</t>
  </si>
  <si>
    <t xml:space="preserve">GTCCCTGCCTCTATATCTTTTAGCCCTCGAAGTCCGGGATGCTGG</t>
  </si>
  <si>
    <t xml:space="preserve">ptc_B3_P2_02</t>
  </si>
  <si>
    <t xml:space="preserve">TTGTCTATGATGGACTCGATGTGGTTTCCACTCAACTTTAACCCG</t>
  </si>
  <si>
    <t xml:space="preserve">B3_P1(ptc)_6</t>
  </si>
  <si>
    <t xml:space="preserve">B3_P2(ptc)_6</t>
  </si>
  <si>
    <t xml:space="preserve">TAGCCCTCGAAGTCCGGGATGCTGG</t>
  </si>
  <si>
    <t xml:space="preserve">TTGTCTATGATGGACTCGATGTGGT</t>
  </si>
  <si>
    <t xml:space="preserve">S159-03</t>
  </si>
  <si>
    <t xml:space="preserve">ptc_B3_P1_03</t>
  </si>
  <si>
    <t xml:space="preserve">GTCCCTGCCTCTATATCTTTGTCTCCTTGGAGAAAGCAGCCCAAG</t>
  </si>
  <si>
    <t xml:space="preserve">ptc_B3_P2_03</t>
  </si>
  <si>
    <t xml:space="preserve">TATCGCCACGAATAGAACTTTCCCGTTCCACTCAACTTTAACCCG</t>
  </si>
  <si>
    <t xml:space="preserve">B3_P1(ptc)_1</t>
  </si>
  <si>
    <t xml:space="preserve">B3_P2(ptc)_1</t>
  </si>
  <si>
    <t xml:space="preserve">GTCTCCTTGGAGAAAGCAGCCCAAG</t>
  </si>
  <si>
    <t xml:space="preserve">TATCGCCACGAATAGAACTTTCCCG</t>
  </si>
  <si>
    <t xml:space="preserve">S159-04</t>
  </si>
  <si>
    <t xml:space="preserve">ptc_B3_P1_04</t>
  </si>
  <si>
    <t xml:space="preserve">GTCCCTGCCTCTATATCTTTTCTGGGCGGACTTGAGGCCGACGCA</t>
  </si>
  <si>
    <t xml:space="preserve">ptc_B3_P2_04</t>
  </si>
  <si>
    <t xml:space="preserve">CCCAGAGCTGGTCGACTCTCGTGTGTTCCACTCAACTTTAACCCG</t>
  </si>
  <si>
    <t xml:space="preserve">B3_P1(ptc)_2</t>
  </si>
  <si>
    <t xml:space="preserve">B3_P2(ptc)_2</t>
  </si>
  <si>
    <t xml:space="preserve">TCTGGGCGGACTTGAGGCCGACGCA</t>
  </si>
  <si>
    <t xml:space="preserve">CCCAGAGCTGGTCGACTCTCGTGTG</t>
  </si>
  <si>
    <t xml:space="preserve">S159-05</t>
  </si>
  <si>
    <t xml:space="preserve">ptc_B3_P1_05</t>
  </si>
  <si>
    <t xml:space="preserve">GTCCCTGCCTCTATATCTTTGCCGTATACTTCAGCTCGGCTTCCA</t>
  </si>
  <si>
    <t xml:space="preserve">ptc_B3_P2_05</t>
  </si>
  <si>
    <t xml:space="preserve">GAGGAGTCGGCCTCGCCTAGCGCCTTTCCACTCAACTTTAACCCG</t>
  </si>
  <si>
    <t xml:space="preserve">B3_P1(ptc)_3</t>
  </si>
  <si>
    <t xml:space="preserve">B3_P2(ptc)_3</t>
  </si>
  <si>
    <t xml:space="preserve">GCCGTATACTTCAGCTCGGCTTCCA</t>
  </si>
  <si>
    <t xml:space="preserve">GAGGAGTCGGCCTCGCCTAGCGCCT</t>
  </si>
  <si>
    <t xml:space="preserve">S159-06</t>
  </si>
  <si>
    <t xml:space="preserve">ptc_B3_P1_06</t>
  </si>
  <si>
    <t xml:space="preserve">GTCCCTGCCTCTATATCTTTGACGTCTGGATCTTTGGCAGTTTGT</t>
  </si>
  <si>
    <t xml:space="preserve">ptc_B3_P2_06</t>
  </si>
  <si>
    <t xml:space="preserve">CAAAAGTGCACCAGCGTGAAGCAAATTCCACTCAACTTTAACCCG</t>
  </si>
  <si>
    <t xml:space="preserve">B3_P1(ptc)_4</t>
  </si>
  <si>
    <t xml:space="preserve">B3_P2(ptc)_4</t>
  </si>
  <si>
    <t xml:space="preserve">GACGTCTGGATCTTTGGCAGTTTGT</t>
  </si>
  <si>
    <t xml:space="preserve">CAAAAGTGCACCAGCGTGAAGCAAA</t>
  </si>
  <si>
    <t xml:space="preserve">S160-01</t>
  </si>
  <si>
    <t xml:space="preserve">pygopus_B3_P1_01</t>
  </si>
  <si>
    <t xml:space="preserve">GTCCCTGCCTCTATATCTTTCCCGGGCAGCCTGTACGACGGCATA</t>
  </si>
  <si>
    <t xml:space="preserve">pygopus_B3_P2_01</t>
  </si>
  <si>
    <t xml:space="preserve">CTTGAAGTCCGGGGGGCCGAGCCCTTTCCACTCAACTTTAACCCG</t>
  </si>
  <si>
    <t xml:space="preserve">CCCGGGCAGCCTGTACGACGGCATA</t>
  </si>
  <si>
    <t xml:space="preserve">CTTGAAGTCCGGGGGGCCGAGCCCT</t>
  </si>
  <si>
    <t xml:space="preserve">S160-02</t>
  </si>
  <si>
    <t xml:space="preserve">pygopus_B3_P1_02</t>
  </si>
  <si>
    <t xml:space="preserve">GTCCCTGCCTCTATATCTTTGTTTGCGTTTGATGTTTTTCTCCTC</t>
  </si>
  <si>
    <t xml:space="preserve">pygopus_B3_P2_02</t>
  </si>
  <si>
    <t xml:space="preserve">AGGTGGTGGCTGTGGTGTTATTGCATTCCACTCAACTTTAACCCG</t>
  </si>
  <si>
    <t xml:space="preserve">GTTTGCGTTTGATGTTTTTCTCCTC</t>
  </si>
  <si>
    <t xml:space="preserve">AGGTGGTGGCTGTGGTGTTATTGCA</t>
  </si>
  <si>
    <t xml:space="preserve">S160-03</t>
  </si>
  <si>
    <t xml:space="preserve">pygopus_B3_P1_03</t>
  </si>
  <si>
    <t xml:space="preserve">GTCCCTGCCTCTATATCTTTGCAACTATTGTATCTCCATACCCTG</t>
  </si>
  <si>
    <t xml:space="preserve">pygopus_B3_P2_03</t>
  </si>
  <si>
    <t xml:space="preserve">GATGGTGAATCATCAAAAGGGTTAGTTCCACTCAACTTTAACCCG</t>
  </si>
  <si>
    <t xml:space="preserve">GCAACTATTGTATCTCCATACCCTG</t>
  </si>
  <si>
    <t xml:space="preserve">GATGGTGAATCATCAAAAGGGTTAG</t>
  </si>
  <si>
    <t xml:space="preserve">S160-04</t>
  </si>
  <si>
    <t xml:space="preserve">pygopus_B3_P1_04</t>
  </si>
  <si>
    <t xml:space="preserve">GTCCCTGCCTCTATATCTTTGACTCATCATAGGACCATTCTGACT</t>
  </si>
  <si>
    <t xml:space="preserve">pygopus_B3_P2_04</t>
  </si>
  <si>
    <t xml:space="preserve">GACCCATCATGCCCATAGGCCCGTTTTCCACTCAACTTTAACCCG</t>
  </si>
  <si>
    <t xml:space="preserve">GACTCATCATAGGACCATTCTGACT</t>
  </si>
  <si>
    <t xml:space="preserve">GACCCATCATGCCCATAGGCCCGTT</t>
  </si>
  <si>
    <t xml:space="preserve">S160-05</t>
  </si>
  <si>
    <t xml:space="preserve">pygopus_B3_P1_05</t>
  </si>
  <si>
    <t xml:space="preserve">GTCCCTGCCTCTATATCTTTAGGTAGAGGGCTCATGTGCCTCATA</t>
  </si>
  <si>
    <t xml:space="preserve">pygopus_B3_P2_05</t>
  </si>
  <si>
    <t xml:space="preserve">TTGCTGGCTCATAGGGCTCATCGAATTCCACTCAACTTTAACCCG</t>
  </si>
  <si>
    <t xml:space="preserve">AGGTAGAGGGCTCATGTGCCTCATA</t>
  </si>
  <si>
    <t xml:space="preserve">TTGCTGGCTCATAGGGCTCATCGAA</t>
  </si>
  <si>
    <t xml:space="preserve">S160-06</t>
  </si>
  <si>
    <t xml:space="preserve">pygopus_B3_P1_06</t>
  </si>
  <si>
    <t xml:space="preserve">GTCCCTGCCTCTATATCTTTTGACCCATCGGACTCATATTTCCCA</t>
  </si>
  <si>
    <t xml:space="preserve">pygopus_B3_P2_06</t>
  </si>
  <si>
    <t xml:space="preserve">CCGCCCATTGGTGACATGCCACCCATTCCACTCAACTTTAACCCG</t>
  </si>
  <si>
    <t xml:space="preserve">TGACCCATCGGACTCATATTTCCCA</t>
  </si>
  <si>
    <t xml:space="preserve">CCGCCCATTGGTGACATGCCACCCA</t>
  </si>
  <si>
    <t xml:space="preserve">S160-07</t>
  </si>
  <si>
    <t xml:space="preserve">pygopus_B3_P1_07</t>
  </si>
  <si>
    <t xml:space="preserve">GTCCCTGCCTCTATATCTTTACTGCCCATTGGTCCTGATGACATT</t>
  </si>
  <si>
    <t xml:space="preserve">pygopus_B3_P2_07</t>
  </si>
  <si>
    <t xml:space="preserve">GCCTGCCATTGAACTCATATTCATTTTCCACTCAACTTTAACCCG</t>
  </si>
  <si>
    <t xml:space="preserve">ACTGCCCATTGGTCCTGATGACATT</t>
  </si>
  <si>
    <t xml:space="preserve">GCCTGCCATTGAACTCATATTCATT</t>
  </si>
  <si>
    <t xml:space="preserve">S160-08</t>
  </si>
  <si>
    <t xml:space="preserve">pygopus_B3_P1_08</t>
  </si>
  <si>
    <t xml:space="preserve">GTCCCTGCCTCTATATCTTTGCACCCAAAGGACTGTGCATTGGGG</t>
  </si>
  <si>
    <t xml:space="preserve">pygopus_B3_P2_08</t>
  </si>
  <si>
    <t xml:space="preserve">CCATTTATTGGCCCATTCATTGACCTTCCACTCAACTTTAACCCG</t>
  </si>
  <si>
    <t xml:space="preserve">GCACCCAAAGGACTGTGCATTGGGG</t>
  </si>
  <si>
    <t xml:space="preserve">CCATTTATTGGCCCATTCATTGACC</t>
  </si>
  <si>
    <t xml:space="preserve">S160-09</t>
  </si>
  <si>
    <t xml:space="preserve">pygopus_B3_P1_09</t>
  </si>
  <si>
    <t xml:space="preserve">GTCCCTGCCTCTATATCTTTTAGGTCCATTCATGCGAGGGACATT</t>
  </si>
  <si>
    <t xml:space="preserve">pygopus_B3_P2_09</t>
  </si>
  <si>
    <t xml:space="preserve">TAGATCCATTTGAACAGCTTGGGCCTTCCACTCAACTTTAACCCG</t>
  </si>
  <si>
    <t xml:space="preserve">TAGGTCCATTCATGCGAGGGACATT</t>
  </si>
  <si>
    <t xml:space="preserve">TAGATCCATTTGAACAGCTTGGGCC</t>
  </si>
  <si>
    <t xml:space="preserve">S160-10</t>
  </si>
  <si>
    <t xml:space="preserve">pygopus_B3_P1_10</t>
  </si>
  <si>
    <t xml:space="preserve">GTCCCTGCCTCTATATCTTTCATTCCTCCACTTTGCATTTGACTT</t>
  </si>
  <si>
    <t xml:space="preserve">pygopus_B3_P2_10</t>
  </si>
  <si>
    <t xml:space="preserve">TCTCATCCCGCCACAATGCCCTGGATTCCACTCAACTTTAACCCG</t>
  </si>
  <si>
    <t xml:space="preserve">CATTCCTCCACTTTGCATTTGACTT</t>
  </si>
  <si>
    <t xml:space="preserve">TCTCATCCCGCCACAATGCCCTGGA</t>
  </si>
  <si>
    <t xml:space="preserve">S160-11</t>
  </si>
  <si>
    <t xml:space="preserve">pygopus_B3_P1_11</t>
  </si>
  <si>
    <t xml:space="preserve">GTCCCTGCCTCTATATCTTTCCATTACCTCCCATGGGACCACTTC</t>
  </si>
  <si>
    <t xml:space="preserve">pygopus_B3_P2_11</t>
  </si>
  <si>
    <t xml:space="preserve">GGTCCAGGTCCCATTGAAGTCATAGTTCCACTCAACTTTAACCCG</t>
  </si>
  <si>
    <t xml:space="preserve">CCATTACCTCCCATGGGACCACTTC</t>
  </si>
  <si>
    <t xml:space="preserve">GGTCCAGGTCCCATTGAAGTCATAG</t>
  </si>
  <si>
    <t xml:space="preserve">S160-12</t>
  </si>
  <si>
    <t xml:space="preserve">pygopus_B3_P1_12</t>
  </si>
  <si>
    <t xml:space="preserve">GTCCCTGCCTCTATATCTTTTGCCACCCATTCCCATAGGCCCACC</t>
  </si>
  <si>
    <t xml:space="preserve">pygopus_B3_P2_12</t>
  </si>
  <si>
    <t xml:space="preserve">GCCCAGGACCCATCCCCATGGAACCTTCCACTCAACTTTAACCCG</t>
  </si>
  <si>
    <t xml:space="preserve">TGCCACCCATTCCCATAGGCCCACC</t>
  </si>
  <si>
    <t xml:space="preserve">GCCCAGGACCCATCCCCATGGAACC</t>
  </si>
  <si>
    <t xml:space="preserve">S160-13</t>
  </si>
  <si>
    <t xml:space="preserve">pygopus_B3_P1_13</t>
  </si>
  <si>
    <t xml:space="preserve">GTCCCTGCCTCTATATCTTTCATGGACATCCCACTCATTCCAGCC</t>
  </si>
  <si>
    <t xml:space="preserve">pygopus_B3_P2_13</t>
  </si>
  <si>
    <t xml:space="preserve">GCCGACTCCCTGTCCTCCTGGTCCTTTCCACTCAACTTTAACCCG</t>
  </si>
  <si>
    <t xml:space="preserve">CATGGACATCCCACTCATTCCAGCC</t>
  </si>
  <si>
    <t xml:space="preserve">GCCGACTCCCTGTCCTCCTGGTCCT</t>
  </si>
  <si>
    <t xml:space="preserve">S160-14</t>
  </si>
  <si>
    <t xml:space="preserve">pygopus_B3_P1_14</t>
  </si>
  <si>
    <t xml:space="preserve">GTCCCTGCCTCTATATCTTTGCACTCACTGGCATTGGTTTAGGTC</t>
  </si>
  <si>
    <t xml:space="preserve">pygopus_B3_P2_14</t>
  </si>
  <si>
    <t xml:space="preserve">GGTTGGTCTGGGGGATACACTTTGCTTCCACTCAACTTTAACCCG</t>
  </si>
  <si>
    <t xml:space="preserve">GCACTCACTGGCATTGGTTTAGGTC</t>
  </si>
  <si>
    <t xml:space="preserve">GGTTGGTCTGGGGGATACACTTTGC</t>
  </si>
  <si>
    <t xml:space="preserve">S160-15</t>
  </si>
  <si>
    <t xml:space="preserve">pygopus_B3_P1_15</t>
  </si>
  <si>
    <t xml:space="preserve">GTCCCTGCCTCTATATCTTTACGTGGGGCCCATCCCTGGACCCAT</t>
  </si>
  <si>
    <t xml:space="preserve">pygopus_B3_P2_15</t>
  </si>
  <si>
    <t xml:space="preserve">GACTCATAGGACTGCCCATTGACCTTTCCACTCAACTTTAACCCG</t>
  </si>
  <si>
    <t xml:space="preserve">ACGTGGGGCCCATCCCTGGACCCAT</t>
  </si>
  <si>
    <t xml:space="preserve">GACTCATAGGACTGCCCATTGACCT</t>
  </si>
  <si>
    <t xml:space="preserve">S161-01</t>
  </si>
  <si>
    <t xml:space="preserve">rho3_B3_P1_01</t>
  </si>
  <si>
    <t xml:space="preserve">GTCCCTGCCTCTATATCTTTGTCGTTCTCAGAGCTGACCTCGCGG</t>
  </si>
  <si>
    <t xml:space="preserve">rho3_B3_P2_01</t>
  </si>
  <si>
    <t xml:space="preserve">TGTGGGGTCTTCGAGAAGGAGATGGTTCCACTCAACTTTAACCCG</t>
  </si>
  <si>
    <t xml:space="preserve">rho3_B3_P1_1</t>
  </si>
  <si>
    <t xml:space="preserve">rho3_B3_P2_1</t>
  </si>
  <si>
    <t xml:space="preserve">GTCGTTCTCAGAGCTGACCTCGCGG</t>
  </si>
  <si>
    <t xml:space="preserve">TGTGGGGTCTTCGAGAAGGAGATGG</t>
  </si>
  <si>
    <t xml:space="preserve">S161-02</t>
  </si>
  <si>
    <t xml:space="preserve">rho3_B3_P1_02</t>
  </si>
  <si>
    <t xml:space="preserve">GTCCCTGCCTCTATATCTTTCTCTCCTCGGGGAGCACCTCCATCG</t>
  </si>
  <si>
    <t xml:space="preserve">rho3_B3_P2_02</t>
  </si>
  <si>
    <t xml:space="preserve">TACCGCTCCTGGTAGTACTTGCGGTTTCCACTCAACTTTAACCCG</t>
  </si>
  <si>
    <t xml:space="preserve">rho3_B3_P1_2</t>
  </si>
  <si>
    <t xml:space="preserve">rho3_B3_P2_2</t>
  </si>
  <si>
    <t xml:space="preserve">CTCTCCTCGGGGAGCACCTCCATCG</t>
  </si>
  <si>
    <t xml:space="preserve">TACCGCTCCTGGTAGTACTTGCGGT</t>
  </si>
  <si>
    <t xml:space="preserve">S161-03</t>
  </si>
  <si>
    <t xml:space="preserve">rho3_B3_P1_03</t>
  </si>
  <si>
    <t xml:space="preserve">GTCCCTGCCTCTATATCTTTGCGAATACTCCTAACTCTAGTAAAG</t>
  </si>
  <si>
    <t xml:space="preserve">rho3_B3_P2_03</t>
  </si>
  <si>
    <t xml:space="preserve">ACTCCGCCTGCACCCCATGCGTACCTTCCACTCAACTTTAACCCG</t>
  </si>
  <si>
    <t xml:space="preserve">rho3_B3_P1_3</t>
  </si>
  <si>
    <t xml:space="preserve">rho3_B3_P2_3</t>
  </si>
  <si>
    <t xml:space="preserve">GCGAATACTCCTAACTCTAGTAAAG</t>
  </si>
  <si>
    <t xml:space="preserve">ACTCCGCCTGCACCCCATGCGTACC</t>
  </si>
  <si>
    <t xml:space="preserve">S161-04</t>
  </si>
  <si>
    <t xml:space="preserve">rho3_B3_P1_04</t>
  </si>
  <si>
    <t xml:space="preserve">GTCCCTGCCTCTATATCTTTCGGGGCGATACACCAAAGGCGAGTC</t>
  </si>
  <si>
    <t xml:space="preserve">rho3_B3_P2_04</t>
  </si>
  <si>
    <t xml:space="preserve">GAAACCGCCACAGCTCTCGTCTCCTTTCCACTCAACTTTAACCCG</t>
  </si>
  <si>
    <t xml:space="preserve">rho3_B3_P1_4</t>
  </si>
  <si>
    <t xml:space="preserve">rho3_B3_P2_4</t>
  </si>
  <si>
    <t xml:space="preserve">CGGGGCGATACACCAAAGGCGAGTC</t>
  </si>
  <si>
    <t xml:space="preserve">GAAACCGCCACAGCTCTCGTCTCCT</t>
  </si>
  <si>
    <t xml:space="preserve">S161-05</t>
  </si>
  <si>
    <t xml:space="preserve">rho3_B3_P1_05</t>
  </si>
  <si>
    <t xml:space="preserve">GTCCCTGCCTCTATATCTTTAAGCAGGTTGAACGCGAGGTGCAAC</t>
  </si>
  <si>
    <t xml:space="preserve">rho3_B3_P2_05</t>
  </si>
  <si>
    <t xml:space="preserve">TAAAGGTAGTCCAACCGCTAACTGTTTCCACTCAACTTTAACCCG</t>
  </si>
  <si>
    <t xml:space="preserve">rho3_B3_P1_5</t>
  </si>
  <si>
    <t xml:space="preserve">rho3_B3_P2_5</t>
  </si>
  <si>
    <t xml:space="preserve">AAGCAGGTTGAACGCGAGGTGCAAC</t>
  </si>
  <si>
    <t xml:space="preserve">TAAAGGTAGTCCAACCGCTAACTGT</t>
  </si>
  <si>
    <t xml:space="preserve">S161-06</t>
  </si>
  <si>
    <t xml:space="preserve">rho3_B3_P1_06</t>
  </si>
  <si>
    <t xml:space="preserve">GTCCCTGCCTCTATATCTTTAACACACCGGCAAGGTACACCGCAC</t>
  </si>
  <si>
    <t xml:space="preserve">rho3_B3_P2_06</t>
  </si>
  <si>
    <t xml:space="preserve">AGCACCGACGCTGCGAGCGACCCGCTTCCACTCAACTTTAACCCG</t>
  </si>
  <si>
    <t xml:space="preserve">rho3_B3_P1_6</t>
  </si>
  <si>
    <t xml:space="preserve">rho3_B3_P2_6</t>
  </si>
  <si>
    <t xml:space="preserve">AACACACCGGCAAGGTACACCGCAC</t>
  </si>
  <si>
    <t xml:space="preserve">AGCACCGACGCTGCGAGCGACCCGC</t>
  </si>
  <si>
    <t xml:space="preserve">S161-07</t>
  </si>
  <si>
    <t xml:space="preserve">rho3_B3_P1_07</t>
  </si>
  <si>
    <t xml:space="preserve">GTCCCTGCCTCTATATCTTTCTAACAGCGCGTACACACCACCCGA</t>
  </si>
  <si>
    <t xml:space="preserve">rho3_B3_P2_07</t>
  </si>
  <si>
    <t xml:space="preserve">TCAACAGCGCGTTGGCTAGGTGAGCTTCCACTCAACTTTAACCCG</t>
  </si>
  <si>
    <t xml:space="preserve">rho3_B3_P1_7</t>
  </si>
  <si>
    <t xml:space="preserve">rho3_B3_P2_7</t>
  </si>
  <si>
    <t xml:space="preserve">CTAACAGCGCGTACACACCACCCGA</t>
  </si>
  <si>
    <t xml:space="preserve">TCAACAGCGCGTTGGCTAGGTGAGC</t>
  </si>
  <si>
    <t xml:space="preserve">S161-08</t>
  </si>
  <si>
    <t xml:space="preserve">rho3_B3_P1_08</t>
  </si>
  <si>
    <t xml:space="preserve">GTCCCTGCCTCTATATCTTTGACCGCAAGCGCGGCGACCAATCGC</t>
  </si>
  <si>
    <t xml:space="preserve">rho3_B3_P2_08</t>
  </si>
  <si>
    <t xml:space="preserve">AACTGCAAAGCCGACGTCACACGACTTCCACTCAACTTTAACCCG</t>
  </si>
  <si>
    <t xml:space="preserve">rho3_B3_P1_8</t>
  </si>
  <si>
    <t xml:space="preserve">rho3_B3_P2_8</t>
  </si>
  <si>
    <t xml:space="preserve">GACCGCAAGCGCGGCGACCAATCGC</t>
  </si>
  <si>
    <t xml:space="preserve">AACTGCAAAGCCGACGTCACACGAC</t>
  </si>
  <si>
    <t xml:space="preserve">S161-09</t>
  </si>
  <si>
    <t xml:space="preserve">rho3_B3_P1_09</t>
  </si>
  <si>
    <t xml:space="preserve">GTCCCTGCCTCTATATCTTTGCCACGTGCGCCGCGTACGACACCG</t>
  </si>
  <si>
    <t xml:space="preserve">rho3_B3_P2_09</t>
  </si>
  <si>
    <t xml:space="preserve">CCGATGGTGAGCCCGGCGAGCGCGCTTCCACTCAACTTTAACCCG</t>
  </si>
  <si>
    <t xml:space="preserve">rho3_B3_P1_9</t>
  </si>
  <si>
    <t xml:space="preserve">rho3_B3_P2_9</t>
  </si>
  <si>
    <t xml:space="preserve">GCCACGTGCGCCGCGTACGACACCG</t>
  </si>
  <si>
    <t xml:space="preserve">CCGATGGTGAGCCCGGCGAGCGCGC</t>
  </si>
  <si>
    <t xml:space="preserve">S161-10</t>
  </si>
  <si>
    <t xml:space="preserve">rho3_B3_P1_10</t>
  </si>
  <si>
    <t xml:space="preserve">GTCCCTGCCTCTATATCTTTACCACAGCAGCCGCTCCCACAGCCG</t>
  </si>
  <si>
    <t xml:space="preserve">rho3_B3_P2_10</t>
  </si>
  <si>
    <t xml:space="preserve">ACGCCGCGTAGGCGCCCAGCGCTGCTTCCACTCAACTTTAACCCG</t>
  </si>
  <si>
    <t xml:space="preserve">ACCACAGCAGCCGCTCCCACAGCCG</t>
  </si>
  <si>
    <t xml:space="preserve">ACGCCGCGTAGGCGCCCAGCGCTGC</t>
  </si>
  <si>
    <t xml:space="preserve">S162-01</t>
  </si>
  <si>
    <t xml:space="preserve">runt_B3_P1_01</t>
  </si>
  <si>
    <t xml:space="preserve">GTCCCTGCCTCTATATCTTTGGCCGCGGGGCTTGCGTGCGGAAGG</t>
  </si>
  <si>
    <t xml:space="preserve">runt_B3_P2_01</t>
  </si>
  <si>
    <t xml:space="preserve">GTGCGAGTAGACGTCCGCCATGCTCTTCCACTCAACTTTAACCCG</t>
  </si>
  <si>
    <t xml:space="preserve">B3_P1(run)_1</t>
  </si>
  <si>
    <t xml:space="preserve">B3_P2(run)_1</t>
  </si>
  <si>
    <t xml:space="preserve">GGCCGCGGGGCTTGCGTGCGGAAGG</t>
  </si>
  <si>
    <t xml:space="preserve">GTGCGAGTAGACGTCCGCCATGCTC</t>
  </si>
  <si>
    <t xml:space="preserve">S162-02</t>
  </si>
  <si>
    <t xml:space="preserve">runt_B3_P1_02</t>
  </si>
  <si>
    <t xml:space="preserve">GTCCCTGCCTCTATATCTTTTCTGCACCAGGTCGCCGTGGCTCTG</t>
  </si>
  <si>
    <t xml:space="preserve">runt_B3_P2_02</t>
  </si>
  <si>
    <t xml:space="preserve">CCGAGCAGAGCACTGCTGGGGAGCCTTCCACTCAACTTTAACCCG</t>
  </si>
  <si>
    <t xml:space="preserve">B3_P1(run)_2</t>
  </si>
  <si>
    <t xml:space="preserve">B3_P2(run)_2</t>
  </si>
  <si>
    <t xml:space="preserve">TCTGCACCAGGTCGCCGTGGCTCTG</t>
  </si>
  <si>
    <t xml:space="preserve">CCGAGCAGAGCACTGCTGGGGAGCC</t>
  </si>
  <si>
    <t xml:space="preserve">S162-03</t>
  </si>
  <si>
    <t xml:space="preserve">runt_B3_P1_03</t>
  </si>
  <si>
    <t xml:space="preserve">GTCCCTGCCTCTATATCTTTGCTACCGGTAAGGACTTGTTGGACC</t>
  </si>
  <si>
    <t xml:space="preserve">runt_B3_P2_03</t>
  </si>
  <si>
    <t xml:space="preserve">ACATCGTCGAGGGCGACGACCTTGATTCCACTCAACTTTAACCCG</t>
  </si>
  <si>
    <t xml:space="preserve">B3_P1(run)_3</t>
  </si>
  <si>
    <t xml:space="preserve">B3_P2(run)_3</t>
  </si>
  <si>
    <t xml:space="preserve">GCTACCGGTAAGGACTTGTTGGACC</t>
  </si>
  <si>
    <t xml:space="preserve">ACATCGTCGAGGGCGACGACCTTGA</t>
  </si>
  <si>
    <t xml:space="preserve">S162-04</t>
  </si>
  <si>
    <t xml:space="preserve">runt_B3_P1_04</t>
  </si>
  <si>
    <t xml:space="preserve">GTCCCTGCCTCTATATCTTTCTCATCGTTCCCAGCTTTAATGGTC</t>
  </si>
  <si>
    <t xml:space="preserve">runt_B3_P2_04</t>
  </si>
  <si>
    <t xml:space="preserve">GCAGTTCCTCATCTCCGCCATCACATTCCACTCAACTTTAACCCG</t>
  </si>
  <si>
    <t xml:space="preserve">B3_P1(run)_4</t>
  </si>
  <si>
    <t xml:space="preserve">B3_P2(run)_4</t>
  </si>
  <si>
    <t xml:space="preserve">CTCATCGTTCCCAGCTTTAATGGTC</t>
  </si>
  <si>
    <t xml:space="preserve">GCAGTTCCTCATCTCCGCCATCACA</t>
  </si>
  <si>
    <t xml:space="preserve">S162-05</t>
  </si>
  <si>
    <t xml:space="preserve">runt_B3_P1_05</t>
  </si>
  <si>
    <t xml:space="preserve">GTCCCTGCCTCTATATCTTTTCAGGTCATTGAACTTTGCCACCTG</t>
  </si>
  <si>
    <t xml:space="preserve">runt_B3_P2_05</t>
  </si>
  <si>
    <t xml:space="preserve">TGCCACGCCCGCTGCGACCCACGAATTCCACTCAACTTTAACCCG</t>
  </si>
  <si>
    <t xml:space="preserve">B3_P1(run)_5</t>
  </si>
  <si>
    <t xml:space="preserve">B3_P2(run)_5</t>
  </si>
  <si>
    <t xml:space="preserve">TCAGGTCATTGAACTTTGCCACCTG</t>
  </si>
  <si>
    <t xml:space="preserve">TGCCACGCCCGCTGCGACCCACGAA</t>
  </si>
  <si>
    <t xml:space="preserve">S162-06</t>
  </si>
  <si>
    <t xml:space="preserve">runt_B3_P1_06</t>
  </si>
  <si>
    <t xml:space="preserve">GTCCCTGCCTCTATATCTTTTGGCTGGGGAACGTGCTGATGGTGA</t>
  </si>
  <si>
    <t xml:space="preserve">runt_B3_P2_06</t>
  </si>
  <si>
    <t xml:space="preserve">TTGATAGCTTTGGTGTAGGAGGCCATTCCACTCAACTTTAACCCG</t>
  </si>
  <si>
    <t xml:space="preserve">B3_P1(run)_6</t>
  </si>
  <si>
    <t xml:space="preserve">B3_P2(run)_6</t>
  </si>
  <si>
    <t xml:space="preserve">TGGCTGGGGAACGTGCTGATGGTGA</t>
  </si>
  <si>
    <t xml:space="preserve">TTGATAGCTTTGGTGTAGGAGGCCA</t>
  </si>
  <si>
    <t xml:space="preserve">S163-01</t>
  </si>
  <si>
    <t xml:space="preserve">serrate_B3_P1_01</t>
  </si>
  <si>
    <t xml:space="preserve">GTCCCTGCCTCTATATCTTTCGGCGCGGGCCGCGGGCTGCGCGCG</t>
  </si>
  <si>
    <t xml:space="preserve">serrate_B3_P2_01</t>
  </si>
  <si>
    <t xml:space="preserve">GCAGGCGAGGGCGAGGGCGAGCAGCTTCCACTCAACTTTAACCCG</t>
  </si>
  <si>
    <t xml:space="preserve">B3_P1(ser)_1</t>
  </si>
  <si>
    <t xml:space="preserve">B3_P2(ser)_1</t>
  </si>
  <si>
    <t xml:space="preserve">CGGCGCGGGCCGCGGGCTGCGCGCG</t>
  </si>
  <si>
    <t xml:space="preserve">GCAGGCGAGGGCGAGGGCGAGCAGC</t>
  </si>
  <si>
    <t xml:space="preserve">S163-02</t>
  </si>
  <si>
    <t xml:space="preserve">serrate_B3_P1_02</t>
  </si>
  <si>
    <t xml:space="preserve">GTCCCTGCCTCTATATCTTTCTTGCAGCTCGAACACGCCCGCCCC</t>
  </si>
  <si>
    <t xml:space="preserve">serrate_B3_P2_02</t>
  </si>
  <si>
    <t xml:space="preserve">GCAGCCGGTAATTGGAGAACTCGAGTTCCACTCAACTTTAACCCG</t>
  </si>
  <si>
    <t xml:space="preserve">B3_P1(ser)_2</t>
  </si>
  <si>
    <t xml:space="preserve">B3_P2(ser)_2</t>
  </si>
  <si>
    <t xml:space="preserve">CTTGCAGCTCGAACACGCCCGCCCC</t>
  </si>
  <si>
    <t xml:space="preserve">GCAGCCGGTAATTGGAGAACTCGAG</t>
  </si>
  <si>
    <t xml:space="preserve">S163-03</t>
  </si>
  <si>
    <t xml:space="preserve">serrate_B3_P1_03</t>
  </si>
  <si>
    <t xml:space="preserve">GTCCCTGCCTCTATATCTTTCCGGCGGCGTCCGCGGCGCCGCAGC</t>
  </si>
  <si>
    <t xml:space="preserve">serrate_B3_P2_03</t>
  </si>
  <si>
    <t xml:space="preserve">GCGGCGGCGGCGGCGGCGCCCGGCGTTCCACTCAACTTTAACCCG</t>
  </si>
  <si>
    <t xml:space="preserve">B3_P1(ser)_3</t>
  </si>
  <si>
    <t xml:space="preserve">B3_P2(ser)_3</t>
  </si>
  <si>
    <t xml:space="preserve">CCGGCGGCGTCCGCGGCGCCGCAGC</t>
  </si>
  <si>
    <t xml:space="preserve">GCGGCGGCGGCGGCGGCGCCCGGCG</t>
  </si>
  <si>
    <t xml:space="preserve">S163-04</t>
  </si>
  <si>
    <t xml:space="preserve">serrate_B3_P1_04</t>
  </si>
  <si>
    <t xml:space="preserve">GTCCCTGCCTCTATATCTTTGAGGCACAGCGTGAAGCGCGTGCGA</t>
  </si>
  <si>
    <t xml:space="preserve">serrate_B3_P2_04</t>
  </si>
  <si>
    <t xml:space="preserve">GGGCGCGGCGGCCGACTGGTACTCCTTCCACTCAACTTTAACCCG</t>
  </si>
  <si>
    <t xml:space="preserve">B3_P1(ser)_4</t>
  </si>
  <si>
    <t xml:space="preserve">B3_P2(ser)_4</t>
  </si>
  <si>
    <t xml:space="preserve">GAGGCACAGCGTGAAGCGCGTGCGA</t>
  </si>
  <si>
    <t xml:space="preserve">GGGCGCGGCGGCCGACTGGTACTCC</t>
  </si>
  <si>
    <t xml:space="preserve">S163-05</t>
  </si>
  <si>
    <t xml:space="preserve">serrate_B3_P1_05</t>
  </si>
  <si>
    <t xml:space="preserve">GTCCCTGCCTCTATATCTTTTGCCCAGCACGGGCGAGGCGGCGCG</t>
  </si>
  <si>
    <t xml:space="preserve">serrate_B3_P2_05</t>
  </si>
  <si>
    <t xml:space="preserve">GCGGGTCGGCCAGCGTGAAGGAGTCTTCCACTCAACTTTAACCCG</t>
  </si>
  <si>
    <t xml:space="preserve">B3_P1(ser)_5</t>
  </si>
  <si>
    <t xml:space="preserve">B3_P2(ser)_5</t>
  </si>
  <si>
    <t xml:space="preserve">TGCCCAGCACGGGCGAGGCGGCGCG</t>
  </si>
  <si>
    <t xml:space="preserve">GCGGGTCGGCCAGCGTGAAGGAGTC</t>
  </si>
  <si>
    <t xml:space="preserve">S163-06</t>
  </si>
  <si>
    <t xml:space="preserve">serrate_B3_P1_06</t>
  </si>
  <si>
    <t xml:space="preserve">GTCCCTGCCTCTATATCTTTGAGCGCGTCCAGCGGAAGGAGAAGG</t>
  </si>
  <si>
    <t xml:space="preserve">serrate_B3_P2_06</t>
  </si>
  <si>
    <t xml:space="preserve">TCGAAGGCCTGCAGGATGAGCGTGATTCCACTCAACTTTAACCCG</t>
  </si>
  <si>
    <t xml:space="preserve">B3_P1(ser)_6; B3_P1(serrate)_1</t>
  </si>
  <si>
    <t xml:space="preserve">B3_P2(ser)_6; B3_P2(serrate)_1</t>
  </si>
  <si>
    <t xml:space="preserve">GAGCGCGTCCAGCGGAAGGAGAAGG</t>
  </si>
  <si>
    <t xml:space="preserve">TCGAAGGCCTGCAGGATGAGCGTGA</t>
  </si>
  <si>
    <t xml:space="preserve">S163-07</t>
  </si>
  <si>
    <t xml:space="preserve">serrate_B3_P1_07</t>
  </si>
  <si>
    <t xml:space="preserve">GTCCCTGCCTCTATATCTTTGATGAGGCCGGCGTCGTCGGCGGGC</t>
  </si>
  <si>
    <t xml:space="preserve">serrate_B3_P2_07</t>
  </si>
  <si>
    <t xml:space="preserve">CACGATGCCCGACCACCACGCCTCCTTCCACTCAACTTTAACCCG</t>
  </si>
  <si>
    <t xml:space="preserve">B3_P1(serrate)_2</t>
  </si>
  <si>
    <t xml:space="preserve">B3_P2(serrate)_2</t>
  </si>
  <si>
    <t xml:space="preserve">GATGAGGCCGGCGTCGTCGGCGGGC</t>
  </si>
  <si>
    <t xml:space="preserve">CACGATGCCCGACCACCACGCCTCC</t>
  </si>
  <si>
    <t xml:space="preserve">S163-08</t>
  </si>
  <si>
    <t xml:space="preserve">serrate_B3_P1_08</t>
  </si>
  <si>
    <t xml:space="preserve">GTCCCTGCCTCTATATCTTTCGGCGCCCGCGTGCCGCAGCGCGTG</t>
  </si>
  <si>
    <t xml:space="preserve">serrate_B3_P2_08</t>
  </si>
  <si>
    <t xml:space="preserve">CGCGCACGCGGTACGCCACGGACGCTTCCACTCAACTTTAACCCG</t>
  </si>
  <si>
    <t xml:space="preserve">B3_P1(serrate)_3</t>
  </si>
  <si>
    <t xml:space="preserve">B3_P2(serrate)_3</t>
  </si>
  <si>
    <t xml:space="preserve">CGGCGCCCGCGTGCCGCAGCGCGTG</t>
  </si>
  <si>
    <t xml:space="preserve">CGCGCACGCGGTACGCCACGGACGC</t>
  </si>
  <si>
    <t xml:space="preserve">S163-09</t>
  </si>
  <si>
    <t xml:space="preserve">serrate_B3_P1_09</t>
  </si>
  <si>
    <t xml:space="preserve">GTCCCTGCCTCTATATCTTTAACGTGGTGCAGGTGGAGTTGTAGT</t>
  </si>
  <si>
    <t xml:space="preserve">serrate_B3_P2_09</t>
  </si>
  <si>
    <t xml:space="preserve">CCGAACTTGTCGTCGCGCGCGCGGCTTCCACTCAACTTTAACCCG</t>
  </si>
  <si>
    <t xml:space="preserve">B3_P1(serrate)_4</t>
  </si>
  <si>
    <t xml:space="preserve">B3_P2(serrate)_4</t>
  </si>
  <si>
    <t xml:space="preserve">AACGTGGTGCAGGTGGAGTTGTAGT</t>
  </si>
  <si>
    <t xml:space="preserve">CCGAACTTGTCGTCGCGCGCGCGGC</t>
  </si>
  <si>
    <t xml:space="preserve">S163-10</t>
  </si>
  <si>
    <t xml:space="preserve">serrate_B3_P1_10</t>
  </si>
  <si>
    <t xml:space="preserve">GTCCCTGCCTCTATATCTTTGGGCAGGCAGCGCTTGCCGCCCGCC</t>
  </si>
  <si>
    <t xml:space="preserve">serrate_B3_P2_10</t>
  </si>
  <si>
    <t xml:space="preserve">CCGCTCGCAGTTGTCGCCCTGCCAGTTCCACTCAACTTTAACCCG</t>
  </si>
  <si>
    <t xml:space="preserve">B3_P1(serrate)_5</t>
  </si>
  <si>
    <t xml:space="preserve">B3_P2(serrate)_5</t>
  </si>
  <si>
    <t xml:space="preserve">GGGCAGGCAGCGCTTGCCGCCCGCC</t>
  </si>
  <si>
    <t xml:space="preserve">CCGCTCGCAGTTGTCGCCCTGCCAG</t>
  </si>
  <si>
    <t xml:space="preserve">S163-11</t>
  </si>
  <si>
    <t xml:space="preserve">serrate_B3_P1_11</t>
  </si>
  <si>
    <t xml:space="preserve">GTCCCTGCCTCTATATCTTTCGCAGCGCCCGTGCGCCGGGTGGCA</t>
  </si>
  <si>
    <t xml:space="preserve">serrate_B3_P2_11</t>
  </si>
  <si>
    <t xml:space="preserve">GCCGGCACGCGCACTCGCCGGGCGCTTCCACTCAACTTTAACCCG</t>
  </si>
  <si>
    <t xml:space="preserve">B3_P1(serrate)_6</t>
  </si>
  <si>
    <t xml:space="preserve">B3_P2(serrate)_6</t>
  </si>
  <si>
    <t xml:space="preserve">CGCAGCGCCCGTGCGCCGGGTGGCA</t>
  </si>
  <si>
    <t xml:space="preserve">GCCGGCACGCGCACTCGCCGGGCGC</t>
  </si>
  <si>
    <t xml:space="preserve">S164-01</t>
  </si>
  <si>
    <t xml:space="preserve">slp2_B3_P1_01</t>
  </si>
  <si>
    <t xml:space="preserve">GTCCCTGCCTCTATATCTTTGGCTTGGTGCAGTCGACCGGCTCCG</t>
  </si>
  <si>
    <t xml:space="preserve">slp2_B3_P2_01</t>
  </si>
  <si>
    <t xml:space="preserve">TTGTCCTTCTTGTCGTCGTCTTCCTTTCCACTCAACTTTAACCCG</t>
  </si>
  <si>
    <t xml:space="preserve">B3_P1(slp2)_1</t>
  </si>
  <si>
    <t xml:space="preserve">B3_P2(slp2)_1</t>
  </si>
  <si>
    <t xml:space="preserve">GGCTTGGTGCAGTCGACCGGCTCCG</t>
  </si>
  <si>
    <t xml:space="preserve">TTGTCCTTCTTGTCGTCGTCTTCCT</t>
  </si>
  <si>
    <t xml:space="preserve">S164-02</t>
  </si>
  <si>
    <t xml:space="preserve">slp2_B3_P1_02</t>
  </si>
  <si>
    <t xml:space="preserve">GTCCCTGCCTCTATATCTTTCATGATGAGGGCGTTGTAGCTGTAG</t>
  </si>
  <si>
    <t xml:space="preserve">slp2_B3_P2_02</t>
  </si>
  <si>
    <t xml:space="preserve">CTTCTCCGGGCTGTTGCGGATGGCCTTCCACTCAACTTTAACCCG</t>
  </si>
  <si>
    <t xml:space="preserve">B3_P1(slp2)_2</t>
  </si>
  <si>
    <t xml:space="preserve">B3_P2(slp2)_2</t>
  </si>
  <si>
    <t xml:space="preserve">CATGATGAGGGCGTTGTAGCTGTAG</t>
  </si>
  <si>
    <t xml:space="preserve">CTTCTCCGGGCTGTTGCGGATGGCC</t>
  </si>
  <si>
    <t xml:space="preserve">S164-03</t>
  </si>
  <si>
    <t xml:space="preserve">slp2_B3_P1_03</t>
  </si>
  <si>
    <t xml:space="preserve">GTCCCTGCCTCTATATCTTTAGTTGGTCATGATGTACTCGTAGAT</t>
  </si>
  <si>
    <t xml:space="preserve">slp2_B3_P2_03</t>
  </si>
  <si>
    <t xml:space="preserve">CCTGCCGGTTCTCCCGGTAGTAGGGTTCCACTCAACTTTAACCCG</t>
  </si>
  <si>
    <t xml:space="preserve">B3_P1(slp2)_3</t>
  </si>
  <si>
    <t xml:space="preserve">B3_P2(slp2)_3</t>
  </si>
  <si>
    <t xml:space="preserve">AGTTGGTCATGATGTACTCGTAGAT</t>
  </si>
  <si>
    <t xml:space="preserve">CCTGCCGGTTCTCCCGGTAGTAGGG</t>
  </si>
  <si>
    <t xml:space="preserve">S164-04</t>
  </si>
  <si>
    <t xml:space="preserve">slp2_B3_P1_04</t>
  </si>
  <si>
    <t xml:space="preserve">GTCCCTGCCTCTATATCTTTCACTTGTTGAGGCTGAGGTTGTGGC</t>
  </si>
  <si>
    <t xml:space="preserve">slp2_B3_P2_04</t>
  </si>
  <si>
    <t xml:space="preserve">TCGTAGTGCCGCGGCACTTTCACGATTCCACTCAACTTTAACCCG</t>
  </si>
  <si>
    <t xml:space="preserve">B3_P1(slp2)_4</t>
  </si>
  <si>
    <t xml:space="preserve">B3_P2(slp2)_4</t>
  </si>
  <si>
    <t xml:space="preserve">CACTTGTTGAGGCTGAGGTTGTGGC</t>
  </si>
  <si>
    <t xml:space="preserve">TCGTAGTGCCGCGGCACTTTCACGA</t>
  </si>
  <si>
    <t xml:space="preserve">S164-05</t>
  </si>
  <si>
    <t xml:space="preserve">slp2_B3_P1_05</t>
  </si>
  <si>
    <t xml:space="preserve">GTCCCTGCCTCTATATCTTTCGCCGACGCGTCCAGCATCCAGTAG</t>
  </si>
  <si>
    <t xml:space="preserve">slp2_B3_P2_05</t>
  </si>
  <si>
    <t xml:space="preserve">CGTCGTGCCGCCTATGAACACGTCCTTCCACTCAACTTTAACCCG</t>
  </si>
  <si>
    <t xml:space="preserve">B3_P1(slp2)_5</t>
  </si>
  <si>
    <t xml:space="preserve">B3_P2(slp2)_5</t>
  </si>
  <si>
    <t xml:space="preserve">CGCCGACGCGTCCAGCATCCAGTAG</t>
  </si>
  <si>
    <t xml:space="preserve">CGTCGTGCCGCCTATGAACACGTCC</t>
  </si>
  <si>
    <t xml:space="preserve">S164-06</t>
  </si>
  <si>
    <t xml:space="preserve">slp2_B3_P1_06</t>
  </si>
  <si>
    <t xml:space="preserve">GTCCCTGCCTCTATATCTTTGGCGCGAGCGGCCCGTGAGCGCGGA</t>
  </si>
  <si>
    <t xml:space="preserve">slp2_B3_P2_06</t>
  </si>
  <si>
    <t xml:space="preserve">GGAACAGCGGCCGCTTGAAGCAGGCTTCCACTCAACTTTAACCCG</t>
  </si>
  <si>
    <t xml:space="preserve">B3_P1(slp2)_6</t>
  </si>
  <si>
    <t xml:space="preserve">B3_P2(slp2)_6</t>
  </si>
  <si>
    <t xml:space="preserve">GGCGCGAGCGGCCCGTGAGCGCGGA</t>
  </si>
  <si>
    <t xml:space="preserve">GGAACAGCGGCCGCTTGAAGCAGGC</t>
  </si>
  <si>
    <t xml:space="preserve">S165-01</t>
  </si>
  <si>
    <t xml:space="preserve">star_B3_P1_01</t>
  </si>
  <si>
    <t xml:space="preserve">GTCCCTGCCTCTATATCTTTGTGAACGAGGGGATGCTGACTCGGG</t>
  </si>
  <si>
    <t xml:space="preserve">star_B3_P2_01</t>
  </si>
  <si>
    <t xml:space="preserve">CGGTACAGTTCATTGGGAGGAGTCTTTCCACTCAACTTTAACCCG</t>
  </si>
  <si>
    <t xml:space="preserve">B3_P1(star)_1</t>
  </si>
  <si>
    <t xml:space="preserve">B3_P2(star)_1</t>
  </si>
  <si>
    <t xml:space="preserve">GTGAACGAGGGGATGCTGACTCGGG</t>
  </si>
  <si>
    <t xml:space="preserve">CGGTACAGTTCATTGGGAGGAGTCT</t>
  </si>
  <si>
    <t xml:space="preserve">S165-02</t>
  </si>
  <si>
    <t xml:space="preserve">star_B3_P1_02</t>
  </si>
  <si>
    <t xml:space="preserve">GTCCCTGCCTCTATATCTTTAGTGACAAACGTGAGCAGGAACAAC</t>
  </si>
  <si>
    <t xml:space="preserve">star_B3_P2_02</t>
  </si>
  <si>
    <t xml:space="preserve">CATATAGATCAGCAGCACTGTCATGTTCCACTCAACTTTAACCCG</t>
  </si>
  <si>
    <t xml:space="preserve">B3_P1(star)_2</t>
  </si>
  <si>
    <t xml:space="preserve">B3_P2(star)_2</t>
  </si>
  <si>
    <t xml:space="preserve">AGTGACAAACGTGAGCAGGAACAAC</t>
  </si>
  <si>
    <t xml:space="preserve">CATATAGATCAGCAGCACTGTCATG</t>
  </si>
  <si>
    <t xml:space="preserve">S165-03</t>
  </si>
  <si>
    <t xml:space="preserve">star_B3_P1_03</t>
  </si>
  <si>
    <t xml:space="preserve">GTCCCTGCCTCTATATCTTTACATGTTCAGGCGGAACTGCTGCGC</t>
  </si>
  <si>
    <t xml:space="preserve">star_B3_P2_03</t>
  </si>
  <si>
    <t xml:space="preserve">GGATGCGCGCCAGCTCGTAGTCCCGTTCCACTCAACTTTAACCCG</t>
  </si>
  <si>
    <t xml:space="preserve">B3_P1(star)_3</t>
  </si>
  <si>
    <t xml:space="preserve">B3_P2(star)_3</t>
  </si>
  <si>
    <t xml:space="preserve">ACATGTTCAGGCGGAACTGCTGCGC</t>
  </si>
  <si>
    <t xml:space="preserve">GGATGCGCGCCAGCTCGTAGTCCCG</t>
  </si>
  <si>
    <t xml:space="preserve">S165-04</t>
  </si>
  <si>
    <t xml:space="preserve">star_B3_P1_04</t>
  </si>
  <si>
    <t xml:space="preserve">GTCCCTGCCTCTATATCTTTTGCAGCTGGCGCACGTACGCCACCA</t>
  </si>
  <si>
    <t xml:space="preserve">star_B3_P2_04</t>
  </si>
  <si>
    <t xml:space="preserve">GGCGTGCGCGGCGCGCGCGGCGCCATTCCACTCAACTTTAACCCG</t>
  </si>
  <si>
    <t xml:space="preserve">B3_P1(star)_4</t>
  </si>
  <si>
    <t xml:space="preserve">B3_P2(star)_4</t>
  </si>
  <si>
    <t xml:space="preserve">TGCAGCTGGCGCACGTACGCCACCA</t>
  </si>
  <si>
    <t xml:space="preserve">GGCGTGCGCGGCGCGCGCGGCGCCA</t>
  </si>
  <si>
    <t xml:space="preserve">S165-05</t>
  </si>
  <si>
    <t xml:space="preserve">star_B3_P1_05</t>
  </si>
  <si>
    <t xml:space="preserve">GTCCCTGCCTCTATATCTTTGTCCAGCGCACGCACGCGCGGCGTG</t>
  </si>
  <si>
    <t xml:space="preserve">star_B3_P2_05</t>
  </si>
  <si>
    <t xml:space="preserve">ACCATTGTACATCTCCCCCAGTAGCTTCCACTCAACTTTAACCCG</t>
  </si>
  <si>
    <t xml:space="preserve">B3_P1(star)_5</t>
  </si>
  <si>
    <t xml:space="preserve">B3_P2(star)_5</t>
  </si>
  <si>
    <t xml:space="preserve">GTCCAGCGCACGCACGCGCGGCGTG</t>
  </si>
  <si>
    <t xml:space="preserve">ACCATTGTACATCTCCCCCAGTAGC</t>
  </si>
  <si>
    <t xml:space="preserve">S165-06</t>
  </si>
  <si>
    <t xml:space="preserve">star_B3_P1_06</t>
  </si>
  <si>
    <t xml:space="preserve">GTCCCTGCCTCTATATCTTTCCGTGGGGTCCCGCCCGCCGCGCGG</t>
  </si>
  <si>
    <t xml:space="preserve">star_B3_P2_06</t>
  </si>
  <si>
    <t xml:space="preserve">AGCCGCGCACCGTCTCCAGGTAGGCTTCCACTCAACTTTAACCCG</t>
  </si>
  <si>
    <t xml:space="preserve">B3_P1(star)_6</t>
  </si>
  <si>
    <t xml:space="preserve">B3_P2(star)_6</t>
  </si>
  <si>
    <t xml:space="preserve">CCGTGGGGTCCCGCCCGCCGCGCGG</t>
  </si>
  <si>
    <t xml:space="preserve">AGCCGCGCACCGTCTCCAGGTAGGC</t>
  </si>
  <si>
    <t xml:space="preserve">S166-01</t>
  </si>
  <si>
    <t xml:space="preserve">strawberry-notch_B3_P1_01</t>
  </si>
  <si>
    <t xml:space="preserve">GTCCCTGCCTCTATATCTTTGTGATCACCGAATGCTTGTCGCTTT</t>
  </si>
  <si>
    <t xml:space="preserve">strawberry-notch_B3_P2_01</t>
  </si>
  <si>
    <t xml:space="preserve">AGAGTCATCGTCTGAGGCAGCTGGATTCCACTCAACTTTAACCCG</t>
  </si>
  <si>
    <t xml:space="preserve">B3_P1(strawberry)_1</t>
  </si>
  <si>
    <t xml:space="preserve">B3_P2(strawberry)_1</t>
  </si>
  <si>
    <t xml:space="preserve">GTGATCACCGAATGCTTGTCGCTTT</t>
  </si>
  <si>
    <t xml:space="preserve">AGAGTCATCGTCTGAGGCAGCTGGA</t>
  </si>
  <si>
    <t xml:space="preserve">S166-02</t>
  </si>
  <si>
    <t xml:space="preserve">strawberry-notch_B3_P1_02</t>
  </si>
  <si>
    <t xml:space="preserve">GTCCCTGCCTCTATATCTTTCTGGCACTTCCAAATTGTCTGGATC</t>
  </si>
  <si>
    <t xml:space="preserve">strawberry-notch_B3_P2_02</t>
  </si>
  <si>
    <t xml:space="preserve">CCGCCGCCGCCAGGGTCTTGCCGCCTTCCACTCAACTTTAACCCG</t>
  </si>
  <si>
    <t xml:space="preserve">B3_P1(strawberry)_2</t>
  </si>
  <si>
    <t xml:space="preserve">B3_P2(strawberry)_2</t>
  </si>
  <si>
    <t xml:space="preserve">CTGGCACTTCCAAATTGTCTGGATC</t>
  </si>
  <si>
    <t xml:space="preserve">CCGCCGCCGCCAGGGTCTTGCCGCC</t>
  </si>
  <si>
    <t xml:space="preserve">S166-03</t>
  </si>
  <si>
    <t xml:space="preserve">strawberry-notch_B3_P1_03</t>
  </si>
  <si>
    <t xml:space="preserve">GTCCCTGCCTCTATATCTTTGTGACGGGCGCGGGCTGCGGCTTCG</t>
  </si>
  <si>
    <t xml:space="preserve">strawberry-notch_B3_P2_03</t>
  </si>
  <si>
    <t xml:space="preserve">GCCAGCGGGTTGGTGGTGGCGCGCATTCCACTCAACTTTAACCCG</t>
  </si>
  <si>
    <t xml:space="preserve">B3_P1(strawberry)_3</t>
  </si>
  <si>
    <t xml:space="preserve">B3_P2(strawberry)_3</t>
  </si>
  <si>
    <t xml:space="preserve">GTGACGGGCGCGGGCTGCGGCTTCG</t>
  </si>
  <si>
    <t xml:space="preserve">GCCAGCGGGTTGGTGGTGGCGCGCA</t>
  </si>
  <si>
    <t xml:space="preserve">S166-04</t>
  </si>
  <si>
    <t xml:space="preserve">strawberry-notch_B3_P1_04</t>
  </si>
  <si>
    <t xml:space="preserve">GTCCCTGCCTCTATATCTTTCAGCAGGTACGAGTTCATGCCCTGC</t>
  </si>
  <si>
    <t xml:space="preserve">strawberry-notch_B3_P2_04</t>
  </si>
  <si>
    <t xml:space="preserve">CGACGCCAGGATCTGGTTGAGGTTCTTCCACTCAACTTTAACCCG</t>
  </si>
  <si>
    <t xml:space="preserve">B3_P1(strawberry)_4</t>
  </si>
  <si>
    <t xml:space="preserve">B3_P2(strawberry)_4</t>
  </si>
  <si>
    <t xml:space="preserve">CAGCAGGTACGAGTTCATGCCCTGC</t>
  </si>
  <si>
    <t xml:space="preserve">CGACGCCAGGATCTGGTTGAGGTTC</t>
  </si>
  <si>
    <t xml:space="preserve">S166-05</t>
  </si>
  <si>
    <t xml:space="preserve">strawberry-notch_B3_P1_05</t>
  </si>
  <si>
    <t xml:space="preserve">GTCCCTGCCTCTATATCTTTCGGCGAACTGGCCCAGCATGCCGGC</t>
  </si>
  <si>
    <t xml:space="preserve">strawberry-notch_B3_P2_05</t>
  </si>
  <si>
    <t xml:space="preserve">CGCCCTTCTGCGCCCACGGCGGCACTTCCACTCAACTTTAACCCG</t>
  </si>
  <si>
    <t xml:space="preserve">B3_P1(strawberry)_5</t>
  </si>
  <si>
    <t xml:space="preserve">B3_P2(strawberry)_5</t>
  </si>
  <si>
    <t xml:space="preserve">CGGCGAACTGGCCCAGCATGCCGGC</t>
  </si>
  <si>
    <t xml:space="preserve">CGCCCTTCTGCGCCCACGGCGGCAC</t>
  </si>
  <si>
    <t xml:space="preserve">S166-06</t>
  </si>
  <si>
    <t xml:space="preserve">strawberry-notch_B3_P1_06</t>
  </si>
  <si>
    <t xml:space="preserve">GTCCCTGCCTCTATATCTTTTCGTCGTCCACCTCCTCCTCGTCGC</t>
  </si>
  <si>
    <t xml:space="preserve">strawberry-notch_B3_P2_06</t>
  </si>
  <si>
    <t xml:space="preserve">GCGTACGTCTCGGCCACGCCCATCTTTCCACTCAACTTTAACCCG</t>
  </si>
  <si>
    <t xml:space="preserve">B3_P1(strawberry)_6</t>
  </si>
  <si>
    <t xml:space="preserve">B3_P2(strawberry)_6</t>
  </si>
  <si>
    <t xml:space="preserve">TCGTCGTCCACCTCCTCCTCGTCGC</t>
  </si>
  <si>
    <t xml:space="preserve">GCGTACGTCTCGGCCACGCCCATCT</t>
  </si>
  <si>
    <t xml:space="preserve">S167-01</t>
  </si>
  <si>
    <t xml:space="preserve">Su-H_B3_P1_01</t>
  </si>
  <si>
    <t xml:space="preserve">GTCCCTGCCTCTATATCTTTGCCCGCGCCCGCGCCGTACTGGTGC</t>
  </si>
  <si>
    <t xml:space="preserve">Su-H_B3_P2_01</t>
  </si>
  <si>
    <t xml:space="preserve">CGGCGACGGCGGGCCCCCGCCCATGTTCCACTCAACTTTAACCCG</t>
  </si>
  <si>
    <t xml:space="preserve">B3_P1(soh)_1</t>
  </si>
  <si>
    <t xml:space="preserve">B3_P2(soh)_1</t>
  </si>
  <si>
    <t xml:space="preserve">GCCCGCGCCCGCGCCGTACTGGTGC</t>
  </si>
  <si>
    <t xml:space="preserve">CGGCGACGGCGGGCCCCCGCCCATG</t>
  </si>
  <si>
    <t xml:space="preserve">S167-02</t>
  </si>
  <si>
    <t xml:space="preserve">Su-H_B3_P1_02</t>
  </si>
  <si>
    <t xml:space="preserve">GTCCCTGCCTCTATATCTTTCGGCGGCGGCGTAGCGCGGGTACAG</t>
  </si>
  <si>
    <t xml:space="preserve">Su-H_B3_P2_02</t>
  </si>
  <si>
    <t xml:space="preserve">GGCGGTAGGCGCCGGCGCCGGGGCCTTCCACTCAACTTTAACCCG</t>
  </si>
  <si>
    <t xml:space="preserve">B3_P1(soh)_2</t>
  </si>
  <si>
    <t xml:space="preserve">B3_P2(soh)_2</t>
  </si>
  <si>
    <t xml:space="preserve">CGGCGGCGGCGTAGCGCGGGTACAG</t>
  </si>
  <si>
    <t xml:space="preserve">GGCGGTAGGCGCCGGCGCCGGGGCC</t>
  </si>
  <si>
    <t xml:space="preserve">S167-03</t>
  </si>
  <si>
    <t xml:space="preserve">Su-H_B3_P1_03</t>
  </si>
  <si>
    <t xml:space="preserve">GTCCCTGCCTCTATATCTTTAGGTAGCGCTCCATGGCCTCGCGCG</t>
  </si>
  <si>
    <t xml:space="preserve">Su-H_B3_P2_03</t>
  </si>
  <si>
    <t xml:space="preserve">ACCACCACCATGTCGGAGCGGTCGCTTCCACTCAACTTTAACCCG</t>
  </si>
  <si>
    <t xml:space="preserve">B3_P1(soh)_3</t>
  </si>
  <si>
    <t xml:space="preserve">B3_P2(soh)_3</t>
  </si>
  <si>
    <t xml:space="preserve">AGGTAGCGCTCCATGGCCTCGCGCG</t>
  </si>
  <si>
    <t xml:space="preserve">ACCACCACCATGTCGGAGCGGTCGC</t>
  </si>
  <si>
    <t xml:space="preserve">S167-04</t>
  </si>
  <si>
    <t xml:space="preserve">Su-H_B3_P1_04</t>
  </si>
  <si>
    <t xml:space="preserve">GTCCCTGCCTCTATATCTTTCTCGTTGCCGTACGACTTCTGAGCG</t>
  </si>
  <si>
    <t xml:space="preserve">Su-H_B3_P2_04</t>
  </si>
  <si>
    <t xml:space="preserve">ACAGGGTGGCGGACAGAAGAACCTCTTCCACTCAACTTTAACCCG</t>
  </si>
  <si>
    <t xml:space="preserve">B3_P1(soh)_4</t>
  </si>
  <si>
    <t xml:space="preserve">B3_P2(soh)_4</t>
  </si>
  <si>
    <t xml:space="preserve">CTCGTTGCCGTACGACTTCTGAGCG</t>
  </si>
  <si>
    <t xml:space="preserve">ACAGGGTGGCGGACAGAAGAACCTC</t>
  </si>
  <si>
    <t xml:space="preserve">S167-05</t>
  </si>
  <si>
    <t xml:space="preserve">Su-H_B3_P1_05</t>
  </si>
  <si>
    <t xml:space="preserve">GTCCCTGCCTCTATATCTTTTGCGCTCGCGCCGCAGCCGCCAGCC</t>
  </si>
  <si>
    <t xml:space="preserve">Su-H_B3_P2_05</t>
  </si>
  <si>
    <t xml:space="preserve">CCTGCTCAGTCTCTCCCTCGCGCAGTTCCACTCAACTTTAACCCG</t>
  </si>
  <si>
    <t xml:space="preserve">B3_P1(soh)_5</t>
  </si>
  <si>
    <t xml:space="preserve">B3_P2(soh)_5</t>
  </si>
  <si>
    <t xml:space="preserve">TGCGCTCGCGCCGCAGCCGCCAGCC</t>
  </si>
  <si>
    <t xml:space="preserve">CCTGCTCAGTCTCTCCCTCGCGCAG</t>
  </si>
  <si>
    <t xml:space="preserve">S167-06</t>
  </si>
  <si>
    <t xml:space="preserve">Su-H_B3_P1_06</t>
  </si>
  <si>
    <t xml:space="preserve">GTCCCTGCCTCTATATCTTTTGGTCGGAGTTGCCGATGCCGATAA</t>
  </si>
  <si>
    <t xml:space="preserve">Su-H_B3_P2_06</t>
  </si>
  <si>
    <t xml:space="preserve">TTGTTGAGGTCGAGCTGTTGCATGTTTCCACTCAACTTTAACCCG</t>
  </si>
  <si>
    <t xml:space="preserve">B3_P1(soh)_6</t>
  </si>
  <si>
    <t xml:space="preserve">B3_P2(soh)_6</t>
  </si>
  <si>
    <t xml:space="preserve">TGGTCGGAGTTGCCGATGCCGATAA</t>
  </si>
  <si>
    <t xml:space="preserve">TTGTTGAGGTCGAGCTGTTGCATGT</t>
  </si>
  <si>
    <t xml:space="preserve">S168-01</t>
  </si>
  <si>
    <t xml:space="preserve">toll-like_B3_P1_01</t>
  </si>
  <si>
    <t xml:space="preserve">GTCCCTGCCTCTATATCTTTGTGTTTTATTCCGTTCACTGATAGA</t>
  </si>
  <si>
    <t xml:space="preserve">toll-like_B3_P2_01</t>
  </si>
  <si>
    <t xml:space="preserve">AACGTCCACAAATAAGTTGTCCGGTTTCCACTCAACTTTAACCCG</t>
  </si>
  <si>
    <t xml:space="preserve">B3_P1(toll-like)_1</t>
  </si>
  <si>
    <t xml:space="preserve">B3_P2(toll-like)_1</t>
  </si>
  <si>
    <t xml:space="preserve">GTGTTTTATTCCGTTCACTGATAGA</t>
  </si>
  <si>
    <t xml:space="preserve">AACGTCCACAAATAAGTTGTCCGGT</t>
  </si>
  <si>
    <t xml:space="preserve">S168-02</t>
  </si>
  <si>
    <t xml:space="preserve">toll-like_B3_P1_02</t>
  </si>
  <si>
    <t xml:space="preserve">GTCCCTGCCTCTATATCTTTGTTTGATATTGTTACATCGTATGTT</t>
  </si>
  <si>
    <t xml:space="preserve">toll-like_B3_P2_02</t>
  </si>
  <si>
    <t xml:space="preserve">CTAGGGGCTTGAATAACTCTTCAGATTCCACTCAACTTTAACCCG</t>
  </si>
  <si>
    <t xml:space="preserve">B3_P1(toll-like)_2</t>
  </si>
  <si>
    <t xml:space="preserve">B3_P2(toll-like)_2</t>
  </si>
  <si>
    <t xml:space="preserve">GTTTGATATTGTTACATCGTATGTT</t>
  </si>
  <si>
    <t xml:space="preserve">CTAGGGGCTTGAATAACTCTTCAGA</t>
  </si>
  <si>
    <t xml:space="preserve">S168-03</t>
  </si>
  <si>
    <t xml:space="preserve">toll-like_B3_P1_03</t>
  </si>
  <si>
    <t xml:space="preserve">GTCCCTGCCTCTATATCTTTTTCGTCATGTGGTTATGACTTATTT</t>
  </si>
  <si>
    <t xml:space="preserve">toll-like_B3_P2_03</t>
  </si>
  <si>
    <t xml:space="preserve">AAATGAGAAAAGAGATTCGAGGACATTCCACTCAACTTTAACCCG</t>
  </si>
  <si>
    <t xml:space="preserve">B3_P1(toll-like)_3</t>
  </si>
  <si>
    <t xml:space="preserve">B3_P2(toll-like)_3</t>
  </si>
  <si>
    <t xml:space="preserve">TTCGTCATGTGGTTATGACTTATTT</t>
  </si>
  <si>
    <t xml:space="preserve">AAATGAGAAAAGAGATTCGAGGACA</t>
  </si>
  <si>
    <t xml:space="preserve">S168-04</t>
  </si>
  <si>
    <t xml:space="preserve">toll-like_B3_P1_04</t>
  </si>
  <si>
    <t xml:space="preserve">GTCCCTGCCTCTATATCTTTTGTCACATTACTTTGCCATAAGGAT</t>
  </si>
  <si>
    <t xml:space="preserve">toll-like_B3_P2_04</t>
  </si>
  <si>
    <t xml:space="preserve">GCCAGTGAAGAAATCTTTTGAAAACTTCCACTCAACTTTAACCCG</t>
  </si>
  <si>
    <t xml:space="preserve">B3_P1(toll-like)_4</t>
  </si>
  <si>
    <t xml:space="preserve">B3_P2(toll-like)_4</t>
  </si>
  <si>
    <t xml:space="preserve">TGTCACATTACTTTGCCATAAGGAT</t>
  </si>
  <si>
    <t xml:space="preserve">GCCAGTGAAGAAATCTTTTGAAAAC</t>
  </si>
  <si>
    <t xml:space="preserve">S168-05</t>
  </si>
  <si>
    <t xml:space="preserve">toll-like_B3_P1_05</t>
  </si>
  <si>
    <t xml:space="preserve">GTCCCTGCCTCTATATCTTTTAAGTCCATTAGAACTCAGATCCAA</t>
  </si>
  <si>
    <t xml:space="preserve">toll-like_B3_P2_05</t>
  </si>
  <si>
    <t xml:space="preserve">GCTTAAAAATTGATGTTGGAAGTTCTTCCACTCAACTTTAACCCG</t>
  </si>
  <si>
    <t xml:space="preserve">B3_P1(toll-like)_5</t>
  </si>
  <si>
    <t xml:space="preserve">B3_P2(toll-like)_5</t>
  </si>
  <si>
    <t xml:space="preserve">TAAGTCCATTAGAACTCAGATCCAA</t>
  </si>
  <si>
    <t xml:space="preserve">GCTTAAAAATTGATGTTGGAAGTTC</t>
  </si>
  <si>
    <t xml:space="preserve">S168-06</t>
  </si>
  <si>
    <t xml:space="preserve">toll-like_B3_P1_06</t>
  </si>
  <si>
    <t xml:space="preserve">GTCCCTGCCTCTATATCTTTAACTTGTTGGAAAATAACGTAAGTT</t>
  </si>
  <si>
    <t xml:space="preserve">toll-like_B3_P2_06</t>
  </si>
  <si>
    <t xml:space="preserve">GAAAAGAGATTCTCTGGTAATGTTGTTCCACTCAACTTTAACCCG</t>
  </si>
  <si>
    <t xml:space="preserve">B3_P1(toll-like)_6</t>
  </si>
  <si>
    <t xml:space="preserve">B3_P2(toll-like)_6</t>
  </si>
  <si>
    <t xml:space="preserve">AACTTGTTGGAAAATAACGTAAGTT</t>
  </si>
  <si>
    <t xml:space="preserve">GAAAAGAGATTCTCTGGTAATGTTG</t>
  </si>
  <si>
    <t xml:space="preserve">S169-01</t>
  </si>
  <si>
    <t xml:space="preserve">Wnt10_B3_P1_01</t>
  </si>
  <si>
    <t xml:space="preserve">GTCCCTGCCTCTATATCTTTCACAACCTCAAAAAATGCAATCAGC</t>
  </si>
  <si>
    <t xml:space="preserve">Wnt10_B3_P2_01</t>
  </si>
  <si>
    <t xml:space="preserve">GTGTGGCAGCATGTTGTCTCTTGAGTTCCACTCAACTTTAACCCG</t>
  </si>
  <si>
    <t xml:space="preserve">Wnt101_HCR_P1B3</t>
  </si>
  <si>
    <t xml:space="preserve">Wnt101_HCR_P2B3</t>
  </si>
  <si>
    <t xml:space="preserve">S169-02</t>
  </si>
  <si>
    <t xml:space="preserve">Wnt10_B3_P1_02</t>
  </si>
  <si>
    <t xml:space="preserve">GTCCCTGCCTCTATATCTTTCCGATGAGTCGACAAGTTAGAGTAG</t>
  </si>
  <si>
    <t xml:space="preserve">Wnt10_B3_P2_02</t>
  </si>
  <si>
    <t xml:space="preserve">ACAGATCTCTGTTCTCTGGTCAGACTTCCACTCAACTTTAACCCG</t>
  </si>
  <si>
    <t xml:space="preserve">Wnt102_HCR_P1B3</t>
  </si>
  <si>
    <t xml:space="preserve">Wnt102_HCR_P2B3</t>
  </si>
  <si>
    <t xml:space="preserve">S169-03</t>
  </si>
  <si>
    <t xml:space="preserve">Wnt10_B3_P1_03</t>
  </si>
  <si>
    <t xml:space="preserve">GTCCCTGCCTCTATATCTTTCTGGAGCAGTTCCACCTGTGCCAGC</t>
  </si>
  <si>
    <t xml:space="preserve">Wnt10_B3_P2_03</t>
  </si>
  <si>
    <t xml:space="preserve">TGAGGATTGGAACTCTTGACCAGCATTCCACTCAACTTTAACCCG</t>
  </si>
  <si>
    <t xml:space="preserve">Wnt103_HCR_P1B3</t>
  </si>
  <si>
    <t xml:space="preserve">Wnt103_HCR_P2B3</t>
  </si>
  <si>
    <t xml:space="preserve">S169-04</t>
  </si>
  <si>
    <t xml:space="preserve">Wnt10_B3_P1_04</t>
  </si>
  <si>
    <t xml:space="preserve">GTCCCTGCCTCTATATCTTTCGCGGTTTCCCGGAATCCTCTCTTC</t>
  </si>
  <si>
    <t xml:space="preserve">Wnt10_B3_P2_04</t>
  </si>
  <si>
    <t xml:space="preserve">TCCTGCCGCTGTTAGGGCGTACAGGTTCCACTCAACTTTAACCCG</t>
  </si>
  <si>
    <t xml:space="preserve">Wnt104_HCR_P1B3</t>
  </si>
  <si>
    <t xml:space="preserve">Wnt104_HCR_P2B3</t>
  </si>
  <si>
    <t xml:space="preserve">S169-05</t>
  </si>
  <si>
    <t xml:space="preserve">Wnt10_B3_P1_05</t>
  </si>
  <si>
    <t xml:space="preserve">GTCCCTGCCTCTATATCTTTGTCCTCGTGCGGCCCCTCTCATGGG</t>
  </si>
  <si>
    <t xml:space="preserve">Wnt10_B3_P2_05</t>
  </si>
  <si>
    <t xml:space="preserve">GAGCAGCCACTCCACTCCCACTTGTTTCCACTCAACTTTAACCCG</t>
  </si>
  <si>
    <t xml:space="preserve">Wnt105_HCR_P1B3</t>
  </si>
  <si>
    <t xml:space="preserve">Wnt105_HCR_P2B3</t>
  </si>
  <si>
    <t xml:space="preserve">S169-06</t>
  </si>
  <si>
    <t xml:space="preserve">Wnt10_B3_P1_06</t>
  </si>
  <si>
    <t xml:space="preserve">GTCCCTGCCTCTATATCTTTAATTTCTTGGAGAACTCGACGCCAT</t>
  </si>
  <si>
    <t xml:space="preserve">Wnt10_B3_P2_06</t>
  </si>
  <si>
    <t xml:space="preserve">TCGTCCACCTTTTCCCGTACATCGATTCCACTCAACTTTAACCCG</t>
  </si>
  <si>
    <t xml:space="preserve">Wnt106_HCR_P1B3</t>
  </si>
  <si>
    <t xml:space="preserve">Wnt106_HCR_P2B3</t>
  </si>
  <si>
    <t xml:space="preserve">S170-01</t>
  </si>
  <si>
    <t xml:space="preserve">abd-B_B4_P1_01</t>
  </si>
  <si>
    <t xml:space="preserve">CCTCAACCTACCTCCAACAATCGTAGCGCTTGGCCGGGATGTGCA</t>
  </si>
  <si>
    <t xml:space="preserve">abd-B_B4_P2_01</t>
  </si>
  <si>
    <t xml:space="preserve">GCGTGGCGGATGACGCCGGGCTCGGATTCTCACCATATTCGCTTC</t>
  </si>
  <si>
    <t xml:space="preserve">B4_P1(abB)_1</t>
  </si>
  <si>
    <t xml:space="preserve">B4_P2(abB)_1</t>
  </si>
  <si>
    <t xml:space="preserve">TCGTAGCGCTTGGCCGGGATGTGCA</t>
  </si>
  <si>
    <t xml:space="preserve">GCGTGGCGGATGACGCCGGGCTCGG</t>
  </si>
  <si>
    <t xml:space="preserve">S170-02</t>
  </si>
  <si>
    <t xml:space="preserve">abd-B_B4_P1_02</t>
  </si>
  <si>
    <t xml:space="preserve">CCTCAACCTACCTCCAACAAGAAGGGTGCGGGCGCGTCGGGCGGG</t>
  </si>
  <si>
    <t xml:space="preserve">abd-B_B4_P2_02</t>
  </si>
  <si>
    <t xml:space="preserve">CGTGGGCCCGGCCGGGTACTGGTGCATTCTCACCATATTCGCTTC</t>
  </si>
  <si>
    <t xml:space="preserve">B4_P1(abB)_2</t>
  </si>
  <si>
    <t xml:space="preserve">B4_P2(abB)_2</t>
  </si>
  <si>
    <t xml:space="preserve">GAAGGGTGCGGGCGCGTCGGGCGGG</t>
  </si>
  <si>
    <t xml:space="preserve">CGTGGGCCCGGCCGGGTACTGGTGC</t>
  </si>
  <si>
    <t xml:space="preserve">S170-03</t>
  </si>
  <si>
    <t xml:space="preserve">abd-B_B4_P1_03</t>
  </si>
  <si>
    <t xml:space="preserve">CCTCAACCTACCTCCAACAAGCAGGCCCGCCTTGCGCTCGCGCTC</t>
  </si>
  <si>
    <t xml:space="preserve">abd-B_B4_P2_03</t>
  </si>
  <si>
    <t xml:space="preserve">TGTACTCGCCGCCGCCGGGCCAGAAATTCTCACCATATTCGCTTC</t>
  </si>
  <si>
    <t xml:space="preserve">B4_P1(abB)_3</t>
  </si>
  <si>
    <t xml:space="preserve">B4_P2(abB)_3</t>
  </si>
  <si>
    <t xml:space="preserve">GCAGGCCCGCCTTGCGCTCGCGCTC</t>
  </si>
  <si>
    <t xml:space="preserve">TGTACTCGCCGCCGCCGGGCCAGAA</t>
  </si>
  <si>
    <t xml:space="preserve">S170-04</t>
  </si>
  <si>
    <t xml:space="preserve">abd-B_B4_P1_04</t>
  </si>
  <si>
    <t xml:space="preserve">CCTCAACCTACCTCCAACAACACGGCTGCGTGAAGCCTTGGTGGC</t>
  </si>
  <si>
    <t xml:space="preserve">abd-B_B4_P2_04</t>
  </si>
  <si>
    <t xml:space="preserve">CGCGGCGCCCCGTACGGGTAGTTCCATTCTCACCATATTCGCTTC</t>
  </si>
  <si>
    <t xml:space="preserve">B4_P1(abB)_4</t>
  </si>
  <si>
    <t xml:space="preserve">B4_P2(abB)_4</t>
  </si>
  <si>
    <t xml:space="preserve">CACGGCTGCGTGAAGCCTTGGTGGC</t>
  </si>
  <si>
    <t xml:space="preserve">CGCGGCGCCCCGTACGGGTAGTTCC</t>
  </si>
  <si>
    <t xml:space="preserve">S170-05</t>
  </si>
  <si>
    <t xml:space="preserve">abd-B_B4_P1_05</t>
  </si>
  <si>
    <t xml:space="preserve">CCTCAACCTACCTCCAACAAGGTGCGCCGCTCCTCGCCCACGTAC</t>
  </si>
  <si>
    <t xml:space="preserve">abd-B_B4_P2_05</t>
  </si>
  <si>
    <t xml:space="preserve">CGAGAAGCCGGACGCCTCGGACACGATTCTCACCATATTCGCTTC</t>
  </si>
  <si>
    <t xml:space="preserve">B4_P1(abB)_5</t>
  </si>
  <si>
    <t xml:space="preserve">B4_P2(abB)_5</t>
  </si>
  <si>
    <t xml:space="preserve">GGTGCGCCGCTCCTCGCCCACGTAC</t>
  </si>
  <si>
    <t xml:space="preserve">CGAGAAGCCGGACGCCTCGGACACG</t>
  </si>
  <si>
    <t xml:space="preserve">S170-06</t>
  </si>
  <si>
    <t xml:space="preserve">abd-B_B4_P1_06</t>
  </si>
  <si>
    <t xml:space="preserve">CCTCAACCTACCTCCAACAAACACGGACTCCGGCGCGTAGTTCCG</t>
  </si>
  <si>
    <t xml:space="preserve">abd-B_B4_P2_06</t>
  </si>
  <si>
    <t xml:space="preserve">CGCTGGGCGGCGGGTAGGGCGCGCTATTCTCACCATATTCGCTTC</t>
  </si>
  <si>
    <t xml:space="preserve">B4_P1(abB)_6</t>
  </si>
  <si>
    <t xml:space="preserve">B4_P2(abB)_6</t>
  </si>
  <si>
    <t xml:space="preserve">ACACGGACTCCGGCGCGTAGTTCCG</t>
  </si>
  <si>
    <t xml:space="preserve">CGCTGGGCGGCGGGTAGGGCGCGCT</t>
  </si>
  <si>
    <t xml:space="preserve">S171-01</t>
  </si>
  <si>
    <t xml:space="preserve">Antp_B4_P1_01</t>
  </si>
  <si>
    <t xml:space="preserve">CCTCAACCTACCTCCAACAACCGGGCCTGAGCTGCTGGTCGCAGC</t>
  </si>
  <si>
    <t xml:space="preserve">Antp_B4_P2_01</t>
  </si>
  <si>
    <t xml:space="preserve">GCGGGCTGCGCGGGGTAGTGGTGCTATTCTCACCATATTCGCTTC</t>
  </si>
  <si>
    <t xml:space="preserve">antp1_HCR_P1B4</t>
  </si>
  <si>
    <t xml:space="preserve">antp1_HCR_P2B4</t>
  </si>
  <si>
    <t xml:space="preserve">CCGGGCCTGAGCTGCTGGTCGCAGC</t>
  </si>
  <si>
    <t xml:space="preserve">GCGGGCTGCGCGGGGTAGTGGTGCT</t>
  </si>
  <si>
    <t xml:space="preserve">S171-02</t>
  </si>
  <si>
    <t xml:space="preserve">Antp_B4_P1_02</t>
  </si>
  <si>
    <t xml:space="preserve">CCTCAACCTACCTCCAACAACATGTGCATCTGGGTCGGACTGTCG</t>
  </si>
  <si>
    <t xml:space="preserve">Antp_B4_P2_02</t>
  </si>
  <si>
    <t xml:space="preserve">GGGCCCGTAGCCGTCGGACTTCGGCATTCTCACCATATTCGCTTC</t>
  </si>
  <si>
    <t xml:space="preserve">antp2_HCR_P1B4</t>
  </si>
  <si>
    <t xml:space="preserve">antp2_HCR_P2B4</t>
  </si>
  <si>
    <t xml:space="preserve">CATGTGCATCTGGGTCGGACTGTCG</t>
  </si>
  <si>
    <t xml:space="preserve">GGGCCCGTAGCCGTCGGACTTCGGC</t>
  </si>
  <si>
    <t xml:space="preserve">S171-03</t>
  </si>
  <si>
    <t xml:space="preserve">Antp_B4_P1_03</t>
  </si>
  <si>
    <t xml:space="preserve">CCTCAACCTACCTCCAACAAGCTTGCTCCAGGGGCGGACTGCCCG</t>
  </si>
  <si>
    <t xml:space="preserve">Antp_B4_P2_03</t>
  </si>
  <si>
    <t xml:space="preserve">GGGTGCATGTGGTGCGGCATCTGCTATTCTCACCATATTCGCTTC</t>
  </si>
  <si>
    <t xml:space="preserve">antp3_HCR_P1B4</t>
  </si>
  <si>
    <t xml:space="preserve">antp3_HCR_P2B4</t>
  </si>
  <si>
    <t xml:space="preserve">GCTTGCTCCAGGGGCGGACTGCCCG</t>
  </si>
  <si>
    <t xml:space="preserve">GGGTGCATGTGGTGCGGCATCTGCT</t>
  </si>
  <si>
    <t xml:space="preserve">S171-04</t>
  </si>
  <si>
    <t xml:space="preserve">Antp_B4_P1_04</t>
  </si>
  <si>
    <t xml:space="preserve">CCTCAACCTACCTCCAACAAACTGCTGGTGCATGGGCGGCATCTG</t>
  </si>
  <si>
    <t xml:space="preserve">Antp_B4_P2_04</t>
  </si>
  <si>
    <t xml:space="preserve">GAGGCGGCGCCTGCTGCGGGTGCATATTCTCACCATATTCGCTTC</t>
  </si>
  <si>
    <t xml:space="preserve">antp4_HCR_P1B4</t>
  </si>
  <si>
    <t xml:space="preserve">antp4_HCR_P2B4</t>
  </si>
  <si>
    <t xml:space="preserve">ACTGCTGGTGCATGGGCGGCATCTG</t>
  </si>
  <si>
    <t xml:space="preserve">GAGGCGGCGCCTGCTGCGGGTGCAT</t>
  </si>
  <si>
    <t xml:space="preserve">S171-05</t>
  </si>
  <si>
    <t xml:space="preserve">Antp_B4_P1_05</t>
  </si>
  <si>
    <t xml:space="preserve">CCTCAACCTACCTCCAACAACTGGTACCGGGTGTACGTTTGCCGT</t>
  </si>
  <si>
    <t xml:space="preserve">Antp_B4_P2_05</t>
  </si>
  <si>
    <t xml:space="preserve">GTGGAACTCCTTCTCCAACTCGAGGATTCTCACCATATTCGCTTC</t>
  </si>
  <si>
    <t xml:space="preserve">antp5_HCR_P1B4</t>
  </si>
  <si>
    <t xml:space="preserve">antp5_HCR_P2B4</t>
  </si>
  <si>
    <t xml:space="preserve">CTGGTACCGGGTGTACGTTTGCCGT</t>
  </si>
  <si>
    <t xml:space="preserve">GTGGAACTCCTTCTCCAACTCGAGG</t>
  </si>
  <si>
    <t xml:space="preserve">S171-06</t>
  </si>
  <si>
    <t xml:space="preserve">Antp_B4_P1_06</t>
  </si>
  <si>
    <t xml:space="preserve">CCTCAACCTACCTCCAACAATCCACTTCATGCGCCGGTTCTGGAA</t>
  </si>
  <si>
    <t xml:space="preserve">Antp_B4_P2_06</t>
  </si>
  <si>
    <t xml:space="preserve">GTTCGCCTTTGGTCTTGTTTTCTTTATTCTCACCATATTCGCTTC</t>
  </si>
  <si>
    <t xml:space="preserve">antp6_HCR_P1B4</t>
  </si>
  <si>
    <t xml:space="preserve">antp6_HCR_P2B4</t>
  </si>
  <si>
    <t xml:space="preserve">TCCACTTCATGCGCCGGTTCTGGAA</t>
  </si>
  <si>
    <t xml:space="preserve">GTTCGCCTTTGGTCTTGTTTTCTTT</t>
  </si>
  <si>
    <t xml:space="preserve">S172-01</t>
  </si>
  <si>
    <t xml:space="preserve">bagpipe_B4_P1_01</t>
  </si>
  <si>
    <t xml:space="preserve">CCTCAACCTACCTCCAACAAATCTTCCCGCCGAACGCGCCCGAAA</t>
  </si>
  <si>
    <t xml:space="preserve">bagpipe_B4_P2_01</t>
  </si>
  <si>
    <t xml:space="preserve">AATCCTCCTTGTTTATTTAAAAAGTATTCTCACCATATTCGCTTC</t>
  </si>
  <si>
    <t xml:space="preserve">B4_P1(bagpipe)_1</t>
  </si>
  <si>
    <t xml:space="preserve">B4_P2(bagpipe)_1</t>
  </si>
  <si>
    <t xml:space="preserve">ATCTTCCCGCCGAACGCGCCCGAAA</t>
  </si>
  <si>
    <t xml:space="preserve">AATCCTCCTTGTTTATTTAAAAAGT</t>
  </si>
  <si>
    <t xml:space="preserve">S172-02</t>
  </si>
  <si>
    <t xml:space="preserve">bagpipe_B4_P1_02</t>
  </si>
  <si>
    <t xml:space="preserve">CCTCAACCTACCTCCAACAACTTTTCCAGAACCTCCTTGTTCGCA</t>
  </si>
  <si>
    <t xml:space="preserve">bagpipe_B4_P2_02</t>
  </si>
  <si>
    <t xml:space="preserve">ACTGCAATCGTCGTAATACTTCATAATTCTCACCATATTCGCTTC</t>
  </si>
  <si>
    <t xml:space="preserve">B4_P1(bagpipe)_2</t>
  </si>
  <si>
    <t xml:space="preserve">B4_P2(bagpipe)_2</t>
  </si>
  <si>
    <t xml:space="preserve">CTTTTCCAGAACCTCCTTGTTCGCA</t>
  </si>
  <si>
    <t xml:space="preserve">ACTGCAATCGTCGTAATACTTCATA</t>
  </si>
  <si>
    <t xml:space="preserve">S172-03</t>
  </si>
  <si>
    <t xml:space="preserve">bagpipe_B4_P1_03</t>
  </si>
  <si>
    <t xml:space="preserve">CCTCAACCTACCTCCAACAATCCTCGACATGTCCAAAGCACCATC</t>
  </si>
  <si>
    <t xml:space="preserve">bagpipe_B4_P2_03</t>
  </si>
  <si>
    <t xml:space="preserve">ACAATTCCGTGACTGGAAAACTGTTATTCTCACCATATTCGCTTC</t>
  </si>
  <si>
    <t xml:space="preserve">B4_P1(bagpipe)_3</t>
  </si>
  <si>
    <t xml:space="preserve">B4_P2(bagpipe)_3</t>
  </si>
  <si>
    <t xml:space="preserve">TCCTCGACATGTCCAAAGCACCATC</t>
  </si>
  <si>
    <t xml:space="preserve">ACAATTCCGTGACTGGAAAACTGTT</t>
  </si>
  <si>
    <t xml:space="preserve">S172-04</t>
  </si>
  <si>
    <t xml:space="preserve">bagpipe_B4_P1_04</t>
  </si>
  <si>
    <t xml:space="preserve">CCTCAACCTACCTCCAACAAACTGGGGAGCCGGTGGTTGAGGAAC</t>
  </si>
  <si>
    <t xml:space="preserve">bagpipe_B4_P2_04</t>
  </si>
  <si>
    <t xml:space="preserve">TGGTCTGAGTGGGGGGAACTCCTTCATTCTCACCATATTCGCTTC</t>
  </si>
  <si>
    <t xml:space="preserve">B4_P1(bagpipe)_4</t>
  </si>
  <si>
    <t xml:space="preserve">B4_P2(bagpipe)_4</t>
  </si>
  <si>
    <t xml:space="preserve">ACTGGGGAGCCGGTGGTTGAGGAAC</t>
  </si>
  <si>
    <t xml:space="preserve">TGGTCTGAGTGGGGGGAACTCCTTC</t>
  </si>
  <si>
    <t xml:space="preserve">S172-05</t>
  </si>
  <si>
    <t xml:space="preserve">bagpipe_B4_P1_05</t>
  </si>
  <si>
    <t xml:space="preserve">CCTCAACCTACCTCCAACAAAGGCGTGGGGCATTTGTCGTAGCTG</t>
  </si>
  <si>
    <t xml:space="preserve">bagpipe_B4_P2_05</t>
  </si>
  <si>
    <t xml:space="preserve">CATCAGTCTGGTCTGGTCTGTGAGGATTCTCACCATATTCGCTTC</t>
  </si>
  <si>
    <t xml:space="preserve">B4_P1(bagpipe)_5</t>
  </si>
  <si>
    <t xml:space="preserve">B4_P2(bagpipe)_5</t>
  </si>
  <si>
    <t xml:space="preserve">AGGCGTGGGGCATTTGTCGTAGCTG</t>
  </si>
  <si>
    <t xml:space="preserve">CATCAGTCTGGTCTGGTCTGTGAGG</t>
  </si>
  <si>
    <t xml:space="preserve">S172-06</t>
  </si>
  <si>
    <t xml:space="preserve">bagpipe_B4_P1_06</t>
  </si>
  <si>
    <t xml:space="preserve">CCTCAACCTACCTCCAACAATCCTGCCATTGCTCTGCGCGTACTC</t>
  </si>
  <si>
    <t xml:space="preserve">bagpipe_B4_P2_06</t>
  </si>
  <si>
    <t xml:space="preserve">GAGAGAAAGCTGCTCTAGACCGTTTATTCTCACCATATTCGCTTC</t>
  </si>
  <si>
    <t xml:space="preserve">B4_P1(bagpipe)_6</t>
  </si>
  <si>
    <t xml:space="preserve">B4_P2(bagpipe)_6</t>
  </si>
  <si>
    <t xml:space="preserve">TCCTGCCATTGCTCTGCGCGTACTC</t>
  </si>
  <si>
    <t xml:space="preserve">GAGAGAAAGCTGCTCTAGACCGTTT</t>
  </si>
  <si>
    <t xml:space="preserve">S173-01</t>
  </si>
  <si>
    <t xml:space="preserve">chu_B4_P1_01</t>
  </si>
  <si>
    <t xml:space="preserve">CCTCAACCTACCTCCAACAACATTTCATGACCAATCCTGGCGGCG</t>
  </si>
  <si>
    <t xml:space="preserve">chu_B4_P2_01</t>
  </si>
  <si>
    <t xml:space="preserve">ACAAGACCGGAAGAGCCGTTGAAGAATTCTCACCATATTCGCTTC</t>
  </si>
  <si>
    <t xml:space="preserve">B4_P1(chu)_1</t>
  </si>
  <si>
    <t xml:space="preserve">B4_P2(chu)_1</t>
  </si>
  <si>
    <t xml:space="preserve">CATTTCATGACCAATCCTGGCGGCG</t>
  </si>
  <si>
    <t xml:space="preserve">ACAAGACCGGAAGAGCCGTTGAAGA</t>
  </si>
  <si>
    <t xml:space="preserve">S173-02</t>
  </si>
  <si>
    <t xml:space="preserve">chu_B4_P1_02</t>
  </si>
  <si>
    <t xml:space="preserve">CCTCAACCTACCTCCAACAATAGACCTATAACTTGCGGTCTTAAA</t>
  </si>
  <si>
    <t xml:space="preserve">chu_B4_P2_02</t>
  </si>
  <si>
    <t xml:space="preserve">GAAGTCCAAATCCACTTTGCCCTTAATTCTCACCATATTCGCTTC</t>
  </si>
  <si>
    <t xml:space="preserve">B4_P1(chu)_2</t>
  </si>
  <si>
    <t xml:space="preserve">B4_P2(chu)_2</t>
  </si>
  <si>
    <t xml:space="preserve">TAGACCTATAACTTGCGGTCTTAAA</t>
  </si>
  <si>
    <t xml:space="preserve">GAAGTCCAAATCCACTTTGCCCTTA</t>
  </si>
  <si>
    <t xml:space="preserve">S173-03</t>
  </si>
  <si>
    <t xml:space="preserve">chu_B4_P1_03</t>
  </si>
  <si>
    <t xml:space="preserve">CCTCAACCTACCTCCAACAATCTTGATAGCACGATAAGCTTGCAA</t>
  </si>
  <si>
    <t xml:space="preserve">chu_B4_P2_03</t>
  </si>
  <si>
    <t xml:space="preserve">CGCTAAGATCTGTGGTTGGGTTTAAATTCTCACCATATTCGCTTC</t>
  </si>
  <si>
    <t xml:space="preserve">B4_P1(chu)_3</t>
  </si>
  <si>
    <t xml:space="preserve">B4_P2(chu)_3</t>
  </si>
  <si>
    <t xml:space="preserve">TCTTGATAGCACGATAAGCTTGCAA</t>
  </si>
  <si>
    <t xml:space="preserve">CGCTAAGATCTGTGGTTGGGTTTAA</t>
  </si>
  <si>
    <t xml:space="preserve">S173-04</t>
  </si>
  <si>
    <t xml:space="preserve">chu_B4_P1_04</t>
  </si>
  <si>
    <t xml:space="preserve">CCTCAACCTACCTCCAACAACGATCCTCTTCTATGAATGAAGATA</t>
  </si>
  <si>
    <t xml:space="preserve">chu_B4_P2_04</t>
  </si>
  <si>
    <t xml:space="preserve">CTGTACACAAGCATGGATCTCGTCTATTCTCACCATATTCGCTTC</t>
  </si>
  <si>
    <t xml:space="preserve">B4_P1(chu)_4</t>
  </si>
  <si>
    <t xml:space="preserve">B4_P2(chu)_4</t>
  </si>
  <si>
    <t xml:space="preserve">CGATCCTCTTCTATGAATGAAGATA</t>
  </si>
  <si>
    <t xml:space="preserve">CTGTACACAAGCATGGATCTCGTCT</t>
  </si>
  <si>
    <t xml:space="preserve">S173-05</t>
  </si>
  <si>
    <t xml:space="preserve">chu_B4_P1_05</t>
  </si>
  <si>
    <t xml:space="preserve">CCTCAACCTACCTCCAACAACACATACTTTTTCTCTTGGACAAAA</t>
  </si>
  <si>
    <t xml:space="preserve">chu_B4_P2_05</t>
  </si>
  <si>
    <t xml:space="preserve">CGCAGCACAAATGAGTGTCACCAAAATTCTCACCATATTCGCTTC</t>
  </si>
  <si>
    <t xml:space="preserve">B4_P1(chu)_5</t>
  </si>
  <si>
    <t xml:space="preserve">B4_P2(chu)_5</t>
  </si>
  <si>
    <t xml:space="preserve">CACATACTTTTTCTCTTGGACAAAA</t>
  </si>
  <si>
    <t xml:space="preserve">CGCAGCACAAATGAGTGTCACCAAA</t>
  </si>
  <si>
    <t xml:space="preserve">S173-06</t>
  </si>
  <si>
    <t xml:space="preserve">chu_B4_P1_06</t>
  </si>
  <si>
    <t xml:space="preserve">CCTCAACCTACCTCCAACAACTTGAGCGATTATGCATATTTCAGG</t>
  </si>
  <si>
    <t xml:space="preserve">chu_B4_P2_06</t>
  </si>
  <si>
    <t xml:space="preserve">CGGACACGGCTTGCTTTAAGGGATTATTCTCACCATATTCGCTTC</t>
  </si>
  <si>
    <t xml:space="preserve">B4_P1(chu)_6</t>
  </si>
  <si>
    <t xml:space="preserve">B4_P2(chu)_6</t>
  </si>
  <si>
    <t xml:space="preserve">CTTGAGCGATTATGCATATTTCAGG</t>
  </si>
  <si>
    <t xml:space="preserve">CGGACACGGCTTGCTTTAAGGGATT</t>
  </si>
  <si>
    <t xml:space="preserve">S174-01</t>
  </si>
  <si>
    <t xml:space="preserve">dac_B4_P1_01</t>
  </si>
  <si>
    <t xml:space="preserve">CCTCAACCTACCTCCAACAACCTCGCTGGCGGTCGACGCTGAGTC</t>
  </si>
  <si>
    <t xml:space="preserve">dac_B4_P2_01</t>
  </si>
  <si>
    <t xml:space="preserve">GCGGCGAGCCCCCGGACGAGCCGCTATTCTCACCATATTCGCTTC</t>
  </si>
  <si>
    <t xml:space="preserve">Dac1_HCR_P1B4</t>
  </si>
  <si>
    <t xml:space="preserve">Dac1_HCR_P2B4</t>
  </si>
  <si>
    <t xml:space="preserve">S174-02</t>
  </si>
  <si>
    <t xml:space="preserve">dac_B4_P1_02</t>
  </si>
  <si>
    <t xml:space="preserve">CCTCAACCTACCTCCAACAAGCAGGCCCAGGCCCGGCGGCGGCAG</t>
  </si>
  <si>
    <t xml:space="preserve">dac_B4_P2_02</t>
  </si>
  <si>
    <t xml:space="preserve">AGTGGTGCATCATCTGCAGCGAGCCATTCTCACCATATTCGCTTC</t>
  </si>
  <si>
    <t xml:space="preserve">Dac2_HCR_P1B4</t>
  </si>
  <si>
    <t xml:space="preserve">Dac2_HCR_P2B4</t>
  </si>
  <si>
    <t xml:space="preserve">S174-03</t>
  </si>
  <si>
    <t xml:space="preserve">dac_B4_P1_03</t>
  </si>
  <si>
    <t xml:space="preserve">CCTCAACCTACCTCCAACAATGCGGGTGGTGGTGCGCCGCCGCCA</t>
  </si>
  <si>
    <t xml:space="preserve">dac_B4_P2_03</t>
  </si>
  <si>
    <t xml:space="preserve">GAGATGGGCGGCGGGCTCCCGTAGCATTCTCACCATATTCGCTTC</t>
  </si>
  <si>
    <t xml:space="preserve">Dac3_HCR_P1B4</t>
  </si>
  <si>
    <t xml:space="preserve">Dac3_HCR_P2B4</t>
  </si>
  <si>
    <t xml:space="preserve">S174-04</t>
  </si>
  <si>
    <t xml:space="preserve">dac_B4_P1_04</t>
  </si>
  <si>
    <t xml:space="preserve">CCTCAACCTACCTCCAACAAGGCCTGCGGCAGGCACAGCATCGTG</t>
  </si>
  <si>
    <t xml:space="preserve">dac_B4_P2_04</t>
  </si>
  <si>
    <t xml:space="preserve">CACCAGGTGCTTCAGGAACAGCTCGATTCTCACCATATTCGCTTC</t>
  </si>
  <si>
    <t xml:space="preserve">Dac4_HCR_P1B4</t>
  </si>
  <si>
    <t xml:space="preserve">Dac4_HCR_P2B4</t>
  </si>
  <si>
    <t xml:space="preserve">S174-05</t>
  </si>
  <si>
    <t xml:space="preserve">dac_B4_P1_05</t>
  </si>
  <si>
    <t xml:space="preserve">CCTCAACCTACCTCCAACAACTGGATGGCGCCCAGCCCGCGCAGG</t>
  </si>
  <si>
    <t xml:space="preserve">dac_B4_P2_05</t>
  </si>
  <si>
    <t xml:space="preserve">GAGCAGCTTGCAGCGGTTGACGCCCATTCTCACCATATTCGCTTC</t>
  </si>
  <si>
    <t xml:space="preserve">Dac5_HCR_P1B4</t>
  </si>
  <si>
    <t xml:space="preserve">Dac5_HCR_P2B4</t>
  </si>
  <si>
    <t xml:space="preserve">S174-06</t>
  </si>
  <si>
    <t xml:space="preserve">dac_B4_P1_06</t>
  </si>
  <si>
    <t xml:space="preserve">CCTCAACCTACCTCCAACAAAGCACGCTTCGGAGGTCGACCCGGT</t>
  </si>
  <si>
    <t xml:space="preserve">dac_B4_P2_06</t>
  </si>
  <si>
    <t xml:space="preserve">GGCGGCAAGCGAAAGACCAACTCCAATTCTCACCATATTCGCTTC</t>
  </si>
  <si>
    <t xml:space="preserve">Dac6_HCR_P1B4</t>
  </si>
  <si>
    <t xml:space="preserve">Dac6_HCR_P2B4</t>
  </si>
  <si>
    <t xml:space="preserve">S175-01</t>
  </si>
  <si>
    <t xml:space="preserve">dpp_B4_P1_01</t>
  </si>
  <si>
    <t xml:space="preserve">CCTCAACCTACCTCCAACAAACCTCGTCGGCCGGTACGCCGCTTA</t>
  </si>
  <si>
    <t xml:space="preserve">dpp_B4_P2_01</t>
  </si>
  <si>
    <t xml:space="preserve">TGGAACGAGAGGTCGGCGCCGCGCGATTCTCACCATATTCGCTTC</t>
  </si>
  <si>
    <t xml:space="preserve">Dpp1_HCR_P1B4</t>
  </si>
  <si>
    <t xml:space="preserve">Dpp1_HCR_P2B4</t>
  </si>
  <si>
    <t xml:space="preserve">S175-02</t>
  </si>
  <si>
    <t xml:space="preserve">dpp_B4_P1_02</t>
  </si>
  <si>
    <t xml:space="preserve">CCTCAACCTACCTCCAACAACAGTCTCTGTCTGCCGGTGGTGCCG</t>
  </si>
  <si>
    <t xml:space="preserve">dpp_B4_P2_02</t>
  </si>
  <si>
    <t xml:space="preserve">GCCAGGGCGCACCACGTCGTACAACATTCTCACCATATTCGCTTC</t>
  </si>
  <si>
    <t xml:space="preserve">Dpp2_HCR_P1B4</t>
  </si>
  <si>
    <t xml:space="preserve">Dpp2_HCR_P2B4</t>
  </si>
  <si>
    <t xml:space="preserve">S175-03</t>
  </si>
  <si>
    <t xml:space="preserve">dpp_B4_P1_03</t>
  </si>
  <si>
    <t xml:space="preserve">CCTCAACCTACCTCCAACAACAGCCGCAGGATCGGCTCGGAGTGG</t>
  </si>
  <si>
    <t xml:space="preserve">dpp_B4_P2_03</t>
  </si>
  <si>
    <t xml:space="preserve">CCCGGGCCGGAGCGGAACGGAGTCCATTCTCACCATATTCGCTTC</t>
  </si>
  <si>
    <t xml:space="preserve">Dpp3_HCR_P1B4</t>
  </si>
  <si>
    <t xml:space="preserve">Dpp3_HCR_P2B4</t>
  </si>
  <si>
    <t xml:space="preserve">S175-04</t>
  </si>
  <si>
    <t xml:space="preserve">dpp_B4_P1_04</t>
  </si>
  <si>
    <t xml:space="preserve">CCTCAACCTACCTCCAACAAGCCGCTCCCAGAGCGTCGGCGTTGA</t>
  </si>
  <si>
    <t xml:space="preserve">dpp_B4_P2_04</t>
  </si>
  <si>
    <t xml:space="preserve">TGTTTGGGCTCTTTGAGCCACCGTCATTCTCACCATATTCGCTTC</t>
  </si>
  <si>
    <t xml:space="preserve">Dpp4_HCR_P1B4</t>
  </si>
  <si>
    <t xml:space="preserve">Dpp4_HCR_P2B4</t>
  </si>
  <si>
    <t xml:space="preserve">S175-05</t>
  </si>
  <si>
    <t xml:space="preserve">dpp_B4_P1_05</t>
  </si>
  <si>
    <t xml:space="preserve">CCTCAACCTACCTCCAACAACGCCACTCCTCCTCCTCGTCCGTGA</t>
  </si>
  <si>
    <t xml:space="preserve">dpp_B4_P2_05</t>
  </si>
  <si>
    <t xml:space="preserve">TACAGCATGAGCAGCGGCTGCGCCGATTCTCACCATATTCGCTTC</t>
  </si>
  <si>
    <t xml:space="preserve">Dpp5_HCR_P1B4</t>
  </si>
  <si>
    <t xml:space="preserve">Dpp5_HCR_P2B4</t>
  </si>
  <si>
    <t xml:space="preserve">S175-06</t>
  </si>
  <si>
    <t xml:space="preserve">dpp_B4_P1_06</t>
  </si>
  <si>
    <t xml:space="preserve">CCTCAACCTACCTCCAACAATCTCCCGCGACGCGCGCGCGCGCTC</t>
  </si>
  <si>
    <t xml:space="preserve">dpp_B4_P2_06</t>
  </si>
  <si>
    <t xml:space="preserve">GCTTGCTGCGCGTCAGCCGCTCGCTATTCTCACCATATTCGCTTC</t>
  </si>
  <si>
    <t xml:space="preserve">Dpp6_HCR_P1B4</t>
  </si>
  <si>
    <t xml:space="preserve">Dpp6_HCR_P2B4</t>
  </si>
  <si>
    <t xml:space="preserve">S175-07</t>
  </si>
  <si>
    <t xml:space="preserve">dpp_B4_P1_07</t>
  </si>
  <si>
    <t xml:space="preserve">CCTCAACCTACCTCCAACAAGCCCACGTCCGCGAAGTCGACGAAC</t>
  </si>
  <si>
    <t xml:space="preserve">dpp_B4_P2_07</t>
  </si>
  <si>
    <t xml:space="preserve">GTGCGGGGCCACGATCCAGTCGCTCATTCTCACCATATTCGCTTC</t>
  </si>
  <si>
    <t xml:space="preserve">Dpp7_HCR_P1B4</t>
  </si>
  <si>
    <t xml:space="preserve">Dpp7_HCR_P2B4</t>
  </si>
  <si>
    <t xml:space="preserve">S176-01</t>
  </si>
  <si>
    <t xml:space="preserve">ftz7-ftz1_B4_P1_01</t>
  </si>
  <si>
    <t xml:space="preserve">CCTCAACCTACCTCCAACAACCATGATGAGGTAAAGTATCCCCTT</t>
  </si>
  <si>
    <t xml:space="preserve">ftz7-ftz1_B4_P2_01</t>
  </si>
  <si>
    <t xml:space="preserve">AACTGTATTGTTATTGGTTCACATCATTCTCACCATATTCGCTTC</t>
  </si>
  <si>
    <t xml:space="preserve">Ftz71_HCR_P1B4</t>
  </si>
  <si>
    <t xml:space="preserve">Ftz71_HCR_P2B4</t>
  </si>
  <si>
    <t xml:space="preserve">CCATGATGAGGTAAAGTATCCCCTT</t>
  </si>
  <si>
    <t xml:space="preserve">AACTGTATTGTTATTGGTTCACATC</t>
  </si>
  <si>
    <t xml:space="preserve">S176-02</t>
  </si>
  <si>
    <t xml:space="preserve">ftz7-ftz1_B4_P1_02</t>
  </si>
  <si>
    <t xml:space="preserve">CCTCAACCTACCTCCAACAACTTTTATAAGAGGTGTATATTGATG</t>
  </si>
  <si>
    <t xml:space="preserve">ftz7-ftz1_B4_P2_02</t>
  </si>
  <si>
    <t xml:space="preserve">AGAATTTCAAGTCTGGCGAACAGTTATTCTCACCATATTCGCTTC</t>
  </si>
  <si>
    <t xml:space="preserve">Ftz72_HCR_P1B4</t>
  </si>
  <si>
    <t xml:space="preserve">Ftz72_HCR_P2B4</t>
  </si>
  <si>
    <t xml:space="preserve">CTTTTATAAGAGGTGTATATTGATG</t>
  </si>
  <si>
    <t xml:space="preserve">AGAATTTCAAGTCTGGCGAACAGTT</t>
  </si>
  <si>
    <t xml:space="preserve">S176-03</t>
  </si>
  <si>
    <t xml:space="preserve">ftz7-ftz1_B4_P1_03</t>
  </si>
  <si>
    <t xml:space="preserve">CCTCAACCTACCTCCAACAAATGTATAAGTATCTCATCGCAGTTG</t>
  </si>
  <si>
    <t xml:space="preserve">ftz7-ftz1_B4_P2_03</t>
  </si>
  <si>
    <t xml:space="preserve">TAACGCCTTTGGCCACTCAAATCCAATTCTCACCATATTCGCTTC</t>
  </si>
  <si>
    <t xml:space="preserve">Ftz73_HCR_P1B4</t>
  </si>
  <si>
    <t xml:space="preserve">Ftz73_HCR_P2B4</t>
  </si>
  <si>
    <t xml:space="preserve">ATGTATAAGTATCTCATCGCAGTTG</t>
  </si>
  <si>
    <t xml:space="preserve">TAACGCCTTTGGCCACTCAAATCCA</t>
  </si>
  <si>
    <t xml:space="preserve">S176-04</t>
  </si>
  <si>
    <t xml:space="preserve">ftz7-ftz1_B4_P1_04</t>
  </si>
  <si>
    <t xml:space="preserve">CCTCAACCTACCTCCAACAAACCTTCCGAAGTTTGGTCTCTGTAG</t>
  </si>
  <si>
    <t xml:space="preserve">ftz7-ftz1_B4_P2_04</t>
  </si>
  <si>
    <t xml:space="preserve">TCTCTATCATTGTTTGACTTGTAATATTCTCACCATATTCGCTTC</t>
  </si>
  <si>
    <t xml:space="preserve">Ftz74_HCR_P1B4</t>
  </si>
  <si>
    <t xml:space="preserve">Ftz74_HCR_P2B4</t>
  </si>
  <si>
    <t xml:space="preserve">ACCTTCCGAAGTTTGGTCTCTGTAG</t>
  </si>
  <si>
    <t xml:space="preserve">TCTCTATCATTGTTTGACTTGTAAT</t>
  </si>
  <si>
    <t xml:space="preserve">S176-05</t>
  </si>
  <si>
    <t xml:space="preserve">ftz7-ftz1_B4_P1_05</t>
  </si>
  <si>
    <t xml:space="preserve">CCTCAACCTACCTCCAACAATTCTATCTCCAACTTTCAGGGAATA</t>
  </si>
  <si>
    <t xml:space="preserve">ftz7-ftz1_B4_P2_05</t>
  </si>
  <si>
    <t xml:space="preserve">TGCATGGTGCCCCACAGTCACGTTCATTCTCACCATATTCGCTTC</t>
  </si>
  <si>
    <t xml:space="preserve">Ftz75_HCR_P1B4</t>
  </si>
  <si>
    <t xml:space="preserve">Ftz75_HCR_P2B4</t>
  </si>
  <si>
    <t xml:space="preserve">TTCTATCTCCAACTTTCAGGGAATA</t>
  </si>
  <si>
    <t xml:space="preserve">TGCATGGTGCCCCACAGTCACGTTC</t>
  </si>
  <si>
    <t xml:space="preserve">S177-01</t>
  </si>
  <si>
    <t xml:space="preserve">fz2_B4_P1_01</t>
  </si>
  <si>
    <t xml:space="preserve">CCTCAACCTACCTCCAACAAGAACTCCTTCTCCTCGCGCGAGAAG</t>
  </si>
  <si>
    <t xml:space="preserve">fz2_B4_P2_01</t>
  </si>
  <si>
    <t xml:space="preserve">GGCCCACAGCGCGACCCACACGGCGATTCTCACCATATTCGCTTC</t>
  </si>
  <si>
    <t xml:space="preserve">Ftz21_HCR_P1B4</t>
  </si>
  <si>
    <t xml:space="preserve">Ftz21_HCR_P2B4</t>
  </si>
  <si>
    <t xml:space="preserve">GAACTCCTTCTCCTCGCGCGAGAAG</t>
  </si>
  <si>
    <t xml:space="preserve">GGCCCACAGCGCGACCCACACGGCG</t>
  </si>
  <si>
    <t xml:space="preserve">S177-02</t>
  </si>
  <si>
    <t xml:space="preserve">fz2_B4_P1_02</t>
  </si>
  <si>
    <t xml:space="preserve">CCTCAACCTACCTCCAACAAAAGTAGCAGGCCGACAGGTACACGA</t>
  </si>
  <si>
    <t xml:space="preserve">fz2_B4_P2_02</t>
  </si>
  <si>
    <t xml:space="preserve">CGCGCCAGGTAGCCCAGCGCCACCAATTCTCACCATATTCGCTTC</t>
  </si>
  <si>
    <t xml:space="preserve">Ftz22_HCR_P1B4</t>
  </si>
  <si>
    <t xml:space="preserve">Ftz22_HCR_P2B4</t>
  </si>
  <si>
    <t xml:space="preserve">AAGTAGCAGGCCGACAGGTACACGA</t>
  </si>
  <si>
    <t xml:space="preserve">CGCGCCAGGTAGCCCAGCGCCACCA</t>
  </si>
  <si>
    <t xml:space="preserve">S177-03</t>
  </si>
  <si>
    <t xml:space="preserve">fz2_B4_P1_03</t>
  </si>
  <si>
    <t xml:space="preserve">CCTCAACCTACCTCCAACAAAGAAGTACACCAGCACGAACACCAG</t>
  </si>
  <si>
    <t xml:space="preserve">fz2_B4_P2_03</t>
  </si>
  <si>
    <t xml:space="preserve">CCCACCAGATGGACGACGCCATGCCATTCTCACCATATTCGCTTC</t>
  </si>
  <si>
    <t xml:space="preserve">Ftz23_HCR_P1B4</t>
  </si>
  <si>
    <t xml:space="preserve">Ftz23_HCR_P2B4</t>
  </si>
  <si>
    <t xml:space="preserve">AGAAGTACACCAGCACGAACACCAG</t>
  </si>
  <si>
    <t xml:space="preserve">CCCACCAGATGGACGACGCCATGCC</t>
  </si>
  <si>
    <t xml:space="preserve">S177-04</t>
  </si>
  <si>
    <t xml:space="preserve">fz2_B4_P1_04</t>
  </si>
  <si>
    <t xml:space="preserve">CCTCAACCTACCTCCAACAACCGGCACCAGCCACGCCGCCAGGTG</t>
  </si>
  <si>
    <t xml:space="preserve">fz2_B4_P2_04</t>
  </si>
  <si>
    <t xml:space="preserve">CCAGCAGCACGGCCACGGTCTTGGCATTCTCACCATATTCGCTTC</t>
  </si>
  <si>
    <t xml:space="preserve">Ftz24_HCR_P1B4</t>
  </si>
  <si>
    <t xml:space="preserve">Ftz24_HCR_P2B4</t>
  </si>
  <si>
    <t xml:space="preserve">CCGGCACCAGCCACGCCGCCAGGTG</t>
  </si>
  <si>
    <t xml:space="preserve">CCAGCAGCACGGCCACGGTCTTGGC</t>
  </si>
  <si>
    <t xml:space="preserve">S177-05</t>
  </si>
  <si>
    <t xml:space="preserve">fz2_B4_P1_05</t>
  </si>
  <si>
    <t xml:space="preserve">CCTCAACCTACCTCCAACAAGAAGTACACCACGAGCGGCGCCAGC</t>
  </si>
  <si>
    <t xml:space="preserve">fz2_B4_P2_05</t>
  </si>
  <si>
    <t xml:space="preserve">GGCCAGCAGGAAGGAGGCGCCCAGCATTCTCACCATATTCGCTTC</t>
  </si>
  <si>
    <t xml:space="preserve">Ftz25_HCR_P1B4</t>
  </si>
  <si>
    <t xml:space="preserve">Ftz25_HCR_P2B4</t>
  </si>
  <si>
    <t xml:space="preserve">GAAGTACACCACGAGCGGCGCCAGC</t>
  </si>
  <si>
    <t xml:space="preserve">GGCCAGCAGGAAGGAGGCGCCCAGC</t>
  </si>
  <si>
    <t xml:space="preserve">S177-06</t>
  </si>
  <si>
    <t xml:space="preserve">fz2_B4_P1_06</t>
  </si>
  <si>
    <t xml:space="preserve">CCTCAACCTACCTCCAACAAGCCGATGCGGATCATGAGCTTCTCC</t>
  </si>
  <si>
    <t xml:space="preserve">fz2_B4_P2_06</t>
  </si>
  <si>
    <t xml:space="preserve">CGGCACGGCGTACAGCACGCTGAACATTCTCACCATATTCGCTTC</t>
  </si>
  <si>
    <t xml:space="preserve">Ftz26_HCR_P1B4</t>
  </si>
  <si>
    <t xml:space="preserve">Ftz26_HCR_P2B4</t>
  </si>
  <si>
    <t xml:space="preserve">GCCGATGCGGATCATGAGCTTCTCC</t>
  </si>
  <si>
    <t xml:space="preserve">CGGCACGGCGTACAGCACGCTGAAC</t>
  </si>
  <si>
    <t xml:space="preserve">S178-01</t>
  </si>
  <si>
    <t xml:space="preserve">fz9_B4_P1_01</t>
  </si>
  <si>
    <t xml:space="preserve">CCTCAACCTACCTCCAACAACTGGTCTCTATGTCCAATGAGATTG</t>
  </si>
  <si>
    <t xml:space="preserve">fz9_B4_P2_01</t>
  </si>
  <si>
    <t xml:space="preserve">CGCAGTCATCGCTTCTTCTGCCTCCATTCTCACCATATTCGCTTC</t>
  </si>
  <si>
    <t xml:space="preserve">Ftz91_HCR_P1B4</t>
  </si>
  <si>
    <t xml:space="preserve">Ftz91_HCR_P2B4</t>
  </si>
  <si>
    <t xml:space="preserve">S178-02</t>
  </si>
  <si>
    <t xml:space="preserve">fz9_B4_P1_02</t>
  </si>
  <si>
    <t xml:space="preserve">CCTCAACCTACCTCCAACAAAGGCGCTGACGGAGCCCGACACCTG</t>
  </si>
  <si>
    <t xml:space="preserve">fz9_B4_P2_02</t>
  </si>
  <si>
    <t xml:space="preserve">GGACGACCTTGTCGCAGAGCGCGCGATTCTCACCATATTCGCTTC</t>
  </si>
  <si>
    <t xml:space="preserve">Ftz92_HCR_P1B4</t>
  </si>
  <si>
    <t xml:space="preserve">Ftz92_HCR_P2B4</t>
  </si>
  <si>
    <t xml:space="preserve">S178-03</t>
  </si>
  <si>
    <t xml:space="preserve">fz9_B4_P1_03</t>
  </si>
  <si>
    <t xml:space="preserve">CCTCAACCTACCTCCAACAAGGCGTTGGGCGGCCGCATGCAGAGC</t>
  </si>
  <si>
    <t xml:space="preserve">fz9_B4_P2_03</t>
  </si>
  <si>
    <t xml:space="preserve">CACCGGCGGCGGCTCGGGCTCCTCGATTCTCACCATATTCGCTTC</t>
  </si>
  <si>
    <t xml:space="preserve">Ftz93_HCR_P1B4</t>
  </si>
  <si>
    <t xml:space="preserve">Ftz93_HCR_P2B4</t>
  </si>
  <si>
    <t xml:space="preserve">S178-04</t>
  </si>
  <si>
    <t xml:space="preserve">fz9_B4_P1_04</t>
  </si>
  <si>
    <t xml:space="preserve">CCTCAACCTACCTCCAACAAGCGCGGGCTTGTCGCAGGCGGGCCA</t>
  </si>
  <si>
    <t xml:space="preserve">fz9_B4_P2_04</t>
  </si>
  <si>
    <t xml:space="preserve">CTTTTCTCTTGTTAGCTTGCGTGTAATTCTCACCATATTCGCTTC</t>
  </si>
  <si>
    <t xml:space="preserve">Ftz94_HCR_P1B4</t>
  </si>
  <si>
    <t xml:space="preserve">Ftz94_HCR_P2B4</t>
  </si>
  <si>
    <t xml:space="preserve">S178-05</t>
  </si>
  <si>
    <t xml:space="preserve">fz9_B4_P1_05</t>
  </si>
  <si>
    <t xml:space="preserve">CCTCAACCTACCTCCAACAAACGGGCCTCTCGGGGTAGCGGTATC</t>
  </si>
  <si>
    <t xml:space="preserve">fz9_B4_P2_05</t>
  </si>
  <si>
    <t xml:space="preserve">ACAGCGTGGCACGCGGCCATCCAGAATTCTCACCATATTCGCTTC</t>
  </si>
  <si>
    <t xml:space="preserve">Ftz95_HCR_P1B4</t>
  </si>
  <si>
    <t xml:space="preserve">Ftz95_HCR_P2B4</t>
  </si>
  <si>
    <t xml:space="preserve">S178-06</t>
  </si>
  <si>
    <t xml:space="preserve">fz9_B4_P1_06</t>
  </si>
  <si>
    <t xml:space="preserve">CCTCAACCTACCTCCAACAATGCGACGCAAATCGTCGAACCCATT</t>
  </si>
  <si>
    <t xml:space="preserve">fz9_B4_P2_06</t>
  </si>
  <si>
    <t xml:space="preserve">CGTGAAGTAGTATGTAAGAGAGAAGATTCTCACCATATTCGCTTC</t>
  </si>
  <si>
    <t xml:space="preserve">Ftz96_HCR_P1B4</t>
  </si>
  <si>
    <t xml:space="preserve">Ftz96_HCR_P2B4</t>
  </si>
  <si>
    <t xml:space="preserve">S179-01</t>
  </si>
  <si>
    <t xml:space="preserve">hh_B4_P1_01</t>
  </si>
  <si>
    <t xml:space="preserve">CCTCAACCTACCTCCAACAAGTCCCAGCCCTCGATGACCCGGAGT</t>
  </si>
  <si>
    <t xml:space="preserve">hh_B4_P2_01</t>
  </si>
  <si>
    <t xml:space="preserve">GTTTTCCAGGTGAGCCGAGTTCTCCATTCTCACCATATTCGCTTC</t>
  </si>
  <si>
    <t xml:space="preserve">Hh1_HCR_P1B4</t>
  </si>
  <si>
    <t xml:space="preserve">Hh1_HCR_P2B4</t>
  </si>
  <si>
    <t xml:space="preserve">GTCCCAGCCCTCGATGACCCGGAGT</t>
  </si>
  <si>
    <t xml:space="preserve">GTTTTCCAGGTGAGCCGAGTTCTCC</t>
  </si>
  <si>
    <t xml:space="preserve">S179-02</t>
  </si>
  <si>
    <t xml:space="preserve">hh_B4_P1_02</t>
  </si>
  <si>
    <t xml:space="preserve">CCTCAACCTACCTCCAACAACAGTCGAAGTCGGCTTCCACAGCAA</t>
  </si>
  <si>
    <t xml:space="preserve">hh_B4_P2_02</t>
  </si>
  <si>
    <t xml:space="preserve">ATGTAGGACCGGCTCTCATAGAACAATTCTCACCATATTCGCTTC</t>
  </si>
  <si>
    <t xml:space="preserve">Hh2_HCR_P1B4</t>
  </si>
  <si>
    <t xml:space="preserve">Hh2_HCR_P2B4</t>
  </si>
  <si>
    <t xml:space="preserve">CAGTCGAAGTCGGCTTCCACAGCAA</t>
  </si>
  <si>
    <t xml:space="preserve">ATGTAGGACCGGCTCTCATAGAACA</t>
  </si>
  <si>
    <t xml:space="preserve">S179-03</t>
  </si>
  <si>
    <t xml:space="preserve">hh_B4_P1_03</t>
  </si>
  <si>
    <t xml:space="preserve">CCTCAACCTACCTCCAACAAAGAGTAGCGATGTCCCGAGGACCTT</t>
  </si>
  <si>
    <t xml:space="preserve">hh_B4_P2_03</t>
  </si>
  <si>
    <t xml:space="preserve">GCAGCCAGAACTCGATCGCCTTTCTATTCTCACCATATTCGCTTC</t>
  </si>
  <si>
    <t xml:space="preserve">Hh3_HCR_P1B4</t>
  </si>
  <si>
    <t xml:space="preserve">Hh3_HCR_P2B4</t>
  </si>
  <si>
    <t xml:space="preserve">AGAGTAGCGATGTCCCGAGGACCTT</t>
  </si>
  <si>
    <t xml:space="preserve">GCAGCCAGAACTCGATCGCCTTTCT</t>
  </si>
  <si>
    <t xml:space="preserve">S179-04</t>
  </si>
  <si>
    <t xml:space="preserve">hh_B4_P1_04</t>
  </si>
  <si>
    <t xml:space="preserve">CCTCAACCTACCTCCAACAAACTCACGCCGTTCTCTGCTGTCACT</t>
  </si>
  <si>
    <t xml:space="preserve">hh_B4_P2_04</t>
  </si>
  <si>
    <t xml:space="preserve">CAGCAAATGTGACGGCGTGGTTGTTATTCTCACCATATTCGCTTC</t>
  </si>
  <si>
    <t xml:space="preserve">Hh4_HCR_P1B4</t>
  </si>
  <si>
    <t xml:space="preserve">Hh4_HCR_P2B4</t>
  </si>
  <si>
    <t xml:space="preserve">ACTCACGCCGTTCTCTGCTGTCACT</t>
  </si>
  <si>
    <t xml:space="preserve">CAGCAAATGTGACGGCGTGGTTGTT</t>
  </si>
  <si>
    <t xml:space="preserve">S179-05</t>
  </si>
  <si>
    <t xml:space="preserve">hh_B4_P1_05</t>
  </si>
  <si>
    <t xml:space="preserve">CCTCAACCTACCTCCAACAATCTCGACGGTCGCATGACGCTGCCC</t>
  </si>
  <si>
    <t xml:space="preserve">hh_B4_P2_05</t>
  </si>
  <si>
    <t xml:space="preserve">CTTCGATACCAGTCGAGTTTTGACAATTCTCACCATATTCGCTTC</t>
  </si>
  <si>
    <t xml:space="preserve">Hh5_HCR_P1B4</t>
  </si>
  <si>
    <t xml:space="preserve">Hh5_HCR_P2B4</t>
  </si>
  <si>
    <t xml:space="preserve">TCTCGACGGTCGCATGACGCTGCCC</t>
  </si>
  <si>
    <t xml:space="preserve">CTTCGATACCAGTCGAGTTTTGACA</t>
  </si>
  <si>
    <t xml:space="preserve">S179-06</t>
  </si>
  <si>
    <t xml:space="preserve">hh_B4_P1_06</t>
  </si>
  <si>
    <t xml:space="preserve">CCTCAACCTACCTCCAACAATTGCAGCGTGCGCTAGAGCATGGCT</t>
  </si>
  <si>
    <t xml:space="preserve">hh_B4_P2_06</t>
  </si>
  <si>
    <t xml:space="preserve">AGCCGGCCATCCAGCGCAGTGGAGCATTCTCACCATATTCGCTTC</t>
  </si>
  <si>
    <t xml:space="preserve">Hh6_HCR_P1B4</t>
  </si>
  <si>
    <t xml:space="preserve">Hh6_HCR_P2B4</t>
  </si>
  <si>
    <t xml:space="preserve">TTGCAGCGTGCGCTAGAGCATGGCT</t>
  </si>
  <si>
    <t xml:space="preserve">AGCCGGCCATCCAGCGCAGTGGAGC</t>
  </si>
  <si>
    <t xml:space="preserve">S180-01</t>
  </si>
  <si>
    <t xml:space="preserve">pb_B4_P1_01</t>
  </si>
  <si>
    <t xml:space="preserve">CCTCAACCTACCTCCAACAAGACCGCAGCCAGCCAGAACCCATTA</t>
  </si>
  <si>
    <t xml:space="preserve">pb_B4_P2_01</t>
  </si>
  <si>
    <t xml:space="preserve">CATTGGATGAGGAGCGCCGGCTGCGATTCTCACCATATTCGCTTC</t>
  </si>
  <si>
    <t xml:space="preserve">B4_P1(pb)_1</t>
  </si>
  <si>
    <t xml:space="preserve">B4_P2(pb)_1</t>
  </si>
  <si>
    <t xml:space="preserve">GACCGCAGCCAGCCAGAACCCATTA</t>
  </si>
  <si>
    <t xml:space="preserve">CATTGGATGAGGAGCGCCGGCTGCG</t>
  </si>
  <si>
    <t xml:space="preserve">S180-02</t>
  </si>
  <si>
    <t xml:space="preserve">pb_B4_P1_02</t>
  </si>
  <si>
    <t xml:space="preserve">CCTCAACCTACCTCCAACAAAAGGTTGACTATTAATAAACCCAGT</t>
  </si>
  <si>
    <t xml:space="preserve">pb_B4_P2_02</t>
  </si>
  <si>
    <t xml:space="preserve">GAAGCGCCGTCATAAACTCCGCCATATTCTCACCATATTCGCTTC</t>
  </si>
  <si>
    <t xml:space="preserve">B4_P1(pb)_2</t>
  </si>
  <si>
    <t xml:space="preserve">B4_P2(pb)_2</t>
  </si>
  <si>
    <t xml:space="preserve">AAGGTTGACTATTAATAAACCCAGT</t>
  </si>
  <si>
    <t xml:space="preserve">GAAGCGCCGTCATAAACTCCGCCAT</t>
  </si>
  <si>
    <t xml:space="preserve">S180-03</t>
  </si>
  <si>
    <t xml:space="preserve">pb_B4_P1_03</t>
  </si>
  <si>
    <t xml:space="preserve">CCTCAACCTACCTCCAACAAGGAGGTGTGTGCTGCGGACTTAATT</t>
  </si>
  <si>
    <t xml:space="preserve">pb_B4_P2_03</t>
  </si>
  <si>
    <t xml:space="preserve">GGCGATGGCAGGTCAGGCGCGTAACATTCTCACCATATTCGCTTC</t>
  </si>
  <si>
    <t xml:space="preserve">B4_P1(pb)_3</t>
  </si>
  <si>
    <t xml:space="preserve">B4_P2(pb)_3</t>
  </si>
  <si>
    <t xml:space="preserve">GGAGGTGTGTGCTGCGGACTTAATT</t>
  </si>
  <si>
    <t xml:space="preserve">GGCGATGGCAGGTCAGGCGCGTAAC</t>
  </si>
  <si>
    <t xml:space="preserve">S180-04</t>
  </si>
  <si>
    <t xml:space="preserve">pb_B4_P1_04</t>
  </si>
  <si>
    <t xml:space="preserve">CCTCAACCTACCTCCAACAACTCCTTCATCCAAGGGTACTCGGGG</t>
  </si>
  <si>
    <t xml:space="preserve">pb_B4_P2_04</t>
  </si>
  <si>
    <t xml:space="preserve">TTGGCTGTTTTTTCTTGTCGTTTTTATTCTCACCATATTCGCTTC</t>
  </si>
  <si>
    <t xml:space="preserve">B4_P1(pb)_4</t>
  </si>
  <si>
    <t xml:space="preserve">B4_P2(pb)_4</t>
  </si>
  <si>
    <t xml:space="preserve">CTCCTTCATCCAAGGGTACTCGGGG</t>
  </si>
  <si>
    <t xml:space="preserve">TTGGCTGTTTTTTCTTGTCGTTTTT</t>
  </si>
  <si>
    <t xml:space="preserve">S180-05</t>
  </si>
  <si>
    <t xml:space="preserve">pb_B4_P1_05</t>
  </si>
  <si>
    <t xml:space="preserve">CCTCAACCTACCTCCAACAATCGTGTAGGCGGTTCGTAATCGTCG</t>
  </si>
  <si>
    <t xml:space="preserve">pb_B4_P2_05</t>
  </si>
  <si>
    <t xml:space="preserve">CTTTTTCTAATTCCAGCAGTTGTGTATTCTCACCATATTCGCTTC</t>
  </si>
  <si>
    <t xml:space="preserve">B4_P1(pb)_5</t>
  </si>
  <si>
    <t xml:space="preserve">B4_P2(pb)_5</t>
  </si>
  <si>
    <t xml:space="preserve">TCGTGTAGGCGGTTCGTAATCGTCG</t>
  </si>
  <si>
    <t xml:space="preserve">CTTTTTCTAATTCCAGCAGTTGTGT</t>
  </si>
  <si>
    <t xml:space="preserve">S180-06</t>
  </si>
  <si>
    <t xml:space="preserve">pb_B4_P1_06</t>
  </si>
  <si>
    <t xml:space="preserve">CCTCAACCTACCTCCAACAATCGATTCTTCTAGGCCTGCACAGGT</t>
  </si>
  <si>
    <t xml:space="preserve">pb_B4_P2_06</t>
  </si>
  <si>
    <t xml:space="preserve">TCTGTTAGATCAAGGGACGCGGCAAATTCTCACCATATTCGCTTC</t>
  </si>
  <si>
    <t xml:space="preserve">B4_P1(pb)_6</t>
  </si>
  <si>
    <t xml:space="preserve">B4_P2(pb)_6</t>
  </si>
  <si>
    <t xml:space="preserve">TCGATTCTTCTAGGCCTGCACAGGT</t>
  </si>
  <si>
    <t xml:space="preserve">TCTGTTAGATCAAGGGACGCGGCAA</t>
  </si>
  <si>
    <t xml:space="preserve">S181-01</t>
  </si>
  <si>
    <t xml:space="preserve">ptc_B4_P1_01</t>
  </si>
  <si>
    <t xml:space="preserve">CCTCAACCTACCTCCAACAATCTAATACTTCGAGCGGGTTCAAAT</t>
  </si>
  <si>
    <t xml:space="preserve">ptc_B4_P2_01</t>
  </si>
  <si>
    <t xml:space="preserve">AACTGGAACTTTAGCTTCTTCACTTATTCTCACCATATTCGCTTC</t>
  </si>
  <si>
    <t xml:space="preserve">Ptc1_HCR_P1B4</t>
  </si>
  <si>
    <t xml:space="preserve">Ptc1_HCR_P2B4</t>
  </si>
  <si>
    <t xml:space="preserve">TCTAATACTTCGAGCGGGTTCAAAT</t>
  </si>
  <si>
    <t xml:space="preserve">AACTGGAACTTTAGCTTCTTCACTT</t>
  </si>
  <si>
    <t xml:space="preserve">S181-02</t>
  </si>
  <si>
    <t xml:space="preserve">ptc_B4_P1_02</t>
  </si>
  <si>
    <t xml:space="preserve">CCTCAACCTACCTCCAACAACGCCGTGTCTGGACAATGAGGGTCG</t>
  </si>
  <si>
    <t xml:space="preserve">ptc_B4_P2_02</t>
  </si>
  <si>
    <t xml:space="preserve">TGGAATATGTCCTGATTTTTTGTTCATTCTCACCATATTCGCTTC</t>
  </si>
  <si>
    <t xml:space="preserve">Ptc2_HCR_P1B4</t>
  </si>
  <si>
    <t xml:space="preserve">Ptc2_HCR_P2B4</t>
  </si>
  <si>
    <t xml:space="preserve">CGCCGTGTCTGGACAATGAGGGTCG</t>
  </si>
  <si>
    <t xml:space="preserve">TGGAATATGTCCTGATTTTTTGTTC</t>
  </si>
  <si>
    <t xml:space="preserve">S181-03</t>
  </si>
  <si>
    <t xml:space="preserve">ptc_B4_P1_03</t>
  </si>
  <si>
    <t xml:space="preserve">CCTCAACCTACCTCCAACAATGATGTGGAGTTCCTCGTCGCTCCG</t>
  </si>
  <si>
    <t xml:space="preserve">ptc_B4_P2_03</t>
  </si>
  <si>
    <t xml:space="preserve">CTGCAGGGCGCGCGCACTCCTCAGAATTCTCACCATATTCGCTTC</t>
  </si>
  <si>
    <t xml:space="preserve">Ptc3_HCR_P1B4</t>
  </si>
  <si>
    <t xml:space="preserve">Ptc3_HCR_P2B4</t>
  </si>
  <si>
    <t xml:space="preserve">TGATGTGGAGTTCCTCGTCGCTCCG</t>
  </si>
  <si>
    <t xml:space="preserve">CTGCAGGGCGCGCGCACTCCTCAGA</t>
  </si>
  <si>
    <t xml:space="preserve">S181-04</t>
  </si>
  <si>
    <t xml:space="preserve">ptc_B4_P1_04</t>
  </si>
  <si>
    <t xml:space="preserve">CCTCAACCTACCTCCAACAAAGTACGGCGGCGGCTTTTTCTTGAT</t>
  </si>
  <si>
    <t xml:space="preserve">ptc_B4_P2_04</t>
  </si>
  <si>
    <t xml:space="preserve">GCTGCAAACTTTCTCTGCCAAGCATATTCTCACCATATTCGCTTC</t>
  </si>
  <si>
    <t xml:space="preserve">Ptc4_HCR_P1B4</t>
  </si>
  <si>
    <t xml:space="preserve">Ptc4_HCR_P2B4</t>
  </si>
  <si>
    <t xml:space="preserve">AGTACGGCGGCGGCTTTTTCTTGAT</t>
  </si>
  <si>
    <t xml:space="preserve">GCTGCAAACTTTCTCTGCCAAGCAT</t>
  </si>
  <si>
    <t xml:space="preserve">S181-05</t>
  </si>
  <si>
    <t xml:space="preserve">ptc_B4_P1_05</t>
  </si>
  <si>
    <t xml:space="preserve">CCTCAACCTACCTCCAACAAGAGACTTCCGAGAATTTTCCGAGTA</t>
  </si>
  <si>
    <t xml:space="preserve">ptc_B4_P2_05</t>
  </si>
  <si>
    <t xml:space="preserve">ATGTATCCCAAAATAATGTTCTTTAATTCTCACCATATTCGCTTC</t>
  </si>
  <si>
    <t xml:space="preserve">Ptc5_HCR_P1B4</t>
  </si>
  <si>
    <t xml:space="preserve">Ptc5_HCR_P2B4</t>
  </si>
  <si>
    <t xml:space="preserve">GAGACTTCCGAGAATTTTCCGAGTA</t>
  </si>
  <si>
    <t xml:space="preserve">ATGTATCCCAAAATAATGTTCTTTA</t>
  </si>
  <si>
    <t xml:space="preserve">S181-06</t>
  </si>
  <si>
    <t xml:space="preserve">ptc_B4_P1_06</t>
  </si>
  <si>
    <t xml:space="preserve">CCTCAACCTACCTCCAACAACGGCTACTGTGATCGACAGAAGCAA</t>
  </si>
  <si>
    <t xml:space="preserve">ptc_B4_P2_06</t>
  </si>
  <si>
    <t xml:space="preserve">CTAATAATGCACAAAAGCCTAAGCCATTCTCACCATATTCGCTTC</t>
  </si>
  <si>
    <t xml:space="preserve">Ptc6_HCR_P1B4</t>
  </si>
  <si>
    <t xml:space="preserve">Ptc6_HCR_P2B4</t>
  </si>
  <si>
    <t xml:space="preserve">CGGCTACTGTGATCGACAGAAGCAA</t>
  </si>
  <si>
    <t xml:space="preserve">CTAATAATGCACAAAAGCCTAAGCC</t>
  </si>
  <si>
    <t xml:space="preserve">S181-07</t>
  </si>
  <si>
    <t xml:space="preserve">ptc_B4_P1_07</t>
  </si>
  <si>
    <t xml:space="preserve">CCTCAACCTACCTCCAACAATCTCCCGCTTGTTCAACGTATGTGT</t>
  </si>
  <si>
    <t xml:space="preserve">ptc_B4_P2_07</t>
  </si>
  <si>
    <t xml:space="preserve">AGTCCGGTTCTCTCTTCTCTCGGCAATTCTCACCATATTCGCTTC</t>
  </si>
  <si>
    <t xml:space="preserve">Ptc7_HCR_P1B4</t>
  </si>
  <si>
    <t xml:space="preserve">Ptc7_HCR_P2B4</t>
  </si>
  <si>
    <t xml:space="preserve">TCTCCCGCTTGTTCAACGTATGTGT</t>
  </si>
  <si>
    <t xml:space="preserve">AGTCCGGTTCTCTCTTCTCTCGGCA</t>
  </si>
  <si>
    <t xml:space="preserve">S182-01</t>
  </si>
  <si>
    <t xml:space="preserve">Scr_B4_P1_01</t>
  </si>
  <si>
    <t xml:space="preserve">CCTCAACCTACCTCCAACAACGTCGCATACGGATGTTGCGGGTAA</t>
  </si>
  <si>
    <t xml:space="preserve">Scr_B4_P2_01</t>
  </si>
  <si>
    <t xml:space="preserve">TGGTTGCATGTGAGCACCGGCTGCCATTCTCACCATATTCGCTTC</t>
  </si>
  <si>
    <t xml:space="preserve">B4_P1(scr)_1</t>
  </si>
  <si>
    <t xml:space="preserve">B4_P2(scr)_1</t>
  </si>
  <si>
    <t xml:space="preserve">CGTCGCATACGGATGTTGCGGGTAA</t>
  </si>
  <si>
    <t xml:space="preserve">TGGTTGCATGTGAGCACCGGCTGCC</t>
  </si>
  <si>
    <t xml:space="preserve">S182-02</t>
  </si>
  <si>
    <t xml:space="preserve">Scr_B4_P1_02</t>
  </si>
  <si>
    <t xml:space="preserve">CCTCAACCTACCTCCAACAACAAGTCTTTGTGGATGCAGTTGTGT</t>
  </si>
  <si>
    <t xml:space="preserve">Scr_B4_P2_02</t>
  </si>
  <si>
    <t xml:space="preserve">GTTGGTGCACATGGCTCGCCGTGCCATTCTCACCATATTCGCTTC</t>
  </si>
  <si>
    <t xml:space="preserve">B4_P1(scr)_2</t>
  </si>
  <si>
    <t xml:space="preserve">B4_P2(scr)_2</t>
  </si>
  <si>
    <t xml:space="preserve">CAAGTCTTTGTGGATGCAGTTGTGT</t>
  </si>
  <si>
    <t xml:space="preserve">GTTGGTGCACATGGCTCGCCGTGCC</t>
  </si>
  <si>
    <t xml:space="preserve">S182-03</t>
  </si>
  <si>
    <t xml:space="preserve">Scr_B4_P1_03</t>
  </si>
  <si>
    <t xml:space="preserve">CCTCAACCTACCTCCAACAAGACATTAGATTCGGGGAAAGCGCTC</t>
  </si>
  <si>
    <t xml:space="preserve">Scr_B4_P2_03</t>
  </si>
  <si>
    <t xml:space="preserve">GCACTGGCGGCTTGACTGGGCGGCGATTCTCACCATATTCGCTTC</t>
  </si>
  <si>
    <t xml:space="preserve">B4_P1(scr)_3</t>
  </si>
  <si>
    <t xml:space="preserve">B4_P2(scr)_3</t>
  </si>
  <si>
    <t xml:space="preserve">GACATTAGATTCGGGGAAAGCGCTC</t>
  </si>
  <si>
    <t xml:space="preserve">GCACTGGCGGCTTGACTGGGCGGCG</t>
  </si>
  <si>
    <t xml:space="preserve">S182-04</t>
  </si>
  <si>
    <t xml:space="preserve">Scr_B4_P1_04</t>
  </si>
  <si>
    <t xml:space="preserve">CCTCAACCTACCTCCAACAATGCTAAACCTGTTGTAGAGGTTGAA</t>
  </si>
  <si>
    <t xml:space="preserve">Scr_B4_P2_04</t>
  </si>
  <si>
    <t xml:space="preserve">TGAAGAAGTTGACAAGTCCTGCGGCATTCTCACCATATTCGCTTC</t>
  </si>
  <si>
    <t xml:space="preserve">B4_P1(scr)_4</t>
  </si>
  <si>
    <t xml:space="preserve">B4_P2(scr)_4</t>
  </si>
  <si>
    <t xml:space="preserve">TGCTAAACCTGTTGTAGAGGTTGAA</t>
  </si>
  <si>
    <t xml:space="preserve">TGAAGAAGTTGACAAGTCCTGCGGC</t>
  </si>
  <si>
    <t xml:space="preserve">S182-05</t>
  </si>
  <si>
    <t xml:space="preserve">Scr_B4_P1_05</t>
  </si>
  <si>
    <t xml:space="preserve">CCTCAACCTACCTCCAACAAGATTACCGACATTTCCGAAACCCGG</t>
  </si>
  <si>
    <t xml:space="preserve">Scr_B4_P2_05</t>
  </si>
  <si>
    <t xml:space="preserve">CGAGTTTAGTACTGGTCGTGCCGCTATTCTCACCATATTCGCTTC</t>
  </si>
  <si>
    <t xml:space="preserve">B4_P1(scr)_5</t>
  </si>
  <si>
    <t xml:space="preserve">B4_P2(scr)_5</t>
  </si>
  <si>
    <t xml:space="preserve">GATTACCGACATTTCCGAAACCCGG</t>
  </si>
  <si>
    <t xml:space="preserve">CGAGTTTAGTACTGGTCGTGCCGCT</t>
  </si>
  <si>
    <t xml:space="preserve">S182-06</t>
  </si>
  <si>
    <t xml:space="preserve">Scr_B4_P1_06</t>
  </si>
  <si>
    <t xml:space="preserve">CCTCAACCTACCTCCAACAATTCGCCTTGTGCTCCACTGGGGAAG</t>
  </si>
  <si>
    <t xml:space="preserve">Scr_B4_P2_06</t>
  </si>
  <si>
    <t xml:space="preserve">GCAGGGCTCGAGATGTTTTGATTGAATTCTCACCATATTCGCTTC</t>
  </si>
  <si>
    <t xml:space="preserve">B4_P1(scr)_6</t>
  </si>
  <si>
    <t xml:space="preserve">B4_P2(scr)_6</t>
  </si>
  <si>
    <t xml:space="preserve">TTCGCCTTGTGCTCCACTGGGGAAG</t>
  </si>
  <si>
    <t xml:space="preserve">GCAGGGCTCGAGATGTTTTGATTGA</t>
  </si>
  <si>
    <t xml:space="preserve">S183-01</t>
  </si>
  <si>
    <t xml:space="preserve">tmtc3_B4_P1_01</t>
  </si>
  <si>
    <t xml:space="preserve">CCTCAACCTACCTCCAACAAAGAGTTCGTGCCCACCACATCCCCG</t>
  </si>
  <si>
    <t xml:space="preserve">tmtc3_B4_P2_01</t>
  </si>
  <si>
    <t xml:space="preserve">GAAGTCGTCCAAAAACAACTGCTTCATTCTCACCATATTCGCTTC</t>
  </si>
  <si>
    <t xml:space="preserve">B4_P1(tmtc3)_1</t>
  </si>
  <si>
    <t xml:space="preserve">B4_P2(tmtc3)_1</t>
  </si>
  <si>
    <t xml:space="preserve">AGAGTTCGTGCCCACCACATCCCCG</t>
  </si>
  <si>
    <t xml:space="preserve">GAAGTCGTCCAAAAACAACTGCTTC</t>
  </si>
  <si>
    <t xml:space="preserve">S183-02</t>
  </si>
  <si>
    <t xml:space="preserve">tmtc3_B4_P1_02</t>
  </si>
  <si>
    <t xml:space="preserve">CCTCAACCTACCTCCAACAAGATACGACTTATGGCTGTTGGGGTC</t>
  </si>
  <si>
    <t xml:space="preserve">tmtc3_B4_P2_02</t>
  </si>
  <si>
    <t xml:space="preserve">ACCTAAAAGACAGCGTAGTGAGAGGATTCTCACCATATTCGCTTC</t>
  </si>
  <si>
    <t xml:space="preserve">B4_P1(tmtc3)_2</t>
  </si>
  <si>
    <t xml:space="preserve">B4_P2(tmtc3)_2</t>
  </si>
  <si>
    <t xml:space="preserve">GATACGACTTATGGCTGTTGGGGTC</t>
  </si>
  <si>
    <t xml:space="preserve">ACCTAAAAGACAGCGTAGTGAGAGG</t>
  </si>
  <si>
    <t xml:space="preserve">S183-03</t>
  </si>
  <si>
    <t xml:space="preserve">tmtc3_B4_P1_03</t>
  </si>
  <si>
    <t xml:space="preserve">CCTCAACCTACCTCCAACAAGCGTGCCACCACCACGGCCTCAGCC</t>
  </si>
  <si>
    <t xml:space="preserve">tmtc3_B4_P2_03</t>
  </si>
  <si>
    <t xml:space="preserve">CACGCAGCGTGCAGGCACACGTTGCATTCTCACCATATTCGCTTC</t>
  </si>
  <si>
    <t xml:space="preserve">B4_P1(tmtc3)_3</t>
  </si>
  <si>
    <t xml:space="preserve">B4_P2(tmtc3)_3</t>
  </si>
  <si>
    <t xml:space="preserve">GCGTGCCACCACCACGGCCTCAGCC</t>
  </si>
  <si>
    <t xml:space="preserve">CACGCAGCGTGCAGGCACACGTTGC</t>
  </si>
  <si>
    <t xml:space="preserve">S183-04</t>
  </si>
  <si>
    <t xml:space="preserve">tmtc3_B4_P1_04</t>
  </si>
  <si>
    <t xml:space="preserve">CCTCAACCTACCTCCAACAACAGACGCGCGATGGTGACGCAGGTG</t>
  </si>
  <si>
    <t xml:space="preserve">tmtc3_B4_P2_04</t>
  </si>
  <si>
    <t xml:space="preserve">CGCGGCGAGTGCAGCAAAGGGTCGCATTCTCACCATATTCGCTTC</t>
  </si>
  <si>
    <t xml:space="preserve">B4_P1(tmtc3)_4</t>
  </si>
  <si>
    <t xml:space="preserve">B4_P2(tmtc3)_4</t>
  </si>
  <si>
    <t xml:space="preserve">CAGACGCGCGATGGTGACGCAGGTG</t>
  </si>
  <si>
    <t xml:space="preserve">CGCGGCGAGTGCAGCAAAGGGTCGC</t>
  </si>
  <si>
    <t xml:space="preserve">S183-05</t>
  </si>
  <si>
    <t xml:space="preserve">tmtc3_B4_P1_05</t>
  </si>
  <si>
    <t xml:space="preserve">CCTCAACCTACCTCCAACAACCGCCACTGCTTCTGTATGCACAGG</t>
  </si>
  <si>
    <t xml:space="preserve">tmtc3_B4_P2_05</t>
  </si>
  <si>
    <t xml:space="preserve">CAAGTACATCCGCTCTGCCCACTACATTCTCACCATATTCGCTTC</t>
  </si>
  <si>
    <t xml:space="preserve">B4_P1(tmtc3)_5</t>
  </si>
  <si>
    <t xml:space="preserve">B4_P2(tmtc3)_5</t>
  </si>
  <si>
    <t xml:space="preserve">CCGCCACTGCTTCTGTATGCACAGG</t>
  </si>
  <si>
    <t xml:space="preserve">CAAGTACATCCGCTCTGCCCACTAC</t>
  </si>
  <si>
    <t xml:space="preserve">S183-06</t>
  </si>
  <si>
    <t xml:space="preserve">tmtc3_B4_P1_06</t>
  </si>
  <si>
    <t xml:space="preserve">CCTCAACCTACCTCCAACAAGGTCTGTGGTAAACTAGTAGTGAAG</t>
  </si>
  <si>
    <t xml:space="preserve">tmtc3_B4_P2_06</t>
  </si>
  <si>
    <t xml:space="preserve">AGCCAGATGCTCTTCTTATTGTTTAATTCTCACCATATTCGCTTC</t>
  </si>
  <si>
    <t xml:space="preserve">B4_P1(tmtc3)_6</t>
  </si>
  <si>
    <t xml:space="preserve">B4_P2(tmtc3)_6</t>
  </si>
  <si>
    <t xml:space="preserve">GGTCTGTGGTAAACTAGTAGTGAAG</t>
  </si>
  <si>
    <t xml:space="preserve">AGCCAGATGCTCTTCTTATTGTTTA</t>
  </si>
  <si>
    <t xml:space="preserve">S184-01</t>
  </si>
  <si>
    <t xml:space="preserve">vg_B4_P1_01</t>
  </si>
  <si>
    <t xml:space="preserve">CCTCAACCTACCTCCAACAACGACGGCGGCCGCGTACTCTGCGCT</t>
  </si>
  <si>
    <t xml:space="preserve">vg_B4_P2_01</t>
  </si>
  <si>
    <t xml:space="preserve">AGCCCGACGCGCCGGACACGCCCGAATTCTCACCATATTCGCTTC</t>
  </si>
  <si>
    <t xml:space="preserve">vg1_HCR_P1B4</t>
  </si>
  <si>
    <t xml:space="preserve">vg1_HCR_P2B4</t>
  </si>
  <si>
    <t xml:space="preserve">CGACGGCGGCCGCGTACTCTGCGCT</t>
  </si>
  <si>
    <t xml:space="preserve">AGCCCGACGCGCCGGACACGCCCGA</t>
  </si>
  <si>
    <t xml:space="preserve">S184-02</t>
  </si>
  <si>
    <t xml:space="preserve">vg_B4_P1_02</t>
  </si>
  <si>
    <t xml:space="preserve">CCTCAACCTACCTCCAACAACCCGGCGACTGCGCGCCCGACGCGC</t>
  </si>
  <si>
    <t xml:space="preserve">vg_B4_P2_02</t>
  </si>
  <si>
    <t xml:space="preserve">GCCAGGTGGTGCGCGTGCGGCGGCGATTCTCACCATATTCGCTTC</t>
  </si>
  <si>
    <t xml:space="preserve">vg2_HCR_P1B4</t>
  </si>
  <si>
    <t xml:space="preserve">vg2_HCR_P2B4</t>
  </si>
  <si>
    <t xml:space="preserve">CCCGGCGACTGCGCGCCCGACGCGC</t>
  </si>
  <si>
    <t xml:space="preserve">GCCAGGTGGTGCGCGTGCGGCGGCG</t>
  </si>
  <si>
    <t xml:space="preserve">S184-03</t>
  </si>
  <si>
    <t xml:space="preserve">vg_B4_P1_03</t>
  </si>
  <si>
    <t xml:space="preserve">CCTCAACCTACCTCCAACAAGCAGGCGCGGCGACGCGTGGTGCGC</t>
  </si>
  <si>
    <t xml:space="preserve">vg_B4_P2_03</t>
  </si>
  <si>
    <t xml:space="preserve">GCGCCGACAGGTCCTCCTCCTTGGCATTCTCACCATATTCGCTTC</t>
  </si>
  <si>
    <t xml:space="preserve">vg3_HCR_P1B4</t>
  </si>
  <si>
    <t xml:space="preserve">vg3_HCR_P2B4</t>
  </si>
  <si>
    <t xml:space="preserve">GCAGGCGCGGCGACGCGTGGTGCGC</t>
  </si>
  <si>
    <t xml:space="preserve">GCGCCGACAGGTCCTCCTCCTTGGC</t>
  </si>
  <si>
    <t xml:space="preserve">S184-04</t>
  </si>
  <si>
    <t xml:space="preserve">vg_B4_P1_04</t>
  </si>
  <si>
    <t xml:space="preserve">CCTCAACCTACCTCCAACAACTCCGACTCGGAGGACGCGTCGGCG</t>
  </si>
  <si>
    <t xml:space="preserve">vg_B4_P2_04</t>
  </si>
  <si>
    <t xml:space="preserve">GGCGCGCGCCGCGCCGCCGCACTCGATTCTCACCATATTCGCTTC</t>
  </si>
  <si>
    <t xml:space="preserve">vg4_HCR_P1B4</t>
  </si>
  <si>
    <t xml:space="preserve">vg4_HCR_P2B4</t>
  </si>
  <si>
    <t xml:space="preserve">CTCCGACTCGGAGGACGCGTCGGCG</t>
  </si>
  <si>
    <t xml:space="preserve">GGCGCGCGCCGCGCCGCCGCACTCG</t>
  </si>
  <si>
    <t xml:space="preserve">S184-05</t>
  </si>
  <si>
    <t xml:space="preserve">vg_B4_P1_05</t>
  </si>
  <si>
    <t xml:space="preserve">CCTCAACCTACCTCCAACAAGTGAACACCACGCAGTTGGCGCTGA</t>
  </si>
  <si>
    <t xml:space="preserve">vg_B4_P2_05</t>
  </si>
  <si>
    <t xml:space="preserve">ACGGCGGCCACGTCGCCGGAGTAGTATTCTCACCATATTCGCTTC</t>
  </si>
  <si>
    <t xml:space="preserve">vg5_HCR_P1B4</t>
  </si>
  <si>
    <t xml:space="preserve">vg5_HCR_P2B4</t>
  </si>
  <si>
    <t xml:space="preserve">GTGAACACCACGCAGTTGGCGCTGA</t>
  </si>
  <si>
    <t xml:space="preserve">ACGGCGGCCACGTCGCCGGAGTAGT</t>
  </si>
  <si>
    <t xml:space="preserve">S184-06</t>
  </si>
  <si>
    <t xml:space="preserve">vg_B4_P1_06</t>
  </si>
  <si>
    <t xml:space="preserve">CCTCAACCTACCTCCAACAAAGCGCCAGCGCGCGCGCGAAGTGCT</t>
  </si>
  <si>
    <t xml:space="preserve">vg_B4_P2_06</t>
  </si>
  <si>
    <t xml:space="preserve">AGCGGGACGCCCTCCTTGGGCTTGTATTCTCACCATATTCGCTTC</t>
  </si>
  <si>
    <t xml:space="preserve">vg6_HCR_P1B4</t>
  </si>
  <si>
    <t xml:space="preserve">vg6_HCR_P2B4</t>
  </si>
  <si>
    <t xml:space="preserve">AGCGCCAGCGCGCGCGCGAAGTGCT</t>
  </si>
  <si>
    <t xml:space="preserve">AGCGGGACGCCCTCCTTGGGCTTGT</t>
  </si>
  <si>
    <t xml:space="preserve">S185-01</t>
  </si>
  <si>
    <t xml:space="preserve">arrow_B5_P1_01</t>
  </si>
  <si>
    <t xml:space="preserve">CTCACTCCCAATCTCTATAAGTCCGACCAGCATATTAAATTACTT</t>
  </si>
  <si>
    <t xml:space="preserve">arrow_B5_P2_01</t>
  </si>
  <si>
    <t xml:space="preserve">CATACATTGTATCAATTCCGCAGTCAACTACCCTACAAATCCAAT</t>
  </si>
  <si>
    <t xml:space="preserve">Arrow1_P1B5</t>
  </si>
  <si>
    <t xml:space="preserve">Arrow1_P2B5</t>
  </si>
  <si>
    <t xml:space="preserve">GTCCGACCAGCATATTAAATTACTT</t>
  </si>
  <si>
    <t xml:space="preserve">CATACATTGTATCAATTCCGCAGTC</t>
  </si>
  <si>
    <t xml:space="preserve">S185-02</t>
  </si>
  <si>
    <t xml:space="preserve">arrow_B5_P1_02</t>
  </si>
  <si>
    <t xml:space="preserve">CTCACTCCCAATCTCTATAAAGTTTCGCCATCTGTCCAATAGATTT</t>
  </si>
  <si>
    <t xml:space="preserve">arrow_B5_P2_02</t>
  </si>
  <si>
    <t xml:space="preserve">CTCTATACTAATTACTTCTATTCTAAACTACCCTACAAATCCAAT</t>
  </si>
  <si>
    <t xml:space="preserve">Arrow2_P1B5</t>
  </si>
  <si>
    <t xml:space="preserve">Arrow2_P2B5</t>
  </si>
  <si>
    <t xml:space="preserve">AGTTTCGCCATCTGTCCAATAGATTT</t>
  </si>
  <si>
    <t xml:space="preserve">CTCTATACTAATTACTTCTATTCTA</t>
  </si>
  <si>
    <t xml:space="preserve">P1 arm 26 nt</t>
  </si>
  <si>
    <t xml:space="preserve">S185-03</t>
  </si>
  <si>
    <t xml:space="preserve">arrow_B5_P1_03</t>
  </si>
  <si>
    <t xml:space="preserve">CTCACTCCCAATCTCTATAATTCAATCTTGGGTATTTCACCCCAG</t>
  </si>
  <si>
    <t xml:space="preserve">arrow_B5_P2_03</t>
  </si>
  <si>
    <t xml:space="preserve">TGTGGGATCACCGTTCATACCAGCTAACTACCCTACAAATCCAAT</t>
  </si>
  <si>
    <t xml:space="preserve">Arrow3_P1B5</t>
  </si>
  <si>
    <t xml:space="preserve">Arrow3_P2B5</t>
  </si>
  <si>
    <t xml:space="preserve">TTCAATCTTGGGTATTTCACCCCAG</t>
  </si>
  <si>
    <t xml:space="preserve">TGTGGGATCACCGTTCATACCAGCT</t>
  </si>
  <si>
    <t xml:space="preserve">S185-04</t>
  </si>
  <si>
    <t xml:space="preserve">arrow_B5_P1_04</t>
  </si>
  <si>
    <t xml:space="preserve">CTCACTCCCAATCTCTATAAAGTCTATCATATCTACAAACTGTAG</t>
  </si>
  <si>
    <t xml:space="preserve">arrow_B5_P2_04</t>
  </si>
  <si>
    <t xml:space="preserve">CTATTCTCTTCCGTTTATTACCATTAACTACCCTACAAATCCAAT</t>
  </si>
  <si>
    <t xml:space="preserve">Arrow4_P1B5</t>
  </si>
  <si>
    <t xml:space="preserve">Arrow4_P2B5</t>
  </si>
  <si>
    <t xml:space="preserve">AGTCTATCATATCTACAAACTGTAG</t>
  </si>
  <si>
    <t xml:space="preserve">CTATTCTCTTCCGTTTATTACCATT</t>
  </si>
  <si>
    <t xml:space="preserve">S185-05</t>
  </si>
  <si>
    <t xml:space="preserve">arrow_B5_P1_05</t>
  </si>
  <si>
    <t xml:space="preserve">CTCACTCCCAATCTCTATAACTTTTATACCTCCATTTGTGGATAT</t>
  </si>
  <si>
    <t xml:space="preserve">arrow_B5_P2_05</t>
  </si>
  <si>
    <t xml:space="preserve">CAGGCACCGGGTCTGACTTGATGACAACTACCCTACAAATCCAAT</t>
  </si>
  <si>
    <t xml:space="preserve">Arrow5_P1B5</t>
  </si>
  <si>
    <t xml:space="preserve">Arrow5_P2B5</t>
  </si>
  <si>
    <t xml:space="preserve">CTTTTATACCTCCATTTGTGGATAT</t>
  </si>
  <si>
    <t xml:space="preserve">CAGGCACCGGGTCTGACTTGATGAC</t>
  </si>
  <si>
    <t xml:space="preserve">S185-06</t>
  </si>
  <si>
    <t xml:space="preserve">arrow_B5_P1_06</t>
  </si>
  <si>
    <t xml:space="preserve">CTCACTCCCAATCTCTATAAAACGTAGCCTGGTGGGGTTGGTGAT</t>
  </si>
  <si>
    <t xml:space="preserve">arrow_B5_P2_06</t>
  </si>
  <si>
    <t xml:space="preserve">TAACTTCACCCCAGTCGGACACGCGAACTACCCTACAAATCCAAT</t>
  </si>
  <si>
    <t xml:space="preserve">Arrow6_P1B5</t>
  </si>
  <si>
    <t xml:space="preserve">Arrow6_P2B5</t>
  </si>
  <si>
    <t xml:space="preserve">AACGTAGCCTGGTGGGGTTGGTGAT</t>
  </si>
  <si>
    <t xml:space="preserve">TAACTTCACCCCAGTCGGACACGCG</t>
  </si>
  <si>
    <t xml:space="preserve">S186-01</t>
  </si>
  <si>
    <t xml:space="preserve">omb_B5_P1_01</t>
  </si>
  <si>
    <t xml:space="preserve">CTCACTCCCAATCTCTATAACGAATAATCGATAGAGGCGCCACCG</t>
  </si>
  <si>
    <t xml:space="preserve">omb_B5_P2_01</t>
  </si>
  <si>
    <t xml:space="preserve">CGCGGCGCTACGCGCGACCGAGAGGAACTACCCTACAAATCCAAT</t>
  </si>
  <si>
    <t xml:space="preserve">omb1_HCR_P1B5</t>
  </si>
  <si>
    <t xml:space="preserve">omb1_HCR_P2B5</t>
  </si>
  <si>
    <t xml:space="preserve">S186-02</t>
  </si>
  <si>
    <t xml:space="preserve">omb_B5_P1_02</t>
  </si>
  <si>
    <t xml:space="preserve">CTCACTCCCAATCTCTATAACATGACGCGGCGGGCGCCACCCGCG</t>
  </si>
  <si>
    <t xml:space="preserve">omb_B5_P2_02</t>
  </si>
  <si>
    <t xml:space="preserve">GGTCGCGCCAGTCGCGCGGTGGTCGAACTACCCTACAAATCCAAT</t>
  </si>
  <si>
    <t xml:space="preserve">omb2_HCR_P1B5</t>
  </si>
  <si>
    <t xml:space="preserve">omb2_HCR_P2B5</t>
  </si>
  <si>
    <t xml:space="preserve">S186-03</t>
  </si>
  <si>
    <t xml:space="preserve">omb_B5_P1_03</t>
  </si>
  <si>
    <t xml:space="preserve">CTCACTCCCAATCTCTATAACTTTGACAACATCCGTTGACTTTGG</t>
  </si>
  <si>
    <t xml:space="preserve">omb_B5_P2_03</t>
  </si>
  <si>
    <t xml:space="preserve">ACTAGGCACTGGGTTTGGCCACAGCAACTACCCTACAAATCCAAT</t>
  </si>
  <si>
    <t xml:space="preserve">omb3_HCR_P1B5</t>
  </si>
  <si>
    <t xml:space="preserve">omb3_HCR_P2B5</t>
  </si>
  <si>
    <t xml:space="preserve">S186-04</t>
  </si>
  <si>
    <t xml:space="preserve">omb_B5_P1_04</t>
  </si>
  <si>
    <t xml:space="preserve">CTCACTCCCAATCTCTATAACAGGATCGTCAAATGATCTGAGTGG</t>
  </si>
  <si>
    <t xml:space="preserve">omb_B5_P2_04</t>
  </si>
  <si>
    <t xml:space="preserve">CCGTGGCTGGTACTTGTGCATCGAGAACTACCCTACAAATCCAAT</t>
  </si>
  <si>
    <t xml:space="preserve">omb4_HCR_P1B5</t>
  </si>
  <si>
    <t xml:space="preserve">omb4_HCR_P2B5</t>
  </si>
  <si>
    <t xml:space="preserve">S186-05</t>
  </si>
  <si>
    <t xml:space="preserve">omb_B5_P1_05</t>
  </si>
  <si>
    <t xml:space="preserve">CTCACTCCCAATCTCTATAACGTTCTGGTAGGCGGTGACGGCGAT</t>
  </si>
  <si>
    <t xml:space="preserve">omb_B5_P2_05</t>
  </si>
  <si>
    <t xml:space="preserve">TGTCGATTTTCAGCTGCGTTATCTTAACTACCCTACAAATCCAAT</t>
  </si>
  <si>
    <t xml:space="preserve">omb5_HCR_P1B5</t>
  </si>
  <si>
    <t xml:space="preserve">omb5_HCR_P2B5</t>
  </si>
  <si>
    <t xml:space="preserve">S186-06</t>
  </si>
  <si>
    <t xml:space="preserve">omb_B5_P1_06</t>
  </si>
  <si>
    <t xml:space="preserve">CTCACTCCCAATCTCTATAACCGCCCCCGTGTCTCGGAAGCCTTT</t>
  </si>
  <si>
    <t xml:space="preserve">omb_B5_P2_06</t>
  </si>
  <si>
    <t xml:space="preserve">ACACGGACAGATTCTTCTCCCGCTTAACTACCCTACAAATCCAAT</t>
  </si>
  <si>
    <t xml:space="preserve">omb6_HCR_P1B5</t>
  </si>
  <si>
    <t xml:space="preserve">omb6_HCR_P2B5</t>
  </si>
  <si>
    <t xml:space="preserve">S187-01</t>
  </si>
  <si>
    <t xml:space="preserve">calb2b_B1_P1_01</t>
  </si>
  <si>
    <t xml:space="preserve">GAGGAGGGCAGCAAACGGAAGGATCCGCAGTTTTCCGTGCAATCT</t>
  </si>
  <si>
    <t xml:space="preserve">calb2b_B1_P2_01</t>
  </si>
  <si>
    <t xml:space="preserve">ATCCTGTCTTTAAATGAAGCATTTGTAGAAGAGTCTTCCTTTACG</t>
  </si>
  <si>
    <t xml:space="preserve">B1_P1 (calb2b)_1</t>
  </si>
  <si>
    <t xml:space="preserve">B1_P2 (calb2b)_1</t>
  </si>
  <si>
    <t xml:space="preserve">GGATCCGCAGTTTTCCGTGCAATCT</t>
  </si>
  <si>
    <t xml:space="preserve">ATCCTGTCTTTAAATGAAGCATTTG</t>
  </si>
  <si>
    <t xml:space="preserve">S187-02</t>
  </si>
  <si>
    <t xml:space="preserve">calb2b_B1_P1_02</t>
  </si>
  <si>
    <t xml:space="preserve">GAGGAGGGCAGCAAACGGAACTTCCCATCACCGTTCTCATCGAAT</t>
  </si>
  <si>
    <t xml:space="preserve">calb2b_B1_P2_02</t>
  </si>
  <si>
    <t xml:space="preserve">GATCTGGGCCAGCTCTGACATCTCGTAGAAGAGTCTTCCTTTACG</t>
  </si>
  <si>
    <t xml:space="preserve">B1_P1 (calb2b)_2</t>
  </si>
  <si>
    <t xml:space="preserve">B1_P2 (calb2b)_2</t>
  </si>
  <si>
    <t xml:space="preserve">CTTCCCATCACCGTTCTCATCGAAT</t>
  </si>
  <si>
    <t xml:space="preserve">GATCTGGGCCAGCTCTGACATCTCG</t>
  </si>
  <si>
    <t xml:space="preserve">S187-03</t>
  </si>
  <si>
    <t xml:space="preserve">calb2b_B1_P1_03</t>
  </si>
  <si>
    <t xml:space="preserve">GAGGAGGGCAGCAAACGGAACAAACTGTCTGAAGCACAATAGAAA</t>
  </si>
  <si>
    <t xml:space="preserve">calb2b_B1_P2_03</t>
  </si>
  <si>
    <t xml:space="preserve">CCGTCATAAACTCTGCACTGGATCCTAGAAGAGTCTTCCTTTACG</t>
  </si>
  <si>
    <t xml:space="preserve">B1_P1 (calb2b)_3</t>
  </si>
  <si>
    <t xml:space="preserve">B1_P2 (calb2b)_3</t>
  </si>
  <si>
    <t xml:space="preserve">CAAACTGTCTGAAGCACAATAGAAA</t>
  </si>
  <si>
    <t xml:space="preserve">CCGTCATAAACTCTGCACTGGATCC</t>
  </si>
  <si>
    <t xml:space="preserve">S187-04</t>
  </si>
  <si>
    <t xml:space="preserve">calb2b_B1_P1_04</t>
  </si>
  <si>
    <t xml:space="preserve">GAGGAGGGCAGCAAACGGAAGATTCAATGTATCCGCTGCGATCGG</t>
  </si>
  <si>
    <t xml:space="preserve">calb2b_B1_P2_04</t>
  </si>
  <si>
    <t xml:space="preserve">TCTGACAGGAAGCCCTTCAGTTCATTAGAAGAGTCTTCCTTTACG</t>
  </si>
  <si>
    <t xml:space="preserve">B1_P1 (calb2b)_4</t>
  </si>
  <si>
    <t xml:space="preserve">B1_P2 (calb2b)_4</t>
  </si>
  <si>
    <t xml:space="preserve">GATTCAATGTATCCGCTGCGATCGG</t>
  </si>
  <si>
    <t xml:space="preserve">TCTGACAGGAAGCCCTTCAGTTCAT</t>
  </si>
  <si>
    <t xml:space="preserve">S187-05</t>
  </si>
  <si>
    <t xml:space="preserve">calb2b_B1_P1_05</t>
  </si>
  <si>
    <t xml:space="preserve">GAGGAGGGCAGCAAACGGAACAGTTTCTTGTCATTATAATGTCTG</t>
  </si>
  <si>
    <t xml:space="preserve">calb2b_B1_P2_05</t>
  </si>
  <si>
    <t xml:space="preserve">TTTAAGTATGGTCTGCGTATACTCATAGAAGAGTCTTCCTTTACG</t>
  </si>
  <si>
    <t xml:space="preserve">B1_P1 (calb2b)_5</t>
  </si>
  <si>
    <t xml:space="preserve">B1_P2 (calb2b)_5</t>
  </si>
  <si>
    <t xml:space="preserve">CAGTTTCTTGTCATTATAATGTCTG</t>
  </si>
  <si>
    <t xml:space="preserve">TTTAAGTATGGTCTGCGTATACTCA</t>
  </si>
  <si>
    <t xml:space="preserve">S187-06</t>
  </si>
  <si>
    <t xml:space="preserve">calb2b_B1_P1_06</t>
  </si>
  <si>
    <t xml:space="preserve">GAGGAGGGCAGCAAACGGAATCTCAGACAGTCCCAGTTTCCCGTC</t>
  </si>
  <si>
    <t xml:space="preserve">calb2b_B1_P2_06</t>
  </si>
  <si>
    <t xml:space="preserve">TCTCTTCCACAGGAAGCAGTCTGGCTAGAAGAGTCTTCCTTTACG</t>
  </si>
  <si>
    <t xml:space="preserve">B1_P1 (calb2b)_6</t>
  </si>
  <si>
    <t xml:space="preserve">B1_P2 (calb2b)_6</t>
  </si>
  <si>
    <t xml:space="preserve">TCTCAGACAGTCCCAGTTTCCCGTC</t>
  </si>
  <si>
    <t xml:space="preserve">TCTCTTCCACAGGAAGCAGTCTGGC</t>
  </si>
  <si>
    <t xml:space="preserve">S188-01</t>
  </si>
  <si>
    <t xml:space="preserve">ccser1_B1_P1_01</t>
  </si>
  <si>
    <t xml:space="preserve">GAGGAGGGCAGCAAACGGAAGATTGGGTCACTGTTCCTCTTGCTG</t>
  </si>
  <si>
    <t xml:space="preserve">ccser1_B1_P2_01</t>
  </si>
  <si>
    <t xml:space="preserve">CTGGGTGCGATTGTCCAGGTTGAGCTAGAAGAGTCTTCCTTTACG</t>
  </si>
  <si>
    <t xml:space="preserve">B1_P1 (ccser1)_1</t>
  </si>
  <si>
    <t xml:space="preserve">B1_P2 (ccser1)_1</t>
  </si>
  <si>
    <t xml:space="preserve">GATTGGGTCACTGTTCCTCTTGCTG</t>
  </si>
  <si>
    <t xml:space="preserve">CTGGGTGCGATTGTCCAGGTTGAGC</t>
  </si>
  <si>
    <t xml:space="preserve">S188-02</t>
  </si>
  <si>
    <t xml:space="preserve">ccser1_B1_P1_02</t>
  </si>
  <si>
    <t xml:space="preserve">GAGGAGGGCAGCAAACGGAAGAGTCTTTGAGATGCAACCATCTTG</t>
  </si>
  <si>
    <t xml:space="preserve">ccser1_B1_P2_02</t>
  </si>
  <si>
    <t xml:space="preserve">TGTGTCCACCAAATCCAAATGAATGTAGAAGAGTCTTCCTTTACG</t>
  </si>
  <si>
    <t xml:space="preserve">B1_P1 (ccser1)_2</t>
  </si>
  <si>
    <t xml:space="preserve">B1_P2 (ccser1)_2</t>
  </si>
  <si>
    <t xml:space="preserve">GAGTCTTTGAGATGCAACCATCTTG</t>
  </si>
  <si>
    <t xml:space="preserve">TGTGTCCACCAAATCCAAATGAATG</t>
  </si>
  <si>
    <t xml:space="preserve">S188-03</t>
  </si>
  <si>
    <t xml:space="preserve">ccser1_B1_P1_03</t>
  </si>
  <si>
    <t xml:space="preserve">GAGGAGGGCAGCAAACGGAAGCTTTCTCAAGGTCTTCCGTATGAG</t>
  </si>
  <si>
    <t xml:space="preserve">ccser1_B1_P2_03</t>
  </si>
  <si>
    <t xml:space="preserve">ATAAACACGCTGTTTCTGTTGGCAGTAGAAGAGTCTTCCTTTACG</t>
  </si>
  <si>
    <t xml:space="preserve">B1_P1 (ccser1)_3</t>
  </si>
  <si>
    <t xml:space="preserve">B1_P2 (ccser1)_3</t>
  </si>
  <si>
    <t xml:space="preserve">GCTTTCTCAAGGTCTTCCGTATGAG</t>
  </si>
  <si>
    <t xml:space="preserve">ATAAACACGCTGTTTCTGTTGGCAG</t>
  </si>
  <si>
    <t xml:space="preserve">S188-04</t>
  </si>
  <si>
    <t xml:space="preserve">ccser1_B1_P1_04</t>
  </si>
  <si>
    <t xml:space="preserve">GAGGAGGGCAGCAAACGGAACCCCGAATCATCTCCCTCATTCGTA</t>
  </si>
  <si>
    <t xml:space="preserve">ccser1_B1_P2_04</t>
  </si>
  <si>
    <t xml:space="preserve">TCTCTTGCTGCTCACGTCATCAAGATAGAAGAGTCTTCCTTTACG</t>
  </si>
  <si>
    <t xml:space="preserve">B1_P1 (ccser1)_4</t>
  </si>
  <si>
    <t xml:space="preserve">B1_P2 (ccser1)_4</t>
  </si>
  <si>
    <t xml:space="preserve">CCCCGAATCATCTCCCTCATTCGTA</t>
  </si>
  <si>
    <t xml:space="preserve">TCTCTTGCTGCTCACGTCATCAAGA</t>
  </si>
  <si>
    <t xml:space="preserve">S188-05</t>
  </si>
  <si>
    <t xml:space="preserve">ccser1_B1_P1_05</t>
  </si>
  <si>
    <t xml:space="preserve">GAGGAGGGCAGCAAACGGAACGGAGAAGGACTTGGGCAGCAGGTG</t>
  </si>
  <si>
    <t xml:space="preserve">ccser1_B1_P2_05</t>
  </si>
  <si>
    <t xml:space="preserve">CAGAGTTCTTGGGTAACCGCTGATGTAGAAGAGTCTTCCTTTACG</t>
  </si>
  <si>
    <t xml:space="preserve">B1_P1 (ccser1)_5</t>
  </si>
  <si>
    <t xml:space="preserve">B1_P2 (ccser1)_5</t>
  </si>
  <si>
    <t xml:space="preserve">CGGAGAAGGACTTGGGCAGCAGGTG</t>
  </si>
  <si>
    <t xml:space="preserve">CAGAGTTCTTGGGTAACCGCTGATG</t>
  </si>
  <si>
    <t xml:space="preserve">S188-06</t>
  </si>
  <si>
    <t xml:space="preserve">ccser1_B1_P1_06</t>
  </si>
  <si>
    <t xml:space="preserve">GAGGAGGGCAGCAAACGGAATCTTCCACCCCGTCCTGACCTTTAA</t>
  </si>
  <si>
    <t xml:space="preserve">ccser1_B1_P2_06</t>
  </si>
  <si>
    <t xml:space="preserve">GAACCTGGGGTACCAGTTTTAGGAGTAGAAGAGTCTTCCTTTACG</t>
  </si>
  <si>
    <t xml:space="preserve">B1_P1 (ccser1)_6</t>
  </si>
  <si>
    <t xml:space="preserve">B1_P2 (ccser1)_6</t>
  </si>
  <si>
    <t xml:space="preserve">TCTTCCACCCCGTCCTGACCTTTAA</t>
  </si>
  <si>
    <t xml:space="preserve">GAACCTGGGGTACCAGTTTTAGGAG</t>
  </si>
  <si>
    <t xml:space="preserve">S188-07</t>
  </si>
  <si>
    <t xml:space="preserve">ccser1_B1_P1_07</t>
  </si>
  <si>
    <t xml:space="preserve">GAGGAGGGCAGCAAACGGAACATAGGTGACTGTAGGGAACTCTCC</t>
  </si>
  <si>
    <t xml:space="preserve">ccser1_B1_P2_07</t>
  </si>
  <si>
    <t xml:space="preserve">GATTGCAGTGGTGCGGTCTTCTGAGTAGAAGAGTCTTCCTTTACG</t>
  </si>
  <si>
    <t xml:space="preserve">B1_P1 (ccser1)_7</t>
  </si>
  <si>
    <t xml:space="preserve">B1_P2 (ccser1)_7</t>
  </si>
  <si>
    <t xml:space="preserve">CATAGGTGACTGTAGGGAACTCTCC</t>
  </si>
  <si>
    <t xml:space="preserve">GATTGCAGTGGTGCGGTCTTCTGAG</t>
  </si>
  <si>
    <t xml:space="preserve">S188-08</t>
  </si>
  <si>
    <t xml:space="preserve">ccser1_B1_P1_08</t>
  </si>
  <si>
    <t xml:space="preserve">GAGGAGGGCAGCAAACGGAACCGAGACGGAGTCTTCTGTGACATG</t>
  </si>
  <si>
    <t xml:space="preserve">ccser1_B1_P2_08</t>
  </si>
  <si>
    <t xml:space="preserve">GACTGGGAGCCGGCAAAGCATCCACTAGAAGAGTCTTCCTTTACG</t>
  </si>
  <si>
    <t xml:space="preserve">B1_P1 (ccser1)_8</t>
  </si>
  <si>
    <t xml:space="preserve">B1_P2 (ccser1)_8</t>
  </si>
  <si>
    <t xml:space="preserve">CCGAGACGGAGTCTTCTGTGACATG</t>
  </si>
  <si>
    <t xml:space="preserve">GACTGGGAGCCGGCAAAGCATCCAC</t>
  </si>
  <si>
    <t xml:space="preserve">S189-01</t>
  </si>
  <si>
    <t xml:space="preserve">chrna5_B1_P1_01</t>
  </si>
  <si>
    <t xml:space="preserve">GAGGAGGGCAGCAAACGGAAGTCGTCATCAGCTGGTTCTTCTCAT</t>
  </si>
  <si>
    <t xml:space="preserve">chrna5_B1_P2_01</t>
  </si>
  <si>
    <t xml:space="preserve">GTCCATTCCTGCTTCATCCACACATTAGAAGAGTCTTCCTTTACG</t>
  </si>
  <si>
    <t xml:space="preserve">B1_P1 (chrna5)_1</t>
  </si>
  <si>
    <t xml:space="preserve">B1_P2 (chrna5)_1</t>
  </si>
  <si>
    <t xml:space="preserve">GTCGTCATCAGCTGGTTCTTCTCAT</t>
  </si>
  <si>
    <t xml:space="preserve">GTCCATTCCTGCTTCATCCACACAT</t>
  </si>
  <si>
    <t xml:space="preserve">S189-02</t>
  </si>
  <si>
    <t xml:space="preserve">chrna5_B1_P1_02</t>
  </si>
  <si>
    <t xml:space="preserve">GAGGAGGGCAGCAAACGGAAGATGCCCAGGTAATGATCCGGATCC</t>
  </si>
  <si>
    <t xml:space="preserve">chrna5_B1_P2_02</t>
  </si>
  <si>
    <t xml:space="preserve">GGAGTCTGAAGGCACCCTGATAGAGTAGAAGAGTCTTCCTTTACG</t>
  </si>
  <si>
    <t xml:space="preserve">B1_P1 (chrna5)_2</t>
  </si>
  <si>
    <t xml:space="preserve">B1_P2 (chrna5)_2</t>
  </si>
  <si>
    <t xml:space="preserve">GATGCCCAGGTAATGATCCGGATCC</t>
  </si>
  <si>
    <t xml:space="preserve">GGAGTCTGAAGGCACCCTGATAGAG</t>
  </si>
  <si>
    <t xml:space="preserve">S189-03</t>
  </si>
  <si>
    <t xml:space="preserve">chrna5_B1_P1_03</t>
  </si>
  <si>
    <t xml:space="preserve">GAGGAGGGCAGCAAACGGAATACCATCTGCATTGTCATAGAGCAC</t>
  </si>
  <si>
    <t xml:space="preserve">chrna5_B1_P2_03</t>
  </si>
  <si>
    <t xml:space="preserve">CTGCTTTTGTCACTGTGGCCTCGAATAGAAGAGTCTTCCTTTACG</t>
  </si>
  <si>
    <t xml:space="preserve">B1_P1 (chrna5)_3</t>
  </si>
  <si>
    <t xml:space="preserve">B1_P2 (chrna5)_3</t>
  </si>
  <si>
    <t xml:space="preserve">TACCATCTGCATTGTCATAGAGCAC</t>
  </si>
  <si>
    <t xml:space="preserve">CTGCTTTTGTCACTGTGGCCTCGAA</t>
  </si>
  <si>
    <t xml:space="preserve">S189-04</t>
  </si>
  <si>
    <t xml:space="preserve">chrna5_B1_P1_04</t>
  </si>
  <si>
    <t xml:space="preserve">GAGGAGGGCAGCAAACGGAATTGGCAGGAGGAGTCCAGGAGATTG</t>
  </si>
  <si>
    <t xml:space="preserve">chrna5_B1_P2_04</t>
  </si>
  <si>
    <t xml:space="preserve">ACATCAATGGTGCAGGCAGATTTATTAGAAGAGTCTTCCTTTACG</t>
  </si>
  <si>
    <t xml:space="preserve">B1_P1 (chrna5)_4</t>
  </si>
  <si>
    <t xml:space="preserve">B1_P2 (chrna5)_4</t>
  </si>
  <si>
    <t xml:space="preserve">TTGGCAGGAGGAGTCCAGGAGATTG</t>
  </si>
  <si>
    <t xml:space="preserve">ACATCAATGGTGCAGGCAGATTTAT</t>
  </si>
  <si>
    <t xml:space="preserve">S189-05</t>
  </si>
  <si>
    <t xml:space="preserve">chrna5_B1_P1_05</t>
  </si>
  <si>
    <t xml:space="preserve">GAGGAGGGCAGCAAACGGAAGAACTTCATGGAGCAGTTTTGAAGG</t>
  </si>
  <si>
    <t xml:space="preserve">chrna5_B1_P2_05</t>
  </si>
  <si>
    <t xml:space="preserve">CTGGGAGCCATCATAGGTCCAAGAATAGAAGAGTCTTCCTTTACG</t>
  </si>
  <si>
    <t xml:space="preserve">B1_P1 (chrna5)_5</t>
  </si>
  <si>
    <t xml:space="preserve">B1_P2 (chrna5)_5</t>
  </si>
  <si>
    <t xml:space="preserve">GAACTTCATGGAGCAGTTTTGAAGG</t>
  </si>
  <si>
    <t xml:space="preserve">CTGGGAGCCATCATAGGTCCAAGAA</t>
  </si>
  <si>
    <t xml:space="preserve">S189-06</t>
  </si>
  <si>
    <t xml:space="preserve">chrna5_B1_P1_06</t>
  </si>
  <si>
    <t xml:space="preserve">GAGGAGGGCAGCAAACGGAAAGTCACGTTTGTCCACATGCACGTC</t>
  </si>
  <si>
    <t xml:space="preserve">chrna5_B1_P2_06</t>
  </si>
  <si>
    <t xml:space="preserve">CGATCTCCCATTCGCCATTGTCAAATAGAAGAGTCTTCCTTTACG</t>
  </si>
  <si>
    <t xml:space="preserve">B1_P1 (chrna5)_6</t>
  </si>
  <si>
    <t xml:space="preserve">B1_P2 (chrna5)_6</t>
  </si>
  <si>
    <t xml:space="preserve">AGTCACGTTTGTCCACATGCACGTC</t>
  </si>
  <si>
    <t xml:space="preserve">CGATCTCCCATTCGCCATTGTCAAA</t>
  </si>
  <si>
    <t xml:space="preserve">S189-07</t>
  </si>
  <si>
    <t xml:space="preserve">chrna5_B1_P1_07</t>
  </si>
  <si>
    <t xml:space="preserve">GAGGAGGGCAGCAAACGGAAAAAGTCCCATCTCTTCTCAAACCCC</t>
  </si>
  <si>
    <t xml:space="preserve">chrna5_B1_P2_07</t>
  </si>
  <si>
    <t xml:space="preserve">AAGGAGTACGTGATGGATGGATAGATAGAAGAGTCTTCCTTTACG</t>
  </si>
  <si>
    <t xml:space="preserve">B1_P1 (chrna5)_7</t>
  </si>
  <si>
    <t xml:space="preserve">B1_P2 (chrna5)_7</t>
  </si>
  <si>
    <t xml:space="preserve">AAAGTCCCATCTCTTCTCAAACCCC</t>
  </si>
  <si>
    <t xml:space="preserve">AAGGAGTACGTGATGGATGGATAGA</t>
  </si>
  <si>
    <t xml:space="preserve">S189-08</t>
  </si>
  <si>
    <t xml:space="preserve">chrna5_B1_P1_08</t>
  </si>
  <si>
    <t xml:space="preserve">GAGGAGGGCAGCAAACGGAAGATGAGGAAGAGTGTGTAGAAGAGA</t>
  </si>
  <si>
    <t xml:space="preserve">chrna5_B1_P2_08</t>
  </si>
  <si>
    <t xml:space="preserve">CAGGAAAGACAATCCAATGCAGGGGTAGAAGAGTCTTCCTTTACG</t>
  </si>
  <si>
    <t xml:space="preserve">B1_P1 (chrna5)_8</t>
  </si>
  <si>
    <t xml:space="preserve">B1_P2 (chrna5)_8</t>
  </si>
  <si>
    <t xml:space="preserve">GATGAGGAAGAGTGTGTAGAAGAGA</t>
  </si>
  <si>
    <t xml:space="preserve">CAGGAAAGACAATCCAATGCAGGGG</t>
  </si>
  <si>
    <t xml:space="preserve">S190-01</t>
  </si>
  <si>
    <t xml:space="preserve">foxa2_B1_P1_01</t>
  </si>
  <si>
    <t xml:space="preserve">GAGGAGGGCAGCAAACGGAAGGGGGACATGCCTGTCATTGAAGGG</t>
  </si>
  <si>
    <t xml:space="preserve">foxa2_B1_P2_01</t>
  </si>
  <si>
    <t xml:space="preserve">ACCCATGCCGGCCATCGCTCCCGTATAGAAGAGTCTTCCTTTACG</t>
  </si>
  <si>
    <t xml:space="preserve">B1_P1 (foxa2)_1</t>
  </si>
  <si>
    <t xml:space="preserve">B1_P2 (foxa2)_1</t>
  </si>
  <si>
    <t xml:space="preserve">GGGGGACATGCCTGTCATTGAAGGG</t>
  </si>
  <si>
    <t xml:space="preserve">ACCCATGCCGGCCATCGCTCCCGTA</t>
  </si>
  <si>
    <t xml:space="preserve">S190-02</t>
  </si>
  <si>
    <t xml:space="preserve">foxa2_B1_P1_02</t>
  </si>
  <si>
    <t xml:space="preserve">GAGGAGGGCAGCAAACGGAATCATGGTAGGGCTCAGGGCTGCGCT</t>
  </si>
  <si>
    <t xml:space="preserve">foxa2_B1_P2_02</t>
  </si>
  <si>
    <t xml:space="preserve">TGGAGGGCGCTTGCGCTGCCATTGGTAGAAGAGTCTTCCTTTACG</t>
  </si>
  <si>
    <t xml:space="preserve">B1_P1 (foxa2)_2</t>
  </si>
  <si>
    <t xml:space="preserve">B1_P2 (foxa2)_2</t>
  </si>
  <si>
    <t xml:space="preserve">TCATGGTAGGGCTCAGGGCTGCGCT</t>
  </si>
  <si>
    <t xml:space="preserve">TGGAGGGCGCTTGCGCTGCCATTGG</t>
  </si>
  <si>
    <t xml:space="preserve">S190-03</t>
  </si>
  <si>
    <t xml:space="preserve">foxa2_B1_P1_03</t>
  </si>
  <si>
    <t xml:space="preserve">GAGGAGGGCAGCAAACGGAAGGGCTCATAGCGTTCATGTTGCTGT</t>
  </si>
  <si>
    <t xml:space="preserve">foxa2_B1_P2_03</t>
  </si>
  <si>
    <t xml:space="preserve">CTGTTTATGTTCGACTGGCCGTACATAGAAGAGTCTTCCTTTACG</t>
  </si>
  <si>
    <t xml:space="preserve">B1_P1 (foxa2)_3</t>
  </si>
  <si>
    <t xml:space="preserve">B1_P2 (foxa2)_3</t>
  </si>
  <si>
    <t xml:space="preserve">GGGCTCATAGCGTTCATGTTGCTGT</t>
  </si>
  <si>
    <t xml:space="preserve">CTGTTTATGTTCGACTGGCCGTACA</t>
  </si>
  <si>
    <t xml:space="preserve">S190-04</t>
  </si>
  <si>
    <t xml:space="preserve">foxa2_B1_P1_04</t>
  </si>
  <si>
    <t xml:space="preserve">GAGGAGGGCAGCAAACGGAAGGCATGAGTGTAGCTCCTGCGGTAG</t>
  </si>
  <si>
    <t xml:space="preserve">foxa2_B1_P2_04</t>
  </si>
  <si>
    <t xml:space="preserve">TAGAGAAATGTACGAGTAAGGGGGCTAGAAGAGTCTTCCTTTACG</t>
  </si>
  <si>
    <t xml:space="preserve">B1_P1 (foxa2)_4</t>
  </si>
  <si>
    <t xml:space="preserve">B1_P2 (foxa2)_4</t>
  </si>
  <si>
    <t xml:space="preserve">GGCATGAGTGTAGCTCCTGCGGTAG</t>
  </si>
  <si>
    <t xml:space="preserve">TAGAGAAATGTACGAGTAAGGGGGC</t>
  </si>
  <si>
    <t xml:space="preserve">S190-05</t>
  </si>
  <si>
    <t xml:space="preserve">foxa2_B1_P1_05</t>
  </si>
  <si>
    <t xml:space="preserve">GAGGAGGGCAGCAAACGGAAGGGTCAGCATCTTACTGGGTGATTG</t>
  </si>
  <si>
    <t xml:space="preserve">foxa2_B1_P2_05</t>
  </si>
  <si>
    <t xml:space="preserve">CCATTATCCACTGGTAAATCTCACTTAGAAGAGTCTTCCTTTACG</t>
  </si>
  <si>
    <t xml:space="preserve">B1_P1 (foxa2)_5</t>
  </si>
  <si>
    <t xml:space="preserve">B1_P2 (foxa2)_5</t>
  </si>
  <si>
    <t xml:space="preserve">GGGTCAGCATCTTACTGGGTGATTG</t>
  </si>
  <si>
    <t xml:space="preserve">CCATTATCCACTGGTAAATCTCACT</t>
  </si>
  <si>
    <t xml:space="preserve">S190-06</t>
  </si>
  <si>
    <t xml:space="preserve">foxa2_B1_P1_06</t>
  </si>
  <si>
    <t xml:space="preserve">GAGGAGGGCAGCAAACGGAATTTTGCCAGCGTTGCTGGTTCTGTC</t>
  </si>
  <si>
    <t xml:space="preserve">foxa2_B1_P2_06</t>
  </si>
  <si>
    <t xml:space="preserve">TTAAAAGACAGCGAGTGGCGGATAGTAGAAGAGTCTTCCTTTACG</t>
  </si>
  <si>
    <t xml:space="preserve">B1_P1 (foxa2)_6</t>
  </si>
  <si>
    <t xml:space="preserve">B1_P2 (foxa2)_6</t>
  </si>
  <si>
    <t xml:space="preserve">TTTTGCCAGCGTTGCTGGTTCTGTC</t>
  </si>
  <si>
    <t xml:space="preserve">TTAAAAGACAGCGAGTGGCGGATAG</t>
  </si>
  <si>
    <t xml:space="preserve">S191-01</t>
  </si>
  <si>
    <t xml:space="preserve">gad2_B1_P1_01</t>
  </si>
  <si>
    <t xml:space="preserve">GAGGAGGGCAGCAAACGGAAGCTGCTTTCTCAGCCTCCCCGACAT</t>
  </si>
  <si>
    <t xml:space="preserve">gad2_B1_P2_01</t>
  </si>
  <si>
    <t xml:space="preserve">TCATCCTCGGCTTTAACTGGGGCTTTAGAAGAGTCTTCCTTTACG</t>
  </si>
  <si>
    <t xml:space="preserve">B1_P1 (gad2)_1</t>
  </si>
  <si>
    <t xml:space="preserve">B1_P2 (gad2)_1</t>
  </si>
  <si>
    <t xml:space="preserve">GCTGCTTTCTCAGCCTCCCCGACAT</t>
  </si>
  <si>
    <t xml:space="preserve">TCATCCTCGGCTTTAACTGGGGCTT</t>
  </si>
  <si>
    <t xml:space="preserve">S191-02</t>
  </si>
  <si>
    <t xml:space="preserve">gad2_B1_P1_02</t>
  </si>
  <si>
    <t xml:space="preserve">GAGGAGGGCAGCAAACGGAAGCAGTTACAGGGTTTATTACAGCCG</t>
  </si>
  <si>
    <t xml:space="preserve">gad2_B1_P2_02</t>
  </si>
  <si>
    <t xml:space="preserve">ATCCGAAAAGCACGCGGTGGCTTTGTAGAAGAGTCTTCCTTTACG</t>
  </si>
  <si>
    <t xml:space="preserve">B1_P1 (gad2)_2</t>
  </si>
  <si>
    <t xml:space="preserve">B1_P2 (gad2)_2</t>
  </si>
  <si>
    <t xml:space="preserve">GCAGTTACAGGGTTTATTACAGCCG</t>
  </si>
  <si>
    <t xml:space="preserve">ATCCGAAAAGCACGCGGTGGCTTTG</t>
  </si>
  <si>
    <t xml:space="preserve">S191-03</t>
  </si>
  <si>
    <t xml:space="preserve">gad2_B1_P1_03</t>
  </si>
  <si>
    <t xml:space="preserve">GAGGAGGGCAGCAAACGGAATCGCGTCTCCGTCCAGTGCAGGTAA</t>
  </si>
  <si>
    <t xml:space="preserve">gad2_B1_P2_03</t>
  </si>
  <si>
    <t xml:space="preserve">CAACCTCCTGCAGAAAATTCATAGTTAGAAGAGTCTTCCTTTACG</t>
  </si>
  <si>
    <t xml:space="preserve">B1_P1 (gad2)_3</t>
  </si>
  <si>
    <t xml:space="preserve">B1_P2 (gad2)_3</t>
  </si>
  <si>
    <t xml:space="preserve">TCGCGTCTCCGTCCAGTGCAGGTAA</t>
  </si>
  <si>
    <t xml:space="preserve">CAACCTCCTGCAGAAAATTCATAGT</t>
  </si>
  <si>
    <t xml:space="preserve">S191-04</t>
  </si>
  <si>
    <t xml:space="preserve">gad2_B1_P1_04</t>
  </si>
  <si>
    <t xml:space="preserve">GAGGAGGGCAGCAAACGGAAGACCTGTCAAATGATTCCACTATAT</t>
  </si>
  <si>
    <t xml:space="preserve">gad2_B1_P2_04</t>
  </si>
  <si>
    <t xml:space="preserve">GGATAGTGGAAATCAATCACTTTCGTAGAAGAGTCTTCCTTTACG</t>
  </si>
  <si>
    <t xml:space="preserve">B1_P1 (gad2)_4</t>
  </si>
  <si>
    <t xml:space="preserve">B1_P2 (gad2)_4</t>
  </si>
  <si>
    <t xml:space="preserve">GACCTGTCAAATGATTCCACTATAT</t>
  </si>
  <si>
    <t xml:space="preserve">GGATAGTGGAAATCAATCACTTTCG</t>
  </si>
  <si>
    <t xml:space="preserve">S191-05</t>
  </si>
  <si>
    <t xml:space="preserve">gad2_B1_P1_05</t>
  </si>
  <si>
    <t xml:space="preserve">GAGGAGGGCAGCAAACGGAATTCGTCCGAAAGCTCCCAATTATTC</t>
  </si>
  <si>
    <t xml:space="preserve">gad2_B1_P2_05</t>
  </si>
  <si>
    <t xml:space="preserve">GATCAGAATATCGTCTAAAGTCTCGTAGAAGAGTCTTCCTTTACG</t>
  </si>
  <si>
    <t xml:space="preserve">B1_P1 (gad2)_5</t>
  </si>
  <si>
    <t xml:space="preserve">B1_P2 (gad2)_5</t>
  </si>
  <si>
    <t xml:space="preserve">TTCGTCCGAAAGCTCCCAATTATTC</t>
  </si>
  <si>
    <t xml:space="preserve">GATCAGAATATCGTCTAAAGTCTCG</t>
  </si>
  <si>
    <t xml:space="preserve">S191-06</t>
  </si>
  <si>
    <t xml:space="preserve">gad2_B1_P1_06</t>
  </si>
  <si>
    <t xml:space="preserve">GAGGAGGGCAGCAAACGGAAGATGCGCAGTTTTTATGGCATATTT</t>
  </si>
  <si>
    <t xml:space="preserve">gad2_B1_P2_06</t>
  </si>
  <si>
    <t xml:space="preserve">CAGTGGAGAGTTGATTGAAATACCTTAGAAGAGTCTTCCTTTACG</t>
  </si>
  <si>
    <t xml:space="preserve">B1_P1 (gad2)_6</t>
  </si>
  <si>
    <t xml:space="preserve">B1_P2 (gad2)_6</t>
  </si>
  <si>
    <t xml:space="preserve">GATGCGCAGTTTTTATGGCATATTT</t>
  </si>
  <si>
    <t xml:space="preserve">CAGTGGAGAGTTGATTGAAATACCT</t>
  </si>
  <si>
    <t xml:space="preserve">S191-07</t>
  </si>
  <si>
    <t xml:space="preserve">gad2_B1_P1_07</t>
  </si>
  <si>
    <t xml:space="preserve">GAGGAGGGCAGCAAACGGAAGTGGAGGTTAGCCAATCTGCAGCCA</t>
  </si>
  <si>
    <t xml:space="preserve">gad2_B1_P2_07</t>
  </si>
  <si>
    <t xml:space="preserve">TCATAGGTGAACATATTGGTGTTGGTAGAAGAGTCTTCCTTTACG</t>
  </si>
  <si>
    <t xml:space="preserve">B1_P1 (gad2)_7</t>
  </si>
  <si>
    <t xml:space="preserve">B1_P2 (gad2)_7</t>
  </si>
  <si>
    <t xml:space="preserve">GTGGAGGTTAGCCAATCTGCAGCCA</t>
  </si>
  <si>
    <t xml:space="preserve">TCATAGGTGAACATATTGGTGTTGG</t>
  </si>
  <si>
    <t xml:space="preserve">S191-08</t>
  </si>
  <si>
    <t xml:space="preserve">gad2_B1_P1_08</t>
  </si>
  <si>
    <t xml:space="preserve">GAGGAGGGCAGCAAACGGAACTTCAGCGTGACGTATTCCAACAGC</t>
  </si>
  <si>
    <t xml:space="preserve">gad2_B1_P2_08</t>
  </si>
  <si>
    <t xml:space="preserve">CTGCCAGCCAATGATCTCCCTCATCTAGAAGAGTCTTCCTTTACG</t>
  </si>
  <si>
    <t xml:space="preserve">B1_P1 (gad2)_8</t>
  </si>
  <si>
    <t xml:space="preserve">B1_P2 (gad2)_8</t>
  </si>
  <si>
    <t xml:space="preserve">CTTCAGCGTGACGTATTCCAACAGC</t>
  </si>
  <si>
    <t xml:space="preserve">CTGCCAGCCAATGATCTCCCTCATC</t>
  </si>
  <si>
    <t xml:space="preserve">S192-01</t>
  </si>
  <si>
    <t xml:space="preserve">oxt_B1_P1_01</t>
  </si>
  <si>
    <t xml:space="preserve">GAGGAGGGCAGCAAACGGAACCGCGGACAGCAGACCTCCAGACAT</t>
  </si>
  <si>
    <t xml:space="preserve">oxt_B1_P2_01</t>
  </si>
  <si>
    <t xml:space="preserve">AGACGGACAGCAGACACAGCAGAGCTAGAAGAGTCTTCCTTTACG</t>
  </si>
  <si>
    <t xml:space="preserve">oxt_oxtr_oxtl_Gene1_B1_P1_1; oxt_oxtr_oxtl</t>
  </si>
  <si>
    <t xml:space="preserve">oxt_oxtr_oxtl_Gene1_B1_P2_1; oxt_oxtr_oxtl</t>
  </si>
  <si>
    <t xml:space="preserve">CCGCGGACAGCAGACCTCCAGACAT</t>
  </si>
  <si>
    <t xml:space="preserve">AGACGGACAGCAGACACAGCAGAGC</t>
  </si>
  <si>
    <t xml:space="preserve">oxt_oxtr_oxtrl oPool</t>
  </si>
  <si>
    <t xml:space="preserve">S192-02</t>
  </si>
  <si>
    <t xml:space="preserve">oxt_B1_P1_02</t>
  </si>
  <si>
    <t xml:space="preserve">GAGGAGGGCAGCAAACGGAAAGCCGCCGCGGACAGCAGACCTCCA</t>
  </si>
  <si>
    <t xml:space="preserve">oxt_B1_P2_02</t>
  </si>
  <si>
    <t xml:space="preserve">CGAGCAGACGGACAGCAGACACAGCTAGAAGAGTCTTCCTTTACG</t>
  </si>
  <si>
    <t xml:space="preserve">B1_P1 (oxt)_1</t>
  </si>
  <si>
    <t xml:space="preserve">B1_P2 (oxt)_1</t>
  </si>
  <si>
    <t xml:space="preserve">AGCCGCCGCGGACAGCAGACCTCCA</t>
  </si>
  <si>
    <t xml:space="preserve">CGAGCAGACGGACAGCAGACACAGC</t>
  </si>
  <si>
    <t xml:space="preserve">S192-03</t>
  </si>
  <si>
    <t xml:space="preserve">oxt_B1_P1_03</t>
  </si>
  <si>
    <t xml:space="preserve">GAGGAGGGCAGCAAACGGAACGGAGCGTTTTCCTCCGATGGGGCA</t>
  </si>
  <si>
    <t xml:space="preserve">oxt_B1_P2_03</t>
  </si>
  <si>
    <t xml:space="preserve">TACACTGTCGAATGGGCCAGTCCTGTAGAAGAGTCTTCCTTTACG</t>
  </si>
  <si>
    <t xml:space="preserve">B1_P1 (oxt)_2</t>
  </si>
  <si>
    <t xml:space="preserve">B1_P2 (oxt)_2</t>
  </si>
  <si>
    <t xml:space="preserve">CGGAGCGTTTTCCTCCGATGGGGCA</t>
  </si>
  <si>
    <t xml:space="preserve">TACACTGTCGAATGGGCCAGTCCTG</t>
  </si>
  <si>
    <t xml:space="preserve">S192-04</t>
  </si>
  <si>
    <t xml:space="preserve">oxt_B1_P1_04</t>
  </si>
  <si>
    <t xml:space="preserve">GAGGAGGGCAGCAAACGGAACTGAACGGAGCGTTTTCCTCCGATG</t>
  </si>
  <si>
    <t xml:space="preserve">oxt_B1_P2_04</t>
  </si>
  <si>
    <t xml:space="preserve">CGGCATACACTGTCGAATGGGCCAGTAGAAGAGTCTTCCTTTACG</t>
  </si>
  <si>
    <t xml:space="preserve">oxt_oxtr_oxtl_Gene1_B1_P1_2; oxt_oxtr_oxtl</t>
  </si>
  <si>
    <t xml:space="preserve">oxt_oxtr_oxtl_Gene1_B1_P2_2; oxt_oxtr_oxtl</t>
  </si>
  <si>
    <t xml:space="preserve">CTGAACGGAGCGTTTTCCTCCGATG</t>
  </si>
  <si>
    <t xml:space="preserve">CGGCATACACTGTCGAATGGGCCAG</t>
  </si>
  <si>
    <t xml:space="preserve">S192-05</t>
  </si>
  <si>
    <t xml:space="preserve">oxt_B1_P1_05</t>
  </si>
  <si>
    <t xml:space="preserve">GAGGAGGGCAGCAAACGGAACTGGGGCCGAAACAGCGTCCGCGGT</t>
  </si>
  <si>
    <t xml:space="preserve">oxt_B1_P2_05</t>
  </si>
  <si>
    <t xml:space="preserve">CAGCCGATGCCTTCACCACAGCAGATAGAAGAGTCTTCCTTTACG</t>
  </si>
  <si>
    <t xml:space="preserve">B1_P1 (oxt)_3</t>
  </si>
  <si>
    <t xml:space="preserve">B1_P2 (oxt)_3</t>
  </si>
  <si>
    <t xml:space="preserve">CTGGGGCCGAAACAGCGTCCGCGGT</t>
  </si>
  <si>
    <t xml:space="preserve">CAGCCGATGCCTTCACCACAGCAGA</t>
  </si>
  <si>
    <t xml:space="preserve">S192-06</t>
  </si>
  <si>
    <t xml:space="preserve">oxt_B1_P1_06</t>
  </si>
  <si>
    <t xml:space="preserve">GAGGAGGGCAGCAAACGGAATCACCACAGCAGATACTGGGGCCGA</t>
  </si>
  <si>
    <t xml:space="preserve">oxt_B1_P2_06</t>
  </si>
  <si>
    <t xml:space="preserve">GGAGAGCCGACCAAGCAGCCGATGCTAGAAGAGTCTTCCTTTACG</t>
  </si>
  <si>
    <t xml:space="preserve">oxt_oxtr_oxtl_Gene1_B1_P1_3; oxt_oxtr_oxtl</t>
  </si>
  <si>
    <t xml:space="preserve">oxt_oxtr_oxtl_Gene1_B1_P2_3; oxt_oxtr_oxtl</t>
  </si>
  <si>
    <t xml:space="preserve">TCACCACAGCAGATACTGGGGCCGA</t>
  </si>
  <si>
    <t xml:space="preserve">GGAGAGCCGACCAAGCAGCCGATGC</t>
  </si>
  <si>
    <t xml:space="preserve">S192-07</t>
  </si>
  <si>
    <t xml:space="preserve">oxt_B1_P1_07</t>
  </si>
  <si>
    <t xml:space="preserve">GAGGAGGGCAGCAAACGGAAATCCTCCTCCAGACAGCGCAGGGTT</t>
  </si>
  <si>
    <t xml:space="preserve">oxt_B1_P2_07</t>
  </si>
  <si>
    <t xml:space="preserve">AGACATCTCACACGGAGAAGGGAGATAGAAGAGTCTTCCTTTACG</t>
  </si>
  <si>
    <t xml:space="preserve">B1_P1 (oxt)_4</t>
  </si>
  <si>
    <t xml:space="preserve">B1_P2 (oxt)_4</t>
  </si>
  <si>
    <t xml:space="preserve">ATCCTCCTCCAGACAGCGCAGGGTT</t>
  </si>
  <si>
    <t xml:space="preserve">AGACATCTCACACGGAGAAGGGAGA</t>
  </si>
  <si>
    <t xml:space="preserve">S192-08</t>
  </si>
  <si>
    <t xml:space="preserve">oxt_B1_P1_08</t>
  </si>
  <si>
    <t xml:space="preserve">GAGGAGGGCAGCAAACGGAAACATCTCACACGGAGAAGGGAGAAA</t>
  </si>
  <si>
    <t xml:space="preserve">oxt_B1_P2_08</t>
  </si>
  <si>
    <t xml:space="preserve">GTCCCTCATAACCGCAGGCCTTTCCTAGAAGAGTCTTCCTTTACG</t>
  </si>
  <si>
    <t xml:space="preserve">oxt_oxtr_oxtl_Gene1_B1_P1_4; oxt_oxtr_oxtl</t>
  </si>
  <si>
    <t xml:space="preserve">oxt_oxtr_oxtl_Gene1_B1_P2_4; oxt_oxtr_oxtl</t>
  </si>
  <si>
    <t xml:space="preserve">ACATCTCACACGGAGAAGGGAGAAA</t>
  </si>
  <si>
    <t xml:space="preserve">GTCCCTCATAACCGCAGGCCTTTCC</t>
  </si>
  <si>
    <t xml:space="preserve">S192-09</t>
  </si>
  <si>
    <t xml:space="preserve">oxt_B1_P1_09</t>
  </si>
  <si>
    <t xml:space="preserve">GAGGAGGGCAGCAAACGGAACTCCAGGAGCAGCGCAGCGTCCCTC</t>
  </si>
  <si>
    <t xml:space="preserve">oxt_B1_P2_09</t>
  </si>
  <si>
    <t xml:space="preserve">CACTGCAGCCCTCCGAGTCGCAGCATAGAAGAGTCTTCCTTTACG</t>
  </si>
  <si>
    <t xml:space="preserve">B1_P1 (oxt)_5</t>
  </si>
  <si>
    <t xml:space="preserve">B1_P2 (oxt)_5</t>
  </si>
  <si>
    <t xml:space="preserve">CTCCAGGAGCAGCGCAGCGTCCCTC</t>
  </si>
  <si>
    <t xml:space="preserve">CACTGCAGCCCTCCGAGTCGCAGCA</t>
  </si>
  <si>
    <t xml:space="preserve">S192-10</t>
  </si>
  <si>
    <t xml:space="preserve">oxt_B1_P1_10</t>
  </si>
  <si>
    <t xml:space="preserve">GAGGAGGGCAGCAAACGGAACTGGTCCACACTGCAGCCCTCCGAG</t>
  </si>
  <si>
    <t xml:space="preserve">oxt_B1_P2_10</t>
  </si>
  <si>
    <t xml:space="preserve">AGCGTCAGCATCTCCGTCCACACACTAGAAGAGTCTTCCTTTACG</t>
  </si>
  <si>
    <t xml:space="preserve">oxt_oxtr_oxtl_Gene1_B1_P1_5; oxt_oxtr_oxtl</t>
  </si>
  <si>
    <t xml:space="preserve">oxt_oxtr_oxtl_Gene1_B1_P2_5; oxt_oxtr_oxtl</t>
  </si>
  <si>
    <t xml:space="preserve">CTGGTCCACACTGCAGCCCTCCGAG</t>
  </si>
  <si>
    <t xml:space="preserve">AGCGTCAGCATCTCCGTCCACACAC</t>
  </si>
  <si>
    <t xml:space="preserve">S192-11</t>
  </si>
  <si>
    <t xml:space="preserve">oxt_B1_P1_11</t>
  </si>
  <si>
    <t xml:space="preserve">GAGGAGGGCAGCAAACGGAAACAGCTGCAGCGTCAGCATCTCCGT</t>
  </si>
  <si>
    <t xml:space="preserve">oxt_B1_P2_11</t>
  </si>
  <si>
    <t xml:space="preserve">AGATCTGGGCTGTTGGCCGGTTGATTAGAAGAGTCTTCCTTTACG</t>
  </si>
  <si>
    <t xml:space="preserve">B1_P1 (oxt)_6</t>
  </si>
  <si>
    <t xml:space="preserve">B1_P2 (oxt)_6</t>
  </si>
  <si>
    <t xml:space="preserve">ACAGCTGCAGCGTCAGCATCTCCGT</t>
  </si>
  <si>
    <t xml:space="preserve">AGATCTGGGCTGTTGGCCGGTTGAT</t>
  </si>
  <si>
    <t xml:space="preserve">S192-12</t>
  </si>
  <si>
    <t xml:space="preserve">oxt_B1_P1_12</t>
  </si>
  <si>
    <t xml:space="preserve">GAGGAGGGCAGCAAACGGAATGCAGGAGCTTCAGCAGCAGATCTG</t>
  </si>
  <si>
    <t xml:space="preserve">oxt_B1_P2_12</t>
  </si>
  <si>
    <t xml:space="preserve">CTGGAGGGGTGGGTGTGGCTTGACATAGAAGAGTCTTCCTTTACG</t>
  </si>
  <si>
    <t xml:space="preserve">oxt_oxtr_oxtl_Gene1_B1_P1_6; oxt_oxtr_oxtl</t>
  </si>
  <si>
    <t xml:space="preserve">oxt_oxtr_oxtl_Gene1_B1_P2_6; oxt_oxtr_oxtl</t>
  </si>
  <si>
    <t xml:space="preserve">TGCAGGAGCTTCAGCAGCAGATCTG</t>
  </si>
  <si>
    <t xml:space="preserve">CTGGAGGGGTGGGTGTGGCTTGACA</t>
  </si>
  <si>
    <t xml:space="preserve">S193-01</t>
  </si>
  <si>
    <t xml:space="preserve">tph2_B1_P1_01</t>
  </si>
  <si>
    <t xml:space="preserve">GAGGAGGGCAGCAAACGGAATTGCTGGAGAACATCATCATGGCAG</t>
  </si>
  <si>
    <t xml:space="preserve">tph2_B1_P2_01</t>
  </si>
  <si>
    <t xml:space="preserve">AAAGATAGTCCTCTCCGAGCCCAGTTAGAAGAGTCTTCCTTTACG</t>
  </si>
  <si>
    <t xml:space="preserve">B1_P1 (tph2)_1</t>
  </si>
  <si>
    <t xml:space="preserve">B1_P2 (tph2)_1</t>
  </si>
  <si>
    <t xml:space="preserve">TTGCTGGAGAACATCATCATGGCAG</t>
  </si>
  <si>
    <t xml:space="preserve">AAAGATAGTCCTCTCCGAGCCCAGT</t>
  </si>
  <si>
    <t xml:space="preserve">S193-02</t>
  </si>
  <si>
    <t xml:space="preserve">tph2_B1_P1_02</t>
  </si>
  <si>
    <t xml:space="preserve">GAGGAGGGCAGCAAACGGAACATGGAGGATGCAAGGTGCTGTTGG</t>
  </si>
  <si>
    <t xml:space="preserve">tph2_B1_P2_02</t>
  </si>
  <si>
    <t xml:space="preserve">TATCCGATTAAAGGATGTCCTGCGGTAGAAGAGTCTTCCTTTACG</t>
  </si>
  <si>
    <t xml:space="preserve">B1_P1 (tph2)_2</t>
  </si>
  <si>
    <t xml:space="preserve">B1_P2 (tph2)_2</t>
  </si>
  <si>
    <t xml:space="preserve">CATGGAGGATGCAAGGTGCTGTTGG</t>
  </si>
  <si>
    <t xml:space="preserve">TATCCGATTAAAGGATGTCCTGCGG</t>
  </si>
  <si>
    <t xml:space="preserve">S193-03</t>
  </si>
  <si>
    <t xml:space="preserve">tph2_B1_P1_03</t>
  </si>
  <si>
    <t xml:space="preserve">GAGGAGGGCAGCAAACGGAAGGTCATGAGTGGATTTCTGTTCTTC</t>
  </si>
  <si>
    <t xml:space="preserve">tph2_B1_P2_03</t>
  </si>
  <si>
    <t xml:space="preserve">GAGAGAAAATCACTGCCAGCTTCCCTAGAAGAGTCTTCCTTTACG</t>
  </si>
  <si>
    <t xml:space="preserve">B1_P1 (tph2)_3</t>
  </si>
  <si>
    <t xml:space="preserve">B1_P2 (tph2)_3</t>
  </si>
  <si>
    <t xml:space="preserve">GGTCATGAGTGGATTTCTGTTCTTC</t>
  </si>
  <si>
    <t xml:space="preserve">GAGAGAAAATCACTGCCAGCTTCCC</t>
  </si>
  <si>
    <t xml:space="preserve">S193-04</t>
  </si>
  <si>
    <t xml:space="preserve">tph2_B1_P1_04</t>
  </si>
  <si>
    <t xml:space="preserve">GAGGAGGGCAGCAAACGGAAAAGAGCCTCAGCGCTTTCACCAGAA</t>
  </si>
  <si>
    <t xml:space="preserve">tph2_B1_P2_04</t>
  </si>
  <si>
    <t xml:space="preserve">TGCGCCAAATTCACATGCTTCTCCTTAGAAGAGTCTTCCTTTACG</t>
  </si>
  <si>
    <t xml:space="preserve">B1_P1 (tph2)_4</t>
  </si>
  <si>
    <t xml:space="preserve">B1_P2 (tph2)_4</t>
  </si>
  <si>
    <t xml:space="preserve">AAGAGCCTCAGCGCTTTCACCAGAA</t>
  </si>
  <si>
    <t xml:space="preserve">TGCGCCAAATTCACATGCTTCTCCT</t>
  </si>
  <si>
    <t xml:space="preserve">S193-05</t>
  </si>
  <si>
    <t xml:space="preserve">tph2_B1_P1_05</t>
  </si>
  <si>
    <t xml:space="preserve">GAGGAGGGCAGCAAACGGAACTCAATCTCATTGGTGAGTCTCTTT</t>
  </si>
  <si>
    <t xml:space="preserve">tph2_B1_P2_05</t>
  </si>
  <si>
    <t xml:space="preserve">CTTTGTGCAGTTGCATTCTGCATATTAGAAGAGTCTTCCTTTACG</t>
  </si>
  <si>
    <t xml:space="preserve">B1_P1 (tph2)_5</t>
  </si>
  <si>
    <t xml:space="preserve">B1_P2 (tph2)_5</t>
  </si>
  <si>
    <t xml:space="preserve">CTCAATCTCATTGGTGAGTCTCTTT</t>
  </si>
  <si>
    <t xml:space="preserve">CTTTGTGCAGTTGCATTCTGCATAT</t>
  </si>
  <si>
    <t xml:space="preserve">S193-06</t>
  </si>
  <si>
    <t xml:space="preserve">tph2_B1_P1_06</t>
  </si>
  <si>
    <t xml:space="preserve">GAGGAGGGCAGCAAACGGAATAACGTGGTCTTTGAGGTGTTGCAC</t>
  </si>
  <si>
    <t xml:space="preserve">tph2_B1_P2_06</t>
  </si>
  <si>
    <t xml:space="preserve">GTTGAGGTGTGTTATACGAGACAATTAGAAGAGTCTTCCTTTACG</t>
  </si>
  <si>
    <t xml:space="preserve">B1_P1 (tph2)_6</t>
  </si>
  <si>
    <t xml:space="preserve">B1_P2 (tph2)_6</t>
  </si>
  <si>
    <t xml:space="preserve">TAACGTGGTCTTTGAGGTGTTGCAC</t>
  </si>
  <si>
    <t xml:space="preserve">GTTGAGGTGTGTTATACGAGACAAT</t>
  </si>
  <si>
    <t xml:space="preserve">S193-07</t>
  </si>
  <si>
    <t xml:space="preserve">tph2_B1_P1_07</t>
  </si>
  <si>
    <t xml:space="preserve">GAGGAGGGCAGCAAACGGAAACACACACACAGTCCAAACAGTCGG</t>
  </si>
  <si>
    <t xml:space="preserve">tph2_B1_P2_07</t>
  </si>
  <si>
    <t xml:space="preserve">CCTTCCCCATCTGGCAATCCACCCATAGAAGAGTCTTCCTTTACG</t>
  </si>
  <si>
    <t xml:space="preserve">B1_P1 (tph2)_7</t>
  </si>
  <si>
    <t xml:space="preserve">B1_P2 (tph2)_7</t>
  </si>
  <si>
    <t xml:space="preserve">ACACACACACAGTCCAAACAGTCGG</t>
  </si>
  <si>
    <t xml:space="preserve">CCTTCCCCATCTGGCAATCCACCCA</t>
  </si>
  <si>
    <t xml:space="preserve">S193-08</t>
  </si>
  <si>
    <t xml:space="preserve">tph2_B1_P1_08</t>
  </si>
  <si>
    <t xml:space="preserve">GAGGAGGGCAGCAAACGGAAGCACTGATCCAGCTCTGAGATTTTT</t>
  </si>
  <si>
    <t xml:space="preserve">tph2_B1_P2_08</t>
  </si>
  <si>
    <t xml:space="preserve">AGAGCCATACATTAGCACTCTATGGTAGAAGAGTCTTCCTTTACG</t>
  </si>
  <si>
    <t xml:space="preserve">B1_P1 (tph2)_8</t>
  </si>
  <si>
    <t xml:space="preserve">B1_P2 (tph2)_8</t>
  </si>
  <si>
    <t xml:space="preserve">GCACTGATCCAGCTCTGAGATTTTT</t>
  </si>
  <si>
    <t xml:space="preserve">AGAGCCATACATTAGCACTCTATGG</t>
  </si>
  <si>
    <t xml:space="preserve">S194-01</t>
  </si>
  <si>
    <t xml:space="preserve">calb2a_B2_P1_01</t>
  </si>
  <si>
    <t xml:space="preserve">CCTCGTAAATCCTCATCAAACATTTCCGTCTGCATCAAAATGTTT</t>
  </si>
  <si>
    <t xml:space="preserve">calb2a_B2_P2_01</t>
  </si>
  <si>
    <t xml:space="preserve">TGTCAAGCTCCTTACCCTCGATGTAAAATCATCCAGTAAACCGCC</t>
  </si>
  <si>
    <t xml:space="preserve">B2_P1 (calb2a)_1</t>
  </si>
  <si>
    <t xml:space="preserve">B2_P2 (calb2a)_1</t>
  </si>
  <si>
    <t xml:space="preserve">CATTTCCGTCTGCATCAAAATGTTT</t>
  </si>
  <si>
    <t xml:space="preserve">TGTCAAGCTCCTTACCCTCGATGTA</t>
  </si>
  <si>
    <t xml:space="preserve">S194-02</t>
  </si>
  <si>
    <t xml:space="preserve">calb2a_B2_P1_02</t>
  </si>
  <si>
    <t xml:space="preserve">CCTCGTAAATCCTCATCAAAACACCAGCTCCTCTCCTCGCAATCT</t>
  </si>
  <si>
    <t xml:space="preserve">calb2a_B2_P2_02</t>
  </si>
  <si>
    <t xml:space="preserve">CCCTTAAAGGCTGCATTTGAGGGATAAATCATCCAGTAAACCGCC</t>
  </si>
  <si>
    <t xml:space="preserve">B2_P1 (calb2a)_2</t>
  </si>
  <si>
    <t xml:space="preserve">B2_P2 (calb2a)_2</t>
  </si>
  <si>
    <t xml:space="preserve">ACACCAGCTCCTCTCCTCGCAATCT</t>
  </si>
  <si>
    <t xml:space="preserve">CCCTTAAAGGCTGCATTTGAGGGAT</t>
  </si>
  <si>
    <t xml:space="preserve">S194-03</t>
  </si>
  <si>
    <t xml:space="preserve">calb2a_B2_P1_03</t>
  </si>
  <si>
    <t xml:space="preserve">CCTCGTAAATCCTCATCAAAATCTTTGTTCTTGTCGAATTTCTGC</t>
  </si>
  <si>
    <t xml:space="preserve">calb2a_B2_P2_03</t>
  </si>
  <si>
    <t xml:space="preserve">AGCCAGCTCTGACATCTCAATTCTTAAATCATCCAGTAAACCGCC</t>
  </si>
  <si>
    <t xml:space="preserve">B2_P1 (calb2a)_3</t>
  </si>
  <si>
    <t xml:space="preserve">B2_P2 (calb2a)_3</t>
  </si>
  <si>
    <t xml:space="preserve">ATCTTTGTTCTTGTCGAATTTCTGC</t>
  </si>
  <si>
    <t xml:space="preserve">AGCCAGCTCTGACATCTCAATTCTT</t>
  </si>
  <si>
    <t xml:space="preserve">S194-04</t>
  </si>
  <si>
    <t xml:space="preserve">calb2a_B2_P1_04</t>
  </si>
  <si>
    <t xml:space="preserve">CCTCGTAAATCCTCATCAAAGTCTGAAGCAGAGGAGAAAGTTCTC</t>
  </si>
  <si>
    <t xml:space="preserve">calb2a_B2_P2_04</t>
  </si>
  <si>
    <t xml:space="preserve">TGAATTCGGTGCTGGATCCCACAAAAAATCATCCAGTAAACCGCC</t>
  </si>
  <si>
    <t xml:space="preserve">B2_P1 (calb2a)_4</t>
  </si>
  <si>
    <t xml:space="preserve">B2_P2 (calb2a)_4</t>
  </si>
  <si>
    <t xml:space="preserve">GTCTGAAGCAGAGGAGAAAGTTCTC</t>
  </si>
  <si>
    <t xml:space="preserve">TGAATTCGGTGCTGGATCCCACAAA</t>
  </si>
  <si>
    <t xml:space="preserve">S194-05</t>
  </si>
  <si>
    <t xml:space="preserve">calb2a_B2_P1_05</t>
  </si>
  <si>
    <t xml:space="preserve">CCTCGTAAATCCTCATCAAAATGAAACCGCTGCGGTCTGTATCGT</t>
  </si>
  <si>
    <t xml:space="preserve">calb2a_B2_P2_05</t>
  </si>
  <si>
    <t xml:space="preserve">AGGAAGCCCTTAAGTTCATTAGCCTAAATCATCCAGTAAACCGCC</t>
  </si>
  <si>
    <t xml:space="preserve">B2_P1 (calb2a)_5</t>
  </si>
  <si>
    <t xml:space="preserve">B2_P2 (calb2a)_5</t>
  </si>
  <si>
    <t xml:space="preserve">ATGAAACCGCTGCGGTCTGTATCGT</t>
  </si>
  <si>
    <t xml:space="preserve">AGGAAGCCCTTAAGTTCATTAGCCT</t>
  </si>
  <si>
    <t xml:space="preserve">S194-06</t>
  </si>
  <si>
    <t xml:space="preserve">calb2a_B2_P1_06</t>
  </si>
  <si>
    <t xml:space="preserve">CCTCGTAAATCCTCATCAAACTGGTCGTCGTAATGTCTGTTTGCC</t>
  </si>
  <si>
    <t xml:space="preserve">calb2a_B2_P2_06</t>
  </si>
  <si>
    <t xml:space="preserve">TATTGTTTGTGTATATTCCTGCAATAAATCATCCAGTAAACCGCC</t>
  </si>
  <si>
    <t xml:space="preserve">B2_P1 (calb2a)_6</t>
  </si>
  <si>
    <t xml:space="preserve">B2_P2 (calb2a)_6</t>
  </si>
  <si>
    <t xml:space="preserve">CTGGTCGTCGTAATGTCTGTTTGCC</t>
  </si>
  <si>
    <t xml:space="preserve">TATTGTTTGTGTATATTCCTGCAAT</t>
  </si>
  <si>
    <t xml:space="preserve">S195-01</t>
  </si>
  <si>
    <t xml:space="preserve">chrm3a_B2_P1_01</t>
  </si>
  <si>
    <t xml:space="preserve">CCTCGTAAATCCTCATCAAATAGGATTGACCTTCAGCCTCAGCAT</t>
  </si>
  <si>
    <t xml:space="preserve">chrm3a_B2_P2_01</t>
  </si>
  <si>
    <t xml:space="preserve">CAGAGCGAGTGTCCACCCAGAGGATAAATCATCCAGTAAACCGCC</t>
  </si>
  <si>
    <t xml:space="preserve">B2_P1 (chrm3a)_1</t>
  </si>
  <si>
    <t xml:space="preserve">B2_P2 (chrm3a)_1</t>
  </si>
  <si>
    <t xml:space="preserve">TAGGATTGACCTTCAGCCTCAGCAT</t>
  </si>
  <si>
    <t xml:space="preserve">CAGAGCGAGTGTCCACCCAGAGGAT</t>
  </si>
  <si>
    <t xml:space="preserve">S195-02</t>
  </si>
  <si>
    <t xml:space="preserve">chrm3a_B2_P1_02</t>
  </si>
  <si>
    <t xml:space="preserve">CCTCGTAAATCCTCATCAAAAAGGGAAAGCAGGCCTGTAAAGACA</t>
  </si>
  <si>
    <t xml:space="preserve">chrm3a_B2_P2_02</t>
  </si>
  <si>
    <t xml:space="preserve">GACCAAGATGTTGCCGATAATAGTAAAATCATCCAGTAAACCGCC</t>
  </si>
  <si>
    <t xml:space="preserve">B2_P1 (chrm3a)_2</t>
  </si>
  <si>
    <t xml:space="preserve">B2_P2 (chrm3a)_2</t>
  </si>
  <si>
    <t xml:space="preserve">AAGGGAAAGCAGGCCTGTAAAGACA</t>
  </si>
  <si>
    <t xml:space="preserve">GACCAAGATGTTGCCGATAATAGTA</t>
  </si>
  <si>
    <t xml:space="preserve">S195-03</t>
  </si>
  <si>
    <t xml:space="preserve">chrm3a_B2_P1_03</t>
  </si>
  <si>
    <t xml:space="preserve">CCTCGTAAATCCTCATCAAATGTTAACTGTTTTGAGCTGTCGGTT</t>
  </si>
  <si>
    <t xml:space="preserve">chrm3a_B2_P2_03</t>
  </si>
  <si>
    <t xml:space="preserve">CCACGGCTAAGCTGAGTAGGAAGTAAAATCATCCAGTAAACCGCC</t>
  </si>
  <si>
    <t xml:space="preserve">B2_P1 (chrm3a)_3</t>
  </si>
  <si>
    <t xml:space="preserve">B2_P2 (chrm3a)_3</t>
  </si>
  <si>
    <t xml:space="preserve">TGTTAACTGTTTTGAGCTGTCGGTT</t>
  </si>
  <si>
    <t xml:space="preserve">CCACGGCTAAGCTGAGTAGGAAGTA</t>
  </si>
  <si>
    <t xml:space="preserve">S195-04</t>
  </si>
  <si>
    <t xml:space="preserve">chrm3a_B2_P1_04</t>
  </si>
  <si>
    <t xml:space="preserve">CCTCGTAAATCCTCATCAAAGCAGTGTACAGGTTCATAGAGATGA</t>
  </si>
  <si>
    <t xml:space="preserve">chrm3a_B2_P2_04</t>
  </si>
  <si>
    <t xml:space="preserve">ATCGCCCACTGGCCCATGACGATGTAAATCATCCAGTAAACCGCC</t>
  </si>
  <si>
    <t xml:space="preserve">B2_P1 (chrm3a)_4</t>
  </si>
  <si>
    <t xml:space="preserve">B2_P2 (chrm3a)_4</t>
  </si>
  <si>
    <t xml:space="preserve">GCAGTGTACAGGTTCATAGAGATGA</t>
  </si>
  <si>
    <t xml:space="preserve">ATCGCCCACTGGCCCATGACGATGT</t>
  </si>
  <si>
    <t xml:space="preserve">S195-05</t>
  </si>
  <si>
    <t xml:space="preserve">chrm3a_B2_P1_05</t>
  </si>
  <si>
    <t xml:space="preserve">CCTCGTAAATCCTCATCAAATACGTAGTCTATGGCTAGCCAGAGG</t>
  </si>
  <si>
    <t xml:space="preserve">chrm3a_B2_P2_05</t>
  </si>
  <si>
    <t xml:space="preserve">CAGATTCATGACAGATGCATTGCTGAAATCATCCAGTAAACCGCC</t>
  </si>
  <si>
    <t xml:space="preserve">B2_P1 (chrm3a)_5</t>
  </si>
  <si>
    <t xml:space="preserve">B2_P2 (chrm3a)_5</t>
  </si>
  <si>
    <t xml:space="preserve">TACGTAGTCTATGGCTAGCCAGAGG</t>
  </si>
  <si>
    <t xml:space="preserve">CAGATTCATGACAGATGCATTGCTG</t>
  </si>
  <si>
    <t xml:space="preserve">S195-06</t>
  </si>
  <si>
    <t xml:space="preserve">chrm3a_B2_P1_06</t>
  </si>
  <si>
    <t xml:space="preserve">CCTCGTAAATCCTCATCAAAGAGGCCTCGTAATGGAGAAATATCG</t>
  </si>
  <si>
    <t xml:space="preserve">chrm3a_B2_P2_06</t>
  </si>
  <si>
    <t xml:space="preserve">TGGTGGTGCGTTTGGCACGGTACGTAAATCATCCAGTAAACCGCC</t>
  </si>
  <si>
    <t xml:space="preserve">B2_P1 (chrm3a)_6</t>
  </si>
  <si>
    <t xml:space="preserve">B2_P2 (chrm3a)_6</t>
  </si>
  <si>
    <t xml:space="preserve">GAGGCCTCGTAATGGAGAAATATCG</t>
  </si>
  <si>
    <t xml:space="preserve">TGGTGGTGCGTTTGGCACGGTACGT</t>
  </si>
  <si>
    <t xml:space="preserve">S195-07</t>
  </si>
  <si>
    <t xml:space="preserve">chrm3a_B2_P1_07</t>
  </si>
  <si>
    <t xml:space="preserve">CCTCGTAAATCCTCATCAAAAGTGACACAAACCATGCCAGGCCAA</t>
  </si>
  <si>
    <t xml:space="preserve">chrm3a_B2_P2_07</t>
  </si>
  <si>
    <t xml:space="preserve">AACAAAATGGCAGGTGCCCAAAGAAAAATCATCCAGTAAACCGCC</t>
  </si>
  <si>
    <t xml:space="preserve">B2_P1 (chrm3a)_7</t>
  </si>
  <si>
    <t xml:space="preserve">B2_P2 (chrm3a)_7</t>
  </si>
  <si>
    <t xml:space="preserve">AGTGACACAAACCATGCCAGGCCAA</t>
  </si>
  <si>
    <t xml:space="preserve">AACAAAATGGCAGGTGCCCAAAGAA</t>
  </si>
  <si>
    <t xml:space="preserve">S195-08</t>
  </si>
  <si>
    <t xml:space="preserve">chrm3a_B2_P1_08</t>
  </si>
  <si>
    <t xml:space="preserve">CCTCGTAAATCCTCATCAAATTTATCCTGTGGAACAGTTCTTTGT</t>
  </si>
  <si>
    <t xml:space="preserve">chrm3a_B2_P2_08</t>
  </si>
  <si>
    <t xml:space="preserve">AGGCTCGGAGAGAAACTGAATGTAGAAATCATCCAGTAAACCGCC</t>
  </si>
  <si>
    <t xml:space="preserve">B2_P1 (chrm3a)_8</t>
  </si>
  <si>
    <t xml:space="preserve">B2_P2 (chrm3a)_8</t>
  </si>
  <si>
    <t xml:space="preserve">TTTATCCTGTGGAACAGTTCTTTGT</t>
  </si>
  <si>
    <t xml:space="preserve">AGGCTCGGAGAGAAACTGAATGTAG</t>
  </si>
  <si>
    <t xml:space="preserve">S196-01</t>
  </si>
  <si>
    <t xml:space="preserve">chrna3_B2_P1_01</t>
  </si>
  <si>
    <t xml:space="preserve">CCTCGTAAATCCTCATCAAACCAAAGATTGGTCTCCATAATCTGG</t>
  </si>
  <si>
    <t xml:space="preserve">chrna3_B2_P2_01</t>
  </si>
  <si>
    <t xml:space="preserve">CTTATAGTCATTCCAAATGTGTCTCAAATCATCCAGTAAACCGCC</t>
  </si>
  <si>
    <t xml:space="preserve">B2_P1 (chrna3)_1</t>
  </si>
  <si>
    <t xml:space="preserve">B2_P2 (chrna3)_1</t>
  </si>
  <si>
    <t xml:space="preserve">CCAAAGATTGGTCTCCATAATCTGG</t>
  </si>
  <si>
    <t xml:space="preserve">CTTATAGTCATTCCAAATGTGTCTC</t>
  </si>
  <si>
    <t xml:space="preserve">S196-02</t>
  </si>
  <si>
    <t xml:space="preserve">chrna3_B2_P1_02</t>
  </si>
  <si>
    <t xml:space="preserve">CCTCGTAAATCCTCATCAAAGGATGAACTCAACACCTCCAAAATC</t>
  </si>
  <si>
    <t xml:space="preserve">chrna3_B2_P2_02</t>
  </si>
  <si>
    <t xml:space="preserve">GCTTCCAAATCTTGTTGGACGGCACAAATCATCCAGTAAACCGCC</t>
  </si>
  <si>
    <t xml:space="preserve">B2_P1 (chrna3)_2</t>
  </si>
  <si>
    <t xml:space="preserve">B2_P2 (chrna3)_2</t>
  </si>
  <si>
    <t xml:space="preserve">GGATGAACTCAACACCTCCAAAATC</t>
  </si>
  <si>
    <t xml:space="preserve">GCTTCCAAATCTTGTTGGACGGCAC</t>
  </si>
  <si>
    <t xml:space="preserve">S196-03</t>
  </si>
  <si>
    <t xml:space="preserve">chrna3_B2_P1_03</t>
  </si>
  <si>
    <t xml:space="preserve">CCTCGTAAATCCTCATCAAAACCTGGAAATCTCCCACCGCATTGT</t>
  </si>
  <si>
    <t xml:space="preserve">chrna3_B2_P2_03</t>
  </si>
  <si>
    <t xml:space="preserve">CGCAGAAGGGCTTTGGTTTTATCGTAAATCATCCAGTAAACCGCC</t>
  </si>
  <si>
    <t xml:space="preserve">B2_P1 (chrna3)_3</t>
  </si>
  <si>
    <t xml:space="preserve">B2_P2 (chrna3)_3</t>
  </si>
  <si>
    <t xml:space="preserve">ACCTGGAAATCTCCCACCGCATTGT</t>
  </si>
  <si>
    <t xml:space="preserve">CGCAGAAGGGCTTTGGTTTTATCGT</t>
  </si>
  <si>
    <t xml:space="preserve">S196-04</t>
  </si>
  <si>
    <t xml:space="preserve">chrna3_B2_P1_04</t>
  </si>
  <si>
    <t xml:space="preserve">CCTCGTAAATCCTCATCAAACTTGAAGATGGCCGGTGGGATCCAG</t>
  </si>
  <si>
    <t xml:space="preserve">chrna3_B2_P2_04</t>
  </si>
  <si>
    <t xml:space="preserve">GTAGGTGACGTCGATCTTGCAGGAGAAATCATCCAGTAAACCGCC</t>
  </si>
  <si>
    <t xml:space="preserve">B2_P1 (chrna3)_4</t>
  </si>
  <si>
    <t xml:space="preserve">B2_P2 (chrna3)_4</t>
  </si>
  <si>
    <t xml:space="preserve">CTTGAAGATGGCCGGTGGGATCCAG</t>
  </si>
  <si>
    <t xml:space="preserve">GTAGGTGACGTCGATCTTGCAGGAG</t>
  </si>
  <si>
    <t xml:space="preserve">S196-05</t>
  </si>
  <si>
    <t xml:space="preserve">chrna3_B2_P1_05</t>
  </si>
  <si>
    <t xml:space="preserve">CCTCGTAAATCCTCATCAAAACGAGCCAAACTTCATGGTGCAGTT</t>
  </si>
  <si>
    <t xml:space="preserve">chrna3_B2_P2_05</t>
  </si>
  <si>
    <t xml:space="preserve">GGTCGATCTTGGCCTTGTCGTAGGTAAATCATCCAGTAAACCGCC</t>
  </si>
  <si>
    <t xml:space="preserve">B2_P1 (chrna3)_5</t>
  </si>
  <si>
    <t xml:space="preserve">B2_P2 (chrna3)_5</t>
  </si>
  <si>
    <t xml:space="preserve">ACGAGCCAAACTTCATGGTGCAGTT</t>
  </si>
  <si>
    <t xml:space="preserve">GGTCGATCTTGGCCTTGTCGTAGGT</t>
  </si>
  <si>
    <t xml:space="preserve">S196-06</t>
  </si>
  <si>
    <t xml:space="preserve">chrna3_B2_P1_06</t>
  </si>
  <si>
    <t xml:space="preserve">CCTCGTAAATCCTCATCAAATCCCAGAAGTCCTTCAGGTTGATGG</t>
  </si>
  <si>
    <t xml:space="preserve">chrna3_B2_P2_06</t>
  </si>
  <si>
    <t xml:space="preserve">GCGTCGATGATCGTCCATTCTCCGCAAATCATCCAGTAAACCGCC</t>
  </si>
  <si>
    <t xml:space="preserve">B2_P1 (chrna3)_6</t>
  </si>
  <si>
    <t xml:space="preserve">B2_P2 (chrna3)_6</t>
  </si>
  <si>
    <t xml:space="preserve">TCCCAGAAGTCCTTCAGGTTGATGG</t>
  </si>
  <si>
    <t xml:space="preserve">GCGTCGATGATCGTCCATTCTCCGC</t>
  </si>
  <si>
    <t xml:space="preserve">S196-07</t>
  </si>
  <si>
    <t xml:space="preserve">chrna3_B2_P1_07</t>
  </si>
  <si>
    <t xml:space="preserve">CCTCGTAAATCCTCATCAAACTCCTCACAGCAGTTGTATTTAATG</t>
  </si>
  <si>
    <t xml:space="preserve">chrna3_B2_P2_07</t>
  </si>
  <si>
    <t xml:space="preserve">CAGTGAATACGTGATGTCCGTGTAGAAATCATCCAGTAAACCGCC</t>
  </si>
  <si>
    <t xml:space="preserve">B2_P1 (chrna3)_7</t>
  </si>
  <si>
    <t xml:space="preserve">B2_P2 (chrna3)_7</t>
  </si>
  <si>
    <t xml:space="preserve">CTCCTCACAGCAGTTGTATTTAATG</t>
  </si>
  <si>
    <t xml:space="preserve">CAGTGAATACGTGATGTCCGTGTAG</t>
  </si>
  <si>
    <t xml:space="preserve">S196-08</t>
  </si>
  <si>
    <t xml:space="preserve">chrna3_B2_P1_08</t>
  </si>
  <si>
    <t xml:space="preserve">CCTCGTAAATCCTCATCAAATGATCATGTTGATGGTGTAGAAGAG</t>
  </si>
  <si>
    <t xml:space="preserve">chrna3_B2_P2_08</t>
  </si>
  <si>
    <t xml:space="preserve">TCAGGAAGGAGATGAGAAGACAGGGAAATCATCCAGTAAACCGCC</t>
  </si>
  <si>
    <t xml:space="preserve">B2_P1 (chrna3)_8</t>
  </si>
  <si>
    <t xml:space="preserve">B2_P2 (chrna3)_8</t>
  </si>
  <si>
    <t xml:space="preserve">TGATCATGTTGATGGTGTAGAAGAG</t>
  </si>
  <si>
    <t xml:space="preserve">TCAGGAAGGAGATGAGAAGACAGGG</t>
  </si>
  <si>
    <t xml:space="preserve">S197-01</t>
  </si>
  <si>
    <t xml:space="preserve">chrnb4_B2_P1_01</t>
  </si>
  <si>
    <t xml:space="preserve">CCTCGTAAATCCTCATCAAATTCATTCACACTGATGAGCTGGGCC</t>
  </si>
  <si>
    <t xml:space="preserve">chrnb4_B2_P2_01</t>
  </si>
  <si>
    <t xml:space="preserve">GACGTTTGTGGTCATGATCTGCTCTAAATCATCCAGTAAACCGCC</t>
  </si>
  <si>
    <t xml:space="preserve">B2_P1 (Chrnb4)_1</t>
  </si>
  <si>
    <t xml:space="preserve">B2_P2 (Chrnb4)_1</t>
  </si>
  <si>
    <t xml:space="preserve">TTCATTCACACTGATGAGCTGGGCC</t>
  </si>
  <si>
    <t xml:space="preserve">GACGTTTGTGGTCATGATCTGCTCT</t>
  </si>
  <si>
    <t xml:space="preserve">S197-02</t>
  </si>
  <si>
    <t xml:space="preserve">chrnb4_B2_P1_02</t>
  </si>
  <si>
    <t xml:space="preserve">CCTCGTAAATCCTCATCAAAGGTCCCACGACAGGCGATAATCGTT</t>
  </si>
  <si>
    <t xml:space="preserve">chrnb4_B2_P2_02</t>
  </si>
  <si>
    <t xml:space="preserve">GCTTGTCGATGCCCTCGTACTCCGCAAATCATCCAGTAAACCGCC</t>
  </si>
  <si>
    <t xml:space="preserve">B2_P1 (Chrnb4)_2</t>
  </si>
  <si>
    <t xml:space="preserve">B2_P2 (Chrnb4)_2</t>
  </si>
  <si>
    <t xml:space="preserve">GGTCCCACGACAGGCGATAATCGTT</t>
  </si>
  <si>
    <t xml:space="preserve">GCTTGTCGATGCCCTCGTACTCCGC</t>
  </si>
  <si>
    <t xml:space="preserve">S197-03</t>
  </si>
  <si>
    <t xml:space="preserve">chrnb4_B2_P1_03</t>
  </si>
  <si>
    <t xml:space="preserve">CCTCGTAAATCCTCATCAAAAGCACTATATCAGGCAGCCAGATGT</t>
  </si>
  <si>
    <t xml:space="preserve">chrnb4_B2_P2_03</t>
  </si>
  <si>
    <t xml:space="preserve">TCGTACGTCCCGTCAGCATTGTTGTAAATCATCCAGTAAACCGCC</t>
  </si>
  <si>
    <t xml:space="preserve">B2_P1 (Chrnb4)_3</t>
  </si>
  <si>
    <t xml:space="preserve">B2_P2 (Chrnb4)_3</t>
  </si>
  <si>
    <t xml:space="preserve">AGCACTATATCAGGCAGCCAGATGT</t>
  </si>
  <si>
    <t xml:space="preserve">TCGTACGTCCCGTCAGCATTGTTGT</t>
  </si>
  <si>
    <t xml:space="preserve">S197-04</t>
  </si>
  <si>
    <t xml:space="preserve">chrnb4_B2_P1_04</t>
  </si>
  <si>
    <t xml:space="preserve">CCTCGTAAATCCTCATCAAAGCTGCCGTTGAAGAGCACGATGGCG</t>
  </si>
  <si>
    <t xml:space="preserve">chrnb4_B2_P2_04</t>
  </si>
  <si>
    <t xml:space="preserve">GTAGATGGCCGGCGGGAGCCACGCGAAATCATCCAGTAAACCGCC</t>
  </si>
  <si>
    <t xml:space="preserve">B2_P1 (Chrnb4)_4</t>
  </si>
  <si>
    <t xml:space="preserve">B2_P2 (Chrnb4)_4</t>
  </si>
  <si>
    <t xml:space="preserve">GCTGCCGTTGAAGAGCACGATGGCG</t>
  </si>
  <si>
    <t xml:space="preserve">GTAGATGGCCGGCGGGAGCCACGCG</t>
  </si>
  <si>
    <t xml:space="preserve">S197-05</t>
  </si>
  <si>
    <t xml:space="preserve">chrnb4_B2_P1_05</t>
  </si>
  <si>
    <t xml:space="preserve">CCTCGTAAATCCTCATCAAAGGTCGAAGGGAAAGTGCTTGACCTC</t>
  </si>
  <si>
    <t xml:space="preserve">chrnb4_B2_P2_05</t>
  </si>
  <si>
    <t xml:space="preserve">AGCGGAACTTGAGCGTGCAGTTCTGAAATCATCCAGTAAACCGCC</t>
  </si>
  <si>
    <t xml:space="preserve">B2_P1 (Chrnb4)_5</t>
  </si>
  <si>
    <t xml:space="preserve">B2_P2 (Chrnb4)_5</t>
  </si>
  <si>
    <t xml:space="preserve">GGTCGAAGGGAAAGTGCTTGACCTC</t>
  </si>
  <si>
    <t xml:space="preserve">AGCGGAACTTGAGCGTGCAGTTCTG</t>
  </si>
  <si>
    <t xml:space="preserve">S197-06</t>
  </si>
  <si>
    <t xml:space="preserve">chrnb4_B2_P1_06</t>
  </si>
  <si>
    <t xml:space="preserve">CCTCGTAAATCCTCATCAAAGACTTCAGCAGCAGGTCGATCTCGG</t>
  </si>
  <si>
    <t xml:space="preserve">chrnb4_B2_P2_06</t>
  </si>
  <si>
    <t xml:space="preserve">GTGAAGTCGTCCATGCTGGCGGCGTAAATCATCCAGTAAACCGCC</t>
  </si>
  <si>
    <t xml:space="preserve">B2_P1 (Chrnb4)_6</t>
  </si>
  <si>
    <t xml:space="preserve">B2_P2 (Chrnb4)_6</t>
  </si>
  <si>
    <t xml:space="preserve">GACTTCAGCAGCAGGTCGATCTCGG</t>
  </si>
  <si>
    <t xml:space="preserve">GTGAAGTCGTCCATGCTGGCGGCGT</t>
  </si>
  <si>
    <t xml:space="preserve">S197-07</t>
  </si>
  <si>
    <t xml:space="preserve">chrnb4_B2_P1_07</t>
  </si>
  <si>
    <t xml:space="preserve">CCTCGTAAATCCTCATCAAATCGACGGCCTGGCAGCGCCAGGATG</t>
  </si>
  <si>
    <t xml:space="preserve">chrnb4_B2_P2_07</t>
  </si>
  <si>
    <t xml:space="preserve">GTACGTGGCGTCCAGCGGGCTGACCAAATCATCCAGTAAACCGCC</t>
  </si>
  <si>
    <t xml:space="preserve">B2_P1 (Chrnb4)_7</t>
  </si>
  <si>
    <t xml:space="preserve">B2_P2 (Chrnb4)_7</t>
  </si>
  <si>
    <t xml:space="preserve">TCGACGGCCTGGCAGCGCCAGGATG</t>
  </si>
  <si>
    <t xml:space="preserve">GTACGTGGCGTCCAGCGGGCTGACC</t>
  </si>
  <si>
    <t xml:space="preserve">S197-08</t>
  </si>
  <si>
    <t xml:space="preserve">chrnb4_B2_P1_08</t>
  </si>
  <si>
    <t xml:space="preserve">CCTCGTAAATCCTCATCAAAACAGCGGCTTCCTCTTGATGATGAA</t>
  </si>
  <si>
    <t xml:space="preserve">chrnb4_B2_P2_08</t>
  </si>
  <si>
    <t xml:space="preserve">ACGGGATGATCAGGTTGATGGTGTAAAATCATCCAGTAAACCGCC</t>
  </si>
  <si>
    <t xml:space="preserve">B2_P1 (Chrnb4)_8</t>
  </si>
  <si>
    <t xml:space="preserve">B2_P2 (Chrnb4)_8</t>
  </si>
  <si>
    <t xml:space="preserve">ACAGCGGCTTCCTCTTGATGATGAA</t>
  </si>
  <si>
    <t xml:space="preserve">ACGGGATGATCAGGTTGATGGTGTA</t>
  </si>
  <si>
    <t xml:space="preserve">S198-01</t>
  </si>
  <si>
    <t xml:space="preserve">foxb1a_B2_P1_01</t>
  </si>
  <si>
    <t xml:space="preserve">CCTCGTAAATCCTCATCAAACAGCGCTGGGTGTTTTCCCGGTAGT</t>
  </si>
  <si>
    <t xml:space="preserve">foxb1a_B2_P2_01</t>
  </si>
  <si>
    <t xml:space="preserve">GAGAGGTTGTGGCGGAGGGAGTTCTAAATCATCCAGTAAACCGCC</t>
  </si>
  <si>
    <t xml:space="preserve">B2_P1 (foxb1a)_1</t>
  </si>
  <si>
    <t xml:space="preserve">B2_P2 (foxb1a)_1</t>
  </si>
  <si>
    <t xml:space="preserve">CAGCGCTGGGTGTTTTCCCGGTAGT</t>
  </si>
  <si>
    <t xml:space="preserve">GAGAGGTTGTGGCGGAGGGAGTTCT</t>
  </si>
  <si>
    <t xml:space="preserve">S198-02</t>
  </si>
  <si>
    <t xml:space="preserve">foxb1a_B2_P1_02</t>
  </si>
  <si>
    <t xml:space="preserve">CCTCGTAAATCCTCATCAAACTGGTCCGGGCGCCGGGGGATTTTA</t>
  </si>
  <si>
    <t xml:space="preserve">foxb1a_B2_P2_02</t>
  </si>
  <si>
    <t xml:space="preserve">GAGCGCCCAGAAACTACCCTTCCCGAAATCATCCAGTAAACCGCC</t>
  </si>
  <si>
    <t xml:space="preserve">B2_P1 (foxb1a)_2</t>
  </si>
  <si>
    <t xml:space="preserve">B2_P2 (foxb1a)_2</t>
  </si>
  <si>
    <t xml:space="preserve">CTGGTCCGGGCGCCGGGGGATTTTA</t>
  </si>
  <si>
    <t xml:space="preserve">GAGCGCCCAGAAACTACCCTTCCCG</t>
  </si>
  <si>
    <t xml:space="preserve">S198-03</t>
  </si>
  <si>
    <t xml:space="preserve">foxb1a_B2_P1_03</t>
  </si>
  <si>
    <t xml:space="preserve">CCTCGTAAATCCTCATCAAAGCAGGAAACTACCGTTCTCGAACAT</t>
  </si>
  <si>
    <t xml:space="preserve">foxb1a_B2_P2_03</t>
  </si>
  <si>
    <t xml:space="preserve">TCATCACCTTGAAGCGTTTGCGGCGAAATCATCCAGTAAACCGCC</t>
  </si>
  <si>
    <t xml:space="preserve">B2_P1 (foxb1a)_3</t>
  </si>
  <si>
    <t xml:space="preserve">B2_P2 (foxb1a)_3</t>
  </si>
  <si>
    <t xml:space="preserve">GCAGGAAACTACCGTTCTCGAACAT</t>
  </si>
  <si>
    <t xml:space="preserve">TCATCACCTTGAAGCGTTTGCGGCG</t>
  </si>
  <si>
    <t xml:space="preserve">S198-04</t>
  </si>
  <si>
    <t xml:space="preserve">foxb1a_B2_P1_04</t>
  </si>
  <si>
    <t xml:space="preserve">CCTCGTAAATCCTCATCAAATGGGCAGCGTCTGAGGGCTTGCTGG</t>
  </si>
  <si>
    <t xml:space="preserve">foxb1a_B2_P2_04</t>
  </si>
  <si>
    <t xml:space="preserve">CGGAGCTTGGCGTGCTGCTGGAGGTAAATCATCCAGTAAACCGCC</t>
  </si>
  <si>
    <t xml:space="preserve">B2_P1 (foxb1a)_4</t>
  </si>
  <si>
    <t xml:space="preserve">B2_P2 (foxb1a)_4</t>
  </si>
  <si>
    <t xml:space="preserve">TGGGCAGCGTCTGAGGGCTTGCTGG</t>
  </si>
  <si>
    <t xml:space="preserve">CGGAGCTTGGCGTGCTGCTGGAGGT</t>
  </si>
  <si>
    <t xml:space="preserve">S198-05</t>
  </si>
  <si>
    <t xml:space="preserve">foxb1a_B2_P1_05</t>
  </si>
  <si>
    <t xml:space="preserve">CCTCGTAAATCCTCATCAAAGTAGCTGGACATCTGAGGGAGGTGT</t>
  </si>
  <si>
    <t xml:space="preserve">foxb1a_B2_P2_05</t>
  </si>
  <si>
    <t xml:space="preserve">CGTGGACGGCTGGGAAACTCCCAGGAAATCATCCAGTAAACCGCC</t>
  </si>
  <si>
    <t xml:space="preserve">B2_P1 (foxb1a)_5</t>
  </si>
  <si>
    <t xml:space="preserve">B2_P2 (foxb1a)_5</t>
  </si>
  <si>
    <t xml:space="preserve">GTAGCTGGACATCTGAGGGAGGTGT</t>
  </si>
  <si>
    <t xml:space="preserve">CGTGGACGGCTGGGAAACTCCCAGG</t>
  </si>
  <si>
    <t xml:space="preserve">S198-06</t>
  </si>
  <si>
    <t xml:space="preserve">foxb1a_B2_P1_06</t>
  </si>
  <si>
    <t xml:space="preserve">CCTCGTAAATCCTCATCAAAACTCTCGGGCGATGATGTTCTCGAT</t>
  </si>
  <si>
    <t xml:space="preserve">foxb1a_B2_P2_06</t>
  </si>
  <si>
    <t xml:space="preserve">AGAACGCCAGTCCTCCGGGAACTTTAAATCATCCAGTAAACCGCC</t>
  </si>
  <si>
    <t xml:space="preserve">B2_P1 (foxb1a)_6</t>
  </si>
  <si>
    <t xml:space="preserve">B2_P2 (foxb1a)_6</t>
  </si>
  <si>
    <t xml:space="preserve">ACTCTCGGGCGATGATGTTCTCGAT</t>
  </si>
  <si>
    <t xml:space="preserve">AGAACGCCAGTCCTCCGGGAACTTT</t>
  </si>
  <si>
    <t xml:space="preserve">S199-01</t>
  </si>
  <si>
    <t xml:space="preserve">kctd12.1_B2_P1_01</t>
  </si>
  <si>
    <t xml:space="preserve">CCTCGTAAATCCTCATCAAAGGTGTTTTCTTACTGAACATGTTCC</t>
  </si>
  <si>
    <t xml:space="preserve">kctd12.1_B2_P2_01</t>
  </si>
  <si>
    <t xml:space="preserve">CCTTTGCTGTCCCGCGCCAGCTCAGAAATCATCCAGTAAACCGCC</t>
  </si>
  <si>
    <t xml:space="preserve">B2_P1 (kctd12.1)_1</t>
  </si>
  <si>
    <t xml:space="preserve">B2_P2 (kctd12.1)_1</t>
  </si>
  <si>
    <t xml:space="preserve">GGTGTTTTCTTACTGAACATGTTCC</t>
  </si>
  <si>
    <t xml:space="preserve">CCTTTGCTGTCCCGCGCCAGCTCAG</t>
  </si>
  <si>
    <t xml:space="preserve">S199-02</t>
  </si>
  <si>
    <t xml:space="preserve">kctd12.1_B2_P1_02</t>
  </si>
  <si>
    <t xml:space="preserve">CCTCGTAAATCCTCATCAAAAATGTAGCGGAAAAGAAAGCCGTCC</t>
  </si>
  <si>
    <t xml:space="preserve">kctd12.1_B2_P2_02</t>
  </si>
  <si>
    <t xml:space="preserve">CAGGTTTAGATCCCGTAGGTAGTCTAAATCATCCAGTAAACCGCC</t>
  </si>
  <si>
    <t xml:space="preserve">B2_P1 (kctd12.1)_2</t>
  </si>
  <si>
    <t xml:space="preserve">B2_P2 (kctd12.1)_2</t>
  </si>
  <si>
    <t xml:space="preserve">AATGTAGCGGAAAAGAAAGCCGTCC</t>
  </si>
  <si>
    <t xml:space="preserve">CAGGTTTAGATCCCGTAGGTAGTCT</t>
  </si>
  <si>
    <t xml:space="preserve">S199-03</t>
  </si>
  <si>
    <t xml:space="preserve">kctd12.1_B2_P1_03</t>
  </si>
  <si>
    <t xml:space="preserve">CCTCGTAAATCCTCATCAAACTCTCTGTAATCTACTTTTCTCTGG</t>
  </si>
  <si>
    <t xml:space="preserve">kctd12.1_B2_P2_03</t>
  </si>
  <si>
    <t xml:space="preserve">GGTCCCGCAGCTGAAAGAACTCAGCAAATCATCCAGTAAACCGCC</t>
  </si>
  <si>
    <t xml:space="preserve">B2_P1 (kctd12.1)_3</t>
  </si>
  <si>
    <t xml:space="preserve">B2_P2 (kctd12.1)_3</t>
  </si>
  <si>
    <t xml:space="preserve">CTCTCTGTAATCTACTTTTCTCTGG</t>
  </si>
  <si>
    <t xml:space="preserve">GGTCCCGCAGCTGAAAGAACTCAGC</t>
  </si>
  <si>
    <t xml:space="preserve">S199-04</t>
  </si>
  <si>
    <t xml:space="preserve">kctd12.1_B2_P1_04</t>
  </si>
  <si>
    <t xml:space="preserve">CCTCGTAAATCCTCATCAAAATGGAGTTGTCTTTACTCATTTTGG</t>
  </si>
  <si>
    <t xml:space="preserve">kctd12.1_B2_P2_04</t>
  </si>
  <si>
    <t xml:space="preserve">GAGTCACTCTGGCAGATCTCGTCAGAAATCATCCAGTAAACCGCC</t>
  </si>
  <si>
    <t xml:space="preserve">B2_P1 (kctd12.1)_4</t>
  </si>
  <si>
    <t xml:space="preserve">B2_P2 (kctd12.1)_4</t>
  </si>
  <si>
    <t xml:space="preserve">ATGGAGTTGTCTTTACTCATTTTGG</t>
  </si>
  <si>
    <t xml:space="preserve">GAGTCACTCTGGCAGATCTCGTCAG</t>
  </si>
  <si>
    <t xml:space="preserve">S199-05</t>
  </si>
  <si>
    <t xml:space="preserve">kctd12.1_B2_P1_05</t>
  </si>
  <si>
    <t xml:space="preserve">CCTCGTAAATCCTCATCAAACTCGGGTCCGACCACCGGAGTCGCG</t>
  </si>
  <si>
    <t xml:space="preserve">kctd12.1_B2_P2_05</t>
  </si>
  <si>
    <t xml:space="preserve">GCTGGCGACGGACAGTGTGCGAGAAAAATCATCCAGTAAACCGCC</t>
  </si>
  <si>
    <t xml:space="preserve">B2_P1 (kctd12.1)_5</t>
  </si>
  <si>
    <t xml:space="preserve">B2_P2 (kctd12.1)_5</t>
  </si>
  <si>
    <t xml:space="preserve">CTCGGGTCCGACCACCGGAGTCGCG</t>
  </si>
  <si>
    <t xml:space="preserve">GCTGGCGACGGACAGTGTGCGAGAA</t>
  </si>
  <si>
    <t xml:space="preserve">S199-06</t>
  </si>
  <si>
    <t xml:space="preserve">kctd12.1_B2_P1_06</t>
  </si>
  <si>
    <t xml:space="preserve">CCTCGTAAATCCTCATCAAATGTACCCAGACTTTCTGGACTCCAG</t>
  </si>
  <si>
    <t xml:space="preserve">kctd12.1_B2_P2_06</t>
  </si>
  <si>
    <t xml:space="preserve">TGTACGAGCCTCGGTAACCAACCGTAAATCATCCAGTAAACCGCC</t>
  </si>
  <si>
    <t xml:space="preserve">B2_P1 (kctd12.1)_6</t>
  </si>
  <si>
    <t xml:space="preserve">B2_P2 (kctd12.1)_6</t>
  </si>
  <si>
    <t xml:space="preserve">TGTACCCAGACTTTCTGGACTCCAG</t>
  </si>
  <si>
    <t xml:space="preserve">TGTACGAGCCTCGGTAACCAACCGT</t>
  </si>
  <si>
    <t xml:space="preserve">S199-07</t>
  </si>
  <si>
    <t xml:space="preserve">kctd12.1_B2_P1_07</t>
  </si>
  <si>
    <t xml:space="preserve">CCTCGTAAATCCTCATCAAAACCCGCCTGAATTTGGCGTCTGTCT</t>
  </si>
  <si>
    <t xml:space="preserve">kctd12.1_B2_P2_07</t>
  </si>
  <si>
    <t xml:space="preserve">GTCTTCCCGCAAACCGTGATCCGCGAAATCATCCAGTAAACCGCC</t>
  </si>
  <si>
    <t xml:space="preserve">B2_P1 (kctd12.1)_7</t>
  </si>
  <si>
    <t xml:space="preserve">B2_P2 (kctd12.1)_7</t>
  </si>
  <si>
    <t xml:space="preserve">ACCCGCCTGAATTTGGCGTCTGTCT</t>
  </si>
  <si>
    <t xml:space="preserve">GTCTTCCCGCAAACCGTGATCCGCG</t>
  </si>
  <si>
    <t xml:space="preserve">S199-08</t>
  </si>
  <si>
    <t xml:space="preserve">kctd12.1_B2_P1_08</t>
  </si>
  <si>
    <t xml:space="preserve">CCTCGTAAATCCTCATCAAAGCTTTCGTTCAATGTGTCTCCAAAC</t>
  </si>
  <si>
    <t xml:space="preserve">kctd12.1_B2_P2_08</t>
  </si>
  <si>
    <t xml:space="preserve">CCTCTCTGGGGGCCGGTCCGGGTCTAAATCATCCAGTAAACCGCC</t>
  </si>
  <si>
    <t xml:space="preserve">B2_P1 (kctd12.1)_8</t>
  </si>
  <si>
    <t xml:space="preserve">B2_P2 (kctd12.1)_8</t>
  </si>
  <si>
    <t xml:space="preserve">GCTTTCGTTCAATGTGTCTCCAAAC</t>
  </si>
  <si>
    <t xml:space="preserve">CCTCTCTGGGGGCCGGTCCGGGTCT</t>
  </si>
  <si>
    <t xml:space="preserve">S200-01</t>
  </si>
  <si>
    <t xml:space="preserve">kctd12.2_B2_P1_01</t>
  </si>
  <si>
    <t xml:space="preserve">CCTCGTAAATCCTCATCAAAGCAAAGTTGAGTGGCGCGTAACGTA</t>
  </si>
  <si>
    <t xml:space="preserve">kctd12.2_B2_P2_01</t>
  </si>
  <si>
    <t xml:space="preserve">TCCAAAGTAAAGAATTGGGCACGGAAAATCATCCAGTAAACCGCC</t>
  </si>
  <si>
    <t xml:space="preserve">B2_P1(kctd12.2)_1</t>
  </si>
  <si>
    <t xml:space="preserve">B2_P2(kctd12.2)_1</t>
  </si>
  <si>
    <t xml:space="preserve">GCAAAGTTGAGTGGCGCGTAACGTA</t>
  </si>
  <si>
    <t xml:space="preserve">TCCAAAGTAAAGAATTGGGCACGGA</t>
  </si>
  <si>
    <t xml:space="preserve">S200-02</t>
  </si>
  <si>
    <t xml:space="preserve">kctd12.2_B2_P1_02</t>
  </si>
  <si>
    <t xml:space="preserve">CCTCGTAAATCCTCATCAAACTGTCGGTAGTAAGTTCCGCGGGTT</t>
  </si>
  <si>
    <t xml:space="preserve">kctd12.2_B2_P2_02</t>
  </si>
  <si>
    <t xml:space="preserve">TCCCTGTCCAAAAAGAAGCGTCCTTAAATCATCCAGTAAACCGCC</t>
  </si>
  <si>
    <t xml:space="preserve">B2_P1(kctd12.2)_2</t>
  </si>
  <si>
    <t xml:space="preserve">B2_P2(kctd12.2)_2</t>
  </si>
  <si>
    <t xml:space="preserve">CTGTCGGTAGTAAGTTCCGCGGGTT</t>
  </si>
  <si>
    <t xml:space="preserve">TCCCTGTCCAAAAAGAAGCGTCCTT</t>
  </si>
  <si>
    <t xml:space="preserve">S200-03</t>
  </si>
  <si>
    <t xml:space="preserve">kctd12.2_B2_P1_03</t>
  </si>
  <si>
    <t xml:space="preserve">CCTCGTAAATCCTCATCAAACTGGTCCCGCAAGTAATCCAAAATA</t>
  </si>
  <si>
    <t xml:space="preserve">kctd12.2_B2_P2_03</t>
  </si>
  <si>
    <t xml:space="preserve">TTTGAAGTAATCAGGCAAAACCAGAAAATCATCCAGTAAACCGCC</t>
  </si>
  <si>
    <t xml:space="preserve">B2_P1(kctd12.2)_3</t>
  </si>
  <si>
    <t xml:space="preserve">B2_P2(kctd12.2)_3</t>
  </si>
  <si>
    <t xml:space="preserve">CTGGTCCCGCAAGTAATCCAAAATA</t>
  </si>
  <si>
    <t xml:space="preserve">TTTGAAGTAATCAGGCAAAACCAGA</t>
  </si>
  <si>
    <t xml:space="preserve">S200-04</t>
  </si>
  <si>
    <t xml:space="preserve">kctd12.2_B2_P1_04</t>
  </si>
  <si>
    <t xml:space="preserve">CCTCGTAAATCCTCATCAAAGAAGTTGGAAATATTCTGCCTCTTT</t>
  </si>
  <si>
    <t xml:space="preserve">kctd12.2_B2_P2_04</t>
  </si>
  <si>
    <t xml:space="preserve">CAGGTTTCAGGCGCTTTGCCAGGTCAAATCATCCAGTAAACCGCC</t>
  </si>
  <si>
    <t xml:space="preserve">B2_P1(kctd12.2)_4</t>
  </si>
  <si>
    <t xml:space="preserve">B2_P2(kctd12.2)_4</t>
  </si>
  <si>
    <t xml:space="preserve">GAAGTTGGAAATATTCTGCCTCTTT</t>
  </si>
  <si>
    <t xml:space="preserve">CAGGTTTCAGGCGCTTTGCCAGGTC</t>
  </si>
  <si>
    <t xml:space="preserve">S200-05</t>
  </si>
  <si>
    <t xml:space="preserve">kctd12.2_B2_P1_05</t>
  </si>
  <si>
    <t xml:space="preserve">CCTCGTAAATCCTCATCAAACTCTGGCAAACCTCCTCGCTGATGG</t>
  </si>
  <si>
    <t xml:space="preserve">kctd12.2_B2_P2_05</t>
  </si>
  <si>
    <t xml:space="preserve">CCGGCGAGCGCAGCCTCCTCCGGGTAAATCATCCAGTAAACCGCC</t>
  </si>
  <si>
    <t xml:space="preserve">B2_P1(kctd12.2)_5</t>
  </si>
  <si>
    <t xml:space="preserve">B2_P2(kctd12.2)_5</t>
  </si>
  <si>
    <t xml:space="preserve">CTCTGGCAAACCTCCTCGCTGATGG</t>
  </si>
  <si>
    <t xml:space="preserve">CCGGCGAGCGCAGCCTCCTCCGGGT</t>
  </si>
  <si>
    <t xml:space="preserve">S200-06</t>
  </si>
  <si>
    <t xml:space="preserve">kctd12.2_B2_P1_06</t>
  </si>
  <si>
    <t xml:space="preserve">CCTCGTAAATCCTCATCAAAGTCCAAAGACGGTGAGCGGGGGCCG</t>
  </si>
  <si>
    <t xml:space="preserve">kctd12.2_B2_P2_06</t>
  </si>
  <si>
    <t xml:space="preserve">GATGGTTATGAAGCCGGTTTTCCTCAAATCATCCAGTAAACCGCC</t>
  </si>
  <si>
    <t xml:space="preserve">B2_P1(kctd12.2)_6</t>
  </si>
  <si>
    <t xml:space="preserve">B2_P2(kctd12.2)_6</t>
  </si>
  <si>
    <t xml:space="preserve">GTCCAAAGACGGTGAGCGGGGGCCG</t>
  </si>
  <si>
    <t xml:space="preserve">GATGGTTATGAAGCCGGTTTTCCTC</t>
  </si>
  <si>
    <t xml:space="preserve">S200-07</t>
  </si>
  <si>
    <t xml:space="preserve">kctd12.2_B2_P1_07</t>
  </si>
  <si>
    <t xml:space="preserve">CCTCGTAAATCCTCATCAAACCTGTTGAAGATCTCGTCCTATAGT</t>
  </si>
  <si>
    <t xml:space="preserve">kctd12.2_B2_P2_07</t>
  </si>
  <si>
    <t xml:space="preserve">TTCTCGCCACCCGTCGGAATTTGGCAAATCATCCAGTAAACCGCC</t>
  </si>
  <si>
    <t xml:space="preserve">B2_P1(kctd12.2)_7</t>
  </si>
  <si>
    <t xml:space="preserve">B2_P2(kctd12.2)_7</t>
  </si>
  <si>
    <t xml:space="preserve">CCTGTTGAAGATCTCGTCCTATAGT</t>
  </si>
  <si>
    <t xml:space="preserve">TTCTCGCCACCCGTCGGAATTTGGC</t>
  </si>
  <si>
    <t xml:space="preserve">S200-08</t>
  </si>
  <si>
    <t xml:space="preserve">kctd12.2_B2_P1_08</t>
  </si>
  <si>
    <t xml:space="preserve">CCTCGTAAATCCTCATCAAACCGAAAACTTCTTTGGCGAGAGACG</t>
  </si>
  <si>
    <t xml:space="preserve">kctd12.2_B2_P2_08</t>
  </si>
  <si>
    <t xml:space="preserve">GGGTCTCTGCTCTCGTTCAGCGTCTAAATCATCCAGTAAACCGCC</t>
  </si>
  <si>
    <t xml:space="preserve">B2_P1(kctd12.2)_8</t>
  </si>
  <si>
    <t xml:space="preserve">B2_P2(kctd12.2)_8</t>
  </si>
  <si>
    <t xml:space="preserve">CCGAAAACTTCTTTGGCGAGAGACG</t>
  </si>
  <si>
    <t xml:space="preserve">GGGTCTCTGCTCTCGTTCAGCGTCT</t>
  </si>
  <si>
    <t xml:space="preserve">S201-01</t>
  </si>
  <si>
    <t xml:space="preserve">NeuroD_B2_P1_01</t>
  </si>
  <si>
    <t xml:space="preserve">CCTCGTAAATCCTCATCAAATCGAGTCGGTTGAGACCGGCATCAT</t>
  </si>
  <si>
    <t xml:space="preserve">NeuroD_B2_P2_01</t>
  </si>
  <si>
    <t xml:space="preserve">TCTTCTTCTTCCTCGTCGTCCTCATAAATCATCCAGTAAACCGCC</t>
  </si>
  <si>
    <t xml:space="preserve">B2_P1 (NeuroD)_1</t>
  </si>
  <si>
    <t xml:space="preserve">B2_P2 (NeuroD)_1</t>
  </si>
  <si>
    <t xml:space="preserve">TCGAGTCGGTTGAGACCGGCATCAT</t>
  </si>
  <si>
    <t xml:space="preserve">TCTTCTTCTTCCTCGTCGTCCTCAT</t>
  </si>
  <si>
    <t xml:space="preserve">S201-02</t>
  </si>
  <si>
    <t xml:space="preserve">NeuroD_B2_P1_02</t>
  </si>
  <si>
    <t xml:space="preserve">CCTCGTAAATCCTCATCAAAACCCCGTCTTTTCGGCTTGGTGTCG</t>
  </si>
  <si>
    <t xml:space="preserve">NeuroD_B2_P2_02</t>
  </si>
  <si>
    <t xml:space="preserve">CGCCTTGGTCATCTTCTTCTTCTTGAAATCATCCAGTAAACCGCC</t>
  </si>
  <si>
    <t xml:space="preserve">B2_P1 (NeuroD)_2</t>
  </si>
  <si>
    <t xml:space="preserve">B2_P2 (NeuroD)_2</t>
  </si>
  <si>
    <t xml:space="preserve">ACCCCGTCTTTTCGGCTTGGTGTCG</t>
  </si>
  <si>
    <t xml:space="preserve">CGCCTTGGTCATCTTCTTCTTCTTG</t>
  </si>
  <si>
    <t xml:space="preserve">S201-03</t>
  </si>
  <si>
    <t xml:space="preserve">NeuroD_B2_P1_03</t>
  </si>
  <si>
    <t xml:space="preserve">CCTCGTAAATCCTCATCAAAGGGCGTTCGCCTTCATGCGCCGCAT</t>
  </si>
  <si>
    <t xml:space="preserve">NeuroD_B2_P2_03</t>
  </si>
  <si>
    <t xml:space="preserve">TGAGGCCGTGCATGCGGTTCCTCTCAAATCATCCAGTAAACCGCC</t>
  </si>
  <si>
    <t xml:space="preserve">B2_P1 (NeuroD)_3</t>
  </si>
  <si>
    <t xml:space="preserve">B2_P2 (NeuroD)_3</t>
  </si>
  <si>
    <t xml:space="preserve">GGGCGTTCGCCTTCATGCGCCGCAT</t>
  </si>
  <si>
    <t xml:space="preserve">TGAGGCCGTGCATGCGGTTCCTCTC</t>
  </si>
  <si>
    <t xml:space="preserve">S201-04</t>
  </si>
  <si>
    <t xml:space="preserve">NeuroD_B2_P1_04</t>
  </si>
  <si>
    <t xml:space="preserve">CCTCGTAAATCCTCATCAAAGAGTAGCACGGAACAACTTTGCGCA</t>
  </si>
  <si>
    <t xml:space="preserve">NeuroD_B2_P2_04</t>
  </si>
  <si>
    <t xml:space="preserve">TCGATCTTGGAGAGCTTCTGCGTTTAAATCATCCAGTAAACCGCC</t>
  </si>
  <si>
    <t xml:space="preserve">B2_P1 (NeuroD)_4</t>
  </si>
  <si>
    <t xml:space="preserve">B2_P2 (NeuroD)_4</t>
  </si>
  <si>
    <t xml:space="preserve">GAGTAGCACGGAACAACTTTGCGCA</t>
  </si>
  <si>
    <t xml:space="preserve">TCGATCTTGGAGAGCTTCTGCGTTT</t>
  </si>
  <si>
    <t xml:space="preserve">S201-05</t>
  </si>
  <si>
    <t xml:space="preserve">NeuroD_B2_P1_05</t>
  </si>
  <si>
    <t xml:space="preserve">CCTCGTAAATCCTCATCAAATTCCGAAAGAGCCCAAATGTAGTTC</t>
  </si>
  <si>
    <t xml:space="preserve">NeuroD_B2_P2_05</t>
  </si>
  <si>
    <t xml:space="preserve">GTCGGGGCTTTTGCCCGACCTCAAGAAATCATCCAGTAAACCGCC</t>
  </si>
  <si>
    <t xml:space="preserve">B2_P1 (NeuroD)_5</t>
  </si>
  <si>
    <t xml:space="preserve">B2_P2 (NeuroD)_5</t>
  </si>
  <si>
    <t xml:space="preserve">TTCCGAAAGAGCCCAAATGTAGTTC</t>
  </si>
  <si>
    <t xml:space="preserve">GTCGGGGCTTTTGCCCGACCTCAAG</t>
  </si>
  <si>
    <t xml:space="preserve">S201-06</t>
  </si>
  <si>
    <t xml:space="preserve">NeuroD_B2_P1_06</t>
  </si>
  <si>
    <t xml:space="preserve">CCTCGTAAATCCTCATCAAAGTTGGGACAAGCCCTTGCACAAGGC</t>
  </si>
  <si>
    <t xml:space="preserve">NeuroD_B2_P2_06</t>
  </si>
  <si>
    <t xml:space="preserve">GGCATCCTGCGACCAAGTTGGTCGTAAATCATCCAGTAAACCGCC</t>
  </si>
  <si>
    <t xml:space="preserve">B2_P1 (NeuroD)_6</t>
  </si>
  <si>
    <t xml:space="preserve">B2_P2 (NeuroD)_6</t>
  </si>
  <si>
    <t xml:space="preserve">GTTGGGACAAGCCCTTGCACAAGGC</t>
  </si>
  <si>
    <t xml:space="preserve">GGCATCCTGCGACCAAGTTGGTCGT</t>
  </si>
  <si>
    <t xml:space="preserve">S201-07</t>
  </si>
  <si>
    <t xml:space="preserve">NeuroD_B2_P1_07</t>
  </si>
  <si>
    <t xml:space="preserve">CCTCGTAAATCCTCATCAAATCCTGGCTCTGCTCGGGCAGAAAAG</t>
  </si>
  <si>
    <t xml:space="preserve">NeuroD_B2_P2_07</t>
  </si>
  <si>
    <t xml:space="preserve">CTTGCTGTTTGCATATGAGGGGGCAAAATCATCCAGTAAACCGCC</t>
  </si>
  <si>
    <t xml:space="preserve">B2_P1 (NeuroD)_7</t>
  </si>
  <si>
    <t xml:space="preserve">B2_P2 (NeuroD)_7</t>
  </si>
  <si>
    <t xml:space="preserve">TCCTGGCTCTGCTCGGGCAGAAAAG</t>
  </si>
  <si>
    <t xml:space="preserve">CTTGCTGTTTGCATATGAGGGGGCA</t>
  </si>
  <si>
    <t xml:space="preserve">S201-08</t>
  </si>
  <si>
    <t xml:space="preserve">NeuroD_B2_P1_08</t>
  </si>
  <si>
    <t xml:space="preserve">CCTCGTAAATCCTCATCAAAACCGGGCGTCTGGTAGGAGTAGGGA</t>
  </si>
  <si>
    <t xml:space="preserve">NeuroD_B2_P2_08</t>
  </si>
  <si>
    <t xml:space="preserve">CATTGTACCGTACGGAGGGCTGGGAAAATCATCCAGTAAACCGCC</t>
  </si>
  <si>
    <t xml:space="preserve">B2_P1 (NeuroD)_8</t>
  </si>
  <si>
    <t xml:space="preserve">B2_P2 (NeuroD)_8</t>
  </si>
  <si>
    <t xml:space="preserve">ACCGGGCGTCTGGTAGGAGTAGGGA</t>
  </si>
  <si>
    <t xml:space="preserve">CATTGTACCGTACGGAGGGCTGGGA</t>
  </si>
  <si>
    <t xml:space="preserve">S202-01</t>
  </si>
  <si>
    <t xml:space="preserve">oxtr_B2_P1_01</t>
  </si>
  <si>
    <t xml:space="preserve">CCTCGTAAATCCTCATCAAATCTTGATCCTTGAAGATGTCCTCCA</t>
  </si>
  <si>
    <t xml:space="preserve">oxtr_B2_P2_01</t>
  </si>
  <si>
    <t xml:space="preserve">CTGGATGACTCATTAAAGGACCAAAAAATCATCCAGTAAACCGCC</t>
  </si>
  <si>
    <t xml:space="preserve">oxt_oxtr_oxtl_Gene2_B2_P1_1; oxt_oxtr_oxtl</t>
  </si>
  <si>
    <t xml:space="preserve">oxt_oxtr_oxtl_Gene2_B2_P2_1; oxt_oxtr_oxtl</t>
  </si>
  <si>
    <t xml:space="preserve">TCTTGATCCTTGAAGATGTCCTCCA</t>
  </si>
  <si>
    <t xml:space="preserve">CTGGATGACTCATTAAAGGACCAAA</t>
  </si>
  <si>
    <t xml:space="preserve">S202-02</t>
  </si>
  <si>
    <t xml:space="preserve">oxtr_B2_P1_02</t>
  </si>
  <si>
    <t xml:space="preserve">CCTCGTAAATCCTCATCAAAGCTTGAGGGGATTCACCGTCTGGTT</t>
  </si>
  <si>
    <t xml:space="preserve">oxtr_B2_P2_02</t>
  </si>
  <si>
    <t xml:space="preserve">CTTCCACTTTGGCCACCTCTTCGTTAAATCATCCAGTAAACCGCC</t>
  </si>
  <si>
    <t xml:space="preserve">oxt_oxtr_oxtl_Gene2_B2_P1_2; oxt_oxtr_oxtl</t>
  </si>
  <si>
    <t xml:space="preserve">oxt_oxtr_oxtl_Gene2_B2_P2_2; oxt_oxtr_oxtl</t>
  </si>
  <si>
    <t xml:space="preserve">GCTTGAGGGGATTCACCGTCTGGTT</t>
  </si>
  <si>
    <t xml:space="preserve">CTTCCACTTTGGCCACCTCTTCGTT</t>
  </si>
  <si>
    <t xml:space="preserve">S202-03</t>
  </si>
  <si>
    <t xml:space="preserve">oxtr_B2_P1_03</t>
  </si>
  <si>
    <t xml:space="preserve">CCTCGTAAATCCTCATCAAAGACGCAAAGGTTACCGGCGAGCGCC</t>
  </si>
  <si>
    <t xml:space="preserve">oxtr_B2_P2_03</t>
  </si>
  <si>
    <t xml:space="preserve">GTGCTTGGCTGTGTGGATTGCAATAAAATCATCCAGTAAACCGCC</t>
  </si>
  <si>
    <t xml:space="preserve">oxt_oxtr_oxtl_Gene2_B2_P1_3; oxt_oxtr_oxtl</t>
  </si>
  <si>
    <t xml:space="preserve">oxt_oxtr_oxtl_Gene2_B2_P2_3; oxt_oxtr_oxtl</t>
  </si>
  <si>
    <t xml:space="preserve">GACGCAAAGGTTACCGGCGAGCGCC</t>
  </si>
  <si>
    <t xml:space="preserve">GTGCTTGGCTGTGTGGATTGCAATA</t>
  </si>
  <si>
    <t xml:space="preserve">S202-04</t>
  </si>
  <si>
    <t xml:space="preserve">oxtr_B2_P1_04</t>
  </si>
  <si>
    <t xml:space="preserve">CCTCGTAAATCCTCATCAAAACCAGGTCTGCAATGCTGAGGTGCT</t>
  </si>
  <si>
    <t xml:space="preserve">oxtr_B2_P2_04</t>
  </si>
  <si>
    <t xml:space="preserve">TGAGGAAGAACCTGGAAGACGGCCAAAATCATCCAGTAAACCGCC</t>
  </si>
  <si>
    <t xml:space="preserve">oxt_oxtr_oxtl_Gene2_B2_P1_4; oxt_oxtr_oxtl</t>
  </si>
  <si>
    <t xml:space="preserve">oxt_oxtr_oxtl_Gene2_B2_P2_4; oxt_oxtr_oxtl</t>
  </si>
  <si>
    <t xml:space="preserve">ACCAGGTCTGCAATGCTGAGGTGCT</t>
  </si>
  <si>
    <t xml:space="preserve">TGAGGAAGAACCTGGAAGACGGCCA</t>
  </si>
  <si>
    <t xml:space="preserve">S202-05</t>
  </si>
  <si>
    <t xml:space="preserve">oxtr_B2_P1_05</t>
  </si>
  <si>
    <t xml:space="preserve">CCTCGTAAATCCTCATCAAATGATGTCCCAAATGAGTTGAGGAAG</t>
  </si>
  <si>
    <t xml:space="preserve">oxtr_B2_P2_05</t>
  </si>
  <si>
    <t xml:space="preserve">AGATGTCCGGACCATAAAAGCGAAAAAATCATCCAGTAAACCGCC</t>
  </si>
  <si>
    <t xml:space="preserve">B2_P1 (OXTR)_1</t>
  </si>
  <si>
    <t xml:space="preserve">B2_P2 (OXTR)_1</t>
  </si>
  <si>
    <t xml:space="preserve">TGATGTCCCAAATGAGTTGAGGAAG</t>
  </si>
  <si>
    <t xml:space="preserve">AGATGTCCGGACCATAAAAGCGAAA</t>
  </si>
  <si>
    <t xml:space="preserve">S202-06</t>
  </si>
  <si>
    <t xml:space="preserve">oxtr_B2_P1_06</t>
  </si>
  <si>
    <t xml:space="preserve">CCTCGTAAATCCTCATCAAAACCTACACAAGATGTCCGGACCATA</t>
  </si>
  <si>
    <t xml:space="preserve">oxtr_B2_P2_06</t>
  </si>
  <si>
    <t xml:space="preserve">TCCCAACAGTCTGAAGATACTTCACAAATCATCCAGTAAACCGCC</t>
  </si>
  <si>
    <t xml:space="preserve">oxt_oxtr_oxtl_Gene2_B2_P1_5; oxt_oxtr_oxtl</t>
  </si>
  <si>
    <t xml:space="preserve">oxt_oxtr_oxtl_Gene2_B2_P2_5; oxt_oxtr_oxtl</t>
  </si>
  <si>
    <t xml:space="preserve">ACCTACACAAGATGTCCGGACCATA</t>
  </si>
  <si>
    <t xml:space="preserve">TCCCAACAGTCTGAAGATACTTCAC</t>
  </si>
  <si>
    <t xml:space="preserve">S202-07</t>
  </si>
  <si>
    <t xml:space="preserve">oxtr_B2_P1_07</t>
  </si>
  <si>
    <t xml:space="preserve">CCTCGTAAATCCTCATCAAAGCGAACATCCCAACAGTCTGAAGAT</t>
  </si>
  <si>
    <t xml:space="preserve">oxtr_B2_P2_07</t>
  </si>
  <si>
    <t xml:space="preserve">GACATCAGCACCAGCATGTAGGTGGAAATCATCCAGTAAACCGCC</t>
  </si>
  <si>
    <t xml:space="preserve">B2_P1 (OXTR)_2</t>
  </si>
  <si>
    <t xml:space="preserve">B2_P2 (OXTR)_2</t>
  </si>
  <si>
    <t xml:space="preserve">GCGAACATCCCAACAGTCTGAAGAT</t>
  </si>
  <si>
    <t xml:space="preserve">GACATCAGCACCAGCATGTAGGTGG</t>
  </si>
  <si>
    <t xml:space="preserve">S202-08</t>
  </si>
  <si>
    <t xml:space="preserve">oxtr_B2_P1_08</t>
  </si>
  <si>
    <t xml:space="preserve">CCTCGTAAATCCTCATCAAACGCCATGCATCTGTCTATGGACATC</t>
  </si>
  <si>
    <t xml:space="preserve">oxtr_B2_P2_08</t>
  </si>
  <si>
    <t xml:space="preserve">GTGTAAAGAACGAAGAGGTTGGCAGAAATCATCCAGTAAACCGCC</t>
  </si>
  <si>
    <t xml:space="preserve">oxt_oxtr_oxtl_Gene2_B2_P1_6; oxt_oxtr_oxtl</t>
  </si>
  <si>
    <t xml:space="preserve">oxt_oxtr_oxtl_Gene2_B2_P2_6; oxt_oxtr_oxtl</t>
  </si>
  <si>
    <t xml:space="preserve">CGCCATGCATCTGTCTATGGACATC</t>
  </si>
  <si>
    <t xml:space="preserve">GTGTAAAGAACGAAGAGGTTGGCAG</t>
  </si>
  <si>
    <t xml:space="preserve">S202-09</t>
  </si>
  <si>
    <t xml:space="preserve">oxtr_B2_P1_09</t>
  </si>
  <si>
    <t xml:space="preserve">CCTCGTAAATCCTCATCAAATAAAGAACGAAGAGGTTGGCAGATC</t>
  </si>
  <si>
    <t xml:space="preserve">oxtr_B2_P2_09</t>
  </si>
  <si>
    <t xml:space="preserve">CACGTAACAGCGGTCCTTTCTCTTGAAATCATCCAGTAAACCGCC</t>
  </si>
  <si>
    <t xml:space="preserve">B2_P1 (OXTR)_3</t>
  </si>
  <si>
    <t xml:space="preserve">B2_P2 (OXTR)_3</t>
  </si>
  <si>
    <t xml:space="preserve">TAAAGAACGAAGAGGTTGGCAGATC</t>
  </si>
  <si>
    <t xml:space="preserve">CACGTAACAGCGGTCCTTTCTCTTG</t>
  </si>
  <si>
    <t xml:space="preserve">S202-10</t>
  </si>
  <si>
    <t xml:space="preserve">oxtr_B2_P1_10</t>
  </si>
  <si>
    <t xml:space="preserve">CCTCGTAAATCCTCATCAAAAAAAGTAAGCTCAGTGCCCATGAAC</t>
  </si>
  <si>
    <t xml:space="preserve">oxtr_B2_P2_10</t>
  </si>
  <si>
    <t xml:space="preserve">GAGAAGATATAAACCTGCGGGATGCAAATCATCCAGTAAACCGCC</t>
  </si>
  <si>
    <t xml:space="preserve">oxt_oxtr_oxtl_Gene2_B2_P1_7; oxt_oxtr_oxtl</t>
  </si>
  <si>
    <t xml:space="preserve">oxt_oxtr_oxtl_Gene2_B2_P2_7; oxt_oxtr_oxtl</t>
  </si>
  <si>
    <t xml:space="preserve">AAAAGTAAGCTCAGTGCCCATGAAC</t>
  </si>
  <si>
    <t xml:space="preserve">GAGAAGATATAAACCTGCGGGATGC</t>
  </si>
  <si>
    <t xml:space="preserve">S202-11</t>
  </si>
  <si>
    <t xml:space="preserve">oxtr_B2_P1_11</t>
  </si>
  <si>
    <t xml:space="preserve">CCTCGTAAATCCTCATCAAACCTGCGGGATGCTGAAAAGTAAGCT</t>
  </si>
  <si>
    <t xml:space="preserve">oxtr_B2_P2_11</t>
  </si>
  <si>
    <t xml:space="preserve">CCACCTCCCGTAGGGAGAAGATATAAAATCATCCAGTAAACCGCC</t>
  </si>
  <si>
    <t xml:space="preserve">B2_P1 (OXTR)_4</t>
  </si>
  <si>
    <t xml:space="preserve">B2_P2 (OXTR)_4</t>
  </si>
  <si>
    <t xml:space="preserve">CCTGCGGGATGCTGAAAAGTAAGCT</t>
  </si>
  <si>
    <t xml:space="preserve">CCACCTCCCGTAGGGAGAAGATATA</t>
  </si>
  <si>
    <t xml:space="preserve">S202-12</t>
  </si>
  <si>
    <t xml:space="preserve">oxtr_B2_P1_12</t>
  </si>
  <si>
    <t xml:space="preserve">CCTCGTAAATCCTCATCAAAGCTGAACAAAATCTCCCCAGCAATC</t>
  </si>
  <si>
    <t xml:space="preserve">oxtr_B2_P2_12</t>
  </si>
  <si>
    <t xml:space="preserve">ACGTAATGTAGGCTTTCGCTCCCCAAAATCATCCAGTAAACCGCC</t>
  </si>
  <si>
    <t xml:space="preserve">oxt_oxtr_oxtl_Gene2_B2_P1_8; oxt_oxtr_oxtl</t>
  </si>
  <si>
    <t xml:space="preserve">oxt_oxtr_oxtl_Gene2_B2_P2_8; oxt_oxtr_oxtl</t>
  </si>
  <si>
    <t xml:space="preserve">GCTGAACAAAATCTCCCCAGCAATC</t>
  </si>
  <si>
    <t xml:space="preserve">ACGTAATGTAGGCTTTCGCTCCCCA</t>
  </si>
  <si>
    <t xml:space="preserve">S202-13</t>
  </si>
  <si>
    <t xml:space="preserve">oxtr_B2_P1_13</t>
  </si>
  <si>
    <t xml:space="preserve">CCTCGTAAATCCTCATCAAACAAGGCTGAACAAAATCTCCCCAGC</t>
  </si>
  <si>
    <t xml:space="preserve">oxtr_B2_P2_13</t>
  </si>
  <si>
    <t xml:space="preserve">ATCCACGTAATGTAGGCTTTCGCTCAAATCATCCAGTAAACCGCC</t>
  </si>
  <si>
    <t xml:space="preserve">B2_P1 (OXTR)_5</t>
  </si>
  <si>
    <t xml:space="preserve">B2_P2 (OXTR)_5</t>
  </si>
  <si>
    <t xml:space="preserve">CAAGGCTGAACAAAATCTCCCCAGC</t>
  </si>
  <si>
    <t xml:space="preserve">ATCCACGTAATGTAGGCTTTCGCTC</t>
  </si>
  <si>
    <t xml:space="preserve">S202-14</t>
  </si>
  <si>
    <t xml:space="preserve">oxtr_B2_P1_14</t>
  </si>
  <si>
    <t xml:space="preserve">CCTCGTAAATCCTCATCAAAGACACTCAGAATGGTCACTGGTATA</t>
  </si>
  <si>
    <t xml:space="preserve">oxtr_B2_P2_14</t>
  </si>
  <si>
    <t xml:space="preserve">TATTTTAAAGCTTATCAGCCCGTAGAAATCATCCAGTAAACCGCC</t>
  </si>
  <si>
    <t xml:space="preserve">B2_P1 (OXTR)_6</t>
  </si>
  <si>
    <t xml:space="preserve">B2_P2 (OXTR)_6</t>
  </si>
  <si>
    <t xml:space="preserve">GACACTCAGAATGGTCACTGGTATA</t>
  </si>
  <si>
    <t xml:space="preserve">TATTTTAAAGCTTATCAGCCCGTAG</t>
  </si>
  <si>
    <t xml:space="preserve">S202-15</t>
  </si>
  <si>
    <t xml:space="preserve">oxtr_B2_P1_15</t>
  </si>
  <si>
    <t xml:space="preserve">CCTCGTAAATCCTCATCAAAGCCATATTTTAAAGCTTATCAGCCC</t>
  </si>
  <si>
    <t xml:space="preserve">oxtr_B2_P2_15</t>
  </si>
  <si>
    <t xml:space="preserve">CCCTCTTCGTCTTCCTTTTAAAGTTAAATCATCCAGTAAACCGCC</t>
  </si>
  <si>
    <t xml:space="preserve">oxt_oxtr_oxtl_Gene2_B2_P1_9; oxt_oxtr_oxtl</t>
  </si>
  <si>
    <t xml:space="preserve">oxt_oxtr_oxtl_Gene2_B2_P2_9; oxt_oxtr_oxtl</t>
  </si>
  <si>
    <t xml:space="preserve">GCCATATTTTAAAGCTTATCAGCCC</t>
  </si>
  <si>
    <t xml:space="preserve">CCCTCTTCGTCTTCCTTTTAAAGTT</t>
  </si>
  <si>
    <t xml:space="preserve">S202-16</t>
  </si>
  <si>
    <t xml:space="preserve">oxtr_B2_P1_16</t>
  </si>
  <si>
    <t xml:space="preserve">CCTCGTAAATCCTCATCAAATGATGCACTGGTCCCTCTTCGTCTT</t>
  </si>
  <si>
    <t xml:space="preserve">oxtr_B2_P2_16</t>
  </si>
  <si>
    <t xml:space="preserve">TGCCTTTGGATGCTTTGGGTGTGAGAAATCATCCAGTAAACCGCC</t>
  </si>
  <si>
    <t xml:space="preserve">B2_P1 (OXTR)_7</t>
  </si>
  <si>
    <t xml:space="preserve">B2_P2 (OXTR)_7</t>
  </si>
  <si>
    <t xml:space="preserve">TGATGCACTGGTCCCTCTTCGTCTT</t>
  </si>
  <si>
    <t xml:space="preserve">TGCCTTTGGATGCTTTGGGTGTGAG</t>
  </si>
  <si>
    <t xml:space="preserve">S202-17</t>
  </si>
  <si>
    <t xml:space="preserve">oxtr_B2_P1_17</t>
  </si>
  <si>
    <t xml:space="preserve">CCTCGTAAATCCTCATCAAACCGCGCGAGCGCGTTGCCTTTGGAT</t>
  </si>
  <si>
    <t xml:space="preserve">oxtr_B2_P2_17</t>
  </si>
  <si>
    <t xml:space="preserve">CTTGGAAATGAGTTTGACGCTGCTGAAATCATCCAGTAAACCGCC</t>
  </si>
  <si>
    <t xml:space="preserve">oxt_oxtr_oxtl_Gene2_B2_P1_10; oxt_oxtr_oxtl</t>
  </si>
  <si>
    <t xml:space="preserve">oxt_oxtr_oxtl_Gene2_B2_P2_10; oxt_oxtr_oxtl</t>
  </si>
  <si>
    <t xml:space="preserve">CCGCGCGAGCGCGTTGCCTTTGGAT</t>
  </si>
  <si>
    <t xml:space="preserve">CTTGGAAATGAGTTTGACGCTGCTG</t>
  </si>
  <si>
    <t xml:space="preserve">S202-18</t>
  </si>
  <si>
    <t xml:space="preserve">oxtr_B2_P1_18</t>
  </si>
  <si>
    <t xml:space="preserve">CCTCGTAAATCCTCATCAAAGCCTTGGAAATGAGTTTGACGCTGC</t>
  </si>
  <si>
    <t xml:space="preserve">oxtr_B2_P2_18</t>
  </si>
  <si>
    <t xml:space="preserve">AAAGTCATTTTAACGGTGGTGATTTAAATCATCCAGTAAACCGCC</t>
  </si>
  <si>
    <t xml:space="preserve">B2_P1 (OXTR)_8</t>
  </si>
  <si>
    <t xml:space="preserve">B2_P2 (OXTR)_8</t>
  </si>
  <si>
    <t xml:space="preserve">GCCTTGGAAATGAGTTTGACGCTGC</t>
  </si>
  <si>
    <t xml:space="preserve">AAAGTCATTTTAACGGTGGTGATTT</t>
  </si>
  <si>
    <t xml:space="preserve">S202-19</t>
  </si>
  <si>
    <t xml:space="preserve">oxtr_B2_P1_19</t>
  </si>
  <si>
    <t xml:space="preserve">CCTCGTAAATCCTCATCAAACACTATGTAAGCCAGTACGATAACA</t>
  </si>
  <si>
    <t xml:space="preserve">oxtr_B2_P2_19</t>
  </si>
  <si>
    <t xml:space="preserve">CTGCACGGAGAAAAACGGAGTCCAAAAATCATCCAGTAAACCGCC</t>
  </si>
  <si>
    <t xml:space="preserve">oxt_oxtr_oxtl_Gene2_B2_P1_11; oxt_oxtr_oxtl</t>
  </si>
  <si>
    <t xml:space="preserve">oxt_oxtr_oxtl_Gene2_B2_P2_11; oxt_oxtr_oxtl</t>
  </si>
  <si>
    <t xml:space="preserve">CACTATGTAAGCCAGTACGATAACA</t>
  </si>
  <si>
    <t xml:space="preserve">CTGCACGGAGAAAAACGGAGTCCAA</t>
  </si>
  <si>
    <t xml:space="preserve">S202-20</t>
  </si>
  <si>
    <t xml:space="preserve">oxtr_B2_P1_20</t>
  </si>
  <si>
    <t xml:space="preserve">CCTCGTAAATCCTCATCAAAATGATAAAGGGCATCGCTTCCCTCG</t>
  </si>
  <si>
    <t xml:space="preserve">oxtr_B2_P2_20</t>
  </si>
  <si>
    <t xml:space="preserve">CTGTTCAGACTGGCCAGCAACATGGAAATCATCCAGTAAACCGCC</t>
  </si>
  <si>
    <t xml:space="preserve">oxt_oxtr_oxtl_Gene2_B2_P1_12; oxt_oxtr_oxtl</t>
  </si>
  <si>
    <t xml:space="preserve">oxt_oxtr_oxtl_Gene2_B2_P2_12; oxt_oxtr_oxtl</t>
  </si>
  <si>
    <t xml:space="preserve">ATGATAAAGGGCATCGCTTCCCTCG</t>
  </si>
  <si>
    <t xml:space="preserve">CTGTTCAGACTGGCCAGCAACATGG</t>
  </si>
  <si>
    <t xml:space="preserve">S202-21</t>
  </si>
  <si>
    <t xml:space="preserve">oxtr_B2_P1_21</t>
  </si>
  <si>
    <t xml:space="preserve">CCTCGTAAATCCTCATCAAAGGTCATGGAAGAGATGGCCAGCAAA</t>
  </si>
  <si>
    <t xml:space="preserve">oxtr_B2_P2_21</t>
  </si>
  <si>
    <t xml:space="preserve">TGGAGCAGCAAAACAGATTCTGCTTAAATCATCCAGTAAACCGCC</t>
  </si>
  <si>
    <t xml:space="preserve">oxt_oxtr_oxtl_Gene2_B2_P1_13; oxt_oxtr_oxtl</t>
  </si>
  <si>
    <t xml:space="preserve">oxt_oxtr_oxtl_Gene2_B2_P2_13; oxt_oxtr_oxtl</t>
  </si>
  <si>
    <t xml:space="preserve">GGTCATGGAAGAGATGGCCAGCAAA</t>
  </si>
  <si>
    <t xml:space="preserve">TGGAGCAGCAAAACAGATTCTGCTT</t>
  </si>
  <si>
    <t xml:space="preserve">S202-22</t>
  </si>
  <si>
    <t xml:space="preserve">oxtr_B2_P1_22</t>
  </si>
  <si>
    <t xml:space="preserve">CCTCGTAAATCCTCATCAAAACGGGAATCTTGCTCTGGATCATAG</t>
  </si>
  <si>
    <t xml:space="preserve">oxtr_B2_P2_22</t>
  </si>
  <si>
    <t xml:space="preserve">GATGACGTAGGTGGAGGAGTTGCTCAAATCATCCAGTAAACCGCC</t>
  </si>
  <si>
    <t xml:space="preserve">oxt_oxtr_oxtl_Gene2_B2_P1_14; oxt_oxtr_oxtl</t>
  </si>
  <si>
    <t xml:space="preserve">oxt_oxtr_oxtl_Gene2_B2_P2_14; oxt_oxtr_oxtl</t>
  </si>
  <si>
    <t xml:space="preserve">ACGGGAATCTTGCTCTGGATCATAG</t>
  </si>
  <si>
    <t xml:space="preserve">GATGACGTAGGTGGAGGAGTTGCTC</t>
  </si>
  <si>
    <t xml:space="preserve">S203-01</t>
  </si>
  <si>
    <t xml:space="preserve">oxtrl_B2_P1_01</t>
  </si>
  <si>
    <t xml:space="preserve">CCTCGTAAATCCTCATCAAAGCCAGCAGCAGAATCAACACCAGCA</t>
  </si>
  <si>
    <t xml:space="preserve">oxtrl_B2_P2_01</t>
  </si>
  <si>
    <t xml:space="preserve">ACAAGGACGCACAGGTTTCCGGCGAAAATCATCCAGTAAACCGCC</t>
  </si>
  <si>
    <t xml:space="preserve">B2_P1 (OXTRL)_1</t>
  </si>
  <si>
    <t xml:space="preserve">B2_P2 (OXTRL)_1</t>
  </si>
  <si>
    <t xml:space="preserve">GCCAGCAGCAGAATCAACACCAGCA</t>
  </si>
  <si>
    <t xml:space="preserve">ACAAGGACGCACAGGTTTCCGGCGA</t>
  </si>
  <si>
    <t xml:space="preserve">S203-02</t>
  </si>
  <si>
    <t xml:space="preserve">oxtrl_B2_P1_02</t>
  </si>
  <si>
    <t xml:space="preserve">CCTCGTAAATCCTCATCAAAGTAATACATCCTCGACTGGCCGTGT</t>
  </si>
  <si>
    <t xml:space="preserve">oxtrl_B2_P2_02</t>
  </si>
  <si>
    <t xml:space="preserve">GTCAGCAATGCTCAAGTGTTTCATAAAATCATCCAGTAAACCGCC</t>
  </si>
  <si>
    <t xml:space="preserve">B2_P1 (OXTRL)_2</t>
  </si>
  <si>
    <t xml:space="preserve">B2_P2 (OXTRL)_2</t>
  </si>
  <si>
    <t xml:space="preserve">GTAATACATCCTCGACTGGCCGTGT</t>
  </si>
  <si>
    <t xml:space="preserve">GTCAGCAATGCTCAAGTGTTTCATA</t>
  </si>
  <si>
    <t xml:space="preserve">S203-03</t>
  </si>
  <si>
    <t xml:space="preserve">oxtrl_B2_P1_03</t>
  </si>
  <si>
    <t xml:space="preserve">CCTCGTAAATCCTCATCAAACCCAAATGAGTTGGGGGAGGACTTG</t>
  </si>
  <si>
    <t xml:space="preserve">oxtrl_B2_P2_03</t>
  </si>
  <si>
    <t xml:space="preserve">CTGGTCCATAAAAGCGAAAGGTGATAAATCATCCAGTAAACCGCC</t>
  </si>
  <si>
    <t xml:space="preserve">B2_P1 (OXTRL)_3</t>
  </si>
  <si>
    <t xml:space="preserve">B2_P2 (OXTRL)_3</t>
  </si>
  <si>
    <t xml:space="preserve">CCCAAATGAGTTGGGGGAGGACTTG</t>
  </si>
  <si>
    <t xml:space="preserve">CTGGTCCATAAAAGCGAAAGGTGAT</t>
  </si>
  <si>
    <t xml:space="preserve">S203-04</t>
  </si>
  <si>
    <t xml:space="preserve">oxtrl_B2_P1_04</t>
  </si>
  <si>
    <t xml:space="preserve">CCTCGTAAATCCTCATCAAAATGCCAACCACCTGTAGGTACTTCA</t>
  </si>
  <si>
    <t xml:space="preserve">oxtrl_B2_P2_04</t>
  </si>
  <si>
    <t xml:space="preserve">AGCACAAGCATGTAAGTGGACGCGAAAATCATCCAGTAAACCGCC</t>
  </si>
  <si>
    <t xml:space="preserve">B2_P1 (OXTRL)_4</t>
  </si>
  <si>
    <t xml:space="preserve">B2_P2 (OXTRL)_4</t>
  </si>
  <si>
    <t xml:space="preserve">ATGCCAACCACCTGTAGGTACTTCA</t>
  </si>
  <si>
    <t xml:space="preserve">AGCACAAGCATGTAAGTGGACGCGA</t>
  </si>
  <si>
    <t xml:space="preserve">S203-05</t>
  </si>
  <si>
    <t xml:space="preserve">oxtrl_B2_P1_05</t>
  </si>
  <si>
    <t xml:space="preserve">CCTCGTAAATCCTCATCAAAACGGAGAGGCTGCCAGATAGCCAAA</t>
  </si>
  <si>
    <t xml:space="preserve">oxtrl_B2_P2_05</t>
  </si>
  <si>
    <t xml:space="preserve">AAAACGGTCCTTTCGACGGCGCAGGAAATCATCCAGTAAACCGCC</t>
  </si>
  <si>
    <t xml:space="preserve">B2_P1 (OXTRL)_5</t>
  </si>
  <si>
    <t xml:space="preserve">B2_P2 (OXTRL)_5</t>
  </si>
  <si>
    <t xml:space="preserve">ACGGAGAGGCTGCCAGATAGCCAAA</t>
  </si>
  <si>
    <t xml:space="preserve">AAAACGGTCCTTTCGACGGCGCAGG</t>
  </si>
  <si>
    <t xml:space="preserve">S203-06</t>
  </si>
  <si>
    <t xml:space="preserve">oxtrl_B2_P1_06</t>
  </si>
  <si>
    <t xml:space="preserve">CCTCGTAAATCCTCATCAAAGCAAACTGAACAGCAGGCTTATAAT</t>
  </si>
  <si>
    <t xml:space="preserve">oxtrl_B2_P2_06</t>
  </si>
  <si>
    <t xml:space="preserve">CTCGAAGAGAGAAAATATACACCTGAAATCATCCAGTAAACCGCC</t>
  </si>
  <si>
    <t xml:space="preserve">B2_P1 (OXTRL)_6</t>
  </si>
  <si>
    <t xml:space="preserve">B2_P2 (OXTRL)_6</t>
  </si>
  <si>
    <t xml:space="preserve">GCAAACTGAACAGCAGGCTTATAAT</t>
  </si>
  <si>
    <t xml:space="preserve">CTCGAAGAGAGAAAATATACACCTG</t>
  </si>
  <si>
    <t xml:space="preserve">S203-07</t>
  </si>
  <si>
    <t xml:space="preserve">oxtrl_B2_P1_07</t>
  </si>
  <si>
    <t xml:space="preserve">CCTCGTAAATCCTCATCAAATGAACAAAATCCCCCCAGCAGTCGA</t>
  </si>
  <si>
    <t xml:space="preserve">oxtrl_B2_P2_07</t>
  </si>
  <si>
    <t xml:space="preserve">GTAACGTAAGCCTTCGCGCCCCAGGAAATCATCCAGTAAACCGCC</t>
  </si>
  <si>
    <t xml:space="preserve">B2_P1 (OXTRL)_7</t>
  </si>
  <si>
    <t xml:space="preserve">B2_P2 (OXTRL)_7</t>
  </si>
  <si>
    <t xml:space="preserve">TGAACAAAATCCCCCCAGCAGTCGA</t>
  </si>
  <si>
    <t xml:space="preserve">GTAACGTAAGCCTTCGCGCCCCAGG</t>
  </si>
  <si>
    <t xml:space="preserve">S203-08</t>
  </si>
  <si>
    <t xml:space="preserve">oxtrl_B2_P1_08</t>
  </si>
  <si>
    <t xml:space="preserve">CCTCGTAAATCCTCATCAAATAGAATGGCTACGGGGATGATGTAG</t>
  </si>
  <si>
    <t xml:space="preserve">oxtrl_B2_P2_08</t>
  </si>
  <si>
    <t xml:space="preserve">ATAACTTATCAGTCCGTAACAGACAAAATCATCCAGTAAACCGCC</t>
  </si>
  <si>
    <t xml:space="preserve">B2_P1 (OXTRL)_8</t>
  </si>
  <si>
    <t xml:space="preserve">B2_P2 (OXTRL)_8</t>
  </si>
  <si>
    <t xml:space="preserve">TAGAATGGCTACGGGGATGATGTAG</t>
  </si>
  <si>
    <t xml:space="preserve">ATAACTTATCAGTCCGTAACAGACA</t>
  </si>
  <si>
    <t xml:space="preserve">S204-01</t>
  </si>
  <si>
    <t xml:space="preserve">calb1_B3_P1_01</t>
  </si>
  <si>
    <t xml:space="preserve">GTCCCTGCCTCTATATCTTTTTGTCTGTTAGTTCCAGTCCCGCTT</t>
  </si>
  <si>
    <t xml:space="preserve">calb1_B3_P2_01</t>
  </si>
  <si>
    <t xml:space="preserve">TCATATTTCTCAACAAAGGCCTTCATTCCACTCAACTTTAACCCG</t>
  </si>
  <si>
    <t xml:space="preserve">B3_P1(calb1)_1</t>
  </si>
  <si>
    <t xml:space="preserve">B3_P2(calb1)_1</t>
  </si>
  <si>
    <t xml:space="preserve">TTGTCTGTTAGTTCCAGTCCCGCTT</t>
  </si>
  <si>
    <t xml:space="preserve">TCATATTTCTCAACAAAGGCCTTCA</t>
  </si>
  <si>
    <t xml:space="preserve">S204-02</t>
  </si>
  <si>
    <t xml:space="preserve">calb1_B3_P1_02</t>
  </si>
  <si>
    <t xml:space="preserve">GTCCCTGCCTCTATATCTTTTTGAACCAACTCAATGATACCTATT</t>
  </si>
  <si>
    <t xml:space="preserve">calb1_B3_P2_02</t>
  </si>
  <si>
    <t xml:space="preserve">CAAGAAGTTTTCCTCTGTAGGAAGTTTCCACTCAACTTTAACCCG</t>
  </si>
  <si>
    <t xml:space="preserve">B3_P1(calb1)_2</t>
  </si>
  <si>
    <t xml:space="preserve">B3_P2(calb1)_2</t>
  </si>
  <si>
    <t xml:space="preserve">TTGAACCAACTCAATGATACCTATT</t>
  </si>
  <si>
    <t xml:space="preserve">CAAGAAGTTTTCCTCTGTAGGAAGT</t>
  </si>
  <si>
    <t xml:space="preserve">S204-03</t>
  </si>
  <si>
    <t xml:space="preserve">calb1_B3_P1_03</t>
  </si>
  <si>
    <t xml:space="preserve">GTCCCTGCCTCTATATCTTTCCATAAATTCTGCACAGGACTTCAG</t>
  </si>
  <si>
    <t xml:space="preserve">calb1_B3_P2_03</t>
  </si>
  <si>
    <t xml:space="preserve">GATCAGCATCATATATTCTCCAAGCTTCCACTCAACTTTAACCCG</t>
  </si>
  <si>
    <t xml:space="preserve">B3_P1(calb1)_3</t>
  </si>
  <si>
    <t xml:space="preserve">B3_P2(calb1)_3</t>
  </si>
  <si>
    <t xml:space="preserve">CCATAAATTCTGCACAGGACTTCAG</t>
  </si>
  <si>
    <t xml:space="preserve">GATCAGCATCATATATTCTCCAAGC</t>
  </si>
  <si>
    <t xml:space="preserve">S204-04</t>
  </si>
  <si>
    <t xml:space="preserve">calb1_B3_P1_04</t>
  </si>
  <si>
    <t xml:space="preserve">GTCCCTGCCTCTATATCTTTTTCAAAAAGTTCTTCAGCTCATCAG</t>
  </si>
  <si>
    <t xml:space="preserve">calb1_B3_P2_04</t>
  </si>
  <si>
    <t xml:space="preserve">GGTTTTTTAGCCCTCTGAAGCAGGTTTCCACTCAACTTTAACCCG</t>
  </si>
  <si>
    <t xml:space="preserve">B3_P1(calb1)_4</t>
  </si>
  <si>
    <t xml:space="preserve">B3_P2(calb1)_4</t>
  </si>
  <si>
    <t xml:space="preserve">TTCAAAAAGTTCTTCAGCTCATCAG</t>
  </si>
  <si>
    <t xml:space="preserve">GGTTTTTTAGCCCTCTGAAGCAGGT</t>
  </si>
  <si>
    <t xml:space="preserve">S204-05</t>
  </si>
  <si>
    <t xml:space="preserve">calb1_B3_P1_05</t>
  </si>
  <si>
    <t xml:space="preserve">GTCCCTGCCTCTATATCTTTTAGCGTAGTCAATGTGTACTCCTCT</t>
  </si>
  <si>
    <t xml:space="preserve">calb1_B3_P2_05</t>
  </si>
  <si>
    <t xml:space="preserve">CCCATCTTTATTTGAATCAAAAATTTTCCACTCAACTTTAACCCG</t>
  </si>
  <si>
    <t xml:space="preserve">B3_P1(calb1)_5</t>
  </si>
  <si>
    <t xml:space="preserve">B3_P2(calb1)_5</t>
  </si>
  <si>
    <t xml:space="preserve">TAGCGTAGTCAATGTGTACTCCTCT</t>
  </si>
  <si>
    <t xml:space="preserve">CCCATCTTTATTTGAATCAAAAATT</t>
  </si>
  <si>
    <t xml:space="preserve">S204-06</t>
  </si>
  <si>
    <t xml:space="preserve">calb1_B3_P1_06</t>
  </si>
  <si>
    <t xml:space="preserve">GTCCCTGCCTCTATATCTTTCATTGTCCGGTAACAGCCGTGCCAT</t>
  </si>
  <si>
    <t xml:space="preserve">calb1_B3_P2_06</t>
  </si>
  <si>
    <t xml:space="preserve">CGCCCTGAAATTTTAGTAGAAAGTTTTCCACTCAACTTTAACCCG</t>
  </si>
  <si>
    <t xml:space="preserve">B3_P1(calb1)_6</t>
  </si>
  <si>
    <t xml:space="preserve">B3_P2(calb1)_6</t>
  </si>
  <si>
    <t xml:space="preserve">CATTGTCCGGTAACAGCCGTGCCAT</t>
  </si>
  <si>
    <t xml:space="preserve">CGCCCTGAAATTTTAGTAGAAAGTT</t>
  </si>
  <si>
    <t xml:space="preserve">S205-01</t>
  </si>
  <si>
    <t xml:space="preserve">chatb_B3_P1_01</t>
  </si>
  <si>
    <t xml:space="preserve">GTCCCTGCCTCTATATCTTTCCAGTTGTGTGTGTGTGCTCTTCTC</t>
  </si>
  <si>
    <t xml:space="preserve">chatb_B3_P2_01</t>
  </si>
  <si>
    <t xml:space="preserve">CATGTCCTCCAGCCACAGCTGGTACTTCCACTCAACTTTAACCCG</t>
  </si>
  <si>
    <t xml:space="preserve">B3_P1(chatb)_1</t>
  </si>
  <si>
    <t xml:space="preserve">B3_P2(chatb)_1</t>
  </si>
  <si>
    <t xml:space="preserve">CCAGTTGTGTGTGTGTGCTCTTCTC</t>
  </si>
  <si>
    <t xml:space="preserve">CATGTCCTCCAGCCACAGCTGGTAC</t>
  </si>
  <si>
    <t xml:space="preserve">S205-02</t>
  </si>
  <si>
    <t xml:space="preserve">chatb_B3_P1_02</t>
  </si>
  <si>
    <t xml:space="preserve">GTCCCTGCCTCTATATCTTTCTGGACTGGAGTGTACGGGCAGGGG</t>
  </si>
  <si>
    <t xml:space="preserve">chatb_B3_P2_02</t>
  </si>
  <si>
    <t xml:space="preserve">TGAAGGCCTGTATGGGAAGCACCAGTTCCACTCAACTTTAACCCG</t>
  </si>
  <si>
    <t xml:space="preserve">B3_P1(chatb)_2</t>
  </si>
  <si>
    <t xml:space="preserve">B3_P2(chatb)_2</t>
  </si>
  <si>
    <t xml:space="preserve">CTGGACTGGAGTGTACGGGCAGGGG</t>
  </si>
  <si>
    <t xml:space="preserve">TGAAGGCCTGTATGGGAAGCACCAG</t>
  </si>
  <si>
    <t xml:space="preserve">S205-03</t>
  </si>
  <si>
    <t xml:space="preserve">chatb_B3_P1_03</t>
  </si>
  <si>
    <t xml:space="preserve">GTCCCTGCCTCTATATCTTTAGAATAAGACGAGCTGCAAACTCCA</t>
  </si>
  <si>
    <t xml:space="preserve">chatb_B3_P2_03</t>
  </si>
  <si>
    <t xml:space="preserve">ACTGCAGTCTTCAACTCGCAAACACTTCCACTCAACTTTAACCCG</t>
  </si>
  <si>
    <t xml:space="preserve">B3_P1(chatb)_3</t>
  </si>
  <si>
    <t xml:space="preserve">B3_P2(chatb)_3</t>
  </si>
  <si>
    <t xml:space="preserve">AGAATAAGACGAGCTGCAAACTCCA</t>
  </si>
  <si>
    <t xml:space="preserve">ACTGCAGTCTTCAACTCGCAAACAC</t>
  </si>
  <si>
    <t xml:space="preserve">S205-04</t>
  </si>
  <si>
    <t xml:space="preserve">chatb_B3_P1_04</t>
  </si>
  <si>
    <t xml:space="preserve">GTCCCTGCCTCTATATCTTTGACACCCGACCCAGCAGAGTCCAGC</t>
  </si>
  <si>
    <t xml:space="preserve">chatb_B3_P2_04</t>
  </si>
  <si>
    <t xml:space="preserve">ACGCTTATACTGATCCATGCAGAGCTTCCACTCAACTTTAACCCG</t>
  </si>
  <si>
    <t xml:space="preserve">B3_P1(chatb)_4</t>
  </si>
  <si>
    <t xml:space="preserve">B3_P2(chatb)_4</t>
  </si>
  <si>
    <t xml:space="preserve">GACACCCGACCCAGCAGAGTCCAGC</t>
  </si>
  <si>
    <t xml:space="preserve">ACGCTTATACTGATCCATGCAGAGC</t>
  </si>
  <si>
    <t xml:space="preserve">S205-05</t>
  </si>
  <si>
    <t xml:space="preserve">chatb_B3_P1_05</t>
  </si>
  <si>
    <t xml:space="preserve">GTCCCTGCCTCTATATCTTTGTGTGTCCTGCTGGAGTCCGGCCCG</t>
  </si>
  <si>
    <t xml:space="preserve">chatb_B3_P2_05</t>
  </si>
  <si>
    <t xml:space="preserve">TGTTCTGCGAGGGCTCTGTGCTGATTTCCACTCAACTTTAACCCG</t>
  </si>
  <si>
    <t xml:space="preserve">B3_P1(chatb)_5</t>
  </si>
  <si>
    <t xml:space="preserve">B3_P2(chatb)_5</t>
  </si>
  <si>
    <t xml:space="preserve">GTGTGTCCTGCTGGAGTCCGGCCCG</t>
  </si>
  <si>
    <t xml:space="preserve">TGTTCTGCGAGGGCTCTGTGCTGAT</t>
  </si>
  <si>
    <t xml:space="preserve">S205-06</t>
  </si>
  <si>
    <t xml:space="preserve">chatb_B3_P1_06</t>
  </si>
  <si>
    <t xml:space="preserve">GTCCCTGCCTCTATATCTTTTTCAGCACGAAGAACTGGTTCCTGC</t>
  </si>
  <si>
    <t xml:space="preserve">chatb_B3_P2_06</t>
  </si>
  <si>
    <t xml:space="preserve">CTCAGAGTCCTGCAGCCCACCGACATTCCACTCAACTTTAACCCG</t>
  </si>
  <si>
    <t xml:space="preserve">B3_P1(chatb)_6</t>
  </si>
  <si>
    <t xml:space="preserve">B3_P2(chatb)_6</t>
  </si>
  <si>
    <t xml:space="preserve">TTCAGCACGAAGAACTGGTTCCTGC</t>
  </si>
  <si>
    <t xml:space="preserve">CTCAGAGTCCTGCAGCCCACCGACA</t>
  </si>
  <si>
    <t xml:space="preserve">S205-07</t>
  </si>
  <si>
    <t xml:space="preserve">chatb_B3_P1_07</t>
  </si>
  <si>
    <t xml:space="preserve">GTCCCTGCCTCTATATCTTTGTGTTCAGTGATCCACAGCAGCTGA</t>
  </si>
  <si>
    <t xml:space="preserve">chatb_B3_P2_07</t>
  </si>
  <si>
    <t xml:space="preserve">AGTGTGTGTGTGTGTGTGAGTGTGTTTCCACTCAACTTTAACCCG</t>
  </si>
  <si>
    <t xml:space="preserve">B3_P1(chatb)_7</t>
  </si>
  <si>
    <t xml:space="preserve">B3_P2(chatb)_7</t>
  </si>
  <si>
    <t xml:space="preserve">GTGTTCAGTGATCCACAGCAGCTGA</t>
  </si>
  <si>
    <t xml:space="preserve">AGTGTGTGTGTGTGTGTGAGTGTGT</t>
  </si>
  <si>
    <t xml:space="preserve">S205-08</t>
  </si>
  <si>
    <t xml:space="preserve">chatb_B3_P1_08</t>
  </si>
  <si>
    <t xml:space="preserve">GTCCCTGCCTCTATATCTTTGTAAGCCCAGCGCCGGCGGCTGCTC</t>
  </si>
  <si>
    <t xml:space="preserve">chatb_B3_P2_08</t>
  </si>
  <si>
    <t xml:space="preserve">CCCAGTCTCTCCTGCAGGCAGCAGTTTCCACTCAACTTTAACCCG</t>
  </si>
  <si>
    <t xml:space="preserve">B3_P1(chatb)_8</t>
  </si>
  <si>
    <t xml:space="preserve">B3_P2(chatb)_8</t>
  </si>
  <si>
    <t xml:space="preserve">GTAAGCCCAGCGCCGGCGGCTGCTC</t>
  </si>
  <si>
    <t xml:space="preserve">CCCAGTCTCTCCTGCAGGCAGCAGT</t>
  </si>
  <si>
    <t xml:space="preserve">S206-01</t>
  </si>
  <si>
    <t xml:space="preserve">fat2_B3_P1_01</t>
  </si>
  <si>
    <t xml:space="preserve">GTCCCTGCCTCTATATCTTTGAACTCTCCACGTAGGTCTTAGGGG</t>
  </si>
  <si>
    <t xml:space="preserve">fat2_B3_P2_01</t>
  </si>
  <si>
    <t xml:space="preserve">TCAGTCAGTAATATGCCCATCCGGATTCCACTCAACTTTAACCCG</t>
  </si>
  <si>
    <t xml:space="preserve">B3_P1(fat2)_1</t>
  </si>
  <si>
    <t xml:space="preserve">B3_P2(fat2)_1</t>
  </si>
  <si>
    <t xml:space="preserve">GAACTCTCCACGTAGGTCTTAGGGG</t>
  </si>
  <si>
    <t xml:space="preserve">TCAGTCAGTAATATGCCCATCCGGA</t>
  </si>
  <si>
    <t xml:space="preserve">S206-02</t>
  </si>
  <si>
    <t xml:space="preserve">fat2_B3_P1_02</t>
  </si>
  <si>
    <t xml:space="preserve">GTCCCTGCCTCTATATCTTTATCATCACCAGAGACAATCTTGTAC</t>
  </si>
  <si>
    <t xml:space="preserve">fat2_B3_P2_02</t>
  </si>
  <si>
    <t xml:space="preserve">TTCTTTCTCGGTCTGGAAAAGGCCATTCCACTCAACTTTAACCCG</t>
  </si>
  <si>
    <t xml:space="preserve">B3_P1(fat2)_2</t>
  </si>
  <si>
    <t xml:space="preserve">B3_P2(fat2)_2</t>
  </si>
  <si>
    <t xml:space="preserve">ATCATCACCAGAGACAATCTTGTAC</t>
  </si>
  <si>
    <t xml:space="preserve">TTCTTTCTCGGTCTGGAAAAGGCCA</t>
  </si>
  <si>
    <t xml:space="preserve">S206-03</t>
  </si>
  <si>
    <t xml:space="preserve">fat2_B3_P1_03</t>
  </si>
  <si>
    <t xml:space="preserve">GTCCCTGCCTCTATATCTTTTGCTTCGGGTTATGATTCTCAGAAA</t>
  </si>
  <si>
    <t xml:space="preserve">fat2_B3_P2_03</t>
  </si>
  <si>
    <t xml:space="preserve">CCTCTCGGTTGAGCACAGCTGAGTTTTCCACTCAACTTTAACCCG</t>
  </si>
  <si>
    <t xml:space="preserve">B3_P1(fat2)_3</t>
  </si>
  <si>
    <t xml:space="preserve">B3_P2(fat2)_3</t>
  </si>
  <si>
    <t xml:space="preserve">TGCTTCGGGTTATGATTCTCAGAAA</t>
  </si>
  <si>
    <t xml:space="preserve">CCTCTCGGTTGAGCACAGCTGAGTT</t>
  </si>
  <si>
    <t xml:space="preserve">S206-04</t>
  </si>
  <si>
    <t xml:space="preserve">fat2_B3_P1_04</t>
  </si>
  <si>
    <t xml:space="preserve">GTCCCTGCCTCTATATCTTTGTGCTTTCTGTAGCCTCAACAGTGA</t>
  </si>
  <si>
    <t xml:space="preserve">fat2_B3_P2_04</t>
  </si>
  <si>
    <t xml:space="preserve">ACCTTTGTTCTAGCTCGGTTGTCAATTCCACTCAACTTTAACCCG</t>
  </si>
  <si>
    <t xml:space="preserve">B3_P1(fat2)_4</t>
  </si>
  <si>
    <t xml:space="preserve">B3_P2(fat2)_4</t>
  </si>
  <si>
    <t xml:space="preserve">GTGCTTTCTGTAGCCTCAACAGTGA</t>
  </si>
  <si>
    <t xml:space="preserve">ACCTTTGTTCTAGCTCGGTTGTCAA</t>
  </si>
  <si>
    <t xml:space="preserve">S206-05</t>
  </si>
  <si>
    <t xml:space="preserve">fat2_B3_P1_05</t>
  </si>
  <si>
    <t xml:space="preserve">GTCCCTGCCTCTATATCTTTGAAGAGCGGTTTCAGATCATTTGTG</t>
  </si>
  <si>
    <t xml:space="preserve">fat2_B3_P2_05</t>
  </si>
  <si>
    <t xml:space="preserve">AATTACCACATGATAAGAGGCAGGGTTCCACTCAACTTTAACCCG</t>
  </si>
  <si>
    <t xml:space="preserve">B3_P1(fat2)_5</t>
  </si>
  <si>
    <t xml:space="preserve">B3_P2(fat2)_5</t>
  </si>
  <si>
    <t xml:space="preserve">GAAGAGCGGTTTCAGATCATTTGTG</t>
  </si>
  <si>
    <t xml:space="preserve">AATTACCACATGATAAGAGGCAGGG</t>
  </si>
  <si>
    <t xml:space="preserve">S206-06</t>
  </si>
  <si>
    <t xml:space="preserve">fat2_B3_P1_06</t>
  </si>
  <si>
    <t xml:space="preserve">GTCCCTGCCTCTATATCTTTCACTCACTCTCACCAGGCTCGACTT</t>
  </si>
  <si>
    <t xml:space="preserve">fat2_B3_P2_06</t>
  </si>
  <si>
    <t xml:space="preserve">CATTGCTGCCAATATCAGCATCCGTTTCCACTCAACTTTAACCCG</t>
  </si>
  <si>
    <t xml:space="preserve">B3_P1(fat2)_6</t>
  </si>
  <si>
    <t xml:space="preserve">B3_P2(fat2)_6</t>
  </si>
  <si>
    <t xml:space="preserve">CACTCACTCTCACCAGGCTCGACTT</t>
  </si>
  <si>
    <t xml:space="preserve">CATTGCTGCCAATATCAGCATCCGT</t>
  </si>
  <si>
    <t xml:space="preserve">S207-01</t>
  </si>
  <si>
    <t xml:space="preserve">kctd12.2_B3_P1_01</t>
  </si>
  <si>
    <t xml:space="preserve">GTCCCTGCCTCTATATCTTTGCAAAGTTGAGTGGCGCGTAACGTA</t>
  </si>
  <si>
    <t xml:space="preserve">kctd12.2_B3_P2_01</t>
  </si>
  <si>
    <t xml:space="preserve">TCCAAAGTAAAGAATTGGGCACGGATTCCACTCAACTTTAACCCG</t>
  </si>
  <si>
    <t xml:space="preserve">B3_P1(kctd12.2)_1</t>
  </si>
  <si>
    <t xml:space="preserve">B3_P2(kctd12.2)_1</t>
  </si>
  <si>
    <t xml:space="preserve">S207-02</t>
  </si>
  <si>
    <t xml:space="preserve">kctd12.2_B3_P1_02</t>
  </si>
  <si>
    <t xml:space="preserve">GTCCCTGCCTCTATATCTTTCTGTCGGTAGTAAGTTCCGCGGGTT</t>
  </si>
  <si>
    <t xml:space="preserve">kctd12.2_B3_P2_02</t>
  </si>
  <si>
    <t xml:space="preserve">TCCCTGTCCAAAAAGAAGCGTCCTTTTCCACTCAACTTTAACCCG</t>
  </si>
  <si>
    <t xml:space="preserve">B3_P1(kctd12.2)_2</t>
  </si>
  <si>
    <t xml:space="preserve">B3_P2(kctd12.2)_2</t>
  </si>
  <si>
    <t xml:space="preserve">S207-03</t>
  </si>
  <si>
    <t xml:space="preserve">kctd12.2_B3_P1_03</t>
  </si>
  <si>
    <t xml:space="preserve">GTCCCTGCCTCTATATCTTTCTGGTCCCGCAAGTAATCCAAAATA</t>
  </si>
  <si>
    <t xml:space="preserve">kctd12.2_B3_P2_03</t>
  </si>
  <si>
    <t xml:space="preserve">TTTGAAGTAATCAGGCAAAACCAGATTCCACTCAACTTTAACCCG</t>
  </si>
  <si>
    <t xml:space="preserve">B3_P1(kctd12.2)_3</t>
  </si>
  <si>
    <t xml:space="preserve">B3_P2(kctd12.2)_3</t>
  </si>
  <si>
    <t xml:space="preserve">S207-04</t>
  </si>
  <si>
    <t xml:space="preserve">kctd12.2_B3_P1_04</t>
  </si>
  <si>
    <t xml:space="preserve">GTCCCTGCCTCTATATCTTTGAAGTTGGAAATATTCTGCCTCTTT</t>
  </si>
  <si>
    <t xml:space="preserve">kctd12.2_B3_P2_04</t>
  </si>
  <si>
    <t xml:space="preserve">CAGGTTTCAGGCGCTTTGCCAGGTCTTCCACTCAACTTTAACCCG</t>
  </si>
  <si>
    <t xml:space="preserve">B3_P1(kctd12.2)_4</t>
  </si>
  <si>
    <t xml:space="preserve">B3_P2(kctd12.2)_4</t>
  </si>
  <si>
    <t xml:space="preserve">S207-05</t>
  </si>
  <si>
    <t xml:space="preserve">kctd12.2_B3_P1_05</t>
  </si>
  <si>
    <t xml:space="preserve">GTCCCTGCCTCTATATCTTTCTCTGGCAAACCTCCTCGCTGATGG</t>
  </si>
  <si>
    <t xml:space="preserve">kctd12.2_B3_P2_05</t>
  </si>
  <si>
    <t xml:space="preserve">CCGGCGAGCGCAGCCTCCTCCGGGTTTCCACTCAACTTTAACCCG</t>
  </si>
  <si>
    <t xml:space="preserve">B3_P1(kctd12.2)_5</t>
  </si>
  <si>
    <t xml:space="preserve">B3_P2(kctd12.2)_5</t>
  </si>
  <si>
    <t xml:space="preserve">S207-06</t>
  </si>
  <si>
    <t xml:space="preserve">kctd12.2_B3_P1_06</t>
  </si>
  <si>
    <t xml:space="preserve">GTCCCTGCCTCTATATCTTTGTCCAAAGACGGTGAGCGGGGGCCG</t>
  </si>
  <si>
    <t xml:space="preserve">kctd12.2_B3_P2_06</t>
  </si>
  <si>
    <t xml:space="preserve">GATGGTTATGAAGCCGGTTTTCCTCTTCCACTCAACTTTAACCCG</t>
  </si>
  <si>
    <t xml:space="preserve">B3_P1(kctd12.2)_6</t>
  </si>
  <si>
    <t xml:space="preserve">B3_P2(kctd12.2)_6</t>
  </si>
  <si>
    <t xml:space="preserve">S207-07</t>
  </si>
  <si>
    <t xml:space="preserve">kctd12.2_B3_P1_07</t>
  </si>
  <si>
    <t xml:space="preserve">GTCCCTGCCTCTATATCTTTCCTGTTGAAGATCTCGTCCTATAGT</t>
  </si>
  <si>
    <t xml:space="preserve">kctd12.2_B3_P2_07</t>
  </si>
  <si>
    <t xml:space="preserve">TTCTCGCCACCCGTCGGAATTTGGCTTCCACTCAACTTTAACCCG</t>
  </si>
  <si>
    <t xml:space="preserve">B3_P1(kctd12.2)_7</t>
  </si>
  <si>
    <t xml:space="preserve">B3_P2(kctd12.2)_7</t>
  </si>
  <si>
    <t xml:space="preserve">S207-08</t>
  </si>
  <si>
    <t xml:space="preserve">kctd12.2_B3_P1_08</t>
  </si>
  <si>
    <t xml:space="preserve">GTCCCTGCCTCTATATCTTTCCGAAAACTTCTTTGGCGAGAGACG</t>
  </si>
  <si>
    <t xml:space="preserve">kctd12.2_B3_P2_08</t>
  </si>
  <si>
    <t xml:space="preserve">GGGTCTCTGCTCTCGTTCAGCGTCTTTCCACTCAACTTTAACCCG</t>
  </si>
  <si>
    <t xml:space="preserve">B3_P1(kctd12.2)_8</t>
  </si>
  <si>
    <t xml:space="preserve">B3_P2(kctd12.2)_8</t>
  </si>
  <si>
    <t xml:space="preserve">S208-01</t>
  </si>
  <si>
    <t xml:space="preserve">nrp1a_B3_P1_01</t>
  </si>
  <si>
    <t xml:space="preserve">GTCCCTGCCTCTATATCTTTGTAATCACCCATATGCATTTCTGAG</t>
  </si>
  <si>
    <t xml:space="preserve">nrp1a_B3_P2_01</t>
  </si>
  <si>
    <t xml:space="preserve">AAAATCCTCTGGTTGGGTCCTGGAGTTCCACTCAACTTTAACCCG</t>
  </si>
  <si>
    <t xml:space="preserve">B3_P1(nrp1a)_1</t>
  </si>
  <si>
    <t xml:space="preserve">B3_P2(nrp1a)_1</t>
  </si>
  <si>
    <t xml:space="preserve">GTAATCACCCATATGCATTTCTGAG</t>
  </si>
  <si>
    <t xml:space="preserve">AAAATCCTCTGGTTGGGTCCTGGAG</t>
  </si>
  <si>
    <t xml:space="preserve">S208-02</t>
  </si>
  <si>
    <t xml:space="preserve">nrp1a_B3_P1_02</t>
  </si>
  <si>
    <t xml:space="preserve">GTCCCTGCCTCTATATCTTTGCACTCTCGGTCTTCCAGGTCAAAG</t>
  </si>
  <si>
    <t xml:space="preserve">nrp1a_B3_P2_02</t>
  </si>
  <si>
    <t xml:space="preserve">GTCTCTCACTTCCACATAGTCATATTTCCACTCAACTTTAACCCG</t>
  </si>
  <si>
    <t xml:space="preserve">B3_P1(nrp1a)_2</t>
  </si>
  <si>
    <t xml:space="preserve">B3_P2(nrp1a)_2</t>
  </si>
  <si>
    <t xml:space="preserve">GCACTCTCGGTCTTCCAGGTCAAAG</t>
  </si>
  <si>
    <t xml:space="preserve">GTCTCTCACTTCCACATAGTCATAT</t>
  </si>
  <si>
    <t xml:space="preserve">S208-03</t>
  </si>
  <si>
    <t xml:space="preserve">nrp1a_B3_P1_03</t>
  </si>
  <si>
    <t xml:space="preserve">GTCCCTGCCTCTATATCTTTTTCCACAATATTTGCCCACCAGCTG</t>
  </si>
  <si>
    <t xml:space="preserve">nrp1a_B3_P2_03</t>
  </si>
  <si>
    <t xml:space="preserve">ACGAGACCACCGGAGATGGAGCGATTTCCACTCAACTTTAACCCG</t>
  </si>
  <si>
    <t xml:space="preserve">B3_P1(nrp1a)_3</t>
  </si>
  <si>
    <t xml:space="preserve">B3_P2(nrp1a)_3</t>
  </si>
  <si>
    <t xml:space="preserve">TTCCACAATATTTGCCCACCAGCTG</t>
  </si>
  <si>
    <t xml:space="preserve">ACGAGACCACCGGAGATGGAGCGAT</t>
  </si>
  <si>
    <t xml:space="preserve">S208-04</t>
  </si>
  <si>
    <t xml:space="preserve">nrp1a_B3_P1_04</t>
  </si>
  <si>
    <t xml:space="preserve">GTCCCTGCCTCTATATCTTTGTCTCGTAGTCGGACACAAACTTGA</t>
  </si>
  <si>
    <t xml:space="preserve">nrp1a_B3_P2_04</t>
  </si>
  <si>
    <t xml:space="preserve">TAGCGGATGGAGAATCCGGCACCGTTTCCACTCAACTTTAACCCG</t>
  </si>
  <si>
    <t xml:space="preserve">B3_P1(nrp1a)_4</t>
  </si>
  <si>
    <t xml:space="preserve">B3_P2(nrp1a)_4</t>
  </si>
  <si>
    <t xml:space="preserve">GTCTCGTAGTCGGACACAAACTTGA</t>
  </si>
  <si>
    <t xml:space="preserve">TAGCGGATGGAGAATCCGGCACCGT</t>
  </si>
  <si>
    <t xml:space="preserve">S208-05</t>
  </si>
  <si>
    <t xml:space="preserve">nrp1a_B3_P1_05</t>
  </si>
  <si>
    <t xml:space="preserve">GTCCCTGCCTCTATATCTTTGGTGAAGTTCCTGGAACATTCTGGA</t>
  </si>
  <si>
    <t xml:space="preserve">nrp1a_B3_P2_05</t>
  </si>
  <si>
    <t xml:space="preserve">GGGCGACTTGATGACTCCGCTGCTGTTCCACTCAACTTTAACCCG</t>
  </si>
  <si>
    <t xml:space="preserve">B3_P1(nrp1a)_5</t>
  </si>
  <si>
    <t xml:space="preserve">B3_P2(nrp1a)_5</t>
  </si>
  <si>
    <t xml:space="preserve">GGTGAAGTTCCTGGAACATTCTGGA</t>
  </si>
  <si>
    <t xml:space="preserve">GGGCGACTTGATGACTCCGCTGCTG</t>
  </si>
  <si>
    <t xml:space="preserve">S208-06</t>
  </si>
  <si>
    <t xml:space="preserve">nrp1a_B3_P1_06</t>
  </si>
  <si>
    <t xml:space="preserve">GTCCCTGCCTCTATATCTTTTGAACGTGCAGTCCAAATTATTGGG</t>
  </si>
  <si>
    <t xml:space="preserve">nrp1a_B3_P2_06</t>
  </si>
  <si>
    <t xml:space="preserve">TTTCTGACATCTTAGGAGCAAAGATTTCCACTCAACTTTAACCCG</t>
  </si>
  <si>
    <t xml:space="preserve">B3_P1(nrp1a)_6</t>
  </si>
  <si>
    <t xml:space="preserve">B3_P2(nrp1a)_6</t>
  </si>
  <si>
    <t xml:space="preserve">TGAACGTGCAGTCCAAATTATTGGG</t>
  </si>
  <si>
    <t xml:space="preserve">TTTCTGACATCTTAGGAGCAAAGAT</t>
  </si>
  <si>
    <t xml:space="preserve">S208-07</t>
  </si>
  <si>
    <t xml:space="preserve">nrp1a_B3_P1_07</t>
  </si>
  <si>
    <t xml:space="preserve">GTCCCTGCCTCTATATCTTTTGCGTGTCTGGCTCCAGCTCAAAAC</t>
  </si>
  <si>
    <t xml:space="preserve">nrp1a_B3_P2_07</t>
  </si>
  <si>
    <t xml:space="preserve">TATCGGCAGAAGACTCCGGCGGGCGTTCCACTCAACTTTAACCCG</t>
  </si>
  <si>
    <t xml:space="preserve">B3_P1(nrp1a)_7</t>
  </si>
  <si>
    <t xml:space="preserve">B3_P2(nrp1a)_7</t>
  </si>
  <si>
    <t xml:space="preserve">TGCGTGTCTGGCTCCAGCTCAAAAC</t>
  </si>
  <si>
    <t xml:space="preserve">TATCGGCAGAAGACTCCGGCGGGCG</t>
  </si>
  <si>
    <t xml:space="preserve">S208-08</t>
  </si>
  <si>
    <t xml:space="preserve">nrp1a_B3_P1_08</t>
  </si>
  <si>
    <t xml:space="preserve">GTCCCTGCCTCTATATCTTTTGGACCAACTCCAGGGAATCCGTCC</t>
  </si>
  <si>
    <t xml:space="preserve">nrp1a_B3_P2_08</t>
  </si>
  <si>
    <t xml:space="preserve">ATTCTGTCCGCAGTATCTGCCGATGTTCCACTCAACTTTAACCCG</t>
  </si>
  <si>
    <t xml:space="preserve">B3_P1(nrp1a)_8</t>
  </si>
  <si>
    <t xml:space="preserve">B3_P2(nrp1a)_8</t>
  </si>
  <si>
    <t xml:space="preserve">TGGACCAACTCCAGGGAATCCGTCC</t>
  </si>
  <si>
    <t xml:space="preserve">ATTCTGTCCGCAGTATCTGCCGATG</t>
  </si>
  <si>
    <t xml:space="preserve">S209-01</t>
  </si>
  <si>
    <t xml:space="preserve">omp_B3_P1_01</t>
  </si>
  <si>
    <t xml:space="preserve">GTCCCTGCCTCTATATCTTTATCAGGATTGAACGTCAACTCCAGA</t>
  </si>
  <si>
    <t xml:space="preserve">omp_B3_P2_01</t>
  </si>
  <si>
    <t xml:space="preserve">CAGACGCATCATCTCCGTCAGCTGGTTCCACTCAACTTTAACCCG</t>
  </si>
  <si>
    <t xml:space="preserve">B3_P1(omp)_1</t>
  </si>
  <si>
    <t xml:space="preserve">B3_P2(omp)_1</t>
  </si>
  <si>
    <t xml:space="preserve">ATCAGGATTGAACGTCAACTCCAGA</t>
  </si>
  <si>
    <t xml:space="preserve">CAGACGCATCATCTCCGTCAGCTGG</t>
  </si>
  <si>
    <t xml:space="preserve">S209-02</t>
  </si>
  <si>
    <t xml:space="preserve">omp_B3_P1_02</t>
  </si>
  <si>
    <t xml:space="preserve">GTCCCTGCCTCTATATCTTTCGTCTTGACGTTTCTGTCCTCGTTG</t>
  </si>
  <si>
    <t xml:space="preserve">omp_B3_P2_02</t>
  </si>
  <si>
    <t xml:space="preserve">GCTCGTTGGACTTGAGGAGACGCTCTTCCACTCAACTTTAACCCG</t>
  </si>
  <si>
    <t xml:space="preserve">B3_P1(omp)_2</t>
  </si>
  <si>
    <t xml:space="preserve">B3_P2(omp)_2</t>
  </si>
  <si>
    <t xml:space="preserve">CGTCTTGACGTTTCTGTCCTCGTTG</t>
  </si>
  <si>
    <t xml:space="preserve">GCTCGTTGGACTTGAGGAGACGCTC</t>
  </si>
  <si>
    <t xml:space="preserve">S209-03</t>
  </si>
  <si>
    <t xml:space="preserve">omp_B3_P1_03</t>
  </si>
  <si>
    <t xml:space="preserve">GTCCCTGCCTCTATATCTTTGTGAAATGCAAGGCCTGTTCGGAGA</t>
  </si>
  <si>
    <t xml:space="preserve">omp_B3_P2_03</t>
  </si>
  <si>
    <t xml:space="preserve">GGGCTGGAAATGCGAATGTTCCAGCTTCCACTCAACTTTAACCCG</t>
  </si>
  <si>
    <t xml:space="preserve">B3_P1(omp)_3</t>
  </si>
  <si>
    <t xml:space="preserve">B3_P2(omp)_3</t>
  </si>
  <si>
    <t xml:space="preserve">GTGAAATGCAAGGCCTGTTCGGAGA</t>
  </si>
  <si>
    <t xml:space="preserve">GGGCTGGAAATGCGAATGTTCCAGC</t>
  </si>
  <si>
    <t xml:space="preserve">S209-04</t>
  </si>
  <si>
    <t xml:space="preserve">omp_B3_P1_04</t>
  </si>
  <si>
    <t xml:space="preserve">GTCCCTGCCTCTATATCTTTGGGCGTCCAGAGCTGGGAAGTGGCG</t>
  </si>
  <si>
    <t xml:space="preserve">omp_B3_P2_04</t>
  </si>
  <si>
    <t xml:space="preserve">CTGCCGGGTCATCAGGTGTGTGAGGTTCCACTCAACTTTAACCCG</t>
  </si>
  <si>
    <t xml:space="preserve">B3_P1(omp)_4</t>
  </si>
  <si>
    <t xml:space="preserve">B3_P2(omp)_4</t>
  </si>
  <si>
    <t xml:space="preserve">GGGCGTCCAGAGCTGGGAAGTGGCG</t>
  </si>
  <si>
    <t xml:space="preserve">CTGCCGGGTCATCAGGTGTGTGAGG</t>
  </si>
  <si>
    <t xml:space="preserve">S209-05</t>
  </si>
  <si>
    <t xml:space="preserve">omp_B3_P1_05</t>
  </si>
  <si>
    <t xml:space="preserve">GTCCCTGCCTCTATATCTTTCGTCGTCTGCGCTCCTCCAGAAGAG</t>
  </si>
  <si>
    <t xml:space="preserve">omp_B3_P2_05</t>
  </si>
  <si>
    <t xml:space="preserve">CGTCGGCCTCATAACACTGGATGTTTTCCACTCAACTTTAACCCG</t>
  </si>
  <si>
    <t xml:space="preserve">B3_P1(omp)_5</t>
  </si>
  <si>
    <t xml:space="preserve">B3_P2(omp)_5</t>
  </si>
  <si>
    <t xml:space="preserve">CGTCGTCTGCGCTCCTCCAGAAGAG</t>
  </si>
  <si>
    <t xml:space="preserve">CGTCGGCCTCATAACACTGGATGTT</t>
  </si>
  <si>
    <t xml:space="preserve">S209-06</t>
  </si>
  <si>
    <t xml:space="preserve">omp_B3_P1_06</t>
  </si>
  <si>
    <t xml:space="preserve">GTCCCTGCCTCTATATCTTTCGCACTTTGGCCAGCTCTGCTATCC</t>
  </si>
  <si>
    <t xml:space="preserve">omp_B3_P2_06</t>
  </si>
  <si>
    <t xml:space="preserve">AAGGCGAACAGGAAATACATCACCTTTCCACTCAACTTTAACCCG</t>
  </si>
  <si>
    <t xml:space="preserve">B3_P1(omp)_6</t>
  </si>
  <si>
    <t xml:space="preserve">B3_P2(omp)_6</t>
  </si>
  <si>
    <t xml:space="preserve">CGCACTTTGGCCAGCTCTGCTATCC</t>
  </si>
  <si>
    <t xml:space="preserve">AAGGCGAACAGGAAATACATCACCT</t>
  </si>
  <si>
    <t xml:space="preserve">S210-01</t>
  </si>
  <si>
    <t xml:space="preserve">oxtrl_B3_P1_01</t>
  </si>
  <si>
    <t xml:space="preserve">GTCCCTGCCTCTATATCTTTTCACGTCTTTTAGCAGGCTCTCCAT</t>
  </si>
  <si>
    <t xml:space="preserve">oxtrl_B3_P2_01</t>
  </si>
  <si>
    <t xml:space="preserve">CCCAGGAGTCGTTAATGGGCCAGAGTTCCACTCAACTTTAACCCG</t>
  </si>
  <si>
    <t xml:space="preserve">oxt_oxtr_oxtl_Gene3_B3_P1_1; oxt_oxtr_oxtl</t>
  </si>
  <si>
    <t xml:space="preserve">oxt_oxtr_oxtl_Gene3_B3_P2_1; oxt_oxtr_oxtl</t>
  </si>
  <si>
    <t xml:space="preserve">TCACGTCTTTTAGCAGGCTCTCCAT</t>
  </si>
  <si>
    <t xml:space="preserve">CCCAGGAGTCGTTAATGGGCCAGAG</t>
  </si>
  <si>
    <t xml:space="preserve">S210-02</t>
  </si>
  <si>
    <t xml:space="preserve">oxtrl_B3_P1_02</t>
  </si>
  <si>
    <t xml:space="preserve">GTCCCTGCCTCTATATCTTTGGGGTTCACAGTTTGGTTCAATCCT</t>
  </si>
  <si>
    <t xml:space="preserve">oxtrl_B3_P2_02</t>
  </si>
  <si>
    <t xml:space="preserve">TTTAGCAACTTCTTCGTTGCGCTTCTTCCACTCAACTTTAACCCG</t>
  </si>
  <si>
    <t xml:space="preserve">oxt_oxtr_oxtl_Gene3_B3_P1_2; oxt_oxtr_oxtl</t>
  </si>
  <si>
    <t xml:space="preserve">oxt_oxtr_oxtl_Gene3_B3_P2_2; oxt_oxtr_oxtl</t>
  </si>
  <si>
    <t xml:space="preserve">GGGGTTCACAGTTTGGTTCAATCCT</t>
  </si>
  <si>
    <t xml:space="preserve">TTTAGCAACTTCTTCGTTGCGCTTC</t>
  </si>
  <si>
    <t xml:space="preserve">S210-03</t>
  </si>
  <si>
    <t xml:space="preserve">oxtrl_B3_P1_03</t>
  </si>
  <si>
    <t xml:space="preserve">GTCCCTGCCTCTATATCTTTAGGTTTCCGGCGAGCGCCAGCAGCA</t>
  </si>
  <si>
    <t xml:space="preserve">oxtrl_B3_P2_03</t>
  </si>
  <si>
    <t xml:space="preserve">CTCGTCTGGATGGCCACAAGGACGCTTCCACTCAACTTTAACCCG</t>
  </si>
  <si>
    <t xml:space="preserve">oxt_oxtr_oxtl_Gene3_B3_P1_3; oxt_oxtr_oxtl</t>
  </si>
  <si>
    <t xml:space="preserve">oxt_oxtr_oxtl_Gene3_B3_P2_3; oxt_oxtr_oxtl</t>
  </si>
  <si>
    <t xml:space="preserve">AGGTTTCCGGCGAGCGCCAGCAGCA</t>
  </si>
  <si>
    <t xml:space="preserve">CTCGTCTGGATGGCCACAAGGACGC</t>
  </si>
  <si>
    <t xml:space="preserve">S210-04</t>
  </si>
  <si>
    <t xml:space="preserve">oxtrl_B3_P1_04</t>
  </si>
  <si>
    <t xml:space="preserve">GTCCCTGCCTCTATATCTTTGTCAGCAATGCTCAAGTGTTTCATA</t>
  </si>
  <si>
    <t xml:space="preserve">oxtrl_B3_P2_04</t>
  </si>
  <si>
    <t xml:space="preserve">GAGGACTTGAAAAACCGCCACCACCTTCCACTCAACTTTAACCCG</t>
  </si>
  <si>
    <t xml:space="preserve">oxt_oxtr_oxtl_Gene3_B3_P1_4; oxt_oxtr_oxtl</t>
  </si>
  <si>
    <t xml:space="preserve">oxt_oxtr_oxtl_Gene3_B3_P2_4; oxt_oxtr_oxtl</t>
  </si>
  <si>
    <t xml:space="preserve">GAGGACTTGAAAAACCGCCACCACC</t>
  </si>
  <si>
    <t xml:space="preserve">S210-05</t>
  </si>
  <si>
    <t xml:space="preserve">oxtrl_B3_P1_05</t>
  </si>
  <si>
    <t xml:space="preserve">GTCCCTGCCTCTATATCTTTCACAGAAAGTCTGGTCCATAAAAGC</t>
  </si>
  <si>
    <t xml:space="preserve">oxtrl_B3_P2_05</t>
  </si>
  <si>
    <t xml:space="preserve">ACCACCTGTAGGTACTTCACTAAACTTCCACTCAACTTTAACCCG</t>
  </si>
  <si>
    <t xml:space="preserve">oxt_oxtr_oxtl_Gene3_B3_P1_5; oxt_oxtr_oxtl</t>
  </si>
  <si>
    <t xml:space="preserve">oxt_oxtr_oxtl_Gene3_B3_P2_5; oxt_oxtr_oxtl</t>
  </si>
  <si>
    <t xml:space="preserve">CACAGAAAGTCTGGTCCATAAAAGC</t>
  </si>
  <si>
    <t xml:space="preserve">ACCACCTGTAGGTACTTCACTAAAC</t>
  </si>
  <si>
    <t xml:space="preserve">S210-06</t>
  </si>
  <si>
    <t xml:space="preserve">oxtrl_B3_P1_06</t>
  </si>
  <si>
    <t xml:space="preserve">GTCCCTGCCTCTATATCTTTAACATCTGTCGATGGACATCAGCAC</t>
  </si>
  <si>
    <t xml:space="preserve">oxtrl_B3_P2_06</t>
  </si>
  <si>
    <t xml:space="preserve">GGGAACGGAGAGGCTGCCAGATAGCTTCCACTCAACTTTAACCCG</t>
  </si>
  <si>
    <t xml:space="preserve">oxt_oxtr_oxtl_Gene3_B3_P1_6; oxt_oxtr_oxtl</t>
  </si>
  <si>
    <t xml:space="preserve">oxt_oxtr_oxtl_Gene3_B3_P2_6; oxt_oxtr_oxtl</t>
  </si>
  <si>
    <t xml:space="preserve">AACATCTGTCGATGGACATCAGCAC</t>
  </si>
  <si>
    <t xml:space="preserve">GGGAACGGAGAGGCTGCCAGATAGC</t>
  </si>
  <si>
    <t xml:space="preserve">S210-07</t>
  </si>
  <si>
    <t xml:space="preserve">oxtrl_B3_P1_07</t>
  </si>
  <si>
    <t xml:space="preserve">GTCCCTGCCTCTATATCTTTCAGGCTTATAATCCAAGAGGCCAAT</t>
  </si>
  <si>
    <t xml:space="preserve">oxtrl_B3_P2_07</t>
  </si>
  <si>
    <t xml:space="preserve">AATATACACCTGCGGCAAACTGAACTTCCACTCAACTTTAACCCG</t>
  </si>
  <si>
    <t xml:space="preserve">oxt_oxtr_oxtl_Gene3_B3_P1_7; oxt_oxtr_oxtl</t>
  </si>
  <si>
    <t xml:space="preserve">oxt_oxtr_oxtl_Gene3_B3_P2_7; oxt_oxtr_oxtl</t>
  </si>
  <si>
    <t xml:space="preserve">CAGGCTTATAATCCAAGAGGCCAAT</t>
  </si>
  <si>
    <t xml:space="preserve">AATATACACCTGCGGCAAACTGAAC</t>
  </si>
  <si>
    <t xml:space="preserve">S210-08</t>
  </si>
  <si>
    <t xml:space="preserve">oxtrl_B3_P1_08</t>
  </si>
  <si>
    <t xml:space="preserve">GTCCCTGCCTCTATATCTTTACAAAATCCCCCCAGCAGTCGAACA</t>
  </si>
  <si>
    <t xml:space="preserve">oxtrl_B3_P2_08</t>
  </si>
  <si>
    <t xml:space="preserve">ACGTAAGCCTTCGCGCCCCAGGGCTTTCCACTCAACTTTAACCCG</t>
  </si>
  <si>
    <t xml:space="preserve">oxt_oxtr_oxtl_Gene3_B3_P1_8; oxt_oxtr_oxtl</t>
  </si>
  <si>
    <t xml:space="preserve">oxt_oxtr_oxtl_Gene3_B3_P2_8; oxt_oxtr_oxtl</t>
  </si>
  <si>
    <t xml:space="preserve">ACAAAATCCCCCCAGCAGTCGAACA</t>
  </si>
  <si>
    <t xml:space="preserve">ACGTAAGCCTTCGCGCCCCAGGGCT</t>
  </si>
  <si>
    <t xml:space="preserve">S210-09</t>
  </si>
  <si>
    <t xml:space="preserve">oxtrl_B3_P1_09</t>
  </si>
  <si>
    <t xml:space="preserve">GTCCCTGCCTCTATATCTTTGTCTTCAGCCTAAAGTTTTGCCATA</t>
  </si>
  <si>
    <t xml:space="preserve">oxtrl_B3_P2_09</t>
  </si>
  <si>
    <t xml:space="preserve">GTCAGGGACAAACACTGGTCTCGCCTTCCACTCAACTTTAACCCG</t>
  </si>
  <si>
    <t xml:space="preserve">oxt_oxtr_oxtl_Gene3_B3_P1_9; oxt_oxtr_oxtl</t>
  </si>
  <si>
    <t xml:space="preserve">oxt_oxtr_oxtl_Gene3_B3_P2_9; oxt_oxtr_oxtl</t>
  </si>
  <si>
    <t xml:space="preserve">GTCTTCAGCCTAAAGTTTTGCCATA</t>
  </si>
  <si>
    <t xml:space="preserve">GTCAGGGACAAACACTGGTCTCGCC</t>
  </si>
  <si>
    <t xml:space="preserve">S210-10</t>
  </si>
  <si>
    <t xml:space="preserve">oxtrl_B3_P1_10</t>
  </si>
  <si>
    <t xml:space="preserve">GTCCCTGCCTCTATATCTTTTCAACTTGACGCTGCTGACGCGAGA</t>
  </si>
  <si>
    <t xml:space="preserve">oxtrl_B3_P2_10</t>
  </si>
  <si>
    <t xml:space="preserve">TCACCGTCCTGATCTTGGCCTTGGATTCCACTCAACTTTAACCCG</t>
  </si>
  <si>
    <t xml:space="preserve">oxt_oxtr_oxtl_Gene3_B3_P1_10; oxt_oxtr_oxtl</t>
  </si>
  <si>
    <t xml:space="preserve">oxt_oxtr_oxtl_Gene3_B3_P2_10; oxt_oxtr_oxtl</t>
  </si>
  <si>
    <t xml:space="preserve">TCAACTTGACGCTGCTGACGCGAGA</t>
  </si>
  <si>
    <t xml:space="preserve">TCACCGTCCTGATCTTGGCCTTGGA</t>
  </si>
  <si>
    <t xml:space="preserve">S210-11</t>
  </si>
  <si>
    <t xml:space="preserve">oxtrl_B3_P1_11</t>
  </si>
  <si>
    <t xml:space="preserve">GTCCCTGCCTCTATATCTTTGAAGAAGGGCGTCCAGCAGATGATG</t>
  </si>
  <si>
    <t xml:space="preserve">oxtrl_B3_P2_11</t>
  </si>
  <si>
    <t xml:space="preserve">ATCCCAAGCGGACCACATCTGAACGTTCCACTCAACTTTAACCCG</t>
  </si>
  <si>
    <t xml:space="preserve">oxt_oxtr_oxtl_Gene3_B3_P1_11; oxt_oxtr_oxtl</t>
  </si>
  <si>
    <t xml:space="preserve">oxt_oxtr_oxtl_Gene3_B3_P2_11; oxt_oxtr_oxtl</t>
  </si>
  <si>
    <t xml:space="preserve">GAAGAAGGGCGTCCAGCAGATGATG</t>
  </si>
  <si>
    <t xml:space="preserve">ATCCCAAGCGGACCACATCTGAACG</t>
  </si>
  <si>
    <t xml:space="preserve">S210-12</t>
  </si>
  <si>
    <t xml:space="preserve">oxtrl_B3_P1_12</t>
  </si>
  <si>
    <t xml:space="preserve">GTCCCTGCCTCTATATCTTTCTGGCCAGAAGCATTGCGATGATGA</t>
  </si>
  <si>
    <t xml:space="preserve">oxtrl_B3_P2_12</t>
  </si>
  <si>
    <t xml:space="preserve">ATCCAGGGGTTACAGCAGCTGTTGATTCCACTCAACTTTAACCCG</t>
  </si>
  <si>
    <t xml:space="preserve">oxt_oxtr_oxtl_Gene3_B3_P1_12; oxt_oxtr_oxtl</t>
  </si>
  <si>
    <t xml:space="preserve">oxt_oxtr_oxtl_Gene3_B3_P2_12; oxt_oxtr_oxtl</t>
  </si>
  <si>
    <t xml:space="preserve">CTGGCCAGAAGCATTGCGATGATGA</t>
  </si>
  <si>
    <t xml:space="preserve">ATCCAGGGGTTACAGCAGCTGTTGA</t>
  </si>
  <si>
    <t xml:space="preserve">S210-13</t>
  </si>
  <si>
    <t xml:space="preserve">oxtrl_B3_P1_13</t>
  </si>
  <si>
    <t xml:space="preserve">GTCCCTGCCTCTATATCTTTTAAGGCAGCGCTGCATGAGATCCCG</t>
  </si>
  <si>
    <t xml:space="preserve">oxtrl_B3_P2_13</t>
  </si>
  <si>
    <t xml:space="preserve">GCCTCTTACAGCCACAGTGTGAAACTTCCACTCAACTTTAACCCG</t>
  </si>
  <si>
    <t xml:space="preserve">oxt_oxtr_oxtl_Gene3_B3_P1_13; oxt_oxtr_oxtl</t>
  </si>
  <si>
    <t xml:space="preserve">oxt_oxtr_oxtl_Gene3_B3_P2_13; oxt_oxtr_oxtl</t>
  </si>
  <si>
    <t xml:space="preserve">TAAGGCAGCGCTGCATGAGATCCCG</t>
  </si>
  <si>
    <t xml:space="preserve">GCCTCTTACAGCCACAGTGTGAAAC</t>
  </si>
  <si>
    <t xml:space="preserve">S210-14</t>
  </si>
  <si>
    <t xml:space="preserve">oxtrl_B3_P1_14</t>
  </si>
  <si>
    <t xml:space="preserve">GTCCCTGCCTCTATATCTTTGCTGCTGGAGCTCCTCATGGCACCC</t>
  </si>
  <si>
    <t xml:space="preserve">oxtrl_B3_P2_14</t>
  </si>
  <si>
    <t xml:space="preserve">AGTGGAGGACTGTGTCACACTCTTCTTCCACTCAACTTTAACCCG</t>
  </si>
  <si>
    <t xml:space="preserve">oxt_oxtr_oxtl_Gene3_B3_P1_14; oxt_oxtr_oxtl</t>
  </si>
  <si>
    <t xml:space="preserve">oxt_oxtr_oxtl_Gene3_B3_P2_14; oxt_oxtr_oxtl</t>
  </si>
  <si>
    <t xml:space="preserve">GCTGCTGGAGCTCCTCATGGCACCC</t>
  </si>
  <si>
    <t xml:space="preserve">AGTGGAGGACTGTGTCACACTCTTC</t>
  </si>
  <si>
    <t xml:space="preserve">S211-01</t>
  </si>
  <si>
    <t xml:space="preserve">trpc2a_B3_P1_01</t>
  </si>
  <si>
    <t xml:space="preserve">GTCCCTGCCTCTATATCTTTGACGCCCAGAAGGAGGGAGGTCATG</t>
  </si>
  <si>
    <t xml:space="preserve">trpc2a_B3_P2_01</t>
  </si>
  <si>
    <t xml:space="preserve">TTCGTGAATCTGCCGGAAGTCAAACTTCCACTCAACTTTAACCCG</t>
  </si>
  <si>
    <t xml:space="preserve">B3_P1(TRPC2a)_1</t>
  </si>
  <si>
    <t xml:space="preserve">B3_P2(TRPC2a)_1</t>
  </si>
  <si>
    <t xml:space="preserve">GACGCCCAGAAGGAGGGAGGTCATG</t>
  </si>
  <si>
    <t xml:space="preserve">TTCGTGAATCTGCCGGAAGTCAAAC</t>
  </si>
  <si>
    <t xml:space="preserve">S211-02</t>
  </si>
  <si>
    <t xml:space="preserve">trpc2a_B3_P1_02</t>
  </si>
  <si>
    <t xml:space="preserve">GTCCCTGCCTCTATATCTTTTGACAAACCTTGGCTGGTTGGTGTC</t>
  </si>
  <si>
    <t xml:space="preserve">trpc2a_B3_P2_02</t>
  </si>
  <si>
    <t xml:space="preserve">CCAGATCCAGCCGGTCCAGGAGGTGTTCCACTCAACTTTAACCCG</t>
  </si>
  <si>
    <t xml:space="preserve">B3_P1(TRPC2a)_2</t>
  </si>
  <si>
    <t xml:space="preserve">B3_P2(TRPC2a)_2</t>
  </si>
  <si>
    <t xml:space="preserve">TGACAAACCTTGGCTGGTTGGTGTC</t>
  </si>
  <si>
    <t xml:space="preserve">CCAGATCCAGCCGGTCCAGGAGGTG</t>
  </si>
  <si>
    <t xml:space="preserve">S211-03</t>
  </si>
  <si>
    <t xml:space="preserve">trpc2a_B3_P1_03</t>
  </si>
  <si>
    <t xml:space="preserve">GTCCCTGCCTCTATATCTTTATTGCCATGCTGAAGGAGCGAACGT</t>
  </si>
  <si>
    <t xml:space="preserve">trpc2a_B3_P2_03</t>
  </si>
  <si>
    <t xml:space="preserve">TGGGAATCGTCAATGGAGTGGTCGATTCCACTCAACTTTAACCCG</t>
  </si>
  <si>
    <t xml:space="preserve">B3_P1(TRPC2a)_3</t>
  </si>
  <si>
    <t xml:space="preserve">B3_P2(TRPC2a)_3</t>
  </si>
  <si>
    <t xml:space="preserve">ATTGCCATGCTGAAGGAGCGAACGT</t>
  </si>
  <si>
    <t xml:space="preserve">TGGGAATCGTCAATGGAGTGGTCGA</t>
  </si>
  <si>
    <t xml:space="preserve">S211-04</t>
  </si>
  <si>
    <t xml:space="preserve">trpc2a_B3_P1_04</t>
  </si>
  <si>
    <t xml:space="preserve">GTCCCTGCCTCTATATCTTTCTTCTGACAGGCCAACGTTAGTGGC</t>
  </si>
  <si>
    <t xml:space="preserve">trpc2a_B3_P2_04</t>
  </si>
  <si>
    <t xml:space="preserve">CAACATCATCACGATCTCATACAAGTTCCACTCAACTTTAACCCG</t>
  </si>
  <si>
    <t xml:space="preserve">B3_P1(TRPC2a)_4</t>
  </si>
  <si>
    <t xml:space="preserve">B3_P2(TRPC2a)_4</t>
  </si>
  <si>
    <t xml:space="preserve">CTTCTGACAGGCCAACGTTAGTGGC</t>
  </si>
  <si>
    <t xml:space="preserve">CAACATCATCACGATCTCATACAAG</t>
  </si>
  <si>
    <t xml:space="preserve">S211-05</t>
  </si>
  <si>
    <t xml:space="preserve">trpc2a_B3_P1_05</t>
  </si>
  <si>
    <t xml:space="preserve">GTCCCTGCCTCTATATCTTTAAGAAATGGCATGAGGCAAAGGAAT</t>
  </si>
  <si>
    <t xml:space="preserve">trpc2a_B3_P2_05</t>
  </si>
  <si>
    <t xml:space="preserve">GTCCATTATTGCACTCCAAGCATGTTTCCACTCAACTTTAACCCG</t>
  </si>
  <si>
    <t xml:space="preserve">B3_P1(TRPC2a)_5</t>
  </si>
  <si>
    <t xml:space="preserve">B3_P2(TRPC2a)_5</t>
  </si>
  <si>
    <t xml:space="preserve">AAGAAATGGCATGAGGCAAAGGAAT</t>
  </si>
  <si>
    <t xml:space="preserve">GTCCATTATTGCACTCCAAGCATGT</t>
  </si>
  <si>
    <t xml:space="preserve">S211-06</t>
  </si>
  <si>
    <t xml:space="preserve">trpc2a_B3_P1_06</t>
  </si>
  <si>
    <t xml:space="preserve">GTCCCTGCCTCTATATCTTTGTATTTATACGGGACAGGGAGAACT</t>
  </si>
  <si>
    <t xml:space="preserve">trpc2a_B3_P2_06</t>
  </si>
  <si>
    <t xml:space="preserve">TACGCACGGCTGGCGATTCCTCTGTTTCCACTCAACTTTAACCCG</t>
  </si>
  <si>
    <t xml:space="preserve">B3_P1(TRPC2a)_6</t>
  </si>
  <si>
    <t xml:space="preserve">B3_P2(TRPC2a)_6</t>
  </si>
  <si>
    <t xml:space="preserve">GTATTTATACGGGACAGGGAGAACT</t>
  </si>
  <si>
    <t xml:space="preserve">TACGCACGGCTGGCGATTCCTCTGT</t>
  </si>
  <si>
    <t xml:space="preserve">S211-07</t>
  </si>
  <si>
    <t xml:space="preserve">trpc2a_B3_P1_07</t>
  </si>
  <si>
    <t xml:space="preserve">GTCCCTGCCTCTATATCTTTGTGGAAAGCGCTGAGCATGGCATCT</t>
  </si>
  <si>
    <t xml:space="preserve">trpc2a_B3_P2_07</t>
  </si>
  <si>
    <t xml:space="preserve">CGACAGTTTGCGCAGCTCTTTGCTGTTCCACTCAACTTTAACCCG</t>
  </si>
  <si>
    <t xml:space="preserve">B3_P1(TRPC2a)_7</t>
  </si>
  <si>
    <t xml:space="preserve">B3_P2(TRPC2a)_7</t>
  </si>
  <si>
    <t xml:space="preserve">GTGGAAAGCGCTGAGCATGGCATCT</t>
  </si>
  <si>
    <t xml:space="preserve">CGACAGTTTGCGCAGCTCTTTGCTG</t>
  </si>
  <si>
    <t xml:space="preserve">S211-08</t>
  </si>
  <si>
    <t xml:space="preserve">trpc2a_B3_P1_08</t>
  </si>
  <si>
    <t xml:space="preserve">GTCCCTGCCTCTATATCTTTCCTCCAGAGCCAGATACTGAGGCTT</t>
  </si>
  <si>
    <t xml:space="preserve">trpc2a_B3_P2_08</t>
  </si>
  <si>
    <t xml:space="preserve">GTTCCACTGCAAACTCCTGACACAGTTCCACTCAACTTTAACCCG</t>
  </si>
  <si>
    <t xml:space="preserve">B3_P1(TRPC2a)_8</t>
  </si>
  <si>
    <t xml:space="preserve">B3_P2(TRPC2a)_8</t>
  </si>
  <si>
    <t xml:space="preserve">CCTCCAGAGCCAGATACTGAGGCTT</t>
  </si>
  <si>
    <t xml:space="preserve">GTTCCACTGCAAACTCCTGACACAG</t>
  </si>
  <si>
    <t xml:space="preserve">S212-01</t>
  </si>
  <si>
    <t xml:space="preserve">Adora2a_B1_P1_01</t>
  </si>
  <si>
    <t xml:space="preserve">GAGGAGGGCAGCAAACGGAAGGTTGCTGTTGATCCACACGGCCCA</t>
  </si>
  <si>
    <t xml:space="preserve">Adora2a_B1_P2_01</t>
  </si>
  <si>
    <t xml:space="preserve">CCACGAAGAAGTTGGTGACGTTCTGTAGAAGAGTCTTCCTTTACG</t>
  </si>
  <si>
    <t xml:space="preserve">B1_P1 (Adora2a)_1</t>
  </si>
  <si>
    <t xml:space="preserve">B1_P2 (Adora2a)_1</t>
  </si>
  <si>
    <t xml:space="preserve">GGTTGCTGTTGATCCACACGGCCCA</t>
  </si>
  <si>
    <t xml:space="preserve">CCACGAAGAAGTTGGTGACGTTCTG</t>
  </si>
  <si>
    <t xml:space="preserve">set_2 pool(1)</t>
  </si>
  <si>
    <t xml:space="preserve">S212-02</t>
  </si>
  <si>
    <t xml:space="preserve">Adora2a_B1_P1_02</t>
  </si>
  <si>
    <t xml:space="preserve">GAGGAGGGCAGCAAACGGAAATGGCGAGCACGCCCACCGCGATGT</t>
  </si>
  <si>
    <t xml:space="preserve">Adora2a_B1_P2_02</t>
  </si>
  <si>
    <t xml:space="preserve">CCAGTGCTGATGGTGATGGCGAATGTAGAAGAGTCTTCCTTTACG</t>
  </si>
  <si>
    <t xml:space="preserve">B1_P1 (Adora2a)_2</t>
  </si>
  <si>
    <t xml:space="preserve">B1_P2 (Adora2a)_2</t>
  </si>
  <si>
    <t xml:space="preserve">ATGGCGAGCACGCCCACCGCGATGT</t>
  </si>
  <si>
    <t xml:space="preserve">CCAGTGCTGATGGTGATGGCGAATG</t>
  </si>
  <si>
    <t xml:space="preserve">S212-03</t>
  </si>
  <si>
    <t xml:space="preserve">Adora2a_B1_P1_03</t>
  </si>
  <si>
    <t xml:space="preserve">GAGGAGGGCAGCAAACGGAAAAAGCAGGCGAAGAAGAGGCAGCCA</t>
  </si>
  <si>
    <t xml:space="preserve">Adora2a_B1_P2_03</t>
  </si>
  <si>
    <t xml:space="preserve">GATGGAACTCTGCGTGAGGACCAGGTAGAAGAGTCTTCCTTTACG</t>
  </si>
  <si>
    <t xml:space="preserve">B1_P1 (Adora2a)_3</t>
  </si>
  <si>
    <t xml:space="preserve">B1_P2 (Adora2a)_3</t>
  </si>
  <si>
    <t xml:space="preserve">AAAGCAGGCGAAGAAGAGGCAGCCA</t>
  </si>
  <si>
    <t xml:space="preserve">GATGGAACTCTGCGTGAGGACCAGG</t>
  </si>
  <si>
    <t xml:space="preserve">S212-04</t>
  </si>
  <si>
    <t xml:space="preserve">Adora2a_B1_P1_04</t>
  </si>
  <si>
    <t xml:space="preserve">GAGGAGGGCAGCAAACGGAAGGATGGCGATGTATCTGTCGATGGC</t>
  </si>
  <si>
    <t xml:space="preserve">Adora2a_B1_P2_04</t>
  </si>
  <si>
    <t xml:space="preserve">CCAAGCCATTGTACCGGAGTGGAATTAGAAGAGTCTTCCTTTACG</t>
  </si>
  <si>
    <t xml:space="preserve">B1_P1 (Adora2a)_4</t>
  </si>
  <si>
    <t xml:space="preserve">B1_P2 (Adora2a)_4</t>
  </si>
  <si>
    <t xml:space="preserve">GGATGGCGATGTATCTGTCGATGGC</t>
  </si>
  <si>
    <t xml:space="preserve">CCAAGCCATTGTACCGGAGTGGAAT</t>
  </si>
  <si>
    <t xml:space="preserve">S212-05</t>
  </si>
  <si>
    <t xml:space="preserve">Adora2a_B1_P1_05</t>
  </si>
  <si>
    <t xml:space="preserve">GAGGAGGGCAGCAAACGGAAACCCAGCAAATCGCAATGATGCCCT</t>
  </si>
  <si>
    <t xml:space="preserve">Adora2a_B1_P2_05</t>
  </si>
  <si>
    <t xml:space="preserve">GGGGTCAGGCCGATGGCGAATGACATAGAAGAGTCTTCCTTTACG</t>
  </si>
  <si>
    <t xml:space="preserve">B1_P1 (Adora2a)_5</t>
  </si>
  <si>
    <t xml:space="preserve">B1_P2 (Adora2a)_5</t>
  </si>
  <si>
    <t xml:space="preserve">ACCCAGCAAATCGCAATGATGCCCT</t>
  </si>
  <si>
    <t xml:space="preserve">GGGGTCAGGCCGATGGCGAATGACA</t>
  </si>
  <si>
    <t xml:space="preserve">S212-06</t>
  </si>
  <si>
    <t xml:space="preserve">Adora2a_B1_P1_06</t>
  </si>
  <si>
    <t xml:space="preserve">GAGGAGGGCAGCAAACGGAAGGAGTTCTCATCTTTCTGACTGCAG</t>
  </si>
  <si>
    <t xml:space="preserve">Adora2a_B1_P2_06</t>
  </si>
  <si>
    <t xml:space="preserve">CACCCGGCCCTCGCCGCAGGTCTTTTAGAAGAGTCTTCCTTTACG</t>
  </si>
  <si>
    <t xml:space="preserve">B1_P1 (Adora2a)_6</t>
  </si>
  <si>
    <t xml:space="preserve">B1_P2 (Adora2a)_6</t>
  </si>
  <si>
    <t xml:space="preserve">GGAGTTCTCATCTTTCTGACTGCAG</t>
  </si>
  <si>
    <t xml:space="preserve">CACCCGGCCCTCGCCGCAGGTCTTT</t>
  </si>
  <si>
    <t xml:space="preserve">S213-01</t>
  </si>
  <si>
    <t xml:space="preserve">Chrm1_B1_P1_01</t>
  </si>
  <si>
    <t xml:space="preserve">GAGGAGGGCAGCAAACGGAAGTTCATGGAGAAAGTGCCAATGATG</t>
  </si>
  <si>
    <t xml:space="preserve">Chrm1_B1_P2_01</t>
  </si>
  <si>
    <t xml:space="preserve">GCCCATGAGCAGGTATGTGGTATAGTAGAAGAGTCTTCCTTTACG</t>
  </si>
  <si>
    <t xml:space="preserve">B1_P1 (Chrm1)_1</t>
  </si>
  <si>
    <t xml:space="preserve">B1_P2 (Chrm1)_1</t>
  </si>
  <si>
    <t xml:space="preserve">GTTCATGGAGAAAGTGCCAATGATG</t>
  </si>
  <si>
    <t xml:space="preserve">GCCCATGAGCAGGTATGTGGTATAG</t>
  </si>
  <si>
    <t xml:space="preserve">same row</t>
  </si>
  <si>
    <t xml:space="preserve">S213-02</t>
  </si>
  <si>
    <t xml:space="preserve">Chrm1_B1_P1_02</t>
  </si>
  <si>
    <t xml:space="preserve">GAGGAGGGCAGCAAACGGAAGGGCCAGCCAGAGGTCACAGGCCAG</t>
  </si>
  <si>
    <t xml:space="preserve">Chrm1_B1_P2_02</t>
  </si>
  <si>
    <t xml:space="preserve">CAGAGGCGTTGCTGGCCACATAGTCTAGAAGAGTCTTCCTTTACG</t>
  </si>
  <si>
    <t xml:space="preserve">B1_P1 (Chrm1)_2</t>
  </si>
  <si>
    <t xml:space="preserve">B1_P2 (Chrm1)_2</t>
  </si>
  <si>
    <t xml:space="preserve">GGGCCAGCCAGAGGTCACAGGCCAG</t>
  </si>
  <si>
    <t xml:space="preserve">CAGAGGCGTTGCTGGCCACATAGTC</t>
  </si>
  <si>
    <t xml:space="preserve">S213-03</t>
  </si>
  <si>
    <t xml:space="preserve">Chrm1_B1_P1_03</t>
  </si>
  <si>
    <t xml:space="preserve">GAGGAGGGCAGCAAACGGAAACTGAGAAGTAACGGTCAAAGCTGA</t>
  </si>
  <si>
    <t xml:space="preserve">Chrm1_B1_P2_03</t>
  </si>
  <si>
    <t xml:space="preserve">TTGGCTCGGTAGCTCAGGGGTCGGGTAGAAGAGTCTTCCTTTACG</t>
  </si>
  <si>
    <t xml:space="preserve">B1_P1 (Chrm1)_3</t>
  </si>
  <si>
    <t xml:space="preserve">B1_P2 (Chrm1)_3</t>
  </si>
  <si>
    <t xml:space="preserve">ACTGAGAAGTAACGGTCAAAGCTGA</t>
  </si>
  <si>
    <t xml:space="preserve">TTGGCTCGGTAGCTCAGGGGTCGGG</t>
  </si>
  <si>
    <t xml:space="preserve">S213-04</t>
  </si>
  <si>
    <t xml:space="preserve">Chrm1_B1_P1_04</t>
  </si>
  <si>
    <t xml:space="preserve">GAGGAGGGCAGCAAACGGAACCACGCGAGGCCAATCATCAGAGCT</t>
  </si>
  <si>
    <t xml:space="preserve">Chrm1_B1_P2_04</t>
  </si>
  <si>
    <t xml:space="preserve">TGGGGCCCAGAGAACGAAGGAAACCTAGAAGAGTCTTCCTTTACG</t>
  </si>
  <si>
    <t xml:space="preserve">B1_P1 (Chrm1)_4</t>
  </si>
  <si>
    <t xml:space="preserve">B1_P2 (Chrm1)_4</t>
  </si>
  <si>
    <t xml:space="preserve">CCACGCGAGGCCAATCATCAGAGCT</t>
  </si>
  <si>
    <t xml:space="preserve">TGGGGCCCAGAGAACGAAGGAAACC</t>
  </si>
  <si>
    <t xml:space="preserve">S213-05</t>
  </si>
  <si>
    <t xml:space="preserve">Chrm1_B1_P1_05</t>
  </si>
  <si>
    <t xml:space="preserve">GAGGAGGGCAGCAAACGGAAGCACTGTCCGCTCCCCAACTAGGTA</t>
  </si>
  <si>
    <t xml:space="preserve">Chrm1_B1_P2_05</t>
  </si>
  <si>
    <t xml:space="preserve">GGAACTGGATGTAGCACTGCCCAGCTAGAAGAGTCTTCCTTTACG</t>
  </si>
  <si>
    <t xml:space="preserve">B1_P1 (Chrm1)_5</t>
  </si>
  <si>
    <t xml:space="preserve">B1_P2 (Chrm1)_5</t>
  </si>
  <si>
    <t xml:space="preserve">GCACTGTCCGCTCCCCAACTAGGTA</t>
  </si>
  <si>
    <t xml:space="preserve">GGAACTGGATGTAGCACTGCCCAGC</t>
  </si>
  <si>
    <t xml:space="preserve">S213-06</t>
  </si>
  <si>
    <t xml:space="preserve">Chrm1_B1_P1_06</t>
  </si>
  <si>
    <t xml:space="preserve">GAGGAGGGCAGCAAACGGAAAAGGCGGCCATGGCTGTGCCAAAAG</t>
  </si>
  <si>
    <t xml:space="preserve">Chrm1_B1_P2_06</t>
  </si>
  <si>
    <t xml:space="preserve">GTACACATGACTGTGACAGGGAGGTTAGAAGAGTCTTCCTTTACG</t>
  </si>
  <si>
    <t xml:space="preserve">B1_P1 (Chrm1)_6</t>
  </si>
  <si>
    <t xml:space="preserve">B1_P2 (Chrm1)_6</t>
  </si>
  <si>
    <t xml:space="preserve">AAGGCGGCCATGGCTGTGCCAAAAG</t>
  </si>
  <si>
    <t xml:space="preserve">GTACACATGACTGTGACAGGGAGGT</t>
  </si>
  <si>
    <t xml:space="preserve">S214-01</t>
  </si>
  <si>
    <t xml:space="preserve">Cnr1_B1_P1_01</t>
  </si>
  <si>
    <t xml:space="preserve">GAGGAGGGCAGCAAACGGAATGCTGCACTCCGCGCTCCGCCCGCA</t>
  </si>
  <si>
    <t xml:space="preserve">Cnr1_B1_P2_01</t>
  </si>
  <si>
    <t xml:space="preserve">GCCTGTCCACGATCACCTCCAGGTGTAGAAGAGTCTTCCTTTACG</t>
  </si>
  <si>
    <t xml:space="preserve">B1_P1 (Cnr1)_1</t>
  </si>
  <si>
    <t xml:space="preserve">B1_P2 (Cnr1)_1</t>
  </si>
  <si>
    <t xml:space="preserve">TGCTGCACTCCGCGCTCCGCCCGCA</t>
  </si>
  <si>
    <t xml:space="preserve">GCCTGTCCACGATCACCTCCAGGTG</t>
  </si>
  <si>
    <t xml:space="preserve">S214-02</t>
  </si>
  <si>
    <t xml:space="preserve">Cnr1_B1_P1_02</t>
  </si>
  <si>
    <t xml:space="preserve">GAGGAGGGCAGCAAACGGAATTAATGTCCCTCACCTCCACCTCCA</t>
  </si>
  <si>
    <t xml:space="preserve">Cnr1_B1_P2_02</t>
  </si>
  <si>
    <t xml:space="preserve">GTTGTTGGGAACCTGGGAGGGTTGTTAGAAGAGTCTTCCTTTACG</t>
  </si>
  <si>
    <t xml:space="preserve">B1_P1 (Cnr1)_2</t>
  </si>
  <si>
    <t xml:space="preserve">B1_P2 (Cnr1)_2</t>
  </si>
  <si>
    <t xml:space="preserve">TTAATGTCCCTCACCTCCACCTCCA</t>
  </si>
  <si>
    <t xml:space="preserve">GTTGTTGGGAACCTGGGAGGGTTGT</t>
  </si>
  <si>
    <t xml:space="preserve">S214-03</t>
  </si>
  <si>
    <t xml:space="preserve">Cnr1_B1_P1_03</t>
  </si>
  <si>
    <t xml:space="preserve">GAGGAGGGCAGCAAACGGAAAGTGTCAAGTGGCCTTGATTCTGCA</t>
  </si>
  <si>
    <t xml:space="preserve">Cnr1_B1_P2_03</t>
  </si>
  <si>
    <t xml:space="preserve">GTCTGAAGCGCCCTCTAGTGGAAACTAGAAGAGTCTTCCTTTACG</t>
  </si>
  <si>
    <t xml:space="preserve">B1_P1 (Cnr1)_3</t>
  </si>
  <si>
    <t xml:space="preserve">B1_P2 (Cnr1)_3</t>
  </si>
  <si>
    <t xml:space="preserve">AGTGTCAAGTGGCCTTGATTCTGCA</t>
  </si>
  <si>
    <t xml:space="preserve">GTCTGAAGCGCCCTCTAGTGGAAAC</t>
  </si>
  <si>
    <t xml:space="preserve">S214-04</t>
  </si>
  <si>
    <t xml:space="preserve">Cnr1_B1_P1_04</t>
  </si>
  <si>
    <t xml:space="preserve">GAGGAGGGCAGCAAACGGAAGACTCAGTCTGTAAGTCAGTACAGC</t>
  </si>
  <si>
    <t xml:space="preserve">Cnr1_B1_P2_04</t>
  </si>
  <si>
    <t xml:space="preserve">GTTTTTCCAAAGAAAAGTAATCATTTAGAAGAGTCTTCCTTTACG</t>
  </si>
  <si>
    <t xml:space="preserve">B1_P1 (Cnr1)_4</t>
  </si>
  <si>
    <t xml:space="preserve">B1_P2 (Cnr1)_4</t>
  </si>
  <si>
    <t xml:space="preserve">GACTCAGTCTGTAAGTCAGTACAGC</t>
  </si>
  <si>
    <t xml:space="preserve">GTTTTTCCAAAGAAAAGTAATCATT</t>
  </si>
  <si>
    <t xml:space="preserve">S214-05</t>
  </si>
  <si>
    <t xml:space="preserve">Cnr1_B1_P1_05</t>
  </si>
  <si>
    <t xml:space="preserve">GAGGAGGGCAGCAAACGGAACGTAATACAAGTCCAAGACCTTTTA</t>
  </si>
  <si>
    <t xml:space="preserve">Cnr1_B1_P2_05</t>
  </si>
  <si>
    <t xml:space="preserve">GGAGTTTCCTCCCGGTCTAAAGATTTAGAAGAGTCTTCCTTTACG</t>
  </si>
  <si>
    <t xml:space="preserve">B1_P1 (Cnr1)_5</t>
  </si>
  <si>
    <t xml:space="preserve">B1_P2 (Cnr1)_5</t>
  </si>
  <si>
    <t xml:space="preserve">CGTAATACAAGTCCAAGACCTTTTA</t>
  </si>
  <si>
    <t xml:space="preserve">GGAGTTTCCTCCCGGTCTAAAGATT</t>
  </si>
  <si>
    <t xml:space="preserve">S214-06</t>
  </si>
  <si>
    <t xml:space="preserve">Cnr1_B1_P1_06</t>
  </si>
  <si>
    <t xml:space="preserve">GAGGAGGGCAGCAAACGGAATGGCTTTCCTCCGTCCGTGACAGTA</t>
  </si>
  <si>
    <t xml:space="preserve">Cnr1_B1_P2_06</t>
  </si>
  <si>
    <t xml:space="preserve">GAGTAACTGAACACTGCCGGTCAGCTAGAAGAGTCTTCCTTTACG</t>
  </si>
  <si>
    <t xml:space="preserve">B1_P1 (Cnr1)_6</t>
  </si>
  <si>
    <t xml:space="preserve">B1_P2 (Cnr1)_6</t>
  </si>
  <si>
    <t xml:space="preserve">TGGCTTTCCTCCGTCCGTGACAGTA</t>
  </si>
  <si>
    <t xml:space="preserve">GAGTAACTGAACACTGCCGGTCAGC</t>
  </si>
  <si>
    <t xml:space="preserve">S215-01</t>
  </si>
  <si>
    <t xml:space="preserve">cpne6_B1_P1_01</t>
  </si>
  <si>
    <t xml:space="preserve">GAGGAGGGCAGCAAACGGAAAATGGCTTAGTGACCTTGGTTTGTG</t>
  </si>
  <si>
    <t xml:space="preserve">cpne6_B1_P2_01</t>
  </si>
  <si>
    <t xml:space="preserve">CCCGCCGTCTTCCCATTCTTCAGCATAGAAGAGTCTTCCTTTACG</t>
  </si>
  <si>
    <t xml:space="preserve">B1_P1 (cpne6)_1</t>
  </si>
  <si>
    <t xml:space="preserve">B1_P2 (cpne6)_1</t>
  </si>
  <si>
    <t xml:space="preserve">AATGGCTTAGTGACCTTGGTTTGTG</t>
  </si>
  <si>
    <t xml:space="preserve">CCCGCCGTCTTCCCATTCTTCAGCA</t>
  </si>
  <si>
    <t xml:space="preserve">set_2 pool(2)</t>
  </si>
  <si>
    <t xml:space="preserve">S215-02</t>
  </si>
  <si>
    <t xml:space="preserve">cpne6_B1_P1_02</t>
  </si>
  <si>
    <t xml:space="preserve">GAGGAGGGCAGCAAACGGAAGGTACCTGATACCTCCTCAGCCACA</t>
  </si>
  <si>
    <t xml:space="preserve">cpne6_B1_P2_02</t>
  </si>
  <si>
    <t xml:space="preserve">TCTGAAGGTAAGTTGCACATAGTCGTAGAAGAGTCTTCCTTTACG</t>
  </si>
  <si>
    <t xml:space="preserve">B1_P1 (cpne6)_2</t>
  </si>
  <si>
    <t xml:space="preserve">B1_P2 (cpne6)_2</t>
  </si>
  <si>
    <t xml:space="preserve">GGTACCTGATACCTCCTCAGCCACA</t>
  </si>
  <si>
    <t xml:space="preserve">TCTGAAGGTAAGTTGCACATAGTCG</t>
  </si>
  <si>
    <t xml:space="preserve">S215-03</t>
  </si>
  <si>
    <t xml:space="preserve">cpne6_B1_P1_03</t>
  </si>
  <si>
    <t xml:space="preserve">GAGGAGGGCAGCAAACGGAAGGTCAGACTTGCTGAACAGATCCTT</t>
  </si>
  <si>
    <t xml:space="preserve">cpne6_B1_P2_03</t>
  </si>
  <si>
    <t xml:space="preserve">CATTGGTCTTATAAATCTCCATGAATAGAAGAGTCTTCCTTTACG</t>
  </si>
  <si>
    <t xml:space="preserve">B1_P1 (cpne6)_3</t>
  </si>
  <si>
    <t xml:space="preserve">B1_P2 (cpne6)_3</t>
  </si>
  <si>
    <t xml:space="preserve">GGTCAGACTTGCTGAACAGATCCTT</t>
  </si>
  <si>
    <t xml:space="preserve">CATTGGTCTTATAAATCTCCATGAA</t>
  </si>
  <si>
    <t xml:space="preserve">S215-04</t>
  </si>
  <si>
    <t xml:space="preserve">cpne6_B1_P1_04</t>
  </si>
  <si>
    <t xml:space="preserve">GAGGAGGGCAGCAAACGGAATTCACCACCTCAGTCCTCCAGACCA</t>
  </si>
  <si>
    <t xml:space="preserve">cpne6_B1_P2_04</t>
  </si>
  <si>
    <t xml:space="preserve">GGCTCCCAGCTGGGGTTCAGGTTGTTAGAAGAGTCTTCCTTTACG</t>
  </si>
  <si>
    <t xml:space="preserve">B1_P1 (cpne6)_4</t>
  </si>
  <si>
    <t xml:space="preserve">B1_P2 (cpne6)_4</t>
  </si>
  <si>
    <t xml:space="preserve">TTCACCACCTCAGTCCTCCAGACCA</t>
  </si>
  <si>
    <t xml:space="preserve">GGCTCCCAGCTGGGGTTCAGGTTGT</t>
  </si>
  <si>
    <t xml:space="preserve">S215-05</t>
  </si>
  <si>
    <t xml:space="preserve">cpne6_B1_P1_05</t>
  </si>
  <si>
    <t xml:space="preserve">GAGGAGGGCAGCAAACGGAAGTGGATGTCACAGCTGCACAAAGAA</t>
  </si>
  <si>
    <t xml:space="preserve">cpne6_B1_P2_05</t>
  </si>
  <si>
    <t xml:space="preserve">GTCATATACCAGGAACTTGAGCGGCTAGAAGAGTCTTCCTTTACG</t>
  </si>
  <si>
    <t xml:space="preserve">B1_P1 (cpne6)_5</t>
  </si>
  <si>
    <t xml:space="preserve">B1_P2 (cpne6)_5</t>
  </si>
  <si>
    <t xml:space="preserve">GTGGATGTCACAGCTGCACAAAGAA</t>
  </si>
  <si>
    <t xml:space="preserve">GTCATATACCAGGAACTTGAGCGGC</t>
  </si>
  <si>
    <t xml:space="preserve">S215-06</t>
  </si>
  <si>
    <t xml:space="preserve">cpne6_B1_P1_06</t>
  </si>
  <si>
    <t xml:space="preserve">GAGGAGGGCAGCAAACGGAATGGTGAACTCGCCGATGAAGTCGTG</t>
  </si>
  <si>
    <t xml:space="preserve">cpne6_B1_P2_06</t>
  </si>
  <si>
    <t xml:space="preserve">TCCCCTCTTGCATTTCCTGGAATGTTAGAAGAGTCTTCCTTTACG</t>
  </si>
  <si>
    <t xml:space="preserve">B1_P1 (cpne6)_6</t>
  </si>
  <si>
    <t xml:space="preserve">B1_P2 (cpne6)_6</t>
  </si>
  <si>
    <t xml:space="preserve">TGGTGAACTCGCCGATGAAGTCGTG</t>
  </si>
  <si>
    <t xml:space="preserve">TCCCCTCTTGCATTTCCTGGAATGT</t>
  </si>
  <si>
    <t xml:space="preserve">S216-01</t>
  </si>
  <si>
    <t xml:space="preserve">Drd2_B1_P1_01</t>
  </si>
  <si>
    <t xml:space="preserve">GAGGAGGGCAGCAAACGGAAATGCACACCAGCACATTGCCAAAGA</t>
  </si>
  <si>
    <t xml:space="preserve">Drd2_B1_P2_01</t>
  </si>
  <si>
    <t xml:space="preserve">TGCAAAGCCTTCTCTCTGGATACAGTAGAAGAGTCTTCCTTTACG</t>
  </si>
  <si>
    <t xml:space="preserve">B1_P1 (Drd2)_1</t>
  </si>
  <si>
    <t xml:space="preserve">B1_P2 (Drd2)_1</t>
  </si>
  <si>
    <t xml:space="preserve">ATGCACACCAGCACATTGCCAAAGA</t>
  </si>
  <si>
    <t xml:space="preserve">TGCAAAGCCTTCTCTCTGGATACAG</t>
  </si>
  <si>
    <t xml:space="preserve">S216-02</t>
  </si>
  <si>
    <t xml:space="preserve">Drd2_B1_P1_02</t>
  </si>
  <si>
    <t xml:space="preserve">GAGGAGGGCAGCAAACGGAAATCGGCCACAGCGAGGCTGACTATC</t>
  </si>
  <si>
    <t xml:space="preserve">Drd2_B1_P2_02</t>
  </si>
  <si>
    <t xml:space="preserve">GGGCATAACCAGTGTGGCCACCAGATAGAAGAGTCTTCCTTTACG</t>
  </si>
  <si>
    <t xml:space="preserve">B1_P1 (Drd2)_2</t>
  </si>
  <si>
    <t xml:space="preserve">B1_P2 (Drd2)_2</t>
  </si>
  <si>
    <t xml:space="preserve">ATCGGCCACAGCGAGGCTGACTATC</t>
  </si>
  <si>
    <t xml:space="preserve">GGGCATAACCAGTGTGGCCACCAGA</t>
  </si>
  <si>
    <t xml:space="preserve">S216-03</t>
  </si>
  <si>
    <t xml:space="preserve">Drd2_B1_P1_03</t>
  </si>
  <si>
    <t xml:space="preserve">GAGGAGGGCAGCAAACGGAATGCTGAATTTCCACTCACCCACCAC</t>
  </si>
  <si>
    <t xml:space="preserve">Drd2_B1_P2_03</t>
  </si>
  <si>
    <t xml:space="preserve">GAGTGACAAAGATGTCACAGTGAATTAGAAGAGTCTTCCTTTACG</t>
  </si>
  <si>
    <t xml:space="preserve">B1_P1 (Drd2)_3</t>
  </si>
  <si>
    <t xml:space="preserve">B1_P2 (Drd2)_3</t>
  </si>
  <si>
    <t xml:space="preserve">TGCTGAATTTCCACTCACCCACCAC</t>
  </si>
  <si>
    <t xml:space="preserve">GAGTGACAAAGATGTCACAGTGAAT</t>
  </si>
  <si>
    <t xml:space="preserve">S216-04</t>
  </si>
  <si>
    <t xml:space="preserve">Drd2_B1_P1_04</t>
  </si>
  <si>
    <t xml:space="preserve">GAGGAGGGCAGCAAACGGAAGCACACAGGTTCAAGATGCTTGCTG</t>
  </si>
  <si>
    <t xml:space="preserve">Drd2_B1_P2_04</t>
  </si>
  <si>
    <t xml:space="preserve">ACAGCTGTGTACCTGTCGATGCTGATAGAAGAGTCTTCCTTTACG</t>
  </si>
  <si>
    <t xml:space="preserve">B1_P1 (Drd2)_4</t>
  </si>
  <si>
    <t xml:space="preserve">B1_P2 (Drd2)_4</t>
  </si>
  <si>
    <t xml:space="preserve">GCACACAGGTTCAAGATGCTTGCTG</t>
  </si>
  <si>
    <t xml:space="preserve">ACAGCTGTGTACCTGTCGATGCTGA</t>
  </si>
  <si>
    <t xml:space="preserve">S216-05</t>
  </si>
  <si>
    <t xml:space="preserve">Drd2_B1_P1_05</t>
  </si>
  <si>
    <t xml:space="preserve">GAGGAGGGCAGCAAACGGAAGCGCTTGGAGCTGTAGCGTGTGTTA</t>
  </si>
  <si>
    <t xml:space="preserve">Drd2_B1_P2_05</t>
  </si>
  <si>
    <t xml:space="preserve">GACAATGGCGATCATGACAGTAACTTAGAAGAGTCTTCCTTTACG</t>
  </si>
  <si>
    <t xml:space="preserve">B1_P1 (Drd2)_5</t>
  </si>
  <si>
    <t xml:space="preserve">B1_P2 (Drd2)_5</t>
  </si>
  <si>
    <t xml:space="preserve">GCGCTTGGAGCTGTAGCGTGTGTTA</t>
  </si>
  <si>
    <t xml:space="preserve">GACAATGGCGATCATGACAGTAACT</t>
  </si>
  <si>
    <t xml:space="preserve">S216-06</t>
  </si>
  <si>
    <t xml:space="preserve">Drd2_B1_P1_06</t>
  </si>
  <si>
    <t xml:space="preserve">GAGGAGGGCAGCAAACGGAAGTCCAAAGAGCAGTGGGCAAGAGAT</t>
  </si>
  <si>
    <t xml:space="preserve">Drd2_B1_P2_06</t>
  </si>
  <si>
    <t xml:space="preserve">TACACTCATTCTGGTCTGTGTTGTTTAGAAGAGTCTTCCTTTACG</t>
  </si>
  <si>
    <t xml:space="preserve">B1_P1 (Drd2)_6</t>
  </si>
  <si>
    <t xml:space="preserve">B1_P2 (Drd2)_6</t>
  </si>
  <si>
    <t xml:space="preserve">GTCCAAAGAGCAGTGGGCAAGAGAT</t>
  </si>
  <si>
    <t xml:space="preserve">TACACTCATTCTGGTCTGTGTTGTT</t>
  </si>
  <si>
    <t xml:space="preserve">S216-07</t>
  </si>
  <si>
    <t xml:space="preserve">Drd2_B1_P1_07</t>
  </si>
  <si>
    <t xml:space="preserve">GAGGAGGGCAGCAAACGGAAGAGACGATGGAGGAGTAGACCACGA</t>
  </si>
  <si>
    <t xml:space="preserve">Drd2_B1_P2_07</t>
  </si>
  <si>
    <t xml:space="preserve">AGGGTGACGATGAAGGGCACGTAGATAGAAGAGTCTTCCTTTACG</t>
  </si>
  <si>
    <t xml:space="preserve">B1_P1 (Drd2)_7</t>
  </si>
  <si>
    <t xml:space="preserve">B1_P2 (Drd2)_7</t>
  </si>
  <si>
    <t xml:space="preserve">GAGACGATGGAGGAGTAGACCACGA</t>
  </si>
  <si>
    <t xml:space="preserve">AGGGTGACGATGAAGGGCACGTAGA</t>
  </si>
  <si>
    <t xml:space="preserve">S216-08</t>
  </si>
  <si>
    <t xml:space="preserve">Drd2_B1_P1_08</t>
  </si>
  <si>
    <t xml:space="preserve">GAGGAGGGCAGCAAACGGAACCGACGCTTGCGGAGAACGATGTAG</t>
  </si>
  <si>
    <t xml:space="preserve">Drd2_B1_P2_08</t>
  </si>
  <si>
    <t xml:space="preserve">GCTGCTACGCTTGGTGTTGACCCGCTAGAAGAGTCTTCCTTTACG</t>
  </si>
  <si>
    <t xml:space="preserve">B1_P1 (Drd2)_8</t>
  </si>
  <si>
    <t xml:space="preserve">B1_P2 (Drd2)_8</t>
  </si>
  <si>
    <t xml:space="preserve">CCGACGCTTGCGGAGAACGATGTAG</t>
  </si>
  <si>
    <t xml:space="preserve">GCTGCTACGCTTGGTGTTGACCCGC</t>
  </si>
  <si>
    <t xml:space="preserve">S217-01</t>
  </si>
  <si>
    <t xml:space="preserve">Drd3_B1_P1_01</t>
  </si>
  <si>
    <t xml:space="preserve">GAGGAGGGCAGCAAACGGAACGGTTGACACCAGTGGAGTTTTCTG</t>
  </si>
  <si>
    <t xml:space="preserve">Drd3_B1_P2_01</t>
  </si>
  <si>
    <t xml:space="preserve">AGGGCGTAGTAGGCATGTGGACGGGTAGAAGAGTCTTCCTTTACG</t>
  </si>
  <si>
    <t xml:space="preserve">B1_P1 (Drd3)_1</t>
  </si>
  <si>
    <t xml:space="preserve">B1_P2 (Drd3)_1</t>
  </si>
  <si>
    <t xml:space="preserve">CGGTTGACACCAGTGGAGTTTTCTG</t>
  </si>
  <si>
    <t xml:space="preserve">AGGGCGTAGTAGGCATGTGGACGGG</t>
  </si>
  <si>
    <t xml:space="preserve">S217-02</t>
  </si>
  <si>
    <t xml:space="preserve">Drd3_B1_P1_02</t>
  </si>
  <si>
    <t xml:space="preserve">GAGGAGGGCAGCAAACGGAAACCGTTGCCAAAGATGATGGCCAGG</t>
  </si>
  <si>
    <t xml:space="preserve">Drd3_B1_P2_02</t>
  </si>
  <si>
    <t xml:space="preserve">CTCCCTCAGCACAGCTGCACATACCTAGAAGAGTCTTCCTTTACG</t>
  </si>
  <si>
    <t xml:space="preserve">B1_P1 (Drd3)_2</t>
  </si>
  <si>
    <t xml:space="preserve">B1_P2 (Drd3)_2</t>
  </si>
  <si>
    <t xml:space="preserve">ACCGTTGCCAAAGATGATGGCCAGG</t>
  </si>
  <si>
    <t xml:space="preserve">CTCCCTCAGCACAGCTGCACATACC</t>
  </si>
  <si>
    <t xml:space="preserve">S217-03</t>
  </si>
  <si>
    <t xml:space="preserve">Drd3_B1_P1_03</t>
  </si>
  <si>
    <t xml:space="preserve">GAGGAGGGCAGCAAACGGAACCAGGCTCACCACTAGGTAGTTGGT</t>
  </si>
  <si>
    <t xml:space="preserve">Drd3_B1_P2_03</t>
  </si>
  <si>
    <t xml:space="preserve">AAGTGGCCACCAGCAGGTCTGCCACTAGAAGAGTCTTCCTTTACG</t>
  </si>
  <si>
    <t xml:space="preserve">B1_P1 (Drd3)_3</t>
  </si>
  <si>
    <t xml:space="preserve">B1_P2 (Drd3)_3</t>
  </si>
  <si>
    <t xml:space="preserve">CCAGGCTCACCACTAGGTAGTTGGT</t>
  </si>
  <si>
    <t xml:space="preserve">AAGTGGCCACCAGCAGGTCTGCCAC</t>
  </si>
  <si>
    <t xml:space="preserve">S217-04</t>
  </si>
  <si>
    <t xml:space="preserve">Drd3_B1_P1_04</t>
  </si>
  <si>
    <t xml:space="preserve">GAGGAGGGCAGCAAACGGAAACTCCACCTGTCACCTCCAAGTACA</t>
  </si>
  <si>
    <t xml:space="preserve">Drd3_B1_P2_04</t>
  </si>
  <si>
    <t xml:space="preserve">TCACAGCAAATGCGGCTGAAATTCCTAGAAGAGTCTTCCTTTACG</t>
  </si>
  <si>
    <t xml:space="preserve">B1_P1 (Drd3)_4</t>
  </si>
  <si>
    <t xml:space="preserve">B1_P2 (Drd3)_4</t>
  </si>
  <si>
    <t xml:space="preserve">ACTCCACCTGTCACCTCCAAGTACA</t>
  </si>
  <si>
    <t xml:space="preserve">TCACAGCAAATGCGGCTGAAATTCC</t>
  </si>
  <si>
    <t xml:space="preserve">S217-05</t>
  </si>
  <si>
    <t xml:space="preserve">Drd3_B1_P1_05</t>
  </si>
  <si>
    <t xml:space="preserve">GAGGAGGGCAGCAAACGGAAGATGCTGGCTGTACACATCATGACA</t>
  </si>
  <si>
    <t xml:space="preserve">Drd3_B1_P2_05</t>
  </si>
  <si>
    <t xml:space="preserve">GTCTATGCTGATGGCACAGAGGTTCTAGAAGAGTCTTCCTTTACG</t>
  </si>
  <si>
    <t xml:space="preserve">B1_P1 (Drd3)_5</t>
  </si>
  <si>
    <t xml:space="preserve">B1_P2 (Drd3)_5</t>
  </si>
  <si>
    <t xml:space="preserve">GATGCTGGCTGTACACATCATGACA</t>
  </si>
  <si>
    <t xml:space="preserve">GTCTATGCTGATGGCACAGAGGTTC</t>
  </si>
  <si>
    <t xml:space="preserve">S217-06</t>
  </si>
  <si>
    <t xml:space="preserve">Drd3_B1_P1_06</t>
  </si>
  <si>
    <t xml:space="preserve">GAGGAGGGCAGCAAACGGAATGCCATGCTGATAGTGAACTGGCAT</t>
  </si>
  <si>
    <t xml:space="preserve">Drd3_B1_P2_06</t>
  </si>
  <si>
    <t xml:space="preserve">CCACACGTCGACAGGAGCTCTGCCCTAGAAGAGTCTTCCTTTACG</t>
  </si>
  <si>
    <t xml:space="preserve">B1_P1 (Drd3)_6</t>
  </si>
  <si>
    <t xml:space="preserve">B1_P2 (Drd3)_6</t>
  </si>
  <si>
    <t xml:space="preserve">TGCCATGCTGATAGTGAACTGGCAT</t>
  </si>
  <si>
    <t xml:space="preserve">CCACACGTCGACAGGAGCTCTGCCC</t>
  </si>
  <si>
    <t xml:space="preserve">S218-01</t>
  </si>
  <si>
    <t xml:space="preserve">Gpx3_B1_P1_01</t>
  </si>
  <si>
    <t xml:space="preserve">GAGGAGGGCAGCAAACGGAATTAAAAGGAATGTATTCCTCCCCAT</t>
  </si>
  <si>
    <t xml:space="preserve">Gpx3_B1_P2_01</t>
  </si>
  <si>
    <t xml:space="preserve">AAGAGGATATATTTGCCTGCATACTTAGAAGAGTCTTCCTTTACG</t>
  </si>
  <si>
    <t xml:space="preserve">B1_P1 (Gpx3)_1</t>
  </si>
  <si>
    <t xml:space="preserve">B1_P2 (Gpx3)_1</t>
  </si>
  <si>
    <t xml:space="preserve">TTAAAAGGAATGTATTCCTCCCCAT</t>
  </si>
  <si>
    <t xml:space="preserve">AAGAGGATATATTTGCCTGCATACT</t>
  </si>
  <si>
    <t xml:space="preserve">set_2 pool(6)</t>
  </si>
  <si>
    <t xml:space="preserve">S218-02</t>
  </si>
  <si>
    <t xml:space="preserve">Gpx3_B1_P1_02</t>
  </si>
  <si>
    <t xml:space="preserve">GAGGAGGGCAGCAAACGGAAAAGGTATTGGTCTGTCAGACCTCAG</t>
  </si>
  <si>
    <t xml:space="preserve">Gpx3_B1_P2_02</t>
  </si>
  <si>
    <t xml:space="preserve">AAGTTCTTCTTGTAGTGCATTCAGTTAGAAGAGTCTTCCTTTACG</t>
  </si>
  <si>
    <t xml:space="preserve">B1_P1 (Gpx3)_2</t>
  </si>
  <si>
    <t xml:space="preserve">B1_P2 (Gpx3)_2</t>
  </si>
  <si>
    <t xml:space="preserve">AAGGTATTGGTCTGTCAGACCTCAG</t>
  </si>
  <si>
    <t xml:space="preserve">AAGTTCTTCTTGTAGTGCATTCAGT</t>
  </si>
  <si>
    <t xml:space="preserve">S218-03</t>
  </si>
  <si>
    <t xml:space="preserve">Gpx3_B1_P1_03</t>
  </si>
  <si>
    <t xml:space="preserve">GAGGAGGGCAGCAAACGGAAATTGGTTGGAAGGGAAGCCCAGAAT</t>
  </si>
  <si>
    <t xml:space="preserve">Gpx3_B1_P2_03</t>
  </si>
  <si>
    <t xml:space="preserve">AGTTCTCGCCTGGCTCCTGTTTGCCTAGAAGAGTCTTCCTTTACG</t>
  </si>
  <si>
    <t xml:space="preserve">B1_P1 (Gpx3)_3</t>
  </si>
  <si>
    <t xml:space="preserve">B1_P2 (Gpx3)_3</t>
  </si>
  <si>
    <t xml:space="preserve">ATTGGTTGGAAGGGAAGCCCAGAAT</t>
  </si>
  <si>
    <t xml:space="preserve">AGTTCTCGCCTGGCTCCTGTTTGCC</t>
  </si>
  <si>
    <t xml:space="preserve">S218-04</t>
  </si>
  <si>
    <t xml:space="preserve">Gpx3_B1_P1_04</t>
  </si>
  <si>
    <t xml:space="preserve">GAGGAGGGCAGCAAACGGAACCCCCACCTGGTCGAACATACTTGA</t>
  </si>
  <si>
    <t xml:space="preserve">Gpx3_B1_P2_04</t>
  </si>
  <si>
    <t xml:space="preserve">TCAAAGAGCTGGAAATTAGGCACAATAGAAGAGTCTTCCTTTACG</t>
  </si>
  <si>
    <t xml:space="preserve">B1_P1 (Gpx3)_4</t>
  </si>
  <si>
    <t xml:space="preserve">B1_P2 (Gpx3)_4</t>
  </si>
  <si>
    <t xml:space="preserve">CCCCCACCTGGTCGAACATACTTGA</t>
  </si>
  <si>
    <t xml:space="preserve">TCAAAGAGCTGGAAATTAGGCACAA</t>
  </si>
  <si>
    <t xml:space="preserve">S218-05</t>
  </si>
  <si>
    <t xml:space="preserve">Gpx3_B1_P1_05</t>
  </si>
  <si>
    <t xml:space="preserve">GAGGAGGGCAGCAAACGGAAAGTGTAGAATTTCTGCTCTTTCTCC</t>
  </si>
  <si>
    <t xml:space="preserve">Gpx3_B1_P2_05</t>
  </si>
  <si>
    <t xml:space="preserve">AGTGGGAGGGCAGGAGTTCTTCAGGTAGAAGAGTCTTCCTTTACG</t>
  </si>
  <si>
    <t xml:space="preserve">B1_P1 (Gpx3)_5</t>
  </si>
  <si>
    <t xml:space="preserve">B1_P2 (Gpx3)_5</t>
  </si>
  <si>
    <t xml:space="preserve">AGTGTAGAATTTCTGCTCTTTCTCC</t>
  </si>
  <si>
    <t xml:space="preserve">AGTGGGAGGGCAGGAGTTCTTCAGG</t>
  </si>
  <si>
    <t xml:space="preserve">S218-06</t>
  </si>
  <si>
    <t xml:space="preserve">Gpx3_B1_P1_06</t>
  </si>
  <si>
    <t xml:space="preserve">GAGGAGGGCAGCAAACGGAATGGGTTCCCAAAAGAGGCGGCCAGG</t>
  </si>
  <si>
    <t xml:space="preserve">Gpx3_B1_P2_06</t>
  </si>
  <si>
    <t xml:space="preserve">AGTTCCAGCGGATGTCATGGATCTTTAGAAGAGTCTTCCTTTACG</t>
  </si>
  <si>
    <t xml:space="preserve">B1_P1 (Gpx3)_6</t>
  </si>
  <si>
    <t xml:space="preserve">B1_P2 (Gpx3)_6</t>
  </si>
  <si>
    <t xml:space="preserve">TGGGTTCCCAAAAGAGGCGGCCAGG</t>
  </si>
  <si>
    <t xml:space="preserve">AGTTCCAGCGGATGTCATGGATCTT</t>
  </si>
  <si>
    <t xml:space="preserve">S219-01</t>
  </si>
  <si>
    <t xml:space="preserve">Grm1_B1_P1_01</t>
  </si>
  <si>
    <t xml:space="preserve">GAGGAGGGCAGCAAACGGAAAGCCTCTGTGTACTGCAGATTCATA</t>
  </si>
  <si>
    <t xml:space="preserve">Grm1_B1_P2_01</t>
  </si>
  <si>
    <t xml:space="preserve">TCCCACATGGACATAGTCATAGCGATAGAAGAGTCTTCCTTTACG</t>
  </si>
  <si>
    <t xml:space="preserve">B1_P1 (Grm1)_1</t>
  </si>
  <si>
    <t xml:space="preserve">B1_P2 (Grm1)_1</t>
  </si>
  <si>
    <t xml:space="preserve">AGCCTCTGTGTACTGCAGATTCATA</t>
  </si>
  <si>
    <t xml:space="preserve">TCCCACATGGACATAGTCATAGCGA</t>
  </si>
  <si>
    <t xml:space="preserve">S219-02</t>
  </si>
  <si>
    <t xml:space="preserve">Grm1_B1_P1_02</t>
  </si>
  <si>
    <t xml:space="preserve">GAGGAGGGCAGCAAACGGAAGGATTTTGTAATCATCGATATTCAG</t>
  </si>
  <si>
    <t xml:space="preserve">Grm1_B1_P2_02</t>
  </si>
  <si>
    <t xml:space="preserve">ATCGTACCATTCCGCTTTTGTTCATTAGAAGAGTCTTCCTTTACG</t>
  </si>
  <si>
    <t xml:space="preserve">B1_P1 (Grm1)_2</t>
  </si>
  <si>
    <t xml:space="preserve">B1_P2 (Grm1)_2</t>
  </si>
  <si>
    <t xml:space="preserve">GGATTTTGTAATCATCGATATTCAG</t>
  </si>
  <si>
    <t xml:space="preserve">ATCGTACCATTCCGCTTTTGTTCAT</t>
  </si>
  <si>
    <t xml:space="preserve">S219-03</t>
  </si>
  <si>
    <t xml:space="preserve">Grm1_B1_P1_03</t>
  </si>
  <si>
    <t xml:space="preserve">GAGGAGGGCAGCAAACGGAAATGACCTTAATCTGACCCTTTAAGC</t>
  </si>
  <si>
    <t xml:space="preserve">Grm1_B1_P2_03</t>
  </si>
  <si>
    <t xml:space="preserve">CAGCAGCAGCTCACTTCCCCTTTCCTAGAAGAGTCTTCCTTTACG</t>
  </si>
  <si>
    <t xml:space="preserve">B1_P1 (Grm1)_3</t>
  </si>
  <si>
    <t xml:space="preserve">B1_P2 (Grm1)_3</t>
  </si>
  <si>
    <t xml:space="preserve">ATGACCTTAATCTGACCCTTTAAGC</t>
  </si>
  <si>
    <t xml:space="preserve">CAGCAGCAGCTCACTTCCCCTTTCC</t>
  </si>
  <si>
    <t xml:space="preserve">S219-04</t>
  </si>
  <si>
    <t xml:space="preserve">Grm1_B1_P1_04</t>
  </si>
  <si>
    <t xml:space="preserve">GAGGAGGGCAGCAAACGGAACTCATCTTGCACAAACTCATTCTCT</t>
  </si>
  <si>
    <t xml:space="preserve">Grm1_B1_P2_04</t>
  </si>
  <si>
    <t xml:space="preserve">CCCCAGGTCACAGGCTCTGCAGGTATAGAAGAGTCTTCCTTTACG</t>
  </si>
  <si>
    <t xml:space="preserve">B1_P1 (Grm1)_4</t>
  </si>
  <si>
    <t xml:space="preserve">B1_P2 (Grm1)_4</t>
  </si>
  <si>
    <t xml:space="preserve">CTCATCTTGCACAAACTCATTCTCT</t>
  </si>
  <si>
    <t xml:space="preserve">CCCCAGGTCACAGGCTCTGCAGGTA</t>
  </si>
  <si>
    <t xml:space="preserve">S219-05</t>
  </si>
  <si>
    <t xml:space="preserve">Grm1_B1_P1_05</t>
  </si>
  <si>
    <t xml:space="preserve">GAGGAGGGCAGCAAACGGAATAGTAATGGGCTCACAGCCTGTGAG</t>
  </si>
  <si>
    <t xml:space="preserve">Grm1_B1_P2_05</t>
  </si>
  <si>
    <t xml:space="preserve">CTATGTCACTCCACTCGAGGTAACGTAGAAGAGTCTTCCTTTACG</t>
  </si>
  <si>
    <t xml:space="preserve">B1_P1 (Grm1)_5</t>
  </si>
  <si>
    <t xml:space="preserve">B1_P2 (Grm1)_5</t>
  </si>
  <si>
    <t xml:space="preserve">TAGTAATGGGCTCACAGCCTGTGAG</t>
  </si>
  <si>
    <t xml:space="preserve">CTATGTCACTCCACTCGAGGTAACG</t>
  </si>
  <si>
    <t xml:space="preserve">S219-06</t>
  </si>
  <si>
    <t xml:space="preserve">Grm1_B1_P1_06</t>
  </si>
  <si>
    <t xml:space="preserve">GAGGAGGGCAGCAAACGGAAACGAGGATGCCCAGGCAAGAAAAGG</t>
  </si>
  <si>
    <t xml:space="preserve">Grm1_B1_P2_06</t>
  </si>
  <si>
    <t xml:space="preserve">ACAAAGATGAGGGTGACAAATAGCGTAGAAGAGTCTTCCTTTACG</t>
  </si>
  <si>
    <t xml:space="preserve">B1_P1 (Grm1)_6</t>
  </si>
  <si>
    <t xml:space="preserve">B1_P2 (Grm1)_6</t>
  </si>
  <si>
    <t xml:space="preserve">ACGAGGATGCCCAGGCAAGAAAAGG</t>
  </si>
  <si>
    <t xml:space="preserve">ACAAAGATGAGGGTGACAAATAGCG</t>
  </si>
  <si>
    <t xml:space="preserve">S220-01</t>
  </si>
  <si>
    <t xml:space="preserve">Htr1f_B1_P1_01</t>
  </si>
  <si>
    <t xml:space="preserve">GAGGAGGGCAGCAAACGGAAGGGTGGTGCAGCTTCCGAGTCACAA</t>
  </si>
  <si>
    <t xml:space="preserve">Htr1f_B1_P2_01</t>
  </si>
  <si>
    <t xml:space="preserve">GCCAAGGAACAAATTAAATAGTTGGTAGAAGAGTCTTCCTTTACG</t>
  </si>
  <si>
    <t xml:space="preserve">B1_P1 (Htr1f)_1</t>
  </si>
  <si>
    <t xml:space="preserve">B1_P2 (Htr1f)_1</t>
  </si>
  <si>
    <t xml:space="preserve">GGGTGGTGCAGCTTCCGAGTCACAA</t>
  </si>
  <si>
    <t xml:space="preserve">GCCAAGGAACAAATTAAATAGTTGG</t>
  </si>
  <si>
    <t xml:space="preserve">S220-02</t>
  </si>
  <si>
    <t xml:space="preserve">Htr1f_B1_P1_02</t>
  </si>
  <si>
    <t xml:space="preserve">GAGGAGGGCAGCAAACGGAAACTGAAGGGCATCACCAGGACAGCT</t>
  </si>
  <si>
    <t xml:space="preserve">Htr1f_B1_P2_02</t>
  </si>
  <si>
    <t xml:space="preserve">CCAGCTCTCTCTCACAATGTACACATAGAAGAGTCTTCCTTTACG</t>
  </si>
  <si>
    <t xml:space="preserve">B1_P1 (Htr1f)_2</t>
  </si>
  <si>
    <t xml:space="preserve">B1_P2 (Htr1f)_2</t>
  </si>
  <si>
    <t xml:space="preserve">ACTGAAGGGCATCACCAGGACAGCT</t>
  </si>
  <si>
    <t xml:space="preserve">CCAGCTCTCTCTCACAATGTACACA</t>
  </si>
  <si>
    <t xml:space="preserve">S220-03</t>
  </si>
  <si>
    <t xml:space="preserve">Htr1f_B1_P1_03</t>
  </si>
  <si>
    <t xml:space="preserve">GAGGAGGGCAGCAAACGGAATGTCGACACTCAGCCAAATGTCACA</t>
  </si>
  <si>
    <t xml:space="preserve">Htr1f_B1_P2_03</t>
  </si>
  <si>
    <t xml:space="preserve">GCAAGATGGAACACGTACAACAGATTAGAAGAGTCTTCCTTTACG</t>
  </si>
  <si>
    <t xml:space="preserve">B1_P1 (Htr1f)_3</t>
  </si>
  <si>
    <t xml:space="preserve">B1_P2 (Htr1f)_3</t>
  </si>
  <si>
    <t xml:space="preserve">TGTCGACACTCAGCCAAATGTCACA</t>
  </si>
  <si>
    <t xml:space="preserve">GCAAGATGGAACACGTACAACAGAT</t>
  </si>
  <si>
    <t xml:space="preserve">S220-04</t>
  </si>
  <si>
    <t xml:space="preserve">Htr1f_B1_P1_04</t>
  </si>
  <si>
    <t xml:space="preserve">GAGGAGGGCAGCAAACGGAATCTGTGATGGCGCGGTACCTATCCA</t>
  </si>
  <si>
    <t xml:space="preserve">Htr1f_B1_P2_04</t>
  </si>
  <si>
    <t xml:space="preserve">GTCCTCTTCCTGGCGTATTCAACTGTAGAAGAGTCTTCCTTTACG</t>
  </si>
  <si>
    <t xml:space="preserve">B1_P1 (Htr1f)_4</t>
  </si>
  <si>
    <t xml:space="preserve">B1_P2 (Htr1f)_4</t>
  </si>
  <si>
    <t xml:space="preserve">TCTGTGATGGCGCGGTACCTATCCA</t>
  </si>
  <si>
    <t xml:space="preserve">GTCCTCTTCCTGGCGTATTCAACTG</t>
  </si>
  <si>
    <t xml:space="preserve">S220-05</t>
  </si>
  <si>
    <t xml:space="preserve">Htr1f_B1_P1_05</t>
  </si>
  <si>
    <t xml:space="preserve">GAGGAGGGCAGCAAACGGAATATAACCCACACGATCGTGATCATG</t>
  </si>
  <si>
    <t xml:space="preserve">Htr1f_B1_P2_05</t>
  </si>
  <si>
    <t xml:space="preserve">GAGAGGAGGCATAGAGATGAACACATAGAAGAGTCTTCCTTTACG</t>
  </si>
  <si>
    <t xml:space="preserve">B1_P1 (Htr1f)_5</t>
  </si>
  <si>
    <t xml:space="preserve">B1_P2 (Htr1f)_5</t>
  </si>
  <si>
    <t xml:space="preserve">TATAACCCACACGATCGTGATCATG</t>
  </si>
  <si>
    <t xml:space="preserve">GAGAGGAGGCATAGAGATGAACACA</t>
  </si>
  <si>
    <t xml:space="preserve">S220-06</t>
  </si>
  <si>
    <t xml:space="preserve">Htr1f_B1_P1_06</t>
  </si>
  <si>
    <t xml:space="preserve">GAGGAGGGCAGCAAACGGAATGACACACTCATCATCACGGCTAGT</t>
  </si>
  <si>
    <t xml:space="preserve">Htr1f_B1_P2_06</t>
  </si>
  <si>
    <t xml:space="preserve">TTGTGGAAACAATGTGGTCATGTTTTAGAAGAGTCTTCCTTTACG</t>
  </si>
  <si>
    <t xml:space="preserve">B1_P1 (Htr1f)_6</t>
  </si>
  <si>
    <t xml:space="preserve">B1_P2 (Htr1f)_6</t>
  </si>
  <si>
    <t xml:space="preserve">TGACACACTCATCATCACGGCTAGT</t>
  </si>
  <si>
    <t xml:space="preserve">TTGTGGAAACAATGTGGTCATGTTT</t>
  </si>
  <si>
    <t xml:space="preserve">S221-01</t>
  </si>
  <si>
    <t xml:space="preserve">Htr4_B1_P1_01</t>
  </si>
  <si>
    <t xml:space="preserve">GAGGAGGGCAGCAAACGGAACTCAATGGCACCAAAGGGCATCACC</t>
  </si>
  <si>
    <t xml:space="preserve">Htr4_B1_P2_01</t>
  </si>
  <si>
    <t xml:space="preserve">CCCATAAGCCCAGATGTCTTGGACCTAGAAGAGTCTTCCTTTACG</t>
  </si>
  <si>
    <t xml:space="preserve">B1_P1 (Htr4)_1</t>
  </si>
  <si>
    <t xml:space="preserve">B1_P2 (Htr4)_1</t>
  </si>
  <si>
    <t xml:space="preserve">CTCAATGGCACCAAAGGGCATCACC</t>
  </si>
  <si>
    <t xml:space="preserve">CCCATAAGCCCAGATGTCTTGGACC</t>
  </si>
  <si>
    <t xml:space="preserve">S221-02</t>
  </si>
  <si>
    <t xml:space="preserve">Htr4_B1_P1_02</t>
  </si>
  <si>
    <t xml:space="preserve">GAGGAGGGCAGCAAACGGAATAAGTAGGACATCCAGAGAGGTCCG</t>
  </si>
  <si>
    <t xml:space="preserve">Htr4_B1_P2_02</t>
  </si>
  <si>
    <t xml:space="preserve">AGCACAGGTGAAAGATCGATGCTGTTAGAAGAGTCTTCCTTTACG</t>
  </si>
  <si>
    <t xml:space="preserve">B1_P1 (Htr4)_2</t>
  </si>
  <si>
    <t xml:space="preserve">B1_P2 (Htr4)_2</t>
  </si>
  <si>
    <t xml:space="preserve">TAAGTAGGACATCCAGAGAGGTCCG</t>
  </si>
  <si>
    <t xml:space="preserve">AGCACAGGTGAAAGATCGATGCTGT</t>
  </si>
  <si>
    <t xml:space="preserve">S221-03</t>
  </si>
  <si>
    <t xml:space="preserve">Htr4_B1_P1_03</t>
  </si>
  <si>
    <t xml:space="preserve">GAGGAGGGCAGCAAACGGAAAAAGGCTGGCAGCAGATGGCGTAAT</t>
  </si>
  <si>
    <t xml:space="preserve">Htr4_B1_P2_03</t>
  </si>
  <si>
    <t xml:space="preserve">AGAGGGGTCATCTTGTTCCTATAAATAGAAGAGTCTTCCTTTACG</t>
  </si>
  <si>
    <t xml:space="preserve">B1_P1 (Htr4)_3</t>
  </si>
  <si>
    <t xml:space="preserve">B1_P2 (Htr4)_3</t>
  </si>
  <si>
    <t xml:space="preserve">AAAGGCTGGCAGCAGATGGCGTAAT</t>
  </si>
  <si>
    <t xml:space="preserve">AGAGGGGTCATCTTGTTCCTATAAA</t>
  </si>
  <si>
    <t xml:space="preserve">S221-04</t>
  </si>
  <si>
    <t xml:space="preserve">Htr4_B1_P1_04</t>
  </si>
  <si>
    <t xml:space="preserve">GAGGAGGGCAGCAAACGGAACATGGGAAGGACCCAGCAGCCTCCC</t>
  </si>
  <si>
    <t xml:space="preserve">Htr4_B1_P2_04</t>
  </si>
  <si>
    <t xml:space="preserve">TTGCATTATGGGGAGAAAAGATATATAGAAGAGTCTTCCTTTACG</t>
  </si>
  <si>
    <t xml:space="preserve">B1_P1 (Htr4)_4</t>
  </si>
  <si>
    <t xml:space="preserve">B1_P2 (Htr4)_4</t>
  </si>
  <si>
    <t xml:space="preserve">CATGGGAAGGACCCAGCAGCCTCCC</t>
  </si>
  <si>
    <t xml:space="preserve">TTGCATTATGGGGAGAAAAGATATA</t>
  </si>
  <si>
    <t xml:space="preserve">S221-05</t>
  </si>
  <si>
    <t xml:space="preserve">Htr4_B1_P1_05</t>
  </si>
  <si>
    <t xml:space="preserve">GAGGAGGGCAGCAAACGGAATCCTTTTCTCTATCACATCAACTAT</t>
  </si>
  <si>
    <t xml:space="preserve">Htr4_B1_P2_05</t>
  </si>
  <si>
    <t xml:space="preserve">ACGTGGAGTTAGAGTTGTGGCTGAATAGAAGAGTCTTCCTTTACG</t>
  </si>
  <si>
    <t xml:space="preserve">B1_P1 (Htr4)_5</t>
  </si>
  <si>
    <t xml:space="preserve">B1_P2 (Htr4)_5</t>
  </si>
  <si>
    <t xml:space="preserve">TCCTTTTCTCTATCACATCAACTAT</t>
  </si>
  <si>
    <t xml:space="preserve">ACGTGGAGTTAGAGTTGTGGCTGAA</t>
  </si>
  <si>
    <t xml:space="preserve">S221-06</t>
  </si>
  <si>
    <t xml:space="preserve">Htr4_B1_P1_06</t>
  </si>
  <si>
    <t xml:space="preserve">GAGGAGGGCAGCAAACGGAAGAGCAGGTGATAGCATAGGGCTTGT</t>
  </si>
  <si>
    <t xml:space="preserve">Htr4_B1_P2_06</t>
  </si>
  <si>
    <t xml:space="preserve">AGAAACGGGATGTAGAAGGCCACCATAGAAGAGTCTTCCTTTACG</t>
  </si>
  <si>
    <t xml:space="preserve">B1_P1 (Htr4)_6</t>
  </si>
  <si>
    <t xml:space="preserve">B1_P2 (Htr4)_6</t>
  </si>
  <si>
    <t xml:space="preserve">GAGCAGGTGATAGCATAGGGCTTGT</t>
  </si>
  <si>
    <t xml:space="preserve">AGAAACGGGATGTAGAAGGCCACCA</t>
  </si>
  <si>
    <t xml:space="preserve">S222-01</t>
  </si>
  <si>
    <t xml:space="preserve">Lpl_B1_P1_01</t>
  </si>
  <si>
    <t xml:space="preserve">GAGGAGGGCAGCAAACGGAAATGGATCACCACGAAGGTCTTGCTG</t>
  </si>
  <si>
    <t xml:space="preserve">Lpl_B1_P2_01</t>
  </si>
  <si>
    <t xml:space="preserve">CTCATACATTCCCGTTACCGTCCATTAGAAGAGTCTTCCTTTACG</t>
  </si>
  <si>
    <t xml:space="preserve">B1_P1 (Lpl)_1</t>
  </si>
  <si>
    <t xml:space="preserve">B1_P2 (Lpl)_1</t>
  </si>
  <si>
    <t xml:space="preserve">ATGGATCACCACGAAGGTCTTGCTG</t>
  </si>
  <si>
    <t xml:space="preserve">CTCATACATTCCCGTTACCGTCCAT</t>
  </si>
  <si>
    <t xml:space="preserve">set_2 pool(3)</t>
  </si>
  <si>
    <t xml:space="preserve">S222-02</t>
  </si>
  <si>
    <t xml:space="preserve">Lpl_B1_P1_02</t>
  </si>
  <si>
    <t xml:space="preserve">GAGGAGGGCAGCAAACGGAAGTTCTCTCTTGTACAGGGCGGCCAC</t>
  </si>
  <si>
    <t xml:space="preserve">Lpl_B1_P2_02</t>
  </si>
  <si>
    <t xml:space="preserve">AGTCTACTACAATGACATTGGAGTCTAGAAGAGTCTTCCTTTACG</t>
  </si>
  <si>
    <t xml:space="preserve">B1_P1 (Lpl)_2</t>
  </si>
  <si>
    <t xml:space="preserve">B1_P2 (Lpl)_2</t>
  </si>
  <si>
    <t xml:space="preserve">GTTCTCTCTTGTACAGGGCGGCCAC</t>
  </si>
  <si>
    <t xml:space="preserve">AGTCTACTACAATGACATTGGAGTC</t>
  </si>
  <si>
    <t xml:space="preserve">S222-03</t>
  </si>
  <si>
    <t xml:space="preserve">Lpl_B1_P1_03</t>
  </si>
  <si>
    <t xml:space="preserve">GAGGAGGGCAGCAAACGGAATAGCCAGCTGACACTGGATAATGTT</t>
  </si>
  <si>
    <t xml:space="preserve">Lpl_B1_P2_03</t>
  </si>
  <si>
    <t xml:space="preserve">GCCACATCATTTCCCACCAGCTTGGTAGAAGAGTCTTCCTTTACG</t>
  </si>
  <si>
    <t xml:space="preserve">B1_P1 (Lpl)_3</t>
  </si>
  <si>
    <t xml:space="preserve">B1_P2 (Lpl)_3</t>
  </si>
  <si>
    <t xml:space="preserve">TAGCCAGCTGACACTGGATAATGTT</t>
  </si>
  <si>
    <t xml:space="preserve">GCCACATCATTTCCCACCAGCTTGG</t>
  </si>
  <si>
    <t xml:space="preserve">S222-04</t>
  </si>
  <si>
    <t xml:space="preserve">Lpl_B1_P1_04</t>
  </si>
  <si>
    <t xml:space="preserve">GAGGAGGGCAGCAAACGGAATAGGGGGTAGTTAAACTCCTCCTCC</t>
  </si>
  <si>
    <t xml:space="preserve">Lpl_B1_P2_04</t>
  </si>
  <si>
    <t xml:space="preserve">GCTGTACCCTAAGAGGTGGACGTTGTAGAAGAGTCTTCCTTTACG</t>
  </si>
  <si>
    <t xml:space="preserve">B1_P1 (Lpl)_4</t>
  </si>
  <si>
    <t xml:space="preserve">B1_P2 (Lpl)_4</t>
  </si>
  <si>
    <t xml:space="preserve">TAGGGGGTAGTTAAACTCCTCCTCC</t>
  </si>
  <si>
    <t xml:space="preserve">GCTGTACCCTAAGAGGTGGACGTTG</t>
  </si>
  <si>
    <t xml:space="preserve">S222-05</t>
  </si>
  <si>
    <t xml:space="preserve">Lpl_B1_P1_05</t>
  </si>
  <si>
    <t xml:space="preserve">GAGGAGGGCAGCAAACGGAATATTGGTCAGACTTCCTGCTACGCC</t>
  </si>
  <si>
    <t xml:space="preserve">Lpl_B1_P2_05</t>
  </si>
  <si>
    <t xml:space="preserve">CCAAACCAGTAATTCTATTGACCTTTAGAAGAGTCTTCCTTTACG</t>
  </si>
  <si>
    <t xml:space="preserve">B1_P1 (Lpl)_5</t>
  </si>
  <si>
    <t xml:space="preserve">B1_P2 (Lpl)_5</t>
  </si>
  <si>
    <t xml:space="preserve">TATTGGTCAGACTTCCTGCTACGCC</t>
  </si>
  <si>
    <t xml:space="preserve">CCAAACCAGTAATTCTATTGACCTT</t>
  </si>
  <si>
    <t xml:space="preserve">S222-06</t>
  </si>
  <si>
    <t xml:space="preserve">Lpl_B1_P1_06</t>
  </si>
  <si>
    <t xml:space="preserve">GAGGAGGGCAGCAAACGGAACGACTGGGGGCTTCTGCATACTCAA</t>
  </si>
  <si>
    <t xml:space="preserve">Lpl_B1_P2_06</t>
  </si>
  <si>
    <t xml:space="preserve">ACAAAATCAGCGTCATCAGGAGAAATAGAAGAGTCTTCCTTTACG</t>
  </si>
  <si>
    <t xml:space="preserve">B1_P1 (Lpl)_6</t>
  </si>
  <si>
    <t xml:space="preserve">B1_P2 (Lpl)_6</t>
  </si>
  <si>
    <t xml:space="preserve">CGACTGGGGGCTTCTGCATACTCAA</t>
  </si>
  <si>
    <t xml:space="preserve">ACAAAATCAGCGTCATCAGGAGAAA</t>
  </si>
  <si>
    <t xml:space="preserve">S223-01</t>
  </si>
  <si>
    <t xml:space="preserve">Oprd1_B1_P1_01</t>
  </si>
  <si>
    <t xml:space="preserve">GAGGAGGGCAGCAAACGGAACTCTGGAAGGGCAGCGTGCTGGTGG</t>
  </si>
  <si>
    <t xml:space="preserve">Oprd1_B1_P2_01</t>
  </si>
  <si>
    <t xml:space="preserve">GGCCACGTTTCCATCAAGTACTTGGTAGAAGAGTCTTCCTTTACG</t>
  </si>
  <si>
    <t xml:space="preserve">B1_P1 (Oprd1)_1</t>
  </si>
  <si>
    <t xml:space="preserve">B1_P2 (Oprd1)_1</t>
  </si>
  <si>
    <t xml:space="preserve">CTCTGGAAGGGCAGCGTGCTGGTGG</t>
  </si>
  <si>
    <t xml:space="preserve">GGCCACGTTTCCATCAAGTACTTGG</t>
  </si>
  <si>
    <t xml:space="preserve">S223-02</t>
  </si>
  <si>
    <t xml:space="preserve">Oprd1_B1_P1_02</t>
  </si>
  <si>
    <t xml:space="preserve">GAGGAGGGCAGCAAACGGAAGTAGTCAATGGAGAGCACAGCCTTG</t>
  </si>
  <si>
    <t xml:space="preserve">Oprd1_B1_P2_02</t>
  </si>
  <si>
    <t xml:space="preserve">GGTGAAGATGCTAGTGAACATGTTGTAGAAGAGTCTTCCTTTACG</t>
  </si>
  <si>
    <t xml:space="preserve">B1_P1 (Oprd1)_2</t>
  </si>
  <si>
    <t xml:space="preserve">B1_P2 (Oprd1)_2</t>
  </si>
  <si>
    <t xml:space="preserve">GTAGTCAATGGAGAGCACAGCCTTG</t>
  </si>
  <si>
    <t xml:space="preserve">GGTGAAGATGCTAGTGAACATGTTG</t>
  </si>
  <si>
    <t xml:space="preserve">S223-03</t>
  </si>
  <si>
    <t xml:space="preserve">Oprd1_B1_P1_03</t>
  </si>
  <si>
    <t xml:space="preserve">GAGGAGGGCAGCAAACGGAAGATGGCAGACAGCAATGTAGCGGTC</t>
  </si>
  <si>
    <t xml:space="preserve">Oprd1_B1_P2_03</t>
  </si>
  <si>
    <t xml:space="preserve">GTGTCCGGAAGTCCAGGGCTTTGACTAGAAGAGTCTTCCTTTACG</t>
  </si>
  <si>
    <t xml:space="preserve">B1_P1 (Oprd1)_3</t>
  </si>
  <si>
    <t xml:space="preserve">B1_P2 (Oprd1)_3</t>
  </si>
  <si>
    <t xml:space="preserve">GATGGCAGACAGCAATGTAGCGGTC</t>
  </si>
  <si>
    <t xml:space="preserve">GTGTCCGGAAGTCCAGGGCTTTGAC</t>
  </si>
  <si>
    <t xml:space="preserve">S223-04</t>
  </si>
  <si>
    <t xml:space="preserve">Oprd1_B1_P1_04</t>
  </si>
  <si>
    <t xml:space="preserve">GAGGAGGGCAGCAAACGGAAGCCAAGACCCAGATGCATATATTGA</t>
  </si>
  <si>
    <t xml:space="preserve">Oprd1_B1_P2_04</t>
  </si>
  <si>
    <t xml:space="preserve">ACCATGATGGGGACCCCGACACCTGTAGAAGAGTCTTCCTTTACG</t>
  </si>
  <si>
    <t xml:space="preserve">B1_P1 (Oprd1)_4</t>
  </si>
  <si>
    <t xml:space="preserve">B1_P2 (Oprd1)_4</t>
  </si>
  <si>
    <t xml:space="preserve">GCCAAGACCCAGATGCATATATTGA</t>
  </si>
  <si>
    <t xml:space="preserve">ACCATGATGGGGACCCCGACACCTG</t>
  </si>
  <si>
    <t xml:space="preserve">S223-05</t>
  </si>
  <si>
    <t xml:space="preserve">Oprd1_B1_P1_05</t>
  </si>
  <si>
    <t xml:space="preserve">GAGGAGGGCAGCAAACGGAACATGCATACCACTGCACCATCCCGG</t>
  </si>
  <si>
    <t xml:space="preserve">Oprd1_B1_P2_05</t>
  </si>
  <si>
    <t xml:space="preserve">GTACCAGCTGGGACTGGGGAACTGGTAGAAGAGTCTTCCTTTACG</t>
  </si>
  <si>
    <t xml:space="preserve">B1_P1 (Oprd1)_5</t>
  </si>
  <si>
    <t xml:space="preserve">B1_P2 (Oprd1)_5</t>
  </si>
  <si>
    <t xml:space="preserve">CATGCATACCACTGCACCATCCCGG</t>
  </si>
  <si>
    <t xml:space="preserve">GTACCAGCTGGGACTGGGGAACTGG</t>
  </si>
  <si>
    <t xml:space="preserve">S223-06</t>
  </si>
  <si>
    <t xml:space="preserve">Oprd1_B1_P1_06</t>
  </si>
  <si>
    <t xml:space="preserve">GAGGAGGGCAGCAAACGGAACGAAGGCAAAGAGGAACACGCAGAT</t>
  </si>
  <si>
    <t xml:space="preserve">Oprd1_B1_P2_06</t>
  </si>
  <si>
    <t xml:space="preserve">ACACCGTGATGATGAGGATCGGCACTAGAAGAGTCTTCCTTTACG</t>
  </si>
  <si>
    <t xml:space="preserve">B1_P1 (Oprd1)_6</t>
  </si>
  <si>
    <t xml:space="preserve">B1_P2 (Oprd1)_6</t>
  </si>
  <si>
    <t xml:space="preserve">CGAAGGCAAAGAGGAACACGCAGAT</t>
  </si>
  <si>
    <t xml:space="preserve">ACACCGTGATGATGAGGATCGGCAC</t>
  </si>
  <si>
    <t xml:space="preserve">S224-01</t>
  </si>
  <si>
    <t xml:space="preserve">Rprm_B1_P1_01</t>
  </si>
  <si>
    <t xml:space="preserve">GAGGAGGGCAGCAAACGGAAGTCGGTCTGGTTGCCCAGCACTGAA</t>
  </si>
  <si>
    <t xml:space="preserve">Rprm_B1_P2_01</t>
  </si>
  <si>
    <t xml:space="preserve">ACTGTTGACCAGGAACAGGCCAGCCTAGAAGAGTCTTCCTTTACG</t>
  </si>
  <si>
    <t xml:space="preserve">B1_P1 (Rprm)_1</t>
  </si>
  <si>
    <t xml:space="preserve">B1_P2 (Rprm)_1</t>
  </si>
  <si>
    <t xml:space="preserve">GTCGGTCTGGTTGCCCAGCACTGAA</t>
  </si>
  <si>
    <t xml:space="preserve">ACTGTTGACCAGGAACAGGCCAGCC</t>
  </si>
  <si>
    <t xml:space="preserve">set_2 pool(4)</t>
  </si>
  <si>
    <t xml:space="preserve">S224-02</t>
  </si>
  <si>
    <t xml:space="preserve">Rprm_B1_P1_02</t>
  </si>
  <si>
    <t xml:space="preserve">GAGGAGGGCAGCAAACGGAAACGCCTGGGTGCAGCAGCGCACCGC</t>
  </si>
  <si>
    <t xml:space="preserve">Rprm_B1_P2_02</t>
  </si>
  <si>
    <t xml:space="preserve">CGGCGAAGCCATCGTCGGTCACCACTAGAAGAGTCTTCCTTTACG</t>
  </si>
  <si>
    <t xml:space="preserve">B1_P1 (Rprm)_2</t>
  </si>
  <si>
    <t xml:space="preserve">B1_P2 (Rprm)_2</t>
  </si>
  <si>
    <t xml:space="preserve">ACGCCTGGGTGCAGCAGCGCACCGC</t>
  </si>
  <si>
    <t xml:space="preserve">CGGCGAAGCCATCGTCGGTCACCAC</t>
  </si>
  <si>
    <t xml:space="preserve">S224-03</t>
  </si>
  <si>
    <t xml:space="preserve">Rprm_B1_P1_03</t>
  </si>
  <si>
    <t xml:space="preserve">GAGGAGGGCAGCAAACGGAAACCACACGCATGATGTACAGGCTGC</t>
  </si>
  <si>
    <t xml:space="preserve">Rprm_B1_P2_03</t>
  </si>
  <si>
    <t xml:space="preserve">GAGAGCACACACATGACTGCGATCTTAGAAGAGTCTTCCTTTACG</t>
  </si>
  <si>
    <t xml:space="preserve">B1_P1 (Rprm)_3</t>
  </si>
  <si>
    <t xml:space="preserve">B1_P2 (Rprm)_3</t>
  </si>
  <si>
    <t xml:space="preserve">ACCACACGCATGATGTACAGGCTGC</t>
  </si>
  <si>
    <t xml:space="preserve">GAGAGCACACACATGACTGCGATCT</t>
  </si>
  <si>
    <t xml:space="preserve">S224-04</t>
  </si>
  <si>
    <t xml:space="preserve">Rprm_B1_P1_04</t>
  </si>
  <si>
    <t xml:space="preserve">GAGGAGGGCAGCAAACGGAACAGGTTGCAGCCAAGGAAGAAGATG</t>
  </si>
  <si>
    <t xml:space="preserve">Rprm_B1_P2_04</t>
  </si>
  <si>
    <t xml:space="preserve">GTTGATCATGCCTTCGGACTTGATGTAGAAGAGTCTTCCTTTACG</t>
  </si>
  <si>
    <t xml:space="preserve">B1_P1 (Rprm)_4</t>
  </si>
  <si>
    <t xml:space="preserve">B1_P2 (Rprm)_4</t>
  </si>
  <si>
    <t xml:space="preserve">CAGGTTGCAGCCAAGGAAGAAGATG</t>
  </si>
  <si>
    <t xml:space="preserve">GTTGATCATGCCTTCGGACTTGATG</t>
  </si>
  <si>
    <t xml:space="preserve">S225-01</t>
  </si>
  <si>
    <t xml:space="preserve">Stum_B1_P1_01</t>
  </si>
  <si>
    <t xml:space="preserve">GAGGAGGGCAGCAAACGGAAGGTCTCGGCGTCTTTGTGCAAAGGC</t>
  </si>
  <si>
    <t xml:space="preserve">Stum_B1_P2_01</t>
  </si>
  <si>
    <t xml:space="preserve">CGCTGCCACAGCCGCCGCCGCCGCCTAGAAGAGTCTTCCTTTACG</t>
  </si>
  <si>
    <t xml:space="preserve">B1_P1 (Stum)_1</t>
  </si>
  <si>
    <t xml:space="preserve">B1_P2 (Stum)_1</t>
  </si>
  <si>
    <t xml:space="preserve">GGTCTCGGCGTCTTTGTGCAAAGGC</t>
  </si>
  <si>
    <t xml:space="preserve">CGCTGCCACAGCCGCCGCCGCCGCC</t>
  </si>
  <si>
    <t xml:space="preserve">set_2 pool(7)</t>
  </si>
  <si>
    <t xml:space="preserve">S225-02</t>
  </si>
  <si>
    <t xml:space="preserve">Stum_B1_P1_02</t>
  </si>
  <si>
    <t xml:space="preserve">GAGGAGGGCAGCAAACGGAAGCACGACCACCCCGCTGGACGACGA</t>
  </si>
  <si>
    <t xml:space="preserve">Stum_B1_P2_02</t>
  </si>
  <si>
    <t xml:space="preserve">GCAGGGGCCCCTTCTTCTCGCGAACTAGAAGAGTCTTCCTTTACG</t>
  </si>
  <si>
    <t xml:space="preserve">B1_P1 (Stum)_2</t>
  </si>
  <si>
    <t xml:space="preserve">B1_P2 (Stum)_2</t>
  </si>
  <si>
    <t xml:space="preserve">GCACGACCACCCCGCTGGACGACGA</t>
  </si>
  <si>
    <t xml:space="preserve">GCAGGGGCCCCTTCTTCTCGCGAAC</t>
  </si>
  <si>
    <t xml:space="preserve">S225-03</t>
  </si>
  <si>
    <t xml:space="preserve">Stum_B1_P1_03</t>
  </si>
  <si>
    <t xml:space="preserve">GAGGAGGGCAGCAAACGGAACAGATGACAGCCACCGGGAAGGGCA</t>
  </si>
  <si>
    <t xml:space="preserve">Stum_B1_P2_03</t>
  </si>
  <si>
    <t xml:space="preserve">CCCGGCACGAAAGTGTTGAGGAAGATAGAAGAGTCTTCCTTTACG</t>
  </si>
  <si>
    <t xml:space="preserve">B1_P1 (Stum)_3</t>
  </si>
  <si>
    <t xml:space="preserve">B1_P2 (Stum)_3</t>
  </si>
  <si>
    <t xml:space="preserve">CAGATGACAGCCACCGGGAAGGGCA</t>
  </si>
  <si>
    <t xml:space="preserve">CCCGGCACGAAAGTGTTGAGGAAGA</t>
  </si>
  <si>
    <t xml:space="preserve">S225-04</t>
  </si>
  <si>
    <t xml:space="preserve">Stum_B1_P1_04</t>
  </si>
  <si>
    <t xml:space="preserve">GAGGAGGGCAGCAAACGGAATGCCCCACACAGCACAGTGAATGCC</t>
  </si>
  <si>
    <t xml:space="preserve">Stum_B1_P2_04</t>
  </si>
  <si>
    <t xml:space="preserve">CACGTGCCTGTCCGGGAGGTCGGTGTAGAAGAGTCTTCCTTTACG</t>
  </si>
  <si>
    <t xml:space="preserve">B1_P1 (Stum)_4</t>
  </si>
  <si>
    <t xml:space="preserve">B1_P2 (Stum)_4</t>
  </si>
  <si>
    <t xml:space="preserve">TGCCCCACACAGCACAGTGAATGCC</t>
  </si>
  <si>
    <t xml:space="preserve">CACGTGCCTGTCCGGGAGGTCGGTG</t>
  </si>
  <si>
    <t xml:space="preserve">S225-05</t>
  </si>
  <si>
    <t xml:space="preserve">Stum_B1_P1_05</t>
  </si>
  <si>
    <t xml:space="preserve">GAGGAGGGCAGCAAACGGAACCTGAATGAGGGCCGCAGCGATATT</t>
  </si>
  <si>
    <t xml:space="preserve">Stum_B1_P2_05</t>
  </si>
  <si>
    <t xml:space="preserve">AGCCCACCATAACGATGGCCGTGAGTAGAAGAGTCTTCCTTTACG</t>
  </si>
  <si>
    <t xml:space="preserve">B1_P1 (Stum)_5</t>
  </si>
  <si>
    <t xml:space="preserve">B1_P2 (Stum)_5</t>
  </si>
  <si>
    <t xml:space="preserve">CCTGAATGAGGGCCGCAGCGATATT</t>
  </si>
  <si>
    <t xml:space="preserve">AGCCCACCATAACGATGGCCGTGAG</t>
  </si>
  <si>
    <t xml:space="preserve">S225-06</t>
  </si>
  <si>
    <t xml:space="preserve">Stum_B1_P1_06</t>
  </si>
  <si>
    <t xml:space="preserve">GAGGAGGGCAGCAAACGGAAGCAAGGATGACCATGTCCATGCCCC</t>
  </si>
  <si>
    <t xml:space="preserve">Stum_B1_P2_06</t>
  </si>
  <si>
    <t xml:space="preserve">CCCTGATCCTTGTACCCTTGGGAGATAGAAGAGTCTTCCTTTACG</t>
  </si>
  <si>
    <t xml:space="preserve">B1_P1 (Stum)_6</t>
  </si>
  <si>
    <t xml:space="preserve">B1_P2 (Stum)_6</t>
  </si>
  <si>
    <t xml:space="preserve">GCAAGGATGACCATGTCCATGCCCC</t>
  </si>
  <si>
    <t xml:space="preserve">CCCTGATCCTTGTACCCTTGGGAGA</t>
  </si>
  <si>
    <t xml:space="preserve">S226-01</t>
  </si>
  <si>
    <t xml:space="preserve">vgat-Slc32a1_B1_P1_01</t>
  </si>
  <si>
    <t xml:space="preserve">GAGGAGGGCAGCAAACGGAACTCGACGGGAGCTTCTGCGCCCTCG</t>
  </si>
  <si>
    <t xml:space="preserve">vgat-Slc32a1_B1_P2_01</t>
  </si>
  <si>
    <t xml:space="preserve">GCCGCCGCGCTGATAATGAATGTCTTAGAAGAGTCTTCCTTTACG</t>
  </si>
  <si>
    <t xml:space="preserve">B1_P1 (vgat)_1; B1_P1 (Slc32a1)_1</t>
  </si>
  <si>
    <t xml:space="preserve">B1_P2 (vgat)_1; B1_P2 (Slc32a1)_1</t>
  </si>
  <si>
    <t xml:space="preserve">CTCGACGGGAGCTTCTGCGCCCTCG</t>
  </si>
  <si>
    <t xml:space="preserve">GCCGCCGCGCTGATAATGAATGTCT</t>
  </si>
  <si>
    <t xml:space="preserve">set_2 pool(5)</t>
  </si>
  <si>
    <t xml:space="preserve">S226-02</t>
  </si>
  <si>
    <t xml:space="preserve">vgat-Slc32a1_B1_P1_02</t>
  </si>
  <si>
    <t xml:space="preserve">GAGGAGGGCAGCAAACGGAACTCCCACGGCCTGGTCCTTGGAGCC</t>
  </si>
  <si>
    <t xml:space="preserve">vgat-Slc32a1_B1_P2_02</t>
  </si>
  <si>
    <t xml:space="preserve">TGTCGTGACCCCCGAACTCCCCACCTAGAAGAGTCTTCCTTTACG</t>
  </si>
  <si>
    <t xml:space="preserve">B1_P1 (vgat)_2; B1_P1 (Slc32a1)_2</t>
  </si>
  <si>
    <t xml:space="preserve">B1_P2 (vgat)_2; B1_P2 (Slc32a1)_2</t>
  </si>
  <si>
    <t xml:space="preserve">CTCCCACGGCCTGGTCCTTGGAGCC</t>
  </si>
  <si>
    <t xml:space="preserve">TGTCGTGACCCCCGAACTCCCCACC</t>
  </si>
  <si>
    <t xml:space="preserve">S226-03</t>
  </si>
  <si>
    <t xml:space="preserve">vgat-Slc32a1_B1_P1_03</t>
  </si>
  <si>
    <t xml:space="preserve">GAGGAGGGCAGCAAACGGAATTTGTCACGTTCCAGCCCGCTTCCC</t>
  </si>
  <si>
    <t xml:space="preserve">vgat-Slc32a1_B1_P2_03</t>
  </si>
  <si>
    <t xml:space="preserve">CCCAGCACGAACATGCCCTGAATGGTAGAAGAGTCTTCCTTTACG</t>
  </si>
  <si>
    <t xml:space="preserve">B1_P1 (vgat)_3; B1_P1 (Slc32a1)_3</t>
  </si>
  <si>
    <t xml:space="preserve">B1_P2 (vgat)_3; B1_P2 (Slc32a1)_3</t>
  </si>
  <si>
    <t xml:space="preserve">TTTGTCACGTTCCAGCCCGCTTCCC</t>
  </si>
  <si>
    <t xml:space="preserve">CCCAGCACGAACATGCCCTGAATGG</t>
  </si>
  <si>
    <t xml:space="preserve">S226-04</t>
  </si>
  <si>
    <t xml:space="preserve">vgat-Slc32a1_B1_P1_04</t>
  </si>
  <si>
    <t xml:space="preserve">GAGGAGGGCAGCAAACGGAAGAACAACCCCAGGTAGCCGCCGTGG</t>
  </si>
  <si>
    <t xml:space="preserve">vgat-Slc32a1_B1_P2_04</t>
  </si>
  <si>
    <t xml:space="preserve">GCACACCACTGCGGCGAAGATGATGTAGAAGAGTCTTCCTTTACG</t>
  </si>
  <si>
    <t xml:space="preserve">B1_P1 (vgat)_4; B1_P1 (Slc32a1)_4</t>
  </si>
  <si>
    <t xml:space="preserve">B1_P2 (vgat)_4; B1_P2 (Slc32a1)_4</t>
  </si>
  <si>
    <t xml:space="preserve">GAACAACCCCAGGTAGCCGCCGTGG</t>
  </si>
  <si>
    <t xml:space="preserve">GCACACCACTGCGGCGAAGATGATG</t>
  </si>
  <si>
    <t xml:space="preserve">S226-05</t>
  </si>
  <si>
    <t xml:space="preserve">vgat-Slc32a1_B1_P1_05</t>
  </si>
  <si>
    <t xml:space="preserve">GAGGAGGGCAGCAAACGGAATCTCCTCGTACAGGCACGCGATGAG</t>
  </si>
  <si>
    <t xml:space="preserve">vgat-Slc32a1_B1_P2_05</t>
  </si>
  <si>
    <t xml:space="preserve">GCACGCGCACCACCTCCCCGTCTTCTAGAAGAGTCTTCCTTTACG</t>
  </si>
  <si>
    <t xml:space="preserve">B1_P1 (vgat)_5; B1_P1 (Slc32a1)_5</t>
  </si>
  <si>
    <t xml:space="preserve">B1_P2 (vgat)_5; B1_P2 (Slc32a1)_5</t>
  </si>
  <si>
    <t xml:space="preserve">TCTCCTCGTACAGGCACGCGATGAG</t>
  </si>
  <si>
    <t xml:space="preserve">GCACGCGCACCACCTCCCCGTCTTC</t>
  </si>
  <si>
    <t xml:space="preserve">S226-06</t>
  </si>
  <si>
    <t xml:space="preserve">vgat-Slc32a1_B1_P1_06</t>
  </si>
  <si>
    <t xml:space="preserve">GAGGAGGGCAGCAAACGGAACGAGGAGCGCAGCATGCGTTAGCTA</t>
  </si>
  <si>
    <t xml:space="preserve">vgat-Slc32a1_B1_P2_06</t>
  </si>
  <si>
    <t xml:space="preserve">ACCACGCGGCCGCCCAGGGTGGGGATAGAAGAGTCTTCCTTTACG</t>
  </si>
  <si>
    <t xml:space="preserve">B1_P1 (vgat)_6; B1_P1 (Slc32a1)_6</t>
  </si>
  <si>
    <t xml:space="preserve">B1_P2 (vgat)_6; B1_P2 (Slc32a1)_6</t>
  </si>
  <si>
    <t xml:space="preserve">CGAGGAGCGCAGCATGCGTTAGCTA</t>
  </si>
  <si>
    <t xml:space="preserve">ACCACGCGGCCGCCCAGGGTGGGGA</t>
  </si>
  <si>
    <t xml:space="preserve">S226-07</t>
  </si>
  <si>
    <t xml:space="preserve">vgat-Slc32a1_B1_P1_07</t>
  </si>
  <si>
    <t xml:space="preserve">GAGGAGGGCAGCAAACGGAACAAGATACACGTCATCACCAGCTCG</t>
  </si>
  <si>
    <t xml:space="preserve">vgat-Slc32a1_B1_P2_07</t>
  </si>
  <si>
    <t xml:space="preserve">CATGAGGTTGCCGCTCACCACGACGTAGAAGAGTCTTCCTTTACG</t>
  </si>
  <si>
    <t xml:space="preserve">B1_P1 (vgat)_7</t>
  </si>
  <si>
    <t xml:space="preserve">B1_P2 (vgat)_7</t>
  </si>
  <si>
    <t xml:space="preserve">CAAGATACACGTCATCACCAGCTCG</t>
  </si>
  <si>
    <t xml:space="preserve">CATGAGGTTGCCGCTCACCACGACG</t>
  </si>
  <si>
    <t xml:space="preserve">S226-08</t>
  </si>
  <si>
    <t xml:space="preserve">vgat-Slc32a1_B1_P1_08</t>
  </si>
  <si>
    <t xml:space="preserve">GAGGAGGGCAGCAAACGGAAACCAGGACTTCTGCGACACGGGCAG</t>
  </si>
  <si>
    <t xml:space="preserve">vgat-Slc32a1_B1_P2_08</t>
  </si>
  <si>
    <t xml:space="preserve">GCAGCAGCACCGCTGTGGCTATGATTAGAAGAGTCTTCCTTTACG</t>
  </si>
  <si>
    <t xml:space="preserve">B1_P1 (vgat)_8</t>
  </si>
  <si>
    <t xml:space="preserve">B1_P2 (vgat)_8</t>
  </si>
  <si>
    <t xml:space="preserve">ACCAGGACTTCTGCGACACGGGCAG</t>
  </si>
  <si>
    <t xml:space="preserve">GCAGCAGCACCGCTGTGGCTATGAT</t>
  </si>
  <si>
    <t xml:space="preserve">S227-01</t>
  </si>
  <si>
    <t xml:space="preserve">Adora1_B2_P1_01</t>
  </si>
  <si>
    <t xml:space="preserve">CCTCGTAAATCCTCATCAAAGCAGGTGTGGAAGTAGGTCTGTGGC</t>
  </si>
  <si>
    <t xml:space="preserve">Adora1_B2_P2_01</t>
  </si>
  <si>
    <t xml:space="preserve">GATGAGGACAGGACAGGCCACCATGAAATCATCCAGTAAACCGCC</t>
  </si>
  <si>
    <t xml:space="preserve">B2_P1 (Adora1)_1</t>
  </si>
  <si>
    <t xml:space="preserve">B2_P2 (Adora1)_1</t>
  </si>
  <si>
    <t xml:space="preserve">GCAGGTGTGGAAGTAGGTCTGTGGC</t>
  </si>
  <si>
    <t xml:space="preserve">GATGAGGACAGGACAGGCCACCATG</t>
  </si>
  <si>
    <t xml:space="preserve">S227-02</t>
  </si>
  <si>
    <t xml:space="preserve">Adora1_B2_P1_02</t>
  </si>
  <si>
    <t xml:space="preserve">CCTCGTAAATCCTCATCAAACCACAGCAATAGCAAGCAGAGCCAG</t>
  </si>
  <si>
    <t xml:space="preserve">Adora1_B2_P2_02</t>
  </si>
  <si>
    <t xml:space="preserve">GAGGGATCTTGACTCGGAGGTACCGAAATCATCCAGTAAACCGCC</t>
  </si>
  <si>
    <t xml:space="preserve">B2_P1 (Adora1)_2</t>
  </si>
  <si>
    <t xml:space="preserve">B2_P2 (Adora1)_2</t>
  </si>
  <si>
    <t xml:space="preserve">CCACAGCAATAGCAAGCAGAGCCAG</t>
  </si>
  <si>
    <t xml:space="preserve">GAGGGATCTTGACTCGGAGGTACCG</t>
  </si>
  <si>
    <t xml:space="preserve">S227-03</t>
  </si>
  <si>
    <t xml:space="preserve">Adora1_B2_P1_03</t>
  </si>
  <si>
    <t xml:space="preserve">CCTCGTAAATCCTCATCAAAGCCACTGCTGCCCGCCGCTGAGTCA</t>
  </si>
  <si>
    <t xml:space="preserve">Adora1_B2_P2_03</t>
  </si>
  <si>
    <t xml:space="preserve">AGGGAGAGAATCCAGCAGCCGGCTAAAATCATCCAGTAAACCGCC</t>
  </si>
  <si>
    <t xml:space="preserve">B2_P1 (Adora1)_3</t>
  </si>
  <si>
    <t xml:space="preserve">B2_P2 (Adora1)_3</t>
  </si>
  <si>
    <t xml:space="preserve">GCCACTGCTGCCCGCCGCTGAGTCA</t>
  </si>
  <si>
    <t xml:space="preserve">AGGGAGAGAATCCAGCAGCCGGCTA</t>
  </si>
  <si>
    <t xml:space="preserve">S227-04</t>
  </si>
  <si>
    <t xml:space="preserve">Adora1_B2_P1_04</t>
  </si>
  <si>
    <t xml:space="preserve">CCTCGTAAATCCTCATCAAAACTCAGGTTGTTCCAGCCAAACATG</t>
  </si>
  <si>
    <t xml:space="preserve">Adora1_B2_P2_04</t>
  </si>
  <si>
    <t xml:space="preserve">GTTGGCTATCCAGGCTTGTTCCACCAAATCATCCAGTAAACCGCC</t>
  </si>
  <si>
    <t xml:space="preserve">B2_P1 (Adora1)_4</t>
  </si>
  <si>
    <t xml:space="preserve">B2_P2 (Adora1)_4</t>
  </si>
  <si>
    <t xml:space="preserve">ACTCAGGTTGTTCCAGCCAAACATG</t>
  </si>
  <si>
    <t xml:space="preserve">GTTGGCTATCCAGGCTTGTTCCACC</t>
  </si>
  <si>
    <t xml:space="preserve">S227-05</t>
  </si>
  <si>
    <t xml:space="preserve">Adora1_B2_P1_05</t>
  </si>
  <si>
    <t xml:space="preserve">CCTCGTAAATCCTCATCAAACCTTCTCGAACTCACACTTGATCAC</t>
  </si>
  <si>
    <t xml:space="preserve">Adora1_B2_P2_05</t>
  </si>
  <si>
    <t xml:space="preserve">AGTAGACCATGTACTCCATGCTGATAAATCATCCAGTAAACCGCC</t>
  </si>
  <si>
    <t xml:space="preserve">B2_P1 (Adora1)_5</t>
  </si>
  <si>
    <t xml:space="preserve">B2_P2 (Adora1)_5</t>
  </si>
  <si>
    <t xml:space="preserve">CCTTCTCGAACTCACACTTGATCAC</t>
  </si>
  <si>
    <t xml:space="preserve">AGTAGACCATGTACTCCATGCTGAT</t>
  </si>
  <si>
    <t xml:space="preserve">S227-06</t>
  </si>
  <si>
    <t xml:space="preserve">Adora1_B2_P1_06</t>
  </si>
  <si>
    <t xml:space="preserve">CCTCGTAAATCCTCATCAAAACCATGAGGAGCAATGGCGGCAGCA</t>
  </si>
  <si>
    <t xml:space="preserve">Adora1_B2_P2_06</t>
  </si>
  <si>
    <t xml:space="preserve">AGGTAGAAGACCTCCAGGTAGATAAAAATCATCCAGTAAACCGCC</t>
  </si>
  <si>
    <t xml:space="preserve">B2_P1 (Adora1)_6</t>
  </si>
  <si>
    <t xml:space="preserve">B2_P2 (Adora1)_6</t>
  </si>
  <si>
    <t xml:space="preserve">ACCATGAGGAGCAATGGCGGCAGCA</t>
  </si>
  <si>
    <t xml:space="preserve">AGGTAGAAGACCTCCAGGTAGATAA</t>
  </si>
  <si>
    <t xml:space="preserve">S228-01</t>
  </si>
  <si>
    <t xml:space="preserve">Agt_B2_P1_01</t>
  </si>
  <si>
    <t xml:space="preserve">CCTCGTAAATCCTCATCAAACACGAGCTGATCATGCAGGGTCTTC</t>
  </si>
  <si>
    <t xml:space="preserve">Agt_B2_P2_01</t>
  </si>
  <si>
    <t xml:space="preserve">CTCATCCTCTAGCTTCTCGGCGGCCAAATCATCCAGTAAACCGCC</t>
  </si>
  <si>
    <t xml:space="preserve">B2_P1 (Agt)_1</t>
  </si>
  <si>
    <t xml:space="preserve">B2_P2 (Agt)_1</t>
  </si>
  <si>
    <t xml:space="preserve">CACGAGCTGATCATGCAGGGTCTTC</t>
  </si>
  <si>
    <t xml:space="preserve">CTCATCCTCTAGCTTCTCGGCGGCC</t>
  </si>
  <si>
    <t xml:space="preserve">S228-02</t>
  </si>
  <si>
    <t xml:space="preserve">Agt_B2_P1_02</t>
  </si>
  <si>
    <t xml:space="preserve">CCTCGTAAATCCTCATCAAACGAAGTTGGCGATCATTGCGACCTG</t>
  </si>
  <si>
    <t xml:space="preserve">Agt_B2_P2_02</t>
  </si>
  <si>
    <t xml:space="preserve">TCAGCATCTTGTACATGCGGAAGCCAAATCATCCAGTAAACCGCC</t>
  </si>
  <si>
    <t xml:space="preserve">B2_P1 (Agt)_2</t>
  </si>
  <si>
    <t xml:space="preserve">B2_P2 (Agt)_2</t>
  </si>
  <si>
    <t xml:space="preserve">CGAAGTTGGCGATCATTGCGACCTG</t>
  </si>
  <si>
    <t xml:space="preserve">TCAGCATCTTGTACATGCGGAAGCC</t>
  </si>
  <si>
    <t xml:space="preserve">S228-03</t>
  </si>
  <si>
    <t xml:space="preserve">Agt_B2_P1_03</t>
  </si>
  <si>
    <t xml:space="preserve">CCTCGTAAATCCTCATCAAAGGTGGTGAGAGGATGGCCCCACTGG</t>
  </si>
  <si>
    <t xml:space="preserve">Agt_B2_P2_03</t>
  </si>
  <si>
    <t xml:space="preserve">AAAGAGACCAGGGTGCCAAAGAGAGAAATCATCCAGTAAACCGCC</t>
  </si>
  <si>
    <t xml:space="preserve">B2_P1 (Agt)_3</t>
  </si>
  <si>
    <t xml:space="preserve">B2_P2 (Agt)_3</t>
  </si>
  <si>
    <t xml:space="preserve">GGTGGTGAGAGGATGGCCCCACTGG</t>
  </si>
  <si>
    <t xml:space="preserve">AAAGAGACCAGGGTGCCAAAGAGAG</t>
  </si>
  <si>
    <t xml:space="preserve">S228-04</t>
  </si>
  <si>
    <t xml:space="preserve">Agt_B2_P1_04</t>
  </si>
  <si>
    <t xml:space="preserve">CCTCGTAAATCCTCATCAAACGTCTGCAGCTGGCTGGCCGTGGGA</t>
  </si>
  <si>
    <t xml:space="preserve">Agt_B2_P2_04</t>
  </si>
  <si>
    <t xml:space="preserve">TCCCTCCTTCACAGGGACATCCAGCAAATCATCCAGTAAACCGCC</t>
  </si>
  <si>
    <t xml:space="preserve">B2_P1 (Agt)_4</t>
  </si>
  <si>
    <t xml:space="preserve">B2_P2 (Agt)_4</t>
  </si>
  <si>
    <t xml:space="preserve">CGTCTGCAGCTGGCTGGCCGTGGGA</t>
  </si>
  <si>
    <t xml:space="preserve">TCCCTCCTTCACAGGGACATCCAGC</t>
  </si>
  <si>
    <t xml:space="preserve">S228-05</t>
  </si>
  <si>
    <t xml:space="preserve">Agt_B2_P1_05</t>
  </si>
  <si>
    <t xml:space="preserve">CCTCGTAAATCCTCATCAAAGGGCAGCGAGGACCTTGTGTCCATC</t>
  </si>
  <si>
    <t xml:space="preserve">Agt_B2_P2_05</t>
  </si>
  <si>
    <t xml:space="preserve">TGACCAGCAAGCCCTGAATGGCCCGAAATCATCCAGTAAACCGCC</t>
  </si>
  <si>
    <t xml:space="preserve">B2_P1 (Agt)_5</t>
  </si>
  <si>
    <t xml:space="preserve">B2_P2 (Agt)_5</t>
  </si>
  <si>
    <t xml:space="preserve">GGGCAGCGAGGACCTTGTGTCCATC</t>
  </si>
  <si>
    <t xml:space="preserve">TGACCAGCAAGCCCTGAATGGCCCG</t>
  </si>
  <si>
    <t xml:space="preserve">S228-06</t>
  </si>
  <si>
    <t xml:space="preserve">Agt_B2_P1_06</t>
  </si>
  <si>
    <t xml:space="preserve">CCTCGTAAATCCTCATCAAAATGGACTGTAGCAGGGGTGTCTGGC</t>
  </si>
  <si>
    <t xml:space="preserve">Agt_B2_P2_06</t>
  </si>
  <si>
    <t xml:space="preserve">CCTGGAGCAGTGAAGAGCCCCACCAAAATCATCCAGTAAACCGCC</t>
  </si>
  <si>
    <t xml:space="preserve">B2_P1 (Agt)_6</t>
  </si>
  <si>
    <t xml:space="preserve">B2_P2 (Agt)_6</t>
  </si>
  <si>
    <t xml:space="preserve">ATGGACTGTAGCAGGGGTGTCTGGC</t>
  </si>
  <si>
    <t xml:space="preserve">CCTGGAGCAGTGAAGAGCCCCACCA</t>
  </si>
  <si>
    <t xml:space="preserve">S229-01</t>
  </si>
  <si>
    <t xml:space="preserve">Chrm4_B2_P1_01</t>
  </si>
  <si>
    <t xml:space="preserve">CCTCGTAAATCCTCATCAAAAGACCACGGCACCCAGGGGCCAGTA</t>
  </si>
  <si>
    <t xml:space="preserve">Chrm4_B2_P2_01</t>
  </si>
  <si>
    <t xml:space="preserve">CATAGTCCAGGGCCAGCCACAGGTCAAATCATCCAGTAAACCGCC</t>
  </si>
  <si>
    <t xml:space="preserve">B2_P1 (Chrm4)_1</t>
  </si>
  <si>
    <t xml:space="preserve">B2_P2 (Chrm4)_1</t>
  </si>
  <si>
    <t xml:space="preserve">AGACCACGGCACCCAGGGGCCAGTA</t>
  </si>
  <si>
    <t xml:space="preserve">CATAGTCCAGGGCCAGCCACAGGTC</t>
  </si>
  <si>
    <t xml:space="preserve">S229-02</t>
  </si>
  <si>
    <t xml:space="preserve">Chrm4_B2_P1_02</t>
  </si>
  <si>
    <t xml:space="preserve">CCTCGTAAATCCTCATCAAAAAGCTGATGATGAGAAGGTTCATGA</t>
  </si>
  <si>
    <t xml:space="preserve">Chrm4_B2_P2_02</t>
  </si>
  <si>
    <t xml:space="preserve">GGCTTGGTGACGCAGAAATAGCGGTAAATCATCCAGTAAACCGCC</t>
  </si>
  <si>
    <t xml:space="preserve">B2_P1 (Chrm4)_2</t>
  </si>
  <si>
    <t xml:space="preserve">B2_P2 (Chrm4)_2</t>
  </si>
  <si>
    <t xml:space="preserve">AAGCTGATGATGAGAAGGTTCATGA</t>
  </si>
  <si>
    <t xml:space="preserve">GGCTTGGTGACGCAGAAATAGCGGT</t>
  </si>
  <si>
    <t xml:space="preserve">S229-03</t>
  </si>
  <si>
    <t xml:space="preserve">Chrm4_B2_P1_03</t>
  </si>
  <si>
    <t xml:space="preserve">CCTCGTAAATCCTCATCAAAGAGGCCTGCCATCTTAGTAGTGCGG</t>
  </si>
  <si>
    <t xml:space="preserve">Chrm4_B2_P2_03</t>
  </si>
  <si>
    <t xml:space="preserve">GGACAAGACCCAGGCGGCTGCAATCAAATCATCCAGTAAACCGCC</t>
  </si>
  <si>
    <t xml:space="preserve">B2_P1 (Chrm4)_3</t>
  </si>
  <si>
    <t xml:space="preserve">B2_P2 (Chrm4)_3</t>
  </si>
  <si>
    <t xml:space="preserve">GAGGCCTGCCATCTTAGTAGTGCGG</t>
  </si>
  <si>
    <t xml:space="preserve">GGACAAGACCCAGGCGGCTGCAATC</t>
  </si>
  <si>
    <t xml:space="preserve">S229-04</t>
  </si>
  <si>
    <t xml:space="preserve">Chrm4_B2_P1_04</t>
  </si>
  <si>
    <t xml:space="preserve">CCTCGTAAATCCTCATCAAACCACAAACTGCCAGAACAAGATGGC</t>
  </si>
  <si>
    <t xml:space="preserve">Chrm4_B2_P2_04</t>
  </si>
  <si>
    <t xml:space="preserve">GGTTATCAGGCACTGTCCTCTTGCCAAATCATCCAGTAAACCGCC</t>
  </si>
  <si>
    <t xml:space="preserve">B2_P1 (Chrm4)_4</t>
  </si>
  <si>
    <t xml:space="preserve">B2_P2 (Chrm4)_4</t>
  </si>
  <si>
    <t xml:space="preserve">CCACAAACTGCCAGAACAAGATGGC</t>
  </si>
  <si>
    <t xml:space="preserve">GGTTATCAGGCACTGTCCTCTTGCC</t>
  </si>
  <si>
    <t xml:space="preserve">S229-05</t>
  </si>
  <si>
    <t xml:space="preserve">Chrm4_B2_P1_05</t>
  </si>
  <si>
    <t xml:space="preserve">CCTCGTAAATCCTCATCAAACCGAAGGTCACCGCCGGGTTGGACA</t>
  </si>
  <si>
    <t xml:space="preserve">Chrm4_B2_P2_05</t>
  </si>
  <si>
    <t xml:space="preserve">GGCAGGTAGAAGGCAGCAATGGCTGAAATCATCCAGTAAACCGCC</t>
  </si>
  <si>
    <t xml:space="preserve">B2_P1 (Chrm4)_5</t>
  </si>
  <si>
    <t xml:space="preserve">B2_P2 (Chrm4)_5</t>
  </si>
  <si>
    <t xml:space="preserve">CCGAAGGTCACCGCCGGGTTGGACA</t>
  </si>
  <si>
    <t xml:space="preserve">GGCAGGTAGAAGGCAGCAATGGCTG</t>
  </si>
  <si>
    <t xml:space="preserve">S229-06</t>
  </si>
  <si>
    <t xml:space="preserve">Chrm4_B2_P1_06</t>
  </si>
  <si>
    <t xml:space="preserve">CCTCGTAAATCCTCATCAAAGGCCAGCGAGATATGAATATACAGC</t>
  </si>
  <si>
    <t xml:space="preserve">Chrm4_B2_P2_06</t>
  </si>
  <si>
    <t xml:space="preserve">TCGATGCTTGTGAACACGGCTGCGGAAATCATCCAGTAAACCGCC</t>
  </si>
  <si>
    <t xml:space="preserve">B2_P1 (Chrm4)_6</t>
  </si>
  <si>
    <t xml:space="preserve">B2_P2 (Chrm4)_6</t>
  </si>
  <si>
    <t xml:space="preserve">GGCCAGCGAGATATGAATATACAGC</t>
  </si>
  <si>
    <t xml:space="preserve">TCGATGCTTGTGAACACGGCTGCGG</t>
  </si>
  <si>
    <t xml:space="preserve">S230-01</t>
  </si>
  <si>
    <t xml:space="preserve">Crym_B2_P1_01</t>
  </si>
  <si>
    <t xml:space="preserve">CCTCGTAAATCCTCATCAAAATAGAAGGTGACTAACTTGGTGGTG</t>
  </si>
  <si>
    <t xml:space="preserve">Crym_B2_P2_01</t>
  </si>
  <si>
    <t xml:space="preserve">GGGGACCGCTGTGTTGCTGTGGCCCAAATCATCCAGTAAACCGCC</t>
  </si>
  <si>
    <t xml:space="preserve">B2_P1 (Crym)_1</t>
  </si>
  <si>
    <t xml:space="preserve">B2_P2 (Crym)_1</t>
  </si>
  <si>
    <t xml:space="preserve">ATAGAAGGTGACTAACTTGGTGGTG</t>
  </si>
  <si>
    <t xml:space="preserve">GGGGACCGCTGTGTTGCTGTGGCCC</t>
  </si>
  <si>
    <t xml:space="preserve">S230-02</t>
  </si>
  <si>
    <t xml:space="preserve">Crym_B2_P1_02</t>
  </si>
  <si>
    <t xml:space="preserve">CCTCGTAAATCCTCATCAAAAGCCATTGCTGGGATCAAAGAGAAG</t>
  </si>
  <si>
    <t xml:space="preserve">Crym_B2_P2_02</t>
  </si>
  <si>
    <t xml:space="preserve">CATTTCCATCCATGACCGCCAGCAGAAATCATCCAGTAAACCGCC</t>
  </si>
  <si>
    <t xml:space="preserve">B2_P1 (Crym)_2</t>
  </si>
  <si>
    <t xml:space="preserve">B2_P2 (Crym)_2</t>
  </si>
  <si>
    <t xml:space="preserve">AGCCATTGCTGGGATCAAAGAGAAG</t>
  </si>
  <si>
    <t xml:space="preserve">CATTTCCATCCATGACCGCCAGCAG</t>
  </si>
  <si>
    <t xml:space="preserve">S230-03</t>
  </si>
  <si>
    <t xml:space="preserve">Crym_B2_P1_03</t>
  </si>
  <si>
    <t xml:space="preserve">CCTCGTAAATCCTCATCAAAGTGGCAATGGCAGACACCGCTGCTG</t>
  </si>
  <si>
    <t xml:space="preserve">Crym_B2_P2_03</t>
  </si>
  <si>
    <t xml:space="preserve">TCACTGCCTGGGGGCTTCAACAGCTAAATCATCCAGTAAACCGCC</t>
  </si>
  <si>
    <t xml:space="preserve">B2_P1 (Crym)_3</t>
  </si>
  <si>
    <t xml:space="preserve">B2_P2 (Crym)_3</t>
  </si>
  <si>
    <t xml:space="preserve">GTGGCAATGGCAGACACCGCTGCTG</t>
  </si>
  <si>
    <t xml:space="preserve">TCACTGCCTGGGGGCTTCAACAGCT</t>
  </si>
  <si>
    <t xml:space="preserve">S230-04</t>
  </si>
  <si>
    <t xml:space="preserve">Crym_B2_P1_04</t>
  </si>
  <si>
    <t xml:space="preserve">CCTCGTAAATCCTCATCAAAGTGACTGTACGCCTGGACCCCCGCT</t>
  </si>
  <si>
    <t xml:space="preserve">Crym_B2_P2_04</t>
  </si>
  <si>
    <t xml:space="preserve">GGAGAACTGCTCTGTGAAGATCTCAAAATCATCCAGTAAACCGCC</t>
  </si>
  <si>
    <t xml:space="preserve">B2_P1 (Crym)_4</t>
  </si>
  <si>
    <t xml:space="preserve">B2_P2 (Crym)_4</t>
  </si>
  <si>
    <t xml:space="preserve">GTGACTGTACGCCTGGACCCCCGCT</t>
  </si>
  <si>
    <t xml:space="preserve">GGAGAACTGCTCTGTGAAGATCTCA</t>
  </si>
  <si>
    <t xml:space="preserve">S230-05</t>
  </si>
  <si>
    <t xml:space="preserve">Crym_B2_P1_05</t>
  </si>
  <si>
    <t xml:space="preserve">CCTCGTAAATCCTCATCAAACAGCATTTTCCCTGGTGCGGTTCCA</t>
  </si>
  <si>
    <t xml:space="preserve">Crym_B2_P2_05</t>
  </si>
  <si>
    <t xml:space="preserve">CTCCTTGCACTGTGCTTGCAAACTTAAATCATCCAGTAAACCGCC</t>
  </si>
  <si>
    <t xml:space="preserve">B2_P1 (Crym)_5</t>
  </si>
  <si>
    <t xml:space="preserve">B2_P2 (Crym)_5</t>
  </si>
  <si>
    <t xml:space="preserve">CAGCATTTTCCCTGGTGCGGTTCCA</t>
  </si>
  <si>
    <t xml:space="preserve">CTCCTTGCACTGTGCTTGCAAACTT</t>
  </si>
  <si>
    <t xml:space="preserve">S230-06</t>
  </si>
  <si>
    <t xml:space="preserve">Crym_B2_P1_06</t>
  </si>
  <si>
    <t xml:space="preserve">CCTCGTAAATCCTCATCAAAGCACCTGTCACAGCCTCCTGCACTG</t>
  </si>
  <si>
    <t xml:space="preserve">Crym_B2_P2_06</t>
  </si>
  <si>
    <t xml:space="preserve">GCCATGGTGACTGTGATGATGACATAAATCATCCAGTAAACCGCC</t>
  </si>
  <si>
    <t xml:space="preserve">B2_P1 (Crym)_6</t>
  </si>
  <si>
    <t xml:space="preserve">B2_P2 (Crym)_6</t>
  </si>
  <si>
    <t xml:space="preserve">GCACCTGTCACAGCCTCCTGCACTG</t>
  </si>
  <si>
    <t xml:space="preserve">GCCATGGTGACTGTGATGATGACAT</t>
  </si>
  <si>
    <t xml:space="preserve">S231-01</t>
  </si>
  <si>
    <t xml:space="preserve">Drd1-Slc17a6_B2_P1_01</t>
  </si>
  <si>
    <t xml:space="preserve">CCTCGTAAATCCTCATCAAAACCTTGGACCGCAGGTGTCGAAACC</t>
  </si>
  <si>
    <t xml:space="preserve">Drd1-Slc17a6_B2_P2_01</t>
  </si>
  <si>
    <t xml:space="preserve">GCTAAAGAGATGACAAAGAAGTTGGAAATCATCCAGTAAACCGCC</t>
  </si>
  <si>
    <t xml:space="preserve">B2_P1 (Drd1)_1; B2_P1 (Slc17a6)_1</t>
  </si>
  <si>
    <t xml:space="preserve">B2_P2 (Drd1)_1; B2_P2 (Slc17a6)_1</t>
  </si>
  <si>
    <t xml:space="preserve">ACCTTGGACCGCAGGTGTCGAAACC</t>
  </si>
  <si>
    <t xml:space="preserve">GCTAAAGAGATGACAAAGAAGTTGG</t>
  </si>
  <si>
    <t xml:space="preserve">S231-02</t>
  </si>
  <si>
    <t xml:space="preserve">Drd1-Slc17a6_B2_P1_02</t>
  </si>
  <si>
    <t xml:space="preserve">CCTCGTAAATCCTCATCAAATTTCCAGGGCATGACCAAGACAGCC</t>
  </si>
  <si>
    <t xml:space="preserve">Drd1-Slc17a6_B2_P2_02</t>
  </si>
  <si>
    <t xml:space="preserve">CCAAAAGCCAGCAATCTCAGCCACAAAATCATCCAGTAAACCGCC</t>
  </si>
  <si>
    <t xml:space="preserve">B2_P1 (Drd1)_2; B2_P1 (Slc17a6)_2</t>
  </si>
  <si>
    <t xml:space="preserve">B2_P2 (Drd1)_2; B2_P2 (Slc17a6)_2</t>
  </si>
  <si>
    <t xml:space="preserve">TTTCCAGGGCATGACCAAGACAGCC</t>
  </si>
  <si>
    <t xml:space="preserve">CCAAAAGCCAGCAATCTCAGCCACA</t>
  </si>
  <si>
    <t xml:space="preserve">S231-03</t>
  </si>
  <si>
    <t xml:space="preserve">Drd1-Slc17a6_B2_P1_03</t>
  </si>
  <si>
    <t xml:space="preserve">CCTCGTAAATCCTCATCAAATGATGTCAAAGGCTACCCAAATGTT</t>
  </si>
  <si>
    <t xml:space="preserve">Drd1-Slc17a6_B2_P2_03</t>
  </si>
  <si>
    <t xml:space="preserve">GGTTAAGGATGGATGCCGTGGAGCAAAATCATCCAGTAAACCGCC</t>
  </si>
  <si>
    <t xml:space="preserve">B2_P1 (Drd1)_3; B2_P1 (Slc17a6)_3</t>
  </si>
  <si>
    <t xml:space="preserve">B2_P2 (Drd1)_3; B2_P2 (Slc17a6)_3</t>
  </si>
  <si>
    <t xml:space="preserve">TGATGTCAAAGGCTACCCAAATGTT</t>
  </si>
  <si>
    <t xml:space="preserve">GGTTAAGGATGGATGCCGTGGAGCA</t>
  </si>
  <si>
    <t xml:space="preserve">S231-04</t>
  </si>
  <si>
    <t xml:space="preserve">Drd1-Slc17a6_B2_P1_04</t>
  </si>
  <si>
    <t xml:space="preserve">CCTCGTAAATCCTCATCAAAGGGCTGGAGATAGCCCAATACCTGT</t>
  </si>
  <si>
    <t xml:space="preserve">Drd1-Slc17a6_B2_P2_04</t>
  </si>
  <si>
    <t xml:space="preserve">GGAGTCATCTTCCTCTCATACTGGAAAATCATCCAGTAAACCGCC</t>
  </si>
  <si>
    <t xml:space="preserve">B2_P1 (Drd1)_4; B2_P1 (Slc17a6)_4</t>
  </si>
  <si>
    <t xml:space="preserve">B2_P2 (Drd1)_4; B2_P2 (Slc17a6)_4</t>
  </si>
  <si>
    <t xml:space="preserve">GGGCTGGAGATAGCCCAATACCTGT</t>
  </si>
  <si>
    <t xml:space="preserve">GGAGTCATCTTCCTCTCATACTGGA</t>
  </si>
  <si>
    <t xml:space="preserve">S231-05</t>
  </si>
  <si>
    <t xml:space="preserve">Drd1-Slc17a6_B2_P1_05</t>
  </si>
  <si>
    <t xml:space="preserve">CCTCGTAAATCCTCATCAAAAGACAAAGTCCATGCTACGCTAATC</t>
  </si>
  <si>
    <t xml:space="preserve">Drd1-Slc17a6_B2_P2_05</t>
  </si>
  <si>
    <t xml:space="preserve">CTGCACTGGAATGAAGGATATGAGAAAATCATCCAGTAAACCGCC</t>
  </si>
  <si>
    <t xml:space="preserve">B2_P1 (Drd1)_5; B2_P1 (Slc17a6)_5</t>
  </si>
  <si>
    <t xml:space="preserve">B2_P2 (Drd1)_5; B2_P2 (Slc17a6)_5</t>
  </si>
  <si>
    <t xml:space="preserve">AGACAAAGTCCATGCTACGCTAATC</t>
  </si>
  <si>
    <t xml:space="preserve">CTGCACTGGAATGAAGGATATGAGA</t>
  </si>
  <si>
    <t xml:space="preserve">S231-06</t>
  </si>
  <si>
    <t xml:space="preserve">Drd1-Slc17a6_B2_P1_06</t>
  </si>
  <si>
    <t xml:space="preserve">CCTCGTAAATCCTCATCAAATGCCATCCAAGGGCCATGTAGGTTT</t>
  </si>
  <si>
    <t xml:space="preserve">Drd1-Slc17a6_B2_P2_06</t>
  </si>
  <si>
    <t xml:space="preserve">CCTCGGCATCTTCCAGGGAAGTAAAAAATCATCCAGTAAACCGCC</t>
  </si>
  <si>
    <t xml:space="preserve">B2_P1 (Drd1)_6; B2_P1 (Slc17a6)_6</t>
  </si>
  <si>
    <t xml:space="preserve">B2_P2 (Drd1)_6; B2_P2 (Slc17a6)_6</t>
  </si>
  <si>
    <t xml:space="preserve">TGCCATCCAAGGGCCATGTAGGTTT</t>
  </si>
  <si>
    <t xml:space="preserve">CCTCGGCATCTTCCAGGGAAGTAAA</t>
  </si>
  <si>
    <t xml:space="preserve">S231-07</t>
  </si>
  <si>
    <t xml:space="preserve">Drd1-Slc17a6_B2_P1_07</t>
  </si>
  <si>
    <t xml:space="preserve">CCTCGTAAATCCTCATCAAAGAAATGGCGTATGTCCTGCTCAACC</t>
  </si>
  <si>
    <t xml:space="preserve">Drd1-Slc17a6_B2_P2_07</t>
  </si>
  <si>
    <t xml:space="preserve">GGGATGTAAAAGCTTATGAGGGAGGAAATCATCCAGTAAACCGCC</t>
  </si>
  <si>
    <t xml:space="preserve">B2_P1 (Drd1)_7; B2_P1 (Slc17a6)_7</t>
  </si>
  <si>
    <t xml:space="preserve">B2_P2 (Drd1)_7; B2_P2 (Slc17a6)_7</t>
  </si>
  <si>
    <t xml:space="preserve">GAAATGGCGTATGTCCTGCTCAACC</t>
  </si>
  <si>
    <t xml:space="preserve">GGGATGTAAAAGCTTATGAGGGAGG</t>
  </si>
  <si>
    <t xml:space="preserve">S231-08</t>
  </si>
  <si>
    <t xml:space="preserve">Drd1-Slc17a6_B2_P1_08</t>
  </si>
  <si>
    <t xml:space="preserve">CCTCGTAAATCCTCATCAAAAATCCTGTAGATACTGGTGTAAGTG</t>
  </si>
  <si>
    <t xml:space="preserve">Drd1-Slc17a6_B2_P2_08</t>
  </si>
  <si>
    <t xml:space="preserve">TGAGATGCGCCGGATTTGCTTCTGGAAATCATCCAGTAAACCGCC</t>
  </si>
  <si>
    <t xml:space="preserve">B2_P1 (Drd1)_8; B2_P1 (Slc17a6)_8</t>
  </si>
  <si>
    <t xml:space="preserve">B2_P2 (Drd1)_8; B2_P2 (Slc17a6)_8</t>
  </si>
  <si>
    <t xml:space="preserve">AATCCTGTAGATACTGGTGTAAGTG</t>
  </si>
  <si>
    <t xml:space="preserve">TGAGATGCGCCGGATTTGCTTCTGG</t>
  </si>
  <si>
    <t xml:space="preserve">S232-01</t>
  </si>
  <si>
    <t xml:space="preserve">gad2_B2_P1_01</t>
  </si>
  <si>
    <t xml:space="preserve">CCTCGTAAATCCTCATCAAAGCAGGGTTTTTGGTCGCAGGTGCAG</t>
  </si>
  <si>
    <t xml:space="preserve">gad2_B2_P2_01</t>
  </si>
  <si>
    <t xml:space="preserve">GTAGTTGACATCCCCTTTGGGGCAGAAATCATCCAGTAAACCGCC</t>
  </si>
  <si>
    <t xml:space="preserve">B2_P1 (gad2)_1</t>
  </si>
  <si>
    <t xml:space="preserve">B2_P2 (gad2)_1</t>
  </si>
  <si>
    <t xml:space="preserve">GCAGGGTTTTTGGTCGCAGGTGCAG</t>
  </si>
  <si>
    <t xml:space="preserve">GTAGTTGACATCCCCTTTGGGGCAG</t>
  </si>
  <si>
    <t xml:space="preserve">S232-02</t>
  </si>
  <si>
    <t xml:space="preserve">gad2_B2_P1_02</t>
  </si>
  <si>
    <t xml:space="preserve">CCTCGTAAATCCTCATCAAACTCCATCACACGCTGGCAGCAGGTC</t>
  </si>
  <si>
    <t xml:space="preserve">gad2_B2_P2_02</t>
  </si>
  <si>
    <t xml:space="preserve">CTTGTAGAAATGCCAGAGTGGGCCTAAATCATCCAGTAAACCGCC</t>
  </si>
  <si>
    <t xml:space="preserve">B2_P1 (gad2)_2</t>
  </si>
  <si>
    <t xml:space="preserve">B2_P2 (gad2)_2</t>
  </si>
  <si>
    <t xml:space="preserve">CTCCATCACACGCTGGCAGCAGGTC</t>
  </si>
  <si>
    <t xml:space="preserve">CTTGTAGAAATGCCAGAGTGGGCCT</t>
  </si>
  <si>
    <t xml:space="preserve">S232-03</t>
  </si>
  <si>
    <t xml:space="preserve">gad2_B2_P1_03</t>
  </si>
  <si>
    <t xml:space="preserve">CCTCGTAAATCCTCATCAAATCGAAACTTTTCACCACGTACTGAA</t>
  </si>
  <si>
    <t xml:space="preserve">gad2_B2_P2_03</t>
  </si>
  <si>
    <t xml:space="preserve">TGGAAATCGATCACTTTAGTTGATCAAATCATCCAGTAAACCGCC</t>
  </si>
  <si>
    <t xml:space="preserve">B2_P1 (gad2)_3</t>
  </si>
  <si>
    <t xml:space="preserve">B2_P2 (gad2)_3</t>
  </si>
  <si>
    <t xml:space="preserve">TCGAAACTTTTCACCACGTACTGAA</t>
  </si>
  <si>
    <t xml:space="preserve">TGGAAATCGATCACTTTAGTTGATC</t>
  </si>
  <si>
    <t xml:space="preserve">S232-04</t>
  </si>
  <si>
    <t xml:space="preserve">gad2_B2_P1_04</t>
  </si>
  <si>
    <t xml:space="preserve">CCTCGTAAATCCTCATCAAATGCCAATTCCCAATTATACTCTTGA</t>
  </si>
  <si>
    <t xml:space="preserve">gad2_B2_P2_04</t>
  </si>
  <si>
    <t xml:space="preserve">AATTTCCTCCAGATTTTGCGGTTGGAAATCATCCAGTAAACCGCC</t>
  </si>
  <si>
    <t xml:space="preserve">B2_P1 (gad2)_4</t>
  </si>
  <si>
    <t xml:space="preserve">B2_P2 (gad2)_4</t>
  </si>
  <si>
    <t xml:space="preserve">TGCCAATTCCCAATTATACTCTTGA</t>
  </si>
  <si>
    <t xml:space="preserve">AATTTCCTCCAGATTTTGCGGTTGG</t>
  </si>
  <si>
    <t xml:space="preserve">S232-05</t>
  </si>
  <si>
    <t xml:space="preserve">gad2_B2_P1_05</t>
  </si>
  <si>
    <t xml:space="preserve">CCTCGTAAATCCTCATCAAACTGTTTTAATTGCATATTTTAGAGT</t>
  </si>
  <si>
    <t xml:space="preserve">gad2_B2_P2_05</t>
  </si>
  <si>
    <t xml:space="preserve">ACAGCTGATTAAAATATCGGGGATGAAATCATCCAGTAAACCGCC</t>
  </si>
  <si>
    <t xml:space="preserve">B2_P1 (gad2)_5</t>
  </si>
  <si>
    <t xml:space="preserve">B2_P2 (gad2)_5</t>
  </si>
  <si>
    <t xml:space="preserve">CTGTTTTAATTGCATATTTTAGAGT</t>
  </si>
  <si>
    <t xml:space="preserve">ACAGCTGATTAAAATATCGGGGATG</t>
  </si>
  <si>
    <t xml:space="preserve">S232-06</t>
  </si>
  <si>
    <t xml:space="preserve">gad2_B2_P1_06</t>
  </si>
  <si>
    <t xml:space="preserve">CCTCGTAAATCCTCATCAAAGTCAACCAGTCTGCTGCTAATCCAA</t>
  </si>
  <si>
    <t xml:space="preserve">gad2_B2_P2_06</t>
  </si>
  <si>
    <t xml:space="preserve">GTGAACATGTTAGTGTTTGCTGTTGAAATCATCCAGTAAACCGCC</t>
  </si>
  <si>
    <t xml:space="preserve">B2_P1 (gad2)_6</t>
  </si>
  <si>
    <t xml:space="preserve">B2_P2 (gad2)_6</t>
  </si>
  <si>
    <t xml:space="preserve">GTCAACCAGTCTGCTGCTAATCCAA</t>
  </si>
  <si>
    <t xml:space="preserve">GTGAACATGTTAGTGTTTGCTGTTG</t>
  </si>
  <si>
    <t xml:space="preserve">S233-01</t>
  </si>
  <si>
    <t xml:space="preserve">Grm4_B2_P1_01</t>
  </si>
  <si>
    <t xml:space="preserve">CCTCGTAAATCCTCATCAAAAGAATGGTGACTGCACCTTCAGCCA</t>
  </si>
  <si>
    <t xml:space="preserve">Grm4_B2_P2_01</t>
  </si>
  <si>
    <t xml:space="preserve">AACCCTCGCACAGACGTCCTCTTGGAAATCATCCAGTAAACCGCC</t>
  </si>
  <si>
    <t xml:space="preserve">B2_P1 (Grm4)_1</t>
  </si>
  <si>
    <t xml:space="preserve">B2_P2 (Grm4)_1</t>
  </si>
  <si>
    <t xml:space="preserve">AGAATGGTGACTGCACCTTCAGCCA</t>
  </si>
  <si>
    <t xml:space="preserve">AACCCTCGCACAGACGTCCTCTTGG</t>
  </si>
  <si>
    <t xml:space="preserve">S233-02</t>
  </si>
  <si>
    <t xml:space="preserve">Grm4_B2_P1_02</t>
  </si>
  <si>
    <t xml:space="preserve">CCTCGTAAATCCTCATCAAAGCGCCTGTTGTTGTCAAGCGTGCGG</t>
  </si>
  <si>
    <t xml:space="preserve">Grm4_B2_P2_02</t>
  </si>
  <si>
    <t xml:space="preserve">CTCCCAGAACTCAGCAAACCAGATGAAATCATCCAGTAAACCGCC</t>
  </si>
  <si>
    <t xml:space="preserve">B2_P1 (Grm4)_2</t>
  </si>
  <si>
    <t xml:space="preserve">B2_P2 (Grm4)_2</t>
  </si>
  <si>
    <t xml:space="preserve">GCGCCTGTTGTTGTCAAGCGTGCGG</t>
  </si>
  <si>
    <t xml:space="preserve">CTCCCAGAACTCAGCAAACCAGATG</t>
  </si>
  <si>
    <t xml:space="preserve">S233-03</t>
  </si>
  <si>
    <t xml:space="preserve">Grm4_B2_P1_03</t>
  </si>
  <si>
    <t xml:space="preserve">CCTCGTAAATCCTCATCAAACCTTCTTGAGCGCGTGGCGGCTCAA</t>
  </si>
  <si>
    <t xml:space="preserve">Grm4_B2_P2_03</t>
  </si>
  <si>
    <t xml:space="preserve">GGTTGGTGCACTTCTTGATGTGGCTAAATCATCCAGTAAACCGCC</t>
  </si>
  <si>
    <t xml:space="preserve">B2_P1 (Grm4)_3</t>
  </si>
  <si>
    <t xml:space="preserve">B2_P2 (Grm4)_3</t>
  </si>
  <si>
    <t xml:space="preserve">CCTTCTTGAGCGCGTGGCGGCTCAA</t>
  </si>
  <si>
    <t xml:space="preserve">GGTTGGTGCACTTCTTGATGTGGCT</t>
  </si>
  <si>
    <t xml:space="preserve">S233-04</t>
  </si>
  <si>
    <t xml:space="preserve">Grm4_B2_P1_04</t>
  </si>
  <si>
    <t xml:space="preserve">CCTCGTAAATCCTCATCAAATTCCCCTCCTGTTCGTAGGCCGAGT</t>
  </si>
  <si>
    <t xml:space="preserve">Grm4_B2_P2_04</t>
  </si>
  <si>
    <t xml:space="preserve">TACACGGCGTCGATCACAAACTGCAAAATCATCCAGTAAACCGCC</t>
  </si>
  <si>
    <t xml:space="preserve">B2_P1 (Grm4)_4</t>
  </si>
  <si>
    <t xml:space="preserve">B2_P2 (Grm4)_4</t>
  </si>
  <si>
    <t xml:space="preserve">TTCCCCTCCTGTTCGTAGGCCGAGT</t>
  </si>
  <si>
    <t xml:space="preserve">TACACGGCGTCGATCACAAACTGCA</t>
  </si>
  <si>
    <t xml:space="preserve">S233-05</t>
  </si>
  <si>
    <t xml:space="preserve">Grm4_B2_P1_05</t>
  </si>
  <si>
    <t xml:space="preserve">CCTCGTAAATCCTCATCAAAACACAGGTCACGATGCATGGCGTGC</t>
  </si>
  <si>
    <t xml:space="preserve">Grm4_B2_P2_05</t>
  </si>
  <si>
    <t xml:space="preserve">TCGAGGGCAGAGTCCTACGCGGCCGAAATCATCCAGTAAACCGCC</t>
  </si>
  <si>
    <t xml:space="preserve">B2_P1 (Grm4)_5</t>
  </si>
  <si>
    <t xml:space="preserve">B2_P2 (Grm4)_5</t>
  </si>
  <si>
    <t xml:space="preserve">ACACAGGTCACGATGCATGGCGTGC</t>
  </si>
  <si>
    <t xml:space="preserve">TCGAGGGCAGAGTCCTACGCGGCCG</t>
  </si>
  <si>
    <t xml:space="preserve">S233-06</t>
  </si>
  <si>
    <t xml:space="preserve">Grm4_B2_P1_06</t>
  </si>
  <si>
    <t xml:space="preserve">CCTCGTAAATCCTCATCAAATTCTGATGTACTTAAGCAGCTGGGT</t>
  </si>
  <si>
    <t xml:space="preserve">Grm4_B2_P2_06</t>
  </si>
  <si>
    <t xml:space="preserve">TCCCGGCGATGCCTGAGAAGTTGACAAATCATCCAGTAAACCGCC</t>
  </si>
  <si>
    <t xml:space="preserve">B2_P1 (Grm4)_6</t>
  </si>
  <si>
    <t xml:space="preserve">B2_P2 (Grm4)_6</t>
  </si>
  <si>
    <t xml:space="preserve">TTCTGATGTACTTAAGCAGCTGGGT</t>
  </si>
  <si>
    <t xml:space="preserve">TCCCGGCGATGCCTGAGAAGTTGAC</t>
  </si>
  <si>
    <t xml:space="preserve">S234-01</t>
  </si>
  <si>
    <t xml:space="preserve">Hap1_B2_P1_01</t>
  </si>
  <si>
    <t xml:space="preserve">CCTCGTAAATCCTCATCAAAGTAGCGGGTCCATGGTGCGTCCGAA</t>
  </si>
  <si>
    <t xml:space="preserve">Hap1_B2_P2_01</t>
  </si>
  <si>
    <t xml:space="preserve">CCGGGGACCGTAAGGCCCCTGGAATAAATCATCCAGTAAACCGCC</t>
  </si>
  <si>
    <t xml:space="preserve">B2_P1 (Hap1)_1</t>
  </si>
  <si>
    <t xml:space="preserve">B2_P2 (Hap1)_1</t>
  </si>
  <si>
    <t xml:space="preserve">GTAGCGGGTCCATGGTGCGTCCGAA</t>
  </si>
  <si>
    <t xml:space="preserve">CCGGGGACCGTAAGGCCCCTGGAAT</t>
  </si>
  <si>
    <t xml:space="preserve">S234-02</t>
  </si>
  <si>
    <t xml:space="preserve">Hap1_B2_P1_02</t>
  </si>
  <si>
    <t xml:space="preserve">CCTCGTAAATCCTCATCAAATCTTCCAGATTCCCTCGGCCTTTCC</t>
  </si>
  <si>
    <t xml:space="preserve">Hap1_B2_P2_02</t>
  </si>
  <si>
    <t xml:space="preserve">GCCTCCGGCCGATGTACGCGGCTGGAAATCATCCAGTAAACCGCC</t>
  </si>
  <si>
    <t xml:space="preserve">B2_P1 (Hap1)_2</t>
  </si>
  <si>
    <t xml:space="preserve">B2_P2 (Hap1)_2</t>
  </si>
  <si>
    <t xml:space="preserve">TCTTCCAGATTCCCTCGGCCTTTCC</t>
  </si>
  <si>
    <t xml:space="preserve">GCCTCCGGCCGATGTACGCGGCTGG</t>
  </si>
  <si>
    <t xml:space="preserve">S234-03</t>
  </si>
  <si>
    <t xml:space="preserve">Hap1_B2_P1_03</t>
  </si>
  <si>
    <t xml:space="preserve">CCTCGTAAATCCTCATCAAAAGCTCTCGAATAAACGCCGCACGCT</t>
  </si>
  <si>
    <t xml:space="preserve">Hap1_B2_P2_03</t>
  </si>
  <si>
    <t xml:space="preserve">GGTGGATTAGGACACAACGCTTCCTAAATCATCCAGTAAACCGCC</t>
  </si>
  <si>
    <t xml:space="preserve">B2_P1 (Hap1)_3</t>
  </si>
  <si>
    <t xml:space="preserve">B2_P2 (Hap1)_3</t>
  </si>
  <si>
    <t xml:space="preserve">AGCTCTCGAATAAACGCCGCACGCT</t>
  </si>
  <si>
    <t xml:space="preserve">GGTGGATTAGGACACAACGCTTCCT</t>
  </si>
  <si>
    <t xml:space="preserve">S234-04</t>
  </si>
  <si>
    <t xml:space="preserve">Hap1_B2_P1_04</t>
  </si>
  <si>
    <t xml:space="preserve">CCTCGTAAATCCTCATCAAACAACATCACTTTGACATCATCTTCG</t>
  </si>
  <si>
    <t xml:space="preserve">Hap1_B2_P2_04</t>
  </si>
  <si>
    <t xml:space="preserve">GTCCCGTTCTTTCTCTTCCAGCAAAAAATCATCCAGTAAACCGCC</t>
  </si>
  <si>
    <t xml:space="preserve">B2_P1 (Hap1)_4</t>
  </si>
  <si>
    <t xml:space="preserve">B2_P2 (Hap1)_4</t>
  </si>
  <si>
    <t xml:space="preserve">CAACATCACTTTGACATCATCTTCG</t>
  </si>
  <si>
    <t xml:space="preserve">GTCCCGTTCTTTCTCTTCCAGCAAA</t>
  </si>
  <si>
    <t xml:space="preserve">S234-05</t>
  </si>
  <si>
    <t xml:space="preserve">Hap1_B2_P1_05</t>
  </si>
  <si>
    <t xml:space="preserve">CCTCGTAAATCCTCATCAAATCTGTTTCACCAGGGACTGGCCGAT</t>
  </si>
  <si>
    <t xml:space="preserve">Hap1_B2_P2_05</t>
  </si>
  <si>
    <t xml:space="preserve">TATTATTCTCCTCCATCAAGACACTAAATCATCCAGTAAACCGCC</t>
  </si>
  <si>
    <t xml:space="preserve">B2_P1 (Hap1)_5</t>
  </si>
  <si>
    <t xml:space="preserve">B2_P2 (Hap1)_5</t>
  </si>
  <si>
    <t xml:space="preserve">TCTGTTTCACCAGGGACTGGCCGAT</t>
  </si>
  <si>
    <t xml:space="preserve">TATTATTCTCCTCCATCAAGACACT</t>
  </si>
  <si>
    <t xml:space="preserve">S234-06</t>
  </si>
  <si>
    <t xml:space="preserve">Hap1_B2_P1_06</t>
  </si>
  <si>
    <t xml:space="preserve">CCTCGTAAATCCTCATCAAATGTAAAATCTCCTCCCTGGCTGAGC</t>
  </si>
  <si>
    <t xml:space="preserve">Hap1_B2_P2_06</t>
  </si>
  <si>
    <t xml:space="preserve">TCTCGCAGGTTCACCTGCTTCCGGAAAATCATCCAGTAAACCGCC</t>
  </si>
  <si>
    <t xml:space="preserve">B2_P1 (Hap1)_6</t>
  </si>
  <si>
    <t xml:space="preserve">B2_P2 (Hap1)_6</t>
  </si>
  <si>
    <t xml:space="preserve">TGTAAAATCTCCTCCCTGGCTGAGC</t>
  </si>
  <si>
    <t xml:space="preserve">TCTCGCAGGTTCACCTGCTTCCGGA</t>
  </si>
  <si>
    <t xml:space="preserve">S235-01</t>
  </si>
  <si>
    <t xml:space="preserve">Htr1b_B2_P1_01</t>
  </si>
  <si>
    <t xml:space="preserve">CCTCGTAAATCCTCATCAAAAGCCGGGGTGTGTAGCTTCCGGGTC</t>
  </si>
  <si>
    <t xml:space="preserve">Htr1b_B2_P2_01</t>
  </si>
  <si>
    <t xml:space="preserve">GACTGCCAGAGAGGCGATCAGGTAGAAATCATCCAGTAAACCGCC</t>
  </si>
  <si>
    <t xml:space="preserve">B2_P1 (Htr1b)_1</t>
  </si>
  <si>
    <t xml:space="preserve">B2_P2 (Htr1b)_1</t>
  </si>
  <si>
    <t xml:space="preserve">AGCCGGGGTGTGTAGCTTCCGGGTC</t>
  </si>
  <si>
    <t xml:space="preserve">GACTGCCAGAGAGGCGATCAGGTAG</t>
  </si>
  <si>
    <t xml:space="preserve">S235-02</t>
  </si>
  <si>
    <t xml:space="preserve">Htr1b_B2_P1_02</t>
  </si>
  <si>
    <t xml:space="preserve">CCTCGTAAATCCTCATCAAATGGTGCTGATGGGCATCACCAGGAT</t>
  </si>
  <si>
    <t xml:space="preserve">Htr1b_B2_P2_02</t>
  </si>
  <si>
    <t xml:space="preserve">GTGTCCAGCGTCCAGTGACCGTGTAAAATCATCCAGTAAACCGCC</t>
  </si>
  <si>
    <t xml:space="preserve">B2_P1 (Htr1b)_2</t>
  </si>
  <si>
    <t xml:space="preserve">B2_P2 (Htr1b)_2</t>
  </si>
  <si>
    <t xml:space="preserve">TGGTGCTGATGGGCATCACCAGGAT</t>
  </si>
  <si>
    <t xml:space="preserve">GTGTCCAGCGTCCAGTGACCGTGTA</t>
  </si>
  <si>
    <t xml:space="preserve">S235-03</t>
  </si>
  <si>
    <t xml:space="preserve">Htr1b_B2_P1_03</t>
  </si>
  <si>
    <t xml:space="preserve">CCTCGTAAATCCTCATCAAAGTGATATCCGACGACAGCCAGAAGT</t>
  </si>
  <si>
    <t xml:space="preserve">Htr1b_B2_P2_03</t>
  </si>
  <si>
    <t xml:space="preserve">AGATGCATGATGGAAGCAGTGCAACAAATCATCCAGTAAACCGCC</t>
  </si>
  <si>
    <t xml:space="preserve">B2_P1 (Htr1b)_3</t>
  </si>
  <si>
    <t xml:space="preserve">B2_P2 (Htr1b)_3</t>
  </si>
  <si>
    <t xml:space="preserve">GTGATATCCGACGACAGCCAGAAGT</t>
  </si>
  <si>
    <t xml:space="preserve">AGATGCATGATGGAAGCAGTGCAAC</t>
  </si>
  <si>
    <t xml:space="preserve">S235-04</t>
  </si>
  <si>
    <t xml:space="preserve">Htr1b_B2_P1_04</t>
  </si>
  <si>
    <t xml:space="preserve">CCTCGTAAATCCTCATCAAACGCATCGGTGATGGCCCAGTAGCGG</t>
  </si>
  <si>
    <t xml:space="preserve">Htr1b_B2_P2_04</t>
  </si>
  <si>
    <t xml:space="preserve">GGGAGTCCTTTTAGCAGAATACTCCAAATCATCCAGTAAACCGCC</t>
  </si>
  <si>
    <t xml:space="preserve">B2_P1 (Htr1b)_4</t>
  </si>
  <si>
    <t xml:space="preserve">B2_P2 (Htr1b)_4</t>
  </si>
  <si>
    <t xml:space="preserve">CGCATCGGTGATGGCCCAGTAGCGG</t>
  </si>
  <si>
    <t xml:space="preserve">GGGAGTCCTTTTAGCAGAATACTCC</t>
  </si>
  <si>
    <t xml:space="preserve">S235-05</t>
  </si>
  <si>
    <t xml:space="preserve">Htr1b_B2_P1_05</t>
  </si>
  <si>
    <t xml:space="preserve">CCTCGTAAATCCTCATCAAATGGAGAAGACCCACACCAGCACGAT</t>
  </si>
  <si>
    <t xml:space="preserve">Htr1b_B2_P2_05</t>
  </si>
  <si>
    <t xml:space="preserve">AGAAGAAGGGTGGCAACGAAATAGAAAATCATCCAGTAAACCGCC</t>
  </si>
  <si>
    <t xml:space="preserve">B2_P1 (Htr1b)_5</t>
  </si>
  <si>
    <t xml:space="preserve">B2_P2 (Htr1b)_5</t>
  </si>
  <si>
    <t xml:space="preserve">TGGAGAAGACCCACACCAGCACGAT</t>
  </si>
  <si>
    <t xml:space="preserve">AGAAGAAGGGTGGCAACGAAATAGA</t>
  </si>
  <si>
    <t xml:space="preserve">S235-06</t>
  </si>
  <si>
    <t xml:space="preserve">Htr1b_B2_P1_06</t>
  </si>
  <si>
    <t xml:space="preserve">CCTCGTAAATCCTCATCAAAACAAAGCAGTCCAGCATCTCCTCCT</t>
  </si>
  <si>
    <t xml:space="preserve">Htr1b_B2_P2_06</t>
  </si>
  <si>
    <t xml:space="preserve">ACCGTGTAGAGGACGTGGTCGGTGTAAATCATCCAGTAAACCGCC</t>
  </si>
  <si>
    <t xml:space="preserve">B2_P1 (Htr1b)_6</t>
  </si>
  <si>
    <t xml:space="preserve">B2_P2 (Htr1b)_6</t>
  </si>
  <si>
    <t xml:space="preserve">ACAAAGCAGTCCAGCATCTCCTCCT</t>
  </si>
  <si>
    <t xml:space="preserve">ACCGTGTAGAGGACGTGGTCGGTGT</t>
  </si>
  <si>
    <t xml:space="preserve">S236-01</t>
  </si>
  <si>
    <t xml:space="preserve">Htr2a_B2_P1_01</t>
  </si>
  <si>
    <t xml:space="preserve">CCTCGTAAATCCTCATCAAACAATAAAGCAGACCAGTTTTTTTCC</t>
  </si>
  <si>
    <t xml:space="preserve">Htr2a_B2_P2_01</t>
  </si>
  <si>
    <t xml:space="preserve">AATGGTGAGAATAATCACGACAGTTAAATCATCCAGTAAACCGCC</t>
  </si>
  <si>
    <t xml:space="preserve">B2_P1 (Htr2a)_1</t>
  </si>
  <si>
    <t xml:space="preserve">B2_P2 Htr2a)_1</t>
  </si>
  <si>
    <t xml:space="preserve">CAATAAAGCAGACCAGTTTTTTTCC</t>
  </si>
  <si>
    <t xml:space="preserve">AATGGTGAGAATAATCACGACAGTT</t>
  </si>
  <si>
    <t xml:space="preserve">S236-02</t>
  </si>
  <si>
    <t xml:space="preserve">Htr2a_B2_P1_02</t>
  </si>
  <si>
    <t xml:space="preserve">CCTCGTAAATCCTCATCAAATTTTCTCTAGGGACACTGCCATGAT</t>
  </si>
  <si>
    <t xml:space="preserve">Htr2a_B2_P2_02</t>
  </si>
  <si>
    <t xml:space="preserve">GGAAATAGTTGGTGGCATTCTGCAGAAATCATCCAGTAAACCGCC</t>
  </si>
  <si>
    <t xml:space="preserve">B2_P1 (Htr2a)_2</t>
  </si>
  <si>
    <t xml:space="preserve">B2_P2 Htr2a)_2</t>
  </si>
  <si>
    <t xml:space="preserve">TTTTCTCTAGGGACACTGCCATGAT</t>
  </si>
  <si>
    <t xml:space="preserve">GGAAATAGTTGGTGGCATTCTGCAG</t>
  </si>
  <si>
    <t xml:space="preserve">S236-03</t>
  </si>
  <si>
    <t xml:space="preserve">Htr2a_B2_P1_03</t>
  </si>
  <si>
    <t xml:space="preserve">CCTCGTAAATCCTCATCAAAACAAGGAAACCCAGCAGCATATCAG</t>
  </si>
  <si>
    <t xml:space="preserve">Htr2a_B2_P2_03</t>
  </si>
  <si>
    <t xml:space="preserve">AGGATGGTTAACATGGACACGGGCAAAATCATCCAGTAAACCGCC</t>
  </si>
  <si>
    <t xml:space="preserve">B2_P1 (Htr2a)_3</t>
  </si>
  <si>
    <t xml:space="preserve">B2_P2 Htr2a)_3</t>
  </si>
  <si>
    <t xml:space="preserve">ACAAGGAAACCCAGCAGCATATCAG</t>
  </si>
  <si>
    <t xml:space="preserve">AGGATGGTTAACATGGACACGGGCA</t>
  </si>
  <si>
    <t xml:space="preserve">S236-04</t>
  </si>
  <si>
    <t xml:space="preserve">Htr2a_B2_P1_04</t>
  </si>
  <si>
    <t xml:space="preserve">CCTCGTAAATCCTCATCAAAGACGGCACAGAGCTTGCTGGGCAAA</t>
  </si>
  <si>
    <t xml:space="preserve">Htr2a_B2_P2_04</t>
  </si>
  <si>
    <t xml:space="preserve">GGAGAAGAGCACATCCAGGTAAATCAAATCATCCAGTAAACCGCC</t>
  </si>
  <si>
    <t xml:space="preserve">B2_P1 (Htr2a)_4</t>
  </si>
  <si>
    <t xml:space="preserve">B2_P2 Htr2a)_4</t>
  </si>
  <si>
    <t xml:space="preserve">GACGGCACAGAGCTTGCTGGGCAAA</t>
  </si>
  <si>
    <t xml:space="preserve">GGAGAAGAGCACATCCAGGTAAATC</t>
  </si>
  <si>
    <t xml:space="preserve">S236-05</t>
  </si>
  <si>
    <t xml:space="preserve">Htr2a_B2_P1_05</t>
  </si>
  <si>
    <t xml:space="preserve">CCTCGTAAATCCTCATCAAAAGCGGTCCAGGGAGATGGCGCAGAG</t>
  </si>
  <si>
    <t xml:space="preserve">Htr2a_B2_P2_05</t>
  </si>
  <si>
    <t xml:space="preserve">GGTGAATGGGGTTCTGGATAGCCACAAATCATCCAGTAAACCGCC</t>
  </si>
  <si>
    <t xml:space="preserve">B2_P1 (Htr2a)_5</t>
  </si>
  <si>
    <t xml:space="preserve">B2_P2 Htr2a)_5</t>
  </si>
  <si>
    <t xml:space="preserve">AGCGGTCCAGGGAGATGGCGCAGAG</t>
  </si>
  <si>
    <t xml:space="preserve">GGTGAATGGGGTTCTGGATAGCCAC</t>
  </si>
  <si>
    <t xml:space="preserve">S236-06</t>
  </si>
  <si>
    <t xml:space="preserve">Htr2a_B2_P1_06</t>
  </si>
  <si>
    <t xml:space="preserve">CCTCGTAAATCCTCATCAAAATGATTTTCAGGAAGGCTTTGGTTC</t>
  </si>
  <si>
    <t xml:space="preserve">Htr2a_B2_P2_06</t>
  </si>
  <si>
    <t xml:space="preserve">ATACCTACGGATATGGTCCACACCGAAATCATCCAGTAAACCGCC</t>
  </si>
  <si>
    <t xml:space="preserve">B2_P1 (Htr2a)_6</t>
  </si>
  <si>
    <t xml:space="preserve">B2_P2 Htr2a)_6</t>
  </si>
  <si>
    <t xml:space="preserve">ATGATTTTCAGGAAGGCTTTGGTTC</t>
  </si>
  <si>
    <t xml:space="preserve">ATACCTACGGATATGGTCCACACCG</t>
  </si>
  <si>
    <t xml:space="preserve">S237-01</t>
  </si>
  <si>
    <t xml:space="preserve">Htr5a_B2_P1_01</t>
  </si>
  <si>
    <t xml:space="preserve">CCTCGTAAATCCTCATCAAAAGCTACCAGGTTGTGTGGTACTCGG</t>
  </si>
  <si>
    <t xml:space="preserve">Htr5a_B2_P2_01</t>
  </si>
  <si>
    <t xml:space="preserve">CACTAGCACATCCGAGATGGCCATGAAATCATCCAGTAAACCGCC</t>
  </si>
  <si>
    <t xml:space="preserve">B2_P1 (Htr5a)_1</t>
  </si>
  <si>
    <t xml:space="preserve">B2_P2 (Htr5a)_1</t>
  </si>
  <si>
    <t xml:space="preserve">AGCTACCAGGTTGTGTGGTACTCGG</t>
  </si>
  <si>
    <t xml:space="preserve">CACTAGCACATCCGAGATGGCCATG</t>
  </si>
  <si>
    <t xml:space="preserve">S237-02</t>
  </si>
  <si>
    <t xml:space="preserve">Htr5a_B2_P1_02</t>
  </si>
  <si>
    <t xml:space="preserve">CCTCGTAAATCCTCATCAAACAGACAGCTCATGTACCAGGCTCAG</t>
  </si>
  <si>
    <t xml:space="preserve">Htr5a_B2_P2_02</t>
  </si>
  <si>
    <t xml:space="preserve">GACGCCGGCCCAGCTGCCAGCGGCGAAATCATCCAGTAAACCGCC</t>
  </si>
  <si>
    <t xml:space="preserve">B2_P1 (Htr5a)_2</t>
  </si>
  <si>
    <t xml:space="preserve">B2_P2 (Htr5a)_2</t>
  </si>
  <si>
    <t xml:space="preserve">CAGACAGCTCATGTACCAGGCTCAG</t>
  </si>
  <si>
    <t xml:space="preserve">GACGCCGGCCCAGCTGCCAGCGGCG</t>
  </si>
  <si>
    <t xml:space="preserve">S237-03</t>
  </si>
  <si>
    <t xml:space="preserve">Htr5a_B2_P1_03</t>
  </si>
  <si>
    <t xml:space="preserve">CCTCGTAAATCCTCATCAAAGCAGTACAGCAGAGCACGTCACATG</t>
  </si>
  <si>
    <t xml:space="preserve">Htr5a_B2_P2_03</t>
  </si>
  <si>
    <t xml:space="preserve">GCTATTGCTGTCACATTCCAGATGCAAATCATCCAGTAAACCGCC</t>
  </si>
  <si>
    <t xml:space="preserve">B2_P1 (Htr5a)_3</t>
  </si>
  <si>
    <t xml:space="preserve">B2_P2 (Htr5a)_3</t>
  </si>
  <si>
    <t xml:space="preserve">GCAGTACAGCAGAGCACGTCACATG</t>
  </si>
  <si>
    <t xml:space="preserve">GCTATTGCTGTCACATTCCAGATGC</t>
  </si>
  <si>
    <t xml:space="preserve">S237-04</t>
  </si>
  <si>
    <t xml:space="preserve">Htr5a_B2_P1_04</t>
  </si>
  <si>
    <t xml:space="preserve">CCTCGTAAATCCTCATCAAATGTGTACTCCAGGTGGCGCGTGATT</t>
  </si>
  <si>
    <t xml:space="preserve">Htr5a_B2_P2_04</t>
  </si>
  <si>
    <t xml:space="preserve">ATTGGAGACACGCTTGCGGGTACGGAAATCATCCAGTAAACCGCC</t>
  </si>
  <si>
    <t xml:space="preserve">B2_P1 (Htr5a)_4</t>
  </si>
  <si>
    <t xml:space="preserve">B2_P2 (Htr5a)_4</t>
  </si>
  <si>
    <t xml:space="preserve">TGTGTACTCCAGGTGGCGCGTGATT</t>
  </si>
  <si>
    <t xml:space="preserve">ATTGGAGACACGCTTGCGGGTACGG</t>
  </si>
  <si>
    <t xml:space="preserve">S237-05</t>
  </si>
  <si>
    <t xml:space="preserve">Htr5a_B2_P1_05</t>
  </si>
  <si>
    <t xml:space="preserve">CCTCGTAAATCCTCATCAAAGAGAGATGACAGTGGAGAGTGCCCA</t>
  </si>
  <si>
    <t xml:space="preserve">Htr5a_B2_P2_05</t>
  </si>
  <si>
    <t xml:space="preserve">CTCCCCAGCCAAATAGCAGTGGAGCAAATCATCCAGTAAACCGCC</t>
  </si>
  <si>
    <t xml:space="preserve">B2_P1 (Htr5a)_5</t>
  </si>
  <si>
    <t xml:space="preserve">B2_P2 (Htr5a)_5</t>
  </si>
  <si>
    <t xml:space="preserve">GAGAGATGACAGTGGAGAGTGCCCA</t>
  </si>
  <si>
    <t xml:space="preserve">CTCCCCAGCCAAATAGCAGTGGAGC</t>
  </si>
  <si>
    <t xml:space="preserve">S237-06</t>
  </si>
  <si>
    <t xml:space="preserve">Htr5a_B2_P1_06</t>
  </si>
  <si>
    <t xml:space="preserve">CCTCGTAAATCCTCATCAAATCGCGACTGACTTGGCATTCCTCAC</t>
  </si>
  <si>
    <t xml:space="preserve">Htr5a_B2_P2_06</t>
  </si>
  <si>
    <t xml:space="preserve">ACGGTGGAGAACACGGTGTAGGAAGAAATCATCCAGTAAACCGCC</t>
  </si>
  <si>
    <t xml:space="preserve">B2_P1 (Htr5a)_6</t>
  </si>
  <si>
    <t xml:space="preserve">B2_P2 (Htr5a)_6</t>
  </si>
  <si>
    <t xml:space="preserve">TCGCGACTGACTTGGCATTCCTCAC</t>
  </si>
  <si>
    <t xml:space="preserve">ACGGTGGAGAACACGGTGTAGGAAG</t>
  </si>
  <si>
    <t xml:space="preserve">S238-01</t>
  </si>
  <si>
    <t xml:space="preserve">Lypd1_B2_P1_01</t>
  </si>
  <si>
    <t xml:space="preserve">CCTCGTAAATCCTCATCAAAAAAAGTTGCTGCGATGCCGAGAACC</t>
  </si>
  <si>
    <t xml:space="preserve">Lypd1_B2_P2_01</t>
  </si>
  <si>
    <t xml:space="preserve">CAGCCCTGGAAGCCAGAACAATCCGAAATCATCCAGTAAACCGCC</t>
  </si>
  <si>
    <t xml:space="preserve">B2_P1 (Lypd1)_1</t>
  </si>
  <si>
    <t xml:space="preserve">B2_P2 (Lypd1)_1</t>
  </si>
  <si>
    <t xml:space="preserve">AAAAGTTGCTGCGATGCCGAGAACC</t>
  </si>
  <si>
    <t xml:space="preserve">CAGCCCTGGAAGCCAGAACAATCCG</t>
  </si>
  <si>
    <t xml:space="preserve">S238-02</t>
  </si>
  <si>
    <t xml:space="preserve">Lypd1_B2_P1_02</t>
  </si>
  <si>
    <t xml:space="preserve">CCTCGTAAATCCTCATCAAATCAGCTGGAATTCTTCACACTGGTA</t>
  </si>
  <si>
    <t xml:space="preserve">Lypd1_B2_P2_02</t>
  </si>
  <si>
    <t xml:space="preserve">TGAACTCAGGGGATGAGCAATCGTTAAATCATCCAGTAAACCGCC</t>
  </si>
  <si>
    <t xml:space="preserve">B2_P1 (Lypd1)_2</t>
  </si>
  <si>
    <t xml:space="preserve">B2_P2 (Lypd1)_2</t>
  </si>
  <si>
    <t xml:space="preserve">TCAGCTGGAATTCTTCACACTGGTA</t>
  </si>
  <si>
    <t xml:space="preserve">TGAACTCAGGGGATGAGCAATCGTT</t>
  </si>
  <si>
    <t xml:space="preserve">S238-03</t>
  </si>
  <si>
    <t xml:space="preserve">Lypd1_B2_P1_03</t>
  </si>
  <si>
    <t xml:space="preserve">CCTCGTAAATCCTCATCAAATCTTTCTGACACATGTCTTGAACGT</t>
  </si>
  <si>
    <t xml:space="preserve">Lypd1_B2_P2_03</t>
  </si>
  <si>
    <t xml:space="preserve">ATGATCCCAGCACTTTGCTCCATCAAAATCATCCAGTAAACCGCC</t>
  </si>
  <si>
    <t xml:space="preserve">B2_P1 (Lypd1)_3</t>
  </si>
  <si>
    <t xml:space="preserve">B2_P2 (Lypd1)_3</t>
  </si>
  <si>
    <t xml:space="preserve">TCTTTCTGACACATGTCTTGAACGT</t>
  </si>
  <si>
    <t xml:space="preserve">ATGATCCCAGCACTTTGCTCCATCA</t>
  </si>
  <si>
    <t xml:space="preserve">S238-04</t>
  </si>
  <si>
    <t xml:space="preserve">Lypd1_B2_P1_04</t>
  </si>
  <si>
    <t xml:space="preserve">CCTCGTAAATCCTCATCAAAAGCAATGAGACAGGCTGCTGACGAT</t>
  </si>
  <si>
    <t xml:space="preserve">Lypd1_B2_P2_04</t>
  </si>
  <si>
    <t xml:space="preserve">GGAACAGAAGGACTGGTACCCAGCTAAATCATCCAGTAAACCGCC</t>
  </si>
  <si>
    <t xml:space="preserve">B2_P1 (Lypd1)_4</t>
  </si>
  <si>
    <t xml:space="preserve">B2_P2 (Lypd1)_4</t>
  </si>
  <si>
    <t xml:space="preserve">AGCAATGAGACAGGCTGCTGACGAT</t>
  </si>
  <si>
    <t xml:space="preserve">GGAACAGAAGGACTGGTACCCAGCT</t>
  </si>
  <si>
    <t xml:space="preserve">S238-05</t>
  </si>
  <si>
    <t xml:space="preserve">Lypd1_B2_P1_05</t>
  </si>
  <si>
    <t xml:space="preserve">CCTCGTAAATCCTCATCAAAGGGTGTTGCAGCAGCTGATGCACAC</t>
  </si>
  <si>
    <t xml:space="preserve">Lypd1_B2_P2_05</t>
  </si>
  <si>
    <t xml:space="preserve">TCTTGGGCCTCGGCCCATTGCAAAGAAATCATCCAGTAAACCGCC</t>
  </si>
  <si>
    <t xml:space="preserve">B2_P1 (Lypd1)_5</t>
  </si>
  <si>
    <t xml:space="preserve">B2_P2 (Lypd1)_5</t>
  </si>
  <si>
    <t xml:space="preserve">GGGTGTTGCAGCAGCTGATGCACAC</t>
  </si>
  <si>
    <t xml:space="preserve">TCTTGGGCCTCGGCCCATTGCAAAG</t>
  </si>
  <si>
    <t xml:space="preserve">S238-06</t>
  </si>
  <si>
    <t xml:space="preserve">Lypd1_B2_P1_06</t>
  </si>
  <si>
    <t xml:space="preserve">CCTCGTAAATCCTCATCAAAGTGAGAAGCCCTGGCCTGATGGCCG</t>
  </si>
  <si>
    <t xml:space="preserve">Lypd1_B2_P2_06</t>
  </si>
  <si>
    <t xml:space="preserve">AGGGCTAAGTGGAAGAACAGGAGAGAAATCATCCAGTAAACCGCC</t>
  </si>
  <si>
    <t xml:space="preserve">B2_P1 (Lypd1)_6</t>
  </si>
  <si>
    <t xml:space="preserve">B2_P2 (Lypd1)_6</t>
  </si>
  <si>
    <t xml:space="preserve">GTGAGAAGCCCTGGCCTGATGGCCG</t>
  </si>
  <si>
    <t xml:space="preserve">AGGGCTAAGTGGAAGAACAGGAGAG</t>
  </si>
  <si>
    <t xml:space="preserve">S239-01</t>
  </si>
  <si>
    <t xml:space="preserve">Oprk1_B2_P1_01</t>
  </si>
  <si>
    <t xml:space="preserve">CCTCGTAAATCCTCATCAAAATGCTGGTAAACATGTTGTAGTAGT</t>
  </si>
  <si>
    <t xml:space="preserve">Oprk1_B2_P2_01</t>
  </si>
  <si>
    <t xml:space="preserve">TCCACACTCATCATGGTCAAGGTGAAAATCATCCAGTAAACCGCC</t>
  </si>
  <si>
    <t xml:space="preserve">B2_P1 (Oprk1)_1</t>
  </si>
  <si>
    <t xml:space="preserve">B2_P2 (Oprk1)_1</t>
  </si>
  <si>
    <t xml:space="preserve">ATGCTGGTAAACATGTTGTAGTAGT</t>
  </si>
  <si>
    <t xml:space="preserve">TCCACACTCATCATGGTCAAGGTGA</t>
  </si>
  <si>
    <t xml:space="preserve">S239-02</t>
  </si>
  <si>
    <t xml:space="preserve">Oprk1_B2_P1_02</t>
  </si>
  <si>
    <t xml:space="preserve">CCTCGTAAATCCTCATCAAAGAAGTCCAAAGCTTTCACAGGGTGG</t>
  </si>
  <si>
    <t xml:space="preserve">Oprk1_B2_P2_02</t>
  </si>
  <si>
    <t xml:space="preserve">GATGATCTTTGCTTTCAAAGGTGTTAAATCATCCAGTAAACCGCC</t>
  </si>
  <si>
    <t xml:space="preserve">B2_P1 (Oprk1)_2</t>
  </si>
  <si>
    <t xml:space="preserve">B2_P2 (Oprk1)_2</t>
  </si>
  <si>
    <t xml:space="preserve">GAAGTCCAAAGCTTTCACAGGGTGG</t>
  </si>
  <si>
    <t xml:space="preserve">GATGATCTTTGCTTTCAAAGGTGTT</t>
  </si>
  <si>
    <t xml:space="preserve">S239-03</t>
  </si>
  <si>
    <t xml:space="preserve">Oprk1_B2_P1_03</t>
  </si>
  <si>
    <t xml:space="preserve">CCTCGTAAATCCTCATCAAACTGATATACCAACAGATGATGCCAG</t>
  </si>
  <si>
    <t xml:space="preserve">Oprk1_B2_P2_03</t>
  </si>
  <si>
    <t xml:space="preserve">TGACTTTGGTGCCTCCAAGGACTATAAATCATCCAGTAAACCGCC</t>
  </si>
  <si>
    <t xml:space="preserve">B2_P1 (Oprk1)_3</t>
  </si>
  <si>
    <t xml:space="preserve">B2_P2 (Oprk1)_3</t>
  </si>
  <si>
    <t xml:space="preserve">CTGATATACCAACAGATGATGCCAG</t>
  </si>
  <si>
    <t xml:space="preserve">TGACTTTGGTGCCTCCAAGGACTAT</t>
  </si>
  <si>
    <t xml:space="preserve">S239-04</t>
  </si>
  <si>
    <t xml:space="preserve">Oprk1_B2_P1_04</t>
  </si>
  <si>
    <t xml:space="preserve">CCTCGTAAATCCTCATCAAATCAGGAAACTGCAAGGAGCATTCAA</t>
  </si>
  <si>
    <t xml:space="preserve">Oprk1_B2_P2_04</t>
  </si>
  <si>
    <t xml:space="preserve">AAGAGATCCCACCAGGAATATTCATAAATCATCCAGTAAACCGCC</t>
  </si>
  <si>
    <t xml:space="preserve">B2_P1 (Oprk1)_4</t>
  </si>
  <si>
    <t xml:space="preserve">B2_P2 (Oprk1)_4</t>
  </si>
  <si>
    <t xml:space="preserve">TCAGGAAACTGCAAGGAGCATTCAA</t>
  </si>
  <si>
    <t xml:space="preserve">AAGAGATCCCACCAGGAATATTCAT</t>
  </si>
  <si>
    <t xml:space="preserve">S239-05</t>
  </si>
  <si>
    <t xml:space="preserve">Oprk1_B2_P1_05</t>
  </si>
  <si>
    <t xml:space="preserve">CCTCGTAAATCCTCATCAAAGACTGGGATCACAAAGGCAAAGACG</t>
  </si>
  <si>
    <t xml:space="preserve">Oprk1_B2_P2_05</t>
  </si>
  <si>
    <t xml:space="preserve">CAGGGTGTAGCAGACAATGATGATGAAATCATCCAGTAAACCGCC</t>
  </si>
  <si>
    <t xml:space="preserve">B2_P1 (Oprk1)_5</t>
  </si>
  <si>
    <t xml:space="preserve">B2_P2 (Oprk1)_5</t>
  </si>
  <si>
    <t xml:space="preserve">GACTGGGATCACAAAGGCAAAGACG</t>
  </si>
  <si>
    <t xml:space="preserve">CAGGGTGTAGCAGACAATGATGATG</t>
  </si>
  <si>
    <t xml:space="preserve">S239-06</t>
  </si>
  <si>
    <t xml:space="preserve">Oprk1_B2_P1_06</t>
  </si>
  <si>
    <t xml:space="preserve">CCTCGTAAATCCTCATCAAAGGGAGCCAGACAGGAGCCGGACACT</t>
  </si>
  <si>
    <t xml:space="preserve">Oprk1_B2_P2_06</t>
  </si>
  <si>
    <t xml:space="preserve">TGCGGCGGAGATTTCGGTCCTTCTCAAATCATCCAGTAAACCGCC</t>
  </si>
  <si>
    <t xml:space="preserve">B2_P1 (Oprk1)_6</t>
  </si>
  <si>
    <t xml:space="preserve">GGGAGCCAGACAGGAGCCGGACACT</t>
  </si>
  <si>
    <t xml:space="preserve">TGCGGCGGAGATTTCGGTCCTTCTC</t>
  </si>
  <si>
    <t xml:space="preserve">P1/P2 names disagree (Oprk1 vs Adora1)</t>
  </si>
  <si>
    <t xml:space="preserve">S240-01</t>
  </si>
  <si>
    <t xml:space="preserve">Scube1_B2_P1_01</t>
  </si>
  <si>
    <t xml:space="preserve">CCTCGTAAATCCTCATCAAATGTGCCCTCTGAGCATTCATCCACG</t>
  </si>
  <si>
    <t xml:space="preserve">Scube1_B2_P2_01</t>
  </si>
  <si>
    <t xml:space="preserve">GCAGATGGCATCTATGTGGCAGTCGAAATCATCCAGTAAACCGCC</t>
  </si>
  <si>
    <t xml:space="preserve">B2_P1 (Scube1)_1</t>
  </si>
  <si>
    <t xml:space="preserve">B2_P2 (Scube1)_1</t>
  </si>
  <si>
    <t xml:space="preserve">TGTGCCCTCTGAGCATTCATCCACG</t>
  </si>
  <si>
    <t xml:space="preserve">GCAGATGGCATCTATGTGGCAGTCG</t>
  </si>
  <si>
    <t xml:space="preserve">S240-02</t>
  </si>
  <si>
    <t xml:space="preserve">Scube1_B2_P1_02</t>
  </si>
  <si>
    <t xml:space="preserve">CCTCGTAAATCCTCATCAAAAGCCGGGCTTGCAGAGACATTTGTA</t>
  </si>
  <si>
    <t xml:space="preserve">Scube1_B2_P2_02</t>
  </si>
  <si>
    <t xml:space="preserve">CTTCACACTGCCTTCCTTCCCCCTTAAATCATCCAGTAAACCGCC</t>
  </si>
  <si>
    <t xml:space="preserve">B2_P1 (Scube1)_2</t>
  </si>
  <si>
    <t xml:space="preserve">B2_P2 (Scube1)_2</t>
  </si>
  <si>
    <t xml:space="preserve">AGCCGGGCTTGCAGAGACATTTGTA</t>
  </si>
  <si>
    <t xml:space="preserve">CTTCACACTGCCTTCCTTCCCCCTT</t>
  </si>
  <si>
    <t xml:space="preserve">S240-03</t>
  </si>
  <si>
    <t xml:space="preserve">Scube1_B2_P1_03</t>
  </si>
  <si>
    <t xml:space="preserve">CCTCGTAAATCCTCATCAAAACACAGCCCCCGTTGTAGTAGTCAT</t>
  </si>
  <si>
    <t xml:space="preserve">Scube1_B2_P2_03</t>
  </si>
  <si>
    <t xml:space="preserve">TTCCCAGGGATGTTGATGCAGTCATAAATCATCCAGTAAACCGCC</t>
  </si>
  <si>
    <t xml:space="preserve">B2_P1 (Scube1)_3</t>
  </si>
  <si>
    <t xml:space="preserve">B2_P2 (Scube1)_3</t>
  </si>
  <si>
    <t xml:space="preserve">ACACAGCCCCCGTTGTAGTAGTCAT</t>
  </si>
  <si>
    <t xml:space="preserve">TTCCCAGGGATGTTGATGCAGTCAT</t>
  </si>
  <si>
    <t xml:space="preserve">S240-04</t>
  </si>
  <si>
    <t xml:space="preserve">Scube1_B2_P1_04</t>
  </si>
  <si>
    <t xml:space="preserve">CCTCGTAAATCCTCATCAAAATCATGGGCCAGCATGAAGCCATCA</t>
  </si>
  <si>
    <t xml:space="preserve">Scube1_B2_P2_04</t>
  </si>
  <si>
    <t xml:space="preserve">CTCATCTACATCCAGGCAGTTGTGTAAATCATCCAGTAAACCGCC</t>
  </si>
  <si>
    <t xml:space="preserve">B2_P1 (Scube1)_4</t>
  </si>
  <si>
    <t xml:space="preserve">B2_P2 (Scube1)_4</t>
  </si>
  <si>
    <t xml:space="preserve">ATCATGGGCCAGCATGAAGCCATCA</t>
  </si>
  <si>
    <t xml:space="preserve">CTCATCTACATCCAGGCAGTTGTGT</t>
  </si>
  <si>
    <t xml:space="preserve">S240-05</t>
  </si>
  <si>
    <t xml:space="preserve">Scube1_B2_P1_05</t>
  </si>
  <si>
    <t xml:space="preserve">CCTCGTAAATCCTCATCAAACATTGACGCAGATCTGCTGGCAGCC</t>
  </si>
  <si>
    <t xml:space="preserve">Scube1_B2_P2_05</t>
  </si>
  <si>
    <t xml:space="preserve">GGCACTGGCATTCATAGCTGCCCATAAATCATCCAGTAAACCGCC</t>
  </si>
  <si>
    <t xml:space="preserve">B2_P1 (Scube1)_5</t>
  </si>
  <si>
    <t xml:space="preserve">B2_P2 (Scube1)_5</t>
  </si>
  <si>
    <t xml:space="preserve">CATTGACGCAGATCTGCTGGCAGCC</t>
  </si>
  <si>
    <t xml:space="preserve">GGCACTGGCATTCATAGCTGCCCAT</t>
  </si>
  <si>
    <t xml:space="preserve">S240-06</t>
  </si>
  <si>
    <t xml:space="preserve">Scube1_B2_P1_06</t>
  </si>
  <si>
    <t xml:space="preserve">CCTCGTAAATCCTCATCAAATGTATGCAGGTGTGTTGGTTGTCAC</t>
  </si>
  <si>
    <t xml:space="preserve">Scube1_B2_P2_06</t>
  </si>
  <si>
    <t xml:space="preserve">ATGCAGTTCATACCCTCATTGGAGCAAATCATCCAGTAAACCGCC</t>
  </si>
  <si>
    <t xml:space="preserve">B2_P1 (Scube1)_6</t>
  </si>
  <si>
    <t xml:space="preserve">B2_P2 (Scube1)_6</t>
  </si>
  <si>
    <t xml:space="preserve">TGTATGCAGGTGTGTTGGTTGTCAC</t>
  </si>
  <si>
    <t xml:space="preserve">ATGCAGTTCATACCCTCATTGGAGC</t>
  </si>
  <si>
    <t xml:space="preserve">S241-01</t>
  </si>
  <si>
    <t xml:space="preserve">Slc17a7_B2_P1_01</t>
  </si>
  <si>
    <t xml:space="preserve">CCTCGTAAATCCTCATCAAAGCGGATGCCAAAGCTGATACAGAAA</t>
  </si>
  <si>
    <t xml:space="preserve">Slc17a7_B2_P2_01</t>
  </si>
  <si>
    <t xml:space="preserve">GGACACGATGGCCACGCCCAGGTTGAAATCATCCAGTAAACCGCC</t>
  </si>
  <si>
    <t xml:space="preserve">B2_P1 (Slc17a7)_1</t>
  </si>
  <si>
    <t xml:space="preserve">B2_P2 (Slc17a7)_1</t>
  </si>
  <si>
    <t xml:space="preserve">GCGGATGCCAAAGCTGATACAGAAA</t>
  </si>
  <si>
    <t xml:space="preserve">GGACACGATGGCCACGCCCAGGTTG</t>
  </si>
  <si>
    <t xml:space="preserve">S241-02</t>
  </si>
  <si>
    <t xml:space="preserve">Slc17a7_B2_P1_02</t>
  </si>
  <si>
    <t xml:space="preserve">CCTCGTAAATCCTCATCAAACCACCACGTGGCCCCCACGGTGGGT</t>
  </si>
  <si>
    <t xml:space="preserve">Slc17a7_B2_P2_02</t>
  </si>
  <si>
    <t xml:space="preserve">GATCCCAGTTGAACTGGGCTTTCTGAAATCATCCAGTAAACCGCC</t>
  </si>
  <si>
    <t xml:space="preserve">B2_P1 (Slc17a7)_2</t>
  </si>
  <si>
    <t xml:space="preserve">B2_P2 (Slc17a7)_2</t>
  </si>
  <si>
    <t xml:space="preserve">CCACCACGTGGCCCCCACGGTGGGT</t>
  </si>
  <si>
    <t xml:space="preserve">GATCCCAGTTGAACTGGGCTTTCTG</t>
  </si>
  <si>
    <t xml:space="preserve">S241-03</t>
  </si>
  <si>
    <t xml:space="preserve">Slc17a7_B2_P1_03</t>
  </si>
  <si>
    <t xml:space="preserve">CCTCGTAAATCCTCATCAAATAGCCCCAGAAAAAGGAGCCATGTA</t>
  </si>
  <si>
    <t xml:space="preserve">Slc17a7_B2_P2_03</t>
  </si>
  <si>
    <t xml:space="preserve">AATCCTCCAGGAATCTGAGTGACAAAAATCATCCAGTAAACCGCC</t>
  </si>
  <si>
    <t xml:space="preserve">B2_P1 (Slc17a7)_3</t>
  </si>
  <si>
    <t xml:space="preserve">B2_P2 (Slc17a7)_3</t>
  </si>
  <si>
    <t xml:space="preserve">TAGCCCCAGAAAAAGGAGCCATGTA</t>
  </si>
  <si>
    <t xml:space="preserve">AATCCTCCAGGAATCTGAGTGACAA</t>
  </si>
  <si>
    <t xml:space="preserve">S241-04</t>
  </si>
  <si>
    <t xml:space="preserve">Slc17a7_B2_P1_04</t>
  </si>
  <si>
    <t xml:space="preserve">CCTCGTAAATCCTCATCAAAGGCAAAGCCAAAGACCCTGTTGGCT</t>
  </si>
  <si>
    <t xml:space="preserve">Slc17a7_B2_P2_04</t>
  </si>
  <si>
    <t xml:space="preserve">CATGTTTAGGGTGGAGGTAGCCACAAAATCATCCAGTAAACCGCC</t>
  </si>
  <si>
    <t xml:space="preserve">B2_P1 (Slc17a7)_4</t>
  </si>
  <si>
    <t xml:space="preserve">B2_P2 (Slc17a7)_4</t>
  </si>
  <si>
    <t xml:space="preserve">GGCAAAGCCAAAGACCCTGTTGGCT</t>
  </si>
  <si>
    <t xml:space="preserve">CATGTTTAGGGTGGAGGTAGCCACA</t>
  </si>
  <si>
    <t xml:space="preserve">S241-05</t>
  </si>
  <si>
    <t xml:space="preserve">Slc17a7_B2_P1_05</t>
  </si>
  <si>
    <t xml:space="preserve">CCTCGTAAATCCTCATCAAAAGATGACACAGCCATAGTGAACGCG</t>
  </si>
  <si>
    <t xml:space="preserve">Slc17a7_B2_P2_05</t>
  </si>
  <si>
    <t xml:space="preserve">CCACCAATCCCTGAAGGATCCTCACAAATCATCCAGTAAACCGCC</t>
  </si>
  <si>
    <t xml:space="preserve">B2_P1 (Slc17a7)_5</t>
  </si>
  <si>
    <t xml:space="preserve">B2_P2 (Slc17a7)_5</t>
  </si>
  <si>
    <t xml:space="preserve">AGATGACACAGCCATAGTGAACGCG</t>
  </si>
  <si>
    <t xml:space="preserve">CCACCAATCCCTGAAGGATCCTCAC</t>
  </si>
  <si>
    <t xml:space="preserve">S241-06</t>
  </si>
  <si>
    <t xml:space="preserve">Slc17a7_B2_P1_06</t>
  </si>
  <si>
    <t xml:space="preserve">CCTCGTAAATCCTCATCAAACATTTGCTCCAGATGCCATGGCAAG</t>
  </si>
  <si>
    <t xml:space="preserve">Slc17a7_B2_P2_06</t>
  </si>
  <si>
    <t xml:space="preserve">AGCCGACTCCGTTCTAAGGGAGGGGAAATCATCCAGTAAACCGCC</t>
  </si>
  <si>
    <t xml:space="preserve">B2_P1 (Slc17a7)_6</t>
  </si>
  <si>
    <t xml:space="preserve">B2_P2 (Slc17a7)_6</t>
  </si>
  <si>
    <t xml:space="preserve">CATTTGCTCCAGATGCCATGGCAAG</t>
  </si>
  <si>
    <t xml:space="preserve">AGCCGACTCCGTTCTAAGGGAGGGG</t>
  </si>
  <si>
    <t xml:space="preserve">S241-07</t>
  </si>
  <si>
    <t xml:space="preserve">Slc17a7_B2_P1_07</t>
  </si>
  <si>
    <t xml:space="preserve">CCTCGTAAATCCTCATCAAAAACCACCGCCCCAGCATAGGAACCG</t>
  </si>
  <si>
    <t xml:space="preserve">Slc17a7_B2_P2_07</t>
  </si>
  <si>
    <t xml:space="preserve">CACAAGGACCCCAGCCAAGGGCATGAAATCATCCAGTAAACCGCC</t>
  </si>
  <si>
    <t xml:space="preserve">B2_P1 (Slc17a7)_7</t>
  </si>
  <si>
    <t xml:space="preserve">B2_P2 (Slc17a7)_7</t>
  </si>
  <si>
    <t xml:space="preserve">AACCACCGCCCCAGCATAGGAACCG</t>
  </si>
  <si>
    <t xml:space="preserve">CACAAGGACCCCAGCCAAGGGCATG</t>
  </si>
  <si>
    <t xml:space="preserve">S241-08</t>
  </si>
  <si>
    <t xml:space="preserve">Slc17a7_B2_P1_08</t>
  </si>
  <si>
    <t xml:space="preserve">CCTCGTAAATCCTCATCAAAAGCTGCCATAGACATAGAAGACAGA</t>
  </si>
  <si>
    <t xml:space="preserve">Slc17a7_B2_P2_08</t>
  </si>
  <si>
    <t xml:space="preserve">ACCAGAACAGGTACCAAAAGATCCCAAATCATCCAGTAAACCGCC</t>
  </si>
  <si>
    <t xml:space="preserve">B2_P1 (Slc17a7)_8</t>
  </si>
  <si>
    <t xml:space="preserve">B2_P2 (Slc17a7)_8</t>
  </si>
  <si>
    <t xml:space="preserve">AGCTGCCATAGACATAGAAGACAGA</t>
  </si>
  <si>
    <t xml:space="preserve">ACCAGAACAGGTACCAAAAGATCCC</t>
  </si>
  <si>
    <t xml:space="preserve">S242-01</t>
  </si>
  <si>
    <t xml:space="preserve">Synpo2_B2_P1_01</t>
  </si>
  <si>
    <t xml:space="preserve">CCTCGTAAATCCTCATCAAACAGAGAGTCCGTTATGCCTTCCATA</t>
  </si>
  <si>
    <t xml:space="preserve">Synpo2_B2_P2_01</t>
  </si>
  <si>
    <t xml:space="preserve">ACTAGAGGGTCTTTTAACAAGCAAGAAATCATCCAGTAAACCGCC</t>
  </si>
  <si>
    <t xml:space="preserve">B2_P1 (Synpo2)_1</t>
  </si>
  <si>
    <t xml:space="preserve">B2_P2 (Synpo2)_1</t>
  </si>
  <si>
    <t xml:space="preserve">CAGAGAGTCCGTTATGCCTTCCATA</t>
  </si>
  <si>
    <t xml:space="preserve">ACTAGAGGGTCTTTTAACAAGCAAG</t>
  </si>
  <si>
    <t xml:space="preserve">S242-02</t>
  </si>
  <si>
    <t xml:space="preserve">Synpo2_B2_P1_02</t>
  </si>
  <si>
    <t xml:space="preserve">CCTCGTAAATCCTCATCAAAGGTTTGTAGTTTCTGATTCAGAATC</t>
  </si>
  <si>
    <t xml:space="preserve">Synpo2_B2_P2_02</t>
  </si>
  <si>
    <t xml:space="preserve">TGGGCCCCTCATGTGTAAGATGTTGAAATCATCCAGTAAACCGCC</t>
  </si>
  <si>
    <t xml:space="preserve">B2_P1 (Synpo2)_2</t>
  </si>
  <si>
    <t xml:space="preserve">B2_P2 (Synpo2)_2</t>
  </si>
  <si>
    <t xml:space="preserve">GGTTTGTAGTTTCTGATTCAGAATC</t>
  </si>
  <si>
    <t xml:space="preserve">TGGGCCCCTCATGTGTAAGATGTTG</t>
  </si>
  <si>
    <t xml:space="preserve">S242-03</t>
  </si>
  <si>
    <t xml:space="preserve">Synpo2_B2_P1_03</t>
  </si>
  <si>
    <t xml:space="preserve">CCTCGTAAATCCTCATCAAATGGGTCTCGGTGGCTTGCTGAATCT</t>
  </si>
  <si>
    <t xml:space="preserve">Synpo2_B2_P2_03</t>
  </si>
  <si>
    <t xml:space="preserve">ACTGGAGCAAGAAAGAAGTCTTCGCAAATCATCCAGTAAACCGCC</t>
  </si>
  <si>
    <t xml:space="preserve">B2_P1 (Synpo2)_3</t>
  </si>
  <si>
    <t xml:space="preserve">B2_P2 (Synpo2)_3</t>
  </si>
  <si>
    <t xml:space="preserve">TGGGTCTCGGTGGCTTGCTGAATCT</t>
  </si>
  <si>
    <t xml:space="preserve">ACTGGAGCAAGAAAGAAGTCTTCGC</t>
  </si>
  <si>
    <t xml:space="preserve">S242-04</t>
  </si>
  <si>
    <t xml:space="preserve">Synpo2_B2_P1_04</t>
  </si>
  <si>
    <t xml:space="preserve">CCTCGTAAATCCTCATCAAACCAGGCATTGCTTTGGTCCTCAGTT</t>
  </si>
  <si>
    <t xml:space="preserve">Synpo2_B2_P2_04</t>
  </si>
  <si>
    <t xml:space="preserve">TTCTTCTTTTGGACATTCTGCATAAAAATCATCCAGTAAACCGCC</t>
  </si>
  <si>
    <t xml:space="preserve">B2_P1 (Synpo2)_4</t>
  </si>
  <si>
    <t xml:space="preserve">B2_P2 (Synpo2)_4</t>
  </si>
  <si>
    <t xml:space="preserve">CCAGGCATTGCTTTGGTCCTCAGTT</t>
  </si>
  <si>
    <t xml:space="preserve">TTCTTCTTTTGGACATTCTGCATAA</t>
  </si>
  <si>
    <t xml:space="preserve">S242-05</t>
  </si>
  <si>
    <t xml:space="preserve">Synpo2_B2_P1_05</t>
  </si>
  <si>
    <t xml:space="preserve">CCTCGTAAATCCTCATCAAACTACCAAGTGTCCTTCCTGGGAGCC</t>
  </si>
  <si>
    <t xml:space="preserve">Synpo2_B2_P2_05</t>
  </si>
  <si>
    <t xml:space="preserve">CTGCCTTTTGCCTTAAGATGACCTCAAATCATCCAGTAAACCGCC</t>
  </si>
  <si>
    <t xml:space="preserve">B2_P1 (Synpo2)_5</t>
  </si>
  <si>
    <t xml:space="preserve">B2_P2 (Synpo2)_5</t>
  </si>
  <si>
    <t xml:space="preserve">CTACCAAGTGTCCTTCCTGGGAGCC</t>
  </si>
  <si>
    <t xml:space="preserve">CTGCCTTTTGCCTTAAGATGACCTC</t>
  </si>
  <si>
    <t xml:space="preserve">S242-06</t>
  </si>
  <si>
    <t xml:space="preserve">Synpo2_B2_P1_06</t>
  </si>
  <si>
    <t xml:space="preserve">CCTCGTAAATCCTCATCAAAAGGGACAGCTGTAGCTCAACCACAT</t>
  </si>
  <si>
    <t xml:space="preserve">Synpo2_B2_P2_06</t>
  </si>
  <si>
    <t xml:space="preserve">CTGGTGCATTGATGTCTTTCCTTTGAAATCATCCAGTAAACCGCC</t>
  </si>
  <si>
    <t xml:space="preserve">B2_P1 (Synpo2)_6</t>
  </si>
  <si>
    <t xml:space="preserve">B2_P2 (Synpo2)_6</t>
  </si>
  <si>
    <t xml:space="preserve">AGGGACAGCTGTAGCTCAACCACAT</t>
  </si>
  <si>
    <t xml:space="preserve">CTGGTGCATTGATGTCTTTCCTTTG</t>
  </si>
  <si>
    <t xml:space="preserve">S243-01</t>
  </si>
  <si>
    <t xml:space="preserve">Calb2_B3_P1_01</t>
  </si>
  <si>
    <t xml:space="preserve">GTCCCTGCCTCTATATCTTTATGCCAGAACCCTTCCTTGCCTTCT</t>
  </si>
  <si>
    <t xml:space="preserve">Calb2_B3_P2_01</t>
  </si>
  <si>
    <t xml:space="preserve">TCTTCGGTCGGCAGGATCTGCGCCATTCCACTCAACTTTAACCCG</t>
  </si>
  <si>
    <t xml:space="preserve">B3_P1(Calb2)_1</t>
  </si>
  <si>
    <t xml:space="preserve">B3_P2(Calb2)_1</t>
  </si>
  <si>
    <t xml:space="preserve">ATGCCAGAACCCTTCCTTGCCTTCT</t>
  </si>
  <si>
    <t xml:space="preserve">TCTTCGGTCGGCAGGATCTGCGCCA</t>
  </si>
  <si>
    <t xml:space="preserve">S243-02</t>
  </si>
  <si>
    <t xml:space="preserve">Calb2_B3_P1_02</t>
  </si>
  <si>
    <t xml:space="preserve">GTCCCTGCCTCTATATCTTTAGCGCTGGAGCCCACGTGCTGCCTG</t>
  </si>
  <si>
    <t xml:space="preserve">Calb2_B3_P2_02</t>
  </si>
  <si>
    <t xml:space="preserve">ATACTTCCGCCAAGCCTCCATAAACTTCCACTCAACTTTAACCCG</t>
  </si>
  <si>
    <t xml:space="preserve">B3_P1(Calb2)_2</t>
  </si>
  <si>
    <t xml:space="preserve">B3_P2(Calb2)_2</t>
  </si>
  <si>
    <t xml:space="preserve">AGCGCTGGAGCCCACGTGCTGCCTG</t>
  </si>
  <si>
    <t xml:space="preserve">ATACTTCCGCCAAGCCTCCATAAAC</t>
  </si>
  <si>
    <t xml:space="preserve">S243-03</t>
  </si>
  <si>
    <t xml:space="preserve">Calb2_B3_P1_03</t>
  </si>
  <si>
    <t xml:space="preserve">GTCCCTGCCTCTATATCTTTCCTTGAGCTCATTGGCTTCGATGTA</t>
  </si>
  <si>
    <t xml:space="preserve">Calb2_B3_P2_03</t>
  </si>
  <si>
    <t xml:space="preserve">CCTTCTTCAGGAGGTCAGACAGGAATTCCACTCAACTTTAACCCG</t>
  </si>
  <si>
    <t xml:space="preserve">B3_P1(Calb2)_3</t>
  </si>
  <si>
    <t xml:space="preserve">B3_P2(Calb2)_3</t>
  </si>
  <si>
    <t xml:space="preserve">CCTTGAGCTCATTGGCTTCGATGTA</t>
  </si>
  <si>
    <t xml:space="preserve">CCTTCTTCAGGAGGTCAGACAGGAA</t>
  </si>
  <si>
    <t xml:space="preserve">S243-04</t>
  </si>
  <si>
    <t xml:space="preserve">Calb2_B3_P1_04</t>
  </si>
  <si>
    <t xml:space="preserve">GTCCCTGCCTCTATATCTTTTGGGTGTACTCCTGGAGCTTAGGTT</t>
  </si>
  <si>
    <t xml:space="preserve">Calb2_B3_P2_04</t>
  </si>
  <si>
    <t xml:space="preserve">TTTAAGTCAAACATCCGTAGTATGGTTCCACTCAACTTTAACCCG</t>
  </si>
  <si>
    <t xml:space="preserve">B3_P1(Calb2)_4</t>
  </si>
  <si>
    <t xml:space="preserve">B3_P2(Calb2)_4</t>
  </si>
  <si>
    <t xml:space="preserve">TGGGTGTACTCCTGGAGCTTAGGTT</t>
  </si>
  <si>
    <t xml:space="preserve">TTTAAGTCAAACATCCGTAGTATGG</t>
  </si>
  <si>
    <t xml:space="preserve">S243-05</t>
  </si>
  <si>
    <t xml:space="preserve">Calb2_B3_P1_05</t>
  </si>
  <si>
    <t xml:space="preserve">GTCCCTGCCTCTATATCTTTCAAGAGTCTAGACATCTCTGAGAGA</t>
  </si>
  <si>
    <t xml:space="preserve">Calb2_B3_P2_05</t>
  </si>
  <si>
    <t xml:space="preserve">TTTCAGCAGGAAGTTCTCTTGTACATTCCACTCAACTTTAACCCG</t>
  </si>
  <si>
    <t xml:space="preserve">B3_P1(Calb2)_5</t>
  </si>
  <si>
    <t xml:space="preserve">B3_P2(Calb2)_5</t>
  </si>
  <si>
    <t xml:space="preserve">CAAGAGTCTAGACATCTCTGAGAGA</t>
  </si>
  <si>
    <t xml:space="preserve">TTTCAGCAGGAAGTTCTCTTGTACA</t>
  </si>
  <si>
    <t xml:space="preserve">S243-06</t>
  </si>
  <si>
    <t xml:space="preserve">Calb2_B3_P1_06</t>
  </si>
  <si>
    <t xml:space="preserve">GTCCCTGCCTCTATATCTTTAGATGGCATTGAACTCTTCTGAGGT</t>
  </si>
  <si>
    <t xml:space="preserve">Calb2_B3_P2_06</t>
  </si>
  <si>
    <t xml:space="preserve">CGCTTCCATCCTTGTCATAAAATGTTTCCACTCAACTTTAACCCG</t>
  </si>
  <si>
    <t xml:space="preserve">B3_P1(Calb2)_6</t>
  </si>
  <si>
    <t xml:space="preserve">B3_P2(Calb2)_6</t>
  </si>
  <si>
    <t xml:space="preserve">AGATGGCATTGAACTCTTCTGAGGT</t>
  </si>
  <si>
    <t xml:space="preserve">CGCTTCCATCCTTGTCATAAAATGT</t>
  </si>
  <si>
    <t xml:space="preserve">S244-01</t>
  </si>
  <si>
    <t xml:space="preserve">Chrm3_B3_P1_01</t>
  </si>
  <si>
    <t xml:space="preserve">GTCCCTGCCTCTATATCTTTCACCAATGCCAGGAAGCCAGTCAAG</t>
  </si>
  <si>
    <t xml:space="preserve">Chrm3_B3_P2_01</t>
  </si>
  <si>
    <t xml:space="preserve">AATGACAAGGATGTTGCCGATGATGTTCCACTCAACTTTAACCCG</t>
  </si>
  <si>
    <t xml:space="preserve">B3_P1(Chrm3)_1</t>
  </si>
  <si>
    <t xml:space="preserve">B3_P2(Chrm3)_1</t>
  </si>
  <si>
    <t xml:space="preserve">CACCAATGCCAGGAAGCCAGTCAAG</t>
  </si>
  <si>
    <t xml:space="preserve">AATGACAAGGATGTTGCCGATGATG</t>
  </si>
  <si>
    <t xml:space="preserve">S244-02</t>
  </si>
  <si>
    <t xml:space="preserve">Chrm3_B3_P1_02</t>
  </si>
  <si>
    <t xml:space="preserve">GTCCCTGCCTCTATATCTTTAGTTGTTGACTGTCTTCAGCTGTTT</t>
  </si>
  <si>
    <t xml:space="preserve">Chrm3_B3_P2_02</t>
  </si>
  <si>
    <t xml:space="preserve">CTGCGCAGGCCAGGCTTAAGAGGAATTCCACTCAACTTTAACCCG</t>
  </si>
  <si>
    <t xml:space="preserve">B3_P1(Chrm3)_2</t>
  </si>
  <si>
    <t xml:space="preserve">B3_P2(Chrm3)_2</t>
  </si>
  <si>
    <t xml:space="preserve">AGTTGTTGACTGTCTTCAGCTGTTT</t>
  </si>
  <si>
    <t xml:space="preserve">CTGCGCAGGCCAGGCTTAAGAGGAA</t>
  </si>
  <si>
    <t xml:space="preserve">S244-03</t>
  </si>
  <si>
    <t xml:space="preserve">Chrm3_B3_P1_03</t>
  </si>
  <si>
    <t xml:space="preserve">GTCCCTGCCTCTATATCTTTTAGGTCGTGAACAGGTTCATGGAAA</t>
  </si>
  <si>
    <t xml:space="preserve">Chrm3_B3_P2_03</t>
  </si>
  <si>
    <t xml:space="preserve">CCCAGAGCCCAGCGGTTCATAATGATTCCACTCAACTTTAACCCG</t>
  </si>
  <si>
    <t xml:space="preserve">B3_P1(Chrm3)_3</t>
  </si>
  <si>
    <t xml:space="preserve">B3_P2(Chrm3)_3</t>
  </si>
  <si>
    <t xml:space="preserve">TAGGTCGTGAACAGGTTCATGGAAA</t>
  </si>
  <si>
    <t xml:space="preserve">CCCAGAGCCCAGCGGTTCATAATGA</t>
  </si>
  <si>
    <t xml:space="preserve">S244-04</t>
  </si>
  <si>
    <t xml:space="preserve">Chrm3_B3_P1_04</t>
  </si>
  <si>
    <t xml:space="preserve">GTCCCTGCCTCTATATCTTTGGCCACATAGTCAATGGAAAGCCAG</t>
  </si>
  <si>
    <t xml:space="preserve">Chrm3_B3_P2_04</t>
  </si>
  <si>
    <t xml:space="preserve">CAGCAGATTCATGACAGAAGCATTGTTCCACTCAACTTTAACCCG</t>
  </si>
  <si>
    <t xml:space="preserve">B3_P1(Chrm3)_4</t>
  </si>
  <si>
    <t xml:space="preserve">B3_P2(Chrm3)_4</t>
  </si>
  <si>
    <t xml:space="preserve">GGCCACATAGTCAATGGAAAGCCAG</t>
  </si>
  <si>
    <t xml:space="preserve">CAGCAGATTCATGACAGAAGCATTG</t>
  </si>
  <si>
    <t xml:space="preserve">S244-05</t>
  </si>
  <si>
    <t xml:space="preserve">Chrm3_B3_P1_05</t>
  </si>
  <si>
    <t xml:space="preserve">GTCCCTGCCTCTATATCTTTTGAGTGGCCTGGTAATAGAAAAGTA</t>
  </si>
  <si>
    <t xml:space="preserve">Chrm3_B3_P2_05</t>
  </si>
  <si>
    <t xml:space="preserve">GTTTTGTTGTTCGTTTGGCTCGGTATTCCACTCAACTTTAACCCG</t>
  </si>
  <si>
    <t xml:space="preserve">B3_P1(Chrm3)_5</t>
  </si>
  <si>
    <t xml:space="preserve">B3_P2(Chrm3)_5</t>
  </si>
  <si>
    <t xml:space="preserve">TGAGTGGCCTGGTAATAGAAAAGTA</t>
  </si>
  <si>
    <t xml:space="preserve">GTTTTGTTGTTCGTTTGGCTCGGTA</t>
  </si>
  <si>
    <t xml:space="preserve">S244-06</t>
  </si>
  <si>
    <t xml:space="preserve">Chrm3_B3_P1_06</t>
  </si>
  <si>
    <t xml:space="preserve">GTCCCTGCCTCTATATCTTTACAAAGGAGATGACCCAAGCCAGAC</t>
  </si>
  <si>
    <t xml:space="preserve">Chrm3_B3_P2_06</t>
  </si>
  <si>
    <t xml:space="preserve">CAGAACAAGATGGCAGGAGCCCACATTCCACTCAACTTTAACCCG</t>
  </si>
  <si>
    <t xml:space="preserve">B3_P1(Chrm3)_6</t>
  </si>
  <si>
    <t xml:space="preserve">B3_P2(Chrm3)_6</t>
  </si>
  <si>
    <t xml:space="preserve">ACAAAGGAGATGACCCAAGCCAGAC</t>
  </si>
  <si>
    <t xml:space="preserve">CAGAACAAGATGGCAGGAGCCCACA</t>
  </si>
  <si>
    <t xml:space="preserve">S245-01</t>
  </si>
  <si>
    <t xml:space="preserve">Ddn_B3_P1_01</t>
  </si>
  <si>
    <t xml:space="preserve">GTCCCTGCCTCTATATCTTTCGGCGGGGGGGCCCGCCCGCCAGTT</t>
  </si>
  <si>
    <t xml:space="preserve">Ddn_B3_P2_01</t>
  </si>
  <si>
    <t xml:space="preserve">TTTTCTCTTGTTCCCGGGCTCGGACTTCCACTCAACTTTAACCCG</t>
  </si>
  <si>
    <t xml:space="preserve">B3_P1(Ddn)_1</t>
  </si>
  <si>
    <t xml:space="preserve">B3_P2(Ddn)_1</t>
  </si>
  <si>
    <t xml:space="preserve">CGGCGGGGGGGCCCGCCCGCCAGTT</t>
  </si>
  <si>
    <t xml:space="preserve">TTTTCTCTTGTTCCCGGGCTCGGAC</t>
  </si>
  <si>
    <t xml:space="preserve">S245-02</t>
  </si>
  <si>
    <t xml:space="preserve">Ddn_B3_P1_02</t>
  </si>
  <si>
    <t xml:space="preserve">GTCCCTGCCTCTATATCTTTCTCTCGGTCTCCTTGGCCTCCCGCT</t>
  </si>
  <si>
    <t xml:space="preserve">Ddn_B3_P2_02</t>
  </si>
  <si>
    <t xml:space="preserve">CGGGCCCCGCCAGCCTTGCGCCTTTTTCCACTCAACTTTAACCCG</t>
  </si>
  <si>
    <t xml:space="preserve">B3_P1(Ddn)_2</t>
  </si>
  <si>
    <t xml:space="preserve">B3_P2(Ddn)_2</t>
  </si>
  <si>
    <t xml:space="preserve">CTCTCGGTCTCCTTGGCCTCCCGCT</t>
  </si>
  <si>
    <t xml:space="preserve">CGGGCCCCGCCAGCCTTGCGCCTTT</t>
  </si>
  <si>
    <t xml:space="preserve">S245-03</t>
  </si>
  <si>
    <t xml:space="preserve">Ddn_B3_P1_03</t>
  </si>
  <si>
    <t xml:space="preserve">GTCCCTGCCTCTATATCTTTGGCGTTCCGGGGCTCTGGGCGGGGC</t>
  </si>
  <si>
    <t xml:space="preserve">Ddn_B3_P2_03</t>
  </si>
  <si>
    <t xml:space="preserve">AAACCCTGTAGGTTGGGCTGCCCGATTCCACTCAACTTTAACCCG</t>
  </si>
  <si>
    <t xml:space="preserve">B3_P1(Ddn)_3</t>
  </si>
  <si>
    <t xml:space="preserve">B3_P2(Ddn)_3</t>
  </si>
  <si>
    <t xml:space="preserve">GGCGTTCCGGGGCTCTGGGCGGGGC</t>
  </si>
  <si>
    <t xml:space="preserve">AAACCCTGTAGGTTGGGCTGCCCGA</t>
  </si>
  <si>
    <t xml:space="preserve">S245-04</t>
  </si>
  <si>
    <t xml:space="preserve">Ddn_B3_P1_04</t>
  </si>
  <si>
    <t xml:space="preserve">GTCCCTGCCTCTATATCTTTCTCGCCCCACCTGCCCGAAGCGCTC</t>
  </si>
  <si>
    <t xml:space="preserve">Ddn_B3_P2_04</t>
  </si>
  <si>
    <t xml:space="preserve">CCTGCGGGAGCACGGATGGTCGGGGTTCCACTCAACTTTAACCCG</t>
  </si>
  <si>
    <t xml:space="preserve">B3_P1(Ddn)_4</t>
  </si>
  <si>
    <t xml:space="preserve">B3_P2(Ddn)_4</t>
  </si>
  <si>
    <t xml:space="preserve">CTCGCCCCACCTGCCCGAAGCGCTC</t>
  </si>
  <si>
    <t xml:space="preserve">CCTGCGGGAGCACGGATGGTCGGGG</t>
  </si>
  <si>
    <t xml:space="preserve">S245-05</t>
  </si>
  <si>
    <t xml:space="preserve">Ddn_B3_P1_05</t>
  </si>
  <si>
    <t xml:space="preserve">GTCCCTGCCTCTATATCTTTCTTCTGCCTCCCCATGGCCCCGCCC</t>
  </si>
  <si>
    <t xml:space="preserve">Ddn_B3_P2_05</t>
  </si>
  <si>
    <t xml:space="preserve">TGAGCCTCGTAGCTAGGGGGCCCTGTTCCACTCAACTTTAACCCG</t>
  </si>
  <si>
    <t xml:space="preserve">B3_P1(Ddn)_5</t>
  </si>
  <si>
    <t xml:space="preserve">B3_P2(Ddn)_5</t>
  </si>
  <si>
    <t xml:space="preserve">CTTCTGCCTCCCCATGGCCCCGCCC</t>
  </si>
  <si>
    <t xml:space="preserve">TGAGCCTCGTAGCTAGGGGGCCCTG</t>
  </si>
  <si>
    <t xml:space="preserve">S245-06</t>
  </si>
  <si>
    <t xml:space="preserve">Ddn_B3_P1_06</t>
  </si>
  <si>
    <t xml:space="preserve">GTCCCTGCCTCTATATCTTTGCGGCGCCTTGGGGCTGTGCCTGCA</t>
  </si>
  <si>
    <t xml:space="preserve">Ddn_B3_P2_06</t>
  </si>
  <si>
    <t xml:space="preserve">AGCCACATAGGGTGGCGGCCGGTCCTTCCACTCAACTTTAACCCG</t>
  </si>
  <si>
    <t xml:space="preserve">B3_P1(Ddn)_6</t>
  </si>
  <si>
    <t xml:space="preserve">B3_P2(Ddn)_6</t>
  </si>
  <si>
    <t xml:space="preserve">GCGGCGCCTTGGGGCTGTGCCTGCA</t>
  </si>
  <si>
    <t xml:space="preserve">AGCCACATAGGGTGGCGGCCGGTCC</t>
  </si>
  <si>
    <t xml:space="preserve">S246-01</t>
  </si>
  <si>
    <t xml:space="preserve">Grm7_B3_P1_01</t>
  </si>
  <si>
    <t xml:space="preserve">GTCCCTGCCTCTATATCTTTTACTTTCTCTGGCTTGACGAAAACC</t>
  </si>
  <si>
    <t xml:space="preserve">Grm7_B3_P2_01</t>
  </si>
  <si>
    <t xml:space="preserve">GCTCCCCGAAGCCCCAATCACTCCATTCCACTCAACTTTAACCCG</t>
  </si>
  <si>
    <t xml:space="preserve">B3_P1(Grm7)_1</t>
  </si>
  <si>
    <t xml:space="preserve">B3_P2(Grm7)_1</t>
  </si>
  <si>
    <t xml:space="preserve">TACTTTCTCTGGCTTGACGAAAACC</t>
  </si>
  <si>
    <t xml:space="preserve">GCTCCCCGAAGCCCCAATCACTCCA</t>
  </si>
  <si>
    <t xml:space="preserve">S246-02</t>
  </si>
  <si>
    <t xml:space="preserve">Grm7_B3_P1_02</t>
  </si>
  <si>
    <t xml:space="preserve">GTCCCTGCCTCTATATCTTTTCTGGAAAAGCCTCAAGATGTTGGC</t>
  </si>
  <si>
    <t xml:space="preserve">Grm7_B3_P2_02</t>
  </si>
  <si>
    <t xml:space="preserve">CCGTGGATGCATAACTAATCTGAGGTTCCACTCAACTTTAACCCG</t>
  </si>
  <si>
    <t xml:space="preserve">B3_P1(Grm7)_2</t>
  </si>
  <si>
    <t xml:space="preserve">B3_P2(Grm7)_2</t>
  </si>
  <si>
    <t xml:space="preserve">TCTGGAAAAGCCTCAAGATGTTGGC</t>
  </si>
  <si>
    <t xml:space="preserve">CCGTGGATGCATAACTAATCTGAGG</t>
  </si>
  <si>
    <t xml:space="preserve">S246-03</t>
  </si>
  <si>
    <t xml:space="preserve">Grm7_B3_P1_03</t>
  </si>
  <si>
    <t xml:space="preserve">GTCCCTGCCTCTATATCTTTCGAGAGAAGAAGTCATAGCGACGGT</t>
  </si>
  <si>
    <t xml:space="preserve">Grm7_B3_P2_03</t>
  </si>
  <si>
    <t xml:space="preserve">GCTTGGAAGGAATCAGGTGGGACCATTCCACTCAACTTTAACCCG</t>
  </si>
  <si>
    <t xml:space="preserve">B3_P1(Grm7)_3</t>
  </si>
  <si>
    <t xml:space="preserve">B3_P2(Grm7)_3</t>
  </si>
  <si>
    <t xml:space="preserve">CGAGAGAAGAAGTCATAGCGACGGT</t>
  </si>
  <si>
    <t xml:space="preserve">GCTTGGAAGGAATCAGGTGGGACCA</t>
  </si>
  <si>
    <t xml:space="preserve">S246-04</t>
  </si>
  <si>
    <t xml:space="preserve">Grm7_B3_P1_04</t>
  </si>
  <si>
    <t xml:space="preserve">GTCCCTGCCTCTATATCTTTATAATTCCAGCCCAATGCCTTTACA</t>
  </si>
  <si>
    <t xml:space="preserve">Grm7_B3_P2_04</t>
  </si>
  <si>
    <t xml:space="preserve">GCTTCCTTCAGATGCAAGAGTAGATTTCCACTCAACTTTAACCCG</t>
  </si>
  <si>
    <t xml:space="preserve">B3_P1(Grm7)_4</t>
  </si>
  <si>
    <t xml:space="preserve">B3_P2(Grm7)_4</t>
  </si>
  <si>
    <t xml:space="preserve">ATAATTCCAGCCCAATGCCTTTACA</t>
  </si>
  <si>
    <t xml:space="preserve">GCTTCCTTCAGATGCAAGAGTAGAT</t>
  </si>
  <si>
    <t xml:space="preserve">S246-05</t>
  </si>
  <si>
    <t xml:space="preserve">Grm7_B3_P1_05</t>
  </si>
  <si>
    <t xml:space="preserve">GTCCCTGCCTCTATATCTTTCTTTGGAAATTTGTGTGAAGGACTC</t>
  </si>
  <si>
    <t xml:space="preserve">Grm7_B3_P2_05</t>
  </si>
  <si>
    <t xml:space="preserve">ACTGGGCAATGCAGAGTCCACCTGCTTCCACTCAACTTTAACCCG</t>
  </si>
  <si>
    <t xml:space="preserve">B3_P1(Grm7)_5</t>
  </si>
  <si>
    <t xml:space="preserve">B3_P2(Grm7)_5</t>
  </si>
  <si>
    <t xml:space="preserve">CTTTGGAAATTTGTGTGAAGGACTC</t>
  </si>
  <si>
    <t xml:space="preserve">ACTGGGCAATGCAGAGTCCACCTGC</t>
  </si>
  <si>
    <t xml:space="preserve">S246-06</t>
  </si>
  <si>
    <t xml:space="preserve">Grm7_B3_P1_06</t>
  </si>
  <si>
    <t xml:space="preserve">GTCCCTGCCTCTATATCTTTAAGTCAATGGTCCTGTCTTTGCGTT</t>
  </si>
  <si>
    <t xml:space="preserve">Grm7_B3_P2_06</t>
  </si>
  <si>
    <t xml:space="preserve">TCCAAGAGCTGTTTGATAATTCTATTTCCACTCAACTTTAACCCG</t>
  </si>
  <si>
    <t xml:space="preserve">B3_P1(Grm7)_6</t>
  </si>
  <si>
    <t xml:space="preserve">B3_P2(Grm7)_6</t>
  </si>
  <si>
    <t xml:space="preserve">AAGTCAATGGTCCTGTCTTTGCGTT</t>
  </si>
  <si>
    <t xml:space="preserve">TCCAAGAGCTGTTTGATAATTCTAT</t>
  </si>
  <si>
    <t xml:space="preserve">S247-01</t>
  </si>
  <si>
    <t xml:space="preserve">Grm8_B3_P1_01</t>
  </si>
  <si>
    <t xml:space="preserve">GTCCCTGCCTCTATATCTTTAAGCATGGCCTCAAGTCTGTGGATG</t>
  </si>
  <si>
    <t xml:space="preserve">Grm8_B3_P2_01</t>
  </si>
  <si>
    <t xml:space="preserve">GTCCTTATTAATCTGGTCGATTGCATTCCACTCAACTTTAACCCG</t>
  </si>
  <si>
    <t xml:space="preserve">B3_P1(Grm8)_1</t>
  </si>
  <si>
    <t xml:space="preserve">B3_P2(Grm8)_1</t>
  </si>
  <si>
    <t xml:space="preserve">AAGCATGGCCTCAAGTCTGTGGATG</t>
  </si>
  <si>
    <t xml:space="preserve">GTCCTTATTAATCTGGTCGATTGCA</t>
  </si>
  <si>
    <t xml:space="preserve">S247-02</t>
  </si>
  <si>
    <t xml:space="preserve">Grm8_B3_P1_02</t>
  </si>
  <si>
    <t xml:space="preserve">GTCCCTGCCTCTATATCTTTCAAGGATCCGGACACCCAGAGTGAT</t>
  </si>
  <si>
    <t xml:space="preserve">Grm8_B3_P2_02</t>
  </si>
  <si>
    <t xml:space="preserve">AAGCATAGGTGTCCCTGGAACATGTTTCCACTCAACTTTAACCCG</t>
  </si>
  <si>
    <t xml:space="preserve">B3_P1(Grm8)_2</t>
  </si>
  <si>
    <t xml:space="preserve">B3_P2(Grm8)_2</t>
  </si>
  <si>
    <t xml:space="preserve">CAAGGATCCGGACACCCAGAGTGAT</t>
  </si>
  <si>
    <t xml:space="preserve">AAGCATAGGTGTCCCTGGAACATGT</t>
  </si>
  <si>
    <t xml:space="preserve">S247-03</t>
  </si>
  <si>
    <t xml:space="preserve">Grm8_B3_P1_03</t>
  </si>
  <si>
    <t xml:space="preserve">GTCCCTGCCTCTATATCTTTTCTTTCTCTATCAGTGCCTGCACGA</t>
  </si>
  <si>
    <t xml:space="preserve">Grm8_B3_P2_03</t>
  </si>
  <si>
    <t xml:space="preserve">CCATTAGCACACTTCACGTCAGACGTTCCACTCAACTTTAACCCG</t>
  </si>
  <si>
    <t xml:space="preserve">B3_P1(Grm8)_3</t>
  </si>
  <si>
    <t xml:space="preserve">B3_P2(Grm8)_3</t>
  </si>
  <si>
    <t xml:space="preserve">TCTTTCTCTATCAGTGCCTGCACGA</t>
  </si>
  <si>
    <t xml:space="preserve">CCATTAGCACACTTCACGTCAGACG</t>
  </si>
  <si>
    <t xml:space="preserve">S247-04</t>
  </si>
  <si>
    <t xml:space="preserve">Grm8_B3_P1_04</t>
  </si>
  <si>
    <t xml:space="preserve">GTCCCTGCCTCTATATCTTTGACACCAGAAATCTTGTCGGGCTTG</t>
  </si>
  <si>
    <t xml:space="preserve">Grm8_B3_P2_04</t>
  </si>
  <si>
    <t xml:space="preserve">GGACACGGAGCTTGCTGCAGCACCTTTCCACTCAACTTTAACCCG</t>
  </si>
  <si>
    <t xml:space="preserve">B3_P1(Grm8)_4</t>
  </si>
  <si>
    <t xml:space="preserve">B3_P2(Grm8)_4</t>
  </si>
  <si>
    <t xml:space="preserve">GACACCAGAAATCTTGTCGGGCTTG</t>
  </si>
  <si>
    <t xml:space="preserve">GGACACGGAGCTTGCTGCAGCACCT</t>
  </si>
  <si>
    <t xml:space="preserve">S247-05</t>
  </si>
  <si>
    <t xml:space="preserve">Grm8_B3_P1_05</t>
  </si>
  <si>
    <t xml:space="preserve">GTCCCTGCCTCTATATCTTTTCTGAGGTATCTTAAAAAGTCTTAA</t>
  </si>
  <si>
    <t xml:space="preserve">Grm8_B3_P2_05</t>
  </si>
  <si>
    <t xml:space="preserve">GCTCTGGGGCTGTAGATGCATAGCTTTCCACTCAACTTTAACCCG</t>
  </si>
  <si>
    <t xml:space="preserve">B3_P1(Grm8)_5</t>
  </si>
  <si>
    <t xml:space="preserve">B3_P2(Grm8)_5</t>
  </si>
  <si>
    <t xml:space="preserve">TCTGAGGTATCTTAAAAAGTCTTAA</t>
  </si>
  <si>
    <t xml:space="preserve">GCTCTGGGGCTGTAGATGCATAGCT</t>
  </si>
  <si>
    <t xml:space="preserve">S247-06</t>
  </si>
  <si>
    <t xml:space="preserve">Grm8_B3_P1_06</t>
  </si>
  <si>
    <t xml:space="preserve">GTCCCTGCCTCTATATCTTTGGGACCACCCGAGAAAAGAAATCAT</t>
  </si>
  <si>
    <t xml:space="preserve">Grm8_B3_P2_06</t>
  </si>
  <si>
    <t xml:space="preserve">ATGGCTTGGGCTTGGTAGGAGTCAGTTCCACTCAACTTTAACCCG</t>
  </si>
  <si>
    <t xml:space="preserve">B3_P1(Grm8)_6</t>
  </si>
  <si>
    <t xml:space="preserve">B3_P2(Grm8)_6</t>
  </si>
  <si>
    <t xml:space="preserve">GGGACCACCCGAGAAAAGAAATCAT</t>
  </si>
  <si>
    <t xml:space="preserve">ATGGCTTGGGCTTGGTAGGAGTCAG</t>
  </si>
  <si>
    <t xml:space="preserve">S248-01</t>
  </si>
  <si>
    <t xml:space="preserve">Hs3st2_B3_P1_01</t>
  </si>
  <si>
    <t xml:space="preserve">GTCCCTGCCTCTATATCTTTTGTCTCGTGACATGTTGAAGATCCG</t>
  </si>
  <si>
    <t xml:space="preserve">Hs3st2_B3_P2_01</t>
  </si>
  <si>
    <t xml:space="preserve">GGTTCCGCACCACCACTATCAGCTTTTCCACTCAACTTTAACCCG</t>
  </si>
  <si>
    <t xml:space="preserve">B3_P1(Hs3st2)_1</t>
  </si>
  <si>
    <t xml:space="preserve">B3_P2(Hs3st2)_1</t>
  </si>
  <si>
    <t xml:space="preserve">TGTCTCGTGACATGTTGAAGATCCG</t>
  </si>
  <si>
    <t xml:space="preserve">GGTTCCGCACCACCACTATCAGCTT</t>
  </si>
  <si>
    <t xml:space="preserve">S248-02</t>
  </si>
  <si>
    <t xml:space="preserve">Hs3st2_B3_P1_02</t>
  </si>
  <si>
    <t xml:space="preserve">GTCCCTGCCTCTATATCTTTTTGGAAAGAGTCTGCGTGTAGTCAG</t>
  </si>
  <si>
    <t xml:space="preserve">Hs3st2_B3_P2_02</t>
  </si>
  <si>
    <t xml:space="preserve">CCCTCGAAGGTGGGGATGTCCGGCTTTCCACTCAACTTTAACCCG</t>
  </si>
  <si>
    <t xml:space="preserve">B3_P1(Hs3st2)_2</t>
  </si>
  <si>
    <t xml:space="preserve">B3_P2(Hs3st2)_2</t>
  </si>
  <si>
    <t xml:space="preserve">TTGGAAAGAGTCTGCGTGTAGTCAG</t>
  </si>
  <si>
    <t xml:space="preserve">CCCTCGAAGGTGGGGATGTCCGGCT</t>
  </si>
  <si>
    <t xml:space="preserve">S248-03</t>
  </si>
  <si>
    <t xml:space="preserve">Hs3st2_B3_P1_03</t>
  </si>
  <si>
    <t xml:space="preserve">GTCCCTGCCTCTATATCTTTAGACACGTCCACCAGGCCTAGACTG</t>
  </si>
  <si>
    <t xml:space="preserve">Hs3st2_B3_P2_03</t>
  </si>
  <si>
    <t xml:space="preserve">ATACATGCCAATGCGGATAGCGTTCTTCCACTCAACTTTAACCCG</t>
  </si>
  <si>
    <t xml:space="preserve">B3_P1(Hs3st2)_3</t>
  </si>
  <si>
    <t xml:space="preserve">B3_P2(Hs3st2)_3</t>
  </si>
  <si>
    <t xml:space="preserve">AGACACGTCCACCAGGCCTAGACTG</t>
  </si>
  <si>
    <t xml:space="preserve">ATACATGCCAATGCGGATAGCGTTC</t>
  </si>
  <si>
    <t xml:space="preserve">S248-04</t>
  </si>
  <si>
    <t xml:space="preserve">Hs3st2_B3_P1_04</t>
  </si>
  <si>
    <t xml:space="preserve">GTCCCTGCCTCTATATCTTTGGGCCAGTGGGAAGTACCGCAGCCA</t>
  </si>
  <si>
    <t xml:space="preserve">Hs3st2_B3_P2_04</t>
  </si>
  <si>
    <t xml:space="preserve">GCCGCTCTCCACTGACGAAGTGGATTTCCACTCAACTTTAACCCG</t>
  </si>
  <si>
    <t xml:space="preserve">B3_P1(Hs3st2)_4</t>
  </si>
  <si>
    <t xml:space="preserve">B3_P2(Hs3st2)_4</t>
  </si>
  <si>
    <t xml:space="preserve">GGGCCAGTGGGAAGTACCGCAGCCA</t>
  </si>
  <si>
    <t xml:space="preserve">GCCGCTCTCCACTGACGAAGTGGAT</t>
  </si>
  <si>
    <t xml:space="preserve">S248-05</t>
  </si>
  <si>
    <t xml:space="preserve">Hs3st2_B3_P1_05</t>
  </si>
  <si>
    <t xml:space="preserve">GTCCCTGCCTCTATATCTTTAAGTCCTGAATACGACCCATCTCAC</t>
  </si>
  <si>
    <t xml:space="preserve">Hs3st2_B3_P2_05</t>
  </si>
  <si>
    <t xml:space="preserve">TCTGTGATGAATCTCTTGATGCCCATTCCACTCAACTTTAACCCG</t>
  </si>
  <si>
    <t xml:space="preserve">B3_P1(Hs3st2)_5</t>
  </si>
  <si>
    <t xml:space="preserve">B3_P2(Hs3st2)_5</t>
  </si>
  <si>
    <t xml:space="preserve">AAGTCCTGAATACGACCCATCTCAC</t>
  </si>
  <si>
    <t xml:space="preserve">TCTGTGATGAATCTCTTGATGCCCA</t>
  </si>
  <si>
    <t xml:space="preserve">S248-06</t>
  </si>
  <si>
    <t xml:space="preserve">Hs3st2_B3_P1_06</t>
  </si>
  <si>
    <t xml:space="preserve">GTCCCTGCCTCTATATCTTTCAAGCAAGGGAATCCTTTGGTCTTG</t>
  </si>
  <si>
    <t xml:space="preserve">Hs3st2_B3_P2_06</t>
  </si>
  <si>
    <t xml:space="preserve">AGGCAGGAGGGTTGACTCTGGTTTTTTCCACTCAACTTTAACCCG</t>
  </si>
  <si>
    <t xml:space="preserve">B3_P1(Hs3st2)_6</t>
  </si>
  <si>
    <t xml:space="preserve">B3_P2(Hs3st2)_6</t>
  </si>
  <si>
    <t xml:space="preserve">CAAGCAAGGGAATCCTTTGGTCTTG</t>
  </si>
  <si>
    <t xml:space="preserve">AGGCAGGAGGGTTGACTCTGGTTTT</t>
  </si>
  <si>
    <t xml:space="preserve">S249-01</t>
  </si>
  <si>
    <t xml:space="preserve">Htr1d_B3_P1_01</t>
  </si>
  <si>
    <t xml:space="preserve">GTCCCTGCCTCTATATCTTTCGTGGTGGCCAAGGAGCCAATGAGA</t>
  </si>
  <si>
    <t xml:space="preserve">Htr1d_B3_P2_01</t>
  </si>
  <si>
    <t xml:space="preserve">CATGACCAAGATAGAAACCAGGAGGTTCCACTCAACTTTAACCCG</t>
  </si>
  <si>
    <t xml:space="preserve">B3_P1(Htr1d)_1</t>
  </si>
  <si>
    <t xml:space="preserve">B3_P2(Htr1d)_1</t>
  </si>
  <si>
    <t xml:space="preserve">CGTGGTGGCCAAGGAGCCAATGAGA</t>
  </si>
  <si>
    <t xml:space="preserve">CATGACCAAGATAGAAACCAGGAGG</t>
  </si>
  <si>
    <t xml:space="preserve">S249-02</t>
  </si>
  <si>
    <t xml:space="preserve">Htr1d_B3_P1_02</t>
  </si>
  <si>
    <t xml:space="preserve">GTCCCTGCCTCTATATCTTTCAAAGTTCCAGGTGCGGGTGGTGGT</t>
  </si>
  <si>
    <t xml:space="preserve">Htr1d_B3_P2_02</t>
  </si>
  <si>
    <t xml:space="preserve">ACACCCAGATGTCACACAGGATCTGTTCCACTCAACTTTAACCCG</t>
  </si>
  <si>
    <t xml:space="preserve">B3_P1(Htr1d)_2</t>
  </si>
  <si>
    <t xml:space="preserve">B3_P2(Htr1d)_2</t>
  </si>
  <si>
    <t xml:space="preserve">CAAAGTTCCAGGTGCGGGTGGTGGT</t>
  </si>
  <si>
    <t xml:space="preserve">ACACCCAGATGTCACACAGGATCTG</t>
  </si>
  <si>
    <t xml:space="preserve">S249-03</t>
  </si>
  <si>
    <t xml:space="preserve">Htr1d_B3_P1_03</t>
  </si>
  <si>
    <t xml:space="preserve">GTCCCTGCCTCTATATCTTTCAGAGATGCAAGATGGAGGCCGTGC</t>
  </si>
  <si>
    <t xml:space="preserve">Htr1d_B3_P2_03</t>
  </si>
  <si>
    <t xml:space="preserve">GCCCAGTATCTGTCCAGAGCAATGATTCCACTCAACTTTAACCCG</t>
  </si>
  <si>
    <t xml:space="preserve">B3_P1(Htr1d)_3</t>
  </si>
  <si>
    <t xml:space="preserve">B3_P2(Htr1d)_3</t>
  </si>
  <si>
    <t xml:space="preserve">CAGAGATGCAAGATGGAGGCCGTGC</t>
  </si>
  <si>
    <t xml:space="preserve">GCCCAGTATCTGTCCAGAGCAATGA</t>
  </si>
  <si>
    <t xml:space="preserve">S249-04</t>
  </si>
  <si>
    <t xml:space="preserve">Htr1d_B3_P1_04</t>
  </si>
  <si>
    <t xml:space="preserve">GTCCCTGCCTCTATATCTTTGCCTGCGGTTCGACGCTTGCTGTAC</t>
  </si>
  <si>
    <t xml:space="preserve">Htr1d_B3_P2_04</t>
  </si>
  <si>
    <t xml:space="preserve">GACGGCCGCAATCATGGCTGCTGCGTTCCACTCAACTTTAACCCG</t>
  </si>
  <si>
    <t xml:space="preserve">B3_P1(Htr1d)_4</t>
  </si>
  <si>
    <t xml:space="preserve">B3_P2(Htr1d)_4</t>
  </si>
  <si>
    <t xml:space="preserve">GCCTGCGGTTCGACGCTTGCTGTAC</t>
  </si>
  <si>
    <t xml:space="preserve">GACGGCCGCAATCATGGCTGCTGCG</t>
  </si>
  <si>
    <t xml:space="preserve">S249-05</t>
  </si>
  <si>
    <t xml:space="preserve">Htr1d_B3_P1_05</t>
  </si>
  <si>
    <t xml:space="preserve">GTCCCTGCCTCTATATCTTTGCCAGAAGAGTGGAGGGATGGAGAT</t>
  </si>
  <si>
    <t xml:space="preserve">Htr1d_B3_P2_05</t>
  </si>
  <si>
    <t xml:space="preserve">ACATCTCCTCGTGAGCCGTGGCCTGTTCCACTCAACTTTAACCCG</t>
  </si>
  <si>
    <t xml:space="preserve">B3_P1(Htr1d)_5</t>
  </si>
  <si>
    <t xml:space="preserve">B3_P2(Htr1d)_5</t>
  </si>
  <si>
    <t xml:space="preserve">GCCAGAAGAGTGGAGGGATGGAGAT</t>
  </si>
  <si>
    <t xml:space="preserve">ACATCTCCTCGTGAGCCGTGGCCTG</t>
  </si>
  <si>
    <t xml:space="preserve">S249-06</t>
  </si>
  <si>
    <t xml:space="preserve">Htr1d_B3_P1_06</t>
  </si>
  <si>
    <t xml:space="preserve">GTCCCTGCCTCTATATCTTTTAGATGGTGTAAGAAATCTGAGATG</t>
  </si>
  <si>
    <t xml:space="preserve">Htr1d_B3_P2_06</t>
  </si>
  <si>
    <t xml:space="preserve">GGGATATAGAAGGCGCCACAGGTCGTTCCACTCAACTTTAACCCG</t>
  </si>
  <si>
    <t xml:space="preserve">B3_P1(Htr1d)_6</t>
  </si>
  <si>
    <t xml:space="preserve">B3_P2(Htr1d)_6</t>
  </si>
  <si>
    <t xml:space="preserve">TAGATGGTGTAAGAAATCTGAGATG</t>
  </si>
  <si>
    <t xml:space="preserve">GGGATATAGAAGGCGCCACAGGTCG</t>
  </si>
  <si>
    <t xml:space="preserve">S250-01</t>
  </si>
  <si>
    <t xml:space="preserve">Htr2c_B3_P1_01</t>
  </si>
  <si>
    <t xml:space="preserve">GTCCCTGCCTCTATATCTTTGCCACGAAGGACCCGATGAGAACGA</t>
  </si>
  <si>
    <t xml:space="preserve">Htr2c_B3_P2_01</t>
  </si>
  <si>
    <t xml:space="preserve">ACCATAATTGTCAACGGGATGAAGATTCCACTCAACTTTAACCCG</t>
  </si>
  <si>
    <t xml:space="preserve">B3_P1(Htr2c)_1</t>
  </si>
  <si>
    <t xml:space="preserve">B3_P2(Htr2c)_1</t>
  </si>
  <si>
    <t xml:space="preserve">GCCACGAAGGACCCGATGAGAACGA</t>
  </si>
  <si>
    <t xml:space="preserve">ACCATAATTGTCAACGGGATGAAGA</t>
  </si>
  <si>
    <t xml:space="preserve">S250-02</t>
  </si>
  <si>
    <t xml:space="preserve">Htr2c_B3_P1_02</t>
  </si>
  <si>
    <t xml:space="preserve">GTCCCTGCCTCTATATCTTTGGTTTGACGGCGTAGGACGTAGATC</t>
  </si>
  <si>
    <t xml:space="preserve">Htr2c_B3_P2_02</t>
  </si>
  <si>
    <t xml:space="preserve">CTCGGTGTGACCTCGAAGTAACATCTTCCACTCAACTTTAACCCG</t>
  </si>
  <si>
    <t xml:space="preserve">B3_P1(Htr2c)_2</t>
  </si>
  <si>
    <t xml:space="preserve">B3_P2(Htr2c)_2</t>
  </si>
  <si>
    <t xml:space="preserve">GGTTTGACGGCGTAGGACGTAGATC</t>
  </si>
  <si>
    <t xml:space="preserve">CTCGGTGTGACCTCGAAGTAACATC</t>
  </si>
  <si>
    <t xml:space="preserve">S250-03</t>
  </si>
  <si>
    <t xml:space="preserve">Htr2c_B3_P1_03</t>
  </si>
  <si>
    <t xml:space="preserve">GTCCCTGCCTCTATATCTTTAGCAGCACTTTAGAAAGTTCAGGCT</t>
  </si>
  <si>
    <t xml:space="preserve">Htr2c_B3_P2_03</t>
  </si>
  <si>
    <t xml:space="preserve">CGTTCTCTTCCTCATCACCCTTCTTTTCCACTCAACTTTAACCCG</t>
  </si>
  <si>
    <t xml:space="preserve">B3_P1(Htr2c)_3</t>
  </si>
  <si>
    <t xml:space="preserve">B3_P2(Htr2c)_3</t>
  </si>
  <si>
    <t xml:space="preserve">AGCAGCACTTTAGAAAGTTCAGGCT</t>
  </si>
  <si>
    <t xml:space="preserve">CGTTCTCTTCCTCATCACCCTTCTT</t>
  </si>
  <si>
    <t xml:space="preserve">S250-04</t>
  </si>
  <si>
    <t xml:space="preserve">Htr2c_B3_P1_04</t>
  </si>
  <si>
    <t xml:space="preserve">GTCCCTGCCTCTATATCTTTTTCTTCTTTCGACGTGGCTTCTGAT</t>
  </si>
  <si>
    <t xml:space="preserve">Htr2c_B3_P2_04</t>
  </si>
  <si>
    <t xml:space="preserve">TGCATGGTGCCTCTAGGCCGCTTTTTTCCACTCAACTTTAACCCG</t>
  </si>
  <si>
    <t xml:space="preserve">B3_P1(Htr2c)_4</t>
  </si>
  <si>
    <t xml:space="preserve">B3_P2(Htr2c)_4</t>
  </si>
  <si>
    <t xml:space="preserve">TTCTTCTTTCGACGTGGCTTCTGAT</t>
  </si>
  <si>
    <t xml:space="preserve">TGCATGGTGCCTCTAGGCCGCTTTT</t>
  </si>
  <si>
    <t xml:space="preserve">S250-05</t>
  </si>
  <si>
    <t xml:space="preserve">Htr2c_B3_P1_05</t>
  </si>
  <si>
    <t xml:space="preserve">GTCCCTGCCTCTATATCTTTAATGCCAAGGACTTTGGAAGCTTTC</t>
  </si>
  <si>
    <t xml:space="preserve">Htr2c_B3_P2_05</t>
  </si>
  <si>
    <t xml:space="preserve">CCACATGATCAGAAACACAAAGAATTTCCACTCAACTTTAACCCG</t>
  </si>
  <si>
    <t xml:space="preserve">B3_P1(Htr2c)_5</t>
  </si>
  <si>
    <t xml:space="preserve">B3_P2(Htr2c)_5</t>
  </si>
  <si>
    <t xml:space="preserve">AATGCCAAGGACTTTGGAAGCTTTC</t>
  </si>
  <si>
    <t xml:space="preserve">CCACATGATCAGAAACACAAAGAAT</t>
  </si>
  <si>
    <t xml:space="preserve">S250-06</t>
  </si>
  <si>
    <t xml:space="preserve">Htr2c_B3_P1_06</t>
  </si>
  <si>
    <t xml:space="preserve">GTCCCTGCCTCTATATCTTTTCCCACAAAGCACCGACAGGATATT</t>
  </si>
  <si>
    <t xml:space="preserve">Htr2c_B3_P2_06</t>
  </si>
  <si>
    <t xml:space="preserve">TCTCCATTAGCTTTTGGTTACAGGCTTCCACTCAACTTTAACCCG</t>
  </si>
  <si>
    <t xml:space="preserve">B3_P1(Htr2c)_6</t>
  </si>
  <si>
    <t xml:space="preserve">B3_P2(Htr2c)_6</t>
  </si>
  <si>
    <t xml:space="preserve">TCCCACAAAGCACCGACAGGATATT</t>
  </si>
  <si>
    <t xml:space="preserve">TCTCCATTAGCTTTTGGTTACAGGC</t>
  </si>
  <si>
    <t xml:space="preserve">S251-01</t>
  </si>
  <si>
    <t xml:space="preserve">Htr6_B3_P1_01</t>
  </si>
  <si>
    <t xml:space="preserve">GTCCCTGCCTCTATATCTTTCATCACCACCAATCCCACCATCAGG</t>
  </si>
  <si>
    <t xml:space="preserve">Htr6_B3_P2_01</t>
  </si>
  <si>
    <t xml:space="preserve">ATACAGCGCGTTCAGCATGGCTGGGTTCCACTCAACTTTAACCCG</t>
  </si>
  <si>
    <t xml:space="preserve">B3_P1(Htr6)_1</t>
  </si>
  <si>
    <t xml:space="preserve">B3_P2(Htr6)_1</t>
  </si>
  <si>
    <t xml:space="preserve">CATCACCACCAATCCCACCATCAGG</t>
  </si>
  <si>
    <t xml:space="preserve">ATACAGCGCGTTCAGCATGGCTGGG</t>
  </si>
  <si>
    <t xml:space="preserve">S251-02</t>
  </si>
  <si>
    <t xml:space="preserve">Htr6_B3_P1_02</t>
  </si>
  <si>
    <t xml:space="preserve">GTCCCTGCCTCTATATCTTTCGGTCCAAAGCAGACAGAGGCCGCG</t>
  </si>
  <si>
    <t xml:space="preserve">Htr6_B3_P2_02</t>
  </si>
  <si>
    <t xml:space="preserve">AGGCGCTGCAGCACATCACGTCGAATTCCACTCAACTTTAACCCG</t>
  </si>
  <si>
    <t xml:space="preserve">B3_P1(Htr6)_2</t>
  </si>
  <si>
    <t xml:space="preserve">B3_P2(Htr6)_2</t>
  </si>
  <si>
    <t xml:space="preserve">CGGTCCAAAGCAGACAGAGGCCGCG</t>
  </si>
  <si>
    <t xml:space="preserve">AGGCGCTGCAGCACATCACGTCGAA</t>
  </si>
  <si>
    <t xml:space="preserve">S251-03</t>
  </si>
  <si>
    <t xml:space="preserve">Htr6_B3_P1_03</t>
  </si>
  <si>
    <t xml:space="preserve">GTCCCTGCCTCTATATCTTTAGCAGGTAGCGGTCCAGGCTGATGA</t>
  </si>
  <si>
    <t xml:space="preserve">Htr6_B3_P2_03</t>
  </si>
  <si>
    <t xml:space="preserve">AGCTTGTAGCGCAGCGGCGAGAGGATTCCACTCAACTTTAACCCG</t>
  </si>
  <si>
    <t xml:space="preserve">B3_P1(Htr6)_3</t>
  </si>
  <si>
    <t xml:space="preserve">B3_P2(Htr6)_3</t>
  </si>
  <si>
    <t xml:space="preserve">AGCAGGTAGCGGTCCAGGCTGATGA</t>
  </si>
  <si>
    <t xml:space="preserve">AGCTTGTAGCGCAGCGGCGAGAGGA</t>
  </si>
  <si>
    <t xml:space="preserve">S251-04</t>
  </si>
  <si>
    <t xml:space="preserve">Htr6_B3_P1_04</t>
  </si>
  <si>
    <t xml:space="preserve">GTCCCTGCCTCTATATCTTTGGCACCCAGGATGAGCGCCAGGGCA</t>
  </si>
  <si>
    <t xml:space="preserve">Htr6_B3_P2_04</t>
  </si>
  <si>
    <t xml:space="preserve">GAAGGAGGCCAGCGCGGCGAGGCTCTTCCACTCAACTTTAACCCG</t>
  </si>
  <si>
    <t xml:space="preserve">B3_P1(Htr6)_4</t>
  </si>
  <si>
    <t xml:space="preserve">B3_P2(Htr6)_4</t>
  </si>
  <si>
    <t xml:space="preserve">GGCACCCAGGATGAGCGCCAGGGCA</t>
  </si>
  <si>
    <t xml:space="preserve">GAAGGAGGCCAGCGCGGCGAGGCTC</t>
  </si>
  <si>
    <t xml:space="preserve">S251-05</t>
  </si>
  <si>
    <t xml:space="preserve">Htr6_B3_P1_05</t>
  </si>
  <si>
    <t xml:space="preserve">GTCCCTGCCTCTATATCTTTTTCGAGCTTTGCCCAGTTCATGCCA</t>
  </si>
  <si>
    <t xml:space="preserve">Htr6_B3_P2_05</t>
  </si>
  <si>
    <t xml:space="preserve">ATAGGCGGCACTGGCCCGGGGCAGATTCCACTCAACTTTAACCCG</t>
  </si>
  <si>
    <t xml:space="preserve">B3_P1(Htr6)_5</t>
  </si>
  <si>
    <t xml:space="preserve">B3_P2(Htr6)_5</t>
  </si>
  <si>
    <t xml:space="preserve">TTCGAGCTTTGCCCAGTTCATGCCA</t>
  </si>
  <si>
    <t xml:space="preserve">ATAGGCGGCACTGGCCCGGGGCAGA</t>
  </si>
  <si>
    <t xml:space="preserve">S251-06</t>
  </si>
  <si>
    <t xml:space="preserve">Htr6_B3_P1_06</t>
  </si>
  <si>
    <t xml:space="preserve">GTCCCTGCCTCTATATCTTTAAGGTGACGCCGGACGCCACGAGGA</t>
  </si>
  <si>
    <t xml:space="preserve">Htr6_B3_P2_06</t>
  </si>
  <si>
    <t xml:space="preserve">AAGCAGATGGCACCCGAAGGCAGGATTCCACTCAACTTTAACCCG</t>
  </si>
  <si>
    <t xml:space="preserve">B3_P1(Htr6)_6</t>
  </si>
  <si>
    <t xml:space="preserve">B3_P2(Htr6)_6</t>
  </si>
  <si>
    <t xml:space="preserve">AAGGTGACGCCGGACGCCACGAGGA</t>
  </si>
  <si>
    <t xml:space="preserve">AAGCAGATGGCACCCGAAGGCAGGA</t>
  </si>
  <si>
    <t xml:space="preserve">S251-07</t>
  </si>
  <si>
    <t xml:space="preserve">Htr6_B3_P1_07</t>
  </si>
  <si>
    <t xml:space="preserve">GTCCCTGCCTCTATATCTTTCACCGCCTGCTTGCGGGCAGCCAGC</t>
  </si>
  <si>
    <t xml:space="preserve">Htr6_B3_P2_07</t>
  </si>
  <si>
    <t xml:space="preserve">CGTGCCCGTGGTGAGCGAGGCCACTTTCCACTCAACTTTAACCCG</t>
  </si>
  <si>
    <t xml:space="preserve">B3_P1(Htr6)_7</t>
  </si>
  <si>
    <t xml:space="preserve">B3_P2(Htr6)_7</t>
  </si>
  <si>
    <t xml:space="preserve">CACCGCCTGCTTGCGGGCAGCCAGC</t>
  </si>
  <si>
    <t xml:space="preserve">CGTGCCCGTGGTGAGCGAGGCCACT</t>
  </si>
  <si>
    <t xml:space="preserve">S251-08</t>
  </si>
  <si>
    <t xml:space="preserve">Htr6_B3_P1_08</t>
  </si>
  <si>
    <t xml:space="preserve">GTCCCTGCCTCTATATCTTTTCCTGGGCACCTGCAAGGTTTCCAA</t>
  </si>
  <si>
    <t xml:space="preserve">Htr6_B3_P2_08</t>
  </si>
  <si>
    <t xml:space="preserve">CAGCAGACTCCATCCCTGGGCGTGGTTCCACTCAACTTTAACCCG</t>
  </si>
  <si>
    <t xml:space="preserve">B3_P1(Htr6)_8</t>
  </si>
  <si>
    <t xml:space="preserve">B3_P2(Htr6)_8</t>
  </si>
  <si>
    <t xml:space="preserve">TCCTGGGCACCTGCAAGGTTTCCAA</t>
  </si>
  <si>
    <t xml:space="preserve">CAGCAGACTCCATCCCTGGGCGTGG</t>
  </si>
  <si>
    <t xml:space="preserve">S252-01</t>
  </si>
  <si>
    <t xml:space="preserve">Mchr1_B3_P1_01</t>
  </si>
  <si>
    <t xml:space="preserve">GTCCCTGCCTCTATATCTTTCCCACAATGCCCAGGAGACAGATGG</t>
  </si>
  <si>
    <t xml:space="preserve">Mchr1_B3_P2_01</t>
  </si>
  <si>
    <t xml:space="preserve">ACCACGGCAAAAATGACTGTGGAGTTTCCACTCAACTTTAACCCG</t>
  </si>
  <si>
    <t xml:space="preserve">B3_P1(Mchr1)_1</t>
  </si>
  <si>
    <t xml:space="preserve">B3_P2(Mchr1)_1</t>
  </si>
  <si>
    <t xml:space="preserve">CCCACAATGCCCAGGAGACAGATGG</t>
  </si>
  <si>
    <t xml:space="preserve">ACCACGGCAAAAATGACTGTGGAGT</t>
  </si>
  <si>
    <t xml:space="preserve">S252-02</t>
  </si>
  <si>
    <t xml:space="preserve">Mchr1_B3_P1_02</t>
  </si>
  <si>
    <t xml:space="preserve">GTCCCTGCCTCTATATCTTTGATGTCAGGGACGTTGCTGCACCAG</t>
  </si>
  <si>
    <t xml:space="preserve">Mchr1_B3_P2_02</t>
  </si>
  <si>
    <t xml:space="preserve">ATCCACCACAGAGAGGTTGATGATGTTCCACTCAACTTTAACCCG</t>
  </si>
  <si>
    <t xml:space="preserve">B3_P1(Mchr1)_2</t>
  </si>
  <si>
    <t xml:space="preserve">B3_P2(Mchr1)_2</t>
  </si>
  <si>
    <t xml:space="preserve">GATGTCAGGGACGTTGCTGCACCAG</t>
  </si>
  <si>
    <t xml:space="preserve">ATCCACCACAGAGAGGTTGATGATG</t>
  </si>
  <si>
    <t xml:space="preserve">S252-03</t>
  </si>
  <si>
    <t xml:space="preserve">Mchr1_B3_P1_03</t>
  </si>
  <si>
    <t xml:space="preserve">GTCCCTGCCTCTATATCTTTTGAGCTGGTGGATCATGAAAGGCAT</t>
  </si>
  <si>
    <t xml:space="preserve">Mchr1_B3_P2_03</t>
  </si>
  <si>
    <t xml:space="preserve">CCCCAAAGTGCCAGACACCATTACCTTCCACTCAACTTTAACCCG</t>
  </si>
  <si>
    <t xml:space="preserve">B3_P1(Mchr1)_3</t>
  </si>
  <si>
    <t xml:space="preserve">B3_P2(Mchr1)_3</t>
  </si>
  <si>
    <t xml:space="preserve">TGAGCTGGTGGATCATGAAAGGCAT</t>
  </si>
  <si>
    <t xml:space="preserve">CCCCAAAGTGCCAGACACCATTACC</t>
  </si>
  <si>
    <t xml:space="preserve">S252-04</t>
  </si>
  <si>
    <t xml:space="preserve">Mchr1_B3_P1_04</t>
  </si>
  <si>
    <t xml:space="preserve">GTCCCTGCCTCTATATCTTTTGACTGTTGGCGTCCATGGCTGTGA</t>
  </si>
  <si>
    <t xml:space="preserve">Mchr1_B3_P2_04</t>
  </si>
  <si>
    <t xml:space="preserve">GCAGTCAGGATGTAGGTGCTGGTGATTCCACTCAACTTTAACCCG</t>
  </si>
  <si>
    <t xml:space="preserve">B3_P1(Mchr1)_4</t>
  </si>
  <si>
    <t xml:space="preserve">B3_P2(Mchr1)_4</t>
  </si>
  <si>
    <t xml:space="preserve">TGACTGTTGGCGTCCATGGCTGTGA</t>
  </si>
  <si>
    <t xml:space="preserve">GCAGTCAGGATGTAGGTGCTGGTGA</t>
  </si>
  <si>
    <t xml:space="preserve">S252-05</t>
  </si>
  <si>
    <t xml:space="preserve">Mchr1_B3_P1_05</t>
  </si>
  <si>
    <t xml:space="preserve">GTCCCTGCCTCTATATCTTTGGAGATGGGATGGACGGTGGCCAAG</t>
  </si>
  <si>
    <t xml:space="preserve">Mchr1_B3_P2_05</t>
  </si>
  <si>
    <t xml:space="preserve">CATGGAGGGCTTCCGGAACTTGGTGTTCCACTCAACTTTAACCCG</t>
  </si>
  <si>
    <t xml:space="preserve">B3_P1(Mchr1)_5</t>
  </si>
  <si>
    <t xml:space="preserve">B3_P2(Mchr1)_5</t>
  </si>
  <si>
    <t xml:space="preserve">GGAGATGGGATGGACGGTGGCCAAG</t>
  </si>
  <si>
    <t xml:space="preserve">CATGGAGGGCTTCCGGAACTTGGTG</t>
  </si>
  <si>
    <t xml:space="preserve">S252-06</t>
  </si>
  <si>
    <t xml:space="preserve">Mchr1_B3_P1_06</t>
  </si>
  <si>
    <t xml:space="preserve">GTCCCTGCCTCTATATCTTTTAATGAACGAGAGAGCCCACAGGAG</t>
  </si>
  <si>
    <t xml:space="preserve">Mchr1_B3_P2_06</t>
  </si>
  <si>
    <t xml:space="preserve">TGGCATAGAGCCACACAGGAGTGATTTCCACTCAACTTTAACCCG</t>
  </si>
  <si>
    <t xml:space="preserve">B3_P1(Mchr1)_6</t>
  </si>
  <si>
    <t xml:space="preserve">B3_P2(Mchr1)_6</t>
  </si>
  <si>
    <t xml:space="preserve">TAATGAACGAGAGAGCCCACAGGAG</t>
  </si>
  <si>
    <t xml:space="preserve">TGGCATAGAGCCACACAGGAGTGAT</t>
  </si>
  <si>
    <t xml:space="preserve">S253-01</t>
  </si>
  <si>
    <t xml:space="preserve">Oprl1_B3_P1_01</t>
  </si>
  <si>
    <t xml:space="preserve">GTCCCTGCCTCTATATCTTTGTGCTGGTAAACATGTTGTAGTAGT</t>
  </si>
  <si>
    <t xml:space="preserve">Oprl1_B3_P2_01</t>
  </si>
  <si>
    <t xml:space="preserve">TCTACACTCATGGCAGTCAAAGTGATTCCACTCAACTTTAACCCG</t>
  </si>
  <si>
    <t xml:space="preserve">B3_P1(Oprl1)_1</t>
  </si>
  <si>
    <t xml:space="preserve">B3_P2(Oprl1)_1</t>
  </si>
  <si>
    <t xml:space="preserve">GTGCTGGTAAACATGTTGTAGTAGT</t>
  </si>
  <si>
    <t xml:space="preserve">TCTACACTCATGGCAGTCAAAGTGA</t>
  </si>
  <si>
    <t xml:space="preserve">S253-02</t>
  </si>
  <si>
    <t xml:space="preserve">Oprl1_B3_P1_02</t>
  </si>
  <si>
    <t xml:space="preserve">GTCCCTGCCTCTATATCTTTAACATCAAGGGCACGGATAGGGTGG</t>
  </si>
  <si>
    <t xml:space="preserve">Oprl1_B3_P2_02</t>
  </si>
  <si>
    <t xml:space="preserve">AACGGCCTGGGCTTTACTGGATGTCTTCCACTCAACTTTAACCCG</t>
  </si>
  <si>
    <t xml:space="preserve">B3_P1(Oprl1)_2</t>
  </si>
  <si>
    <t xml:space="preserve">B3_P2(Oprl1)_2</t>
  </si>
  <si>
    <t xml:space="preserve">AACATCAAGGGCACGGATAGGGTGG</t>
  </si>
  <si>
    <t xml:space="preserve">AACGGCCTGGGCTTTACTGGATGTC</t>
  </si>
  <si>
    <t xml:space="preserve">S253-03</t>
  </si>
  <si>
    <t xml:space="preserve">Oprl1_B3_P1_03</t>
  </si>
  <si>
    <t xml:space="preserve">GTCCCTGCCTCTATATCTTTCAGGAACACCAACCACCGAAGCCAG</t>
  </si>
  <si>
    <t xml:space="preserve">Oprl1_B3_P2_03</t>
  </si>
  <si>
    <t xml:space="preserve">CCACTTGTGCTGAGCCCATGATGGCTTCCACTCAACTTTAACCCG</t>
  </si>
  <si>
    <t xml:space="preserve">B3_P1(Oprl1)_3</t>
  </si>
  <si>
    <t xml:space="preserve">B3_P2(Oprl1)_3</t>
  </si>
  <si>
    <t xml:space="preserve">CAGGAACACCAACCACCGAAGCCAG</t>
  </si>
  <si>
    <t xml:space="preserve">CCACTTGTGCTGAGCCCATGATGGC</t>
  </si>
  <si>
    <t xml:space="preserve">S253-04</t>
  </si>
  <si>
    <t xml:space="preserve">Oprl1_B3_P1_04</t>
  </si>
  <si>
    <t xml:space="preserve">GTCCCTGCCTCTATATCTTTTGAGGGGCGGGGATCTCCACCAGGC</t>
  </si>
  <si>
    <t xml:space="preserve">Oprl1_B3_P2_04</t>
  </si>
  <si>
    <t xml:space="preserve">ATGGCAAATACAGGGCCCCAATAGTTTCCACTCAACTTTAACCCG</t>
  </si>
  <si>
    <t xml:space="preserve">B3_P1(Oprl1)_4</t>
  </si>
  <si>
    <t xml:space="preserve">B3_P2(Oprl1)_4</t>
  </si>
  <si>
    <t xml:space="preserve">TGAGGGGCGGGGATCTCCACCAGGC</t>
  </si>
  <si>
    <t xml:space="preserve">ATGGCAAATACAGGGCCCCAATAGT</t>
  </si>
  <si>
    <t xml:space="preserve">S253-05</t>
  </si>
  <si>
    <t xml:space="preserve">Oprl1_B3_P1_05</t>
  </si>
  <si>
    <t xml:space="preserve">GTCCCTGCCTCTATATCTTTGATGATCAGAACCGGGATGATGAAG</t>
  </si>
  <si>
    <t xml:space="preserve">Oprl1_B3_P2_05</t>
  </si>
  <si>
    <t xml:space="preserve">TCGAATCATGAGGCTGTAGCAGACATTCCACTCAACTTTAACCCG</t>
  </si>
  <si>
    <t xml:space="preserve">B3_P1(Oprl1)_5</t>
  </si>
  <si>
    <t xml:space="preserve">B3_P2(Oprl1)_5</t>
  </si>
  <si>
    <t xml:space="preserve">GATGATCAGAACCGGGATGATGAAG</t>
  </si>
  <si>
    <t xml:space="preserve">TCGAATCATGAGGCTGTAGCAGACA</t>
  </si>
  <si>
    <t xml:space="preserve">S253-06</t>
  </si>
  <si>
    <t xml:space="preserve">Oprl1_B3_P1_06</t>
  </si>
  <si>
    <t xml:space="preserve">GTCCCTGCCTCTATATCTTTCCTTCTCTCGGGAGCCTGAAAGCAG</t>
  </si>
  <si>
    <t xml:space="preserve">Oprl1_B3_P2_06</t>
  </si>
  <si>
    <t xml:space="preserve">GCCGTGTGATGCGTCGCAGGTTCCGTTCCACTCAACTTTAACCCG</t>
  </si>
  <si>
    <t xml:space="preserve">B3_P1(Oprl1)_6</t>
  </si>
  <si>
    <t xml:space="preserve">B3_P2(Oprl1)_6</t>
  </si>
  <si>
    <t xml:space="preserve">CCTTCTCTCGGGAGCCTGAAAGCAG</t>
  </si>
  <si>
    <t xml:space="preserve">GCCGTGTGATGCGTCGCAGGTTCCG</t>
  </si>
  <si>
    <t xml:space="preserve">S254-01</t>
  </si>
  <si>
    <t xml:space="preserve">Oprm1_B3_P1_01</t>
  </si>
  <si>
    <t xml:space="preserve">GTCCCTGCCTCTATATCTTTTACACACACGATAGAATAGAGGGCC</t>
  </si>
  <si>
    <t xml:space="preserve">Oprm1_B3_P2_01</t>
  </si>
  <si>
    <t xml:space="preserve">GACCAGGAAGTTTCCAAAGAGGCCCTTCCACTCAACTTTAACCCG</t>
  </si>
  <si>
    <t xml:space="preserve">B3_P1(Oprm1)_1</t>
  </si>
  <si>
    <t xml:space="preserve">B3_P2(Oprm1_1</t>
  </si>
  <si>
    <t xml:space="preserve">TACACACACGATAGAATAGAGGGCC</t>
  </si>
  <si>
    <t xml:space="preserve">GACCAGGAAGTTTCCAAAGAGGCCC</t>
  </si>
  <si>
    <t xml:space="preserve">S254-02</t>
  </si>
  <si>
    <t xml:space="preserve">Oprm1_B3_P1_02</t>
  </si>
  <si>
    <t xml:space="preserve">GTCCCTGCCTCTATATCTTTTGGTGGCAGTCTTCATTTTGGTATA</t>
  </si>
  <si>
    <t xml:space="preserve">Oprm1_B3_P2_02</t>
  </si>
  <si>
    <t xml:space="preserve">CCAGAGCAAGGTTGAAAATGTAGATTTCCACTCAACTTTAACCCG</t>
  </si>
  <si>
    <t xml:space="preserve">B3_P1(Oprm1)_2</t>
  </si>
  <si>
    <t xml:space="preserve">B3_P2(Oprm1_2</t>
  </si>
  <si>
    <t xml:space="preserve">TGGTGGCAGTCTTCATTTTGGTATA</t>
  </si>
  <si>
    <t xml:space="preserve">CCAGAGCAAGGTTGAAAATGTAGAT</t>
  </si>
  <si>
    <t xml:space="preserve">S254-03</t>
  </si>
  <si>
    <t xml:space="preserve">Oprm1_B3_P1_03</t>
  </si>
  <si>
    <t xml:space="preserve">GTCCCTGCCTCTATATCTTTTTAACACTCTGAAAGGGCAGCGTGC</t>
  </si>
  <si>
    <t xml:space="preserve">Oprm1_B3_P2_03</t>
  </si>
  <si>
    <t xml:space="preserve">CCAAAGGGCCACGTTCCCATCAGGTTTCCACTCAACTTTAACCCG</t>
  </si>
  <si>
    <t xml:space="preserve">B3_P1(Oprm1)_3</t>
  </si>
  <si>
    <t xml:space="preserve">B3_P2(Oprm1_3</t>
  </si>
  <si>
    <t xml:space="preserve">TTAACACTCTGAAAGGGCAGCGTGC</t>
  </si>
  <si>
    <t xml:space="preserve">CCAAAGGGCCACGTTCCCATCAGGT</t>
  </si>
  <si>
    <t xml:space="preserve">S254-04</t>
  </si>
  <si>
    <t xml:space="preserve">Oprm1_B3_P1_04</t>
  </si>
  <si>
    <t xml:space="preserve">GTCCCTGCCTCTATATCTTTGTTGTAGTAGTCTATTGAGATCACG</t>
  </si>
  <si>
    <t xml:space="preserve">Oprm1_B3_P2_04</t>
  </si>
  <si>
    <t xml:space="preserve">GCAGAGGGTGAAGATACTGGTGAACTTCCACTCAACTTTAACCCG</t>
  </si>
  <si>
    <t xml:space="preserve">B3_P1(Oprm1)_4</t>
  </si>
  <si>
    <t xml:space="preserve">B3_P2(Oprm1_4</t>
  </si>
  <si>
    <t xml:space="preserve">GTTGTAGTAGTCTATTGAGATCACG</t>
  </si>
  <si>
    <t xml:space="preserve">GCAGAGGGTGAAGATACTGGTGAAC</t>
  </si>
  <si>
    <t xml:space="preserve">S254-05</t>
  </si>
  <si>
    <t xml:space="preserve">Oprm1_B3_P1_05</t>
  </si>
  <si>
    <t xml:space="preserve">GTCCCTGCCTCTATATCTTTTGACCGGGTGGCAGACGGCAATGTA</t>
  </si>
  <si>
    <t xml:space="preserve">Oprm1_B3_P2_05</t>
  </si>
  <si>
    <t xml:space="preserve">TTCGGGGGGTACGGAAATCCAGGGCTTCCACTCAACTTTAACCCG</t>
  </si>
  <si>
    <t xml:space="preserve">B3_P1(Oprm1)_5</t>
  </si>
  <si>
    <t xml:space="preserve">B3_P2(Oprm1_5</t>
  </si>
  <si>
    <t xml:space="preserve">TGACCGGGTGGCAGACGGCAATGTA</t>
  </si>
  <si>
    <t xml:space="preserve">TTCGGGGGGTACGGAAATCCAGGGC</t>
  </si>
  <si>
    <t xml:space="preserve">S254-06</t>
  </si>
  <si>
    <t xml:space="preserve">Oprm1_B3_P1_06</t>
  </si>
  <si>
    <t xml:space="preserve">GTCCCTGCCTCTATATCTTTGCAGAAGAGAGGATCCAGTTGCAGA</t>
  </si>
  <si>
    <t xml:space="preserve">Oprm1_B3_P2_06</t>
  </si>
  <si>
    <t xml:space="preserve">GCCATGAACATTACGGGCAGACCAATTCCACTCAACTTTAACCCG</t>
  </si>
  <si>
    <t xml:space="preserve">B3_P1(Oprm1)_6</t>
  </si>
  <si>
    <t xml:space="preserve">B3_P2(Oprm1_6</t>
  </si>
  <si>
    <t xml:space="preserve">GCAGAAGAGAGGATCCAGTTGCAGA</t>
  </si>
  <si>
    <t xml:space="preserve">GCCATGAACATTACGGGCAGACCAA</t>
  </si>
  <si>
    <t xml:space="preserve">S255-01</t>
  </si>
  <si>
    <t xml:space="preserve">Rgs16_B3_P1_01</t>
  </si>
  <si>
    <t xml:space="preserve">GTCCCTGCCTCTATATCTTTTCTTCTGAGAAGCTTCTCTCTTTGT</t>
  </si>
  <si>
    <t xml:space="preserve">Rgs16_B3_P2_01</t>
  </si>
  <si>
    <t xml:space="preserve">TCGAAAGACTCTCTCCATCCCAGTATTCCACTCAACTTTAACCCG</t>
  </si>
  <si>
    <t xml:space="preserve">B3_P1(Rgs16)_1</t>
  </si>
  <si>
    <t xml:space="preserve">B3_P2(Rgs16)_1</t>
  </si>
  <si>
    <t xml:space="preserve">TCTTCTGAGAAGCTTCTCTCTTTGT</t>
  </si>
  <si>
    <t xml:space="preserve">TCGAAAGACTCTCTCCATCCCAGTA</t>
  </si>
  <si>
    <t xml:space="preserve">S255-02</t>
  </si>
  <si>
    <t xml:space="preserve">Rgs16_B3_P1_02</t>
  </si>
  <si>
    <t xml:space="preserve">GTCCCTGCCTCTATATCTTTGGCATGGAAGGCAGCCACCCCATTT</t>
  </si>
  <si>
    <t xml:space="preserve">Rgs16_B3_P2_02</t>
  </si>
  <si>
    <t xml:space="preserve">CTCCTCACTGAATTCCGTCTTTAGGTTCCACTCAACTTTAACCCG</t>
  </si>
  <si>
    <t xml:space="preserve">B3_P1(Rgs16)_2</t>
  </si>
  <si>
    <t xml:space="preserve">B3_P2(Rgs16)_2</t>
  </si>
  <si>
    <t xml:space="preserve">GGCATGGAAGGCAGCCACCCCATTT</t>
  </si>
  <si>
    <t xml:space="preserve">CTCCTCACTGAATTCCGTCTTTAGG</t>
  </si>
  <si>
    <t xml:space="preserve">S255-03</t>
  </si>
  <si>
    <t xml:space="preserve">Rgs16_B3_P1_03</t>
  </si>
  <si>
    <t xml:space="preserve">GTCCCTGCCTCTATATCTTTGGATCTTCTTGAACTCCTCGCAGGC</t>
  </si>
  <si>
    <t xml:space="preserve">Rgs16_B3_P2_03</t>
  </si>
  <si>
    <t xml:space="preserve">CCCTGGACGCCAGTTTGGTGGCTGATTCCACTCAACTTTAACCCG</t>
  </si>
  <si>
    <t xml:space="preserve">B3_P1(Rgs16)_3</t>
  </si>
  <si>
    <t xml:space="preserve">B3_P2(Rgs16)_3</t>
  </si>
  <si>
    <t xml:space="preserve">GGATCTTCTTGAACTCCTCGCAGGC</t>
  </si>
  <si>
    <t xml:space="preserve">CCCTGGACGCCAGTTTGGTGGCTGA</t>
  </si>
  <si>
    <t xml:space="preserve">S255-04</t>
  </si>
  <si>
    <t xml:space="preserve">Rgs16_B3_P1_04</t>
  </si>
  <si>
    <t xml:space="preserve">GTCCCTGCCTCTATATCTTTTTAGGGGCTTCGCTGCGGATGTACT</t>
  </si>
  <si>
    <t xml:space="preserve">Rgs16_B3_P2_04</t>
  </si>
  <si>
    <t xml:space="preserve">CGGGTCTCGTGATCTATGTTCACCTTTCCACTCAACTTTAACCCG</t>
  </si>
  <si>
    <t xml:space="preserve">B3_P1(Rgs16)_4</t>
  </si>
  <si>
    <t xml:space="preserve">B3_P2(Rgs16)_4</t>
  </si>
  <si>
    <t xml:space="preserve">TTAGGGGCTTCGCTGCGGATGTACT</t>
  </si>
  <si>
    <t xml:space="preserve">CGGGTCTCGTGATCTATGTTCACCT</t>
  </si>
  <si>
    <t xml:space="preserve">S255-05</t>
  </si>
  <si>
    <t xml:space="preserve">Rgs16_B3_P1_05</t>
  </si>
  <si>
    <t xml:space="preserve">GTCCCTGCCTCTATATCTTTGCAACTGGTAGTGGCAGCTTGTAGG</t>
  </si>
  <si>
    <t xml:space="preserve">Rgs16_B3_P2_05</t>
  </si>
  <si>
    <t xml:space="preserve">GCGGGTCTTCCCCTGAGCCACATCGTTCCACTCAACTTTAACCCG</t>
  </si>
  <si>
    <t xml:space="preserve">B3_P1(Rgs16)_5</t>
  </si>
  <si>
    <t xml:space="preserve">B3_P2(Rgs16)_5</t>
  </si>
  <si>
    <t xml:space="preserve">GCAACTGGTAGTGGCAGCTTGTAGG</t>
  </si>
  <si>
    <t xml:space="preserve">GCGGGTCTTCCCCTGAGCCACATCG</t>
  </si>
  <si>
    <t xml:space="preserve">S255-06</t>
  </si>
  <si>
    <t xml:space="preserve">Rgs16_B3_P1_06</t>
  </si>
  <si>
    <t xml:space="preserve">GTCCCTGCCTCTATATCTTTGTGACTTGAGGAAGCGCGGATAGGA</t>
  </si>
  <si>
    <t xml:space="preserve">Rgs16_B3_P2_06</t>
  </si>
  <si>
    <t xml:space="preserve">CTTGGGCAGCCAGGTCGCGATAAGCTTCCACTCAACTTTAACCCG</t>
  </si>
  <si>
    <t xml:space="preserve">B3_P1(Rgs16)_6</t>
  </si>
  <si>
    <t xml:space="preserve">B3_P2(Rgs16)_6</t>
  </si>
  <si>
    <t xml:space="preserve">GTGACTTGAGGAAGCGCGGATAGGA</t>
  </si>
  <si>
    <t xml:space="preserve">CTTGGGCAGCCAGGTCGCGATAAGC</t>
  </si>
  <si>
    <t xml:space="preserve">S256-01</t>
  </si>
  <si>
    <t xml:space="preserve">Shox2_B3_P1_01</t>
  </si>
  <si>
    <t xml:space="preserve">GTCCCTGCCTCTATATCTTTGGGTCTCATCGAAAAGCCTCTCCAG</t>
  </si>
  <si>
    <t xml:space="preserve">Shox2_B3_P2_01</t>
  </si>
  <si>
    <t xml:space="preserve">CCTCGCGCATGAAAGCGTCTGGATATTCCACTCAACTTTAACCCG</t>
  </si>
  <si>
    <t xml:space="preserve">B3_P1(Shox2)_1</t>
  </si>
  <si>
    <t xml:space="preserve">B3_P2(Shox2)_1</t>
  </si>
  <si>
    <t xml:space="preserve">GGGTCTCATCGAAAAGCCTCTCCAG</t>
  </si>
  <si>
    <t xml:space="preserve">CCTCGCGCATGAAAGCGTCTGGATA</t>
  </si>
  <si>
    <t xml:space="preserve">S256-02</t>
  </si>
  <si>
    <t xml:space="preserve">Shox2_B3_P1_02</t>
  </si>
  <si>
    <t xml:space="preserve">GTCCCTGCCTCTATATCTTTACCTGTACTCGGGCCTCAGAGAGCC</t>
  </si>
  <si>
    <t xml:space="preserve">Shox2_B3_P2_02</t>
  </si>
  <si>
    <t xml:space="preserve">CACTTAGCTCTTCGATTTTGAAACCTTCCACTCAACTTTAACCCG</t>
  </si>
  <si>
    <t xml:space="preserve">B3_P1(Shox2)_2</t>
  </si>
  <si>
    <t xml:space="preserve">B3_P2(Shox2)_2</t>
  </si>
  <si>
    <t xml:space="preserve">ACCTGTACTCGGGCCTCAGAGAGCC</t>
  </si>
  <si>
    <t xml:space="preserve">CACTTAGCTCTTCGATTTTGAAACC</t>
  </si>
  <si>
    <t xml:space="preserve">S256-03</t>
  </si>
  <si>
    <t xml:space="preserve">Shox2_B3_P1_03</t>
  </si>
  <si>
    <t xml:space="preserve">GTCCCTGCCTCTATATCTTTTCCTATAAGGACACCTTTGTGAAGT</t>
  </si>
  <si>
    <t xml:space="preserve">Shox2_B3_P2_03</t>
  </si>
  <si>
    <t xml:space="preserve">TCTACAAGCTTCAAACTGGCTAGCGTTCCACTCAACTTTAACCCG</t>
  </si>
  <si>
    <t xml:space="preserve">B3_P1(Shox2)_3</t>
  </si>
  <si>
    <t xml:space="preserve">B3_P2(Shox2)_3</t>
  </si>
  <si>
    <t xml:space="preserve">TCCTATAAGGACACCTTTGTGAAGT</t>
  </si>
  <si>
    <t xml:space="preserve">TCTACAAGCTTCAAACTGGCTAGCG</t>
  </si>
  <si>
    <t xml:space="preserve">S256-04</t>
  </si>
  <si>
    <t xml:space="preserve">Shox2_B3_P1_04</t>
  </si>
  <si>
    <t xml:space="preserve">GTCCCTGCCTCTATATCTTTGAAATGGCATCCTTAAAGCACCTAC</t>
  </si>
  <si>
    <t xml:space="preserve">Shox2_B3_P2_04</t>
  </si>
  <si>
    <t xml:space="preserve">GCGTCACGTTGCAATGACTATCCTGTTCCACTCAACTTTAACCCG</t>
  </si>
  <si>
    <t xml:space="preserve">B3_P1(Shox2)_4</t>
  </si>
  <si>
    <t xml:space="preserve">B3_P2(Shox2)_4</t>
  </si>
  <si>
    <t xml:space="preserve">GAAATGGCATCCTTAAAGCACCTAC</t>
  </si>
  <si>
    <t xml:space="preserve">GCGTCACGTTGCAATGACTATCCTG</t>
  </si>
  <si>
    <t xml:space="preserve">S256-05</t>
  </si>
  <si>
    <t xml:space="preserve">Shox2_B3_P1_05</t>
  </si>
  <si>
    <t xml:space="preserve">GTCCCTGCCTCTATATCTTTGCGCTGTCCAGCTGCAGCTGCGCCT</t>
  </si>
  <si>
    <t xml:space="preserve">Shox2_B3_P2_05</t>
  </si>
  <si>
    <t xml:space="preserve">TGCAGGTGGTGGTGCGCGTGCGCCATTCCACTCAACTTTAACCCG</t>
  </si>
  <si>
    <t xml:space="preserve">B3_P1(Shox2)_5</t>
  </si>
  <si>
    <t xml:space="preserve">B3_P2(Shox2)_5</t>
  </si>
  <si>
    <t xml:space="preserve">GCGCTGTCCAGCTGCAGCTGCGCCT</t>
  </si>
  <si>
    <t xml:space="preserve">TGCAGGTGGTGGTGCGCGTGCGCCA</t>
  </si>
  <si>
    <t xml:space="preserve">S256-06</t>
  </si>
  <si>
    <t xml:space="preserve">Shox2_B3_P1_06</t>
  </si>
  <si>
    <t xml:space="preserve">GTCCCTGCCTCTATATCTTTTGCCGGGAACATCATGTAAGGCGCG</t>
  </si>
  <si>
    <t xml:space="preserve">Shox2_B3_P2_06</t>
  </si>
  <si>
    <t xml:space="preserve">CGTGGCCAGCGGCAGTCCGAAGGGCTTCCACTCAACTTTAACCCG</t>
  </si>
  <si>
    <t xml:space="preserve">B3_P1(Shox2)_6</t>
  </si>
  <si>
    <t xml:space="preserve">B3_P2(Shox2)_6</t>
  </si>
  <si>
    <t xml:space="preserve">TGCCGGGAACATCATGTAAGGCGCG</t>
  </si>
  <si>
    <t xml:space="preserve">CGTGGCCAGCGGCAGTCCGAAGGGC</t>
  </si>
  <si>
    <t xml:space="preserve">S257-01</t>
  </si>
  <si>
    <t xml:space="preserve">Six3_B3_P1_01</t>
  </si>
  <si>
    <t xml:space="preserve">GTCCCTGCCTCTATATCTTTCATGGACAACTCTTCCGGGGGGGCC</t>
  </si>
  <si>
    <t xml:space="preserve">Six3_B3_P2_01</t>
  </si>
  <si>
    <t xml:space="preserve">CGAGAAGTTGAGGGTGGGCAACTGGTTCCACTCAACTTTAACCCG</t>
  </si>
  <si>
    <t xml:space="preserve">B3_P1(Six3)_1</t>
  </si>
  <si>
    <t xml:space="preserve">B3_P2(Six3)_1</t>
  </si>
  <si>
    <t xml:space="preserve">CATGGACAACTCTTCCGGGGGGGCC</t>
  </si>
  <si>
    <t xml:space="preserve">CGAGAAGTTGAGGGTGGGCAACTGG</t>
  </si>
  <si>
    <t xml:space="preserve">S257-02</t>
  </si>
  <si>
    <t xml:space="preserve">Six3_B3_P1_02</t>
  </si>
  <si>
    <t xml:space="preserve">GTCCCTGCCTCTATATCTTTCCGTCTCCTCCAGCGTCTCGCAGAC</t>
  </si>
  <si>
    <t xml:space="preserve">Six3_B3_P2_02</t>
  </si>
  <si>
    <t xml:space="preserve">GGAAGCGGCCCAGCCGCTCGATGTCTTCCACTCAACTTTAACCCG</t>
  </si>
  <si>
    <t xml:space="preserve">B3_P1(Six3)_2</t>
  </si>
  <si>
    <t xml:space="preserve">B3_P2(Six3)_2</t>
  </si>
  <si>
    <t xml:space="preserve">CCGTCTCCTCCAGCGTCTCGCAGAC</t>
  </si>
  <si>
    <t xml:space="preserve">GGAAGCGGCCCAGCCGCTCGATGTC</t>
  </si>
  <si>
    <t xml:space="preserve">S257-03</t>
  </si>
  <si>
    <t xml:space="preserve">Six3_B3_P1_03</t>
  </si>
  <si>
    <t xml:space="preserve">GTCCCTGCCTCTATATCTTTTTGATGGCCTCGCACGCCCCGGGGG</t>
  </si>
  <si>
    <t xml:space="preserve">Six3_B3_P2_03</t>
  </si>
  <si>
    <t xml:space="preserve">CGCGCGCGCAGGATCGACTCGTGTTTTCCACTCAACTTTAACCCG</t>
  </si>
  <si>
    <t xml:space="preserve">B3_P1(Six3)_3</t>
  </si>
  <si>
    <t xml:space="preserve">B3_P2(Six3)_3</t>
  </si>
  <si>
    <t xml:space="preserve">TTGATGGCCTCGCACGCCCCGGGGG</t>
  </si>
  <si>
    <t xml:space="preserve">CGCGCGCGCAGGATCGACTCGTGTT</t>
  </si>
  <si>
    <t xml:space="preserve">S257-04</t>
  </si>
  <si>
    <t xml:space="preserve">Six3_B3_P1_04</t>
  </si>
  <si>
    <t xml:space="preserve">GTCCCTGCCTCTATATCTTTGTACAGGTCGCGGAAGTTGCCGGTG</t>
  </si>
  <si>
    <t xml:space="preserve">Six3_B3_P2_04</t>
  </si>
  <si>
    <t xml:space="preserve">AGTGAACTTGTGGTTCTCCAGGATGTTCCACTCAACTTTAACCCG</t>
  </si>
  <si>
    <t xml:space="preserve">B3_P1(Six3)_4</t>
  </si>
  <si>
    <t xml:space="preserve">B3_P2(Six3)_4</t>
  </si>
  <si>
    <t xml:space="preserve">GTACAGGTCGCGGAAGTTGCCGGTG</t>
  </si>
  <si>
    <t xml:space="preserve">AGTGAACTTGTGGTTCTCCAGGATG</t>
  </si>
  <si>
    <t xml:space="preserve">S257-05</t>
  </si>
  <si>
    <t xml:space="preserve">Six3_B3_P1_05</t>
  </si>
  <si>
    <t xml:space="preserve">GTCCCTGCCTCTATATCTTTGCGCCTCGAGCCACATGGCTTGCAG</t>
  </si>
  <si>
    <t xml:space="preserve">Six3_B3_P2_05</t>
  </si>
  <si>
    <t xml:space="preserve">CGCGCAGCTTCTCGGCCTCCTGGTATTCCACTCAACTTTAACCCG</t>
  </si>
  <si>
    <t xml:space="preserve">B3_P1(Six3)_5</t>
  </si>
  <si>
    <t xml:space="preserve">B3_P2(Six3)_5</t>
  </si>
  <si>
    <t xml:space="preserve">GCGCCTCGAGCCACATGGCTTGCAG</t>
  </si>
  <si>
    <t xml:space="preserve">CGCGCAGCTTCTCGGCCTCCTGGTA</t>
  </si>
  <si>
    <t xml:space="preserve">S257-06</t>
  </si>
  <si>
    <t xml:space="preserve">Six3_B3_P1_06</t>
  </si>
  <si>
    <t xml:space="preserve">GTCCCTGCCTCTATATCTTTTTCTTGCGCACGCGGTACTTGTCCA</t>
  </si>
  <si>
    <t xml:space="preserve">Six3_B3_P2_06</t>
  </si>
  <si>
    <t xml:space="preserve">TCCCAGATGGTGCGCGGCAGAGGGATTCCACTCAACTTTAACCCG</t>
  </si>
  <si>
    <t xml:space="preserve">B3_P1(Six3)_6</t>
  </si>
  <si>
    <t xml:space="preserve">B3_P2(Six3)_6</t>
  </si>
  <si>
    <t xml:space="preserve">TTCTTGCGCACGCGGTACTTGTCCA</t>
  </si>
  <si>
    <t xml:space="preserve">TCCCAGATGGTGCGCGGCAGAGGGA</t>
  </si>
  <si>
    <t xml:space="preserve">S258-01</t>
  </si>
  <si>
    <t xml:space="preserve">Tac1_B3_P1_01</t>
  </si>
  <si>
    <t xml:space="preserve">GTCCCTGCCTCTATATCTTTAAAGACCGCCACGGCCACGAGGATT</t>
  </si>
  <si>
    <t xml:space="preserve">Tac1_B3_P2_01</t>
  </si>
  <si>
    <t xml:space="preserve">TGCAAACAGTTGAGTGGAAACGAGATTCCACTCAACTTTAACCCG</t>
  </si>
  <si>
    <t xml:space="preserve">B3_P1(Tac1)_1</t>
  </si>
  <si>
    <t xml:space="preserve">B3_P2(Tac1)_1</t>
  </si>
  <si>
    <t xml:space="preserve">AAAGACCGCCACGGCCACGAGGATT</t>
  </si>
  <si>
    <t xml:space="preserve">TGCAAACAGTTGAGTGGAAACGAGA</t>
  </si>
  <si>
    <t xml:space="preserve">S258-02</t>
  </si>
  <si>
    <t xml:space="preserve">Tac1_B3_P1_02</t>
  </si>
  <si>
    <t xml:space="preserve">GTCCCTGCCTCTATATCTTTAGTCGGACCAATAATTTAGATCATC</t>
  </si>
  <si>
    <t xml:space="preserve">Tac1_B3_P2_02</t>
  </si>
  <si>
    <t xml:space="preserve">CCTCCTTGATCTGGTCACTGTCGGATTCCACTCAACTTTAACCCG</t>
  </si>
  <si>
    <t xml:space="preserve">B3_P1(Tac1)_2</t>
  </si>
  <si>
    <t xml:space="preserve">B3_P2(Tac1)_2</t>
  </si>
  <si>
    <t xml:space="preserve">AGTCGGACCAATAATTTAGATCATC</t>
  </si>
  <si>
    <t xml:space="preserve">CCTCCTTGATCTGGTCACTGTCGGA</t>
  </si>
  <si>
    <t xml:space="preserve">S258-03</t>
  </si>
  <si>
    <t xml:space="preserve">Tac1_B3_P1_03</t>
  </si>
  <si>
    <t xml:space="preserve">GTCCCTGCCTCTATATCTTTCGGGCGATTCTCTGCAGAAGATGCT</t>
  </si>
  <si>
    <t xml:space="preserve">Tac1_B3_P2_03</t>
  </si>
  <si>
    <t xml:space="preserve">CCAAAGAACTGCTGAGGCTTGGGTCTTCCACTCAACTTTAACCCG</t>
  </si>
  <si>
    <t xml:space="preserve">B3_P1(Tac1)_3</t>
  </si>
  <si>
    <t xml:space="preserve">B3_P2(Tac1)_3</t>
  </si>
  <si>
    <t xml:space="preserve">CGGGCGATTCTCTGCAGAAGATGCT</t>
  </si>
  <si>
    <t xml:space="preserve">CCAAAGAACTGCTGAGGCTTGGGTC</t>
  </si>
  <si>
    <t xml:space="preserve">S258-04</t>
  </si>
  <si>
    <t xml:space="preserve">Tac1_B3_P1_04</t>
  </si>
  <si>
    <t xml:space="preserve">GTCCCTGCCTCTATATCTTTGTGAGAGATCTGGCCATGTCCAGCA</t>
  </si>
  <si>
    <t xml:space="preserve">Tac1_B3_P2_04</t>
  </si>
  <si>
    <t xml:space="preserve">AACAAAGGAATCTGTTTTATGCCTTTTCCACTCAACTTTAACCCG</t>
  </si>
  <si>
    <t xml:space="preserve">B3_P1(Tac1)_4</t>
  </si>
  <si>
    <t xml:space="preserve">B3_P2(Tac1)_4</t>
  </si>
  <si>
    <t xml:space="preserve">GTGAGAGATCTGGCCATGTCCAGCA</t>
  </si>
  <si>
    <t xml:space="preserve">AACAAAGGAATCTGTTTTATGCCTT</t>
  </si>
  <si>
    <t xml:space="preserve">S258-05</t>
  </si>
  <si>
    <t xml:space="preserve">Tac1_B3_P1_05</t>
  </si>
  <si>
    <t xml:space="preserve">GTCCCTGCCTCTATATCTTTTTTCATAAGCCACAGAATTTAAAGC</t>
  </si>
  <si>
    <t xml:space="preserve">Tac1_B3_P2_05</t>
  </si>
  <si>
    <t xml:space="preserve">TTCTTTCGTAGTTCTGCATCGCGCTTTCCACTCAACTTTAACCCG</t>
  </si>
  <si>
    <t xml:space="preserve">B3_P1(Tac1)_5</t>
  </si>
  <si>
    <t xml:space="preserve">B3_P2(Tac1)_5</t>
  </si>
  <si>
    <t xml:space="preserve">TTTCATAAGCCACAGAATTTAAAGC</t>
  </si>
  <si>
    <t xml:space="preserve">TTCTTTCGTAGTTCTGCATCGCGCT</t>
  </si>
  <si>
    <t xml:space="preserve">Template_ID</t>
  </si>
  <si>
    <t xml:space="preserve">Header as written in source</t>
  </si>
  <si>
    <t xml:space="preserve">Source file</t>
  </si>
  <si>
    <t xml:space="preserve">Length (nt)</t>
  </si>
  <si>
    <t xml:space="preserve"># pairs assigned here</t>
  </si>
  <si>
    <t xml:space="preserve">Sequence (sense, 5′→3′)</t>
  </si>
  <si>
    <t xml:space="preserve">shaven partial mRNA:</t>
  </si>
  <si>
    <t xml:space="preserve">Anupama_scale</t>
  </si>
  <si>
    <t xml:space="preserve">ACGGTGGAGTCAACCAACTAGGCGGAGTGTTTGTGAATGGGCGACCGTTGCCCGACGTCGTGCGACAGCGGATAGTGGAGCTGGCGCACAGCGGCGTGCGGCCGTGCGACATCAGTCGACAACTACGCGTGTCGCACGGCTGCGTGTCGAAGATACTGTCGCGATACTACGAAACGGGGAGTTTCAAGGCTGGCGTGATAGGCGGGTCGAAGCCCAAGGTAGCGACCCCTCCTGTGGTGGACGCCATAGCTGCATACAAGCGAGAGAACCCCACGATGTTCGCCTGGGAGATCCGGGACAGATTGCTCAGCGAAGGCATTTGCAGCCAGGACAATGTACCCTCAGTATCTAGTATTAATAGGATCGTGCGGAACAAGGCGGCGGAGAAGGCGAAGCACGCGCACAACCAACAGCAGCAGCAAGAACAGGAGATCAGCTCGGCGCAGGGGAGCGTTGTTTCTGTGATAACCCATGCGGGCAACGCGCCTGGTGCCACAGCGGTGCTGACTCCCACCACGGAGCACGTGAACAACGCAGGCAGCTACAGTATCAACGGCATCCTGGGGATCGAGCAGGTGGACCAGCTTCACAACGGCAACCCGCTCAAGAGGAAGCGCCATGAGGACCAGGATGAGAACAGAGACTTCAACAGCCATTCGGAGGACGACGTCAAAAGACAAAGAAGTCATTACAATGGCGACCAAATATACTCCAACCTGTGGTCATCATCGAAGTGGAGCCTGAAGGACGAGTACAAGCTGCTGTCGGAGCTGGGCGGCGGCACGGGCTACTACGGCGAGCTGTTCGACGCGCCCTACGACCATCCCCACCACTACACCCCCCACTCCGCCACCAACGACTCGACGGGCTCCGCGCCGGCGGGCGGTGAGCCCCCGTCGGCGGCGGGCAGTCCCGACGCGGCCGCGCTCGTGGTGCTGCAGCCGCCCGCGCCGCCCTACCCGCCCTACGCGCACTACGACGGCACCGCCACTCTCGCAAGCGAATATGCCTACGCGGCCCCCTACTCGCAGTACTCCCCCTACGGCGGGCCGTACTCGCAC</t>
  </si>
  <si>
    <t xml:space="preserve">Senseless mRNA:</t>
  </si>
  <si>
    <t xml:space="preserve">ATGTCCCGCCACGTGCTTCTGTCCCGGCTGGCGGAGCACTTCCAGGCGGCTTCACCCCCCGGCCAGCGGTTCCCGTCGCCGGACAGGAGCGTGTCTCCCCACACGCCCACGTCGCCTCGCTCTCCCCCCCAGTCGCCGGACTCTCTCGCACAGCAGCGCTTGGACCTGCTGCAGCTGGGAGACATTGAGATTGCAGGCCGTGCTCTCAAACAGTACGCCAGGGCTACAGAGCTGGGAGCCTTAATGTACTGCAGCGGGCTGGGCGCACTGTACGGCGGCGCCGGAGTGTGGCCGCTACTGCTGCCGCAAGCGCCACACTTTGCGCCAAGTGATCACGCAAGACATACACCACCCCGAGACGATGATGAAGAAGAGTTACCATTAAACTTATCGACGAAAAATAGACAGATTTGGTCGCCGGGCAGTGCGTGTGAACGTGAGCAAATAGAAACTGAGAGAGAATCGCCAGCGTCGCGTTGGGACGACCGCGAAGATCTAGAACCCCTCGAGCTCGTGAAGAGATGCCGCAGCAGCTCTGATGATGACAGGCTCTCCAGCTCCGAGTCCCGACGCTGTCCGTCAGAGCCGTCCTTCAACACCTACCTACCACCGCCGCCTCAGCCAGACATGAACTTTTCACTCCTTCTCAAGAATGAAAACAAAAATGAAAAATCCTTTCAGTGCAAGCAATGCGGCAAATGCTTCAAGCGCTCCAGCACGCTGTCCACGCATCTGCTCATCCACTCCGACACCAGGCCCTACCCGTGCCAGTACTGCGGGAAACGATTCCACCAGAAGTCCGATATGAAGAAGCACACCTACATACACACAGGTGAAAAGCCGCATAAATGCGTCGTATGCTCTAAAGCCTTCAGCCAAAGTTCGAATCTGATCACGCATATGCGGAAGCACACCGGTTACAAGCCTTTTTCATGCGGGCTATGCGAAAAGGCATTCCAACGTAAAGTTGATCTCCGACGTCACAGGGAGTCCCAGCATGCGGAGGTGGACTCCCCGGCCTGCCCCACCCTACCACGTCACCGCTATACATACTACGGCGAGGAACAAGCTCCGTTAACTCCACTTATCTCTAACTGA</t>
  </si>
  <si>
    <t xml:space="preserve">HR38 partial mRNA:</t>
  </si>
  <si>
    <t xml:space="preserve">CACCAAGGACATGCATCAACACAGCTATTGTATCAATATCATCAACCTGCATTACCTTACGTTCCATCACCCTACTACGCACCCGCTCAGCCGTGCTCCCCGACATTTGATACCGGTGGCGTGACAAATGCGCAAGAAGCATATTCATTGCCACCATTTCCCAGTTCAGTGGATCTACATATATCTTCCGACCAAGGAGCTAGGCAACGAAGATCGTCCTTGCCGGTTCAGAGATCAGAGTCTAGTAGTTCTAACGACAGTCCCAAATTACACGGCAGCAGAATACACTGTATGCAAGCGTCAGCGCCGAGCTCCGCGTCGAGCTCGCCTGGTGGACCTCAGCAAGACAACTCCGGTTCTCGGGCAGCTCCACCATCACCGAGTCAACTCTGTGCTGTTTGTGGAGATACGGCTGCATGTCAACATTACGGAGTGCGAACTTGTGAAGGGTGCAAAGGATTTTTCAAAAGAACTGTCCAAAAAGGTTCTAAATATGTTTGCTTAGCTGAAAAATCGTGTCCAGTGGATAAGAGAAGAAGAAACAGGTGTCAATTTTGTCGGTTTCAGAAGTGTCTTGCTGTAGGAATGGTGAAAGAGGTCGTGCGGACCGATTCGCTTAAAGGGAGACGAGGGAGATTACCGTCAAAACCAAAATGTCCGCAAGAATCACCACCGAGTCCGCCAATCTCTTTAATAACGGCATTAGTCAGAGCGCATGTCGACACGTCTCCTGATTTTGGCAATCTTGATTATTCACAATACAGAGAGCCGAACCCGATGGAAGTACCTATATCGGATTTAGAAGTGATCCAACAATTTTATTCGTTATTGACAACGTCTATCGATATGATAAAAATATTTGCGGAGAAAGTCCCTGGCTTCGGCGAACTTTGCCCTGAAGACCGAGAACAACTGTTCGCATCGGCACGGCTGGAATTGTTCGTCTTGCGTCTCGCCTATCGCACTCGCCCGGAGGACACTAAGCTCACTTTCTGCAATGGATTGGTTCTCGATAAACGACAGTGTCAAAGATCTTTTGGAGACTGGTTGCACGCTGTCCTTGATTTTAGTAATACACTGCACTCTATGGATATTGACATCTCTACTTTTGCCTGCCTGTGTGCATTGGCTCTTATAACAGAGAGACATGGTCTAAAGGAGCCGCACCGAGTTGAGCAGTTGCAAATGAAGATCATCGGATGTCTGCGCGCGCACATGCCCTGCGGCGGCAACACCAACGCCGCCGGGGCGCCGCACTTCAGCCGAGTCCTAGGCGCGCTGCCGGAGCTGCGGTCCCTCTCCGTGCAAGGGCTCCAGCGAATCTTCTACCTGAAGCTCGAGGACTTAGTGCCCGCGCCTCCTCTCATCGAGAACATGTTTCGCGCCAGCCTGCCGTTCTAA</t>
  </si>
  <si>
    <t xml:space="preserve">cut partial mRNA:</t>
  </si>
  <si>
    <t xml:space="preserve">GAAGCGCCTTCTCCTTAGTTAGGCCAAAACTGGAACCCGGCCAGCAGTCGACCGGATCTTCGGCGTCGAGTCCACTCGGCAACGCAATTCTTCCTCCCGCGATAACTCCAAACGAAGACTTCAGTAGTTCTGCTGCAGCCAGTCCCTTGCAACGAATGGCTTCAATAACGAATAGTTTAATTTCCCAACCACCGAACCCACCTCACCATTCGACGCCGCAGAGATCGATGAAAGCGGTCCTCCCGCCTATCACGCAGCAACAATTCGATCTCTTTAATAATTTAAATACGGAAGACATCGTTAAGAGGGTCAAGGAAGCTTTAAGCCAGTACTCGATCAGCCAAAGATTGTTCGGTGAATCTGTTCTCGGACTGTCACAAGGTTCCGTGAGCGATTTGCTCGCCCGACCGAAACCGTGGCACATGCTCACGCAAAAAGGAAGAGAACCCTTCATCAGAATGAAAATGTTCTTGGAGGACGACAACGCTGTTCACAAACTGGTAGCATCGCAGTACAAAATCGCCCCTGAAAAACTTATGAGGACTGGAAACTACAGCGGAGTACCTCAATGTCCGCCAAACATGACCAAGCCCATACCACCGACTCAAAAAATGATCTCAGATGCGACATCATTGCTGAGCAAGATGCAGCACGAACAACTCCTCGGGCCCGGCCACCTCGGCCACCTGGGGCCCCCCACGCCACTGCTGCTCACGCCGCCGGGCTTCCCCCCGCACCACGCCGTCACGCTGCCCCCGCAACTCCACGACAACAACAACAAAGAGCGGAAGCCGCCGCAGCACCCGTCCCAACCGCACCACCAACCGCACCACCAGCCCATCGCGATGAGAGGCCTGCACCAACACATGTCTCCCAGCGTTTACGAAATGGCTGCACTGACGCAGGACTTGGATACGCAGACAATTACGACAAAAATAAAGGAGGCGTTACTGGCAAACAACATCGGCCAGAAAATATTCGGCGAAGCCGTGCTCGGCTTGTCACAGGGGTCGGTGAGTGAACTCTTGTCGAAGCCTAAACCGTGGCACATGCTCAGCATTAAAGGTAGAGAACCGTTCATTAGAATGCAATTGTGGCTGAGCGACACTCACAACATCGACCGTCTACAAGCATTAAAAAACGAGAGGCGAGAAGCCAACAAGAGAAGAAGATCGAGCGGCCCCGGCCAGGACAACTCCTCGGATACTTCGTCCAATGACACGTCGGAGTTCTATCACTCGAGCTCTCCAGGGCCTACGTCCGGAGTGCCTTCTGCCAAAAAACAACGCGTGTTATTCTCTGAAGAACAAAAAGAAGCTCTGAGGCTGGCGTTCGCCCTCGATCCTTACCCGAACATGCCGACGATAGAGTTTCTAGCGGCAGAGTTGGGTCTATCCACGAGAACTATAACGAATTGGTTTCACAACCACAGAATGCGGCTAAAACAGCAGGCGCCGCACGGTCTCCCGGCCGAACCTCCCGCGCGCGACCAATCTACCGCTCCCTTCGATCCCGTGCAGTTTAGACTCCTCTTGAACCAGAGGCTCCTCGAGCTGCAAAAGGAAAGAATGGGACTAGCGGGTGTACCGCTACCTTACCCTCCCTACTTCGCGGCGAATTCTAACTTCGCCGCCCTGATAGGTCGGGGTCTGCTGCCTCCCGACGAGAGGGTGAAGAACCCGACCGGCGGGCTGGACCTGTCTATGCCGCTGAAGCGGGAGCCCGACGGGGACGACTTCGAGGACGACGACGTCGAGAGCAACCTCGGCTCGGAGGACTCGCTCGACGACGAATCCAAGACTGAGCCGAAGACGGCGTCGACACCCGCGGGCCGCTCGAGCCGGCGCAAGCCGGCGGCGCCGCAGTGGGTGAACCCCGACTGGCAGGACGAGAAGCCGCGCAACCCCGACGAGGTGATCATCAACGGCGTGTGCGTGATGCGCAGCGACGACTTCCGGCGCGAGGCGGA</t>
  </si>
  <si>
    <t xml:space="preserve">Sequence of decapentaplegic used for in-situ hybridization.</t>
  </si>
  <si>
    <t xml:space="preserve">GTTCTTCAACGTAAGCGGCGTACCGGCCGACGAGGTGGCGCGCGGCGCCGACCTCTCGTTCCAACGAGCCGTCGGCACCACCGGCAGACAGAGACTGTTGTTGTACGACGTGGTGCGCCCTGGCCGCCGCGGCCACTCCGAGCCGATCCTGCGGCTGCTGGACTCCGTTCCGCTCCGGCCCGGGGAGGGAATCGTCAACGCCGACGCTCTGGGAGCGGCGCGACGGTGGCTCAAAGAGCCCAAACATAATCACGGACTATTAGTGCGAGTGTTAGAAGAAGACGCCGCGAGTGCGAGCAGGGACGCGAAGTTCCCGCACGTGCGCGTGCGCAGACGCGTCACGGACGAGGAGGAGGAGTGGCGGACGGCGCAGCCGCTGCTCATGCTGTACACGGAGGACGAGCGCGCGCGCGCGTCGCGGGAGACGAGCGAGCGGCTGACGCGCAGCAAGCGCGCGGCGCAGCGGCGGGGGCACCGCGCGCACCACCGCCGCAAGGAGGCGCGCGAGATCTGCCAGCGCCGCCCGCTGTTCGTCGACTTCGCGGACGTGGGCTGGAGCGACTGGATCGTGGCCCCGCACGGCTACGACGCGTACTACTGCCAGGGCGACTGCCCCTTCCCGCTGCCGGACCACCTCAACGGCACGAACCACGCGATAGTGCAGACTCTGGTCAACTCAGTGAACCCCGCGACGGTGCCCAAAGCGTGCTGCGTGCCGACGCAACTCTCATCTATATCTATGTTATATATGGACGAAGTGAACAATGTGGTGCTTAAAAACTATCAGGACATGATGGTGGTAGGCTGTGG</t>
  </si>
  <si>
    <t xml:space="preserve">&gt;BANY.1.2.t03754_wg</t>
  </si>
  <si>
    <t xml:space="preserve">ATGGACTTCCAAACACTACGGTCTCGCGCCACCAGCATCCAGCAGCTGGATTTTGTCAGTCCAGCTAGGAAGGGGGGCATAGCAAAGGCAGGCGAACCAAATAACTTATCACCCTTGTCTCCAAGTGTCCTATACATGGACCCGGCTGTTCACGCCACCTTGAGGAGGAAACAGAGAAGGCTAGCGAGGGAGAACCCTGGGGTCCTCGCAGCAATATCCAAGGGAGCCAGCATGGCTGTGGCCGAATGCCAGCATCAGTTCAAATACAGGAGATGGAACTGTTCTACAAGAAATTTTTTGCGAGGGAAGAATCTATTTGGAAAAATTGTTGACAGAGTTTCGCCGGACAAAGCCCCCCCGGCCGGGGCGGCTATAATTACTAATATACACGTCGACACGCCATTGACGATTGACGCGACATCTTCATTTCATTGTGGTGTAAACCTCAAGGATCGCATTAACACGGACGATGACAACGGCACAATAGTGCTATCTTTATAG</t>
  </si>
  <si>
    <t xml:space="preserve">T007</t>
  </si>
  <si>
    <t xml:space="preserve">&gt;BANY_wg_NCBI</t>
  </si>
  <si>
    <t xml:space="preserve">ATGTCGGGTCCGCCCATAATGAAGTGGTTGTGCTTGTTTGTGCTGTTTCTGTGTATGAGGTGCGAGGCCAACAAGCCGAGGCGAGGCCGAGGCAGCATGTGGTGGGGCATAGCAAAGGCAGGCGAACCAAATAACTTATCACCCTTGTCTCCAAGTGTCCTATACATGGACCCGGCTGTTCACGCCACCTTGAGGAGGAAACAGAGAAGGCTAGCGAGGGAGAACCCTGGGGTCCTCGCAGCAATATCCAAGGGAGCCAGCATGGCTGTGGCCGAATGCCAGCATCAGTTCAAATACAGGAGATGGAACTGTTCTACAAGAAATTTTTTGCGAGGGAAGAATCTATTTGGAAAAATTGTTGACAGAGGTTGCCGTGAAACCGCCTTCATCTACGCCATCACAAGCGCAGGGGTGACGCACGCGGTGTCGCGCGCATGCGCCGAAGGCTCCATCGAGTCCTGCACGTGCGACTATTCCCATGTGGACCGCTCGCCGCACCGCGCGCGCGCCGCCGCCGCCGCCAACGTGAGGGTCTGGAAATGGGGCGGCTGCAGCGACAACATCGGCTTCGGCTTCAAGTTCAGCCGAGAGTTCGTTGACACCGGGGAAAGGGGCAAGACGCTTAGGGAGAAGATGAACTTGCACAACAATGAGGCCGGCAGGATGCACGTGCAAACGGAGATGCGCCAGGAGTGCAAGTGCCACGGTATGTCTGGGTCCTGCACGGTGAAGACGTGCTGGATGAGGCTGCCGACGTTCCGGTCTGTAGGCGACGCCCTGAAAGACAGCTTCGACGGGGCGTCGCGGGTCATGATGCCCAATACCGAGGTGGAGGCGCCGTCGCAGAGGAACGACGCCGCACCTCACAGGGTCCCGCGCCGTGACCGCTACAGGTTCCAACTTCGGCCGCACAACCCTGACCACAAAACACCCGGGGTCAAGGACCTTGTATACTTGGAATCTTCACCAGGTTTCTGCGAAAAGAACCCCAGACTGGGCATCCCGGGTACGCACGGGCGTGCCTGCAACGACACTAGCATCGGCGTCGACGGTTGCGACCTGATGTGCTGCGGGCGCGGCTACCGGACCGAGACCATGTTCGTAGTGGAACGATGCAACTGCACGTTCCACTGGTGCTGCGAGGTCAAATGCAAATTGTGTCGCACGGAAAAGGTAGTTAACACGTGTTTATAG</t>
  </si>
  <si>
    <t xml:space="preserve">T008</t>
  </si>
  <si>
    <t xml:space="preserve">&gt;wg_insitu</t>
  </si>
  <si>
    <t xml:space="preserve">CAGCAGCTGGATTTTGTCAGTCCAGCTAGGAAGGGGGGCATAGCAAAGGCAGGCGAACCAAATAACTTATCACCCTTGTCTCCAAGTGTCCTATACATGGACCCGGCTGTTCACGCCACCTTGAGGAGGAAACAGAGAAGGCTAGCGAGGGAGAACCCTGGGGTCCTCGCAGCAATATCCAAGGGAGCCAGCATGGCTGTGGCCGAATGCCAGCATCAGTTCAAATACAGGAGATGGAACTGTTCTACAAGAAATTTTTTGCGAGGGAAGAATCTATTTGGAAAAATTGTTGACAGAGTTTCGCCGGACAAAGCCCCCCCGGCCGGGGCGGCTATAATTACTAATATACACGTCGACACGCCATTGACGATTGACGCGACATCTTCATTTCATTGTGGTGTAAACCTCAAGGATCGCATTAACACGGACGATGACAACGGCACAATA</t>
  </si>
  <si>
    <t xml:space="preserve">Sequence of engrailed used for in-situ hybridization (628 bps)</t>
  </si>
  <si>
    <t xml:space="preserve">TTGAAGACCGTTGCAGTCCGAACCAGGCCAACAGCCCCGGTCCGGTCACCGGCAGAGTCCCTGCGCCTCACTCCGAAGTAAGAAACGNGTACCAAAGTCAATACACTTGCACGACTATCGATCAAAGGTTTGACAGAACGATGACAGTGGTGAAAGTGCAGCCGAATTCACCACCGATGAGTCCACTGACGTGAAGCCCATAATCCCTGAGTTTGAAGACAAGAGAAACCGACAACCACCACCAACCATACCCTTCTCTATCAGCAACATATTACACCCAGAATTCGGTTTGACAGCGATTCGAAAAACGAACAAAATCGAAGGACCAAAACACGTCGGCCCCAACCACAGCATTTTGTACAAACCTTATTTGTCGAACGAGTTATCGAGTTCGAAATTCAATTTCGATTATTTAAAATCTAAGGATGATTTCGGTGCATTACCTCCACTTGGCGGTTTGAGGCAGACCGTGTCGAATATTGGAGAACAGAAGGAGGCACCAAAGATTATAGAGCAGCAGAAGAGGCCAGATTCAGCCAGCTCTATTGTCTCTTCCACATCTAGCGGGGCTTTATCGACGTGTGGCAGCACTGACGCCAACAGCAGTCAAAGCGGGAACAGCAATCTA</t>
  </si>
  <si>
    <t xml:space="preserve">Sequence of invected-like used for in-situ hybridization (182 bps)</t>
  </si>
  <si>
    <t xml:space="preserve">CAGTAGGTAATCACACAGACTCGTACATACACAATACTTTGTTTTTTTTTATTTGATTCGTTATTTATTAATACATCGCCATAATAAAGCGCGAATGTCTTTTTAGAAAGTATGTTGCTCATAGTGATTTTCTATACCTATATAAAACAAAAGTAAATAAATCCCAATTCTTTCAATAGGTG</t>
  </si>
  <si>
    <t xml:space="preserve">Sequence of invected used for in-situ hybridization (873 bps)</t>
  </si>
  <si>
    <t xml:space="preserve">GGACCAAAGTGACGAAGAGCACGACCCCTACTCGCCCAACACTAGAGACACCATCACACCAGACTTCATAGAAGAAGACAAACAAGACAGGCCTATACACACATCCTCTTTCTCCATACACAATGTCCTTAAGAAGGAAAGAGACAGTAATAGTCCTGAGAACGTCTTCTCAACTGAAAAGTTGTTGCAAAGTACACCGAACTTTGAAGATTCTAGGAACTCTGAAAGCGTTAGTCCGAGACTTGAAGATGATCACAATGAAAGAGCTGATATAAGTGTTGATGACAACTCTTGTTGTAGTGATGATACTGTGCTATCTGTTGGCAATGAAGCCTTACCAACCAATTACCCAAACGACAAAGATCCGAACCAAGGCTTAACCTCCTTCAAACATATACAAACTCATTTGAACGCAATATCACAGTTAAGTCAAAATTTAAACATAAACCAACCAATCCTCCTACGACCCAACCCAATAACACCAAACCCGTTAATGTTCCTAAACCAACCGTTGTTATTCCAAAACCCTTTAATAAACCAAGTGGATTTAAAATCAGGGTTACCGAGAATCGGCTTGCAGCAAAACAATTTAAATTTGAACCAAAATTACATGAATTATGCGAGAAAAAATGAACTGAACGAAAGACGACAGAGTTATTCACCGAAGTTACATGAAAATGAGTCAAGTAGAGATTTTATTAACCAAGGATGTTTGAAATTTAGCATTGATAATATACTGAAAGCTGATTTTGGTAGACGAATTACTGATCCGTTGACAAAGAGAAAAACGAAGACGAGGCAGTATGAGGCAAAATCTACCCCTGTCAAAGAGGTTCAGTCTCCCCCTAAAGAGGTAGAGGCTAGAGTGCCGGA</t>
  </si>
  <si>
    <t xml:space="preserve">&gt;BANY.1.2.t12446 bicyclus_anynana_v1x2_core_27_80_2 cds</t>
  </si>
  <si>
    <t xml:space="preserve">ATGCATCATCTCGAGAATTTCTCAATAAGCCGTGGTGCCTGTGGGGCCGACGCGGGCGCCGCCCCGCGGCGAGTCGGTGGCGCCTCTATCGATTATTCGGGCCTCTCGGTCGCGCGTAGCGCCGCGTCCCGCTCGCGCCGCGCGGGTGGCGCCCGCCGCGTCATGCGCGACCACCGCGCGACTGGCGCGACCTCGCGCGAGCCGCTCTCGGGCTATATCATTAATCTATTACTCCGGGAAGGTGGGCTCGTACGTAAGGAGCTCATCTATAGCCAAAGTCAACGGATGTTGTCAAAGTTGCTGTGGCCAAACCCAGTGCCTAGTCCGCCCAGAGACCCCCACTCAGATCATTTGACGATCCTGAACTCGATGCACAAGTACCAGCCACGGTTCCACCTGGTGCGAGCCAACGACATCCTCAAGCTGCCCTACTCCACCTTCCGCACCTACGTATTCAAGGAGACCGAGTTCATCGCCGTCACCGCCTACCAGAACGAGAAGATAACGCAGCTGAAAATCGACAACAACCCCTTCGCGAAAGGCTTCCGAGACACGGGGGCGGGGAAGCGGGAGAAGAATCTGTCCGTGTACCGCAGGCAGGCGCTGCTGACGGCGCGGTCGGACGCCCGCGAGGACGACGACGAACGTCCACTAGACGTTGGCGGACCCTCCAGCCCGCCGCCGCCCGCGACGCAACACACGAGCAGCTCGTGGTTCAGTTCGAGTGGAGGCGGCGCGGACTCCGGTCCAGAGGAAGCCGGCTCGGACTCGTCGTGCTCCGGCCCCGCGCGCGCTCCCTCGCCCCCCGCCGGGCCCTCGCGGCCTTCTCCCGCCCCTGACGTGTCTCTCGGCCCGCCGGTGCAGCCCCCCCTCCTGCCCTACCTGTACCCGCCTTCGCTGTACCCGCCACCGTTCTTCCCGCCACACCAAATGCCGCCAGGTCTGTTGTTCAACCTGCATCCCCTCCTGCAGCAGTACTCGTTGCCCCCTCCCCTCGCGCCGCCGACCCCCACGTCCGCGCCTTCTCTGAGCAAGACGCACAGGTTCGCGCCGTACGCGCTGCCCGGGTTAGGGTCTGCGTTCGAGCAGGTCGCGCCCAGAGCGAGGAGCCTCAGTTCGTCGCCGGCGCGGCCGCGGGTGGGGTCGCCTCCCACGAGAGCGGCGTCAGCGGACCCCCCGCCGGACGCGCCGACGTCGACCACCTCCGCCGCGACCCCTCCCGCGTCCGACCTCAAGAGCATCGAGCGTATGGTCAACGGCTTGGACGTGGAGACGCAGGACTGA</t>
  </si>
  <si>
    <t xml:space="preserve">&gt;WntA_CDS_Bicyclus</t>
  </si>
  <si>
    <t xml:space="preserve">ATGGATGACATAAACAAGATCCCTTCCCCCCATAAACAAGTTGAATGCGCTTCCCCGATGCCGCAGTCTCTGCACGTGCGGCACTCAAGGAATTTAGCAGCACCGAATAGGCCTGTACAATCGTCTAACACCTCTGTGGAAACCTTTACAATACTGCACAAAGAAAGCTGCCATAGATTAGAGTATCTCGTCGAACGACAAAAGCAATTATGTATGCTTTCTGATAAAATGGTACAGGTGATACAAACAGGAGCGCAACAGGCAATTGATGAATGTCAGCATCAATTTCGGAATAGCCGTTGGAACTGTAGTACCGTCGACAATTCCACTGATATATTCGGCGGAGTGCTAAAATTTAAATCTCGCGAGTCTGCATTCGTCCACGCTCTGTCAGCAGCAGCATTGGCTCACACAGTTGCTCGCGCGTGCAGTCGGGGCGAACTAAACGAGTGTTCCTGTGACGCTCGTGTTAGAAAGCGAACGCCGCGGCATTGGCAGTGGGGTGGTTGTTCTGAGGATATAAGATATGGAGAAAAGTTCAGTCGTGACTTTGTAGATGCTAAAGAAGACAAGGATAATGATGAAGGTCTCATGAACTTACATAACAATGAAGCTGGCCGCAGAGCAGTCCGCGGCAGGATGCAGCGCGTGTGCAAATGCCACGGCATGTCGGGCTCGTGCTCCGTGCGCGTGTGCTGGCGCCGCCTGCCGCAGCTGCGGCTGGTGGGCGACGTGCTGAGCACCAGATACGAGGGCGCCTCTCATGTTAAGGTTGTAGAGAGGAAGAGAGGCAAGAATATAAGAAAACTGCGACCGCTGCATCCTGATATAAAGAAACCGAACAAAACCGATCTAGTCTATCTCGAGGACTCTCCCGATTACTGTGAACCGAACGACGAGTAA</t>
  </si>
  <si>
    <t xml:space="preserve">&gt;Wnt5_Bicyclus_BANY.1.2.t00712</t>
  </si>
  <si>
    <t xml:space="preserve">ATGGGCCTCATAGAGTTCAAGGAATGGTCGAATCAGACGGTGGTATTCTCCGGAAAATCACGGGTGTGTGCCCACCTGCGCGGCCTGACTCCGGGCCAGCGGCGCGTGTGCCGCCGACACAAGGACCACATGCCGGCGGTCGGCGACGGCGTGCTGCGCGGCATCAGGGAGTGCCAGCACCAGTTCCGGCACAAGCGGTGGAACTGCACCGTCACTGCTGACGAAACTGTCTTTGGGCCCTTGACATTGATTGCGTCAAGAGAAACCGCGTTCACCCACGCGATCACAGCGGCGGGCGTGTCTCTGGAGATCAGCCGCGCGTGTCGCGACGGACGGCTGGCGTCGTGCGGTTGCAGCCGCGCGGCTCGCCCGCGGCATTTGCACTCCGACTGGGTGTGGGGCGGCTGTGGGGACAACCTCGAGTATGGATACAAATTCACGGAAGGTTTCGTGGACATTCGGGAAAGGGAACGCAAAGTGAAAAGAGGCAGCCGCGAACAGGGCAGGCAGCTTATGAATAGACACAACAATGAAGCTGGCAGGCGGGCTGTCATAAAGAAGTCGCGAGTCACGTGCAAGTGCCACGGCGTGTCCGGCTCCTGCAGCCTCATCACCTGCTGGCAACAGTTGGCCACATTCAGAGAGATCGGAGACTATCTACGCGATAAATATGAAGGTGCCACGGAGGTGAAGGTGTCTCGACGTGGAAAACTGAGGCTGAGCAACCCAAACTACAGTCTACCCACTGCGCAAGATCTCGTATATTTGGAGGACTCACCAAATTACTGCATTCGAAATATTTCTTTGGGTGCACCTGGAACAATGGGCAGAGAGTGCAACAAAACTTCAGCAGGCATTGACGGGTGCTCACTAATGTGCTGCGGACGGGGCTACAACACCAAGAAGATTGTAGTTAAAGAGAGATGCGAGTGCAAGTTCCACTGGTGCTGCCGTGTGGATTGCAATACTTGTGTTACCACTATGGAAGTGTATACTTGTAAATAA</t>
  </si>
  <si>
    <t xml:space="preserve">&gt;BANY.1.2.t03758_Wnt4</t>
  </si>
  <si>
    <t xml:space="preserve">ATGATGATATTAATTTATTTGTTTGTCATAGGTTGCCGTGAAACCGCCTTCATCTACGCCATCACAAGCGCAGGGGTGACGCACGCGGTGTCGCGCGCATGCGCCGAAGGCTCCATCGAGTCCTGCACGGTCTGGAAATGGGGCGGCTGCAGCGACAACATCGGCTTCGGCTTCAAGTTCAGCCGAGAGTTCGTTGACACCGGGGAAAGGGGCAAGACGCTTAGGGAGAAGATGAACTTGCACAACAATGAGGCCGGCAGGATGCACGTGCAAACGGAGATGCGCCAGGAGTGCAAGTGCCACGGTATGTCTGGGTCCTGCACGGTGAAGACGTGCTGGATGAGGCTGCCGACGTTCCGGTCTGTAGGCGACGCCCTGAAAGACAGCTTCGACGGGGCGTCGCGGGTCATGATGCCCAATACCGAGGTGGAGGCGCCGTCGCAGAGGAACGACGCCGCACCTCACAGGGTCCCGCGCCGTGACCGCTACAGGTTCCAACTTCGGCCGCACAACCCTGACCACAAAACACCCGGGGTCAAGGACCTTGTATACTTGGAATCTTCACCAGGTTTCTGCGAAAAGAACCCCAGACTGGGCATCCCGGGTACGCACGGGCGTGCCTGCAACGACACTAGCATCGGCGTCGACGGTTGCGACCTGATGTGCTGCGGGCGCGGCTACCGGACCGAGACCATGTTCGTAGTGGAACGATGCAACTGCACGTTCCACTGGTGCTGCGAGGTCAAATGCAAATTGTGTCGCACGGAAAAGGTAGTTAACACGTGTTTATAG</t>
  </si>
  <si>
    <t xml:space="preserve">&gt;Aristaless</t>
  </si>
  <si>
    <t xml:space="preserve">ATGGGAGTATCAGAACCAAACTGCTCCTCAACTCCCGACCTTCCCCCTCACGACCCGGAGCGACCCGGTTCAGGCAGCGGCATGGATGACGAGGACATTCCCAGAAGGAAGCAGAGGCGGTATAGGACCACCTTCACTAGCTACCAGCTCGACGAACTGGAGAAGGCTTTTGGGAGGACGCATTATCCTGATGTATTTACCAGGGAGGAGTTAGCTTTGAAAATTGGCCTCACAGAAGCAAGAATACAGGTGTGGTTCCAAAACCGGCGGGCGAAATGGCGTAAGCAGGAGAAGGTGGGGCCCCATGCACATCCGTATAGCGGATACTTAAGCAGCGGGCAGCCATTACCGACTACATCTATGCCAGTTCCACCGCATTCGTTCAGTCAGCTCGGATTTGGATTGAGAAAGCCTTTTGACAACGCTCTAGCGTCTTTCAGGTACGCCAACAGTCCTCTGTTTGGAGCACAGTACCTTCCGCCGCTTTCTCGTCCTCCACTTTTCGGGGCTCCACTATACGCTACATCGCCCGCTCATTTCCACTCTCTGTTCGCCAATCTAACCGTACCCGAACTACCTCGAATTTCACCTGAACAATCACGATTGTCACCCGAAGTAACTCGATCGCCAGCACCGTCGATCTCCCCTCCAATATCACCAGGCAGCGAGACTTTACCCCCATCTGAAGATGTTAGGAGTTCCAGCATAGCAGCATTAAGATTAGCTGCTAGAGAACACGAACTTAGATTAGAATTGTTGCGACAGCGAGCGGATTTAATTTGTCAATAG</t>
  </si>
  <si>
    <t xml:space="preserve">&gt;Knirps</t>
  </si>
  <si>
    <t xml:space="preserve">ATGGCTGATGGAAGTGGGAAGAGACGGGGTCATAGAAACACAGGTGCATTCAAAACACGAGACCGGTCCAAAACCCGATACGCCTGTAAAACTACGACCGATCATTCATATATTTGGGTGGCAATAAATTTCCCTAAGAATGGATCCATCAGTGAAGTCACACCCATTAAACTAATGGCAGATTTATTCGATCGCGAGGAGATTTACGATGTCGGCATCTGTTTACCGACTTCGCCCAAGGTGGACAGCTTTGTGCAGATACAACGGCCTGCAATCGCCAGACATACCTCATTGTATGTAATAATCTGTCAGCTCGTGCTAGTGTTAAAACACAGCTTTTATAGAAGCGGCAGCGGGCGCCGGCTCTATCGGTCATTCTTCGGGCGCTCCTACAACAACCTGAACTCCATCACCGAGTGCAAGAACAACGGGGAGTGCGTCATCAACAAAAAGAACCGCACGGCGTGCAAAGCGTGTCGACTGCGCAAATGCCTCATGGTGGGCATGTCCAAATCCGGCTCCAGATACGGAAGACGATCCAACTGGTTCAAGATACACTGCCTTCTGCAAGAACAGCAACAAGCCGCCCAGGCGCACTCTCCCCCTAGAGTACCGCAGTCGCCGCACTTAGCGCCGCCTTTTCCACCTCACCTCTTCCCTGGACTGGCGCGACCGAGAACCAAAGAGGAACTCGCTCTGTTAGGCCTCGACGATTACAAAGCACCCTGCTCAGGATCCCCGGACTCTCAACGAAGCGGCTCATCCCCTAAACTAGACGAAAAAGCTCGCATCACTCACCGACCGCCTGACCGCCCTCTGACGCCACCCAGAGACTCCTTCCTCCCTTTACCTTTAGCCTTGCCGCACTTTCCACACTCACCGTTTCTCCATCCGCAGCACTTCAACCCGTTCCCGCCGAATCACCACCTCCTCTTCCCGCCAGGGTTCCACCCGATATACTCCAGACATCTATTAGACCACGCCGCACTCAGACAAGTGGCTGAAAATAACAACGACGTGAGAATCGACGACAATAACACGGAATCATCGAAGCGCTTCTTTTTGGATGAGATTCTTAAGCAGCAACGATCTGCGCAGCCTACGCCGCAAGAAGATGTGATATCTGAAGCAGAATTTGTACCCACTCCGCCGGCGGAAAGGAGAACGTCGGAGTCACCTCTGCAAGAGAATCCAATGGATCTATCCGTCAAATCTGACGGAAGATCGAGTTCGGCGCGACGGCGGTCCGACGACAGCGAGGTGATCGCCCCGGACAACGATGACCCAGAATCCGGGAGTGACCGAGCGTCCGCCAGTGAAGAAGAAGATTTATCGTACTCCCAAATAAAGAGGATCAAACTCCACCCTTTAGATCTGACAACCAAAGTCTGA</t>
  </si>
  <si>
    <t xml:space="preserve">&gt;Even_skipped</t>
  </si>
  <si>
    <t xml:space="preserve">ATGGAGTCGGAAATCAACAAGATGACGAAAATACCACCAAAAAACTTCTCTATAGAATCGATTGTTGGATTAAACGAGCGACGTTCACCGGAAATCGATATCGAAAACACGATTACCGATTTTAATACAGATCATTCGGAGGATGAAGACTTGAAGGTTAGAGATGGGAAGATGTACTATTTCCAACAAAATAGAGTGCCGAATTTTCCGTTTTTTATGTCCTACGATAAAAGGGGAATGGCAACCGGATATCCGGAAAATCCTGGGAATGAAGACTTGAAAAGGGCGAGTCCGGGAAGTGTCAGGAGCGAAGTCGATAGCGATGGTGCTGAAGACAGACCACACGAATCACTCAGTCCACAATCGGAACAAATAAACACTTCAAATGCAGCACCGGACCCTAACATAAGGAGGTACCGCACAGCATTCACAAGAGAACAATTGGCTCGTTTAGAAAAAGAATTCATGAAGGAAAACTACGTTTCAAGACCAAGAAGGTGCGAATTGGCTGCACAGTTACAGTTGCCAGAGTCCACTATCAAGGTATGGTTCCAAAACCGTAGAATGAAGGACAAGAGGCAAAGAATTGCAGTGGCCTGGCCCTACGCAGCTGTTTACAGCGACCCGGCATTCGCGGCGTCAATCCTGCAAGCCGCTGCATCCTCCGTGGGGTTGCCCTACGGATATCCCTCCCCCGCCCTTCTGCCCCCCTTCCATAACCCTCAATTGCTACCCTCAGGTTACCCTTACCCATATCCCCCGTACCCCAGATACCCCTACATCCCACCGACTCCTCCTTCCCCGGTGAATGCTGAATCAATACGGCCAACGTACCAAAACTTTAATATAAACGTTGACAAATAA</t>
  </si>
  <si>
    <t xml:space="preserve">&gt;Hth_B1_AF546</t>
  </si>
  <si>
    <t xml:space="preserve">ATGGCTCAGCCTAGGTACGACGAGAGCCTCCACGGCGGGGGCTACATGGAGGGCGGCGCCATGTACCACGAGCACCGGCTCACGCACCCGCACATCCCGCCGGTGCACTACCCGCCGCCCGCCGCGCCGGCGCACGCGTTGCCCGGCGAGCCGCTAGTGCACAAGCGCGACAAGGACGCCATATACGGGCATCCCCTGTTTCCCCTGCTGGCGCTGATCTTCGAGAAGTGCGAGCTGGCAACGTGTACCCCCCGCGACCCCGGCGTAGCCGGCGGTGACGTCTGTTCCTCAGAGTCCTTTAACGAGGACATCGCGGTGTTCAGTAAACAGATACGTCAAGAAAAACCTTATTACATAGCGGACCCCGAGGTAGACTCATTAATGGTGCAAGCAATACAAGTCCTACGGTTTCACCTATTAGAATTAGAAAAAGTGCACGAGCTGTGCGACAACTTCTGCCACCGCTACATCAGCTGCCTGAAGGGCAAGATGCCCATCGACCTGGTGATCGACGAGCGGGAGTCAGCCCGGCCGCCGACACCAACGGGGAGCCGCGGTCGGCGCCTGACAGCAACCACGACGGCGCATCGACCCCCGACGTCAGGCCGCCATCGTCGTCGCTATCATACGGCGGTGCGGTGAACGATGACGTCCGCTCACCGGGCTCCGGTGGCACCCCCGGTCCCCTCAGCCAGCCCCCGCCGCAGACCCTCGACGCGACAGATCCAGATGCCATGGGCAAATGGTGCGGGTCGCGGCGGGAATGGTCATCCCCTCCCGACGTGGCGCGGCGGGTCTACTCCTCAGTGTTCCTGGGCAGTCCCGGGGAATACCCAGGGGATGCCAGTAACGCGAGTATCGGCTCCGGCGAGGGTACGGGGGAGGAAGACGACGACACGAACGGAAAGAAGAACCAAAAGAAACGGGGAATCTTTCCGAAGGTCGCCACCAACATCCTTAGAGCGTGGCTCTTTCAGCACTTAACGCATCCCTACCCTTCGGAAGACCAGAAGAAACAGTTGGCACAAGACACAGGGTTAACGATACTACAAGTAAATAATTGGTTCATCAACGCGAGACGTAGGATAGTACAGCCAATGATAGACCAGTCGAATAGAGCAGTGTTCTACCCCGCAGTGTTCCCGCACGCGGGCCCCAGCGGCGCCTACAGCCCGGAGGCCACCATGGGCTACATGATGGACGGCCAGCAGATGATGCACAGGCCGCCGGCCGACCCCGCCTTCCACCAGGGCTACGCGCACTACCCCGCCGAGTACTACGGACACCATCTTTAA</t>
  </si>
  <si>
    <t xml:space="preserve">&gt;BANY.1.2.t24392</t>
  </si>
  <si>
    <t xml:space="preserve">ATGAGGTCGGTGACAGATGACTCGGCCCAAGATGGTGACCACCTGGGCAACGAGGCTGGTATGCTCTATGGCGAATACCTGATGCTGGACAAATTGCTCAGTGCTCAGAGGATGCTCAGCGCTGAGTCTTCCAAACCTGTTCATGACGAGCATCTGTTTATAGTGACACATCAAGCATACGAGCTATGGTTCAAGCAGATAATCTTCGAAGTGGACTCGGTGAGGACTCTGCTGGACGTGGAAGGTCTAGATGAGAGTCACACCATGGAAATCTTGAAGAGGCTAAACAGAGTTGTACTAATTCTCAAGCTTCTAGTGGACCAGGTGATGATCCTGGAAACAATGACTCCACTGGACTTCATGGACTTCAGGCACTATCTGCGACCGGCGTCCGGGTTCCAGAGTTTACAGTTCCGACTTTTGGAGAATAAGCTCGGTTTAAAACAAGCTCTACGGGTGAAATACAACCAAAACTATCAAACTGTATTCGGTGACGATCCAGAAGCTATGGACTCTTTACATAAATCTGAAGAAGAGCCAGCGCTACTAGCCCTAATAGAGCGGTGGTTGGAACGCACGCCGGGCCTCATTACACACGGGTTCGATTTTTGGGGCAAATTCCAGGCTGCAGTTGACAAAATGATCAGGGAATCTGTTGAAGAAGCTATGCGTGAACCAAACGAAACGGTTCGTCGCCACCGTCTGCAAGACGCGGAGAACCGACGCGAGATCTACCGCTCCATCTTCGATCCCGCCGTGCACGACGCGCTGCGATCCCGCGGCGAGCGGCGACTGTCGCACCGCGCACTGCAAGGCGCCATCATGATAACGTTCTACCGCGACGAGCCGCGCTTCTCACAGCCGCACCAGCTGCTCACGCTGCTGATGGACATGGACAGCCTCATCACCAAGTGGCGCTATAACCACGTGATAATGGTACAACGCATGATCGGCTCGCAGCAGCTCGGTACAGGCGGCTCTTCGGGCTACCAGTACCTGCGCTCCACACTCAGTGACCGATATAAAGTGTTCCTGGACTTGTTCAACTTATCTACGTTCCTTCTGCCGCGTTCCCTCATCCCGCCCCTGGACGACGGGATAAAGAGGGACCTCAGCCTGACCTGGGGAGATCACATCAGGGAAAATGGACACAGCGCCAAAGAAAACGGGGAAAATAAGAAAAATGGGGAAAACCACCAAAACGGTTTGGATGAATTTTCAAAACTTAGTTTGAATGAAAAGAAATCATAA</t>
  </si>
  <si>
    <t xml:space="preserve">&gt;XM_024096156.1 PREDICTED: Bicyclus anynana kynurenine 3-monooxygenase-like (LOC112055866), mRNA</t>
  </si>
  <si>
    <t xml:space="preserve">ATGCAAAAAAGTACATTTGAGAATTGTAATCCTAAGAATCTCACAGACGAGGTGTTGAAATATAACGGAAATGCAAATAAGAAATTGAATATCGCTGTCGTTGGCGGAGGACTTGTGGGATCCCTTGAAGCATTGTACTTAGCCAAAAGAGGACATCAAGTCAAGCTTTATGAGTATCGTGAAGATATAAGAAATACACCGTTAGCTCGAGGAAGGTCGATCAATTTGGCGTTATCGATACGCGGAAGACGAGCTTTAAAGGACGTTGGCCTCGAAGATCAGATGATCAACCAGCATGGGATCCCGATGAGAGCCAGGATGATCCACCGACCTGATGGTTCAACGTATGCGATGCCTTACGACGCTAGAACTAACCAGTGCATATATTCCGTGGGGAGAAATTATCTAAACAGCATTCTACTGAAAGAATCGGAAAACTTGGACAATGTTGAGAGATACTTTAATCACAAGTTGATCAAATCAAACTTTAAGGATGGATCGTTAACATTTATGAAGATGGACACAAAAGAGACGATTCAAGTGAACGCAGACTTGATAATCGGCGCGGATGGTGCATTTTCAACAGTTCGTAAGGAAATGATGAAGCAACCACTATTTAACTTCAGCCAGCAGTACATAGAGCATGGCTATTTGGAGCTCTGTATACCTGCTGGTAAAGATGGTGGTTTTCAGATGCCATCAAACTATTTACACATTTGGCCAAGAGGAAACTTCATGATGATCGCACTGCCGAATCAGGATTGTTCATGGACAGTTACACTGTTTATGCCATTTAAAAACTTCAAGAACATTGATTCTGAAAGAAAGCTTATGGACTTCTTTACAAACTACTTTCAAGATGCCATACCACTCATAGGAGAAAAGAAGTTGATTGAAGATTTTTTTAGTGGATCACCTTCAGCGTTGGTGGCAATTAAGTGCCGTCCCTATCACGTCTGTGATAAAGCTCTTCTGATTGGTGATGCAGCACATGCGGTCGTGCCTTTCTACGGCCAAGGGATGAACGCCGGCTTTGAAGACTGTACTGAACTAGACAAACTCTTCCAGAAGTATAACGATGACGTCACAAGCGTACTCGAAGAGTTTACTAACACCAGATGGCGTGATGCTTTTGCGATCAGCGACTTGGCTATGTACAATTATATAGAGATGCGCGACCTTGTTACTCGTCCATCGTATCGGCTTCGAAAAACCGTCGATGATTTCTTATATTGGCTGCTACCCGATTTATGGGTACCTCTTTACAATTCTGTTACTTTTTCAACAATGCCTTATGATCAGTGTGTAAAAAACCGCCAATGGCAAAATAAGGTCCTTGCCATCGTTGTCCTGTTTTTTGGATTGATGCTATTTGTAACCATCTATAGAAATATGTTGTTATAG</t>
  </si>
  <si>
    <t xml:space="preserve">&gt;ref XM_024095364.1 :1-1526 PREDICTED: Bicyclus anynana kynurenine formamidase (LOC112055308), transcript variant X2, mRNA</t>
  </si>
  <si>
    <t xml:space="preserve">ATGGCGCTGATAACCGAAGGGATCGATCTAGAGAGGGAGTATTCGCCCAGCATGTGGTCGAAGAGGTTCTCTAGTCCCCAAGAAGTTACGCAGCATCATGTAAACGTCGTCACTGCAGCAAGCGAAGCAGTAATCAACACCTTGCCTCATAAACTAGAGATAGAATATGGTTGTACTCCGGGACAGAAGTTGGACATAATAGGCACAGACCTCCCTGATGATTCACCCGTCTTAGTGTACATCCACGGCGGCTATTGGCAGATGCTGTCGCGGGAAGCATCGCGGTACCTCGCCCAGCCGCTGCACCGGTTCCGCATCAAGACCATTGTAGTGGGCTACGACCTTTGTCCAGTTGCCACGCTGCCGGAAATAGTCAACCAAATACAGAACGCTGCCAAATTCGTATTCGAGTACGCAGAGAAGATGGGCTCGAGAGGCGTCTACTTCGCCGGCCACTCAGCGGGAGCTCATCTAGTAGCAAAGTTGCTGTCCAATTCAGATTTCCTCGACAGCACAGAAGGTTCCCACCGTCTGCAAGGTGCCTTCCTGATCTCAGGAATCTTCGACTTAAGAGAAGTCATCCATACATCTGTGAACCTTGCAGTGCAGTTGCCCGTCGAATGGGCAGTGCCTCTATCTCCTCAGTTTGACTGCTTCACGCATCTGCAAGCAAGACGAGTGCGTGTATACATTTTAGCGGGACAGTATGATAGCCCGACGTTCAAGAAGCAATCGAGAGAGTTCTACGAACTCTTGCACAATACCTGTTTGATGCAAAACATGTACTTGGAAATCAAAGATAATTTTGACCATTTTGACATCGTGGAGTGTTTTGCCCAAGATGACAATTACCTTAGGAAATTATTGGTGCACGATATTCGTAAGCATCTTTAA</t>
  </si>
  <si>
    <t xml:space="preserve">&gt;GFP</t>
  </si>
  <si>
    <t xml:space="preserve">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
  </si>
  <si>
    <t xml:space="preserve">&gt;spalt</t>
  </si>
  <si>
    <t xml:space="preserve">ATGCCGCGCGTCAAGCCCGCCTGCGTCCGCCGCGTCTCCATCGGTGAAAGCTCGGGATCTTGTTCGGAGGAAGATGTTGGCAATGCCATGCCGGATGAAGCGAGAGATAGGCCAGAGGCGCACATGTGTCCACGCTGTCAGGAACAGTTCGAAAACCTTCACGATTTCTTGTATCATAAGCGACTTTGCGATGAGAAAGCAATGCAAATGGGTGAAGAGAGGATGCACTCCGATCCAGAGGATATGGTAGTGTCGGGGGATGAAGAGATGGATGGTCCCAATAAACGACTAGAACAAGTCAGGAGGCATCGACAAGATGCTGAAAATAATAATAGTCTCGAAGACGGCGAGGCCGAAATACCTGAAGCCGACATGCCCCCCGTGGGCTGCCGTTCCCTTTGGCAGGACACGTTACTCTTGAGGCTCTACAAAATACGAGAGTAGCGGTCGCCCAATTCGCTGCAACAGCGATGGCAAATAATGCGAATAACGAAGCTGCTATACAAGAATTACAAGTGTTACACAACACTCTATACACTTTACAGTCACAACAAGTATTTCAACTTCAGTTAATACGTCAGCTTCAGAATCAGTTATCTCTAACTCGACGGAAAGAAGACGATCCACACAGCCCACCGCCAAGTGAACCAGAACAGAATGCCCCGTCAACGCCGGCTCGATCACCGTCGCCGCCGCGTCCGCCACGGGAGCCGTCGCCTGTTATACCCTCTCCTCCTACTAGCCAAAGTTTGCCGTCGACTCACACACATCACACACCCAAAACTGAACAGATATCTATCCCTAAGATTCCAACTTCCTCACCATCTTTAATGACCCACCCACTTTATAGTTCAATTTCTTCGTCATTAGCATCTTCCATCATAACAAACAATGATCCTCCACCGTCCCTAAATGAACCAAACACACTTGAAATGCTTCAAAAACGGGCACAGGAAGTACTCGACAATGCATCACAGGGCCTTCTAGCAAACAATCTTGCCGACGAATTAGCTTTTCGAAAATCCGGAAAAATGTCACCTTATGATGGAAAAAGTGGTGGCCGTAACGAACCTTTCTTTAAACATCGCTGTAGATATTGTGGAAAAGTGTTCGGTAGCGACTCTGCACTTCAAATTCACATTCGTTCTCACACAGGGGAAAGACCTTTCAAATGTAACGTCTGTGGCTCTCGATTTACAACCAAAGGAAATCTTAAAGTTCATTTCCAAAGGCATACTTCGAAATTTCCACATGTCAAAATGAACCCTAATCCCGTTCCAGAACATTTGGATAAATATCACCCACCGTTATTAGCGCAATTGTCGCCGGGGCCCATTCCTGGAATGCCGCCACATCCACTTCAGTTTCCCCCAGGAGCCCCAGCTCCCTTTCCGCCAAACTTGCCATTATACAGGCCACCGCATCACGATTTATTGCCTCCACGCCCTCTGGGTGATAAGCCTCTCTCACATCACCCACTTTTTGCTATGCGAGAAGAACAAGACGCACCAGCTGATCTCAGTAAACCTTCCGCACCAAGCCCTCCTCGACCCGCGTCTGATATTTTTAAGTCTGAACCTCAAGACGAAGAGAGTCAACGAGATTCCAGTTTTGAAGAGACTGATCGTATATCACCTAAGCGAGAAATCGAAGACAATGATATAGGACAAGATGCAGAACAAGATCGATACCCATCCACATCACCGTACGATGACTGCAGTATGGATTCCAAATACAGCAATGAAGATCAAATCGGCAGAGATAGTCCACACGTGAAGCCCGATCCAGATCAACCGGAAAATCTCTCAAGTTCGGAGAGCGGGCGGAGTGCACGGGGGTCGCCACCGTCGCCGTCGCCGTCGCCGTCGGCGCTGTCCACGCCGCCGCGTCTGCCGCACCACTCGCCGCTGCCGTCGCCCCCGACGCCCCTGGCGGCGCTCGGCGCGCTCGGCGGATCGCCCTTCAGCCCGCTCGGACTTGCCTTTCCTCCCGCAGTGCGCGGCAACACAACGTGTACCATCTGCTACAAGACATTCGCCTGCAACTCGGCACTGGAGATCCACTATCGAAGCCACACCAAGGAACGGCCATTCAAGTGCACCGTCTGCGATAGAGGCTTTTCTACCAAGAGCAGTGGCGGCGGTTGTCAGTGCGGAAGGCGTGCGCGCGCACCCCGCCCGCCGCACGCCACTGCTTTGGACCTCTGGAACGCCTTCGTCTACCCGGGCAACATGAAGCAGCACATGCTAACGCACAAGATCAGAGACATGCCGCCTGGTTTTGACAAGGGGCCGGGAGGACCTTCCGGACCCCCAAGCGAGGAAGGGCGGGACCCCAGCCCGGACAGACGGTCGTCCCCAGAAAAGCTGGATCTGAAAAGATCACCCCCGGTGCATCCTCCACCGCCAATGTCACACCCACCTATTGACATGCCACCTCTACCAAAAAGACCTACAGTGCCCAGTATCCCGAGTCACCCCCCACCGTCGCGTCGTCGAAGCACCTGTGCGGCGTGTGTCGCAAGAACTTCTCCTCATCATCAGCGCTGCAGATACACATGCGCACGCATACCGGAGACAAACCCTTCCGATGTGCTGTCTGTCAGAAGGCGTTTACCACCAAAGGCAATCTTAAGGTGCACATGGGCACGCACATGTGGAGCGGCGGCGCGTCGCGGCGCGGGCGGCGCATGTCGCTGGAGCTCCCGCCGCGGCCGCTGCACGAGCCGCACGAGCTGCTGCGGCGCCCCGACCTCTTCTACCCCTACCTGCCGGCGCCTTTCCTCAACGGCATGCAACAGAAGCTGAACGAGATATCTGTAATACAGCAGAACGCCGGACAAAACGGCGTAGCTGGAAAATTCCCCGGTCTGCTCGGCTTCGGAGCGTTCGGGGCCGGGAGACCGGGCGCCGCGTCCCCGCTCGAGAGGCCTCCCTCGCTGGAGGGGGGAGACGAGCGACAGGCGGCGATGCGTGAGCTGGCCGAGAGGGGACGGGAGCTGGCGGAGAGGAGTCGGCAGATGCGCGAGGAGAGCGAGCGGGAGCACTACAGGGCCGCGGGCGGACTGCCCGCGCACGCGCACGCGCCCAACCCCGCGCAGGCCTCGCCGCCCGCGCCGCACGCGCACCCGCACCCCCTCGCGTCGCTGCCGCCGCCCGCGCGGACAGAAGGCCTCACCGTATAA</t>
  </si>
  <si>
    <t xml:space="preserve">&gt;Armadillo_B1</t>
  </si>
  <si>
    <t xml:space="preserve">ATGAGTTACCAGATACCATCCTCACAGAGCCGTACGATGTCACACAGCAACTATGGTGGCTCTGACGTGCCAATGGCACCCAGCAAGGAACAACAGACACTCATGTGGCAGCAGAACTCATACCTGGTGGATTCTGGTATCAACTCTGGGGCAGCCACTCAGGTGCCATCTCTCACTGGCAAAGAAGATGACGAGATGGAAGGAGATCAGCTCATGTTTGATCTGGACCAGGGCTTTGCTCAAGGGTTCACTCAGGAGCAAGTGGATGACATGAACCAGCAGTTATCACAAACCAGGTCCCAGCGTGTGCGCGCTGCTATGTTCCCAGAGACTCTGGAGGAGGGCATTGAAATCCCCTCCACACAGCTGGACCCAGCGCAGCCTACTGCAGTCCAGCGCTTGTCTGAGCCCTCTCAGATGTTGAAACATGCTGTTGTCAATCTTATTAATTATCAAGATGATGCTGATTTGGCAACAAGGGCAATCCCAGAGTTGATCAAACTACTCAACGATGAAGATCAAGTGGTAGTGTCACAAGCTGCCATGATGGTTCACCAGTTGTCAAAGAAGGAGGCTTCGCGGCATGCTATAATGAACTCTCCCCAAATGGTTGCGGCCTTAGTGCGAGCTATCTCCAACAGCAATGACTTGGAGACAACCAAAGGGGCAGTTGGGACCTTGCACAACTTGTCTCACCACCGACAAGGTCTTCTTGCCATATTCAAGAGTGGAGGCATACCAGCTCTGGTGAAACTCCTATCCTCACCAGTGGAATCTGTGTTGTTCTATGCCATTACGACCTTGCATAACCTTTTACTGCACCAAGATGGTTCAAAAATGGCTGTCCGTCTTGCTGGTGGTCTTCAAAAGATGGTGGCCTTACTTCAGAGGAATAATGTGAAGTTCCTGGCAATTGTTACCGATTGTCTCCAGATATTGGCGTATGGGAACCAGGAATCCAAGCTTATCATCCTGGCTTCACAAGGCCCTATCGAGTTAGTGCGTATCATGCGCTCTTTTGACTACGAGAAGTTGCTTTGGACCACATCCAGGGTTCTGAAGGTTTTGTCCGTCTGCTCAAGCAACAAGCCGGCGATAGTGGAGGCAGGTGGTATGCAGGCCCTGGCCATGCACCTTGGCAACCCCAGTGGCCGCTTAGTCCAGAATTGCCTTTGGACTTTGAGGAATCTGTCTGATGCTGCTACCAAGGTGGAAGGGCTGGAAGGCCTGCTGCAAAGCCTAGTGCAAGTGCTGGCCTCCACCGACGTGAACATCGTGACTTGCGCGGCCGGCATACTGTCCAACTTGACCTGCAACAACCAACGTAACAAGGTGACAGTGTGCCAAGCCGGCGGCGTGGACGCCCTGGTGCGCACGGTGGTGTCGGCCGGGGACCGCGAGGAGATCACCGAGCCGGCCGTGTGCGCGCTCCGCCACCTCACCTCGCGGCACGTCGAGAGCGAGATGGCGCAGAACGCTGTCCGGCTGCATTACGGCCTGCCTGTGATAGTGAAACTTCTGCAACCGCCGTCCCGCTGGCCGCTGGTGAAGGCGGTGGTGGGTCTGGTGCGCAACCTGGCGCTGTGCCCCGCCAACCACGCGCCGCTGCGCGAACACGGCGCCGTGCACCACCTCGTGCGCCTGCTGCTGCGCGCCTTCAACGACACACAGCGGCAACGCGGCTCGGTGTCGGGCGGCGGCGGCGCGGGCGGCGCGTACGCGGACGGCGTGCGCATGGAGGAGATCGTGGAGGGCGCGGTGGGCGCGCTGCACATCCTGGCGCGCGAGGGGCTCAACCGCGCGCTCATCCGCCAGCAGAACGTCATACCGATCTTTGTGCAGCTGCTGTTCAACGAGATCGAGAACATACAGCGCGTAGCAGCAGGGGTACTTTGCGAGTTGGCAGCAGACAAAGAAGGGGCCGAAATGATAGAAGCCGAAGGGGCTACGGCCCCTCTCACAGAGTTGCTGCACTCCCGTAATGAAGGCGTAGCGACGTACGCCGCGGCCGTACTGTTCCGCATGTCCGAGGACAAGCCGCATGACTACAAGAAGAGACTCTCCATGGAGCTGACCAATTCACTCTTCCGCGACGACCACCAGATGTGGCCCAACGATCTGGCCATGCAACCTGATCTGCAGGACATGCTCGGGCCCGAGCAGGGCTATGAGGGTCTCTACGGGACGCGGCCCTCCTTTCATCAGCAAGGCTACGATCAGATACCGATAGATTCAATGCAGGGCCTCGAAATCGGCAGCGGATTCGGAATGGACATGGATATTGGGGAGGCCGACGGCGGCGGCGCAGCGTCTGCGGACCTGGCCTTCCCCGAACCACCGTTAGACAACAACAATGTCGCCGCCTGGTATGACACCGACCTTTGA</t>
  </si>
  <si>
    <t xml:space="preserve">&gt;cubitus_interruptus_XM_024083241.1</t>
  </si>
  <si>
    <t xml:space="preserve">ATGCCTGATCGGGAGTCAGTTGGTGGTCCTGGGACTGCGGGAAGCGCTGGTTTTCTACCACTACAGTTTCCGTCTGCTTTCGCCGCATTCCATGCAACTACTCCTCCAGGGGTGCCAGCGACGGCGATGCATCACGCAACACACTACCATCATCATGCGCAGTTGGCAGCGGCGGCGGCGGCGGCAGCGGGCGCTACCAGCGAGCTCAGCTACCTCGCCGCTCTCCACCCAGCGTACCGGCCCGTACCCTACGACCATCCGCTGTACGGCGCTAACACTTTACGAGGCTTAGAATATTTAAGTGCAGCGAGGAGTCTACATCCAGAACTTCATGCAGGCAGTACGTTAGCGAGTCAAGAGTTCCAACTCAGTTTAGAAGGATCAAGAATAGCCTCTCAGAACCGTCTAAGGTTATCCGGTGGGGCGATCAGTGCGTCAGCTAACAGGAAGAGGGCGGTTTCCTGGAGCCCCTACTCGGCGGAGTCCCTGGACTTGGCTGCTGTGATACGCGCGTCCCCGGCCAGCCTCGCTGTGAGGGCCCCTTCTGCGGCCTCTACTGGCAGCTATGGACATCTCAGTGCAGGAGCAATATCCCCAGCGCTGTCGCTATCGCATGCATCGTTGGCGCAACAGCTTCTGGCTCGCGGCGGCAGCGGCGTCATCCCCGGCGGCGTGCTGCTCGACCCCGCGCACCAGCAGGCAGCAGCGGCGGCGGCACACCACGCCGCGCACGCGCATCTGGTGGCCGGCATACACAGATCTCACATATCGTCACCGACTCAGCTGCTGATCGCGCCGGTGGACGTGCGGCCCGGCCTGGGGCTGGACGGCACGCCCCCTCACATGCAGCAACCGCATCAGCAACCTGAAATCACCAGTGTTATGGAGGCTGATAGTGCATCAACGGCTCTCAACCAGCGCAAGTCCCCACAAGTGCTGATATCACACCGAGAGAACATGAACAGCAACAAGCCATTGTCGGCGGCGGCAGAGAGCACGGTCCACGACGGGCTGGACTCTAAGGATGAGCCTGGAGACTTCATTGAGACTAACTGCCACTGGGTGGACTGTAAGCTGGAGTTCCCAACACAGGACGATCTAGTAAAGCACATCAACACAGACCACATCCACGCCAGCAAGAAAGCCTTCGTCTGCCGCTGGGTCAGCTGCTCCAGGGACGAGAAGCCTTTCAAAGCGCAGTACATGCTTGTGGTGCATATGAGACGCCACACTGGAGAAAAGCCTCATAAGTGTACATTCGAGGGATGCTGCAAAGCTTACTCCCGGCTCGAGAACCTGAAGACCCACCTGCGGAGTCACACCGGGGAGAAGCCCTACACGTGCGAATACCCCGGCTGTGCGAAGGCTTTCTCCAACGCCAGCGATCGGGCGAAGCATCAGAACAGAACTCATAGTAATGAGAAACCGTACGTATGTAAGGCTCCAGGCTGCACGAAGCGGTACACAGACCCGTCCTCCCTCCGCAAGCATGTGAAGACTGTACATGGTGCTGAGTTCTACGCCAGCAAGAAACATAAAGGGTGCAGTCGAGGAGACGATTCAGCCGAGTCTGGGGGTGGTGGCGCGGGATCTTCGCCACGGTCGGAGGAGGGTGGAGTTCCTATGGGGGTGAGGGGTCACACGTCCTCGGCCTCTGTCAAGAGTGAGAGCCCAGCTTCACCCTTACCTCATGGTCTACATACACCGGCTCATCAGTTATCAGCACAATGTGGTGGTGAACTGGACTTCGGTGTGTCTGGTTTGGGCGGGTTTAGTGATGAAAACGGCGCTCCCTACTTCAGACTAGATGGCGAGGTGGAACAGGAAGTGGTAGGGGAAGTGGGACAACTGCCCCTCATGCTGCGCGCTATGGTAGCGATAGGGGAGCCGCGCGCCCATCATCACGCGCCGCGCTTCGGACACAAGATGGGAGTGGGGAGACTGATGCCGCCCATACACGGGGCAGATGTTGGTGGAGGTGGTATTCAAGGGCGGACAGAAATAGGAGGTACAAACGTAGCGGTAGAACTGAAGACCGGACTGCCCAACACGAGGCGAGACTCTGGAATCTCTTCTGGAAGCAGTTTGTATAGTGCTAGATCGTCGGATATCTCGCGCAAGAGCAGCCAGGCGTCAGTGGTGTCGGGCGCGGTGGTCACCACCACAGGCGTGGCCGGGCAGCAGAGGCTAGTCGCGCAGCATGCGGCCATTTATGACCAACTGTCACCTGACAGCAGTCGGAGATCTAGTCAAGTTTCCTGCGTAGGCTACGCCCCGCCGCCGTCGTCAGCATTGGCTGCAGTTCAAGCTGTAAGGACCTCACAAGGCAATCAGGCTGTACTGCTTCGAGGAGTCACGTGTTCAGAAGTGAGAGCAGAAGAGTTAGCCCTAGAACTGGATCCTAACGTGCAAGTGAAGGAGGAAGCCAGGAGATTGTCAGAGCAATCCAACCTCAGTGACCAGGCTCAGGGATATCAGCCATATCCATGCACCAATGACGATGTGGGTGATGCTCCCTTCCCATTCAAGACAGAAGATGATCATGTGATATCGTATAAAGAATCTCGATCAAATTCCACAAACACTGTGGTTATCACCACAGCACAAGTTCATCACCCAAATCAAGAAGTCAATCTTGAACAGGTCGCGGAAGGAGAAATGGTGGAGAACAAGCTGGTGATACCAGACGAAATGATGCAATATCTTAACCAATCAATATTGGGAACCGACTCGGTAACACCAGCAAAAACGGACTCCAGCAATCCTGACCCAGAAGGAGCAAACAAAGAAAAAGATACAACAACCAAAGACATTTTATCCAGTGAAATACACCATACAAACAATTCTAGCGACAAAATCAGTGATGTTGCGACGAGTGACGATTCCCTTCTCAAAAATTTAGGTGCCATTGGAAGTGATCTCAACATAAGTGATATTCAAGTTGATTTAAGGTCATTAGATGTTAGTATGTCTGGTAACAGCGGCTCTCTATTAGCCTCCAAGTCTTTAGATGATAAGAACCCCCCTCTTTCGGAACAAGTTATACCGGAAGTTACACCAGAAACATGTGAACAAGAATTCTCAAAACCCCCGACAAGTAATGTTGTTACAAGCAACCCTTTGCAGTCTTTACAAACTATGACAGCAAATCAAACAGATCAATCCAATAGAATGCGAGTCAACAACCCCCTACCTCAAAAGCCCGCTATGAGTCCAAAAACAGTTGTCATGACACAAACTATCATGAGTCCCAGTTTAGCACATAACATGTTAAGTCCTCAGAGTCTACCGCATAGTTCAATGAGCCCACAGAGCATCAGAAGCCCTCAGCATATGCCTCAAAGCATCATGAGCCCACCAAGCGTATACAATGTCATGAGTCCGCAAAGTGTCATGAGCGTCATGTCTCCACAGCACAATGCAATGAGCCCACAAAGTATGCAGAGTTTATTGAGCCCTCAGATGCCAAATCAAATGATAATGAGTCCCCGACACAACAACATTGGAAGTCCTCATTCCCAGAACATCGCAAGTCCCATGATGAACATGGCAAGTCCAATGACGCAGAACATTGCTAGTCCGATGAGTCATGGCATGCCAAGTCCAATGCATCCTGGCCTTCAAAGCCCAATAACAAGTCCTATGGTACAAAACATGTCCAATATGACGATGCAACCAGTGCCAAATCAAAATGCGAATATAATGATGAGTAACATGAATCCTCCTCAACAAATGACGGCAGCACCACCCTATAATAACCGTCCCAACTGTCCTCCAAAACTTCCAAACAAAAACTTTAGTAACGTTCCTAATCAATACCAAAACCAAAACTACGGCCCAGCGCCACCTTATCCCATACAAAACCAAGTCAATGTAAACATGAGAAACCAAAACATTCAACAGTACCAGATGATGCAACACTATAATCCTAATCAACCACAGGTGACAATGATGCAAAACAACCATCAAAACATGGTTTATAATAATCAAATGACAAATTACGTTCAACCGATGAATTATCCAAATCAAAATGCTCAGATGCATCAAATGCAGTTATCACGATCTTCAGTAATGAGCGTCGATAACAGTGGAAACATGAGTCGTGGTGCTATGAACAGTTACTGTGAACAACAGAATGTATGTCCTCCCATGCAAAACGTACAATATAACCAGAACATGCAATATCCTCAACCGCCTCCATACAATTCTGTAGCGAACGCTGCTAACGTAATGGGTCCTCCACCACCAAAGAATAACCATCAGTACAACCAGGCAATGATGAACAATAACCAATACTACAATCATCAGAGATCTTACAACCAATGGGACTATCCTGGCAACCAATTCAACAAGCACAACATGCAAAAATCTGGTCAGAATTCAGTCAATATGTCTACAGGTAGTCAAAAACCTATAAACGGTGCGAGAATGTCAATGAATTGCAATCAGATGGTCAAAAATGCTGCGGAGCAACAAGCGGACTGCAGTATGAATAGTTTGAGAAGCCAAAACAACCAAACTGATGTTCAAGTTTGGGATATCTCTCAGTCCCAAATAGAGGCTACGAATGGAAGAAAGAAAAACCAAAATACCATGCGTCAGGAGACATATCAAAGGACCTTGGAATACGTAGAGAACTGTGAGAATTGGAAGAGTTCTGAAATGGTATCCAGTAGCACACATCCTCTACAGGGCGGTGACAATATGGTTGTGAACGATCTCCAAACTTCTCTATCTTCGTTTTATGAAGAAAATCAATATCTTCAGATGATACAATAG</t>
  </si>
  <si>
    <t xml:space="preserve">&gt;aristaless_like_HCR_B1 (LOC112054675)</t>
  </si>
  <si>
    <t xml:space="preserve">ATGGGGCTATCAGAACCACCGAAAGACGACTCTCCTCGAACTACTCCAGAACTCTCCCGCGCCGACCAGTCGCCTGCTTCGGAAAGACCACCTTTAGGCTCTGCTGACAGCGATGATGCAGATGACTTTGCCCCCAAGAGAAAACAAAGGCGGTACAGGACGACATTCACAAGTTTCCAGTTAGAAGAATTAGAAAAGGCGTTTTCAAGGACACATTACCCTGATGTTTTCACAAGAGAGGAGCTTGCAATGAAGATCGGCCTAACGGAGGCAAGAATACAGGTATGGTTCCAGAACCGACGCGCAAAATGGCGGAAGCAGGAGAAGGTGGGCCCGCAAGCTCACCCCTACAACCCCTACCTAGGGGGTGCGGCCCCCCCGCCCTCGGTCGCGTCCATGCCGAACCCCTTCACACAACTCGGCTTCGGATTCAGGAAGCCATTCGATACTAATGCTCTGGCTACGTTCAGGTACGGCAATTCTCCACTGCTGGGCACCCAATACCTCGGAGCTCCACTCTCCCGACCACCTCTATTTACAGCGCCAATATATTCAACGACACCACCCTTTCATTCGCTGCTAGCGGGCCTCGCAGCACCCCCCCGACAGTCTCCTGACCCCCCCTCTGTCTCCCCTCCAATATCCCCAGGCAGTGAGTCTCCCCCCAGTCAACCAGGGCCGGAGGTAGAACGACGGAGTTCGAGCATCGCAGCATTGAGACTTGCTGCAAGAGAACATGAAATACGATTGGAAATGTTGAGACAGCGACACCACACTGACCTGATTAGTTGA</t>
  </si>
  <si>
    <t xml:space="preserve">&gt; LOC112052049_neurogenic locus Notch protein isoform X1 (Notch_1)</t>
  </si>
  <si>
    <t xml:space="preserve">ATGTTGTGCTACAAGATGTGGTCGAGAAACTTTATACCGGATTATGGGATTAACTTGCTCTCCATCGTCCTGCTGACCACCTTAGCGGCCACAATCCAAGGAGCCGAAGGTTTCGTGTCGTGTTCACCGTCGCCGTGCAAAAATAGTGGAACGTGTCTCTCTACTACGCGGGGGGAGTATTTTTGCAATTGTACATCGCGCTACGCCGGCGAGTTCTGCCAGCATCTCAACCCTTGCCACAGCGAATCAAGCCCTCGGTGTCAGAATGGAGGCTCATGCAGGGTCAGGCCCGGCGCCGGGGGAGGCCCGCCCTCCTTCGCCTGCGACTGCCCTCTCGGATTCAGTGCCTCGTTGTGCGAGATAAGAGTGCCTGCTGCGTGTGACTCCGCTCCGTGTTTGAACGGTGCTACGTGTCGATTGACGTCACTTGACACCTTCGAATGTGATTGTCCTCCAGGGTACACAGGCGAAGAATGTTCACACGAAGACCACTGCGCATCCCAACCCTGCAGGAACGGAGGACGTTGCGTTGCAGACAATACAACGACAGTCGGCTACTCCTGCGCTTGTCCACCTGGCTTCACCGGCGCGCGATGTACTGAAGACGTGTTCGAATGCTCGAGTGGATCCGGTCCTTGTCACCATGGGAGATGCTTCAACACCCACGGTTCTTACACCTGTGTTTGTGAGCCTGGGTATACAGGCAGGGATTGTGACACGGAGTACGTGCCCTGTGAACCGTCCCCTTGCTTGCATGGTGGGAGGTGCACGCAGCTGGATCAATTACGATACGAGTGTGATTGTCCTACTGGTTACCGAGGTCAGAACTGCGAGATCGACATCGACGACTGTCCGGGCCACCTCTGTCAGAACGGTGCCACGTGCGTGGACGGATTGAACTCCTACAACTGCGAATGCCCTCCCACCTTCTCCGGCACTCTGTGCGAGACGGACGTCGACGAATGCGCTTTGAGGCCGCTGGTATGCCAGAATGGAGCGACATGTACGAACTCAGCAGGCGGGTTTTCGTGTATCTGCGTCAACGGGTGGACTGGTCCAGAATGTTCCGTCAACATCGACGACTGCGCCGGCGCAGCTTGTTTCAACGGCGCAACCTGTATAGACAGGGTTGGGGCCTTCTACTGCAAGTGTACACCTGGGAAGACTGGTTTACTCTGCCACTTGGATGACGCGTGCACATCTAACCCGTGCCACGCCGACGCGATCTGCGACACTAGCCCCATCAACGGATCCTACACTTGCTCCTGTGCGTCCGGGTATAAGGGCTTGGATTGTTCGGAAGATATTGACGAGTGTGAACAAGGCTCACCCTGCGAACACGACGGCATCTGCGTCAACACCCCTGGCTCCTTTGCCTGCAACTGCTCCGTCGGGTTCACCGGACCGCGTTGTGAGACCAACGTCAACGAGTGCGAGAGTCACCCCTGTAGGAACGATGGCTCCTGCTTGGACGACCCCGGCACCTTCCGATGCGTATGCATGCCTGGTTTCACTGGAACGCAGTGCGAGGTGGAAATAGATGAATGCGCCAACAACCCTTGCCTCAACGGAGGCGTTTGCCACGACATGATCAACGCCTTCAAATGCACCTGCGTTATTGGATTCACCGGTGCCCGTTGTCAAGTTAACATAGACGACTGCGCGTCGAGTCCGTGTCGCAACGCAGGTACTTGCCACGACTCCATCGCTGGATACACCTGCGAATGTCCTCCGGGATACACGGGGATGTCTTGCGAGACCAACATCAACGACTGTCTCTCCGCGCCGTGCCACCGAGGCGAGTGCATCGACGGCGACAACAGCTTCACATGCAATTGCCACCCGGGCTACACCGGCCGCGTGTGCCAGACGCAGATCAATGAGTGCGAGTCCAACCCCTGCCAGTTCGGAGGACATTGCGAGGATCTCATAGACGGATACCAGTGTAGATGCAAGCCGGGCACGTCGGGCAGGAACTGTGAGATCAATGTCAACGAATGCTACTCCAACCCGTGCAGAAATGGAGCCACGTGTATTGATGGGATCAACAGGTATACGTGTGAGTGCATCCCCGGCTTCACTGGCCAGCACTGCGAGACCAACATCAATGAATGTCTGTCCAACCCGTGCGCTAACGGCGGCAAGTGCATCGACCGCATCAACGGGTTCCGCTGCGAGTGCCCCAGGGGATACTATGATGCGAGATGCCTTTCCGACGTGAACGAATGCGCCTCAAATCCATGCATCAATGGCGGCACTTGTGAAGACGGCGTCAACCAGTTCATCTGCCATTGTCTCCCGGGATACGGAGGCCAGCGCTGCGAGCGCGACATAGACGAGTGCAGTTCCAACCCGTGCCAGCATGGCGGCACGTGCCACGACCGGCTCAACGCGTACAAGTGCGACTGTGTGCTGGGATTCACGGGTGTGAACTGCGAGACCAACATCGACGACTGCGCCGGCAACCCGTGCCTGCACGGCGGCTCGTGCATCGACCTCGTCAACGGGTACCGCTGCGTGTGCGCGCCGCCGCACTCCGGCCGCAACTGCGAGAACACGCTCGACCCCTGCCTGCCCAACCAGTGTCGGCACGGTGGTCGGTGCATTGCGGAGGCGTCGTACGCAGAGTTCACGTGCCAGTGCCCGGTGGGCTGGACGGGCGCGCTGTGCGAGCGCGACGTGGACGAGTGCGCGGTGACGGCGCCGTGCCACAACGAGGCCACGTGCATCAACACCGAGGGCACGTACGCGTGCCTCTGCGCGCGCGGCTACGAGGGCAAGGACTGCGCCATCAACACCGACGACTGCGCCTCGTTCCCCTGTCAGAACGGAGCCACATGTCTGGACAGTATAGGCGACTACAACTGCGTGTGCGCCAACGGTTTCGCGGGCAAACACTGCGAGATTGACATCGACGAGTGCCAGTCCCGACCGTGCATGAACGGCGCCACTTGCAACCAGTACGTGGCATCCTATACGTGCACCTGCCCGCTCGGCTTCTCGGGCATCAACTGTCAGACCAACGACGAGGACTGCACCGAGTCCAGCTGCATGAACGGCGGCTCCTGCATCGACGGCATCAACTCCTACAACTGCTCCTGCCCTCCTGGCTACACGGGCTCGAACTGCCAGTTCCGCATAAACATGTGCGACAGTTCCCCCTGCGACAACGGCGCCACGTGCCACGACCACGTCACGCACTACACCTGCCACTGCCCCTACGGGTACACCGGCAAGCACTGCGAGGACTTCGTGGACTGGTGCGAAAACAATCCATGCGAGAACGGCGCGACGTGTTCACAAAAAGGCCCGCAGTACACCTGCACTTGTGCGCCCGGCTGGTCCGGCAAACTCTGCGATGTTGAAATGGTCTCCTGTAAAGATGCGAGCATTCGGAAAGGAGTGAAACTAAAGCAACTGTGCAACAACGGATCTTGCGAGGATATCGGCAACTCCCATCGCTGCCACTGCCTCGATGGATACACGGGCTCTTATTGCCAGAAGGAAATCAACGAGTGCGACTCCGCCCCGTGCCAAAACGGAGCGGTTTGCAAAGATCTAGTTGGTACCTATCAGTGCCAATGCACCAAAGGTTTCCAAGGACAGAACTGCGAGTTGAACGTCAACGACTGCCTTCCCAACCCTTGTCAGAACGGAGGAACCTGCCACGATCTGATCAATAACTTCTCCTGCTCTTGTCCGTTTGGAACTCTTGGAAAAATTTGCGAAATCAACGTCAACGATTGCAAACAAGACGCTTGCCACAATAATGGCTCTTGTATCGATAAAGTTGGCGGTTTTGAATGCAAATGTCCTGCTGGTTTTGTAGGTCCGCGTTGTGAAGGCGATATTAACGAGTGTTTATCCAATCCGTGCTCAAATCCTGGAACGCAAGATTGCGTGCAACTAGTCAACGATTATCACTGTAATTGTAAACCTGGGTTTATGGGCAGGCATTGCGATGCTAAGGTCAATTTCTGTGCAAACTCTCCGTGCCAAAATGGCGGCATTTGCACTGCTATCCAAGGTGGACACGAATGTCTGTGTGGCGATGGATTTTATGGCAAGAATTGTGAATATTCAGGATACGCGTGTGACTCGAATCCTTGCCAAAATGGAGGCTATTGCCGGACAATGGAAAACGGAGACTACGTCTGCAACTGCCCGTCAGGTTTGTCCGGTGTCAACTGCGAAATAGATTCTATGAACGAATGCCTTTCGAATCCTTGTAAGCATCCCGAAGCCCGGTGCATAGACAAGCCAGGGGACTATTTGTGTTACTGTCCCAGACAGTGGACCGGTAAGAACTGTGATATACACGACCCTCATTCTAGAGGAGGCTACGGAAGTCCGGTATCTGGTGTGTACGGCAAAAATCCAGTTCTGACTTTGCAAGAATTAGACTTGGCATTCCAAAGAGAACAATGCGTAAAATTGGGCTGCAAGGAGAAACAAGGCGACCATCATTGCGATGAGGAATGTAACACGTTCGCATGTGAATTTGACGGAAACGATTGTTCACTCGGTATTAACCCATGGGCGAACTGCACGGCTCCGATAAAATGCTGGGAAGTGTTCATGAACGGGGAATGTAACGAAGTTTGCAACACTCAAGCTTGTCTCTTCGACGGCAGAGACTGTGAGAAGTCCTTGCAAAAATGTAACCCAGTGTATGACGCGTACTGTCAAAAGCACTATGCTAACGGCCATTGCGACTATGGATGCAACAATGCTGAGTGTAACTGGGACGGCCTGGACTGTGAAAACGAACCACCCGATCTAGCTGAAGGTGTAATGTCAGTTATATTGCTGATGGATATGCGAACGTTCAAGGAAAATTCAATTGCATTCTTGCGAGACTTGGGCCATCAACTACGGACAACAGTACTAATAAAGAAAGACCACTTGGGCAACGACATGGTGTTCCCATGGAAAGGTTCTACCGATGTCGGTCTCCAAGACACTGAATTCGGGAAGAAACACCACATCGTGTATACAGAAAGAGGTCAATCGGGAGTGCAAGTTTACCTAGAAATCGACAACAGAAAGTGTACAATGATGTCTGGGTCTGAATGTTTCTTCTCGGCACGTGAAGCAGCAGATTTCTTAGCAGCTACAGCGTCGAAGCATTCCTTGTCACCAGATTTTCCAATATTCCAAGTAAAGGGGGTCACTACTCCCGAAGATGGCGATATCCCAACAAACTCCAAATACGTATTCATCGGTGTTATCCTCGTGCTGCTCGCTGGTCTCCTTATTGGAGTTCTAGTCACAGCACAGAGGAAACGCGCTGCCGGTATCACATGGTTCCCAGAAGGATTTATTCGGAATAATTCGTCAACTAGACGACGTTCCCGACGTAGAGGTCCTGATGGCCAGGAAATGCGGAACTTGAATAAGGGATCTATTGGTTGTATAGACGTTGATATGAATGGTGGTCATATGGGTCCTCCTCACTGGTCTGATGATGATGAAGATGGTTCCGCTCCTCCGAGGGCTAAACGACCTCGAGGTCCAGGTGACGCGAATGGTGCCCCAGGGGGTTATGCCTCTGATCACACAGCTATTACGGATTATGAAGAAGCTAGTCACGAGCCTAGGGTCTGGACACAGCAACACTTAGACGCTGCAGACATCAGAGTTCCACCGATGATGACGCCGCCTGCTATCCACGATGGTCACGTAGACGTAAACGCGAGAGGTCCGCTCGGGATGACGCCTTTAATGGTGGCCGCCATCAGAGGCGGAGGCTTGGACACCGGCTCTGATGTGGAAGAGGAGCAAACAGCGCACATCATATCGGAGCTGGTGGCTCAAGGAGCTCAACTCAACGCTGCCATGGATAAGACTGGAGAGACCAGTTTGCATCTCGCTGCAAGATACGCACGCGCGGACGCAGCGAAGCGTCTCTTGGACGCCGGCGCGGACGCTAACTCGCAGGACAACACAGGCAGAACTCCGTTACACTCTGCGGTCGCGGCGGACGCCATGGGCGTGTTCCAGATCCTGCTGCGGAACAGGGCGACCAATCTCAACGCTAGGATGCATGATGGAACTACACCACTTATATTGGCTGCGAGGCTCGCGATCGAAGGCATGGTGGAGGACCTAATAAACGCCGACGCGGACATCAACGCGGCGGACAACAGCGGCAAGACAGCGCTGCACTGGGCCGCTGCCGTCAACAACGTGGACGCGGTCAACGTACTACTCGTCCACGGCGCCAACAGGGACGCACAGGATGACAAGGACGAGACCCCACTATTCCTCGGCGCGCGGGAAGGCTCGTACGGCGCCTGCAAAGCGCTGCTAGACGCCATGGCGAACAGAGAGATCACGGACCACATGGACAGATTGCCGCGGGACGTCGCACAGGAGCGCATGCATGACGACATCGTGCGGCTACTGGACGAGCACTGTCCTCGGCCGCCGCAACACCATCATTTGATGGCTTCACCGAACCCCCACCCGCATCTGATCAGTCAGCCGACAGTAATCAGCTCGACCGCCAGCAAGGGGAAGCCCAAAAAGGCGCGCGCGAAACCCGGCCCCGACAGTCCACAGGAGCAGGCGTACGACAATAACATGCAGCCCACGCAAATAAGGCGGAAGCCCAGCGTAAAAAAGAACAATAAGAAGGTGGCGCAGGAGGTGCCACAAAGCGTAGAAAGTTTGGGATTCAGCCTGAGTCCCGTCGAATCACCGCTGCAAAATTTACAGGACCTACCGTCGCCGTACGACGCGACGTCGCTGTACTCGAACGCGATGGCGCAGTTCCCGGCTGTGGAGCAGCTGGTACAGCACAAGCAGCCGCCCAGCTATGACGACTGCGTCAAGTACGTGTGTCCGCAGACGGGGCAGACGCTGCAGTACGGCGGCGGGGCGCTCGGCGCGTCGCTCTCGCCGCCCTACTCCAACCACTCGCCCACGCACAGCAACCAGACCACCTCGCCGCACGCATATATAGGCTCGCCGTCGCCGGGCAAGTCGCGACCGTCGCTGCCGACGTCGCCGGCGCACATGGCGGCGCTGCGCCACCACCACCTCGACGCCGCCGCCTACTCTGCGCTCGCGCACCTCAGTGCGAACGGGCAGCACAACGCTCAGCTGCAGGCGGTGATGACGCACGCCGCAGCGCTGGGGCAGGTGCAGGGGGCGCAGCACCCCGCCATCACGAACCTCATGTCTGGTCTTTATGGAAGTTGGGGTATGGGAGACACGTTCCCGACCCCCTCGCCAGAGTCCCCGGATCACTGGTCGACCCCTTCGCCGCAGACCCCGCTCACTCAGTCCCCCCACTCGGATTGGTCGGACCGCGCCGCCTTGTCGCCTAACGACATACAACAGACAAACAAAGGTGCCACTGAAGCGTTTTATATATAA</t>
  </si>
  <si>
    <t xml:space="preserve">&gt;LOC112046850_neurogenic locus protein delta</t>
  </si>
  <si>
    <t xml:space="preserve">ATGCGCGCTTCCGCGGTGCTCGTCGCCCTGCTAGGGTTTCTGCCCCAGGTGCTGACGTCCGGTTCTTTCGAGCTTAGGATAAAAAGTTTCACGAACTCATTAGGTAGATTAAGTAGTGGGCAGTGCTGTGATGGTTCCTCAAGTAGTGATGCGCCGTGTTTGGCGCCGTGCAGGACTAAATTCCGCGTGTGCTTAAAAATTTACCAAGCGAATATCGACACCACATCACCGTGCACTTTCGGTGACATCACTACCCCTGTGCTCGGTGGAAACTCCTTGGACGTGCCCAACATTAACGTGCAAGGATTCACCAATCCCATCGTCTTCCCCTTCGATTTCACGTGGCCGGGCACCTTCTCTCTGATAGTCGAAGCGTGGCATGATTCGAACGAAACGTCAAGATCAGATGATACGCTCATTGCACGGATGACGAAGCAGAGTATAGCCGACGTCGGAGGCCCGTGGATCGAGGAGGACCAGCGGTGGGGTGGTGCGGGAGGGGTGCATCTGAAGCTTTCCTACCGAGTGACTTGTGCGGCGCATTACTACGGGCCAGGCTGTGAGGTGCTCTGTAGGCCGAGAGACGACGCCTTTGGTCACTACACCTGTTCTCCAACCGGCGAAATCGTTTGCAAGCCTGGATGGACCGCCCAATACTGCTCGAAACCGAGATGCCTGCCCGGCTGCGACGCGGAGCACGGCCACTGCCTCAAGCCCGACGAGTGCATATGCCACTCCGGCTGGGTGGGCGAGCTGTGCGACAAGTGCGAGCGGCACCCCGGCTGCGTGCACGGCACCTGCTCCAAGCCCTGGGACTGCATCTGCGAGGAGGGCTGGGGCGGCCTGTTCTGCAACCAGGACCTCAACTACTGCACCAACCACAAGCCGTGCCGCAACGGCGGCGTGTGCCACAACACCGGCCAGGGCAGCTACACGTGCGTGTGCCCGCCCGACTACACCGGGCCCGACTGCGAGAAGTCGCTGCACTCGTGCGCCGTGCGCCCGTGCCGCAACGGCGGCGCCTGCGTGCCGGACGAGGGCGGCGAGCTGGCCTGCGCCTGCCCGCCGGGCTACGACGGCGCGCAGTGCGAGACGCGCCGCCTCACGTGCGCCGACCGGCCGTGCCGCAACGGCGGCGCGTGCGAGCCGCGCGGCACGGGCTACGCGTGCCGCTGCGCGCCCGGCTTCGCGGGGCCCGACTGCGAACTGGAGGCCGACCCGTGCGCCGCCGCGCCGTGCCGCCACGGCACGTGCACGCGCGCCGGCGACGGCTTCCAGTGCGCGTGCCGGCCCGGCTACCGCGGCAACCGCTGCGAGATCGACATCGACGACTGCGCCGGCGTGGTGTGCGAGCACGGCGGCACGTGCGTGGACCTGGTGGACGGCCAGCGCTGTCAGTGCGCGCCCGGCTTCCTCGGGCCGCGCTGCGCCACGCGCGTCGACCTGTGCCTGGCCAAGCCGTGCGCCAACGGCGGCGAGTGCCTGGTGCTGGACAACGACTACGAGTGCCGCTGCCGGCCGGGCTTCGCGGGCAAGGACTGCAGCGTGGACGTGGACGAGTGCGCGTCGGCGCCGTGCCGCAACGGGGGCACGTGCCGCGACCGCGTGGACGGCTACCACTGCGCCTGCGCGCCGGGCTGGGGCGGCAAGGCGTGCGCCGTGTCGCTGGCGGAGTTCGCGGCCAAGCCGGCCGGCGGGCACCTGCGGCGGGTGGGCGACGAGGCGCCCGAGGAGAGCCTGAGCGGGCGGCACGTGGCGCTGATCGCGGCGCTGTCGGCGGCCGTGCCGGCGGCGGCGCTGGCGGCGGCGGCGGGCGTGGCGTGCGTGCGGCGGCGGCGCAAGCGCGCGGCGCACGCGGCGGACGCGGAGGCGCGCGCGCAGAACGCGGCGAACGCGGGCGGCGGCGGGCGCGTCATTCGCAACACGTGGGGCAAGTGCGAGGCGCCCGCGCCCGAGTGCCAGAACGCGCACAACGCGGCGGCCGAGGAGTGCAAGCGCAAGACGCTCAACACGGAGAGCGCCGCGCGCCTGCTGGCCGCGCTCGACCCGCGCCTGTCGCGGCTGTCGGCCGACTCCGCCTACTGCGCCAACAGCGACACGTCGCTAGTGAAGCGCGCGCTGGAGGGCGGGGGGGTGTACGTGCTCGACGACCATTGCCTGCCGCCGACGTTCGCGACGCAAGTGTAG</t>
  </si>
  <si>
    <t xml:space="preserve">&gt;LOC112057117_neurogenic locus notch homolog protein 1 isoform X3 (Notch_2)</t>
  </si>
  <si>
    <t xml:space="preserve">ATGAATTTCATAAGAAGCTCGTGTAATGCAACGATGGCGACGCGAGCGGTGAGAGCGGCGCTGCTCTGCGCATGCCTATTGTTCGTACAACAAGCAAGCGCCGAGCTCAGAGGACGATGTCCCGCCGAAGACGGCGCGTGTCCGCCGCGAGCGACTCCCTGCCATGAGGACGACGACTGCGGCGATCAGATCTGCTGCAACACTTCGTGTGGAAGAACTTGTGTTGAACCACTTTACACTGGCTGTGAGAACATAAAGCTGTCGTCTGAGAGAATATCAAGAGCGCTTGCGGCCGAAAACACGCGTAGTGGACGAGGTGTCATTCGGTCTCCACGATCTCCGAGGTGCAAAGTGTCGGACGGAGAGTTTGAGGAGATTCAGTGCGACAATGAGATTGTTAGCACGTGTTGGTGCGTTGACGCCGCTGGGTTCGAGGTTCCTGGCACCAGAGCGCCTGCGGCAGGGCTTGTCAACTGCACCAACTCAGCTCCATGTGCAGCCCACACTTGCCGAATGTTGTGTCCCCTCGGGTTTGAGCTGGACAACCGTGGCTGTCCGTTGTGCAAATGCAGAGATCCCTGCTCAGGTGTCACTTGTCCAGGACAATTGGCTTGCCAGTTGGAGGAGACTCCGTGTTTGAGGCCGCCTTGTCCGCCTGTACCAACATGTAAAAGAGGTCGTAGTCTACAAAATATATGCCCAGTTGGAGAACCACTTTTGATATCAGAAACTAGTAGGCCCGTCTTATGTGGCACGGATCCAGGAAAACCGAACTGTCCGCCGCTTTATAGATGTCTGGTTGAATCAGGAAACGACTATGGAGTGTGCTGCCCCGCGTCCCTAGAGCTTCAGAAAGCTGGTACATGTCCAGCAGCATCTACTACAGACCTTGATTGTGGAACACCCTGTGCTCACGATCTAGAATGTCCTTCGATGCAGAAGTGCTGTGACGGCGGTGAATGTGGAAGACACTGCACGCTACCACACAACGTTACAATGTGTACGCAGCAGAAGATGCTGGCAGAGTTGTTGGTTGTCAGTGAAAAAGAGGGTAGAGGATACGTGCCCCAGTGTACAGCTGATGGTGCTTTTGTATCGAAGCAGTGCTCGAGAAATGGACTCGTTTGTTGGTGCGTGGACACAGACGGCAACAAACTTCGAGGCTCAATGGGTCCATCAGATACAGTTCGCTGTTCCCCAACCCCTCGACCTGCCCGATCTGGGGGACGGAGTCTAAGCTCCTGTGCAAGAGCACTCTGCGCCGGGGTCTGTGAATACGGCTACAAGACCGGCAGCGATGGATGCCCTACGTGCGAATGTGACGACCCCTGCGCTGGCTTCCCTTGTGCTGATGGAGAGGAGTGCGTGCGAGTGCGAGATGCTGATTGTTCGGGTGAATTGTGCACTGGATACCCTGTGTGTCGTCCCAAAATTTCCTACGACAATCCTTGTGAGGAGGGCGTACCAGCAACTGACGAGGAAGGCTCACTCATAGCTTGTGGTACAGTCCAAGATTGCCCCAGCGGTCACTTGTGCGCTACAGCGCGACGAAGCGGCGCCGCTGTCTGCTGTCCAAACCCTAACTTTATGGACAATTCTACAGACTCGGAGGTTTTAGAAATTAACTTCGAGTCCTGCGGTCCGGAAGCCGAGGCAGTTTGCAGCGTGAACTCAACCATCAACTGTTCGGAAGGCGTTTGTGAGGAGGGTCTCATCTGCTGCACCACAGAGAGCTGCGGCCCTGTATGCGTGGATGCTGCCAAGATGCGACTACAGACCGATAGAGTGGATGATACACCTACTATGTGCGAATATCTTCGTGACTTCGACGAGAAAATGGAAGGAACTGTTGACGGTATGAAGTTGGCACTGCCAGCCCCGACCTGCCAACCCGATGGCTCGTTCGCACCACAGCAGTGCGCCGGTGGACGCTGTTGGTGTGTCGACTCTTTTGGCACGGAGATACCAGAGACCAGAAGTAGCAATGCTTCTGATGTGGATTGTGACAAGTTGCGATCAGAACTATCATGTTTGGAGCTGACCTGTCGGATGGGCTGTGACTACGGGTTCGAGCTGGGCGCGGGCCGCTGTCCCACATGCAGGTGTCGAGACCCTTGCGCTGGAGTGACGTGTCCCGCAGGGCGTGCGTGCGCGCTCGTAGACGTGGCCTGTGACGCGGACTACTGCCCCCCTGTGCCAGCCTGTTTACCCCGCAAAGCTGGCCAGTGCCCATACCTAGTGCCATGGACGGGTGCGTGCGAGTGGGCGTGCCGCACGGACGCGGAGTGCGGCGCTGAGCAACGCTGCTGTGCGACTGGTTGCGGCACTGCCTGCACCTCTGTAGTGCATCAATCTGCTTGTCAGCAACGAAGAGCACTCGCCTTACACACAGCAGCGGAGAGCGGCAACCCGCCGTCCTGGACATGGGTGCCGGACTGCAGGCCGGACGGAACCTACGCGCAGGTGCAGTGCAGCGGGTCCGGCACTAAAATGTGCTGGTGCGTTGATTCTGTCGGCAATGAAATCTCAGGTACCCGATCAACAAATTCGACGCCAAATTGTGATGCACCAGCCAAATGTCCTGACCCTGGATGCGAAGTAGAGGAAATATGCCCTCATGGACGTTTATTGGACAACAAAGGATGTTCCACGTGTGTTTGCAGAGACCCTTGCGCTGAAGCTAAATGTAGAGATGATGAGATATGTGATCTTGTTCCATTAGATTGTGAGGGAGAAACCTGCCCACCACTTGCCCGTTGCTCCCCTTCGCCGCAATGCCCAGAGGGAGAGCCGCTGCAAGCTCCAGATGGTTCGGGAGCTTTGCTTTGTGGGCCGAGTGCTGCAGCCTGTCCCTACACCCATGCTTGTCGCTTCGCACCCCATGACTCGAGGCCTTCCGTCTGTTGTCCTAAGCCACGAACAGTCTGTTTTGAAAGTAAAGACGAAGGTGATTGTGAAAGTGGCGAGGGTTTGAACACGACGCGATGGCACTTCAATCACGAACGCAACCGGTGTGAGAGGTTCCGCTACCATGGCTGCTCGGGCAACCACAACAACTTCCGGACTAAAGACGAATGCAACTCTGTATGCCCTGTGTTAAGTCCTTGCGAACGATTACGAGAAAAGAACGAAGCCGCTGCTCAGAAGTATGGCAAAGGAACTTTCATTCCCAAGTGTGACGCCAGCGGCGCTTGGGAATCAGTACAGTGCATGTCGCATATTGATGTGTGCTGGTGTGTAAGCGCCCGAGGAGAACCGCAAAAGGGGTCCCTAGTACGAGGAGCAAAACCAACGTGCAATTTCAGACAAGCTCGTAAATGGGTGCGAAGGGATCCATTAGACGAGAAAGCAAGAGCTGATGAAGTGCTAGAAGAATTGATCAGACAAATGACAACGTTCAGAGAAGATGAACTCGAAGAAGTAGACGAAGACTTAGATCTCGAGCCCGAACACAGAGGAGGTGATGATCCAATTTCCACAGAAGGTTCATCAAGTGAAGATACATCAGTGCTCTCAGAAGTAATTGAACCGAAGTTAGCCGAAAGTACGAGAAAAAATATAGCGCCAGTCGAAATTGTTGCGGAGAAAATTAGCTTCAAGACCAAGTGTCAGCTGATGCAAGAAGAAATTGATAACGGCGCTGAGGGTTGGAGGCCCAGATGCATGCCGGATGGATCGTTCGCACCGCGGCAGTGTGGTCGAGCGCGATGCTGGTGCGTGGATGCGGCAGGGCAGGTGCGACCTGGTACCAGCTCCTTTAGCACTGAGCCTTGTGAGGTCACACAAATAGAGTCAGCTCTCCTAGAGTTAGAACTGATCGGTGCTGAAGAGGCAATTGGAAATAAGGCCCAAGCTTTACTTGCATCGCGACTCTCCGCTTTGGGCTCCCAAGTGCCAGTAACTGTCAGCAAAGATCGGGAGGCCGTGAAACTACGAGCTATGCTGCCTGGGCCTCGAGCTGCCGATTTGGTTTACCATCTGGAATCGCAGGTCAAAAAGGAAAAGCTATCGGGTGCTAACAAGTCTGACGAAGGCATCATCGGGGCGGATGTCATCCGTAGCGAATACCGACTGGTGGCGCCTATGCCTGCCATTCAGAGGGAGATACTAAGCGAATCCACGGTTTCCGCAGCTACTTCATATCACACCGCTCTCATCGTCCTAGCAGCGACATCTGCCTTCATAATCAGCATTTTATGTGTGTTAGTGATGCTTTACCGAGCCAGATTACAACGGGAACCCCACAAAGCGGAACGATTCCTTCCAGCAGCGCCTCCCGTATACGTGTTGTCTGCTGACGAAAAAGCGGAATTGGCGAGAGTGTTGCACGCCCCGCCACCACCAGTCCCTCCTAGTGAAGATCACACGAGAGTCTAA</t>
  </si>
  <si>
    <t xml:space="preserve">&gt;LOC112046872_neurogenic locus notch homolog protein 1 (notch_3)</t>
  </si>
  <si>
    <t xml:space="preserve">ATGTCGGAGGAGTGCGCGCTCCGGCGAGGAGGCGAGGAGGAGTGCCCCCCGGTCATCGTGTCGTGGGAGGGGGCCGCTGACATTCAGAGCGGAGATATCCTTATCGTGCGCATCGCAGACTCTTCCCCGCTAGACACCTTTGTTAGCGCCGACTCTACCAACGGAACTATTGACACGAACTCTTCACATGATGAGGACAGGTCGCACCACACGATCCCCCAGCCCGCCGTGTACCAAGTGACGCGGCAAGGACACGAACACTGCGACGTCTCTGACGGGATGTTGCTCGATATTACGCCGTTAGACGAGAACGGATCGAAAATATTCACTCTCTACGACAAGGACCTCACTGAAGGCGTTAATTTATTAATAGTTGTATCTGAGACTTGGGGGTCACAATGCATTCGATTGAAGGTCACCGTGAAGTCGGACAACTGCGGCGATTCCCAAGACTGTACAGGAAAGGGCGTCTGCTATACAAATGTATCCATGGAAGGCTACGAGTGCCAGTGCTGCCGCGGCTACGCTGGCCCGCACTGCGAGGACAGAGACGCGTGCAATCCATCACCCTGTCTGAACAATGGCATCTGCGTCGACCTCTCGCAGCCGCTCAACGGCGCTAACTACCACTGTCTTTGTCCATACGGGTTCACTGGAAGGAAATGTGAGAAGGACCCTTGTTATTCTGAACCATGCGTCAATGGAGGATCTTGTATGAGCATGGCAATGAATGGTTCCACAACATTTCATTGCGCTTGCGCCGAAGGATGGACGGGCTCGCACTGTGAAGTGGCAGCTACTGGCGGCGCGTGCGCTGAGAAGCCTTGCGTCAAGGGGATTTGCGTTGAGCAAACGGACAACGAGGTGGACGGAGAGAAGTACCGCTGCTTTTGTGAGCAAGGTTATACAGGTGATAGATGCGAGTTGGAGTACAACGAGTGTGAGTCGTCCCCGTGTGCGAACGGCGGCACTTGCACCGATCGAGTCAGCGGCTTCGAGTGCTCATGTGGTCGTGGGTATACGGGAAACACCTGCCAGACCAAGGTGGACCTTTGCAAGCCTAATCCATGTCCTGAGCGTCGTTACTGTTTGGACCATGGGAACAGCTACTCATGTGAATGTCCCAGCGGTTTCGTAGGCCAAGAGTGCAACAGTGTCGCTACTGTCTGTGACAACAATCCGTGCGCTCATGGCGGCACGTGCTGGAGTGGAGTGGACTCTTTCTACTGCTCGTGTCGACCGGGATACACCGGCAGGATTTGTGAAGAGGACTTCATTCTGGAAGCAGTGATGGACGGCGAGAGTGAGCCGGGTGCGGAGTCCCACGGAGGAGGCTCGGTGCGCGAGATGCACCTGCCTCTGGGCCTGTACCACGACCGTCTGCATAATGTGTACATAGCCGCCGGGACACTCGGCGCGGCGATAGCTATCGTTGGGGTTGTGGTGACAGCTTGCCACTGCCGAGTCAACAAGACGTACTCGCGTCTGCTGTCACGCCTGTCACGTGTGACGGAGCCAGGGCCGCCCCACCACTGGCTGCAGGACAAGCGCGCACCCCCCGCGCCCTTCCAGCCCCCCGCCGCCCTCGACACCACCGACATGTACTACACGCTCGACTTCAGCGACAGCCAGAGCTCCCCGCTCATACAATAG</t>
  </si>
  <si>
    <t xml:space="preserve">&gt;lcl XM_052890735.1_cds_XP_052746695.1_1 [gene=LOC112043806] [db_xref=GeneID:112043806] [protein=protein bric-a-brac 1 isoform X2] [protein_id=XP_052746695.1] [location=95..1726] [gbkey=CDS]</t>
  </si>
  <si>
    <t xml:space="preserve">ATGCCGGCCGAGGAAGACCCCGGGGCGATGGACGGCCGCGAAGCCGCCGACGGCTCGCCGCAGCAGTTCTGCCTGCGATGGAACAACTACCAGGCCAACCTGGCCACCTGCTTCGACCAGCTGCTGCAGACCGAGTCGTTCGTGGACGTGACGCTGGCGTGCGAGGGCCGCAGCCTGAAGGCGCACAAGGTGGTGCTGTCCGCCTGCAGCCCGTACTTCCAGACGCTGTTCACGGAGAACCCGTGCCGGCACCCGATCGTCATCATGCGCGACATCAAGTACTGCGACCTGAAGGCGGTGGTGGACTTCATGTACCGCGGCGAGATCAACGTGTCGCAGGACCAGATCGCGGCGCTGCTGCAGGTGGCGGAAACGCTGAAGGTGCGCGGGCTGACGGACGTGAGCGGCGAGCACGCCGTGCTGCGCGCCGCCAAGCGCAGCGGCACCGCGTCGCCGGACGCGCCGGGCGCGGGGCTGGCGGGCCCGGCCGGCAAGGCGCGCCGCCGCTCGGGCTCCGCGCCGCGCTCGCCGCCCGCCGACCTGCTGCACGCGCCGCCCGACGCGCCGCCGCCCATGCACGACGACGTCGACATCCGCCCCGGCATCGCCGAGATGATCCGCGAGGAGGAACGGGCCAAATTAATTGAAAACTCTCACGCTTGGCTCGGCGCCTCCACATCTTCGATTGCAGATAGCTACCAATATCAGCTGCAGTCCATGTGGCAGAAGTGCTGGAACACCAACCAGAGCATCGTGCACAATCTGAGGTTCCGCGAGCGCGGGCCGCTGAAGTCCTGGCGCCCGGAGACCATGGCTGAGGCCATATTCTCTGTTCTGAAGGAAGGGCTCTCACTGTCGCAGGCTGCGAGGAAATACGACATTCCGTACCCGACATTTGTGCTGTACGCTAACAGAGTCCACAACATGCTGGGCCCGAGCGCGGACGGTGGTGCAGATCTGAGACCCAAAGGTCGCGGGCGGCCGCAGCGCATTCTGCTGGGCGTGTGGCCCGACGAGCACATCCGCGGCGTCATCCGCGCCGTCGTGTTCCGCGACTCGCACGCCGCGCACGCCGTGCACGCCTCGCACCACATCAAGGAGGAGGTGCTCCCCGTCTACCCTGCGATCACGGACGGCATGACCTCGGTGCAGAACGCCTACCCGGTGGCGTGCGGCAACGGGCGCGAGGGCGGCGTGTCGCCCAACGCCGCGGCAGCCGCCGCCGTGGCCGCCGTGGCGCACGGGCTGCGCCGCCAGATGTGCAACATGGTCGTGGCCGCGCAGAGGCCGCCCGACCACCCGGTGCACCTCGGCCTGCCGCCGATGCCCATGCAGTCACCGCGGTTGCCATCGCCGCGCCTGCCGTCGCCGCTCACGGCCGGCTCGGAGTCGCCGCTGTGCTCGCCGCCGCCGCCGGGCCACGCCCTCGAGCCGCCGAAGCCCACCGACCCGTTCCGACCCTTCGCCTCGCCGCGCCCTGACAGCCGCTACAGCGACCGCGACGTCGTCGCCGACATGACCGACATGGGACCGCCTAAAACTCCGATTTCGATGGTGAAGAACGGCAAGGAGATGTCGCTGCCGGTGAAGATGGAGCTGCCGCCGGCGGAGGCGCGCGCGGAGAACATCTGA</t>
  </si>
  <si>
    <t xml:space="preserve">&gt;lcl XM_052888368.1_cds_XP_052744328.1_1 [gene=LOC112056276] [db_xref=GeneID:112056276] [protein=ecdysone 20-monooxygenase isoform X2] [protein_id=XP_052744328.1] [location=175..1440] [gbkey=CDS]</t>
  </si>
  <si>
    <t xml:space="preserve">ATGTCTCTTCCGGGTGTCTTCCTTTTTTCACATTACGTGGAAAGCTTTTGGAGCGCGCCACCGCCTCTCGTTGATTGGTCCGGCGTGCCAACGTTGGTGCTGGCGTTGGTCGCGTTGGTGATAGCTGCCACGGCTCTGTTGACTCGGCCCATAGAAGGCAAGAAGCCAGCGCGCCTGCCTGGACCGGTGGCACTGCCGTTCCTCGGTACAAGATGGCTGTTCTGGAGTCGTTATAGAATGAACAAACTACACGAAGCGTATGAAGACATGTTCAGGCGGTACGGGCCAGTGTTCGCCGAGGTGACTCCAGGGGGCGCCCTCGTCGTCTCCATCGCTGAGCGGTCGGCGCTCGAGGCTGTGCTGCGAACACCAGCGAAGAGGCCTTATCGACCCCCCACTGAAATCGTTCAAGTGTACAGAAGATCGAGGCCTGATAGATATGCCTCTACTGGACTTGTTAATGAACAAGGAGAGAAATGGTTTCATCTGCGACGCCATCTCACCAGCGAGTTGACCAGTCCTCACACCATCCAAGGGTTCATTCCTGAGCTGAACAGCATCTGCGATGACTTCCTCAACTTGCTGAAGGGCTGTCGCAGGCCAGACGGCACCGTCTACGGTTTTGACCAGCTCACTAACCGCATGGGCTTGGAATCGGTATGCGGGCTCATGCTGGGCACAAGACTCGGTTTCCTGGAGCGCTGGATGTCGGGGCGGGCGGCGGCGCTGGCTTCGGCGGTGAAGGCCCATTTTAGGGCCCAGAGGGACTCCTACTACGGCGCACCGCTGTGGAAGTTCGCTCCCACTTCGCTTTACAAGACGTTCGTCAGGAGTGAAGAGACCATTCATATGATAGTCTCAGAGCTGATGGAAGAGGCGAGGTCGCGCACGCGCGGCGCGGCGCAGGACGACGCTATGCAGGAGATCTTCCTCAAGATCCTCGCCAACCCGGAGCTCGACATGCGAGACAAGAAGGCTGCTGTTATTGACTTTATCACCGCGGGGATTGAGACGTTGGCAAACAGCCTGGTCTTCCTGCTATACCTGTTGAGCGGTCGCATGGACTGGCAGCAGAGGATACGCTCAGAGTTACCAGCGTGTGGCGAGCTGCGTGTCGAGGAGTTGTCAGCGGCGCCGTCGGTGCGGGCGGCTGTGAACGAGGCCTTTAGACTGCTGCCCACCGCGCCGTTCCTCGCGAGACTGTTGGACGCGCCCATGACTGTCGGTGACAACCGGCTGCCAGCTGGGGTAAGACGTTCGTGCTAG</t>
  </si>
  <si>
    <t xml:space="preserve">&gt;lcl XM_024095234.2_cds_XP_023951002.1_1 [gene=LOC112055213] [db_xref=GeneID:112055213] [protein=pupal cuticle protein] [protein_id=XP_023951002.1] [location=149..832] [gbkey=CDS]</t>
  </si>
  <si>
    <t xml:space="preserve">ATGCAGTCAATGATTATCCTTGCCGCTTCCCTGTGCCTCGCGCACGCATCCTACTACGCGGGCCCGCCAGCGCACATAGCACTGAGCGCTGACGGCAAGTACGTGCTCGACACGCCCGAAGTAGCGCACGCAAAGGCCGCTCACCTCGCGGCGCACGCGCAAGCCTCCACCTCGCACGGCGCCTGGGCGCCCGCCGGCGGTGCTTACCTCGCCGGGCCCGCGTACGGCTCCGGTGGACACTATGGTGCCCCTGCTGCTGGTCTCCACAAATACGGCCCCGCCCCCCTCGCCCACGACGGTCGCGTCATCGACACCCCCGAGGTCGCCCACCTAAAGGCCGCTCACATCTCCGCTCACGCCGCGGAAGCAGCTAAGGCCGCTCACGGCGGATACGCCGGCGTTGGCGCTGGATACGGCGCTGGTGCTGGATACGGAGCTGGATACGGCGCTGGAGTCGGCGCTGGCTACGGCGCTGGCTACGCTGGCAACTACGGCAAATGGACCGGCCCTCAAGCGCACATCCAACTCACCCACGACGGACAGTACGTCGTAGACACGCCCGAGGTCCAACACGCGCGCGCGTCTCACTTCGCCCAGTTCGCCCATGCCGCGCAAGCCGCCGCCTCCGCGCCCGAAGAGCCCTGGGACGCCCACAGCGCCCACGGTGCCCACGGCTGGCACTAA</t>
  </si>
  <si>
    <t xml:space="preserve">&gt;lcl XM_024098582.2_cds_XP_023954350.2_1 [gene=LOC112057967] [db_xref=GeneID:112057967] [protein=growth arrest-specific protein 1] [protein_id=XP_023954350.2] [location=289..1011] [gbkey=CDS]</t>
  </si>
  <si>
    <t xml:space="preserve">ATGTGGTGGTTACTGGCACTAGTATGTCTGACGGCAAGCGGCGCAGGCGGCACGCCCTGCGAGGAGGCCCGCATGCGGTGCGCCTACCGGGCCGGCTGCGGCGCCGCGCTGAACAACTATATGTATCTGTGCAACGAGGTGCTCACCAAGCCCATCAGCTCGTGCCCCAATGAGTGTGGCCACGCACTCATCGCACTCACGTCCACTGAAGAGGGGAAGGAGCTAATGAATTGCCAATGCGAAGACGAGTACTGCTTGGAAGCAAAACAACGGATCGACGTCTGCAGGCCATTGGTGATGAGAGGCGCTGCCAACGCCACAGCGTCCTGTAGACTCTCGCAGCTGATCTGCTTAGCTGACGCGCAATGCGCTACGGCTCTGAGGTACTACAAGGAACTCTGCAGATCAGTGTACCGCGGCAGAAAGTGCTCCAACAAATGCCTAAACTCCATACAAATTCTTCGCAAGCAGGAGAAAGCTGCGGCGCTTCAAGCGTGCCACTGTGACGGCAACGAAGACTACGATTGCCCCAAAATGCAGAACAATCTAGCTAGATTATGCTTTCACAAGCATTCGAAGAACCTTACAAACAACTACCAGAGAGGCTACGAAGAGAGGCACAAGAAACATCACCCACAAGTGGTCTCCTCAGCGAGTTCTGTCACCACATTTAGTGCATTATTTATACTTTGCACATTTTTCATGATTAAGCAGAACACGTGA</t>
  </si>
  <si>
    <t xml:space="preserve">&gt;lcl XM_024094531.2_cds_XP_023950299.2_1 [gene=LOC112054669] [db_xref=GeneID:112054669] [protein=heat shock protein 67B1-like] [protein_id=XP_023950299.2] [location=57..1211] [gbkey=CDS]</t>
  </si>
  <si>
    <t xml:space="preserve">ATGTCGCGGTATTTTGCGTTCTTCGCGCTCGTCGCGCTCGCGGCGGCCTACCCGGCCAGCGACGACTTCCCTCGCCCCATCACAACAATAACTGAATCGGACTTCGAAGACCAATCGCCTTGGTTCCGATTCCCACCTTTCGGAAACATCTTCGCGCCGCTAACGAAACTGTTCTCAAGTTTTGCGGAGATCGGACCGAAGATCGAAATTGACGAAGACAAATTCCGTGTCATCGTAAACGTTAAGGATTACAAGAAGAAAGATCTGAAAGTTAAAGTGAAAGGTGATTACATCCTCGTCCAAGGAGCGCACGAGGCTAAGCATGACGACCACGACTTGTTCGCGAGCCAATTCTTCCATACGTACAGCCTTCCGTTGAATGCTAGTGCATCAGATGTCACTGCTACTTTGTCTAGCGATGGATATTTGGATGTAACCGCTCCTGTGAATGGTGTCGATGACAAGAACAAGGTTGTTGATAGAGAAGTGCCAATAGTTGAAAGTGGCAAGCCGTTGAAAGAGGATAAAGAAGATAGAGAACCTGTTGTACCCGTCGCTAGTGCAGACCCAGTTGAAACTGTTGATAAGACAGAAAATGTTGATAAAATCGAAACTTTTGACACGCCAGTAGAACCTTTAGCTAAGGTCGAAAATGCTGATAAAGTTGAAAATCTTGAACCACCCGTGGAACCGAGTGCCAAAGCTGATAATGTTGATACGATTGAAGTTCCAAATGCACCAGTAGAACCTCTAGCTAAGGTCGAAAATATTAATAAAGTTGAAAATCGTATCGCGCCAGAGGAACCTATTACCAATGTTGAAAATGTTGATAAAGTTGAATCTCCCGCTGTACCAGAGGAGCCAGTGGCAAAGGTTGAAAATGTTGACAAAGTTGAAACTCCCGATGCACCAGTGGTGCCTGTTGCCAAGGATGAAAATGTCGACAATGTTGAAACTCCCGACGTATCAGTAGAACCTCTACCTAAGGTCGATAATGTCGATAAAGTCGAACAACTCCCCGAAGTGACAACTGCAACAGCTTCTGAAGGTGAAGAAAAGACAGAGGCCCCGACGACCCAAGCGCCAGCACGTGAGGAGGTAAAAGAAGACATCAAAGTCCCCCAGGACAACGAAGTAAACGAAATCCAGCCCTAA</t>
  </si>
  <si>
    <t xml:space="preserve">&gt;lcl XM_024082035.2_cds_XP_023937803.1_1 [gene=LOC112045732] [db_xref=GeneID:112045732] [protein=homeobox protein araucan isoform X2] [protein_id=XP_023937803.1] [location=231..1658] [gbkey=CDS]</t>
  </si>
  <si>
    <t xml:space="preserve">ATGATCGTCCCTATGGCAGCGTATGCACAGTTCGGCTACTCCTACCCCTCCGCCTCGCAGTTGCTGGTGGGCAGCAGCGGCGGCGGGAACGGGGGAGCGGCGACGTCGCCCGACGGCGGGTCCAGCTCCGGCCCGCCGCTGTCGCCCGGCGGGTCGGGGGTCGCTGGCGGCGCACTGTCACCGGGGGCCGGCTCGCACGCCAGCACCCCCGCCGCGCCGTGCTGCGACACCCCGCGCCCCATCATCACCGACCCCGTGTCCGGCCAGACGGTGTGCTCGTGCCAGTACGACGCCCGGCTAGCGCTCTCATCGTACCCGCGCTTGTCCAGCGCCGCGGTCGGCGTCTACGGAGCGCCGTACCCGTCCACGGATCAGAACCCTTACCCCAGCATCGGGGTTGACAGTTCGGCGTTCTACTCGCCTCTGAGCAACCCGTACGCTCTGAAAGAGGGAAACGGCGAGATGTCAGCTTGGACATCGGCGGGCCTTCAACCCTCCGGCGGCTACTACCCCTACGACCCCACGCTCGCGGCCTACGGATACGGAGCGGGGTACGATCTAGCAGCCAGGCGGAAAAACGCGACGCGCGAGTCCACCGCAACACTAAAGGCGTGGCTCAACGAGCACAAGAAGAACCCGTACCCGACCAAGGGGGAGAAGATAATGTTGGCCATCATCACCAAGATGACGCTGACGCAGGTGTCCACGTGGTTCGCGAACGCGCGCCGGCGGCTCAAGAAGGAGAACAAGATGACCTGGGAGCCCAAGAACAAGACAGACGACGACGACGACACCATGCTGTCCGACGAGGAGAAAGACGACGACAAATTAAAACCAAACAAAGATGAGGAAAGGAAGGGGGACGAGCTTCTCCAGGGCATGCACAGTCAACTACTCGGCTACGGGATAAAGGAGGAGTCCAAGCGAGGGACTTCAGACTGCGGCGTGCCGATACCAGCGTCGAAGCCCAAGATTTGGTCTTTAGCAGACACCGCGGCATGTAAAACGCCGCCACCGGCCGCGCAGCCGTGGCCTCAGCATGGATACGGGCCAGGGCCGGAGCGGTCGGTGTCTGACGGTGGTGCAAACGGGTTCGCACTACCTGCGACGGCGGCCGCGAGTCCAGCGAGCGGGTCGTATGGGAGATACGGCGGTTTCCCCGGACAGTACAACCAGCATCCGTGCGTGCATCCAGCGGCGTTCCCCGACGTTCAGACTGACACTCCGCCACAAACTCCGCCCAACATGAAGGTGCCCAGCGTGGCCAACCCGCTGGGCAGCGGCGGCGGCTCCGGCTATTGTTTCCCTCGGCACCAGCAGTCGCCACAGCGGGACCCCTACCACAACCCTCACCATGCGAACAACCATCAACCCAACCAGCACCACAACGAGGGTTCGGCCGCCTTTAAACCGTTCTACAAAAGGTAA</t>
  </si>
  <si>
    <t xml:space="preserve">&gt;lcl XM_052886037.1_cds_XP_052741997.1_1 [gene=LOC112054415] [db_xref=GeneID:112054415] [protein=uncharacterized protein LOC112054415] [protein_id=XP_052741997.1] [location=119..700] [gbkey=CDS]</t>
  </si>
  <si>
    <t xml:space="preserve">ATGGCTAATATGGACATAGGGATAATGCCAAGAAAACGCGCTGAACATGAGCCAAGGCTAGTTCTGCAGCAATGCTGTTTCTGCTGCATCCGTCTGAGGACCGGGAGCCTCATCCTCGCCTACTTGTATCTGATTGGCGTTACCCTGAACTTGGGTTATGCAATTATGGGTATGGCTACAGTTATTTCTTATTTAATACAAATGTCGGAGTCATTTAGACCGGTTCTGATCAAAATTACACTTCTTACATCCGTTATATTGGTTTTAAACTTTGTCACTATACCCTTTAATGTACTTCTCCTCGTAGGATTGCATACGGAGAGACCACGTTATGTCAGAACATACATAATCTTTCAGATTATATGCACCATACTGACTGCTTTACAACAAATAATTACGATGTGCATTGTCACACAAATATTTAGTACTCTAGTTGGAGTATTACTAACCTTGGTTTATATTGCTATCAACGTGTATTACCTACTTGTGCTGAGAAGCCACTACCACAAGATGGTGGAGGGCTCCGACCAGCGCTCCCAGATGTTCCAGAACAGTCGCTTGACTTTCGCGCCTAAAGCATAA</t>
  </si>
  <si>
    <t xml:space="preserve">&gt;lcl XM_024094536.2_cds_XP_023950304.1_1 [gene=LOC112054673] [db_xref=GeneID:112054673] [protein=protein lethal(2)essential for life] [protein_id=XP_023950304.1] [location=63..815] [gbkey=CDS]</t>
  </si>
  <si>
    <t xml:space="preserve">ATGTACAAATACGCGCTAGCACTTGCACTGCTCGCCGTCGCCGGCTGCGAGGAGAGACCCCACAAGACCACCCAGTATGTGGACCCCTTCGCGATGATCGACCGACACTTCACACACTCACTGGCGTACCACTACCTGTGGCCGTGGAACCAGCTCATACGCGCCGCGGCCGCACTGGACATCGAGGAGTCCCTGGAAGACCCGCAGATCATATCGGATTCAGAAAAATACCTAATCAACCTGAACGTCAGAAGATTCAAACCGGACGAACTGAAAATCAAAGTGAAGAACCGACACATCATCGTCGAAGGCAAACACAAGGAGAAGGACAACGAGAAGAAATACATGGCGAACCACTTCGTGCAACGCTTCGTACTCCCGCCTGGCACGCAGCAGGAGGAAGTCAGAGCGGTGTACAACGAGAAGCGCGTTCTGTCTATAACGGCACCGAAGCACGAGCTGCCGCCGCCTCTGCCGGAGAGGGAAGTGCCGATCGAAGTTATATTGCCAGAAGAGAATACCGAAGTGGTCGCTGAAAAGCTGGAGGAGGACATAAAAGAGACGGCGGCGCCATCGATTCCCACTTCATCAGTTACCCCATTAGAACAAATCGACTTGGAGGCGACGACTCACGTCGGGAAAATAAGGAAGAAAGAGCTGAAAACAACAACGAAAACGACGAAAGATAACGAAGTCACGAAGGGGATCGACGGCAACGGATTGGATTACGCGCTAATCGAAACCGACGAGTGA</t>
  </si>
  <si>
    <t xml:space="preserve">&gt;lcl XR_008251439.1_gene_1 [gene=LOC112055720] [db_xref=GeneID:112055720] [location=1..8922] [gbkey=Gene]</t>
  </si>
  <si>
    <t xml:space="preserve">CCTTGCGAAAATTAATACGTAATCCCACGTGCCGTGTGTGGTTTTAGCGAATATCAAACAAATGATGTAGCGATAAGCGATGTTTATCTCGTCCGAGGCGGCGCCGAGCGAGGCGCGCCGTTGATGTCGAATGCGAGGGCTCGGTGCGTAGCTCGTAGCGTTATCGGGAAAGCGCGGGAAAATCGGCGGCTATCAGCCATTCAGCTCATACGGTGCACCTCAGTTGGCTCGCGCCTGCCGTCGGAGATGGATGTGTCCGTGCGCGCTCTGTTCCTCGCACTCGCGGCGACGATCGCGATCGCGCGTGCCCACATGTCGCCCGCCTCCCACGACAACATACTCAGAGTACAGCTCTGGGACGCAGAAGGACTGAGCCGGGAGTCCGTTTCCACGGAACCCTCGACGACTGTCCGCAACAAACATCGCAGAGTCAAAGTTAACTTGGAGGAGTTGTACGATGCGATGATGGGTGATGAGTACCACGGTGCCGAGAGGTTCGCGCGGCACAAAGTCAGGCACAAGAGACGGCGGCCCCGGCAGAGTGGGACCGACCTGCCGTGGAGGTTCCACTCGGGCTCCGGGTTGCGGAACGTGGCTGTGTTCGACGACGATGTACCCTGGGACGTCATCGAGGGGAGGAACTCTGGAAGCGTGAACGCTAGTGCTGTGAGTGATTCAAGTGCCCCAGTGAATGTGGAGCGGGAAGTGTCACCGCCGATGAAGCTGCGCCAGGACGAGGAGGACGAGGAAGTTAAGAAACAACTGCCGGTCGTGCCGAAATGTTGTGCGAGCGGACAAAACTTGTCGCTTTCTGTCGTCGATGGCAAAGTCAAATCCGTTTGTTCCCGCTCCACGCTCACGTTCCAGCCGATATTCCATAAAGCGAACGAAACGCACATATGGAGTTACGAAAGCAACGTATTCGAGACAATCGTCGGCAATCCCTGCAGTTACGACAGATATAAATTGGAGCCAGATAAAGTCAGCGGAGATGAATTTTATCTTCTATTCAATGGATCTCTTTTTGTGCCATTCAGTCATCCGCCTCTGCTTGGCACAAGAGACTATTGTATGGAGACGTTTTGGAATGAATCCAATCCAGCAGGAGTTACTCTTCCATTAGTTTGTTTTCAATCGCCGATAGAGGAAGCAAATTCATCAGCAACTCTTATAGCTTATGCAACAGGTCTGATAATATCGGTGCCGTTTTTACTGGCGACGGCCGGCATCTACACGTTTATAACTGAATTGAGGGATACCCACGGCAAAGCGTTAGCTTGTCACTCGATTTGCCTTGCCGTAGCTTTTAGCTGTTTAGCAGCGACTCAGTTAGCAGGCCACGCCTTTCCAGTTACCGCTTGCACTATTATGGCGTACCTCATCCAGTTTTCGTTTATATCTTGCTTTTTCTGGCTGAATGTCATGTGTTTCGATACTTATTTGAACGTACGGCGATATATTCACTCATCAGTAAGCAGACGGAGTATGAGGCGAAGATTCGCATGGTACTGCGCGTATGCCATTTTGTTACCAGTCATATTGTTAATAGTCACTATTACTATGGACTTGTCGCCTGCCGTCCCTAGCACATATTTGAAACCTAACTTTGGTGTCAAAGGATGCTGGTTCAAAACGGACCAGGCGGCGTTGCCTTACTTCTATGGGCCAGTGGCGGTCATACTCTTTAGCAATCTCATAATTTTTTTATTCACTTCAAGAGCTTTCGCCAAGAATTATGATAAGCTTAAGGATGTCACGCCACTAGATATAGCGCACGCCGACTACAGCACGTCAGACGACTGGGTGCGACTCAGCACGGTGCTGGGCCAGCCCCTACCGGTGCACGAGCGCTCGTCGCCTCCGCGGGAGCAGCCGCAGATTAACTTCACTCAGCGGCTGAAAAAGTACAAGAAAATATTCCGGACGTGCTGCATGCTGTGCGTGATAATGGGCCTGTCGTGGGTGTTGGAGGTGGTGTCGTGGGCGGCGGGCGCGGGCTCCACCGCCGTGTCCGTGTGGTCAGTGTTCGACCTCATCAACGCGCTGCAAGGCGTCGTCATATTCGGCATCTACGTTCTGCAGCAACCCGTCCGATCTATTGTTAAGTCGTCAGAACTTTGCAAAGTGTGCAGAAGAAAAAAGGACGGATCGGAACTGTCAGTTGTAAGTGATAGAAATAGCATCGACTGCGGCCGCGGTCGGAGAGACTATGTGTAGGTAGAAAGTGCATTGTGCAATGAACGTTGGTGTAATTTACTAGGATGACGTAATAATGTGACGCTGAGACTGATAATAGTATTACGCTGGATGGGTTTTAGGAGATACGACTTAGAGCGGGGGCACATGATGCGGCTACGGTGCGGCGCCGGAGCAGTGTCGCTGCGTCGTCTTACATAGAAATATCTGTGGCATGTCACACGATGCGTTGCGGCGGCGGTGCGGCGCCGGAGCGGTGTCGCTGCGTCGTCTTACATAGAAATATCTGTGGCATGTCACACGATGCGCCGGCGCCGCACCGGACTTGCAACCACCGAGACGAGGCGGAGAGGGGTGAATGCGTTGCGACGTCAGAGCGGCACCGCTCAGTTGTTTATGCGTCACAACATTACTTTACTAACAGACTGTCCAACGCTGCTACGTTGCCGCTGCGATATAACAACGTTGCGGCGCCGCACCGCTCGTGTGTCCGCTGATACGGTGAAATCTTTGCGATGCGGTGCCGCAACGCATCGTGTGCCTTCAGCCTTAGGACATCAAATGCAGTATTGGGATAAATTAGTTTGGTTAAGGTAAAGTTGTGTTTAAATGTATTGTTGCGCTTGGATATTTTTCGACATACGACAAAAACGTAACTAAGCTAAACCTTCTTCATTTTATAAAAGCTAAAGTTTGTAGTAGCTCATAGCACAGGTAAATGCGGTAATTAAGCATCTTGGAGGCTTTCGGAGGTACCAGGTATTAAAGCGTATTATTTTTCTTTTAGTAACTGGCAGATGCCCTGCGGTTTCAACCGCGTAGTTCCGGTTCCCGTGGGAATACGGAGATAAAATAAAGCCATAGGATAGGACACAAAAAACGTGGGTTTTTATTAATAAAAGAATTTTCAAAATCGGTTTAGTATATCCAGATATAATCTACAATCTCACACACTTTACCTCTAAAAATATGAGTATTGAGTAGTACCCATAATACATGCTACGATTACTTTGGGGCTAGATAGTGATGTGTGTATTGTATGTGTATATTTATTCATTTCATTTTGTTTTCTTTGTGATATTAAATCATGACCTCAGTCGCCCTTTTGCTTGGTGGCAACCCTTTGATGTAAAATTTGCGCTTTGTGCTGGGACAATTGAGAATCTGAAAATGTTGTTGCCTGCTACACCAACGATATTTTATACTGTAGATATGTTACTTTAAGTTAGCTACTTCACTGAGCGCACGTACCTATGCATAATTTTGTATTTATTCGCATTATATGTATATTTTATATTGTATATAAAGTTTTTACTGTACCTGAACATACAACTTGACGTTGCAGATAATATTTAGATATTATTTGTTCAAATTACTTTTGTTGTTTACTATGTGATATGCGACTAAATGAAATTAAGAAAATTAGCCACTTTTGTTCGTCTCAGTTTTGACGCCTTAGTGACATATCTAATAGTATAAAATTTGTGTGCTGTGAGCTCTTTAAAAAAAAGATACCATGTCCGGCTCTCCATTCTTGCTTAACCTACTTTAGTAGGAACATGAGCTGCAAAACTTTCAGCGTTTATAATGTGAAGGTGAAATGATCACAGGCTCACAGGATCTTTCAAAGTAATTATTATAGCTTGCTTGGTACGTTACCTATATGATTCGCATAACGCAGGCCGCATGACTACTTATGGTAGGCGTCCACATATCCGTAGGTAGGTGTTGGGCGCACTTCAAAATGTTAAATTTTACGGCAGATAGAATCCGTTTAGTGTGATCCGTACGTTCGGATCAGTGGACGCACTTGTATGACTTTCTTTACTAAAATCCGTTTGATGTGATGCGTCTAATACGTGTGGACGCCTACGTTTAAAAGGACGTTGGTATAAAATATCATTGGTATGTTATTATTATTGTTTTATTTATGTAAAATTTATTTAAATATCAAAATAGTTGTTTCAAATGATTGATAGTCCGGAATGGTTGAGTTGATGTGATCGAAATTGTTTTTAAAATAAATGATTTGTTTTAGTAAAGTAATATTTAAATTAGTTATATAGTTTACCTTTAATCTGTTTTTGTTTGAAATGTAAAATATTGATTCTAATTATTAACTAATTGTCCAAGAAGAATAAGTTTGGCTATGAGATCAAAATTGTTTAATTCAAAATGTTTTTTATTTAGATATTTTTTATTAAATTTAATTAAGTTGACTTCAGGTTATACAAAACTAAACGGTAAAACAAATTAACTAAAGCTTATTTTCATCGCATTCCTGTGATAGTGTATTAAATAATTTATTTTCAAATACTCCGTACTTTCACGATTACTTAATATTTATACTGTTTTCACAAAGTTTCTCAGGAAATGGCCCATAAGGTGAAAAGTTTGTGATATAGGATCGTTTCCTCAAACATTTGTGGGACAAACAATATAGATACCTATGTCAGGTAAAAGGATCAACTTTTGAAAAGTTGTGTGAAAACTGCTATAAAAGCTATTTTTTATTTACTCAAATTTCCCCGAATTAAATTTGCAACCTTATTAAGTAATTTAGCATTAGTATTGTAGCTGTAAACACTCAGTTTTAAACATAATCTTGACATTGTTCATATTTCTCTTACAAAATAATATTTTTCTAAACATTCAAAGACAGGTACTGGATTTTTATTAAAAAAAAATTTATATGTAAATGAAAATTTAGAAATTTAATTTTAACTGTATTTAATAACTTTAGGGGTAGATTTACATTTTTTGTAGTCATTACATTAATAAATATACTTAATGCCACGCATTCACATTCACAGTATACTATAGGTACATGTATTTTGGCGAACTTTATGGATAACTAGGAAAACATAAAATAAACTAAAATAAGCCCAATGTCTAATGCTTCAAAGTTTATATTCGATCATTTTTTTCACTGACGTTAATGAATGCAGTACTGTTTTTGTTTTGCTCAAAATTTTGCCCAAATCCTAGACGACAGAACTTACATGACATCTTTGTTAAAATAATACAAAAAACGGAAAATGTCGAGTTCGTTAAAATTGACGAGAAAATTCCTAAAAAGCGACAATGAGCTTAGTAGGTATTCGAAGAGAGCGCATTTTAGTGTTGATTTTTGGAAAAGAGCTTGTTACATAATTCGAGTTATAATAACAGTGAACCTTTGCATAAATTACTTTCAGACTGAACGTGCCCTTACGTGCTATGAAAACAGTTTAAATATAGAACAATAAGTACTTGAAATGTACGTGAGTATTTGCAGAATTATCAAAGTATTTTCTTATATAATAATCTATATTTAGTAATTTAAATTGTGTTTACCTGACCACTGAATTCATTTACGATATAATTATTACGATTTGTATAGCCTATAAATTGTACAATTTAGTTTGGATAGCGAACGGAAAGGACGACGACACAACGTTGGCGTGAACAGTTGTGTGCTTGTATTAGTTGGTACAAGTACACGTCATAAGAGCTGTCGCGTGGCACAGTCGCGTTGCGTCGCCGTCGGTCGTCGGACGGGAATACAATGAAAGCGCGACGGGACGGGGCGTAAGCGTTTGTTGTCTATGAGTTTTCCATTTAGTTGTCAAATTGACACCGAGACGGCTGCACGTCGTGCCCAGCCCGATGTCAGATTTGCGTTTTACTTCAAAAATTGCCGTGAAAACTGGAAAAGTAGAATACAACTTTACGACATTATACTTGGCTACCTCATTGGTCCGGGAGTTAATCTATCCAGTTTCGGATTATGAGATATTCGGTTAGAATCTCTTGCATGTTTGTTTTTGAAATCACGCCACGTGTGTACGGTGTGTCCGCCCGTAATGTCATCCATGTTGCGTTGCCGTCCCGCTAGAGTCGCGTCGCCGTTCCGTTCCGTTCCATTCGTTGTCTGCCTGTCCTTTATGTATAATGTATAGTCTATGCAGTTTTCAGTCACTTTTCATAGTGATGTCACGTCTTTATATTCAAAGACAAGTACACCGTATGAATTTGGTGAGGCGTCAGGTAAAAAATATTTCCATATATGTACCTAGGGTGTCTATTATTCTGAGTCTTCACTATTAACCGTGTAACTATTGTACTTTTGTTCCTAACTCTGTTACTAATACACATGCACAATTTAATAGATTGCTTCGTCAGTATATTTAGTAGTTTAATGGTGTTTGAGTTGAAGTTACCTAATGTTGCATTAAGTTTGCTGCACTCTTAGGCGTACGTTTATCAGCTAACGATAACAGGACGATAACGATAAGTACTTATTGCAATTATTTTGAAATTGAACACATATTTCCAGTTAGAAATTGTAAATTTTAATAAAAAAATTCAAATACAATGTATGATACATATACCACCAATTTATTTCTAAAAATATTAATATATTCTAAAAAAATAAGTAAGACTTTCTTTGTGATTATAAGTGATTCGTAGGTGAAAATACGAGACTTATATCTACCTACATACACCTATATAATTGCATGATATGTTTGTTTTATTGAGCGTGAATAGCCAGTGATGTTTTATAGATTATTTATGCAGCTGTTTTATATAATAATTAAATTAACGACTTTTACTCTTTTTATTTCAAATTTATATGCAATATACATATTCAGTTATAATTGTTATAATTTTATCAATATTTAGATCATTGACATAAACATTACGTTTATAATTATTATTTTATTAATTTAATTTGTTGAAGAAAACGTACGCCTCAGTGGTCAAAGACTTTTACAGCTTGTTGTGACGTTTGTTAATAAAATTATTATTATTATTAAAAATAAAGCGTTTAAGAAATTAAGAAAACACATATTTTTATAAGTAAGTACCCATGACCAAGACGTTGGTGGTTGTTGTATTTAAGAATAAAGTCCTTTTAGATATAGGGCTTTGCAAGGTCGGGCCCAGACTTATGTAATGATGCGATGTGTAATGTAAAGCAATACAAATTGTGGTAACACAAAGGTAATAGGTATTAGTCAGGGATCCGTAGAACATTTTGTACAACTGATTACTATGAAGTTATTTTTTCGTAACTTCAACGATGAGTTCGATGAGACGTTCAACTTTTTATTTACGAAAATCTTTTAATTTCCTAAGTAACCAGGAAATAAAAATTTCTGAGCGTCGGAAAGAGATAATGTACGTCGCAATTTTTATACAACTTAACAGCCACAATTAATTACATAACATCGTGCCTGTTATTAATCTATTTATTAATCAACAGTAATAAAAACATCTGGTTAACAGCCACAATGTCCTACAAATTGCGTGGTACATTATCTCGTTCTGACGCTCAGAAATTTTCATTTCTTGGTTACTCAGTTAGCTACTAGAATCAAGAATTTTCGTAAATAAAAAAGTTGATCGTCTCATTGAGATGAAGCTACTTATATAAAATTAACTTGATAGTAATCAGTTGTAAAAAGTGTTCTACGGATCCTGGACTGGCTATCTTGTCCAATTACTAAGGGTCTACAACGGGCGTTATATATCTTTGTTTTCGTGTAAACATTTCCATTTTGAAAGATCAGCTTAAGTTGGTGTAGTACTTTTGTAATTTGCTTTATATTATACAAAATTTTACATTCAGTTACATATGTCTAGATCCGTTTTGAGAGACAAGTTTAGTGCCATAATATAGCGAAAATAGAATACTAGAACAATGTATGGTGCGATTTATTTCCTTGATGAGAGCTAGTCATAAATCTGTAATTAACTAACATTTAAGATTAATGTAATAGATGTTAGACAATTTATTTATTTTTTAATATAATAGGGACATACAATTAATGTTTATTTTATTGTTTTATATTAATTAGTTATTATAATTTTGAATGATATTTACTAAAGAGTAGGCTTTAAACTTTTTGATTACTTTTTTTATTTTTAAACATGTAGGTTTACAGTTACATACTAGTAATTTTAACTATTTAATTACATAATTATTGTATTGGTATATAAATCAGCCAAGTGCTATGGTTTTTAAGAATAACAAAAAAAATATTCGCCTTGGTAATGTATAAATGAGATGTGAGAAATATGAGTAAATGTTACTAGTGCTGGTTGAATTATTAATTTTTTTATTATATCGAACTTCCAAGAAATGTATATTTTCAGCCTACTGTCTAATTTTGCAATTTCCTCGTTTTTCCATAATGTTCAAAACTTGTAACTGGCGATATAAAGATGCCGCTGCTTTAGCTAAATTATACGTATCTTTGTTTTGTCAACGAATACAAATAACGCTCAACGACAATAATTAGAGTTGTAACTTTGTAGAGCATTACAATTTATTTATAGTCTATGAGTCCAACAAGTAAAGTGTGGGAAGGTTCATAACTATTTTATTTTGCTTCAATAAAAAAAAAAATTAAAGAAACAGAGCGTTTGCCTTTCATAATTTACTTCTTGAGCTCCTGTAAATTTAATCTTTAATTTTTGTTTAAAAGTGTTTAGTAAAACAATATATAATAAGGTTTATGTAAAATTTATCGTAAGAAATGTGTACATTTTTGTTCATGACTTATGTAAATGATTATTATTTTGTTCACGTAGTATACGTAAGTGGATATATAATAAAAAGTGCGTGTGTAATATATTATTGTTAAATGTTGCGGAGTTTTTAAGTGAAATGACGATCAAAATGATGTATATTTGTCTATTTTGCAAAACATGACGTTAAATAAAGAAGCTTTATAATAA</t>
  </si>
  <si>
    <t xml:space="preserve">&gt;lcl XM_024095507.2_cds_XP_023951275.2_1 [gene=LOC112055415] [db_xref=GeneID:112055415] [protein=atherin-like] [protein_id=XP_023951275.2] [location=131..787] [gbkey=CDS]</t>
  </si>
  <si>
    <t xml:space="preserve">ATGGCAGCTGCCCCCACACACCCGGCCCCCGCGCCCGAGCGCCGCGCCGACGCCCGCGCCGGCTCCCGCCGCATCTTCCCTCCGCAGTTCAAGCTGCAAGTGCTCGACGCGTACAGGCGCGACGCGCAGTGCCGCGGCAACCAGCGCGCCACCGCCAGGAAGTTCGGCATCCACCGCCGCCAGATACAGAAGTGGCTGCAGGCCGAGCCCGCGCTGCGAGCGGCGCTGCTGAGGCGGGCGCCGCAGCCGGCCCCGTCGCCGCCGCCGTACTGCGTCGGCTCGCCGGAGAGCGCCAGGCTGCCGTCGCCGCCGCCGGCGCCCGCCGCGCCGCCCACGCCGGTGGCCGTGGCCGTGCCCACGCCGCTGCCCGCGCCGATCCCGGTGATCGCGCCCGCGACGGAGCCCATCGACCTGTCGGTGCGGAGGCTGGCAGCGCCCGCGCCGCCGCCGTCCGCCCCCGAGCCCCGCAAACCCTTCAAGCTGTTCCGGCCGTACCTGCTGGACGACTGCGCTCGACGGCCCGCGCTGGCGGCGCTGCCGGCGGGCGGCGCGCGCGTGTCCGCCTTCGTGCCCGTGCAGAGCGCGGCGGCGTGCTCGCTGGCGTGCGCGCCGCGCTGGGGCCCGCCCGCGCCCGCCTTCCCCGCGCCGCTCAGATGA</t>
  </si>
  <si>
    <t xml:space="preserve">&gt;lcl XM_024079361.2_cds_XP_023935129.2_1 [gene=LOC112043786] [db_xref=GeneID:112043786] [protein=cell adhesion molecule Dscam2-like] [protein_id=XP_023935129.2] [location=217..4722] [gbkey=CDS]</t>
  </si>
  <si>
    <t xml:space="preserve">ATGAACATCGTCTGGATTATCGTGATAACATCTTTGTGGCATTCGGTTGTTGCTACAACTATAAACTTCATTGAGTCGAAGAAACACGAAGACCACAATCTTCTCTTCAAACAATATTACAGGGAGCCCGCATCCTTCCCCGAGGCCGGGATTAGTGATAAGATCCCGGTTGACAAGCGGGATTATGGTACACAGTTTCAAAGTTTAGAATCAACGCAAAATGTAAGAAAGTCTAGGTCAAACGATCACAAGAAAACTAAAAGAAAATATGAAATTGAGCAGCCTTTGCAGACCGTGACAATTGGTACAAGATTTAAAAGGGATCTAAGTTCAGGGAACGTTATGATCACGCAGCATTTCAACGATAAAGTTTTATCGCCGGGTGAAGACATTAGTCTTCAATGTACAGCGAGTTCGGATCGGCCACCGCGGTTCATTTGGGAGAGGGATGGTGTAGTCATCACGTCAAATACTGACTCTAGGTATATTTTAGGACAAATGATGTCACCGACGGGGATCGGCGTAATATCACAATTAAACATATCCAGGTCAAGAGTTGAAGACGGTGGACTCTACGCGTGTGTGGCACTCGAAGGGGAATCCACGGCTAAACACGCTGCTAGAATAGACGTCTATGGTCCACCGTACATAAGAACTTTGCCACCGATAAAAGTTCAAAGTGGTGATTCTTTAAAGCTTAAATGCCCTTACTATGGATTTCCTATCAGTAAACTAGAATGGGAGCACAGAGGAAAGAAACTTATAAGCTCATTATTACCGCAACACACGAGGTATAAGCGAACCAATATAAGTAGTAAAAATCGTAAAGGCGCAAGAAAGAGACGAAGAAAAAGGCAAGTCTTGGAAACTACGGAAGACGGAGTTCTTACAATAGAAAGAGTTTCAAAAGAAGAAAATGGAGAAATGTACACATGTATAGTATTTAGTCCGTCAGGAGAAATGGCTAGAAGATCTTTTGAAATACAAGTTGTAGAAGCGCCAGAATTGGACGAACTACGAGTAGGTTCGGGACTGAAGGAAGGACAGATTGTACAAATTACTTGCAACATTATCAGTGGAGATCCACCAATTTTCTTTTCTTGGCTCAAAGATGGCATGAAAATTCCTGCTAGCTTGAAAATAAACGAACGAAGTTCAGAACTATTTAGCGTTTTGATTATCAAAAGAGTATCGTTGGAGCATTGCGGTAGATACACGTGTATAGCTACAAATCATGTTGGTAAAGTTAATCAAACAACTGACCTGTATATAAATGTTGCACCAAAGTGGGTGGAAGAACCAACGAACTCATCACTTCTTCTTGGTCAACGTGGCATTGTAGACTGTAATGCTAATGGATATCCCACGCCGCAAATACATTGGATGAAAAGGGATGCTGCATTAGGAATCTGGCGACCAATTCTCGATCTAGCTGGTGGTGGAGTTTCTAGTTATCCCAATGGTTCATTATCTTTAGAAGTGGTGTCTCTAGCAGATGAGGGAGAGTATGCGTGTCACGTAGATAATGGAGTCGGAGAGCCATTGCACAAGAATTTATGGATAAGTGTCAATAAGCCGGTGCACTTCGAGTCCGTGGGAATGAACTTGACCACAAAGATGGGTCTACCGATGACTCTTATTTGTCAACCGTTGGGAGACAATCCTATACGGATTAAATGGAGCTTAGACGGAAAACCCGTGGAATTTACATCCTCAAGAATCACAATATCAGAGTCGGTGAATTCAAATGGTATGAAAAGCACAATCAATATCAACTATGTGGAAGGAAGAGACGGTGGAACTTACGAGTGTAGAGCGAGCAATCCATACGGTGTTGCCACGCTTAATATTCATTTAAATATATTGGAACCACCCACGCCTCCAATGGATCTCCAAGTGGACTCTGTAACCAGTTCATCAGCGAAGTTGTCTTGGAGGGACACGATTGTATCCCACGTCCAATACTACAGCCTACAGTACTCTGCCAACCAATACACGATGTGGGAATCAGCTAAAACAATTAATATAACCAGACAAGAAAGCGACATTCGACAAAACATAGAACTACGCGACCTGCAACCAGCGGTGGACTATCGAGTGCGAGTTGCTTCCGGCAACCAAGTCGACCTCAGTCCGTACACTCAGCCTGTACACTTCACAACCTTACAAGAAGCACCATCATCAAGCCCTCTTGGGGTGCAAGTTCAGCAGACAGACAACCCGGGCGAATTGCTCGTATCATGGATACAGCCATCTAGGGAGACCCACAACGGAGCATTACAGGGCTACCACGTGAAAGCGGTGCCAAGGATCAGTGGAGAAACTGGTTCAAATGATTCTCAAACTAAATTAGTAAAGGTTACATCAAGAAAAGGAAAACAAGAGACTATATTGAGTGGTCTCCTAAAGAACACGAGGTACGCAGTGTCTGTGAGTGCATTCAATTCAGCGGGAAATGGTCCATTTTCTTTACCTGTTTATCAAACTACGAGAGAAGGTGCCCCAGAAGAAGCGCCATCTAGTGTGGAATGTGTTGGATCTTCGTCTTCATCAGTGCGCGCAGCGTGGCGACCGCTAGCTAACTCTCACTCATTGTTGGGATATGTTACACATTACTGCACGGACGATGGTCCCTGGCTAAACGTCACAACGCCGCATACAGAGTTGTATCTTCAAGGGCTGCTCAAATACACTAACTATACAATAAAAGTTGCCGGTTTCTCTAACTATGGCATCGGACCTTTCTCCTATCCTGTTGTGTGTACCACATTACAAGATGTTCCCGGACCACCAGCCGCTATAAAAGCGTTGATATCGTCTCCTACTTCTCTTCTTGTGAGTTGGAAACGACCTGATCAGCCTAATGGAGAAATAACACATTATACTGTGTACGTCAAACCAGTTACCAGTACCAACGCCCCGCAAAGCTACAGGGTGGAACCGATACAGGAGTCGAACCTGTCCCGTCAGCTGACGTTCCCCCTCCCCGGGCTGAGCACGGGCATGCAGTACGAAGTGTTTGTGCGCGCGCACACCACTGCCGGGGAGGGCGCTCTAAGCAACAGGGTACACGTGGAACTCACTTCCAGAGTAGTGGCAGGCGTAGCATCCCTCGGCGGGGCACTGTCGGTGGGGGTTGGGAACTCCCTGCTGCTCGTGTGCCAGTGTGTGGGGTCGCCCCCGCCGCGCACCGTGTGGTACCACAAGCACAACATCATCACACACCACCCCAGGTTCACGAGGAACCACGATGACAGCTTACTGATTAATAATATAGACCAATCACTAAGCGGGAACTACACTTGCTTGGCCAAGAACTTGTATGGCTCTGATTCAGTTTCGTATGAAGTGTCGGTTTTACCCACACCAGAACCCCCAGTTCTGAGGGTAACTTCACACAAGAATGCATTACATCTGCAATGGGACCACCCGAGAAAAGCTGGAGAGAAAAGTCAGAAGATCATTTACGAGCTGACATGGAAAGAAGCGAACGGTTTGTGGCAAGACACATGGTCGGACAAAGGAACCACTATTCAATCTGTACAGGAATACATATTAGAAGGTCTGAAATGTGGCACTAAATACTCTTTGAGGATGACAGCAGCCAATAGTGTTGGTTCCTCACAGCCAGCCTATGTAGATGCCACAACTTTAGGTGGAGTTCCCATATCACCAACAACAACGGAATGGTTTTGGAGTAACTCAAGTCATATCTACATACAACTGAGTGGTTGGGATGAGAATGGCTGTGAAATTACTCGATGGGAAGTTGACTACAGAGAATACGGAGGAAAAGTTTGGAGAAGAGCGGAAAATCGACTGCCCCTACTTGACCAGTCGTGGGGTCATTACTCATCATCAATACTGAATCAACCGAACTCCTTCGTCATAGCCGACCTCGTGCCGGCGCAGTGGTACCAAGTGAGGATAGTGGCTGAGAACGCGGCGGGCATATCTACGTCGCTTTATACGTATGCTACTACTACGATACTAGGAGAATCAATAGGTCCACCATCAGACAACTTCGACATAAACATGCTGGTCATCGTGTGCAGCTGTATACTGCTGTTGATTTGTTTAGTAACATGCATGTATATTCTAGTCAAAAAACATCATCACCAAAGACTAACAGAATACAGAAACTCACTGACAGGCGAGTGTAAGTCTGAAAGAAGCAACGCAACAGTCAACACACCTCAAAGCATTCCCGCTGAAGTTAATAACAGAGTCTACAGTACGCCGGTGCACCTCACTTCAGATAATAAACATGAATTATACGAAATAAGTCCGTACGCACAGTTCGCCATAGGTTTCCGAACGTTCGGTCATGTCGACAACCAGGAGGTGCCCACTCGGATGCATTTGCCTGGCAACAGCAAAGCTAGATATGATAGTGAGACAAGTTTCCAAATGAGATCAGAATCCGAAGAAAGTGACTGCGTCTCACGAACTACGACATTGAAAAGTGCACCAAGAAAAGCCTGTCGAGTGCCTCACCACAGATAA</t>
  </si>
  <si>
    <t xml:space="preserve">&gt;lcl XM_024078217.2_cds_XP_023933985.1_1 [gene=LOC112042983] [db_xref=GeneID:112042983] [protein=lachesin-like] [protein_id=XP_023933985.1] [location=418..1848] [gbkey=CDS]</t>
  </si>
  <si>
    <t xml:space="preserve">ATGTCTGTTGACATTATGGCTGCGGAAGCGAGGAGGCGAGCGAGAGCCGTCGCCATGGAAACAGGGGGACTACCGCTGGTTTCTACGTTCGCACTTCTCACTATAGTTGCAGGCCAACTGCAGGGCTCGGGGTACGGCGACCCAGCCGAGCCGGAATTCCTGTCCCCATTGGAGAACATCACCGTCGCACAGGGGCGCGACGTTCATTTCACGTGCACCGTCAATCATCTCGGCACTTTTAAGGTGGCCTGGTTGAAGTCAGACACTAAGATGATATTGGCGATGCACACACACATGGTGAACATCAACCCGCGTCTGTCCGTCACACACAACGGACACAACACTTGGAAGCTGTATATCAGCAACGTACAGCCGAAGGACTCCGGCACTTACATGTGTCAGATCAACACCGACCCGATGAAGAGTCAAATGGGACATCTGTCGGTCGTGATACCACCTGATATAGCAGACGATGATGGTTCCGAAGCCAGTGCACCAGAGGGAGGGTCCGTGGAGCTTCGCTGTACAGCCACCGGAGTGCCGGAACCTACGGTATCGTGGAAGAGAGCTGGCGGACGGAATATTATATTCCGCGATGAAGACGGCAGTGAATTGAAAGTGGTGGACAACTACGCAGGGACGACGTTGTCTCTGAGAGCGCTGAAGCGAGCGGATATGGGGACGTACCTCTGTATCGCTGCGAACGGCATTCCTCCCACAAAGAGTCGACGCTACGAGGTGTCCGTACTCTTCGAGCCAATAGTAAGAGCGGCAAGCATGGTCGTGTGGCGTGCAGCTGAGCTACAAGTCTCTCTGCAATGCTACGTGGAAGCCTCTCCCAAGGCAATGACTATGTGGCAACGAGGGAAGTCACCAAATGGTGCAAAGCTATTAAATAGCTCAAAATACATAATATCCGAGAACTATTTGAACGAGTACGCGATGCGTATGAACCTGACAGTGAATCGGCTCAAGAAGAGTGACTTTGGAGAGTACACTTGCTTAGCGGGCAATGCTTATGGGAAAGCGAATGTGACCATCACATTAAAAGAAACGCCGCAGAAGACGACAACAACAACAACAACTACGACAACCACGACAACAACAACGGAACGCACAACTGCCGCAGCGACAACTCGGCCACCAAAACGACACCACAACAAGAAGCAAAAAGACAGAAACCAGAACACAGTCGACGTAGAAATTCACGAAATCAACAACGCACTCAATTTATACAACGTGAATGCATATGGACACTCGAATAGTACGCAAAATGAATACGCCCAGAGGACAGAGAGGCAGAAAGTGAGGCCTTCTGGCCCGCCTCGACCCTACGTCGTTTACAACAACGCTACATTACAACAACGCTACATCACAACAATGCAATATTTATTTATTATCTTTGTCATAACTAGTTTATTAATATTGTAA</t>
  </si>
  <si>
    <t xml:space="preserve">&gt;lcl XM_052891417.1_cds_XP_052747377.1_1 [gene=LOC112043273] [db_xref=GeneID:112043273] [protein=uncharacterized protein LOC112043273 isoform X2] [protein_id=XP_052747377.1] [location=150..680] [gbkey=CDS]</t>
  </si>
  <si>
    <t xml:space="preserve">ATGACAATATCTATTGGAGATATGAAACTTTATGGACTCGATAACTTCACAGTTGAATATTTGAAAGTTACGAATACCTTCGATAATATCCGCCTCTCTGTGAAACTTTTTGTACCAGCTTTGAGTATTTTCTCAGATAATTATAAACTTAAGGGCCGAGCTTATTACTTGTATCCACTTCAAGGGTTAGGTAAAATGTCGGCTTCGTTGCACAAAGTGGATGCATCTTTAAGTGTTAATTTTGCCAATGTTGGTGATGTCAGTATGCGATTAGACAATTTTGAACTTAATTTGGGATTTGGCTCGGTCGAGGTTGATTTGGAGAACAGTTCGTGGCCTATTAACCAGGTGTTGAATAAAGAAGGCGTAGAGATACTCAAATCTCTCCATGATGATATAGTAAATAGTATAAACAGCTACGCTGTTCCGTATGCAAACGAGTATTTGGCTAAAATAACTTATAAGGAATTTTTAGATATAGTCACCATTATCGGCGATAGCTCATACGTTATTAGCAAAAATATCAAATAA</t>
  </si>
  <si>
    <t xml:space="preserve">&gt;lcl XM_024079746.2_cds_XP_023935514.2_1 [gene=LOC112044027] [db_xref=GeneID:112044027] [protein=uncharacterized protein LOC112044027] [protein_id=XP_023935514.2] [location=449..1258] [gbkey=CDS]</t>
  </si>
  <si>
    <t xml:space="preserve">ATGTCGGATAGAATTACTGAAATATTTAATAACGATGGAAGAAAGGAAAAATTCACGTATTCGTTAGAAATAACGCCAGGTGTAAAGGAAGAAGAATTGGAAAATTTGAATTTGGAACCAACTTTCTTTTCTATAACATGGCATGCGTATGCGCATGGATGCAAAGACTTCGACATAGAACCTTTAAAATTAGCAAAATATTTAAGAAGTAAAAAGAAAAATGTACTACTGCACATTTCTTGTGCTAACGTGAAAAAGGATTATATAGATAAACTATTGGTACTACTCAAAGAAATGGGAATTTGTAACCTTTTTATCATTTTAGGAGAAAAATTTGATTCCAGCCATTCTGACTTCGAAGGCAGCAAAGCTATGATCACTTACATAAGGCAACGCACTGGAGATTATTTTTGCATAGGTGTTGCTGGTTTTCCTGGTCGCGAAGGAAATATTTTGCAATTGAAAGAAAAAACAGACTCTGGGGCTGACTTTATATTAACTCAGGCATTTTTCGAGTGCGATGAATTAATACAATTTGTTACCGGCTGTAAAGAAGCTGGCATAAACGTGCCAGTGATTCCGGGTGTATTTCCGTTTGAAACGCAAACTGAATTAGAAGGTTTTGTAAGATTGTGTAAAGTTCACATCACAGAAGATATCATAAGAAATCTGAATAATCAATCAGGAATTGAAATAGTCGTCGGGTTAGTTAACCAAATCATTCTGCGACTTGATATAAGGCATTTTCATTTCTTTACTTTGAATAAAATGTCTAGAATAACCACCTTGATAAACTTGCTAAGTAAATAA</t>
  </si>
  <si>
    <t xml:space="preserve">&gt;lcl XM_052885655.1_cds_XP_052741615.1_1 [gene=LOC112045027] [db_xref=GeneID:112045027] [protein=RING finger protein nhl-1 isoform X2] [protein_id=XP_052741615.1] [location=211..3807] [gbkey=CDS]</t>
  </si>
  <si>
    <t xml:space="preserve">ATGGAACAGTTTGAGTCCCTGCTGACATGTTGCGTGTGCTTGGACCGGTTCAGGAATCCGAAGCTGTTGCCATGCCAGCACAGCTTCTGTATGGAGCCGTGTATGGACGGCCTAGTCGACTACGTAAGGCGACAGGTTAAATGTCCAGAATGTCGTGCAGAGCACAGAATCCCTTATCAGGGGGTGCAAGGCTTCCCTACAAATGTCACGCTGCAAAGGTTCCTGGAGCTGCACGCAAATATTGCTGGGGAACTTCCGGATCCCACAGCTGGGCAGGTTATGGAAAGGTGCAACGTATGCTCAGAGAAAGCATATTGTGCACCTTGTGCCCATTGCGACAAAAAAGTTTGTGAAGACTGCAAATCTGCTCATATGGAAGTTCTCCGAAGAGAAATTGCTCGCATAAATAACCAAATACGACGAGGTGTAAATAGAATTCAAGATATATTAGCTATAGTAGAAAGAAATACGTCCAATCTGCAAACAAACTGCGGTGCAGTGGCTGGAGAAGTTGATGAAATACACAAAAGACTTTCAAAGGCTCTCAAAGACCGAACTGACTTTTTACGCAATGAGATAGACCGCTACTTAGCTACTGAACTTAGAAATTTAACACACCTTAAGGACAATTTAGAATTAGAGTTAAGTAACATTCAAAGCAATAGTGATCTCGCTGATAAATATATGAATGATGATGTTGAATGGGAGGATACGGAACTTGTTGATACTAAGGAAATTTTCCTAAAAACAGTGGAGTTCCTTAGAAACTTTGATTATGAAGCTGGTGATTATAATCGTAGGATAAGATTTATAATGACCCACGACCCTAATCAACTCGTAATGCATGTGGCTAGTTACGGAGAGTTAAATATTACTCATCCGAATGCTTATTCAACTGGTCTTCAACAAAATCAAGGTTTGACAAGATCAAAGAGTGATCATCGATTAGCTACACAATTCCGCCAACAAGAGGAAGCAAAGGGGTGGATGGAAAATGAAGAACCAATTTTAGGTGGTCGTAAGTTTGGTGAACGTCGTCCTCCTCCACCAGAAAAACACACGAGAGACTACGGCACAGATGACTACAGTGGTTATGAATCAGAGCACAGACCCTCTCGTAGATTCCGTTCGCGTTTCGTGAGGAGCCATCAACAAGATAACGACTCTGATACCGAAGTCACAACTCGTGCGACAAAAACCGAGCAAAAGGAGAAAGAAAAAGAAAAAGTTGCCGATACGGAAGACGCGACTCGAGGTCCTCTCAGTGGAATATTTAGGCTTAGTGATTGTCCCCGGGTAATGCAACGAATTTTAGATGTAGAAAGTGGTAAAAAGAAGGAAAAGAAGGAACCACCACCGCCACCGAAACCAGTTCAACCGACGCCTCAGAGACAGCGTCCTCCACCTCCAGTGAGGCAACAGAGTGAAGATGACGAAATCACGCGCCTCAAACGACAAAATAAAGGAGCGGCTTCATCTCAAGAACCAGATCGCGCACCACCGCGACCCGTAGAAGAAGAAAGAAATACAACGAGTCGTAAGCCACCGACACCAGCTCGTGAGGCCTCCAGCGACGGTGAATCCGATGATGAATCTGTTGGATCTCTGCAAAGAAATCAGCGGAAGAATACCGCGCCTGTACCCAAACCAACAGTCACGAGAAGGCCTTCTGCGTCCGAAACAGCTTCTGCACACCGGCCAGCGGCCCGTGCAGCTAGCACTGAATCTAGCGCCTCCACAGAGAGTTCCGGCTCGGCGGTCAAACACACAGGCAATGAAAGACCAACACCGGCGACAACGAATGGAACAGCCGGCGGCGCACAACGGGTACAAAGTCGTTTTGTTGGGTCTCAGAGACCCACGCCTGCCCCAGCGCCCGCCGAGCCGGCGCACGAGGACTCCGACACGAGTTCCGAGGAAGAAACTGACTCCTCGGAGGAGAGCGAGGAGGAGCCTGTTACGCAAAGGAAGCCCGAAAGTCAGACGATGGCGCGAACTGACATAGGTCCCCTTCTAGCTAGAAGTAGCAACGCTCGAAGTGACGCACAAGACAACAAAAGTAAAGATAAAGATGCGCCTGCCCAATCGCGATACCGTACTCGGCCCTCATCACAACCCGAAGAAGAACCTGCTCCTCGATATGGCGCTAGTGGATCTTCATATAGCAGTCGCTACGGGAATAAACCGAAAGATGAAGAACTGACATCCTCCTTAGACGACGATACGAAATATCCGACCGCCCGATCGAGGTATCTCGCCTTGAAAGAGCGGCGCAATCGTCTCGCACGTAGTAAGAGCAGCCATACGGGTTTCGGTGGAGGCGATGATGATGAAGACGAGCCAGTTTCACCGACAACCGCTTCCCCATCAGCATATCTTGCGGCTCGATACGGCTCCGGCACCGGTGGTTCGGAGTTGTCTCGCAGCCGATCATCCCACGCGCTAAAATCGAGAGAGAGCTCCCCCGAACGCCCAGTGGCCGGCGAGAAGGACGGAGCGGCCTTGAGTTCCTGGGCGAGGTACTTGAAGAGCAAGTACGGCTCGCGAGGGAAGGAGCGCGATCCGAGCGGTACATCCTCGAGCACGGCCCGTCGCCTGTCTCTCGGGCTGCCTTTGCGCTCGGCGAACGAGCTTGCCAGTTCTGATGACGATTCAAAAAACGCGGCAGGCTCCCCCATCTCCCCTACGGCGGCTACAGCAGCGGTAGCAGGTTTCGCAGCAGCAGGTTCCTCCCCTAGGAGCCAGTATCTGCAGAAACGCCGTTTACAATTCAGCGTGGGGAATAGGGGGAGCGAACCCGGTTGCTTTACATGGCCTCGTGGCATCGCTGTAGGACCCGACAACATTATGGTCGTGGCCGATTCATCCAACCATAGAGTACAAGTGTTCGATTCGAATGGCATCTTCGTGAAGGAGTTCGGCCAGTACGGCAGCGGCGAAGGAGAATTCGACTGTCTCGCCGGCATCGCCGTAAACCGCATCGGACAGTATATCATCGCTGACCGATACAACCATCGGATACAAGTGTTTGACCCCGCCGGGCGGTTCCTGCGAGCGTTCGGCAGCCAGGGCACGGGCGACGGCAAGTTCAACTACCCGTGGGGCATCACCACAGACGCGCTCGGATTCATATACGTGTGTGACAAGGAAAACCATAGAGTTCAGGTGTTCCAATCCGACGGCACATTTGTGGGTAAATTCGGCAGCTTCGGCTCCAAGCTGGGGCAGCTCGAGCATCCTCACTACATCGCTGTGTCCAGTACCAACCGCGTGCTGGTCTCCGACTCCAACAACCACAGGATCCAGGTGTTCGACGTGAACGGCAGGGTGCTTTCCTCGTTTGGAGAAGAGGGCTCTGAGGACGGACAGTTCAAGTTCCCGAGGGGTGTCGCAGTAGACGATCAGGGCTACATCGTGGTCGCTGACTCTGGTAACAACAGGATCCAGATCTTCCACCCCGACGGCGCCTTCTTGAGAGCGTTCGGCTCCTGGGGCTCTGGAGACGGAGAGTTCAAGGGTTTGGAGGGCATCGCGGTGATGTCTGGTGGAAACATCATTGTATGCGATCGGGAGAACCATAGGGTGCAGGTGTTTTAA</t>
  </si>
  <si>
    <t xml:space="preserve">&gt;Mothers_against_decapentaplegic_homolog_6_Bany_10682-RB_B1</t>
  </si>
  <si>
    <t xml:space="preserve">ATTTCAGAACACGGCGAAATTACACAAGACGCGAGGAGGACGAATCATGAGCGGCTTGCTACAGGCTCCCTCGCTACTGATGGCGAAGAGCGGCAGAGCTGGGAGACCGAGTGGTGCAGGCTGGCGTACTGGGAGCTGACGCAGCGTGTGCGAAAAACTCGAGCGAAGATTGGCCTAGGTGTCACACTGTCCTTAGAATCTGATGGCGTCTGGCTCTACAATAGAAGCCAAGAACCCGTGTTCGTCAGCTCCCCCGCGTTAGACGCTGCTGCTGCGAAAGCTCTTCTTGTATGGAGGGTTGCACCAGGACACTGTCTCTGCATCTTCGACCCCTCGTCGCCCCCGCCCGCTGTGTCGCTACCCCACGTGGGGCCAGTTGACCCCAGATCTGTGAGGATATCGTTCGCGAAAGGCTGGGGCCCCAAATACTCGAGGCGTGACGTCACCGCCTGCCCCTGTTGGCTCGAAGTCCTGCTGGCGCCTCCGAGCTGA</t>
  </si>
  <si>
    <t xml:space="preserve">&gt;lcl XM_024080777.2_cds_XP_023936545.1_1 [gene=LOC112044810] [db_xref=GeneID:112044810] [protein=protein spitz-like] [protein_id=XP_023936545.1] [location=337..978] [gbkey=CDS]</t>
  </si>
  <si>
    <t xml:space="preserve">ATGCGAGCGAAGGGTTCGAGTTCGAAATTCGAAAGCGGTCATGTCATCGCCTCTCGGATTTCGTATAAGTCACCGTCCAATGTCAAAACCGTGTCCCTCGCGCTCGCGCCAGTGCGGACAATGCGGTCGCTGGTAGCGTGGTGGGCCGTGGCGTCGGTGGTGTGGTGGTGCGGCGGGCCGGCGGGCGCGTGCTCCAGCAGCATCAGCAAGCGGCCGGCGCGGCCGGCGCGGCCCGCGCGCCCGCCGCAGCCGCGCCTCAACGTCACGTTCCCCATCTTCAAGTGCGAGCCCGACTACTCGGAGTACTACTGCCTCAACGGCGGCGCGTGCTTCACCGTGGTGATCTCCGACAGCCCCATCTACAACTGCGAGTGCCGCAGCGGCTTCGTGGGCCCGCGCTGCGAGTTCAAGGACCTGGACGACTCGTACGTGCTGGCCAGCCGGCAGCTCATGATGGAGACGGCGTCCATCGCGGGCGGCGCCACGGTGGCCGTGTTCCTCGCCATTCTAGTCTGCTTCGGCGCCTGGGTGCGGCTGCGGCGCGCGCCGCGCAAGGCGCCCGCGCCGCCCGCGCGCGGCCCGCTGCAGCTGGTGGCGCTGGCGCCGCGCGGCGCGCCGCGTCTGCTGCCGCCGCGCAGCTAG</t>
  </si>
  <si>
    <t xml:space="preserve">&gt;lcl XM_024090728.2_cds_XP_023946496.2_1 [gene=LOC112051893] [db_xref=GeneID:112051893] [protein=enhancer of split mbeta protein-like] [protein_id=XP_023946496.2] [location=42..791] [gbkey=CDS]</t>
  </si>
  <si>
    <t xml:space="preserve">ATGATCCTCCCCGCTCGCACCATGTCCCCTCCGCACGGGGCCTTCCACCCGCCGCAGCACCCTGACGAAGAACCCGTCTCGCGCACCTACCAGTACCGCAAAGTGATGAAACCCATGCTCGAGAGGAAGCGACGAGCACGCATCAACCGATGCCTCGACGAACTCAAAGACCTCATGGTCACAGCCCTACAAGCGGAAGGCGAAAATGTTTCCAAACTGGAAAAAGCAGATATCCTCGAGCTGACCGTCCGCCACCTCCACAGTTTAAAACGAAGAGGACAGTTAGTGTTAAACCCCGAAATGTCTTACGCGGAACGTTTTCGAGCAGGCTTTGCTCAGTGTGCTACTGAAGTGTCACAGTTCATCACCAACGCAACGGTAGCGGCTAACGCTATGCACAGACAAGGGCCAGTGGATCCTCAGGCCGGTGCTCGGTTGTTGCAGCACTTGAGCAACTGTATACGAAGGTTGGAAGCTCCGCAAGTGGTTCAGCCTCAACCTATAACACCAGTCGCGAGGCCTACGCCAGTGCAAGCGGTAGCTCAACCTCAAGCGCTTCAAGCGCCTCAACCTCCAGTACCTCAAGCGCCGCAGCCGGTTCCAAGGACGTCCTTGGAGAGGAAGAGACCAGCTGAGGAGTTGATCGACGTGGAAACGATCGCTTCGAAGAGACTGTACGCTCCACCCTCGCCGCCTCACAGCCCCGCCTCTGAGACTGACTCCGCCCAGTCGATGTGGCGACCGTGGTGA</t>
  </si>
  <si>
    <t xml:space="preserve">18w (loc112047337)</t>
  </si>
  <si>
    <t xml:space="preserve">GAGTAATTTAGATCTGAGTTATAATGAAATTAAATCTTTGAGCGAAGAATCGGAGATTTCAGGACTTCGTCGACTTCAAGAGTTGAGACTTCAACATAATAACATCAGTGATATTTCTAGTGAAATATTTAATGGACTTATTTCATTACGCATATTAAATGTTTCTCATAATAACCTGCACACCATACCCGAGGGCACGTTCTCCAATACGAAAGAGTTGCGAGAAATATATTTAAATAATAACCTACTATTTGAATTAGCCAGAGGCGTTTTCCACCGATTAGAACAGCTGCTTGTCTTAGATTTATCGAATAATCAACTCTCAAGTGCTCACATCGATGGAGGAACTTTCATTGGTCTTATACGCTTAGTCATTCTGAATTTATCCAATAACGCCTTGACGAGGATAGATGGTAAGACGTTCAAGGATTTATTCTTCCTTCAAATATTAGATTTAAGAAATAATTCAATTGGATATATTGAAGAGAATACTTTCCTTCCTTTGTATAATTTACATACTATAAACTTAGCTGAAAATAGATTGCACACTATCGATGAGCTCCTTTTTAATGGCTTGTTTGTTTTAAGTAAATTGAATTTAAATAACAACCTTTTAATTAATATCGATCCAAAAGCATTTAAAAATTGTTCCGACTTGAAAGAACTAGATTTAAGTTCCAACCAATTAACCGAAGTTCCGAGGGCTGTATGGGAGTTGTCTGTACTAAAAACCTTAGATTTAGGAGAGAATTTAATAAACGATATTAAAAATGGGTCATTTAAAAATTTAGATCAGTTAACTGGCTTGAGATTGATCGATAACCAAATAGGAAACCTTAGCGTGGGCATGTTTTGGGACTTACCGAGCCTTCAGGTATTAAATTTAGCAAAAAATAAAATTCAAGCCGTTGAAAGAGGGAGTTTTGAACGAAATAAACAATTAGAAGCCATACGATTAGATGGTAATTTCATATCGGATATTAACGGGGTGTTTGCGACCTTATTGAGTTTA</t>
  </si>
  <si>
    <t xml:space="preserve">&gt;Washout</t>
  </si>
  <si>
    <t xml:space="preserve">ATGGAGGGTATATACAAAATCAATCTGATACCCAACGATCTAAGTATGGAAGGGACCATCCTGCAGATCGCTGACACCCTAGACAATTTAAACGGAATAGTCGATGACGTGTTTGCCCGTATAATGAACAGAATAAAAGTGAACACAGACAAGACCTCTAAACTCCAGGAAAGGATCACTTTGTCAAGAGCTAAAGTGGAGACACTTGCTGGTATGCAGAAGGCAATCAAAGTGTTCTCTAGTGCGAAGTATCCCGCTTCCATTGAACATGAGAACTATCAATCGATTTTTGATACCAACAACTACCACTACGAATCCAAAAAGGTTACTCTGAGCGGGAAGTCTCAGAGGCAATCGAACGAAAAAGCGATTCAGGAGAAGCTTCACTTCTTCCACGTGAAAGTGGCTGAACCGAAGGCAGCGAAGGCCAAACAGGACTTCAATCTGAAGGCCGTGGTCAACGAAGTGTCAACGGTCGGCGATCTTTTGATATACAATACTGACGAGAGCCCATATGTGGGGGCCCCGAGCAAGGCGCCGGTGTATGTGCCCACCGTTAGTGCCAGCGTGGAGAAGAATCTTCTAGAAGAAGCGCCGCCATCTATAATGAATAGGAACATCTTGAAACGCGAGATAGACGAATACATGTACGCGCCTGGTATGGGAATGGTACCGGAGTTGGACATGCCGCTCGACCTGCCACACTTGCCGGGCATCGCGGGTGACGTTCAGTACCTGATCACAAGCGACGGGTCCATCGCACCCTCGGCCATCACCTCGCCGGTCAGCCCATTCAACGCTGTGCCGGAAATAGAATTACCCGAGTTGCCGGACTTACAAGACCTCAACGATTCGGTGCCGGATATAACGGACGCACCGCCCGTTCCGATAGTGGTAGTTCCTGTGCCACCAATTGTTCCTGGATCCGACACGCCTGGGTCTGGCATGCCCGGGTCTGTCATACCCGGAGCACCGAGCGTGCCTGCGCCACCTAGTATGCCCGTGCCGCCGCCTCCACCACCACCACCGCCGCCGATGGACTTCCAAACAACAAATGATGGGAAGCAGCGAGCTGAGTCCGCGCCCGCTCCCGCTCCCGCGCCCGCTTCCGCTCCTGTAGTGGACGCGCACGCCAGTCTCATGGCCGCCATCCGGCAGGCGGGTGGGAGGGCTAAACTCAAGCCCGCCGCAAGCACCGCTGAAGGCAAAGGCGCCACACCGATAGGCGGAGACCTCATGGCTGATCTCCACGCGAAGCTGTCCATGCGGCGCCGCGGCATCTCCGGCGCCGAGAGGTCGGGCGGCACCGTGCTGCACACGCTAGCCAGCGTCATACCGGAGCCCACCGAGTCTTCGCCGCAGCAGTCGTCCAGCGACGAAGATTGGGAGTAG</t>
  </si>
  <si>
    <t xml:space="preserve">Sequence of Optix for in-situ hybridization</t>
  </si>
  <si>
    <t xml:space="preserve">ATGCGCGGCTCCTGGGACGAGTCCACGACGGCGGCGCTGCACGCGCGCATCCTGGAGGCGCACCGCGGGTCCGCCGCGCCCGACCGCGCCGAGCCCGCGTGCGAGCCTCCGCCGCTGACGCTGGGCGCGCTGGAGCTGGCGGCGCCCACGCCGCTGCTGCCGCTGCCCACGCTGAGCTTCAGCGCCGCGCAGGTGGCCACCGTGTGCGAGACGCTGGAGGAGAGCGGCGACGTGGAGCGCCTGGCGCGCTTCTTGTGGTCGCTGCCCGTGGCGCACCCCAACGTGGCCGAGCTGGAGCGCTGCGAAGCCGTGCTGCGCGCGCGCGCCGTCGTCGCCTTCCACGCCGGCCGCCACCGCGAGCTGTACGCCATCCTCGAGCGCCACCGCTTCCAGCGCTCCAGCCACGCCAAGCTGCAAGCGCTGTGGCTGGAGGCGCACTACCAGGAGGCTGAGCGCCTGCGCGGCCGTCCGCTGGGCCCCGTCGACAAGTACCGCGTGCGGAAGAAGTTCCCGCTCCCGAGGACGATCTGGGACGGCGAGCAGAAGACGCACTGTTTCAAGGAGCGGACGCGATCTCTACTCCGAGAATGGTACCTCCAAGATCCCTACCCGAACCCGACGAAGAAGAGGGAATTGGCGGCGGCGACGGGTCTGACGCCGACGCAAGTCGGCAACTGGTTCAAAAACCGACGGCAAAGAGACCGAGCGGCCGCCGCCAAGAACCGCTCCGCCGTGCTGGGCAGAGGATAA</t>
  </si>
  <si>
    <t xml:space="preserve">CTGGGCGCTGGCAGCGAGCGCGCCGCCACATCCCGCGGCCGCAGCGACTGGCGGCGGCTCGCGGCCCGCGGCAGTCAGTCCGGCGCCGACCGCCAGCCCGCACACACGTCGCCAGACATGGCAGCTGCCCCCACACACCCGGCCCCCGCGCCCGAGCGCCGCGCCGACGCCCGCGCCGGCTCCCGCCGCATCTTCCCTCCGCAGTTCAAGCTGCAAGTGCTCGACGCGTACAGGCGCGACGCGCAGTGCCGCGGCAACCAGCGCGCCACCGCCAGGAAGTTCGGCATCCCGCCGCCAGATACAGAAGTGCTGCAGGCCGAGCCCGCGCTGCGAGCGGCGCTGCTGAGGCGGGCCGCGCACCGCCGCCGTCGCCGCCGCCGTACTGCGTTGGCTCGCCCGGAGAGCGCGAGGCTGCCGTCGCCGCCGCCGGCGCCCGCCGCGCCGCCCACGCCGGTGGCCGTGCCCACGCCGCTGCCCGCGCCGAATCCCGGTGATCGCGCCCGCGACGGAGCCCATCGACCTGTCGGTGCGGAGGCTGGCAGCGCCCGCGCCCCCGCCGTCCGCCCCGAGCCCCGCAAACCCTTCAAGCTGTTCCGGCCGTACCTGCTGGACGACTGCGCGCGGCGGCCCGCGCTGGCGGCGCTGCCGGCGGGCGGCGCGCGCGTGTCCGCCTTCGTGCCCGTGCAGAGCGCGGCGGCGTGCTCGCTGGCGTGCGCGCCGCGCTGGGGCCCGCCCGCGCCCGCCTTCCCCGCGCCGCTCAGATGA</t>
  </si>
  <si>
    <t xml:space="preserve">T054</t>
  </si>
  <si>
    <t xml:space="preserve">fz4</t>
  </si>
  <si>
    <t xml:space="preserve">&gt;frizzled-4-mRNA (Suriya)</t>
  </si>
  <si>
    <t xml:space="preserve">ATGAAGTGTTTTGTGGTATTAATAACTGTGACCCTCGTCTACGAGATCGTAGCCGAGGCGTCCGTGAGGACATGTGAACCGATCAAGGTGGCTATGTGCAAGAACATCGGATACAACCAGACGGGAATGCCCAACTTGGCTCGGCACACTCTCCAAGCGGACGCCGACGTCACACTACAGACCTTCAGCCCCCTGGTGCAGTATGGATGCTCGTCCCAGTTGCATTTGTTTTTGTGTGCGGTGTACGTGCCCATGTGCACTGATAAGGTCGCGTTACCGATAGGTCCGTGTAGGGGTTTGTGCGAGAGTGTTTACGCCAGATGTTACCCCGTGTTGCGGGGTTTCGGGTTCCCTTGGCCGGCGGAGTTGGACTGTTCTCTATTCCCGGCGGAGAATAACCATGAACACATGTGTATGGAGGGTCCTGGGGAGCGCGCGCCGCCGATCGGTACGATACCGTTGGACACGACGAGGGAAGGACGAGGGACTTGCAGACGTTTGGTGAAGCCGAACAGTTGGGTGTGGGTTAGGGGGTCGGGGCGGTGCGCGCAGTTCTGTGACGCTGAAGTGTTGTGGGAGGTGGGGGAGAGGCGGGCGGCTGAGGTGTGGCTGGCGACTTGGGCAGCGTTGAGCTTCGCGTGTACTCTTGCGGCGGTGGCGGCGCAGCTGGCGTGTGGAGCCAGGGGCGGAGCTGGCGAGCGCGCGTTGGTGCTGGTGGCACTGTGCCGGTGCGCGGCGGCGGCGGGCTGGGGCGTGCGCGCGGCTGCGGGCCGGACGGCGGCGGGCTGCGCCAAGGACTCCACGTCTCCCACCAGGATGCTGTTAGCGCATGACGGCTTAGCGAACCCCAACTGCGCGGTCGTCTTCTTGCTGCTGTATTACTTCGGGCTGGCTGCGTCAGTTTGGTGGGTGGTAGTGACGGGTGCGTGGCGAGCGAGCGTGCTGCGCCCCCCAGCCAGTAGCGGCGCCAGGAACGACCGCCACTCCTCCCTGCTGCAGCTGGCTGCGTGGGGCGTGCCCGCCGCGCTGGCCGCCGCCGTGCTGGTCACAAGGGACGTGGATGCTGATGAGCTTACAGGCACATGCTTCGTGGGCAATCAGTCTAGCAAATCTTTGCTAGCGTTGGTTATCGTTCCCGAAGCGATATGCTTGCTTCTGGGCAGCGTGTTCCTCGCTTCCGGCCTTCGCGCAGTGCTTCGTAAACCTGTACCGATTCCAGCTCCGGCAACGCTTCTGAATTCTGCACCGCAAGCGCACCCTGATCAGAGTCTGCTGAGGCTAGGAGCCTTCGCTGCGTTGTACGCTGTGCCATCTGCCTGCATACTGGCGACATGGGTGTATGAATATATTCTGAGAGAAAATTGGTTGGCTGCCCCCGTCCCTTCGACGGAACCTTCGACGCAACCGCGTCCAGCATTCTGGGTGTTCCTTTTTAGGATATTCGCATCACAAATACTGGGTGTCATGGTGGCGGTTTGGATAGCCACGCCACGGTTGAAGGCGCTGTGGAGGAGAATCAGTGGGCCAAGAAAACCAGCGTTAGCAAAATGCCCACCTGGTCCGACGCCTACACCGTTAACATTGCATTGCTACGCTACGCATCCGCATACGTTGACGAGACACCCACAGAAATACGCCACATACCGACCACCACAGCAACAGTCGTATAGAAAACCTCGACATTATCATTATTCTGCTGGAGAAACTATCCTATGA</t>
  </si>
  <si>
    <t xml:space="preserve">&gt;XM_024092868.1</t>
  </si>
  <si>
    <t xml:space="preserve">ATGGCGAAAGCGGTTCTCATGTCATTTGTTGCTAACTTCACAAACATAATGTCACCTCAGACGCGCGAGTCACCTCAGACGCGCCTCGCCTGTGTCGATACGTTCAATATCCGATACGCAACAAGAAATAAAATATCGGAACATGCCTTGCATTCTATAAAGATGCAGCGATGTGACATCGCTCATTTTCATGGCAACTACCTGGAACACCCGAGCTTACGCGGCACGCCGCTGGCGATGCTCGCGGCGCAGTGCAACAAGCTGTCGAATTTTTTGACAGACCAGGAAAAGGCCCATCAAAATAATCGCGACGAGGCCGGCGCCGTTTTCAGTCGGCTCGAGCTCGAACCGCACTTTGATGCCAATCTGGTGGTTGAGTTGACGACCAATACCTATATCAAAATTCTGAACCCCGCGCCCAAATGGAGCATAATGCCTAGGGCTTCGGCTGTGGCCTGTGCGATTTCGTGGGAAACCGAAAGGGTTGTGGATGTTTCAGAATACCAGATACTTGAAATCACATCCCTAGTAGCCCGCTCCCCCATCATTTTAACATCAGTATGTTGTCTTTCTTTACAGGAACACCCGAGCTTACGCGGCACGCCGCTGGCGATGCTCGCGGCGCAGTGCAACAAGCTGTCGAGCAAGTCTCCGCCGCCGCTCGCCGACGCGGCCGTCGGGAAAGGATTCCATCCGTGGAAGAAGAGCCCCGGCACGCACTCCCCGCCCGGCGCCGGCCTCGCGCCGCGCGCCCAGCCGCCCGCCTGCGCGGCGTACGCGCGTGCTCCCACCTCGTGCGCCGCCGCGCCCGCCTACGGCAACGACCTGTACTTCCCCTCGTCCGGCGACCAACTCCTCGGCAAAAGCGAATCGAGCGCGAGCCTCGGCTCCATGTACTCGAGGCATCCCTACGAGTCGTGGCCCTTCAACGTCGGCACAGGAGGCAGCAGCGGCGCGCTCAAAGCTGCCGAAATGGGCGGCGTCAGCGCCGTCGGCAGCGCTTGGTGGGACGTTCACAGCGGATGGCTCGACGTAGGAGGACAGATGGGAAAAGTGTACGGAAAGACGTCCCACCTAAAAGCGCACTTACGCTGGCACACCGGCGAGAGACCGTTCGTGTGCAATTGGTTATTTTGTGGCAAACGGTTTACACGTTCGGACGAGCTGCAGCGGCATTTGCGAACGCACACGGGCGAGAAAAGGTTCGCGTGTCCGGTGTGCAACAAGCGGTTCATGCGGTCGGATCACCTCGCGAAGCACGTGAAGACGCACAACGGAGGCAAGAAGGGCAGCTCGGATTCATGTTCAGACTCAGAGGAGAACAGTCAAGGCGAGAGCGGTCTCGGGGGCCGGTCGCCGGAGCACCCGCTGGACGTGAAGCCGGGCACGCTGGTGTGACGCGGGGGCGCGGCGCTCTGCGTGCCGCACCATGCCTCGCTCCTGTGATACCCTGGCCGCGCGACCGGCCGCCGCCTGTACATAGCGACATATCAAACACTGTGTAACATTCTGTGTAAATTGTGAATTGAAGACTTACTAGTAGCAGTGTGAACGCTGCCTTAATAGTGAATTGTGAGATTTGAAAGTGTACAGTTTAGAAATAGATATTATTAAATATTGTCTATTAATAGTAATAACTGGATATTATATTATAATTGATATAGAATAAGTAGAATCGCACTGTTAGTCCGAAATCGCAGTTGTAATTTATTTAAATAATTACGGTTTACCTTCTTAAGGTGAATTCTTGTAATACCGTGCAGGAGCCGGACTGGACGATTTTGTGTACTTACACTCACGACCGGAGATACCCAGACTGTACTGTACCAGAGTAAAGATACCTACTGTACACTCAGGTCAAAACACCCTTTCCGAAAGACCCTCGCCGAAGCCGAGGTCCGAGTCACAGAGGAGACGCCCTTAGAGAGTCTCTGCTCTGCTTCTGCCTTCGGGCCCCATCAGGCGATACTTTTGCGCTCGCTGCACAATAGACAAATTTCAACCAATAGTGGTGCAACGGGAAATACTCTACCTATATCTTTCATTGCATTGGGACGGAAGAGATTTTGACGTTTTGTCTAAAACTCTTCACTTGGTCGCATGTTAGCTCTAATGGTCACCGTACGTAGGTATCGTGTAAACTTTTGAGAAAAGTTGTGGTTGTACTGTCATATTTTCGTTGTCAAATAAAATTGTACTATCCATCGAAGGTTCTACACAAAAAAATTGAGTCGAGGCGTCCACAATTTCGCATCGTACGCATTGGACGCATCGAATCAAACGGATTTTAGTATTCATTGTATAGAAAGTCAAACAAGTGCGTCCACTGATCCGCGTCGTACGAAATGCATCGAACGGATTTTGTCTACTGTAAAAATTAAAAGTCAGTTGGATGCAATGCGTCCTATACGTACGATGCGGATAAGTGGACGCCTACCTTTGGAAACCACTGTCCTTGGCCTGCACGATCTTACCTGAATCGACCTTTATTTGTAAAGTAAGATATTATTAACATTTCTATAATAATTACCTCAGCAAAAACAATAGCAAATTGTATTTATATTATATTTTTGTCTATACCTAATATAATTATTTCATTGTTAATTTTTAAATCACATTTAATAGAAGTTTATGTATGAAAATACTGTTCAAATAAATCGTTAGCAGATACTTCAACAGTATACAAATTGATATTACCTTTAAAACGGTTCTTTTTAGGGTTCCATACTCCAAAAGGAAAAACGGAACCCTTCTAAGATCACTCTGTCCTAAAATAAAGGGCCTTAACCCTTTAACTCAGGAGTACGTGGAGGTATCAAGTTGAAATTTAATCCGTATAGGTACTCAAATATACGGTCCCATGAAGTTGTATAAAATAAATCTTCTAAGTTTACGTAAAAAAATATATGGCCGTTTATTTAGCAAAATAAAGAATATCGTCGTATCGTATCGACACTCTCAAGGAATTCAAAATTTCCCGTTGACCTAGAACTATGAAACTTGACAAGTAACATTCATTATACAAGAAAATACAAGTACTTATACAAGAAAAAATCTCAAAACATACATTTGTAATTAAATCTTAAAAAACAGGTAACAGAAAATCTGTAGCGCGGGTTAGAAGTGTCTGTACCTAAGCTTAAGTAAAACGAATTGTTATTTTAATGGTTGCCGATGAACTATTGTAAAAAGTGACAAACCGATTAGAAACTAGGAACAAGAACAGTTTTTTTTAATAACATATTTTATTTATAAGATAAATCTGATAAATAAGATAAT</t>
  </si>
  <si>
    <t xml:space="preserve">&gt;BANY.1.2.t19559_sp6-9cluster</t>
  </si>
  <si>
    <t xml:space="preserve">ATGGAACACCCGAGCTTACGCGGCACGCCGCTGGCGATGCTCGCGGCGCAGTGCAACAAGCTGTCGAGCAAGTCTCCGCCGCCGCTCGCCGACGCGGCCGTCGGGAAAGNNNNNNNNNNNNNNNNNNNNNNNNNCTTTCAGTTCATACGGCTCTACAGAGTCGTAACGTATGGATGTACTTTTGATAGGTTCTTCATTACTACAAGCAAGTCGATAAAAGTCTGCAATTTCTCATTTACTTGCTTACTCCTCAATGTGCAGAAGTACTCAGTAGATTTTTTGACAGACCAGGAAAAGGCCCATCAAAATAATCGCGACGAGGCCGGCGCCGTTTTCAGTCGGCTCGAGCTCGAACCGCACTTTGATGCCAATCTGGTGGTTGAGTTGACGACCAATACCTATATCAAAATTCTGAACCCCGCGCCCAAATGGAGCATAATGCCTAGGGAACACCCGAGCTTACGCGGCACGCCGCTGGCGATGCTCGCGGCGCAGTGCAACAAGCTGTCGAGCAAGTCTCCGCCGCCGCTCGCCGACGCGGCCGTCGGGAAAGGATTCCATCCGTGGAAGAAGAGCCCCGGCACGCACTCCCCGCCCGGCGCCGGCCTCGCGCCGCGCGCCCAGCCGCCCGCCTGCGCGGCGTACGCGCGTGCTCCCACCTCGTGCGCCGCCGCGCCCGCCTACGGCAACGACCTGTACTTCCCCTCGTCCGGCGACCAACTCCTCGGCAAAAGCGAATCGAGCGCGAGCCTCGGCTCCATGTACTCGAGGCATCCCTACGAGTCGTGGCCCTTCAACGTCGGCACAGGAGGCAGCAGCGGCGCGCTCAAAGCTGCCGAAATGGGCGGCGTCAGCGCCGTCGGCAGCGCTTGGTGGGACGTTCACAGCGGATGGCTCGACACGTCCCACCTAAAAGCGCACTTACGCTGGCACACCGGCGAGAGACCGTTCGTGTGCAATTGGTTATTTTGTGGCAAACGGTTTACACGTTCGGACGAGCTGCAGCGGCATTTGCGAACGCACACGGGCGAGAAAAGGTTCGCGTGTCCGGTGTGCAACAAGCGGTTCATGCGGTCGGATCACCTCGCGAAGCACGTGAAGACGCACAACGGAGGCAAGAAGGGCAGCTCGGATTCATGTTCAGACTCAGAGGAGAACAGTCAAGGCGAGAGCGGTCTCGGGGGCCGGTCGCCGGAGCACCCGCTGGACGTGAAGCCGGGCACGCTGGTGTGA</t>
  </si>
  <si>
    <t xml:space="preserve">&gt;BANY.1.2.t07530_sp5_buttonhead</t>
  </si>
  <si>
    <t xml:space="preserve">ATGCAATACGTGGATCCGCCCGCGCAACAGATGATGAACGTAATGAGCGGCTACGGTTGCGGCTACGGGCGCAGTGACGCGCTGTCACCCGCCTCCGACTTGTCCTCATGCAGCAGCGCTTCCTCGGGCGCGTGGTGCGGCGCCCCCTGGCGGGAATTGCCGCCTTATCCACAGTACTCGCCGTACTGGCCCGCGGCGACCGCCCCGGAGGACGCCCGCGAGTTGCAGCGCCGCTGCGCGAAGTGCCGCTGCCCGAACTGCCTCACCGAAGCGGCAGGCTTCGGCCCCAACTTCGGCAAGGACGGTGCGAAACGAGAACACGTCTGTCATGTGCCCGGTTGTGGAAAAGTTTACGGAAAAACGTCACACTTAAAGGCCCATCTTCGTTGGCACACCGGCGAGCGACCTTTTGTCTGCAACTGGCTGTTCTGCGGAAAAAGATTCACTCGCTCAGATGAGCTGCAGCGACACCTCCGCACTCACACCGGAGAGAAGCGATTCGCTTGTCAATTGTGCACTAAACGTTTCATGCGCTCCGACCACCTCGCGAAACATGTGAAGACTCACGCTAACGTTACGAGGAAATCGAAGAAAGCTAAAGAAGACGACGCGAAAGCGGACTCCCCGAAACCGAGCGATGAAAAAGTAGAGAAGCAACCCAACGAGACAGTTGTTCCAGCTGTGTCAATCGGAAGTTCGCATTACGGCACGGTGCCAGCGGTGACTGCGCCTAAACAGATGTTGAACTACGGCACAGTAGCTCCGCAAGTGATGCAGGGTACTCCGGCTACTTACAACAATAATGCTGTGTTTACAAGCGGCAGCGTTATGTACGGAAGCGGTTGGTGTCCGGAGATGCGTCAAGAGTCTTACTACGCTCGTCCGCCAGCTAGAGACCCTCGGCTCTACCAGCAGTACACACCGCTCACAGCCTACCAGTGCGGTTCTAAGGATAACAGTTACGCCATGTTCCAAGGACATTACAACTTACAGCCGCCGGTGGCCATTGGACAATAA</t>
  </si>
  <si>
    <t xml:space="preserve">&gt;BANY.1.2.t20999_sp4-like</t>
  </si>
  <si>
    <t xml:space="preserve">ATGTCGTCTGAACCCTGTAAAGTGACAGTGGAATACATTAGTGAGGACAAAATAATAAAGGAGGGTAGCGGCACCCAGTCGCCCCTGGCGTTGGTGATCAGCACTGCTGTTGTGCAGCAATTGCGGGCGCAAGGATTAACGGGCAATGATCTATCAGCAGCGATAGTAAATGCGGCCAGCACTGTACCTAATGGCATACAGGTGCAGCAACCTCAGGTGATATCAATGCAGCAGCTGCAGTCGCTTCTGGGCGGCGGCGTGGTGTCCGGCTCCGAGGGTGCCACGTACCAGAACGCGCCACAGCAGCTGCTCCAGATCCACCCCCAGCTCTTGCAGCAACAAGCAGGCAATGTGTACGGGGGTTGCATGGTGGGCGGGGTGGCGCCGCTGCAGGCTGTCACCGTGGACGGTCAGGAGGCGCTCTTCATACCCTCACATCACGCTCAGAATTTCTCGGGAATGGGCCAGATGAGCTTAGTCAACGGTCAGTTAGTCAGGACGCCCGTGCTGCCGACGGGTTTCCTACAAAACGTCATGCATCTACCAACAGAGCAACAGGCGACCGTCACCATCCCCGGTACTAACATAACCATCCCGCTCAGCGCACTCGCCGGGAACCAGATGATCACTATACCGGGGACCAACATATCCATCCCCGGCGGTATACAGATACCGACGAGCCAGCCCATTACCATACCTAGCCCCGTCCAGCTGCCGGTGGCGAGTGTGGCGAACATGGCCAACATGGCCAACGTCACCAACGTCGCCACGGTGGCCAATGTGGCCAACGCTGGCGTCAGCTTGGCGACCGGGGACGCCAAGAATGGGGGGAATGGAAAAGAGAGCAAATCGCCCGACAGTCCTAACTCGCAAGGCGGGGGCGTGGCCGTGCGCGGCGGCATGGGCGGCGTGGGCGTGGTGCCCGTGCAGGTGCCCATGCAGGCCCAGCCGCAAGTCGCCAACGTTCTGACTCCGTCCGGTCAAATACAGCAGATACAGATAGCGTCGCTTGGCAATGTGCAGCAGGCTGGTGCCCCCCAGCAGGCCGCCGCGACGGCGGGGCCCCCCACCATCACTCTACAGGCGGTGGCGGGCCAAATGCAACCGGACACGGCTCAAGTGCAACAGCCGCAAGCGATTATCACATCCACGCCTGCGGGGCAGCAGGTCACCGTTATACCGACTAGCAATGTGACGACCGCCAATGTGGTGCAGGTATACGTCTGCGTTTGCGATCGTAAAAAGGAAATCGACGTGCCACTTGGCTACAGGTTCAGGGCCGTGTTAGGCTACGGCAAACGTCTGGTGAACAGGGCCTTGTTGGACTACGGCAAACGTCTGGTGAACAGCGCCTTGTTGGACTACGGCAAACGTCTGGTGAACAGGGCCGTGTTAGCTTACGGCAAACGTCTGGTGAACAGGGCCGTGTTAGCTTACGGCAAACTTCTGGTGAACAGCGCCTTGTTGGACTATGGCAAACGTCTGGTGAGCAGCGCCTTGTTGGACTACGGCAAACGTCTGGTGAACAGGGCCGTGTTAGCTTACGGCAAACGTCTGGTGCCGACGCTAGGCGTGGGCGGGCTGGGCGGCGCGGTGCAGCTGGTCCCAGCGATGGGCCTGCCGGGGGCGGTGCAGCTCACGCAGATACCGCAGGCGCAACAGCAGGCACAGCCGCAGCCTCTTATTGGACAGCAGATCCAGCAGGACCCCAACGAGCCGGGCAAGTGGCAAGTGGTCACCGTGAGCGCGGGCAGCACCGCCACCACGGAGTGCGAGGCGGAGAAGCTGCGGCCCACCAGCCCCAACGGCGGCAAGCGGCTCATGAAGCGCGTGGCGTGCACGTGTCCCAACTGTGACCAGGGGGAGAACCGGCTGGTGGACCGCAAGAAGCAACACCTGTGCCACATCCCGGGCTGCAACAAGGTGTACGGCAAGACGTCGCACCTCCGCGCTCACCTGCGCTGGCACTCCGGGGAGCGGCCCTTCCTCTGCAACTGGCTGTTCTGTGGCAAGAGGTTCACGCGGTCAGATGAGCTGCAGAGGCACCGGCGCACGCATACGGGCGAGAAACGCTTCGAGTGCCCCGAGTGCAGCAAGCGGTTCATGCGCTCCGACCACCTCGCCAAGCACGTGCGCATACACACCAAGAACCGGATCACGGAGGTAGCGACGTCGACGCAGTCCATGTATTCGGACTCGGGCGACGACAGCTGCGACGAGAAGATGATGCTCACCATAGAGACCATGCAGGTGCCTGAGAATGAGGAGAAACTGGTCATGATTAGGCCGGGCCTCAAGATGGAGCCCGACCATATCGACAGCTAG</t>
  </si>
  <si>
    <t xml:space="preserve">&gt;Distal-less</t>
  </si>
  <si>
    <t xml:space="preserve">ATGCATCGCGCCACGAGAGGCCGGGTAGCGTTCGGAGCAGTCCAGAAATCCCTCAAAATTACACGAATTCAGTCCCCAAACAGCAAACCCACCACGCTGAGTTTCTCAGATCCCTTTGGGCCTCCTCAGTCCACGGACGGGGGGGGCCCGTCGACCCCGCAGCCCGCCATGACCACCCAGGAGCTGGACCACCAACACCACCACCTGGGAGGTTCACAAACCCCCCACGATATATCCAACTCCACGAATTCAACCCCCACCAACGTTTCCTCGAAATCCGCCTTCATAGAGTTACAGCAACACGGTTACGGGCCTTTCAAAGGTGGTTACCAACATCCCCACCATTTCGGCAGCCCGGGGGGTCAGCAGAACCCCCACGAGGCGTCGGGGTTCCCGAGCCCTAGGTCCTTAGGTTATCCCTTTCCTCCTATGCACCAAAATACGTACGGATATCACATAGGCTCCTACGCTCCTCAATGTGCAAGTCCGCCCAAAGATGAAAAATGTGGTCTATCCGACGACCCTGGGCTGCGGGTGAACGGCAAGGGCAAGAAGATGCGCAAACCGCGCACCATCTACTCCAGCTTGCAGCTGCAGCAGCTCAACAGGCGGTTCCAGAGAACACAGTATCTAGCACTGCCGGAGCGAGCTGAGCTGGCTGCTAGCTTGGGCCTGACGCAGACGCAGAACAGTAGCGCTATTTCGTAA</t>
  </si>
  <si>
    <t xml:space="preserve">&gt;Wnt2 (wnt6)</t>
  </si>
  <si>
    <t xml:space="preserve">ATGGATAATACAAGAGAGACGGGGTTTGTGAACGCGATCACTGCAGCCGGAGTGACATACGCGATCACCCGCGCCTGTACTGCGGGCTCACTGCTCGAGTGCTCATGTGAAAAGGGTGTACCAAAACCGCGTCGTGGAAGAACTCAAACGCCCCAGCCCCCAGCACCAACTCAGACAGAGCAGTGGCAGTGGGGCGGATGCAGTGACAACGTCCGCTTCGGCCTGCAGAAGTCCAGGGAATTCATGGACAGTAGATACAGGAAGAGGAGCGACATCAAAACGATGATAAAGCTGCATAACCACAACGCTGGGAGGTTGGCAATCAAAAATAACATGAAAGTAGACTGTAAATGTCACGGCCTATCTGGCTCATGCACACTGCGAACTTGTTGGTGGAGAATGCCCACCTTTAGAGAAGTGGGGGACCGATTGAGAGACAACTTTGAAGGTGCTGCTAAGGTGATCTCAAGTAATGATGGCGACAGTTTTATGCCCGAAAGTCCTAACATCAAGCGACCTGGGAAAAAAGATATCATATACTCTGAAGAATCACCCGATTTCTGCGGACCTAACATGAAGACAGGGTCACTCGGCACTGAAGGGCGCCAGTGCAATATAAGTTCTGCGGGAACTGACAGTTGCGATCAACTTTGTTGTAGAAGAGGGTACATACAAACATCTATAAAGGAGGCTGAAAATTGCAATTGTCAATTTAAGTGGTGTTGCGAAGTCATTTGTAAAACATGCTATGTGAAGCGAGACATACAAACGTGCCTTTAA</t>
  </si>
  <si>
    <t xml:space="preserve">&gt;BANY.1.2.t05765_thickvein</t>
  </si>
  <si>
    <t xml:space="preserve">ATGATGTACTGTACCAGCCCTGCGGCTACATCTGGCTGCGTGTCCGTCATCATGGCCGGTGGCCAAGTTTGCCTAGGTCGGGGCATCGTGTGCGAGTGCACGGGCGCGGGCATGTGCCCCGGCGGCGCGCCCAACGGCACGTGCGGCACGCAGCCCGGCGGGTACTGCTTCGTGGCCGTGGAGGAGCTCTACGACGACAGCGGGCTCGTGGTGCTGGAGCGCACCGCCGGCTGCCTGCCGCCCGACGAGTCGGGCCTCATGCAGTGCAAGAAAGTGCCCCACCAGAACCCGAAGGCGATAGAGTGCTGCGAGAAAGACTACTGCAACCGCCGCCTGCGGCCGCAGCTGCCGGAGCCCCCGCCCGACGTCACCGAGACCCCCGGCCTGCGCCCCGCGGGCTCCGTGCCGCACACGGCGCTGGTCGCCGCGGCGCTGTGCGCGGCCCTGCTCGCCTTCCTCGCGGCCTTCTGGCTGCTCTTCAGGATGCGCAGAAGAGGATGCAAGCGACCGCCTTCCCCGCCCGCCCCCGCGCACAGCTCGGAGATCTCCTCGGGCTCCGGGTCCGGCCTCCCGCTCCTAGTCCAAAGAACCGTCGCCAAACAGATACAAATGGTCGAGTCGATCGGCAAAGGTCGCTACGGCGAAGTCTGGTTGGCGAGATGGCGCGGCGAAAAGGTGGCCGTCAAAGTTTTCTTCACCACGGAGGAGGCTTCCTGGTTCCGCGAGACGGAGATATACCAGACGGTTCTCATGCGACACGAAAACATCCTCGGCTTCATCGCGGCGGACATCAAAGGAACGGGATCCTGGACTCAGATGCTTCTCATCACGGACTACCACGAGAACGGCTCCCTGCACGATTATTTGCAGACCGTCGTTCTGGACACGCAGGGTTTGATGACGATGGCGTACTCCATAGTGAGCGGGCTGGCCCACCTGCACATGGACATATTCGGCACCAAAGGCAAGCCCGCCATCGCTCACAGAGACATAAAGAGCAAAAACATCCTCGTCAAAAGGAACGGCCAGTGCGCGATCGCCGACTTCGGCCTCGCGGTCAGATACGTGGCGGAGAGGAACGAGGTGGACATCGCACCGAACACGCGCGTCGGCACGAGGCGGTACATGGCGCCCGAGGTGTTGGACGAGAAGTTGGACGTCACCAACTTCGAGGCGTTCAAAATGGCCGACATGTATTCTTTGGGACTGGTGATGTGGGAGATGTGCAGGCGGTGTACGACCGGGGACAAGGCGCAGTACGTGGAGGCGTACGCGCTACCGTACCACGAGCACGTGCCGTCGGACCCGTCGTTCGACGACATGCACGCGGTGGTGGTGGGCCAGCGCGCACGGCCGCCGCTGCCGGCGCGCTGGCGGGCGTCGCCCACGCTGCTGGCGCTGGCGGCGCTCATGGCGGAGTGCTGGCACCACAACCCGCCCGTGCGGCTCACGGCGCTGCGCGTCAAGAAGACGCTGGCCAAGTTCCGCGCCGAGAGCGCCGTGAAGCTCGTCTGA</t>
  </si>
  <si>
    <t xml:space="preserve">&gt;BANY.1.2.t03771_wnt10</t>
  </si>
  <si>
    <t xml:space="preserve">ATGAGGAAGTTGAAAGTTGCAGTTGGAAAACGCAGAATGCACAGGACGTACCCGGGGGCGATATATTTTGTGCTGATTGCATTTTTTGAGGTTGTGAGCTCAAGAGACAACATGCTGCCACACCACCTGAAGCTCAGTTCTACTCTAACTTGTCGACTCATCGGTGGTCTGACCAGAGAACAGAGATCTGTCTGCCACGACGCGGCCGATACAGCAGCCATCGCCTTCGAGGGTCTGCAGATGGCGGTCAAGGAGTGCCAGCATCAGTTCCGCTGGCACAGGTGGAACTGCTCCAGTCTGCTGGTCAAGAGTTCCAATCCTCACGCCAGTGCTATTATGAAGAGAGGATTCCGGGAAACCGCGTTCCTGTACGCCCTAACAGCGGCAGGAGTAGCTCACGCAGTGGCCCGGGCGTGCGCCCAGGGCCGGCTCATATCCTGCGGCTGCGACCCCCTGGGGTACCGCGCAGCCCATGAGAGGGGCCGCACGAGGACCAACAAGTGGGAGTGGAGTGGCTGCTCCCACAACCTGGCCTATGGCGTCGAGTTCTCCAAGAAATTCCTCGATGTACGGGAAAAGGTGGACGATCTGCAGTCGAAGATCAACGTACATAATAACAATGCTGGTAGATCGATTCTATCATCTCACATGGAGGTGCGGTGCAAGTGCCACGGGCTGTCAGGAAGTTGTCAACTGCGAACGTGTTGGCGCGCCACGCCCGACTTCAGGGCTGTGGCTTCTACTATTAAGAGACAATACCGCAAAGCTTTAGTAGTAGCCCAAGAAGAGCTCAATAACAGCCCTTCAGTGTTACGAGGGCGGCCACGAGGAAGAAGGAGGAGTCGAGCAAGACCTGCACCGAAGTCTAGCTTGCTGTTTTTTGAGAAGTCCCCAAGTTTTTGTGAAGCAGACCCCAAATTTGATTCCGCGGGTACATCAGGAAGAGTCTGCCGCATCGGAAGGACAACAAGGACTGGATCCTGTGACCTGCTGTGCTGTGGACGAGGACACGCCCTCATCAGAAAGTCAAGTATCAAACCATGTAACTGCACCTTTCACTGGTGCTGTAGAGTCGATTGCCAGAGGTGCCAGGATGATAAATGGATTTCAATTTGCAAGTAA</t>
  </si>
  <si>
    <t xml:space="preserve">&gt;Wnt11</t>
  </si>
  <si>
    <t xml:space="preserve">ATGCGTTTATTTATTGTGATTTTTATTTTGTTCTTTGTGTTTTTACCTAAATCTACTAAGGCGATTCGATGGCTAGCGCTTCATGAGAACGAAGGCAACTGGACGGAGGCGGAGTGCGGCGACGCGCGGCGGCGGGGCGAGCTGTGGGCGGGCAGGACGCGCGTGTGCCGCCGCCAGCCGGCAGCCATGCCGCACGTGGGCAGCCGCCGCGCCCTGGCCCGCGCAGCCTGCCTCGCCGCGCACGCCGGCGAGCGCTGGAACTGCAGTTCCATCGATNTCGCGCCGAGATACACGCCCGACTTACTCACAGGTTCTCGAAGCAAGCCTTACGTTGTATGCGATGTCGGCGCGGCGCTTGCGTGGTCAGTTTTGAGCGCAGCGCGTGCGCGTCGGGGCGCGCTGGCCGCGTGCTCGTGCGCCGCCCCGCCGCGTGTCCGCCGCGCCCGCCCGCGCCAGGGCCGCGCGCCCGAGCCGCACGCGCGGTTCAAAGTGGGGCGGACTGCGGAGACAAACTAATTCAGTGCGGCTGAGAGATTCGCGAAACAATTCTTGGACACACACGAGATAGACGTGCGAGACGGTAGAATAGAAGACGATATCATCGAGTGGGAGCCGACCACCGAGAAGACCACCACCCTGGAGCCGACCACGATGCCTCCCGTCGTCATATTGGTGGACGACCAGCCGGCGCCGCCGAACACCACCGCACCTCCGAGGAAAAAAGGTCGACGGGGACGCAAACGTTTGCCGAGGTCACCGAGACGAGGACGGCCCACAAGGAAAAGATTCAGATCCAGATACGACTACGATAACGAGAAAGAATTTGAACATCGAAACATAGAGTACCGCATGGCGGCCGACGACCCGCGCTTCGATCCTCAGGTAGACCTGCACACTCGGCTGCTACATCTGCGGCCGCTCATTGCTGCTGCCAACCTCATCAATAGCCGCTTCGGAAGAAAGGTGGTATCGCAAGGCATGCGCACCAAGTGCACATGTCACGGCGTGTCGGGCTCGTGCTCCGTGCGCACCTGCTGGCGCGCGCTGACGCCGCTGGCGCGCGCGGCCGAGGCCCTGGCGCATGAAGCCGCGCGCGCTGCTCCCCTTGCGCCGCGCACCCCGCCGCGCCGCCACCGCCGCACGAAGACGCGGCTGCGCTACGTCACGCCCAGCCCAGATTACTGCGAGCCCGATCCCGCCGCTGGTTCATTGGGCACACACGGCAGGAAGTGCAACGCGACGCTAGGCGGGGCAGCGGGCGGGTGTGGGCGGCTGTGCTGCGGGCGCGGGCGGCGCGCGGTGCGCTCGGCGCGGCTGGAGCGCTGCCGTTGCCGCTACCACTGGTGCTGCCGCGTCGACTGCCAGCTGTGCCGCGTTACCAGCGAGGACCACTATTGCAACTAG</t>
  </si>
  <si>
    <t xml:space="preserve">&gt;mad</t>
  </si>
  <si>
    <t xml:space="preserve">ATGGACACCGACGATGGAGAATCTTCAAGCAGTGGACCTATGTCCAGCTTGAATAGCTTGTTCTCATTCACAAGTCCTGCCGTCAAAAAACTGTTGGGCTGGAAACAGGGTGACGAAGAAGAGAAGTGGGCAGAGAAGGCGGTGGACAGCCTGGTGAAGAAGTTAAAGAAGCGGAAAGGCGCCATCGAAGAGTTGGAGCGTGCGCTGTCTTGTCCAGGCACGCCATCCAAATGCGTCACCATACCCAGGTCGCTGGATGGCCGGTTACAGGTTTCCCATCGCAAAGGGCTACCACACGTGATATACTGCCGCGTGTGGCGCTGGCCCGACCTGCAGAGCCATCACGAGCTCAAACCGCTCGAGATATGCCAGTATCCCTTCAGCGCCAAACAGAAAGAGGTATGCATCAACCCTTACCACTACAAGCGGGTCGAAAGTCCGGTCCTACCGCCAGTTTTAGTGCCAAGACATTCAGAGTTCGCCCCTGGACATTCTCTATTGCCTTTCCAAAGGACAACAGAACCTGCGATGCCCCACAACGTGTCCTACTCAGGATCCGGGTTTCCTCCATCCGCCTCATCAGAACTGCCGGACACTCCACCACCCGCGTATTCACCGCCGTCAGATGACAGTGAACCCCCGGGGGAAGTCGCGCCGGTTTCATACCAAGAGCCTTTGTACTGGGCGTCCGTTGCGTACTACGAACTGAACTGCAGAGTCGGGGAAGTGTTCCATTGCAACAGCCATTCGGTAGTCGTGGACGGTTTCACGGACCCCTCGAACAACAGTGACAGATTTTGTTTGGGACAATTGAGCAATGTGAACAGGAATTCGACGATCGAGAACACGAGGCGTCACATAGGGAAAGGCGTACATTTATACTACGTCGGGGGCGAAGTGTACGCTGAATGTTTGTCGGACGCCGCGATATTTGTGCAGAGTCGCAACTGCAACCACCATCACGGATTCCATCCGTCCACTGTCTGCAAAATACCTCCAGGGTGTTCGTTGAAGATTTTCAACAACAGAGAGTTCGCTCAGCTTCTATCCCAAAGTGTCAATCACGGTTTCGAAGCTGTCTACGAGTTGACAAAGATGTGCACGATCCGTATGTCCTTCGTGAAGGGGTGGGGAGCCGAGTACCATAGACAAGACGTGACGTCGACGCCATGTTGGATAGAGATACACCTCCACGGTCCGCTGCAGTGGCTGGACAAAGTGTTGACTCAGATGGGCTCGCCGCACAACGCGATATCGTCTGTGTCCTAA</t>
  </si>
  <si>
    <t xml:space="preserve">&gt;pangolin (dTCF)</t>
  </si>
  <si>
    <t xml:space="preserve">ATGCCGCATGCGCACTCGAGTTCTGCGGCGAGCTCGGGCGGCGACGACCTGGGCTCCACGGACGAGGTCAAAGTATTCAAAGACGAAGGAGACGGTGAGGACGAGAAGAGAAGTTCGGAGAATCTGTTAGAGGAGAAATCTAGCCTTATCGATTGGACTGAGAGTGAGGAGAAATCCGGTGAACCGTATTCCGGTAAACTATCGGTGAAGTCGGATCTTAGTCCTGTTTTTGGTAAATTCGAACCGCATCCAGCAGCCAGCTTCAATATGGGTTACCTCATGGCTCCTTACCCTTATCCCAATGGCGGAGCGCATCCTCTGCCTGTGTCTATGGCAAGCAAGATGGGGTTACCAGCAGGGGGTGGTCTCTCCCTGTTCTGTCCCGGGGGTGACCTGGGACAGCCGCCGCCCGCGCACATGGGCATCCCTCCCCCCTACCAGCTGGATTCCAAATTAGCGGCGGGGTTGGCGAGGACACCCATGTACCCCTTCCCAGGGGGTACGTACCCCTACCCCATGCTCAGTCCGGAGATGTCGCAGGTAGCTGCGTCCTGGCACACCCCGAGCATGTACCCCATCACGTCGGCAGCCAGCGGTTTCCGGAGTCCGTACCCCACCACGCTGCCCATCAGCAGTTCTAGTCTATCGAGGTACGATGAATTGTACCGGTTCTCCCCGACGCTGGGCGGCGGCCTAGGCCTAGGCCTGGGCCCCGCGCTGGTGGCGCCGCACCCCTCCAAGGCGGACTTGTTCACGCACCATTCGAGGTCGCAAGACAAAGGCACCAGCAGCAGCTCCGCGTCAGAGAAACCCTCGGACAGTTCCAACAACAAGGAGCAGAACAAGAAACCACACATCAAGAAACCACTGAACGCCTTCATGCTGTACATGAAGGAGATGAGGGCGAAGGTGGTTGCGGAGTGCACCCTCAAGGAGTCGGCCGCCATCAACCAAATACTCGGCAGACGGTGGCATGCGCTCGGCCGCGAGGAGCAAGCCAAGTATTACGAGTTGGCGCGGCGCGAGCGCCAGCTGCACATGCAGCTGTATCCCGATTGGTCGTCTAGGGCTAATACGCAAAGGGGCAAGAAGAGGAAGCGAAAACAGGAGACAACCGATGGAGGGAATAATTTGAAGAAATGTCGAGCGAGGTATGGTCTCGATCAACAGAACCAATGGTGCAAACCTTGCAGGCGGAAGAAAAAATGCGTGCGCTACATGGAAGCCCTGGCAGCGGCCACGGGGACCGTCCCGCTGCCGATGGCGACCCCGCAGTCCCCCTGTTCTGAGGAGGACGTCAAACTGGAGGAGCTCTCGGACGCGTCGAGCGACGAGGCCGACACCCCCCTCAACTCGGCCTCGAGTCCGGGGGGGCTCAGCGCGCTCTCCTCCCTGGCCTCCCCCGCGTCGGACCCCCCTCCGCCCCCCAGGAATCCGGTGGGGACGAACCCCAGGGACGCAAATAATCCGCTATCGGTTGGCCAGTTAACCTCCCAGTCGTGGCCGCGCGCAGCCCAGGCGCGACCCGGACATGAAGTGATATCGGTGTCATAG</t>
  </si>
  <si>
    <t xml:space="preserve">&gt;BANY.1.2.t25552</t>
  </si>
  <si>
    <t xml:space="preserve">ATGGACATGGCGAGGATCGTTAGGGCCATGTTGAGTCCTGATTCAGGGCTAGAGATCCGCGACCGCATGTGGCTCAAGATCACGATACCTAACGCGTTCATCGGCGCCGACGTCGTGGACTGGATCCTGCAGCACGTGGCCGGCGTGGCGGACCGCCGCGACGCGCGCAAGTACGCCTCGCACATGCTCAAGGCCGGCTTCATAAGGCACACGGTGAACAAGATAACGTTCTCGGAGCAGTGCTACTACGTGGCGGGCGAGCTGTGCGCCGACATGGCGGCGCTGCGCCTCAGGAGCGCCGACCAGGACAGCCTCGCCTCCGACACCTTGGCGCCGCTGCCCAACCCCAACATGATGGGGCCGGGCTACATGCCGTACGCTGGCTCGTACGGCTACCAGCCCATACCCTTCAAGTACAGCTCCTGTGTCACCAGCGAACACACCATATATGGTAACGGAAACCGGTTTGCAGCTGAGACAGAACCAGTTCTACCAGAAAACAGAACCAGTTTTCTGCAGAAAACGATGCAGTTCCAGAAGAAACAAAACCAGTTTCAGAAAGATTCAGATCAGTTCCCGGAGAAGCACAAACTAGTTTAG</t>
  </si>
  <si>
    <t xml:space="preserve">&gt;nBa.0.1-t07006-RA_Wnt9</t>
  </si>
  <si>
    <t xml:space="preserve">ATGAAAATCCACACCCCTTTCGGTTTCTACACGACATCGTACCGAAATGCTAAATCGCTTGGCGTTTCTATATTGGCTTTGAAAAATGTTGAGGGATCTCGACCGGTTCTAGAGAAGACAGTTGAAGCCTTATTCGCTGACAGATCTGAAGTTATTCATCCAGCCACGTGTAAAGTATTCACATCGTCTACACGTCAGTCAAAAATGTGCAAAAGAGAGCCAGGTTTGCCGAATATACTAGTCAAAGCGAAACAGCAAGCAATTAAGGCTTGTGAAGAGACTTTTCAATACGACAGATGGAACTGTTCACTGGTTTTCAATAAGAAGCCGAAAAGGAGTATTTTCAAAAAGATATACAGAGAGACTGCGTTTATACACTCTCTTGTGGCAGCTTCTATCACTCACGCAGTAGCAAAAGGATGTGCTTCTGGTGAGCTATCCAGATGTTCTTGTATCGGTAGTTTTAGAAACGCCTCGAACGTTCAAATGAGAGGAGGCTGTGGCGATGATTTTAAATTCGGTAAACGATTTGCTAAGAACTTTCTCGAATGGAAAACAGCGGGGAACGATCAAATAGCGGATGCTTTAAAACAAGATGTCAACATAGGTATTGATTCCATAGGCGAACAGTTGAAAGAAGTTTGCAAATGCCATGGATTTTCCGGTTCGTGTACAACGAAGACTTGCTGGAAAAGACTGGGTCCTTTCAACTCAGCTATGGGTTTATTGAAGAAGCATTACCACCACGCGGTGAAGAAAAAACTAGTGAATTTTACATCTAAAAGAGCTGTTACGATGTAG</t>
  </si>
  <si>
    <t xml:space="preserve">&gt;knot/collier_B2</t>
  </si>
  <si>
    <t xml:space="preserve">ATGTTCGGCTTGCACCACCAAGAGGCCGCCGGAGTACACGCACAGCCTCGAGGTCCTGTCACCTCCTTGAAGGAAGAGCCGCTGACTCGAGCATGGATGACTCCTACCTCCTTAGTTGACAATACCAATACGGTGGGCGTTGGCCGCGCCCACTTCGAGAAGCAGCCGCCCAGCAACCTTCGCAAGAGCAACTTCTTCCACTTCGTGGTGGCGCTGTACGACCGCGCTGGCCAGCCTGTGGAAATCGAGCGCACTGCCTTTATTGGCTTCATTGAGAAGGACCAGGAAGCAGAAGGTCAAAAAACAAACAACGGTATTCAGTACAGACTTCAACTGCTCTACGCTAATGGTATCCGCCAGGAGCAGGATATTTTCGTCAGGCTAATCGATTCAGTCACCAAACAACCTATTGTCTATGAAGGACAAGACAAGAACCCGGAAATGTGCAGAGTTTTACTCACACACGAAGTTATGTGCAGTCGATGCTGTGACAAGAAGAGTTGTGGCAACAGAAATGAAACACCTTCCGACCCTGTTATTATAGATCGGTTTTTTCTCAAATTCTTTTTGAAATGCAACCAGAACTGTTTGAAGAACGCCGGCAACCCGAGGGATATGAGAAGGTTTCAAGTGGTGATATCAACGCAAGTGATGGTGGACGGCCCCCTGTTGGCCATATCCGACAACATGTTCGTCCACAACAACAGCAAGCACGGCCGGCGCGCCAAACGCCTCGACCCCACTGAAGGTACTGACGCCGCGCCCGACACACATTCGGGGCTCTACCCACCGTTGCCCGTGGCAACGCCATGCATCAAAGCAATATCTCCGAGCGAAGGCTGGACGTCAGGGGGCTCCACTGTAATAATAGTGGGGGACAACTTTTTCGATGGACTCCAAGTCGTATTCGGAACTATGTTGGTATGGAGTGAGCTGATAACATCTCACGCGATAAGAGTGCAGACGCCGCCGCGCCACATCCCCGGCGTGGTGGAGGTGACGCTGTCGTACAAGAGCAAGCAGTTCTGTAAGGGCGCGCCCGGGAGATTTGTATATGTTTCGCTGAACGAGCCCACGATAGATTACGGCTTCCAGCGGCTCCAGAAGCTCATACCGCGGCATCCGGGCGATCCGGAAAAACTACCAAAGGAAATAATTCTCAAACGCGCGGCAGATCTGGCGGAAGCACTCTACTCGATGCCCAGAAACAACCAGCTAGGTCTGGGCGCGCCGCGGTCTCCGCCCGCCAGCATGCCGTTCAACTCCTACACGGGGCAGTTGGCAGTTAGCGTGCAGGACACGGCCGCGTCGCAGTGGCCTGAAGAGGAGTACGCGCGCAGTGGCGGCTCGGTCTCACCGCGGTACTGCTCGGCCGCGTCCACACCGCACGCGCCCGCCGCCTACCCGCCGCAGCACTACCCCGCGCCGCCTACCTCGCTGTTCAACACCACGTCACTGTCTCTAGGACCGTACCATCCGGCCAACATGAACGGACCCTTACCGTCCTACCATCAGTATAACTTGTATAATGCGAAAGATAGCGAGCATTACAGTGAAAGAAACGGGGACGCTAAAAGCGACTGTCCAGCAAACACTCATATAAAATGCAACGATATGAAAGGGCTCAGTAAAGAGGCCAAGAGCAGAAGCGCGTTTGCCGCAGTCAGACAGACTCCGTCGCGTTTCCAACAACATCAGAATTGGCACCATCTCGCCGTTCAGTGA</t>
  </si>
  <si>
    <t xml:space="preserve">&gt;vein_B2</t>
  </si>
  <si>
    <t xml:space="preserve">ATGAAGACGTGCGGGCGCGCGGCGTTTTGCTGGGCCCTGCTGTGCCTCGCTGGCAGCCTGGCGGCGCCGCGCCGCCTCTACTGCGAGCGGGCGGACGTCGCCTGGCGCGCCTACCGAGCCCCCGCCGCCTTCGAGGCGCGCGTGCAGTCGCTGGCGCGCGACGCCGCCACCGTGCAGGTGGGCCGCGTGCTGCGGCGCCAGGGCCGCTGGCCGCGCGAGGACGCCGTGCTGCGCCTCAAGCTGCCCGAGCAGCCCCGCGAGTGCGCCGGACGCTTCGAAGTGCCGCTGCAGAACCGAAAGAACTATATCGTGTTCGCGGAGAGGCAGGGCCACGCCGCCGTGGCGCTGGGCCCGCCGCTGCGCAGGACTGCCAAGTTGATCCGGAGGATCCGCGCGGTCTACCGGCCCGGCTACAGCAGCCCAGCGCGGGTGGAGCCGATGCAGTCGGTGCGCGCGACGCGCGGCGGCAAGGTCCGGCTGGAGTGCCGCGCCAGCGCGCGCCCGCCGCCGCGGATAGCCTGGTACAAGGACGGCCGGCCCGTCGCAGACATTGCTTTAAGGAGGTTCCGAGTGCAGAACTATAGGCGGCGCTCGGTATTAGTAATAAGACATGCGCGTCGCGAGGACACCGCGACGTACGAATGTAGGGCGCAGGGTGCGGTGGGGCCGCCGGCCGTCGCCGCCGCCAACGTCAGCGTCCTACCACCGGCCACGATGGCGCCAGATACCCCCCCCGGCGCTCCGTGTCCGATGCCCGATCCTGCCTCTTACTGTCTCAATGGAGGCACTTGTTTATTCTTCGAGCTTGTTCAGGAACAAGCTTGCAAATGCCCGGAAGGCTTCACCGGGCAACGCTGCGAGATCAAGGACGTTTTGAATAGGAACAGCTTGGGAGAACGACTATGGTGA</t>
  </si>
  <si>
    <t xml:space="preserve">T070</t>
  </si>
  <si>
    <t xml:space="preserve">circadian clock-controlled protein</t>
  </si>
  <si>
    <t xml:space="preserve">&gt;Circadian_clock-controlled_protein</t>
  </si>
  <si>
    <t xml:space="preserve">ATGCGTGTGTTGTTCTGTGTTTTGGCGGCGGCCTTGTTCTGTGGCGCGAGCGCGGGAACGTTGCCATCATTCATCAAGGCGTGTTCAGTATCTGACCCCAACCTGAACCAATGTGTGGAGCAGGTCATCACCTCCGCGGGGGCCAAGTTCGCGAACGGCATCCCTGAGCTGGGCATCAAACCCCTGGACCCGGTGGAGCTGGGCCGCGTGGTGGTGAACAACCCCGCGCTGAAGATCACCTTCGATGACACCGTCGTCACCGGCCTGTCGGGCTTCAGGATCAACTCGTACAAGATGCAACCAAACAAAGGCAAGGCGGAGTTGGACTTCACGGCCAACGTGACTCTGAAGGCGCACTACGTGATGGACGGGCAGGTCCTCATCCTGCCCATCAGGGGCAACGGACAGGCCAAGATCAAGATCACTAACCTGAACATCGTGATCAAGTACGGGTACAAGACGGTGGACGGGCACTGGACGGTGACTGACCACAAGGACTCGTACAAGATGGACCACGCGCACTTCAAGTTCACCAACCTGTTCAGCGGGAACAAGGAGCTCGCGGACACCACAGGCAGATTCCTAAACGAGAACTGGAGTATCATCATGCAAGAGATAGCGCCGCCCGCTATTGAACAGATCATCGCCAAGTGTGTCGACATCATCAGAATGCTGTTCTCCGTGGTGCCGGCTGACGAGCTGCTCCTCCAGTGA</t>
  </si>
  <si>
    <t xml:space="preserve">&gt;Hedgehog</t>
  </si>
  <si>
    <t xml:space="preserve">ATGAGGCTGCCGCTGGTGCTACTGTGGCTGGGAGCGGCGGCGGCTTGCGGCCCGGGCCGCGGCTTCACCCACCGCCACGGACCGCGCCGCATGACCCCTCTCGTCTTCAACCAGCACGAGCCCAACATCAGTGAGAATTCCAAATCCGCCAGTGGCCCTCCCGAGGGCCGCATCACGAGGGAAGACGAAAAGTTCAAAGACTTAGTGCCCAATTATAACCCGGACATAGAGTTTAAGGATGACGAGGGCACCGGAGCCGACCGCCTCATGACACAGCGGTGCAAAGAGAAGTTGAACACGCTCGCCATCAGTGTGATGAACCAGTGGCCGGGGGTTCGACTCCGGGTCATCGAGGGCTGGGACGAGGAGAACTCGGCTCACCTGGAAAACTCACTGCACTACGAGGGCCGGGCAGTGGACATCACCACCAGCGACCGGGATCGCAGCAAGTACGGCATGCTGGCACGCCTTGCTGTGGAAGCCGACTTCGACTGGGTGTTCTATGAGAGCCGGTCCTACATACATTGTTCTGTCAAGACAGAATCATCAGTGGGCACTGGAGCTGGTTGTTTTCCTTCTGGGTCTGTTGTACACACGGAAGAAGGTCCTCGGGACATCGCTACTCTCAAGAAAGGCGATCGAGTTCTGGGTGCAGATGACGATGGCAAGATGGTCTATTCAGAGGTTTTAACATTTATTGATCGAGAACCAAACGCGACGCGACAGTTCGTCGAAGTGACAGCAGAGAACGGCGTGAGTATAACAACCACGCCGTCACATTTGCTGCTGCTAGCTGCCGCAGACGGATGGCGGGAGTCCTTCGCCACCAACATAGAAGCCGGTGACGTCCTCCTGACGAGAGGGCAGGGCAGCGTCATGCGACCGTCGAGAGTTGTCAAAACTCGACTGGTATCGAAGAGAGGGGTTTATGCACCCCTCACAAGGACAGGGACTATCATTGTAGACGATGCATTGGCGTCTTGCTACGCTCTCGTGCGAAGCCATGCTCTAGCGCACGCTGCAATGGCTCCACTGCGCTGGATGGCCGGCTGGACTTCCAACGAAGTCTCCCGCGGAGTCCATTGGTACGCTAATGCCCTCTACAACGTTGGCGACTATGTCTTACCCGCCTCGTACAAGTATCGCTGA</t>
  </si>
  <si>
    <t xml:space="preserve">&gt;sine_oculis_B2</t>
  </si>
  <si>
    <t xml:space="preserve">ATGTTGGGGGGCCCCGAGTGGGGCCAGCGGGAGACCACCCCCCCTAGAGACGCCCCCCTGCCGAGCTTCGGGTTTACGCAGGAGCAAGTCGCGTGCGTATGTGAGGTGCTGCAGCAAGCTGGCAACATCGAGCGGCTGGGTCGCTTCCTGTGGTCGCTGCCAGCGTGTGAGCGCCTGCACGCGCACGAGTCGGTACTCAAGGCCAAGGCCATGGTCGCCTTCCACCGCGGCAACTTCAAGGAGCTGTACCGACTGTTGGAGTCGCACAACTTCAGCGCGCACAACCATGCCAAGTTACAGAACCTTTGGCTGAAAGCCCACTACATGGAGGCAGAGCGGCTCCGCGGGCGGCCGCTGGGCGCCGTCGGCAAGTACCGCGTGCGCCGCAAGTTCCCGCTGCCCAGGACCATATGGGACGGGGAAGAGACGTCTTATTGTTTTAAGGAAAAATCCCGGTCAGTACTCCGCGACTGGTACCTGCACAATCCGTACCCTTCGCCCAGAGAGAAGCGGGAGTTGGCCGAGACCACCGGCTTGACTACTGTACAGGTGTCAAATTGGTTCAAAAACAGGCGACAGAGAGACAGACAAGCAGAACACAAAGACAGCGGCGGCAACGGCGACAAGCAGCTGGACTCGTCGACGGATGACGACAGCGACGCGCCGCACGCGGCCGCCGCACACGCGCCGCCGCTCTACCCGCTGTACGAGCATCCGCTCGCGCACCTGCAGTACCACCACTCGTGA</t>
  </si>
  <si>
    <t xml:space="preserve">&gt;axin_XM_024088800.1</t>
  </si>
  <si>
    <t xml:space="preserve">ATGTCAAGTGTCAAACCTCTATCACCGTTCTTGTATACAAAAGCAACCCGAGCCAAGCTAATCTATTATTTATTTACGTTAACTTTCCTATTTAACGCGTTCTCTATTCCCGTTTTGTACAGATCAACGCGTTTCAGTTATAAAGTAGTGTCTCGCCATGCAGCGCGCGGGTGGGAGCAGGGCCTGTGCGCCATGAGCCACACTCCTATTGGCGGCCACCCGCAAGGTTGGGAGCACAAGCTTGCAGACAGGTCGTCGCTGCCGCCGGCGCCGGGGGAGGAGAAGAGTAAATCTCAGGCCAGACATGTATTCGCACAGCCACATCTGTCTAAGGCGGGCATGGCGTCGTGGCGCGAGGAGACGGAAGGCTCGTCGGGCAGCTCCGCGCGCTCGCCCGCCTCGCCGCCCTACATCCGCTGGGCGAGGACCTTGCACCATCTGCTCGAGGACGCGGAGGGCGTGCGTCTGTTCCGCAAGTTCGTGGGCGGCGCGGGCGGGCTGCACGTGGACCGGCTCAACTTCTACTTCGCCGTGCAGGGCCTGCGCCAGGAGAGCGAGCCCGCCAAGATACGGCAGGTCGTCTCCGCGATATACAAGTTTTTGCGCAAGTCTCAGCTAGCGATGCCCGAGGAGCTGAAGCAGCGTGTGAAGCAGGGCCTCAAAGATGGCACCAACATCGAGAAGACCATCTTTGACAATATGGAGCAGGAGGTGACGCGCGCGATCACGGAGTCGACGTACCAGTCGTTCCTGCGCTCGGACGCCTACGTGTCGTACGTGAGCGCGGCCACGCAGCCGCTGTCCTCGCCCGACGCCTCGCCGCCGCACTCGAGAGAGATGTGCGGAGGAGGTCTCGCCACGCTCCACGAAGGCCAGGAGCTGTCCGCGGGCGGCGGGTGTCCGCCAGTCGTGGGCGCTGCGGCCGTGGGCGCAAGACTCACGCACGACGCGCTAATCGCGACGCAGACGCGACGATTGCATTCGGATGTCGCACCGCACCGCAAGCGGTCCGTGTACAGCGCGCACGTGTCGTACGCCGGCTACACGCCCGCGTCGCGCCAGGACTCGGAGCGCGCCAGTCTCAGCAGCGGCCGCACCGACAGCGATGCTGTGTCGCTCTCCGGCAGCAGTGTCGACGGCATGTCGATGCGCGGCGTGCGCGAGAGCCGCGAGTCGCGCCACCGGCCGCGCCTGTACGGACTCGACCGCAGCCTCATCAACAAGGAGCAGGACACGGCCATGATGATACCGCGGACGCAGCGCGTGCAGTCGGAGCAGCTGCGCGTGCTGCCGCCGGCCGAGTTCGCGCCGCTGCTCATCGAGAAGCTGGAGCGGGTCAAGCGCGAGCAGGAGAACAAGGAGCGCCTCGAGAGGAGGCTGGCGGAGGGTGAAGGCGACGAGGTGATGGCGCAAGCGCTCCCGCCGCAGCTGGTGGCGGCCGCCATCCGGGAGAAACTGCAGCTCGACGACGTCAACGATCAAGATATTCTAGATCAGCACGTGTCGCGCGTGTGGTCGGAGCGCACGCCGGGCGCGTCCCCGCCGGGCGGGCGGCGCACGCGCGCGCGGCACGGCGCACACGCGCACGCGCACGGCGCACACGCGCACGGCTCGCGGCGCGCGCCCTCCGCGCTGTCCGCCGACTCGGGCCACTACGACGGCCCGCCCGACTCGCTGCACCACCCGCACTCCGTCACCCGCAGATCGTTCTCCAAGAAGACGGTGACGGAGCTGACGGACAGCGGCGTGTCGGTGGTGAGCGAGGGCACGGCGAGCGCAGCGGGCGTGGAGCCGCGCATCCTGCTGTGGATCGCCGAGGGCTCGGAGCGCATGGAGCGCCGCAACTACCGCGAGTCCTCGCGCGGCTCCTCCGCCGACCGCGACGAGCACCGCCGCCGCGACAAGCAGCAGAGGACTCGCGGCGGCACGGCCACCGGCGGCAGCACGGGCAGCAAGTCGAGCGGCGCGAGCGGGGACGCGCACACCGTGGTGGTGGTCAGTTTCCTGGACGAGAGCGTGCCCTACCGGTTCAAGGTGCCCGCCTCTCCCCTCACGCTGCGCCTCTTCAAGGACTACCTGCCTAGGAAGGGCAACTATAGATACTTCTTCAAAACGGAGTGCGCAGACTTGGACAACACCGTCATACAGGAGGAGGTCAGCAACGACAACGACACGCTGCCCATGTTCGAGGGGAAGGTGATGGCGCGCGTCAAGAGCATCGAGTGA</t>
  </si>
  <si>
    <t xml:space="preserve">&gt;groucho-like_XM_024080563.1</t>
  </si>
  <si>
    <t xml:space="preserve">ATGTATCCAACTCCGACGCGGCATCCGGCTGCGGCAGTGAGGGGTCCCCAGCCTTCAGGTGGTGCAATAAAATTCACTGTAGCTGACAATTTAGAGAGAATTAAAGAGGAATTTAATTTTTTACAAGCACAATACCACACATTAAAATTAGAGTGTGAAAAGTTAGCCAGTGAGAAAACAGAAATGCAAAGACACTATGTTATGTATTATGAAATGTCATATGGCCTTAATGTTGAGATGCACAAACAAACCGAGATAGCGAAACGTCTGAGCGGCATCATCGGGCAGGTGCTGCCGTTCCTAGCACAAGAGCACCAGCAGCAGGTGGCGACGGCAGTGGACAGAGCTAAGCAGGTCACTATGTCTGAACTTAATGCTATTATCGGGCAACAACAACAACATGGCCTCCAGCAACTGCTTATCCACGCCTCTGCGGGCTTACCCCACGGCGTGGGCGGCGCGGGCGCGTTGCTGAGTGCGGGCGGCCTGCTGTTCCCCTCCGCGGGGCCGCCGCCCGCGCCGCACCTACCTCCGCCTGCGCACAAGGTTGAGCTGCCTCCCCCCGCGGATATAAAGCCGCCTGTGTTAGGAGGGGGGGCTGCGCCCACCCCGCTGTTGCCCGGACAACCGCCGCCCCGGGAGGATGAGCGAATAGCTGCTCGAGCCATGAGCCAACAGCAGGTCCGCCGCTCAGTGTCGCCGCACGAGCGCGAGCAAAAGTACCGTCCGCGCTCGCCCGAGCCCGAGCCGCTGGACGTCAAGCGGCGCAAGGAGGAGAAGCTCGGCCATGTGAGTCTGTGTAGTGACAGTGATGCAGAGAAAAGCGATCAAGATCTGGTTGTCGATGTTGCGAATGAGGAGGAAAGAGGATCTCCAAGCGTCAGAACGGAGGGCGGTGACAGGACAGAGAACGGCCCTCGACCGCCCTCAAGGTCTGGTTCTTCGTCGAGTCGCTCTACGCCTAAAAGTTCTAAAGACGAAAAGCCTGGTACGCCAGGCGCTAAGAACCGCGCGCCGACGCCGACGGGCCGGTACGCGTTCCCCGCATACGCGGCGTACCGCCCGCCGCTACCGTACGACGGGACCATGGCGCGCACAAACGGCATGCCGCCTGCTAAACCCGCGTACTCGTATCACACGTGCGGCGGGCCACTGCAACCAGTGCCCTTTCCCGCGGACGCCCTAGCCGGGCCGGGCATCCCTCGCGGCGCGCGAGCGGTGGCGGCGCTACCGCACGGCGAGGTGGTGTGTGCGGTGGCGCTGTCGCTGGGCGGCGCGCGGCACGCCTACACCGGCGGCAAGGGCTGCGTGAAGCTGTGGGACATCACCAACCCCGGCTCGCCCGCCACGCTCGAGCCGCTCTCGCAGTTGGACTGCTTGCAAAGAGACAACTACATAAGGTCAGTGAAGCTGCTGCCAGACGGGCGGACGCTGCTGGTGGGCGGCGAGGCGTCCAACCTGTCCATATGGGACCTCTCGTCGCCCACGCCCAGGATGAGGGCGGAACTGACCTCCTCCGCGCCTGCGTGCTACGCGTTAGCCATCAGTCCAGATTCCAAGGTATGCTTCAGTTGCTGTTCGGACGGCAACATAGCTGTGTGGGATCTCCACAATCAAACGTTAGTTAGGCAATTCCAAGGTCACACAGACGGTGCTTCATGTATAGATATAAGTCCAGACGGAACTCGGCTGTGGACCGGCGGGCTGGACAACACGGTGCGCTCCTGGGACCTGAGGGAAGGCAGGCAGCTTCATCAGCACGACTTCAACAGTCAGATCTTCTCGCTAGGATATTGTCCTACTGGCTCATGTGTTAGCGGTGGGCATGGAGAACTCGCACGTGGAGGTGTTGCACGCGGGCAAGCCGGACCGCTACCAGCTCGTGCTGCACGAGTCGTGCGTGCTGTCGCTGCGGTTCGCCGCCGCGGGCAAGTGGTTCGTGTCCACTGGCAAGGACAACCTGCTGAACGCGTGGCGGACGCCGTACGGAGCTAG</t>
  </si>
  <si>
    <t xml:space="preserve">&gt;arrow_low_density_lipoprotein_receptor_adapter_protein_1-A-like_XM_024081842.1_cds</t>
  </si>
  <si>
    <t xml:space="preserve">ATGACGACGCTTTTACGGAAAATGTGGAAAAACCATTCGAAACACAAAAAACTATGCGAGGAGTGGGCCCTAGCTGAATGTGAGGGCGAAGGCTGGTGGAGGGAGGCGAAGGAAGGCCGGGGCTGCACGGAAGTGCGGTACGCCGGTGCTGCCCCCGTGGAGCGCGCTGCTTCGGCGCCCGCCACTGCGCTTGCGGTCCGGTCAGCGTTGCATACTGCTAAAACTCTGAACAAAAAATTGCAGAGGGTGAACTTGGACATCAGCGCCAAAGGAATTCTGGTGAACGACGCCGAGTCGCAGGAAAACGTCCTCAGCGTTTCAATTTACAGGATCTCGTATTGCTCTGCGGACGCGGCAAACGCTCGCGTGTTTGCGGTGGTGGAAGGCAAAAGCTTAAGCGGGGAAGAGAACCACGTGGTGCACGTATTCGTATGCGCACGGCGGAAGCAGGCGCGCGCACTCGCTCTGTCACTCGCACACGCCTTCAACGATGCTTATCAGACTTGGCAAGCAAATGAGGCTGCGTCGTTCAAATCGGGAGGCGAGCGCCTTGTAACTCCATGGGTCCATTTCCCCGATGAATCTGACGAAGAAACTGAAAACGAGCAATGGAATACTCCCGCTCCGCTTGTGACCTTCGCCTGA</t>
  </si>
  <si>
    <t xml:space="preserve">&gt;adenomatous_polyposis_coli_XM_024085194.1</t>
  </si>
  <si>
    <t xml:space="preserve">ATGGTAGATACCTGGAGCAGTATGGACTCTTCTAATTCTCCATTGACTGACTCCGGACCCTCCGCCAGCGACGACTGCCCCCCTTCCACGTCCAATGAACCCCCCCGGAGGCCTGTACAGGCCTCTTCTCCCATCGCGCCGGATACGCGCTGCACAGCGGACCCAAAAGACACCAAATCCAAATATCCTAAAAATGTGATACCCAAAACGGACAAAGCGCGTACCCGAGATCTCACCCTGGACTTCGATAATATAGATTCCGAACATATCCCCCGGCGGCCGCACTTCCTCGACGACGACTACCACCTGCCCTCTAAGTCGAATATAGAATGTCGCATCCCCAAGCCACACTTCCTCGATCACTCTCCTTCGCCGGACGAATTCGATGAACGTAGTGACATCACCAACCCCAACTTCCTCGACGATGAAGTGGATGGCGACGAAAATCAAGCACAAAAGAAAGCAGGCGCATTCCCGAAGCGGCCGAACAAAATTCAGTCTTCCAATTACACATCTCAAGAAGACAGACCGCACAGAACCAATTACAGGAGTACTCTGCACTATGGATTGGAAAGTGCAGCCAGATCGAGCGAGCGCGATAAACGGGCGTCCCAACTCTATAGAGGGACGTGGCCCGGGGAACGCGACGTGTGGACTGCACACGATTCTTCAAGTGTACGAAGTTTTTCCAGCAACGGTTCGGATTGCGCTAGGCCGTCATCTAATTTAGAAAACAAAATGGAGTGTGTGTGCTCTCTAATTTCTCTTCTTAGTCTTTCCCCTGAAAATAATGCTGACCTCAGCGGACCACTGTTAGATATGAGCAGATCCGTCGAGAGCTGCGTAGCGATGAGGCAAGCGGGGTGTATTCCTTTATTGGTTCAATTGATCCATTCAAAAGTGTCAAGAGAGACTAGAGATCGTGCAGCCAAGGCGCTCCGTAACATAATTCACACACAGACTGATGACAAGGCTGGCAGGAGAGAAGCGAGAGTGTGGAGACTGTTAGAACAAGTTAGAGAATATTGTTATGTACTCGAAGATTTAGTAGAAGCACGTAAGGAAGGAAAAGAAGCGATAGAAGATGACGTTACCAAACACCCTAGTCAAAGCGTGGCTGCCTTAATGAAGTTGTCTTTCGACGAGGAGCATCGACACGTGGTATGTCAATTAGGAGGATTGCAAGCTCTAGCGGCATTAGTAAGCGGAGACCAAGCCGCGCATGGAAGCAGAACTGACGACAATACATGTTTGACGATGAGGAAATACGCTGGTATGACGTTAACCAATCTAACGTTTGGAGATGGCAACAATAAATCGTTATTATGCTCATTCAAAGACTTCATGTTAGCACTGGTTGAACAACTGGAGTCACCGAATGACGATATGAGACAGGTCACTGCAGCGGTTCTCAGAAATCTATCGTGGAGAGCCGACACTAACAGCAAGCAAGTCTTGAGAGAAGTAGGCGCCGTGAAAGGTCTAACAAAAGCTGCTATGACTTGCCAAAAAGAAGCTACTCTGAAATCTGTTCTCTCTGCACTTTGGAATCTTACAGCTCATTGCTCCATGAACAAAGTGGCTCTATGTTCTGTTGATGGAGCTCTGGGTTTTCTGGTAGATATGCTCAGTTACAATTCCCCGACTAAGACGTTGGCAATAGTGGAAAACGCAGGTGGTATTATGCGAAATGTGTCCAGTCACATCGCAGTTCGCGAAGATTACAGACAAATTCTCCGGGAGAGAAATTGTTTAAGTGTCTTGCTTCAGCACCTCAAATCCCCCAGCCTTACAGTAGTTAGCAATTCGTGCGGTACTCTGTGGAATTTGTCGGCCAGATGTCCCCAAGACCAACAGTTTCTGTGGGACCACGGGGCAGTACCGATGCTTCGGAGTTTAATACATTCTAAACACAAAATGATCGCCATGGGATCGAGCGCAGCATTGAAAAACTTACTTAATTCTAAACCTGGAAAGACGCATATCATTTCACTGGATACGACGGCGAGAAGTATGAATTTACCCGCTCTACCGACCTTAGGGGCGAGAAAGCAGAAAGCGTTGGAGCAAGAACTAGACCAAAATTTAGCTGAAACTTGTGATAATATCGAACCAGCCACTTCTCCTTCCACAAGTAACAGAGAAGAAAAGAACCTCTTCACGGCGACCGAGAGACAAATCGCCATGAATTTAGAAAGGCACAGAATGACTTCCAGCTCACCGCTTATGGGGAATCTTTCATCGCAAATATCCTTAAGTCACAGTGCACATTTGGCCAGCTACCTCAGCTGCAGTAATACACTCCTGAAAGGAGCACTGGTGTCTCGGTCTTCGGAAGGAAGTTCTACGAATGTTAATAGATCTGAAAGCAAAGATTCCGTAACGAGCACTCACTCGGATTCAGTGTTCGAAAGGGGCGTGCGCACAGGAAAAGTTCCCGTCCCCACGCCGAGAAGTAAAGACTTGATGAAGATGGACACTGGAAGCGATACCTTCAACGGCTCCAAGACCTTATCTAAAGACGCCACATACCTTCGTTATACAGGCCAGCCGCCCATTCCACCTCCAAGAAGTTCGACCGATATGAGAACAAATTATACAGAATCTGGTTACGACGTCGACCAGGATTCTTGCGACCAACCAATCGATTTCAGCAGGAAATATTCCGAAACCAAAACCGAGTCTGAGCCTGTAGAGAAACCTAAAACGGAAGCTAAAAAGTATACCAAAAAGGAGCCGAACACTTTCGGAGATTACCAAGAGACCGATCTAGATCAACCGACCGATTACTCTTTGCGTTACGCGGAACATCAATCGGAGACCGGCTCGGACATCTCAGAACCTCCCGCGCCGTCAGTTCACGAGGACACAATCAAACACTTCGCAACAGAAGGCACGCCGTACGAAACGCCGATAATATTTTCCACGGCCACGTCTATGTCTGATCTCCGTATAATCGGCAAAGACGGTAAACCGAAAACATCAAGCGTGAAGGAGCATCCTGAAGTGATGACCCATTCAGACGAGAAAGACACTTGTTCTATAGAAGATCCTCCGAGACACGACAATGACATCGCTATTTCTACACCACCTACAGCCTCAATTTCCGAACCCATTGTTGAAAAACGAGGTGTTTTCGACACTAAATTCAGTTCGGGAATGATAAGTCCGGAGAAGCCTGTAAACTACTGCGACGAAGGCACGCCGGGGTACTTCTCCAGAGTTAGTTCACTGAGCAGCTTGGGCGAGCCGACTGAAGAGGATAGCTTGGCTAAGAAGAACGCGCGAGCTTCCATCAACGTTGAGCCGAGTCCACAAGAGCAGAGTACCAGCAGTTCTGGAAAGGATAAAGAAGGCTCAAAAGCGGTAACGTTCGCCCAGGAGCCCGTGTCCATCGCGCAGGAAGCTTCAGGCGCGGCGTCGCCGCAGCGGTTCATAGAGGACACGCCACTCATGTTCTCGCGCTCCAGCTCCCTGGGCTCGCTGCCCGAGTGCTCGCAGCAGGACGACCAGGGCTCCGTGGTGTCTGAAGTCAGTCGCCTGACATCGGGCTGCATATCTCCGAGTGAGATTCCGGACTCACCCGGACAGAGCGTCCCGCTGTCGCCGCGCTCCAGGCACGCGCCCGCCGTGGTGAGGACTGCGCCCACCACGCCACCTCTAGCGGAGGGGGTCAACATATCGGTGTTCGACGAGCGCCCGGCGCGCTTCGTGGTGGAGCACACGCCGGCGCAGTTCTCCGCCAACACCAGCCTCTCCAGCCTCACCATCAACGACGAGCCCAAGTTGCCTTTGCTACTGGAGGACATAACGAAGGAGTCAAATTCAGAAATGACATCTCCACCAACTGAAGACGTCCCAAACAGTTCCCACGGTGATGACGTGAATTCGCCACCAGAGATGCCCTCTACTAATGAAGTCAACGACAGCAAAGATTCATGCGGCGACTGGGAGTCCACGGGCGGCATCCACTCGTCGGACAGCGACGCGGCCAGCGACGGCGAGCTGCTGCAGCAGTGCATACAGAAGGGCATCATGCAGGTGGTGAAAAACAAAGGGCCACCCTCTGACGTGTCATCCGTGAATCCGTTTAGAGATGACATCTATAGGTCGCTGCCGCCGTACCTGCGCTCGTCGACGGAGACCGTCATGATGTCGCGCGACTTCGGGAGAAATGTCCGGGAAAGCAGCAGTCCGCTGCCGCCGCCGCTGCCGCCCAAGGTGCGCAACCCCGAGGCGCCGCCCAGACCTCCGCCCATGGAAGATCATCCACTACTAGAAGGTCGCAGACATGAAAGTCGGCAATTAGAAAAGACCCACCGCGAGAGGCCGAAACTGCCCACAGCGCAGCACCTCATCAGGAACGACTCCCTCAGCTCCCTCAGCCTGGATTCCTTCGGTTCCACTGATCGAGAGATATTCGAGGAGACCGTCAAAGCTGGACTCTCGAGCGTCAACCCGAGAGCGGAATTCGACCTCGACAGCAAAGGTAAGGCGCACTCGGTGGAGAGGAAAACCGAAGTGACTAGACAGGGCAGACACCACAAATCGCTAGACAGAAGCGACAAAATCTCCCATCGCGGCCCCAAAGTGAGAGACCCGGAGTTCGAGAGAAATCTCGCTTCCGGAGCGTACAGCATCAAGTCTACCAGCAAAGTTAAGAAGTTGGAAGAGCTGGCTAACGTCTCTAGATCGCCTTACTCCTACCACGGAGAGTCGATGCATCACTCGAGATTTAAACACCATTCTCGATTTTACGACGACGGCCCTCCCAGTTTACCGGCCAGGATAGACGATCCGCGGCGATTAGAGAGGAGTAACTCCCTCAGCTCTCTGAGCAACGACTCGTTTGGGTCCACCGACAAGGAGGTGTTCGAACGGTGCGTGCGTATGGGGATGTCGAAACCTCAGCCGAAAAAACGTGACGAGAAATTGAGGGTACGGAGCGATGACAGGTTGGAAATCCGGGAATCCCATCGCAGGCGACGCAAAGATACGAAGCAGGGGGCATTGGATAAGATGGTGGGCGAAGAGTACAGCAAGGATAGGGCGATTCTAGAGGAGGTCATAGCGCGGGGGGCGGGGGAAATCAAACCCGGGGAGGCGGGTAATCAAAAAGGCCAGTCAAAAAACGTTCCGGCGCCGTCTGCGGTTCTCGCGGCCGCAGACGCGCGCGCCGACAACGCGCGAGGCAACACTGGCTCTGATTACGACTCCGCCATCGACAGCACCATCGAGATCACGCTGAACGATTCCAACGTGTCGATATTCGATCGCTCCAACGAAATGGCGACTATCGATTCCGGAAACACAACACTAGAATCCGACAGCAATGAAATGGATCACTCCAACGAATGTTTAGCTCCCAAATCCTGTAACACGACCGTCGAGTCTGAAAGGGACGAGCTAAACAGATCCAATGAATCGTACGCCGACGTTCTAGACGGTTCTTGGAGTGACGAGGAAGAAAAATCTAAAGATTACGACGTTGCGACACTGACTAGGAAAAACAAACATAAGCTTGAATGGACAGACATTAAATGTACAGATAGTCAGATGAACTTTGACGATTTGTCCAAGAAAAGTAACGAGAATGATACGTGGAATGAAAACACTTGTCCCGATGACGTCACGTTCCCGACCATAAGCGGTTCCGTCCACTTGGTTTCGTCCTTGAGAAGCGAAATCGTGGACGCCGCCATGGCGCTCCCTGATTTACTAGAAAAGACTGAGGTTCCGAAAATGTTCTCTAAACTTGATTTGACCGATAAACTTGATGGAGATTTAGTCACGAGCGACGATGGAAAGGCGGACGACAAATTAATGTTAGAGAACGTTCCGGAGCCAAGTTTCACGTCGCTAGTCGACGACGGTGAACAGAAATTCGATTCAATTTTGTCCTCTGCTATAGAAAAAGAGGCAGCCAGACTAGCGGCTCAATTGAAGAATGCGCAATTCGCTATGGACCATAGTGCTACGTCTCTCACGTCTATGGATTTAGATAACGTCAAACCGCCTTCGAATCTAGGGAGTTTGCTCTCACTCAGTGCGTCAGGTCATTGGGACGAGTCGCAATCCCAAAGTTCTAAAAAATCACAGAAGAGTCGAAAGAAATCTTTGCCTGTAGCTTTAATGGTGAAGCGAGCTCTGAGCAATTCGATGCACCAAGGAAGCTCTGAACACCTCGACAGTCTTTCTCTGAGTTTCCTAGATAATGTAAAGCCGCCCTCCGAAATGGAACACATCGACATGAGCGGAAGCATGGTGTCGGTGTCGAGTATTGTTTCCGAGGTGGCCGAAACGAGAGATAGTAAGACGCCAATCATATTCGACTTCAAACAGCCAGTGCAAGACTTCCCCCTCTGCACTACTTTCACGAGTGTCTTCCACGATTTAGACAAAGTCAATCCTCCATCTTTGTTCGACGAAATGGCGGAATCGACGCTAGAACTCGAACCGACGACAGCTCATAATATTTACGATGATTGTATATCGAACACTTTGAACGTTATAACCGATATTCCGTCGGGCTCCGAAACCTGTACGCCTCTGCCTTCCGACATAAGCAGCGTAGAATCCACGCCGAAGAGACAACGGGATCAAAAGTATTTAACACCAAAAGAAAAAAGAATTGCAGCCAAACACAGATACCAGACTTACACCATCACAGACACGGTGTCGGAGAGTGATGTGGTCTTGGAAGTGGAGAAAGAAGAATTTGTGACGTGGACTAAATCTGAAAGTGATAAATCAGACGAATACGTGACGGCCACTTCTGAACCGAAAACGAAGAGACGGCTCAGTGCGAAACAGAGAAGAATGGAAGATAGATCGCGTTATCAAACACAAACTGTCGATATTCAAAATATTCTCAGTTCGCAAGAGGCGTCCCAGTCCGTAGACCAGCCGAATCCGCATATAGAAAGTCTAAAACAACGGTTGGCTGCGAAGAAAACGTTAAAGCAGAGACGCATAGAAGACGCTGAAAGGTTTAGAACCAGAACGTTAAGCGAGGACATACCACCCTCACCGACGTTCGTCACTAAAGATGCAAATTTCGAAAACCTCGAGACAACTACGGGTTACGATAGCTTATCCTCTAACGAGCTAAATCATCAGCAAATACTCGATGACCGACAAAGTGACGACGTATTCAGAGATGTGGACAGCGGGCACAACGAAGATGACTTTGAATTGAATTCTGCGCAATTGAAAACGTATACGAAGAGTTTTAGAAATTATTTACCAGTTATAGAAAGTCCTGCAGCCGTCGACATGTGCGTCGTAAACAATTTGAAAAACATAGAAATGACTGCGTCTTACAGACGAACGCTGCAGTCAGATAAGAGCCAACATCCGAGCAGCAGCGACTTCGCCAGTTACGAGGGCGACAGCAATTCGGAAGACAAAGTACATTCAGAGTCTGACTCGGAAACGCCGTCTTCTAGGCCGAAACCGAAAATAATCAAACCCGAGAGAAGAGACGAAAGTCTGGACTCGAATGATTCCGGTGAAAAAGAACACGAAGCACCGAAAGTCGTCCGAGGTCGAAAAAAAGCTATGTACGTCTCACCTTACAGAAGAACCGCGCCGAGTCCAAAAAAACCGCTAACGCCACCGGCGAAAACATCGCCGAAGTCTAGCATAGCTATAAAACCGAGTACAAGTTCCTCTAAAGCTCACACCAGTGCCAAACCACCGCCAAAAACTACCCCAGCGACGAAAACGAGCGCCAACACTTCGCCTAAGAAAACTGCACTAAACAAATCACCATCAAAACTTTCTCCAAAACCGACAACACCTCCGGTCGTCTCCAAACCAATACCTTTAGTTAGACAGGGTACTTTTACGAAGGAAGAGAGTTGCGTGCCGGCGAAAGACCTTCCAATATCCGATAAAAAGCCCATTTCCCGAGTCGGGACAGCGACCTCGCCAACTAAAGCTGGGCCCAACACGTCTCCGTCGCGACTTCCGCAGTTCAACCGCGCTCGGCCATCGTCCTCCACGAGTAAGACAAACAAGCCGGCCACGCAAAACGCATCCAAACGTCACTCTGAACCCACAATGAAAAACTCCGCTTCAAACCACAGTCTACAAAGCAACGATAGCGGCAAAACAATAGTCCTAGCTCGCGGATCGCGACAGGGCAGCACTTCTAGCGTAAATTCAATATCGTCTTCCAAAACTAAGGAGGTCGAAAGCAAGATAGCGAATCTATGGAAGAAGGTTGAGCAGACGAAGAAATTGCCAGCCAAAAGCGATAAGAGAGTGTGGATCGAAAGCGATAAGACTGAAACGCCGAAGCTGATAAGGAGTTCGACTTTCGAAGGTCAGCCGAAGCAGCAGGTGTCGACCGCGACCAAGCAGAAGTCGGCGATCGGCATCCGAGTGTCGCAGATTCCGAGCTTGAGACCAAAGTCGACGCCGAGCAAGAGTACGAGCCAAAGTAACGTCAATAAAAAACCAACGAGAGGATTCCTGAGGAAAGGCAGCGGCCAAGTCACATCATGA</t>
  </si>
  <si>
    <t xml:space="preserve">&gt;pygopus_XM_024091538.1</t>
  </si>
  <si>
    <t xml:space="preserve">ATGTTAGAGCTGGCTGAGAATTATATCAAGATGAGTCACAATCTGGCGGGTATGCCGTCGTACAGGCTGCCCGGGCCAGGGCTCGGCCCCCCGGACTTCAAGCCGCCGATGGACACGCCCACGCCACCAGCACCGGCGCCCAGCAATCCAAAAAAGAGGAGAAAAACATCAAACGCAAACAATGCAATAACACCACAGCCACCACCTACTGCACAAGATTTATTGCCACCACCTTTAACAGGGTATGGAGATACAATAGTTGCTTCTAACCCTTTTGATGATTCACCATCAACTATATCACATAACGGGCCAATGATGAGCCAGAATGGTCCTATGATGAGTCAGAACGGGCCTATGGGCATGATGGGTCCAATGGGGCACAGTATGGGTGGACCTCCTATGAGGCACATGAGCCCTCTACCTCATTCTATGAGCCCTATGAGCCAGCAAATGCCACCAAGAGGTGGAATAAGTCCCATGGGAAATATGAGTCCGATGGGTCACATGGGTGGCATGTCACCAATGGGCGGCCCGAGTATGGGTATGAGTAACCACAACATGGGTCCAGGGATGGGTCCCACTTCAAGGTCAATGGGTAGTCCTATGAGTCCAATGAATTCTATGCCAATGGGATCACCAATGTCATCAGGACCAATGGGCAGTCCAATGAATATGAGTTCAATGGCAGGCAGTCACATGAGTAACAGTCCAATGGGTCCCCCAATGCACAGTCCTTTGGGTGCTGGGTCAATGAATGGGCCAATAAATGGACCAATGGGAGGAGGTGGGCCAGGAATGAATGTCCCTCGCATGAATGGACCTATGGGCCCAAGCTGTTCAAATGGATCTATGGGGCCGAATAGTTCTATAATGTCACCAAGTCAAATGCAAAGTGGAGGAATGGGTCCAGGGCATTGTGGCGGGATGAGACATGGCAGTCCTATGGGATCAGGTATGGGAAGTGGTCCCATGGGAGGTAATGGTCCTATGACTTCAATGGGACCTGGGCCACCATATTCCGGAAATCATATGGGTCATGGTGGGCCTATGGGAATGGGTGGCAGTGGTTCTATGGGGATGGGTCCTGGGCCTGGTAATATGGGTAATTGTGGCCCCCTGGCTGGAATGAGTGGGATGTCCATGGGAGGACCAGGAGGACAGGGAGTCGGCCCTATGGGACAAAGTATGGGTATGTTTGGACCTAAACCAATGCCAGTGAGTGCAGGCAAAGTGTATCCCCCAGACCAACCCATGGTGTTCAACCCCCAGAACCCAAATGCACCTCCAATATACCCATGTGGAGTATGTCACAAGGAGGTCCATGATAATGATCAAGCCATTCTGTGTGAGTCTGGATGCAACTTTTGGTTTCACAGAGGGTGCACTGGACTAACGGAACCTGCGTTCCAGTTACTAACAGCTGAAGTGTACGCTGAGTGGGTGTGTGACAAATGCCTACAATCTAAGAACATACCGCTGGTAAAGTTCAAACCATAG</t>
  </si>
  <si>
    <t xml:space="preserve">&gt;naked_cuticle_homolog_XM_024087586.1</t>
  </si>
  <si>
    <t xml:space="preserve">ATGACGTGCTACGAAACGTTGAGAGCTTCGGCACCCGCCGCGGACGCCCCCATGGCGCACCACTTCGTCAAGTGGTGGCGCAACAAGTTTAGAAATGGATATAAGAAATTCAGCATAGGCACCGAGGGCGAGCGCACGGACACTGAAGAGTTGGTAGGACGAGCAGCGTCCCAGTGCTCGGCGCCGCCGGACATCTTGCCCAGCGAGGCCAGAGCCTTGCTGCAGCCGGCCACCCCGCCGCCTGTGCCGGCGAGGAAGACGGAACCCTACGCCAAGAGGCCGCCTTCGCCGGAAAGACATACGGAGGACGTTGATGAAAAGCAGCCAAGACTGCGATTTGAGGAGCTGACTTGCGACGTCGAACTACAACATCCGGAATCGTCGAAACAACAACCGTTGCAGTTTTCTTTTACGCTCTACGACCTTGACGGTCACGGCAGGATGACAAAAGACGATATAGCGGGCATAGTGTCGACTATATACGAGTCGATAGGAAAATCGGTCACAGTTCCGCACTACGGGTCCAAAACAATACAAGTCCGTTTAACGGTTGTACCGGAAGACGGTCGACCTCTCAACCCTCGGGATAGAAGAGAAAGAAGAAGAAGACGTCGAGAACAAGCCGACGTTCCCTTGACTCCGCCAGCAGAGTGCGCTGAGCATAGTGAGGATGAGCATCACGACAGACTGTCAAACGATGATGACGCATCCTCGAAGTCCTCGTATTCTGGAGATCGCCAGCCACCGCAGCGACCACCGCCACTGCTAAGACAAAGACCATCTCACCACCGACACGCGAGGAGGGAGCCGCGAGAAAGGAAACACACGAAAAAGAGATCTGGAAGTTTACAGAGACGGGAGTTGCTTGAAATCATACAGGCGAACATGGAAAAAAACCACATGAGCTTTCAAGCTTCAAGAAAGCCCTGCGAAACTGTTGCCAATGAGGAAGAAATAACCCACAAATATCAAAAACTTAGAAATAGATCGTACACTGTCAGCGATAAACCTGCACATGCATTCCAAAAATCAAAAACAGAGGCCAACAACAACGGATATTTAGACTTGGCGAGTGGAGGCGACTCGAACTTGTGCAGGTACGACAGGTACTTGCACGCAGTGATATGTTCCTCAGCGCGGCACGCACATACGGGCTACCACCAGAAGCATTCGCAGCCTCCAAGACACACCAGGACGCATCAGAACCCAAGGTCTCGTTCACATGATTTGCCCGCTCAACATCACTCAACACAACAGCCAAGAGTGCTTCAAATCATATTTTTATAG</t>
  </si>
  <si>
    <t xml:space="preserve">&gt;wntless_XM_024081438.1</t>
  </si>
  <si>
    <t xml:space="preserve">ATGGCGGGGACTATAATTGAAAACTTAAGCGGGCGGAAACTCACTGTATTAGTGACATTTCTTTTGTTGTGCCAAGTAATATGTTTCCTAATCGGTGGTTTGGTCGCACCCGTGCCTGCAAACGCACAAAATATTCTCGGTACCATATGTAAAGATACATCTATTATGAAAAATGACACAACGAAGTGGTATTACTATCGCGGCGCGGGTAAATGTGAGAAGATCGACCTTGACAGCATTCATCACGACGTATCGGAGCGCGACATCGTCTTTGCATTTCAAATGCCGGTGCCTCGCGAGTCGCAGGCTTACGACTATTCAAGATGGCAACAGAATTTGATTGGCGTTTTACAAGTTGATATACGTTACCACTCTCAGATGGAAATGACATCGCGGAGTGCGATCACGATAGACGCGCGGTTGGCCTACCGAAACAAAGGCGACCCGGACGACGCTTGGAAACTGTACACACAGTCGACGGAAACGAGAGTTCTAGACTGTGACATTGATATTAAATCTGAAAACTACTTGTACAACTGCTCAGCTGTACCACTGTTTGAACTCGGTTCACTTTATCATGACTATTACTTACTAAACTTACGGTTACCAGTCGATACACCTGATATGAATGCCCATATTGGTCATATACAAGATTTGTGGGTAACCGTTATCAACCAAAACGGGGGTTTTACCAAAGTGTGGCTTTCACTAAAAACTGTATTCTTTCCATGTATCATTGCTATACTCGTCTGGTTCTGGCGTCGGATTCATATTTTGGAAAGGAAGCCTGTCCTACTGGAAAAGATGTTGCTAAGTTTAGGCATAGCATTGTGCTTTTTGAATGCACCAATAGAATATTTGACTTTACAATATGACCTGCCATTCATGCTGTTACTGGGGGATATTAGACAAGGAATATTTTATGCAATGCTGTTCTCGTTCTGGCTTGTATTTGCCGGGGAACATATGTTGATCCAAGATACATCGGCTCAGAGCTCTCTTAAACAATATTGGCGTCATTTGAGTGCCGTTGCTATGGGTTGCATTTCTCTTTTCATATTTGACATGTGCGAGAGGGGTGTTCAGTTGCGGAATCCATTTTACTCTATCTGGGTTACAGATTTAGGCACAAACTTAGCGCTGACATTCATCATACTGGCTGGCATTTCAACTGGAGTATACTTTTTGTTCTTGTGTTACATGGTCTGGCAAGTATTCCTAAATATATCTCAGAGACGTCAGAGTTTACCATCAATGAGCTCAGTGCGCCGTTTGCGCTATGAAGGGATCATATACAGATTTATGTTTATGATGTTGGCTACATTGCTTTGCGCTGCCTTGACTGTGATTGGCTTTATTTTGGGTCAAGTGGCTGAAGGACAGTGGAAGTGGGATGAAGATATTGAACTTGAATATACTTCAGCATTCTTCACAGGTGTATATGGAATGTGGAATATATACATATTTTCCCTGCTGGTACTATATGCGCCAAGTCACAAGCAGTGGCCAGCCAATGAAAATACTTCAGATACTCAGAATTTGAGTGAGGAACATGAATTTAGCCCTCTGCCATCAGAGAGAAGTGAGATTTCATCACTCACTTCCTTTATCAGGAAGACCACTATTGACTAA</t>
  </si>
  <si>
    <t xml:space="preserve">&gt;GSK3beta_glycogen_synthase_kinase-3_beta_XM_024093538.1</t>
  </si>
  <si>
    <t xml:space="preserve">ATGGCCCTTCGCCCCGTGGGCGAGGTGGCTGCGCGCTCCGAACCGTCCCTGCTCAAATTAGTTGACAACGACAAGAGTGGCCAATTAAGCAGAGCTCGTGATCGCCTTTCCACTTGTTTTAAGAAATTGCGGCGTACCATCAGTGAAGTGGATACACCTAAAAAGACCGAGCTGGCTTCGGAAAAGAAATCTGCCGCCTCGCATCGCAAGGACGGCTCGAAGGTGACGACTGTGGTAGCGACGCCGGGGCAAGGCCCCGACAGGCCGCAGGAGGTGAGCTATGCGGACATGAAGCTCATCGGCAACGGCAGCTTCGGCGTCGTCTACCAGGCCAAACTATGCGACACCGGCGAGCTTATTGCCATCAAGAAAGTGCTCCAGGACAAAAGGTTTAAGAATCGAGAACTGCAAATCATGCGACGGCTGGAGCACTGTAATATTGTCAAATTGAAATACTTCTTTTACTCAAGCGGAGAAAAGGTGGCAGTGCCCGAAGCGGTTAGCTCTCTGCTAAATGCAATGCAGTCTCTAGAAGTCGCAAAAGACGAAGTGTACCTGAATTTGGTGCTGGAGTATATACCAGAGACTGTGTATAAAGTTGCGCGTCACTACTCCAAAGATGAACAAACCATACCAATTAGTTTTATAAAGCTATACATGTACCAGTTGTTCAGAAGCCTGGCGTATATCCACTCGCTGGGCATCTGTCACCGGGACATCAAGCCTCAGAATCTGTTGCTGGACCCCAAGACAGGGGTACTGAAGCTGTGCGACTTTGGTTCGGCGAAGCACCTCGTGCGCGGCGAACCGAATGTTTCCTACATCTGCTCGCGGTACTACCGCGCGCCAGAACTCATCTTTGGAGCAATAGATTACACTACGAAAATTGATGTATGGAGCGCAGGCTGCGTGGTAGCGGAATTGCTTCTGGGCCAGCCGATATTTCCCGGTGACTCGGGCGTTGACCAGCTCGTCGAAATCATCAAGGTCTTAGGAACTCCGACTCGAGAACAGATACGCGAAATGAATCCCAACTACACAGAGTTCAAGTTTCCACAGATCAAAAGTCATCCCTGGGCAAAGGTGTTCCGCGCGTGCACGCCGCCGGACGCCATCTCGCTGGTGTCGCGCCTGCTGGAGTACACGCCGGGCACGCGCCTGTCGCCGCTGCAGGCGTGCGCGCACAGCTTCTTCGACGAGCTGCGCGAGCCCAGCGCGCACCTGCCCAACGGCCGCCCGCTGCCGCCGCTGTTCAACTTCACGGAGTACGAGCTGGGCATCCAGCCCTCGCTCAACGACTTCCTCAAGCCGCGCGCCGCGCCGCCGCCCGACCAGGCGCCCGCCGCCGCCGCGCCCGCCGCTTCGCAGGATCACGACGCGCAAGGTGAGAACTCAGCGAGCGGACCGAGCGGCGGCTCCCCGGGCGCGTCGTAG</t>
  </si>
  <si>
    <t xml:space="preserve">&gt;casein_kinase_I_XM_024095515.1</t>
  </si>
  <si>
    <t xml:space="preserve">ATGAATAAGCGTGACGGTAACAAGGACAAGGAACGTCAGAGCGACGACAAAAGAACTTCCACCGCGACTGGCGCGGTGGGTGGCGGGCGCGGCGTGGGAAGCAGCGCGATGCACACGTCGCGGCACTCCGTCACCTCGTCTTCGGGCGTCCTTATGGTCGGGCCCAACTTCCGCGTCGGCAAGAAGATCGGCTGCGGAAACTTTGGTGAACTCCGGCTTGGAAAAAATCTCTACAACAATGAACACGTAGCGATTAAGATGGAGCCTATGAAATCCAAGGCTCCACAATTACATCTAGAATATCGATTTTACAAACTATTAGGAACGCACGCTCCGTCGACAGCGGAAGGCATCCCCGAAGTGTATTACTTCGGGCCCTGCGGTAAATACAATGCGTTGGTCATGGAACTGCTGGGCCCGTCCCTAGAGGATCTGTTCGATCTGTGCGGCCGACGCTTCTCCTTAAAGACTGTTCTGATGATCGCTATGCAGCTGCTACATCGCATCGAATATGTCCATACGAGACATCTAATATATCGGGACGTTAAGCCTGAAAATTTTTTAATAGGTAGAGCTACGAGTAAAAGGGACAAAATCATACACATCATTGATTTCGGATTGGCCAAAGAATATATAGACTTAGAGACAAACAAACATATCCCATACCGGGAGCACAAGTCACTAACCGGGACTGCGAGATACATGTCAATAAATACACATTTAGGAAAAGAACAATCGCGACGCGACGACCTAGAAGCTCTGGGGCATATGTTTATGTATTTTTTACGTGGTTCCTTACCCTGGCAGGGTTTAAAAGCTGATACACTCAAAGAAAGATACCAAAAAATCGGTGATACCAAACGGGCGACTCCAATCGAGGTGTTATGCGAAGGACACCCCGAGGAACTAGCGACGTATCTGCGCTACGTGCGGCGGCTGGACTTCTTCGAGACGCCCGACTACGACCAGCTGCGGCGCATGTTCCGCGACCTGTTCGAGCGGCGCGGCTACGTCGACGACGGCGAGTTCGACTGGACCGGCAAGACCATGCCGGCCAACATGCATGTGATGCGCATATTACGTCACGCGCCCCCCTCCAATATTATTAAGAACAAGTCCGATAAGTCTACGCCAGTTGGGTCAATTCAGACTGCTCATGAAAATATAGTATCACCTAACAGAGGGGGACATCCACCTTTCCATAAGGATGATTTGTGTGATTATGTGATTGGTTTGGTTGAGGACGATGAGACGGCGCTTATTATCGAGGGCGCCGTAAAAGACTCTGGCACGGGAGGCACGGCGAACACCGGTGGCAACTGGCCCCACAGTGGCAAGAACACGCCGCTTACCACGGGTCACCTCACACCAGCGGACAGGCACGGTTCTGTACAGGTGGTGAGCTCGACGAACGGCGAGCTGGGCGCGGACGACCCCACGGCCGGCCACAGCAACACGCCCATCACCCAGCACCACGAGGTCGATGTGGTCGACGACACCAAGTCAGTGTTTCAACTGCAATCCGTGTATTCCAGATGCTGTTGTTTCTTCAAGCGCAAAAAGAAGAAGTGTGCGACACGCGCATACAAGTGA</t>
  </si>
  <si>
    <t xml:space="preserve">&gt;Rho_GTPase_XM_024092225.1</t>
  </si>
  <si>
    <t xml:space="preserve">ATGGTGTTTGAATCTATTCCCCGTACAGTTCGGATAATTTTATTAGGAGAACCTGGTGTTGGTAAAACTTCTTTAATACTTTCACTAGTAACCGAAGAGTTTGCTGAAAATGTGCCTCCAAAAGCAGAAGAAATCACAATCCCTGCAGATGTCACACCGGAGCAAGTACCGACCAATATAATCGATGTCTGCCTAGCGGAACAAACATTGGAACAAGTTGCTGAAGAAGTTGAAAAAGCTCATGTAATATGTATAGTTTTCTCTGTAGACAGACAGGAAACTTTGAACAAAATTGCTTCATACTGGCTTCCATTTGTCAGGGACAATTGTCCAGAAGATTATAGAAAGCCTGTAATACTTGTTGGCAATAAAATAGATTTAATTGACTACTCCATTATTGATAATATTTGGGATATTGCTGAGGAGTATCCAGAGGTAGACACATGTATAGCATGTTCTGCAAAAACACTTACAAAAGTGTCAGAAATGTTTTACAATGCACAAAAAGCTGTATTACACCCTATACACCCCATTTACTCTATTGAGGAACAAGAGCTGACTGAAAGATGTAAAAAAGCTCTCACAAGAATATTTAAAATTTGTGACATTGATGGTGATGGCTTACTAGATGATTATGAAATTACTGTGTTCCAAAAGAAATGTTTTGATACTCCATTACAATTGCAGGTTTTAGATGAAGTAAAATCTGTGATTGCACAAAACATTGCTGGAGGCATAGAGAATGAATGTATAACAATGAAGGGCTTCATTTTCTTGCATTGTCTTTTTATACAAAGAGGACGGAATGAGACAACATGGACAGTACTGCGCAAGTTTGGATATGATGAAAGTCTAGAGTTGTCACACAGTTATTTATATGCTAATATTAAAGTACCTATTGGGTGTACTTCAGAACTCTCTTACAAAGGGCAACAATTTTTGACACAAATATTTGAAAAATATGACAAAGATAGAGATGGAATGTTGAATCCAACTGAATTGAAAAATGTATTCTCCTATTGCCCTCGTATTCCTTGGCACAATTTACGTTATACTGTCCCAACTAATGATAAGGGCTATGTAACTCTGCAAGGGTGGATGTGCCGCTGGACCCTCATGACATTACTAGACTTGCAGAGCACAAGTGCTTATTTAGCATATTTAGGGTACAACTTTATTGAAAATGACACACAAAAATCAGCAATACACATAACCAGAGACAAAAAGGTAGACATAGCTAAGAAGCAGTCAAGCAGGAATGTGTACCAGTGTCATATTATTGGGCCGAGGTCGTGCGGCAAAACCTCCATATGCCGCAGTTTTTTAGGCATCGCTCACAAGAAAATAAAGCCGCACTCGCAGGAGCGCGGCGACGGCGGCAGCCCCGAGAGCGGCAGCTGCATCAACACGGTGCTGGTGTACGGGCAGGAGAAGTACCTGGTGCTGCGGGAGGTCCCCATCGCGCGCGTGTCCGACCCGCTGCAGCCGCACGAGGTCAACTGCGACGTGGCGTGCCTCGTGTACGACGTCACCGCCAGCCGCTCCTTCGAGTACATCGCCAGGATATACATCAAATATTTTGCCGAAAGTCACATTCCCGTATTAATAGTGGGCACAAAGGGTGACCACATGATCACCAGACAAGAGTACATATTGCAGCCCGAAGTGTTCTGCAACAAGTATCAGCTGTTGGCGCCGCAGAGCTTCAATATCAAAGAGAACAAACACGACGTGTTCGTCAAGCTCGCGACTATGGCTGCATTTCCACATCTGAAGCACTTCGCGAGCTTCGCCGGCGACAACTCGTCGTGGTGGAAGGCCGGCATCGGCGTCGCGGCCGCCACCATCGCAGGCCTCATGCTTATCAAGCTGTTGAACTTCAAGTCACGATAG</t>
  </si>
  <si>
    <t xml:space="preserve">&gt;tyrosine-protein_kinase_transmembrane_receptor_Ror_ LOC112043907</t>
  </si>
  <si>
    <t xml:space="preserve">ATGTATTACTTTTGTTTAGGTGTTTTGTTCATCGTACAATCAAGCTGCTCATCGCTTTTACTGAAAACTGATTCGTTGTCACTGGTAAAATCAAATTCGACATCTGAACAAAAGGTATGGAACATAAAACTTGATATTAATTTTGCCAAAACGCTTCCTTCATCGTTAAGAAAGGCTCCAGGAGCTGACGTTCGATTTAAATGTGAGGCCATAATGAATTTCACTAAAGTCGAAAGCTATACGAAAAATAAAGAAGGCGTCGAGACATCTTTGAAAGAATTCCCTCCAGATCACATACAGCAAGCCTTAATGAAAAATGTGAAAGTTTATTGGTTAAAAGACAATAATATTTTGACGGAGGCGGCCAAGGTAAAAATCTCAACAAAAATTGATAAAACAAATGGCACCATTGGCACTTACCTAAAATTAAAAGAATTAACTGTAAACGATGGAGGCAATTACACCTGTGTTATAAAACAAAATTACGAAAAAAGAATGACAACAAAACTTATTGTTGACAATAATAATTTGGATGCTTTTGAGAACCCAACATTCACACCCATGTTTCCAAGTAGTAATGAAAACGAATTGGTATTAAACATCAGAACAACACCAAACTTAATATCGGAAGGTATGACAGTGGATAATGTTAATACTGCAACGTCAAAGAATACATCCTCTCTGCAAAAGTTGCAACCTATATGCCAAGAGTATATTGGCAAAGTTTGCAGCTCTCATCTCAAGGGGCAGTTTGTTTATATCCCGTATGATACATCACAAGAGGCCCTTGAAGATAAACTCCTAAAAGCTTTCCAAGTCACAAAGTATTCCAACGATATAAGCTCTCATTGTGAACAATACGCCCAACCTAGTCTCTGCTACTCCACATTTCCTATTTGCAGAAATCCAGACCTAACCAATGAAAACTTTTTTAAAGAAACTAAAGAAGTTTTTAAAATTCTCCAGGAAGCTGACCAATTACCTGAAAAAACTGATTTATCTGTTGACATACTCAAAAACATACCCCAAGATCTTAAATCTCGTTTAAGATTAAACAAAAATGTGACAGATCCATTAAATTTTCGTTACAATTCAACAGTACTGAGACGGGTGTGTAAACAAGATTGTGAAATATTAGAAAATGAACTCTGTCAAACGGAATATGCTATTGCCAAACGACATCCACACATTGGTCAGCAATTAACTTTGGAAGAGTGCCAAGATTTGCCTGAAGTTGACCCTGACTGTCTCAAGATCGGGCTAGGTACACAAATGGTCTCAGATGATGAATGTTACTGGGAGAACGGCAGTGGGTATCTGGGCAGGGTCAATGTGTCCAGTAATGGGATGCCATGCATCGAATGGTCCAAGCAGTTGTACGTTAAGGGGTCTGATTATCCAGAATTAACCGGCAGACATAGCTACTGCAGAAACCCTGGTGGAATCAAGTCACAGCCTTGGTGTATCATAGACAATGATGGGAAAACTGCTCAGCTGTGTGACATTCCAAAATGTGCTCACAAAATTTGGATATACATTGTGGCCGTTTTTCTTGTCATATCCCTAATCACTGCTGGTGTCATAATTTCTTTCTTTCATAAATGTAAAAATAAAGGTAATGCAGCTACAATCCGAGATATCAATCTACCTAATGCTGATAAAAATATCTATGGTAATTCTAGGCTTAATTCACCAATTGAAATGAATGAACTGTTGACCAATCAGAACAGTGGTAGCCAGCCACATTTGACAATAAATACATCTCGCGGCAACGGAGTGTTGCGCATACCACAGTACTCTTTGTCACAGATTAAATTTTTGGAGGTGTTAGGTGAAGGAGCTTTTGGCAAAGTTTACAAAGGGGCATTAAAAAAGAACAGCGAAACTCAATATGTGGCCGTAAAAGCTTTAAAAGAGAATGCATCTGCAAAAACTAAAGCCGATTTTAGAAGAGAAATTGATTTGATATCAGAATTGACACATGAGAACATAGTGTGCATAGTTGGAGTAGCTCTCAGAGAAGAACCCTTGTGCATGTTGTTTGAGTTTATGGCTCGAGGAGATCTGCATGAATTTTTGATGGGCCGCGCCCCACCCTCGGGCAAGGGTTTGCCCTCAATGAGGCTCTTAAACATTGCAGAAAATATTGCATCAGGGATGCAATATTTAGCCTCACATCATTATGTGCACAGGGATTTGGCTGCAAGGAATTGTTTAGTATCTGATGACTTCATTGTAAAAATATCAGATTTTGGTCTCTCTAGGGATATTTATAGCTCGGACTACTACAGAGTGCAATCTAAAAGCTTATTGCCAGTGAGATGGATGCCCCCAGAATCTATACTGTATGGAAAATTCACCACTGAAAGTGATATTTGGTCATATGGAGTTGTATTGTGGGAGGTTTATAGCTATGGATTACAACCATATTATGGGTATAGCAACCAGGAGGTAATATCGATGGTGCGCGGCGGGGAGCTGCTGGCGGCGCCCAGCGGCTGCCCCGCGCCCGTGCACGCGCTCATGAAGGAGTGCTGGCAGCACACGCCGCAGAGACGACCTAACTTTGAAGTCATTGTTAACAGGATACAAGAGTGGATCCAAATGGGGGGTTGTCCTGAGGTCGCCGCGTCCGAGTCGGGCAGCAGCTGTGGCCATCGACCCACCACATCAAACAAGGAATTCCAGGAAAGAGTACCACTTTTACCCCCACATTGTTCCTCCTCCAACGGCTCCCTTGCCACCGGCAGTTTGAAGAAATTCAGCGTCGCAGGGTCCAGTTCCAAAGCGGACGACAGTTTCTCCACCTGTAGTGAAGTTCCCCCTTTAGCGCCCAAAACCAAAAAATATAGTTCTGGTTCACTCATAGACACCGACAAAATTGGCACCAGAGAAACAGTCGTCAGAATACCCAACAGGCATTACGGCAATGAAATATAA</t>
  </si>
  <si>
    <t xml:space="preserve">&gt;JNK1/MAPK8-associated_membrane_protein_XM_024084608.1</t>
  </si>
  <si>
    <t xml:space="preserve">ATGTCAATAGTCAGAACATGTTCAGGACTTTACTGTGGTCGTACAGAGTTAGAGAACGGGTCCTGGGGTGAGTGTGGCGCTTGCCCTAGAGGGTTCCGCACAAACGCCACTAGCTACTGCGTAGAATGTTCCGAAGAGCCGACGCTGTACGACTGGCAGTATCTTGGCTTTATGATGCTGTTGCCACTGGTTCTGCATTTGTTCTTCATTGATATGGTTGCCGCAGGGAACAGAAATTCTACAATAGTAGCTCAACTTGTCTGTGCATTCGTTGAAGTGGTAATTGGCACAGTATCTGCGTTGATAGTGCTACCACCGACTGGGTCCATGGATCTCCATGTCTGCTCACCTAAAGCTCTGTCGGACTGGTACACACTGTTGCACAACCCACAGCCGGATTACAGAGAGACTCTGCATTGCACTCAAGAAGCTGTTTATCCTTTATACACAATAGTCCTCCTTATATATGCGTTTGGTCTCCTCATGACAGTGATACTAAGGCCGCTGTTGTTGGCCTGGCGCAAATCAAATACTGGCAAGAAAGCTATATACTGTGCCTTGTACTTCTACCCCATACTCGTCCTTATACATACTGTTGCTGCAGGATTGATATATTTCTCATTCCCTTACATAATCATCATAATATCGATGATGACGTCAGCGTCTCACTTCTCAATCAAAATAGACCAGACATCGCCGGCGTTACTGTCAGCATCGCTCACTAATGTGAGAAACTTGATCATTCTCATTGGACATTGGATCATTCACGCATATGGCATCATCTCACTGACTGGTTTCAAGGAGTTGTGGTACTTAACCTTGGTACCTGCACCAGCATTGTTTTACATACTAACTGCGCAATTCACGGACCCATTGAAGATTCATAATGATTGA</t>
  </si>
  <si>
    <t xml:space="preserve">&gt;RAC serine/threonine-protein kinase_ LOC112051766</t>
  </si>
  <si>
    <t xml:space="preserve">ATGGCGGAGCTGGAGGCGGCGCCCGGGGCCATCGTGAAGCAGGGCTGGCTGCTGAAGCGCGGGGAGCACATCCGCAACTGGCGCGACCGCTACTTCATCCTGTTCGACAACGGCGACCTGGTGGGCTTCAAGGCGCAGCCCGAGCGCAACAACTACCGTGACCCGCTCAACAAGTTCACGGTGCGCGACTGCCAGATCATGGCCGTGGACAAGCCGCGGCCGCACGTGTTCACCATCCGCGGCCTGCAGTGGACCACGGTCATCGAGCGCAACTTCGCCGTGGACACGGACAAGGAGCGCGAGGAGTGGGTGGCGGCCATCCGCTACGTGGCGTCGCAGCTCGGCGAGCAGGGCGGCGAGGGCGGCCAGGGCGGCCCCGGCGCGCCCGACGCGCCCGCGCCCTTCGCCGGCATCCCGGACAGCGACGACGGCGACATCGCGCAGCTCGGCACCAGCTTCCGGGACCCGCGCCGCATCACGCTGGAGAAGTTCGAGTTCGTGAAGGTGCTGGGCAAGGGCACCTTCGGCAAGGTGGTGCTGAGCCGCGAGAAGGGCACGGGCAAGCTGTACGCCATGAAGATCCTCAAGAAGCACCTCATCATCCAGAAGGACGAGGTGGCGCACACCATCACCGAGAACCACGTGCTGAAGAAGGCCAAGCACCCGTTCCTGACGGCGCTGCGCTACTCGTTCCAGACGGCGGACCGCGTGTGCTTCGTCATGGAGTACGCCAACGGCGGCGAGCTGTTCTTCCACCTGTCGCGCGTGCGCAGCTTCAGCGAGGAGCGCACGCGCTTCTACGGCGCCGAGATCGTGTCGGCGCTGGGCTACCTGCACGCCGAGGGCATCATCTACCGCGACGTGAAGCTGGAGAACCTGCTGCTGGACAAGGACGGCCACGTCAAGATCACGGACTTCGGCCTGTGCAAGGTCAACATCACCTACGGCCGCACCACCAAGACCTTCTGCGGCACGCCCGAGTACCTGGCGCCCGAGGTGCTGGAGGACACGGACTACGGGCCCGCCGTGGACTGGTGGGGCACGGGCGTGGTGCTGTACGAGATGGTCTGCGGGCGCCTGCCCTTCTACAACCGCGACCACGACGTGCTGTTCGCGCTCATCGTGGAGGAGCAGGTGCGCTTCCCGCGCGCGCTGTCGGCGCCGTGCCGCGCGCTGCTGGCGGCGCTGCTGTGCAAGGAGCCGGCGCGGCGCCTGGGCGCGGGGCCCGACGACGCGCAGGAGATCATGCAGCACCCCTTCTTCGCCAGCGTCAACTGGGCCGACCTGCTGGCCAAGAAGATCCCGCCGCCCTTCAAGCCGCAGGTGGACTCGGACACCGACACGCGCTACTTCGACTCCGAGTTCACGGGCGAGTCCGTGGAGCTCACGCCGCCCGACTGCGACGCCGGCCTGCAGCGCATCCAGGAGGAGCACTTCCCGCAGTTCAGCTACCAGGACATGTGCTCGTCGGCGCACTCGGCGCTGTCGCATATGTCGCACTCGGCCGCCGCCGACCGCCGCCACTAG</t>
  </si>
  <si>
    <t xml:space="preserve">&gt;odd-skipped_B2</t>
  </si>
  <si>
    <t xml:space="preserve">ATGGATTGTACTATTTTGGAAATGGAAGATAAGCCGTACAGTGTTGACAGTTCCGACGATATCAACATCGAGGAAGAGGAAGAAGAACAAATTGAAGAGAGTCATAGTTACCCACCAGACTTCCCAATCGAAGCATTAGTGAAGTTAGAGCGTCCGTCGCCACCTCTGCCGACGCCACCTCACACACCGACCGACGACACGCCACCAGCGATCATTGTATCACGCCACCAAGCCACCTGGTCTCCTCAATACTCCGTGCCTAGAACCATGCAAACTCCATACCCATACGACAAACAAGTTCCTAACTACACATATCCTGGAGTGCCCTACGTCCAACCGCAAGTCGCAAGTCTCCCACCGTCGGCACCTTATCATGCAATGTTAGTCAATCAATGGATAAGAAACGCCGCTTTATACCACCATTCTTTGAGATACCCATCGATGGCGCAGAGAATGCCTGGAAGAAATCCTCCACCGATGCGAGCACCGGGCGTCCCTGGAACAAGACCCAAAAAGCAGTTCATTTGCAAATACTGCAATCGCCAGTTCACCAAATCCTACAATCTACTCATCCACGAAAGGACTCACACCGATGAAAGGCCATACTCATGCGATATCTGCGGAAAGGCCTTCAGAAGACAAGACCATCTTAGAGATCATAGGTATATCCACTCAAAGGAGAAGCCGTTTAAGTGCACCGAGTGTGGGAAAGGCTTTTGCCAGTCGAGGACCCTGGCGGTTCACAAAATCCTACACATGGAAGAATCTCCACACAAATGCCCAGTTTGCAACAAGAGTTTCAACCAAAGATCAAATTTGAAGACACATTTACTGACTCACAGTGAAGCAAATAAACATCATTTAGAACATCTAGAAGGTTGTCAAGAAGTATCGTCTACAAGTCAAGCTGCTGAGAGTCCTCTACTAGATCTATCGCACAAGCCGTCACCTCCGCCTGCTCAAAATTATCAACATAAACACCAAGAATCGCCCGTTGAAGCTCCTAAGAGACCGCTAGGATTTTCGATAGAAGATATTATGAAACGTTAA</t>
  </si>
  <si>
    <t xml:space="preserve">&gt;lcl XM_024081021.2_cds_XP_023936789.1_1 [gene=LOC112044996] [db_xref=GeneID:112044996] [protein=protein sister of odd and bowel-like] [protein_id=XP_023936789.1] [location=108..1523] [gbkey=CDS]</t>
  </si>
  <si>
    <t xml:space="preserve">ATGCAAGAACAAAGCACATCCCGCACCAACAAAACCACACTCAACTCACTGGAGAGCGCCATCATCAAGCTGAAAAACAACCTGCAGATACAGGACACCAAACCCGCAGACATGACCGGTCTGTTGAGCATCGAGACACCGGAGGACACTAAAAGCCCAAGTAAGAGCTCTAGTTCAACTACAACGAACTTAAACTTATCTATTGCATCCGCTGCGTTGTTACAAGAGAACATGCTCCAGAGATCGTTGCAAGGCGTAGTGATATCCCTCCAAAATGCGATGATGAATTCTCTGCAACAGGCTGCTTTATTACCGTCGAATTCTGCGGCAGCCGCTGCCTTAAACTTGCAAGCTTTAGAATCCTATTTAACTTTACAACGCCTCACATCTGTGTCATCTGTAAACAACACGCAATGTAGCTCCAACGAAAGTATTACTTCAACTAAACAAGACATACTGAGGCTCGCGACGGCCAGCGCTAAGATTACTGAAACGGACGTTTCTGAAAGTACATCTAGAGTGATATCTCCGAAAACGCCTGAAGAGTACCCCTTATCTGATGCTATAGCGGCTGAAGATGTAGATTTATCCGAAGAAGTGGAAGAAGACTTAGCTTTGTTAGACAACGAAGACGAATTCACGTTGGAACAGCATCTAGAATCTACGTCAAAAGGATACGGGTACAGTGCATCACAGAGCTTAGACAACGGTTACCCGAGCCTTCTAATGAATGCCATGTATCAGCAGCAAATGAATGGGAGCCCCTCTCAGCCACCTCTGTCTCCTCAACCGTCCAATTCATCCAGCTCGAAGAGTACAAATAGTTCGACATCGTCGACGGGAAGTTGTATATCTAATAAGCAGAAAACTACAGGCAGCGGACCGAGAACGAAAAAGCAGTTTATTTGCAAGTTCTGTAATCGACAATTCACGAAATCCTACAATCTCCTGATACATGAAAGGACGCACACCGACGAGCGGCCATACTCGTGTGACATCTGTGGAAAAGCGTTCCGACGGCAAGATCACCTCAGAGATCACAGATACATACACTCAAAAGAGAAACCATTCAAGTGTTTAGAATGTGGAAAAGGATTCTGCCAGTCCCGAACATTAGCGGTACACAAAATACTACACATGGAAGAGTCTCCACACAAGTGCCCAGTCTGCAGCAGGAGTTTCAACCAACGATCGAATTTAAAAACCCATTTACTAACCCATACAGATATTAAGCCATACAACTGTACTTCATGCGGGAAGGTATTCAGGCGTAACTGTGACTTGCGACGTCACAGTTTAACACACAACCTAGTTAGCATATCATCGGTGACATCACCCAACAGTGCTGGTAATAAAAGCCCCTTACTCAACCCTAACTTCCCTATTGACAATTTAGACACTGAAGACGAGAATTAA</t>
  </si>
  <si>
    <t xml:space="preserve">&gt;lcl XM_052883808.1_cds_XP_052739768.1_1 [gene=LOC112053205] [db_xref=GeneID:112053205] [protein=protein Peter pan] [protein_id=XP_052739768.1] [location=126..1757] [gbkey=CDS]</t>
  </si>
  <si>
    <t xml:space="preserve">ATGGGAAAACGAAAAGGAAGATGTGCAAAGCGCAATGCGGCCACTAAAGAAGCCCTAGAGCCCGAACATTTAGTAAAAGCACCACATTCCTTCGTAATTCACCGAGGAAAGTGTTCAAAAGATCTAATGGACTTAACTAAAGACTTCAGGAAAATTATGGAACCTTTCACAGCATCACAGCTCAAGGAGCGCAAGAAGAATACTATAAAAGACTTCCTGTCAGTGTCAGGGTACCTGCACGTGTCACATCTGATGCTGTTCACAGAGACTGAGCTGGGCTCGTACATGAGGCTGTCGAGACTGCCCAGAGGACCCACTCTCACCTTCAGAATACATAATTACAGCCTGTCGCGCGACGTGGTGTCGTCGCTCCGCAAGCAGTACGTGATCTCGCGCGCGTTCCAGCACGCGCCGCTCGTGGTGCTCAACAGCTTCTCCGGCGAGGGCATGCACATGAAGCTGATGGCCACCATGTTCCAGAACATGTTTCCCACTATCAACATTACCAATGTAAAACTGAAAAACATCAGGCGTTGTGTGCTCATGAATTACAACCCCTCCAGCAAACTGATCGACATGCGCCACTACGTCATACGAGCCACGCCCGTGGGGCTCAACAAAGGGACAAAAAAGATGGTGCAAGGGAAAATACCCAACCTCAACAGATGTAAAGACATGTCAGAATTCTTTGATAAAGCGGCGCTGTTATCTGAGAGCGAGTACGAAGACGACGGCAACCAGGTGGAGCTCCCGCAAAAGCTGGCGTCCCGCGGCGCCTCCGCGCGCAGCACGTCAGCCCTGCGCCTCGTGGAGCTCGGCCCCAGGATGGCGCTACAACTGATCAAGGTAGAAGACGGTCTCATGGATGGAGAAGTGCTGTTCCATGAGCTGGTCGAGAAGACAGAAGAAGAGAAAGCTATAATCAAGAAAAAAAGAGAGGAAAAGAAACGTTTGAAAGAAAAGCGAAAATCACAGCAAGCTGAGAATGTGAAGCGCAAAGAGAAAGAGAAGGAGGATTTGAAACAGAAGTCGCTCGAGGGAATTAAGAAGAAGAAAGAGATGACAGAGAACCAGAGGCTGATGGAGCTGGCGGCCGCGGAGTCTCAGAACGCGTCGGACGTGGAGCAGGACAACGACGCGCAGTACTACAGGGAGGAGGTCGGCGCCGAGCCCGAACAAGATCTCTTTACTCAAAACCCATCGAGGAAAAGGAAATCGAATGACGGAGAGACGAGAGGCTTTAAAAAGATGAGATTAGACAACAAATTAAAAAAGAAATATCAGTCCAAAGACGCAAATAGACAAGATGATAACAGAAAAAGAAAATACCAGAACAACAAAGATGGCGGGAAAAACTTCCAACGTCGGGAAGATGGAAGAAAAAAATTCCAAAATCGGGAAGATGGAAAAAAGAAATTTCAACATAAAGATGACAGAAAGAGAAATTTCCAAAATAGAGATAGAGATGACAAAAGAAATAACTCCAAAAATCAAGATGGCAAGAAATTTAAAAGAAATAATCCATCAGGGAAAACTAAAAAGGTGTTTGGTGGGAAATTCAACAAAATGGGTAAAATGGGAAAGGGTAAACAGGGAAAATCTAGCAAGGGGAAAGGAAAATCGAGGAAGTGA</t>
  </si>
  <si>
    <t xml:space="preserve">&gt;lcl XM_052889016.1_cds_XP_052744976.1_1 [gene=LOC112053314] [db_xref=GeneID:112053314] [protein=homeobox protein BarH-like 1b isoform X2] [protein_id=XP_052744976.1] [location=71..841] [gbkey=CDS]</t>
  </si>
  <si>
    <t xml:space="preserve">ATGGAGGAGGAGTCGATGTCCGGGCACAGCTGTTCCGAGGACGACATCAGCGTCGGGCGTCCTTCGCCGGCACCCTCGCGATCGCCTTCTCCTCAGGACTATTTCAGGCCGTTGAAACGGTTGAAGATGGCTTCCGAGCCCGTGGAAGAGAGGAGAGGAGAAGGCGTCAAGAGCTTTTCCATACTGGACATTCTATCACACAGCCCCCGGACTCCTCCGCGGATCGTAAGACCCTGGGATGCGTCAGGGTTCGAGCGTTTGCAGCGATTGCAGCGCTTAGCCGGTGCTGCGTTATTGGACGGCGAGCGCTGGAGACTGGCGGCTCTAGGATTGTTGAGGCCGAGGGAGATGCCAGCGGAGTGCTGTGATTCAGCGTCTGAAAGGTCTTCGTCCGCCTCGGATTGCTGCTCGGAGCCGCGGCGGGTGTCGCAGGGAGGATCTACGGCGCCGCACACACCGCTAGATGCTCTGTTCCACATGACCAGCAAAACCTTCGAGGCGAATAATGCTGACAGTGGAGATGGTCAAAATCACTTGAACCTCTTCAACTCGCGGCCACAGGCGAAGAAGAAACGCAAGTCCCGGACGGCGTTCACCAACCACCAGATCTTCGAGCTGGAGAAACGGTTCCTCTACCAGAAGTACCTCTCCCCGGCTGACAGAGACGAGATCGCCAGCTCATTGGGACTTTCCAATGCGCAAGTCATCACCTGGTTCCAAAACAGACGAGCAAAATCTAAGCGAGACGTTGAAGAATTTTGTATAACTTGA</t>
  </si>
  <si>
    <t xml:space="preserve">&gt;(LOC112055119), mRNA</t>
  </si>
  <si>
    <t xml:space="preserve">ATGAACCTCCTCAAGCGCGGTGGCGGCTCCCCCTCGCACCGCTTGCCCCACTCCCCCTCCCGCTCCCGTTCGCGTTCTTTGTCCCCCGCGCGCGTCCCCTACCATACCCCCCAGATGGGCGGCGAGAATAGTGCGTTCAAGGCTCTGGCGCACCAGGACCCCAACGCGCTGAAGGCTCTCTCGCAGCAGGCTCAGTTCGACAGTACGACGCTGAAAGCGCTGTCGCAGCAGCAGTTCGACTCGTTCCAGCCGCACCCAGCGCTGGAGAGCAGCGCTTTCAAAGCGCTCGTCCCCAACTCGGCCGCCGCCGCGCTTCTGGCAGCACAATCGATACAATTAGCCCGCGGATACGAATCTCATTCAGATTCCGACGAGGAAATAAACGTCCACGACTCGAGTGACGACGAAGCCGAGAAACAGATTAACAAGACGAGATCTAGATCTAGATCTCCGAGCCCCGAGCGGCGCAGAATAGCGGCCAACGACTTGCCACTACAATTGACTAAACATGACCGTTGA</t>
  </si>
  <si>
    <t xml:space="preserve">&gt;lcl XM_052881711.1_cds_XP_052737671.1_1 [gene=LOC112043737] [db_xref=GeneID:112043737] [protein=ecdysone receptor isoform X3] [protein_id=XP_052737671.1] [location=433..2052] [gbkey=CDS]</t>
  </si>
  <si>
    <t xml:space="preserve">ATGAGACGCCGCTGGTCTAACAACGGAGGCTTCCCCCTGCGTATGCTGGAAGAGAGCTCCTCGGAAGTGACTTCGTCGTCTGCGCTGGGGTTGCAAGCGGCTATGGTGATGTCGCCGGAGTCCCTCGCGTCCCCGGAGTACGGAGGGCTGGAACTCTGGGGCTACGAGGACGGCATGACGTACAACCCGGCTCAGACGCTGCTCGGCAACGCATGCACTATGCAACAGCAACAGCAACAAATACAACCGCTGCCGTCGATGCCTCTGCCGATGCCGCCCACAACACCCAAATCTGAGAACGAATCTATATCATCAGGTCGCGAGGAGCTGTCGCCAGCGTCAAGCGTGAATGGCTGCAGCACAGACGGCGAGGCCCGACGGCAGAAGAAAGGCCCGGCGCCGCGGCAGCAGGAGGAGCTATGTCTCGTCTGCGGCGACAGAGCCTCCGGATACCATTATAATGCGCTCACATGTGAAGGATGTAAAGGTTTCTTCAGACGGAGTGTCACAAAAAATGCGGTGTACATATGCAAATTCGGGCACGCGTGCGAAATGGACATGTACATGCGGAGAAAATGCCAGGAGTGCAGGTTAAAGAAATGCCTCGCGGTCGGCATGAGGCCCGAGTGCGTGGTGCCGGAGAACCAGTGCGCGATCAAGAGGAAAGAGAAGAAGGCGCAAAGGGAGAAGGACAAACTGCCAGTCAGCACAACCACAGTAGACGATCACATGCCGCCCATAATGCAGTGCGATCCGCCGCCGCCTGAAGCTGCTAGAATTCACGAAGTCGTGCCGCGGTTCCTATCCGAAAAGCTCCTGGAGCAGAACAGGCTAAAGAACATCCCTCCACTAACGCCGAACCAGCAGTTCTTAATCGCGAGGCTCGTGTGGTACCAAGACGGTTACGACCAGCCTTCAGAGGAAGATCTCAAAAGGGTTACACAGGCAGACACAGAAGAAATCGGCGAGGCGTCCGACCTGCCCTTCCGTCAGATCACCGAGATGACAATCCTGACGGTGCAGTTGATCGTCGAGTTCGCCAAAGGCCTGCCAGGGTTCGCGAAGATCTCCCAGCCCGACCAAATCACACTTCTAAAGGCGTGTTCGAGCGAGGTGATGATGCTGCGCGTGTCGCGGCGGTACGACATGTCGACTGACAGCGTGATGTTCGCCAACAACCAGGCGTACACGCGCGAGATCTACAACAAGGCGGGCTTCGGCTACGTCATCGAGAACCTGCTGCACTTCTGCCGGTGCATGTACGCCATGTCGTGGGACAACGTGCACTACGCGCTACTGACGGCTGTGGTCATCTTCTCAGATCGGCCCGGCCTCGAGAACCCGCAGCTAGTGGAGGAGATCCAGCGGTACTACCTGAACACGCTCCGAGTGTACATACTGAACCAGCAGAGCGGCTCCACGCGGTGTCCCGTGGTGTACGGGAAGATTCTGTCCGTACTGTCGGAGTTGCGCTCCCTGGGGATGCAGAACTCCAACATGTGCATCTCCCTCAAGCTGAAGAACAGGAAGCTGCCCCCATTCCTGGAGGAGATCTGGGACGTGGCGGACGTGAACTCGGCGCAACCGCCGCCCGTGTTCGACCACGCCAGTGACCTCTAG</t>
  </si>
  <si>
    <t xml:space="preserve">&gt;lcl XM_024098821.2_cds_XP_023954589.2_1 [gene=LOC112058139] [db_xref=GeneID:112058139] [protein=neuropeptide FF receptor 2-like] [protein_id=XP_023954589.2] [location=346..1677] [gbkey=CDS]</t>
  </si>
  <si>
    <t xml:space="preserve">ATGACGTCAGAAGTGACACTGGATGAATTGGGTGGTTTAAGTGATTTGAGTTTGAACGTGAACTTAAGTGAAGCACTTGAATTTGGCTCGGAACTAGACAATATATTATTTCAGCCGGAAAGTGTGTTGATTGCTCTATATGTGCCACTAATTTTAGTGTCTTTGGTGACCAATATCCTGCTCATAGTGGTGGCTGTGAAATGTCATTATACAAAAAATGTAACGAACATCTTCCTTGTGAACCTGTCAGCGGCCGATCTGCTGGTGACCGGCGTGTGTATGCCCATCCAGCTCAGTAAGGCCATCACACTGGTGTGGTTCTACGGGGAGACCGTCTGCAAGATTGTCAACTACATACAAGGAGTAGCGGTGGCTGCAAGCGTGTTCACCCTCACAGCGATGTCGGTGGACCGCTGGCTGTCCATCTCCCCCGAGCCGCGGCTGCGACCCCCCGGGCGACGGCAGGCCTTGCTGCTGCTCTCGCTGCTGTGGTTTGCAGCGCTGCTTATCTTTATCCCACTCCTGATGGTGGCGTCTGTCAGGAAGGAGTCGGTGCCTGTTATATCTAAAGCTCATAGGAATATTTCGATAGAAACTAAGGACGTCCACTTTTGTACAGAGGAATGGCCCAGTACGGAGACACGAAAACAGTTTGGCACCTTCAGTTTCACCTTAGTGTATGCAATACCTGGCTCCATCACCATTCTGTCGTACGCTTGCATGGGGCGAACACTGTGCTCGGTGCGACCACCCTTCGACATCGACGAGGGAAACGTTAGCATGCAGCAGGGTCTGAGGCTGATGAAGGAGCGGAAGCGCGTGGCGTGGATCCTGCTGCTTCTGGCGGTGCTGTTCGCGTTGTGCTGGATGCCCTACAACATTATGCAGCTCCTTCTAGACATAAACGTCGTCAACCCCAAGGACTTGAGCATGTACCTCCCCTATGCTCTGTTTGTTGGTCACGCAAATTCTGCTATCAACCCAATTGTGTACTGCCTGATGACGAGGAACTTCCAGAGGTCAGTGCACAAGCTGCTCTGTGGTCGCGCTGTCTGCCAACAGACTAAATTTACGTGGCGATGTACTCAGAAGCCCGACGGGTCTTCCAGCGACTACGAGCTTTACCACGAGCCCCACAAGCGCTGTTACTTACACATGAACACACTACGCTACAACGGTCATACACACGGAGCGCCGGTAGCGAGAGGGATCGAAACGCGAGCGACAACGCAACTCAGCCACGTGACGCGATCGTCGCGTCGCACTGCGCCCGCGCATGCCTTATCAGTCGAGATGTTGCAAAGGCACGGCCATCTTGATTATAAGCGTTAA</t>
  </si>
  <si>
    <t xml:space="preserve">&gt;lcl XM_024085124.2_cds_XP_023940892.2_1 [gene=LOC112047854] [db_xref=GeneID:112047854] [protein=muscle segmentation homeobox-like] [protein_id=XP_023940892.2] [location=65..1087] [gbkey=CDS]</t>
  </si>
  <si>
    <t xml:space="preserve">ATGTTAAAGAAACAAAGATACGAGGACAAGGAAGTGAACATGGCGATACAGAGTGTTTCCAGGTACCCCAGCAGCCCCGCCGAGGCTACGGAACCGCCCAAAGCGTCCAGGATATCCTTCAGCGTTGCATCAATATTGGCAGACACTAAGGCGAGCCAAGTGGATGAAACTGCCGAGATGATAAGACACCATCGGACTATACCCGAATCTCCTTTACGACAGTCCCCTGGAGCACAACCCGAATTGCCCGGCGGCAAATCTCTATCTCCCAGGCCGTCTTCCCAAACTCCCCCTTTGAATCTCAACGCGTCCGCGACTGTGACGTCTTCTGACGACGAATACGAAGATTCAGTTAACCAAGAAGACTCTATAGTAGATGTGGAGGATCTACAAAATGGCGCACAGAGTGATGAAGACGACAGAACGTCGACACCTAATGAGAAGGAGAGGTTAGGTCCGATTAGGCCGACGCCCTTCAGCGCATTGGCGGCGGCGGCGGCGGCCTACCACGGCCTGGGCTGGCCCGGCGCTCCGTCAGTGGTTCCCTCATTCGGACCACTCTTCCAAGCACATTTTCCCGTTGGTCATATTACAGACGCCAACGGCGAACCTCCGAAGCTGAAATGCCACCTGCGCAAGCACAAACCCAACAGGAAGCCGCGCACGCCATTCACCGCGCAACAGTTGCGTGCTCTGGAGAGCAAGTTTGTCGACAAACAGTACCTCAGCATTGCTGAAAGGGCGGAGTTCTCGTCGTCTCTTGGACTATCTGAAACTCAGGTCAAAATTTGGTTCCAAAACCGGCGTGCAAAAGCGAAAAGGGTGCAAGAAGCTGAGATTGAGAAGCTCAAAATGGCGCAGTTCACCCGTCACCCACACCACATGTATCCCCACCCACTGCAGCAGTACTTCCCCCACCCTTTGATGGGGAGGCCTTTACCCATGATGCCACCGCATCTGGCCATGCAGGCGTCTGTGCA</t>
  </si>
  <si>
    <t xml:space="preserve">&gt;lcl XM_024085038.2_cds_XP_023940806.1_1 [gene=LOC112047794] [db_xref=GeneID:112047794] [protein=rhomboid-related protein 3 isoform X2] [protein_id=XP_023940806.1] [location=254..1180] [gbkey=CDS]</t>
  </si>
  <si>
    <t xml:space="preserve">ATGAGCGGCAAGCGCACACGAAGCTATAGATGCGCCGTGCACCAGAGAGACCGCGAGGTCAGCTCTGAGAACGACTTCCATCTCCTTCTCGAAGACCCCACACTATTTGCCAGGATGGTGCACCTCGTAGCGATGGAGGTGCTCCCCGAGGAGAGGGACCGCAAGTACTACCAGGAGCGGTACACGTGTTGTCCACCGCCCTTCTTCATCATATGTGTTACTTTACTAGAGTTAGGAGTATTCGCGTGGTACGCATGGGGTGCAGGCGGAGTTGCGGCCGCGGCGGGCCCCGTGCCGGTCGACTCGCCTTTGGTGTATCGCCCCGACAGGAGACGAGAGCTGTGGCGGTTTCTCACCTACAGTGTTGTGCATGCCGGATGGTTGCACCTCGCGTTCAACCTGCTTGTACAGTTAGCGGTTGGACTACCTTTAGAAATGGTGCACGGAGCGGTGAGGTGCGGTGCGGTGTACCTTGCCGGTGTGTTGGGCGGGTCGCTCGCAGCGTCGGTGCTAGATCCGGACGTGTGTCTCGCGGGCGCGTCGGGTGGTGTGTACGCGCTGTTAGCCGCTCACCTAGCCAACGCGCTGTTGAACTTCCACGCGATGCGCTACGGCGCGGTGCGATTGGTCGCCGCGCTTGCGGTCGCGTCGTGTGACGTCGGCTTTGCAGTTCACGCTAGGTATACTAAGGAAGCGCCGCCGGTGTCGTACGCGGCGCACGTGGCGGGCGCGCTCGCCGGGCTCACCATCGGGCTGCTGGTACTGAAGCACGCGCAGCAGCGGCTGTGGGAGCGGCTGCTGTGGTGGGCAGCGCTGGGCGCCTACGCGGCGTGCACGCTCTTCGCGGTACTGTACAACGTGTTCAGCGCGCCGGTGGACGAGCTGCATTACATGCCGCCCGACCCGCCGC</t>
  </si>
  <si>
    <t xml:space="preserve">&gt;lcl XM_024099043.2_cds_XP_023954811.1_1 [gene=LOC112058319] [db_xref=GeneID:112058319] [protein=muscle-specific protein 20] [protein_id=XP_023954811.1] [location=134..682] [gbkey=CDS]</t>
  </si>
  <si>
    <t xml:space="preserve">ATGCCTGGACGTCCTATCTGGCAGTGTGCCAACAAACGTGAGCCTGAAAAGGAGCAGGAGGCCCAGAAGTGGATCGAAGCGGTCATCGGAGAGAAGTTCCCCGCAGGCGTACCTTACGAGCATGCCCTTCGCGACGGCATCATCCTCTGCAAGCTGATGAACAGGCTCCAGCCCGGCATCATCTCTAAAGTGAACATCTCCGGCGGCGACTACAAGTTCATGGACAATATTAGCCAATTCCAAAAAGCGTGTATCAAATACGGAGTTCCAGACACAGATCTCTTCCAGTCAACTGACCTCTGGGACCAAAAGAACATCGCACTGGTGACACAAACGATCTTTGCTCTTGGAAGAACGTCATACAAGCACCAAGAATGGCGTGGTCCTTTCCTTGGCCCCAGGCCTGCTGAAGAAAATCGCCGCGAATTCAGCGAGGACGTCCTCAGGGCAGGAGAGGCAGTTATCGGCTTACAAGCCGGTACAAACAAAA</t>
  </si>
  <si>
    <t xml:space="preserve">&gt;lcl XM_052885974.1_cds_XP_052741934.1_1 [gene=LOC128198825] [db_xref=GeneID:128198825] [protein=testis-specific gene A8 protein-like] [protein_id=XP_052741934.1] [location=46..786] [gbkey=CDS]</t>
  </si>
  <si>
    <t xml:space="preserve">ATGAACTCGCTGGTGGTGTTGTTATCCGTGATGGCGCTGGCCTCTGCCAAGCCCGGCTTCCCATTTATCATCGACTACGCTGCGCCGGCTTTGGCGCTGGCTCCGGCAGCGGTTTCCCACCAGTCGAGGATAGACGTCAAATCTACGCCAGCTATTGTCAAGACTGACATTGTAGCTCCAGCAATCGCACCTGTAGTGACAGCGCCTATCGCTTACTCAGCGCCATTAGCTGTCGCCCCCGCCGCAGTGTCGACTCAATCACGCATCGATATCAAGTCATCTCCGGGTGTAATCAGCACATACGCCGCTGGACCCCTGGAGTACACTGCGCCCCTGGCATACAGCCACGGTATCGGTTATGGTGCTCCCATATTAGCGTACAGTCCATCCATCTACGCTGCCGCCATCCCACCGATCGGCCTGAAGTCCATCGCTATCCCATCTCAAGCGGAGCCTGCACCTGAAAGCCCTGCGGCCCCTGAAGCTGGTTTACCGGTTGCGCCTACTGAAACTCCTGAGGTAGCCGCCGCGCGCGCCGCTCATCTAGAAGCTAAAGCCCTGGAGGAATCCCATCAGATCCAGAAACGCTCCGTTGGCATCCTCACTTCGCCTGTGATTTCTTCCCCGATCATAACCCGCTACGCATCTCCCGTCATCTACTCATCCCCTATTGCGAGAATCTCCCATGTGGGTGTACCGA</t>
  </si>
  <si>
    <t xml:space="preserve">&gt;lcl XM_052887394.1_cds_XP_052743354.1_1 [gene=LOC112045107] [db_xref=GeneID:112045107] [protein=rap1 GTPase-activating protein 1 isoform X6] [protein_id=XP_052743354.1] [location=351..2378] [gbkey=CDS]</t>
  </si>
  <si>
    <t xml:space="preserve">ATGAAGTCGAAGGTTGTGAAAATGAAATATCTGCCCACGGGTGGGCAAAAGGAATCATACACCCTCCTCACTGCAAGGCGAAGATATATGAAGAAATTAATGCGGCAACACGTTGCGGCGCCATGGAGCAGTTCCACGACGACAGGTAGCGCGCGAGCTCAACACGAACTATTCGAGTTGCTGGAACGAGTGCAATGTTCCAGACTTGACGATCAGAGGGCAGTGTTGCCGCCATATTTCTCTCAGGTGTCCCGACCGACCGATCGTCGGCCCGTCTCCGTAGGCGCGGCCAGCTCTGGCAGGCATTCGTACCTGCAGGACAGAGTCCCGGAGCCCCATGGCCCGCCGTCCTCGCCTGGTGCGGTCGCCGCACAACGACGCAACGCCGCCGCTTGCCAGGCTAGCCGGCTATTGCTGGAAGAAACTTTGGCTAGGCCAGGAACACCCCCCACTATAGTGCAGCCGCCCAATGGTGGCTACTGGGTGGAGGGAGGGGAAGACAGTTCGGTGGACGAGGAAAGTGAGCCACGGCCACAGCCGGGTACACCTCGCCAGTCGTCGCGAAGGCACAATATCGATACAGATGACACCGCCAAGTTCTACAGGAAGTTCTTCTTTGGAAAGGAGCACATCAACTTGGTTGGGTTCGACTCGAACCTGGGACCGGTGGTGATGTCTCTGAAGAACGACCACATGGCTGGCCAGGACCACACCAGGATACTGCTGAGGCTCAGGTCGACAACTATGCACGGACTTATTCCTACACCAAATTCAGGGATAATGCCATCACCGCTACGGATGGCCAAAATGGTGAACGACCAAGTGAACGTGGACAACTTCATGGCGGTCATGTGCCTCAACGCGTCGTCCCTGATCGCTGCCTTCGACGAGCACGTGTTAGTCAACACGTTCAAGTTCGGCGTGCTCTACCAGAAGTATGGACAGACGACAGAGGAGGAACTATTTGGGAACAATGAAACGTCGCCCGCATTTAACGAGTTCTTAGAAATACTCGGCCAGAGGATCATCCTGCGAGATCATAAAGGCTACCGAGGTGGGTTGGACATAATGAACGGGCACACGGGCACGGAGGCGGTGTACGAGCGGTTCTACGAGCGCGAGATCATGTTCCACGTGGCGCCGCTGCTGCCGCACACGGCGGGCGACGCGCAACAGCTGCAGAGAAAACGGCATGTGGGGAATGACATCGTGGCCATTGTTTTTCAGGAAAAAGCGACTCCGTTCACTCCAGACATGATCGCGTCACACTTCCTGCACGCTTTCATTGTGGTCACGCCCGTTGAGACGGCTGATGGAGAGACCAGGTACAAAGTAGCAGTTACGGGTAGACACGACGTACCATTCTTCGGTCCTACCCTCCCCCAACCACCAATATTCAAGAAGGGGCGAGAACTGAAGGAATTCCTCCTCACCAAGCTCATTAACGCCGAGAATGCGTGTTACAAAGCTTTCAAGTTCGCTGAACTAGAGCAAAGGACCAGAGCGTCGTTGCTACAAGGATTGGCGGAGAAACTGAAGGAGAAAACCGTCGAGTTTCTTGGTAGGGGGGCGACGAACGAGCCTGGTGCCGTTTCTCCCCAACCAGAAGGGACGCCGAAGCAAGAAGGGACTGGAGGCCCTGGATCGAAGTTTTTCGATACAGTCAGAAAAGTCCTAAATCCTAAAGTCAGATCACCGAGTGTAGACACAAATCTATCTGGCGACAGCAGCAAGAACAATGCATTGAACAAGAAAATTAATAATTTACACGACACACCCACACCTAACAGTGGTCGCTCTAAGTCGTCCATCGCGTCATCATCAACGACGCAATCCAATACAATGTTGCAATACAATCTCAATAATACAAACAATACAAATATTTATCAACTACGTCGTCGCACTAGCGTCCGACAGTGCCTCTCTTTCCCCCGCTACGTCTCTCGTCCTTATACTTTGAAACGTCATCTGCACAACTTAACGCTACCTACTAAAGGGGCAGATGCCTTATGGCTAACGTACGTTTGA</t>
  </si>
  <si>
    <t xml:space="preserve">&gt;lcl XM_024085325.2_cds_XP_023941093.2_1 [gene=LOC112047998] [db_xref=GeneID:112047998] [protein=uncharacterized protein LOC112047998] [protein_id=XP_023941093.2] [location=167..1576] [gbkey=CDS]</t>
  </si>
  <si>
    <t xml:space="preserve">ATGAGTCCGGGCGAGCGCGCCGCCCTTGGGCGCCGCGATGCCCCTCGCCCTCACTATGCTGCCACTGCACCGGGATTCCCGCCACCGTACTACCCACCCTACGGGGTGCCGCCGCATCACAACGCCTGGCTCGGAGCACCGCTCATATCCATGACCGGGCGAACGCCACCGCCTCGCGAAAACCCCGTGTCCAAGCTCGCCATGCACGCGCAGGGTGCTCCACTCATCATTCAGAACAGGCACGACCGCAGAAAATTTACCACCGTACCGGAGCAACGTAATCATCGCACAGTTTTGCCGCCAGAGAATATTACGAGAGACAGACCTGACCCAGAAAACACGAGGCACAGAAATCAACATCAGCAACAACATCAGCAGCAAACGCGCCCCTCTCGCGGACGCAACAACAACACGGACGCGGTCAGTGTCGCTAGTGATGAAAGTTCCGGCTCCACCAATTCTGAAACAATGTTGCCAAGAATTATAAAACCGCGTAAACGGCGTAAAAAAGATAGAAAACCTAATAATTTAGTGCCACACGATTTATCATCCGCTGCATTAGAACTTGGCGATGTCGACCACTGTACAAATATGGGGTCGTCGTTGCATGGCATGTATGAGAAATCTTATTCCAGAGATATGGCATTACAGTACCATCTAAACGTAAATGTGGTAGACTACCCGGATCCGGCTCCAGAAACATATAGGGTGGCTGCGTTAGGAGAGGCTTTTGAGGCTACTCGTTTTGGATTAGCGGAGGCGGCTGCCCCTTCAGAATCCGCCGCCAGCACGTGTCAGTGTAGATATTGCGACCCGGTTGGACAAATTTGGGATGCTAATTCCATTGCGCATTTACTGGACGAAAATTCAAGTGTTGACTTTGCACCCACGAAATTAGAAGACTCGATGAAAATTGTGGGGCCACTGGGCAGGCGTGGAGCGGATACGATGTTACGGCGTAGTTGGAGTGACCCTTCGGCGCGAACTCCGGAAAGGAAAACGAATAGCAGTGAGGCATATTCTGCTCCAAACCTCTATTCGTTATTCCCACCACCCAGAAGAACTAGCTCTCCGGAACCTAGATCGCCTCTAGCTTTGGAGATATCTTCTGAAATCGTCACTTCAATAAACGGCCACCGTGACTTGGAAATAAAGTTATTTTCGACCTCGCCACCGGCCTCGACCTCCGATCGTCGTTCTTTTTTCGACGATAAAAGTGAAAGTGCTGTAAACGATAGAAGTGCGAACGCGAACTCCGAGCTAAAATCAAAAAGTGCAGTGAGCAGTGAAAAAGTGTCAAGTGCAAACAATGTTAAAAATAGTGTAAATCTGGATTCAGGGTGCATGAAGGCACTCGGGGCCGGCGAGAACTCGCGCAACATTTGTGATTTAGCCTTAGT</t>
  </si>
  <si>
    <t xml:space="preserve">&gt;lcl XM_052888295.1_cds_XP_052744255.1_1 [gene=LOC128199312] [db_xref=GeneID:128199312] [protein=uncharacterized protein LOC128199312] [protein_id=XP_052744255.1] [location=1..1554] [gbkey=CDS]</t>
  </si>
  <si>
    <t xml:space="preserve">ATGCTTAAGAAAATCAAGTTATCAGATGTACCACACCACAAGAAAATCAAGTTATCAGATGTAGCATACCAAAAGAAAATCAAATTATCAGATGTACCATACCACAAGAAAATCAAGTTATCATATGTACCACACCACAAGAAAATCAAGTTATCAGATGTACCACACCACAAGAAAATCAAGTTATCAGATGTACCATACCACAAGAAAATCAAGTTATCAGATGTACCACACCATAAGAAAATCAAGTTATCAGATGTACCACACCACAAGAAAATCAAGTTATCAGATGTACCACACCACAAGAAAATCAAGTTATCAGATGTACCACACCATAAGAAAATCAAGTTATCAGATGTACCACACCACAAGAAAATCAAGTTATCAGATGTACCACACCATAAGAAAATCAAGTTATCAGATGTACCACACCACAAGAAAATCAAGTTATCAGATGTAGCATACCAAAAGAAATTCAAATTATCACACAAGAAAATCAAGTTATCAGATGTAGCATACCAA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ATGTACCACACCACAAGAAAATCAAATTATCAGCTAAAAAAACGTTATATTTTAAATATTATAATTTTATTGGCGACATCTATGTTTAG</t>
  </si>
  <si>
    <t xml:space="preserve">&gt;lcl XM_052887386.1_cds_XP_052743346.1_1 [gene=LOC112045125] [db_xref=GeneID:112045125] [protein=arylphorin subunit alpha-like isoform X2] [protein_id=XP_052743346.1] [location=36..2999] [gbkey=CDS]</t>
  </si>
  <si>
    <t xml:space="preserve">ATGAAGGGGGTGATCGTGTTTTTAGTTTCTATATTGTGCTTACAAATTAAGGGATACCTTATAAGGGTCCCTACATCTGCTACGAATACTTTAGTCGATACTGGTGGATGGGTTCACATTCAGAAGCTTCTACTTCCGCTATTCGAAAATGTCTGCGAGGAAAGCACAGAGCCTATCATCGTCAGAAATAATGAAGAGTTTAAATTAAATCCTTCTAGTGGTGTTTATTTGAATCCAGACGTTGTTGGCAATTTCCAAAACCTCAAAGCAAAAGGTTTATTGGCCAAGGGAGAAATTTTCACAGAGTTCAACCCTGACCACATGAATGAGCTGCAAGTAATTTACGAATTGTTGTACTACGCAAGAGACTTTGATACATTTTACAAAGCAGCTTGCTGGGCCCGTCAAAATGTCAACTGTGGTTTATTCATTGACGCCATATACTTGGCTATTCTTAACAGGCGTGACACAGAAAAGGTATCATTACCTCCACCCTATGAGATCTTACCAAACTATTTCGTTAGGAAGGGTTATATAGTAAAAGCATCATCTTTGATAAGAGGTGAACCAGTTTTGATGACCGACTGCGTACGAAACGAAGGAAACTCATACATTCTGAGCGTGAATTACACAAGTGACTATGACGATACTGATGACAAACTGGCCTATTTCCACGAAGACGTCGGTCTAAATTCCTATTTCTTTTTAACAAAACTCAAAACTTTACCCTGGCTTAATGACTCACAGAGAAAGACTTACGGTCTATATTTATACCACATAATGAAACAAATGATGGCAAGATACAATTTGGAGAGATATTCGAATGGATTACCAGAAGTGGATAGAATCGACTGGGATGATATAGACAAATCATCTTTCGATCCTTTACTTATTTATTCTAACGGTAATCAATTCAGTCAAAGAATGTCTGGAAGAACTGGGGACAGTGAACTATTAACAACATTAAAAAATATAGAAGATAATCTTCAAGGCGTCGTCTTACATATGAGAGATGGTGGATACAGCAAATCTGATATCATGACCCATTTAATGGAAATTCTCGTTACAAGTGAAAGGAGTTACCTAAACATAGCTCAACAGTTCATCAATGAAGAAGGACTAGTATCGAGGTATCCATCGGTTTTGGAACATTACATGACATCCGTAAGAGATCCGATGTTTTGGAAATTGAAAAAAACAATTATTGATCTGGTAGATAATGCCCTACAGGTATTGCCAAGTTACTCCAGAAATGAACTTTACTTCCCCGGCGTGGAGATACAAAATGTTGAAGTGAAAAAGATGATGACAACATTTGATAATTTCAAGTTTGACGTCACCAGTGCCCTAAAGTCGGAAGGAGAAGATACTAAATTTGAAGTAAAAATAGAGCAGCCAAGATTAAACCATAAGCCATTTTCTTTTAAAATATCTGTACTATCACATGTAGCACAAAAAGCATTGGTAAAGATATATATAGGCCCAAAAGTTATGCCCGGAGAATTAACGGAAAATAAAAATCTTTTCATGCTATTGGACAGATATGAAGTAAATCTTAAAATTGGTAGCAACATATTGTCAAGAGCTTCTAATGAAATGACAAGCCTTTCCGAAGATCTTCCGTCTCTGGAATCTCTACATAAATATGTTCTGGATGCTGAGTTTGGAATAGATGCCTTACCTCATAAATCTATTTGGTCACAAATCGGTTTCCCATCTCGATTAGTTCTTCCAAAAGGAACTAGTGAGGGTCTTCCTTTACATGTATTTGTATTTATAGCGCCGTATACTAAAGCAACTATTGGTGGTTCTAAAACTAATGTAGATTTAAATACAGACGCAATTTTTACACCTGGATATCCCTTAGACTTAAATATTGAGATCCAACAGTTGTTTAATCTCCCCAACGCCATGGTTAAAGATATAATGATTACACACAAAACTGAAAGCACTTCTTATACTAAACCCACAAACAATTACAACTCTGCATCAAATGGTAGGGTGTGGCCAACAGATGACCAAGAAACTGATGTTCCAAATGGTCCCTTGTATTTAAGTACTCGTCCCGAATTCACAAAGAAATCTTTTGATTATAAATCAAAATCCAATCAATATGGAAAGAAAACTGATTATGAAGCTAAAAGAGGTTATTATAATAAACCAAGTATTAAACCAGAAGAAAACACTGTTCAATTAGAAAAGGATGTAACTAATATTGTCACAAATAATGAAGCGTGGCCCACTAATAATAATGATTTTAATTCGGGAACTTCTTCGTATTTAAGTTCTCGACCTGAATTCACTAAAAGAACATTTGATTATAAATCAAAAACAAATCAATATGGAAAGAAGTATGATTATGCAGCTAAGCGAGTTAATTACGATAATCAGAACAAAACACCAGAAGACGTTAAAAATCATCAAGAAGACGAGAAAACTTTTAAGGAACCTGAAAAAACAGAAATTGTAAATAAAGTTTACATAGATACCGATAAAGAATACGATACAAATCGAAATTTTAATAAAGATACAACATTTCATAAGATTATATTAGATAAAGACAACGAAATTTACACCAAGGTTGAGGATGAAAAATACTTTAAAGATTTTGATAAATTTGTTGATGTCAAGACTCACAAAATACATGATAAGACTGTACCCGATACCATGGATGTTGTAAATAATATCTATATAAGTCGTGATCATGATGAAGTCCCAGAAGTTAATGACGATGAAACTATACATAATGTATTCATATTAGACAAACATCAAATTGATGATTTATTAGACATAAATTCCAATGAAATAGATAATGATGACTTCGAAAAAGTAATTGAAGTGAAAAATTTTAACGTGAAGCCACATGGATTACTAACTATGCCTAAAAGAAAAATGTCTAATATTTTTAATATTATTTTCAAACCCTTAAAAGCATTTGATTTCGATGAAAAAGTGTACGAATAA</t>
  </si>
  <si>
    <t xml:space="preserve">&gt;lcl XM_024098938.2_cds_XP_023954706.2_1 [gene=LOC112058231] [db_xref=GeneID:112058231] [protein=uncharacterized protein LOC112058231] [protein_id=XP_023954706.2] [location=46..564] [gbkey=CDS]</t>
  </si>
  <si>
    <t xml:space="preserve">ATGCACGTGAAAGTGCCCGACGTCAACCGCTGCTGTTTCTATTTGCCGCTGCGGCCGGGCATTATTTTATTCGCCTATGTAAATATTTTGTTCTCTTTATTGTCAGTAACATGTCTGATCATCTCGACAGAGCTGCAGCATTCGTCTCTGACCGATGACGCGTCGCTCGAGACTATTACTACTACCATCTTGTTCAGCATCCTAGGGATGGGGATAATACTTAATTTCTTGCTTCTTGTCGCCGGGCACCAGAAAGATATTTCAATGCTGCGCCTATACAACTACTATGCAGTAGCAACTGCCCTCGCAGCGTTCATACCGACTGCATTTCTGCTCTCTAAAGAAATGTTTCTTGAAGTTGTAATCGCTTTGGTTGCAATAGCAATGCAGTGCTACGTCATCGTGCTCGTACGCAGTGAAGTTGTGAAGCTGGAAGAGAAACAGTTGATCACATTGGAGGATTTACATTCAGGCTTGCAGGAACAAGTTGATGTCTCGGATTGTGTCACTTTAGTGTAA</t>
  </si>
  <si>
    <t xml:space="preserve">&gt;lcl XM_052889479.1_cds_XP_052745439.1_1 [gene=LOC128199516] [db_xref=GeneID:128199516] [protein=uncharacterized protein LOC128199516] [protein_id=XP_052745439.1] [location=4670..5995] [gbkey=CDS]</t>
  </si>
  <si>
    <t xml:space="preserve">ATGGGGGCGGAATCGCCGGGGGACACCCCGGATGCAATGGATACGTCAGTGACCCAAGAGAGAAGTAGGAAAAGAAATGCTGAACCGATAAATCAAAATACAACCACAAAGCGAGTTATCACTAGCTCAGAGAATCTAGACAGAACGTATGGTCCCAACGACTTGGGTCCGTTCATTGTCCACATCACACGAATCGAACCTGATCCGGCAGCCGGATTATCTCTAAGACCTATCAAAATTGGACTTCTTCTCACTAAGAACAACATTGAGAACATTGTTCGTGATGGTGTTAAGTCAGTAGGTAGAAATAGAGTTTCAATCGAATTTAAACGAGGTGAAGATGCTAACACATTTCTACAGCATAAATGCCTAAATGGTTGTAAGCTTAAAGCTAGTATCCCTGCTTTCAATGTTACAAGAATGAGTCTCGTCAGAGGCGTTCCTAAGGAGTGGTCTATGGTGGAACTCGTAGAATCTCTGGAATTACCCGAGAATTGTGGTAAAGTCCTCAAAGCGAGGAGACTCAACCGCAAAATAATTAATGAAGGTACTCCATCTTGGGTACCTACTCAATCTGTTGTCCTCACATTTAGTCGTCAAGTTTTGCCAAAACATATATATGCATATTATACATCAATGGTTGTTGAAAAATATCTCTTACCCACAATACAGTGTCACAGCTGCTGTAGATTTGGCCATGTTAAATTACAATGCAGAAGTAAACCCAGATGTTTCAAATGTGGTCAGGAACATTTTGGAGAAAGCTGTCAGTTAACAGGAAATGCTTTGTCCTGTATCCTGTGCACAGGCAAACATCAGGCTACATATAAAGACTGCCCAGAACACCAATGCCAACGCAACATTAATATTAATGGTTTCAGACGCGGTTTATCTGTGGAATCCAACCTATCAAATTTTACCTCGGATCTCATAACTGAAGTGGATAAGGGGCAGCAGATCGATGCTATTTATACTGATTTTAGTAGCGCATTTGATAAGGTGGACCACCAAATACTCATACAAAAGCTTTCACAGTATGGATTCGGGAATCCTTTGATAATGTGGTTTAAATCATATCTGGATCAGAGGCCTCAGACTGTTGTGGTCAATGGTTATGAATCGGAAACATACAACGCTAGATCCGGGGTACCACAGGGTTCTCACTTAGGGCCCCTGTTATTCTTGGCATTTATAAATGACGTCACGATGGAGATAAAACATTGCAAATACTCCTTGTTTGCTGATGACCTAAAAATTTATAAAACAATAAACTCGGATGCTGATATTAGGCTAATACAGGATGATCTTGATAGAGTAACAACTTGA</t>
  </si>
  <si>
    <t xml:space="preserve">&gt;lcl XM_024099101.2_cds_XP_023954869.1_1 [gene=LOC112058341] [db_xref=GeneID:112058341] [protein=uncharacterized protein LOC112058341] [protein_id=XP_023954869.1] [location=344..1456] [gbkey=CDS]</t>
  </si>
  <si>
    <t xml:space="preserve">ATGAGTGCACGGCCCGCAGCCGCCGGCGCTCGTGCGAAGAAACAAAACCATGCAAACATCCCGTGCCCAATCGAAGACTGCGCGCGCTTCACCTACGGCAAACTCCCCGATCACTTGACCAAAATCCACGGCATCACTGGACCTGACAGAGATGCACTCAACGAACAACAAAGAAAGAGATTTTTCAACGGAGAACTCTGCCAAGTCCGGTATTTGAAAGAGACAGCAATACGAGACCTTTGGGGTGCCGATTACGACGATCCACGAATCCGGGCAAAGATACACCAGAGCTACGGTCTTGTGAAGATTAGAATTATTCCGTTAGCTGCTTCTCAACGCGCTCGCCCTTTGACAGAACAAGATGCGAACGTTTTAACAGCGTACAATGCTAGAACTGCTCCACGACCTGCTCGCGTTCAGAAATCCAGAGCACGACCAACACCGTATTCAATACCAGCAGCTGTTCCAATTGAAAGACGAATATCAAGCGAGTCGAGTGAAGAAGAAACCCCTCGTAACTCTCTCCCACCGTCGCCTCCACCATCATCACCCTCCCTACCACCATCTCCGGCGCCATATGAACTCCAGCCAGTGGAGACACGCTTGCGAGACATATTCGATTCCAAAATCGATGCTGGATACAAAGCGGTTATTGATGACATGAAGAAATCCATGTCAATGGGCCGGACGCTCGGTACGAGGAAGCGCAAAGCTTATCGAACTTACCGACGTTATGCTAAACGTTTGATCGCTTATCTACATCGACAGCACTCACCTTTAGCTTACGATGTCGACGTCTTACTCTGTGGAGAGAGACAAGTTTGCGCGTTCTTGGAGAGAATCAGTGGAGAGCACAAAACGAAAACGTTGCGGAACTACATAGTTGCTGCAATCAAACTTCTCGATTCTCGACTATTTGCTATCGAGACTGATCCGTCTAGCAAAGAAAAAGTGGCATCCATGACGCGTGTATACGATGTCCTACACGCTAAACTGAATGCTTGCGACAGGTTACTTGCCCAAAAGGAATCTCCCTCAAAAAAGGACTTCAGTACCTTCGACAGCGACCCTATGGATCAAAGTTTCAACGAAAGCTATGATGATCTAGTGTAA</t>
  </si>
  <si>
    <t xml:space="preserve">&gt;lcl XM_052891106.1_cds_XP_052747066.1_1 [gene=LOC112048760] [db_xref=GeneID:112048760] [protein=neuroligin-2-like] [protein_id=XP_052747066.1] [location=163..2421] [gbkey=CDS]</t>
  </si>
  <si>
    <t xml:space="preserve">ATGGAGTGCGCGCGGACGGCGTGGTGCGCGACGCTGGCGCTGGCGGTGCTGGCGGCGGCCGGCCCGCGCTACAGCTCGCGCATCGTGCACACACACGCCGGAGCGATCCGCGGCATAATCGTGGAGCCGGCGTCGCGGCGCCTGGAGCCGGTGGAGGTGTTCCGCGGCGTGCCGTACGGCGCGCGCCCGCCCCGCCTCGGCGCGCCGCCGCCTCCGCCCGCCTGGCCCGGCACGCGCCTGGCCGACACCTTCGCGCCCGTGTGCCCGCAGGCGCTGCCCAACTTGTCCAACAGGAGCGCGGCGCTGGCGCAGATGCCGCTGGGCCTGTACAACGAGCTGCGCGCCGCCGCGCCGCTGCTCGCCAACCAGAGCGAAGACTGCCTCTACCTCAACATCTACGTGCCCGGTAGCGGCGCGCGCGGCGTGGAGGCGCCGTACGCCGTGGCGGTGTGGCTGGCCGCCGCGCACGAGTGGGGCTCGGGCAACGCGCTGGACGGCGCCGTGCTGGCGGCGCGCGCGCACCTGCTCGTGGTCACGCTCAACTATAGGATAGGACTGTTAGGTTACTTGACGAGCGGCGCCGCGGACGACGCGTCGCAGGCGGGCGGGGCGGCGGCGCTGGACGTGGCGGCCGCGCTGCGCTGGCTGCGGCGCAACATCGCGGCGTTCGGCGGAGACCCGCGCCGCACCACGCTGGTGGGGCACGCGGCCGGTGCCGCGCTCGCCAACGTCATGCTCATGCTGCCGCTCACCAGAGGGCTGATATCGCGGGTGATGCTGCTGAGCGGCTCGGCGCTGGGCCCCGCGTCGCTGGCGCCCGACGCCGCGCTGGCCCGGGAGCACGCGGCGCAGGCGCTGCGCTGCTCCCGGGACTCCACCACTGACGAGCACTGGCTGGCGGCGTGCGTGCGCGCGCGCCCGCTGTCGGCGCTGCTGGCGGTGGCGCCGCCGCGCGCGCGCTTCCTGGCGGGCTGGGCGCCCAGCGTGCCGCGCGCGCGCGACGGCAGCAGCCCGCCCCCGTCGCGCGCGCTGCACGCCAGCGAGGCCTTCCTCGAGGTGGCGCTGGCCGTCGTCGTCACCACCACGGAGAGCTACGAGTTTTTTAGTGAAGAAGATGTGAGACACGGCTTCGAGGAGGAGCACAGGAGCCGCATCCTGCGCACGTACGTCCGCAACGTGTTCCGCTACCACCGCAACGAGATCTTCGCGGCGGTGCGCAACGAGTACACGGACTGGGAGAAGCCCATCCAGCACCCCATCAACATCCGCGACGCGACGCTCGAGGCGCTCAGCGACGCGGCGGGCGCGGCGCCGGCGCTGCGACTGGCGCAGATCCACGCGCGGCGCGGCGCTCGCACCTACTTCGCGCACTTCGCGCACCAGACCAAGGAGGCGGACTATCCGCAGCGGCTGGGCAGCGTGTCGAGCGACACGCTGAGCTACTTCCTGGGGCTGCCGCTGGTGGGCGGGCAGCCGCTGGCGCCGCGCAACTACTCGCGCAGCGACGTGGCGGCGGCCGAGGCGACGGTGGCGCTGCTGGCCGCCTTCGCCAAGACCGGCGACCCCACGCCCGCGCCCGACGAGCGCCACGACGGCGTGGCCTGGCCGCCCTACGACCTCAACACGCAGCAGTATCTGAGTATAGGGTCCAAGCTGCGGCCGAAGAGCCACTACCGCGGACACAAGCTGTCGCTGTGGCTGCAGCTGGTGCCGCAGCTGCACCGGCCCGGCGCCGCCCCGCAGCACCACCGCCTGCGCGCGCCGCGCCCCGACATGTTCGCAGGTGAGATCTTCCCCGAGCTGTACACAACGCCGTCGCTGGACGAGGAGGACGACAGCGAGGAGCCGGAGCCCGAGGCGGAGGAGTGCGAGCCCTCCCCCTCCGCGCGCCCCGCGCTCTCCGCGCCCGCGCCGCCGCCCGAGCCCAAGGAGGACTCGCTCACCAACATAGACACGCAGTACTACAGTTACACAGTGGCGCTGGGCGTGACGGTGGGCGCGGGCTGCTTCCTGCTGGCGCTGAACCTGCTGGTGTTCGCCGGCATCTACCTGCAGCGCGGCAAGCGGCGCACGCAGCGCCGGCCGAGGAGAGAAGGCAGTGGCAGCAGTCGCGCGGGCGCGGGCCTGAGCAGCGAGCCGGCCGGGGCGCCGTCGCCGCGCAAGAGCACGCTAAAGCGCAGCAGCGAGGCAGAACTAAAAGAGAGACCGAGCGCGGCGCCACCAAAAAAGCGAGTGCAGATACAAGAGATCTCTGTGTAG</t>
  </si>
  <si>
    <t xml:space="preserve">&gt;Mothers_against_decapentaplegic_homolog_3_Bany_06848-RA_B2</t>
  </si>
  <si>
    <t xml:space="preserve">ATGCAGAGCGTGGTGGGCGTCGTGGGCGCGGTGGGCGGCCACAGCGCGCTGTATCTGGAGGCCACGCTGGCGCAGCAGGTGCCCGGCAACACCACCACGCCGCCGCCGGGCTACATGAGCGAGGACGGCGACCCCATGGACCACAACGACAACATGAACCTGACCCGCCTGACCCCGTCCCCCGGGAACATAGCGACGGAGGCGGCGCCCGTGCTGTACCACGAGCCCGCCTTCTGGTGCAGCATCAGCTACTACGAGCTGAACACGCGCGTGGGAGAGACCTTCCATGCTTCACAACCCTCGATCACCGTGGACGGCTTCACGGATCCCAGCAATAGTGAAAGGTTTTGCCTGGGCCTGCTGTCGAACGTGAACAGAAACGAGGTGGTGGAGCAGACGCGCCGACACATCGGCAAGGGCGTGCGGCTCTACTATATCGGCGGCGAGGTGTTCGCGGAGTGCCTCAGCGACTCGGCGATATTCGTGCAGAGCCCCAACTGCAACCAGCGGTACGGCTGGCACCCCGCCACCGAGTTCGCGGCGCTGCTGTCGCAGTCGGTGTCGCAGGGCTTCGAGGCGGTGTTCCAGCTCACGCGCATGTGCACCATCCGGATGAGCTTCGTCAAGGGCTGGGGCGCCGAGTACAGGCGGCAGACGGTGACGTCGACGCCATGCTGGATCGAGCTGCACCTGAACGGGCCGCTGCAGTGGCTGGACCGCGTGCTCACGCAGATGGGCTCGCCGCCGCTGCCGTGCTCCTCCATGTTAAACCACAGAGTCTATCGGTCAAAGAAAATGAAAAAAAAAAATGAGCACAGAACTTATAAATAG</t>
  </si>
  <si>
    <t xml:space="preserve">&gt;lcl XM_024082033.2_cds_XP_023937801.1_1 [gene=LOC112045731] [db_xref=GeneID:112045731] [protein=epidermal growth factor receptor isoform X1] [protein_id=XP_023937801.1] [location=81..4412] [gbkey=CDS]</t>
  </si>
  <si>
    <t xml:space="preserve">ATGTTGCCCCGTGCCTTGTTTTGGTGTCTGTGCCTGTGCCTGGGCCTCGGCGGGGTGGGCGCGGCGCGGGGACACCGCGTTCACCACGTAGTGCCTGCCCGGCATAAACACTCCGAGTTCGTCAAGGGGAAAATTTGCATCGGCACCAATGGGCGGATGTCGGTGCCTTCGAACCGCGACACTCACTACAGGAACCTTCGTGATCGCTTCACGAACTGCACCTATGTCGACGGCAACCTCGAGCTCACATGGCTTGAAAACAAATCCATGGATCTTTCCTTCCTCGAACATATCAGGGAAGTGACTGGCTACGTTTTGATTGCTTACGTGCAAGTTGAAAACATCAGGCTTCCCCACCTACAAATCATTCGCGGACGGACGCTGTTCAAGCTCAAAGTTAGAGAAGAAGAGTTTGCACTTTTGGTCACTATGTCTTCGGCGTTTACCCTCGAGCTACCCGCCTTGCGTGACGTGTTACGTGGCAGTGTCGGCATATACAACAACTACAACCTTTGCCACGTGAAAACAATAAACTGGGATGAAATAATTACGGGGGTGAATGCTTCGTACGTTTTTGTTTACACGTTCAACGTACCCGAGCGAGAGTGCCCCGGATGCCATCCGACCTGCGAAGCCGGTTGCTGGGGAGAAGGCCCACATAACTGCCAAAAGTTTTCGAAAACCAACTGTAGTCCACAATGTGATCAAGGAAGATGCTTTGGGCCGAATCCGAGGGATTGTTGTAACACGTTCTGCGCAGGCGGCTGCACAGGCCCCTTGCCCAGCCAATGCCTGGCTTGTCGGAACTTCTACGACGAGGGAACGTGTTCGCAAGAATGCCCTTCCATGCAGATATACAACCCGACGACTTATTCCTGGGACCCAAATCCAAACGGAAAGTACGCGTACGGTGCAACCTGCGTCCGTAACTGCCCTGAACATTTGTTGAAAGACAACGGAGCTTGCGTGAGGAGCTGCCCTCCTAACAAGACCGATGTGAACGGCGAGTGTATCCCATGCAATGTCACATGTCCCAAGAAATGCCGCGTTGAAAAACCGATTCACTCTGGTAATATAGAAAGCTTCAAGGATTGCACAATCATTGATGGATCGATTGAAATATTGGAGATGACCTTCACAGGTTTCCAACACGTTAACCCGGATTACTCTTTTGGCGAACGTTATTCAAAAATGGAACCCGACGCACTGGAAGTTTTCAGCACTGTAACGGAGGTGACCGGCTATCTGAATGTGCAGGCGCACCACCCGAACTTCACTAGTCTTTCCTACTTTAGAAATCTAGAAGTGATTGGAGGGCGCCAAGTAGTTGAGAATTTGTTCGCATCTCTTTACATTGTCAAAACGTCGCTCAGATCACTTGGATTGAAATCATTGAAAAGAGTGAAATCAGGTGCCATTGCTATTATGGAAAATCGCAATCTCTGTTTTGCTGAAAATATTGCATGGAACAAACTTGTGAAGTCTAAAGACCACAAGCAAATAATCCAAAAGAATGCCGACCAAAGAACTTGTGAAAAACAAAATCTGGTTTGTGATCCTGAATGTTCAGCTGATGGCTGCTGGGGCCCAGGGCCCGATCAATGCCTCTCGTGCGAGAACTTTATCCTAGAAGAAACATGCATTCAGAATTGTTCGCTTGAAGATGGATTATACACGACTGGGCCTAAGACGTGTAACAAATGTCACGAGGAGTGTGCTGACGGCTGCACCGGGCCCACCAGAGCCAACTGTACTCGCTGCAAGCATGTGCGTGATGGACCTAACTGCATGGCGGCATGTCCTGACTCCAGATACGTCTCAGTGAATGGCACCTGCCTACCCTGCCACCCAAATTGTTTCAACGGATGCACTGGACCAAACAATACCGTCGGCAAAGATGCTTGTAATTCTTGCAAAAAGGCCATCATTAGCGTAGAAGCCACAGTTGAAAGCTGCCTCAAAGAAAACGAAACATGTCCAGATGGATATTACAACGAGTGGGTTGGTAATGTCAAGCTGTTAGAAGGAAAAGTGAGAGTGGTTTGCAGAAAATGTCATCCACTGTGTAAGCAATGCGTTGGATTCGGTTTTCATGAACAAGTATGCAAAGTGTGTAATGGTTTTAAGAAAAACGATCAATGTCAAGATGAATGCCCAGGCGACCATTTCACCGACAAAGTCAACCGTCTCTGTACGCCATGTCATCACGAATGTAAAGGATGCACCGGACCCACTTCAAAAGACTGCATTAAATGTCAGAATATGAAAGTATACCTCTCGGAAATAACTTTCAATTGCACTTCGAATTGCCCAAGCGACTTGCCACACAAAATTTACTTTGATGAACAGCTTCAGAATACAATAGATGAACCGTACTGCTCATCATCAGCAAGCGGCATTCCTTACATGGCTACTGCTAAAATTCCTATAGTTTTAGTAGTGATACTCGTGTTTGCTTTCATCATTTTAGTTATCTTGGGTATAATCGGGTACACATGCCGACAAAAAGCTAAAGCAAAGAAGGAAGCTGTAAAAATGACAAGGGTTCTAACTGGTTGTGAAGACAACGAACCACTCAGACCAACAAATGTGAAACCAAATTTAGCAAAACTGAGGATCATCAAGGAAGCAGAACTCCGAAGAGGAGGAATGCTCGGTTTTGGTGCATTTGGTAAAGTCTACAAAGGTGTCTGGGTTCCCGAAGGTGAAAATGTTAAGATTCCCGTTGCTATTAAAGTGTTAAAAGAAGGAAGCGGTGCTAATACTAGCAAAGAATTTCTAGAGGAAGCCTACATAATGGCCAGTGTTGAACATCCGAATTTACTGCAACTACTTGCAGTTTGCTTGACTAACCAGATGATGCTAATTACACAACTCATGCCCCTTGGATGTCTCTTGGACTATGTCAGGACTCACAAGGAGAAAATAGGATCGAAGGCTTTTTTGAATTGGTGTACCCAAATTGCGCGTGGTATGGCCTATTTGGAGGAGAAAAGATTGGTACACAGGGACCTGGCTGCTCGCAATGTACTTGTGCAAACTCCAAATTGTGTGAAGATAACAGATTTTGGTTTAGCTAAACTATTGGATATCAATGAAGATGAATACAAGGCAGCTGGTGGGAAAATGCCCATTAAGTGGCTGGCATTGGAGTGCGTACAGCACAGAATATTTACACACAAGAGTGACGTCTGGGCATTCGGTGTTACCATTTGGGAGATTTTGAGTTATGGTGCGAGGCCGTATGCAAACATTTCAGCGAGAAATGTACCCGAACTGATTGAGAATGGGTTGAAATTATCCCAACCTAGTATCTGTACTCTTGACATTTATTGCGTGATGGTTTCTTGCTGGATGTTAGACGCAGACAGCCGACCAACCTTCAAGCAGCTGGCAGACAGATTTGCTGAAATGGCTCGTGACCCAGGACGATACCTAGTCATTCCCGGTGACAAGTTTATGCGACTCCCATCCTATTCAACTCAGGATGAAAAGGAAATGATAAGGAGTTTGTCTTCAGCCATGGATGGTCCCGAACCATTGGTAGAAGCGGATGAATATCTACAACCAAAGACCAACGAGTCCCCCGTGACATTGACGACCAACACTTCAGTCACGCCTGGACATGAAAATATGCAAATGACTACATTCAAACCCGCTGCTACTTCATCATGGGTAAACAACATAAGTGGTCAAGAAGGTATCATAATCGACAGAACCAGGGCTGGCAATTGGGACTCCGATCTCATGAGATACAACTCATCAGTAAGTCCAGATAGCATGGAACTCAGGCACTACTACAACAACGGCGTGTGCGCATCTGATACTGCCAGCTCCCGATACTGCAGTGACCCAATGAAGGTCAGAACGGATGTCTTGGAGAACAGGTTCGACAGCATGTCTAGAGTCAGAGAAGCGCAAGTAGGCGACTTGAAGTTGAACTTGCCGTTGGATGAAGACGACTATCTGATGCCTTCGCCACAGCACAAGCAAAATGCTTCAACTTACATGGATTTGATTGGCGAAGGCGGAGAAGGACAGGAGGCAGGTTATAGCGGATTCGTAGCATCGAAACGATGTGTAGATAATCCCGAGTATTTGATGTCGGATCAAGAGGTGCCTCCGCAAACGATCGGAATACCTACGGAGCCAGTTGCGGTGGAGTCTGTGAGCACTTGCGCGGGCAGTGCTGAGCCGTCGCCTCCACAGCCGGGCCCGAGGACGTATGTGCCGCAACGATCCGTCGAAGAGGAGTCGATGTCCGATCACGAATACTACAATGATTTGCAGCGGGAACTGCAACCCCTGCGACGAGACGAGACCACAGTGTAA</t>
  </si>
  <si>
    <t xml:space="preserve">&gt;lcl XM_024080655.2_cds_XP_023936423.1_1 [gene=LOC112044717] [db_xref=GeneID:112044717] [protein=protein extra-macrochaetae] [protein_id=XP_023936423.1] [location=90..518] [gbkey=CDS]</t>
  </si>
  <si>
    <t xml:space="preserve">ATGAAAGCTATAACCGCAGTGTGCGCGACCGGAGCGTCCGTGCCGGCGATCGCCAGCGGACGAGTCCAGAGGCATCGGGACGGCGAGAACGCCGAGATCCAGATGTATCTGTCGAAGCTGCAAGACCTGGTCCCGTTCATGCCAAAGAACAGGCGGATCTCAAAGCTGGAGGTCATCCAGCATGTGATTGACTACATCTGTGACCTACAGTCAGCGTTGGAGAACCACCCCGCGGTGGGTCAGTTCGAGGCCGAGGCGGCGTTGGCGCCTGCGTGCGTTTCGCCGCCCCGCCCGCGCCGCCGACCCCTTGGCCCCCGGCCGGCGCCCAACACCATCCTCCCCGCTGACAAGGCTGTATCCTCATTGCACCACTCCAACCACACGACCCCAGAAAAACAAGACCAACCAGACAGGCCGTTGTCGTGTTAA</t>
  </si>
  <si>
    <t xml:space="preserve">h (loc112043553)</t>
  </si>
  <si>
    <t xml:space="preserve">ATGGTGACGGGTGTCGGCAGCCCTCAGCAAGGGGTGTCCAACCCCGCGCCCAGTCCGGGCATGCAGGACCAGAAGAAGGCCAGCGACAATAGAAGGAGCAACAAACCCATAATGGAAAAACGGCGCCGAGCACGTATTAACAACTGTTTGAATGAACTGAAGGCTCTTATCTTGGACGCTATGAAGAAAGACCCAGCACGTCACTCGAAATTAGAAAAAGCTGATATATTGGAAATGACTGTAAAACATTTGGAAGGATTACGCTCTGAAGGTTCCGGTTCTCCAGATAGGTTCAAAGCTGGATACCGACATTGTCTGACAGAGGTTACCAAGTTTCCTGGACTAGAGGCTGGGTTGAAGAGGCGCCTAGTGCGACACTTAGAAGGATGCGTCAGTACTCCTGGTGCACGACCTTTCGCTGCACCGACTCCACCCTCTGATACTGAAGATGCTGTCTCTCCACAACGCTCTACCATATTTATCTCAGCTGGGCCCGGATCTGGAGTACGCCTCGTTCCAACGAGATTATCAAATGGAGACATCGCACTTCTGCTACCGGCTGGCGTCAGTGCTAGCACATTGGGAACCGTACCGACGTTGGTGCCTCTATCGCCGAGGGAGGTCTCCTCTACGTCGTCAGAGCCCAGGTGTTTCTCTCCAGCCAGTTCAGGGTGGGAAACCCCTCCTCCACCTACAGAGGAACCGGCCCCCTTAGCACTAGTTACAAGGAGACAACCCCCCGAAGAAAAACCTTGGCGACCTTGGTGA</t>
  </si>
  <si>
    <t xml:space="preserve">&gt;domeless</t>
  </si>
  <si>
    <t xml:space="preserve">ATGGCAGAATTGTTATCGCGAAGAACTAAGTGCAGTGGTTCCAGGAAACGAGCTCTTTTCCAACTATGGATTTGGTGTACATTGATAAAGTGTTTATGTTTGCCGTGTATCTTCGCCAACTGCCTCACCGTAGACATAACGGTGGCTGTGTATCCACAAGGTGACATCAATATCAAATATGGTGACCCTCTGGAGTTGTTTTGTGTTACAGACAATAAATATACGTCCAATGATATTCAGTTCAAAATAGGTCAGAATACGTTGGAATCGGAAATTGTGAACAGCACAACGCGGCGGTTGTACATTCCTCATCCTGAGAAGCAGGTGGAAACTTACTGTTGTCATAATGAAAGAACCAATAAAAGATGCACCAGCAGGGTGCTCGTGGATAGTCCACCTGGTAATGTCACAGACTTCAAATGTGTATCAAAAAATTTAGATATATTAAATTGCTCATGGACTAATCTATCCATGCTATCATCTGTTCAATACACATTAACTTTTTCTGTCCATATGAATTATGTGACTCCCGCCTGTGTACCTTCGCAAATTGGTTCAACCAAATACTGTGTGTGGAACACAACTAGCTATCCTAGGTACAGGCAACAGGAAGAAACGCAGTACTTTTACCTGTATGCTAAAAATGTATTTGGATTCAACAGCCAAAATTTTATCATAGATCACTTTGCCATTGTCATACCAGATCCTCCTTATGATTTGAATGTAAGTAAAGTTGGTACTCACAATGTAGTCATCCAATGGAAGATTCCTAATAACATAGTTGATTTCTTAAAGTGTGGAATAGATCATATAATACAGTACCAGATAGCGAAGGTGGATAATAGAACATATTTCCGAACAGTGAACACATCAAATTTGCCGTCCAAACAAAAGGAAAAGTATACATTTAATTTAACAGATCTGCCATATGCTCATATGCAATATGAGGTACGTATCTATATAAAATCAAAGAAAGCTGCCTCTCGAGAGTTCTGGTCAGAATATGGATTTTTAGTGTTCACAACTCTCAGTGAAATACCAGATAGACCACCTAATATGATAGCAGGAGCTTTTGACCAATCTACCTACAACAAAAATAGAGTTATTAATGTTTATTGGAAACAACTTGAGGAATGGGAAGAAGCTGGTTCAAATTTTACATACAAAGTACTTGTATCACAAGATAACAGAACTCAAACTGTATTCCCTGAAAGAAATAAGAGTATGAGTTATGTCTCATTGAATGCAACTCTCGACGCTCTAGATGTTACAGTCTGGTCGTTCAACGTGAAAGGTTCTTCTGTCAACAGCAGTCATATGTACATTCCACCAGAAAAGGACACTCATTCCTTAAAAGTTACATCTTTTACCAAGTTAGCATATGAAAATGGCACGTATGAGTTATCATGGGTCGGATTAAAAAATATTGACAATTATACACTGTTCTGGTGCCAACACAATACCACTCAGATATGTATTAGTCGATTGAACTTTACCGTTCTAGATTCACAAAAGACTAATCATATAATAGATTTACCAAGAGAATACAGATATCAGTTTGCAATATCTGCAAATAAGGGTTCAAAGACAAGTGGCATGTCCTGGGCAAAGTGTGACATATCCAAAGAGGGATTTGTGATGTATCGATTTGAGGTGCATTTGAAATATGATGCTCCTACTAAGTCCTCTGTCACATTACGATGGCAAATGGACTGTGCCCTCAAAGATGGCATCATAACTGGCTATAACATATCCTACTGTCCAATTGTTCAAACAAGTAGTGAATGTGACAAATCAGTTGAAAATAAATATGTTTTTATATCTAATCCAAAGCAGATGGATGTGACCATAGAGAACTTATATTCTTTTAGAACATACCAATTTACATTTGCTCTCAATACTGTACATGGACAAAAGAATATAGAAAATGCAACTGTCGTCATTACTACATCAGAAGATACTCCTACAAAACCTAGAAATGTTCAGATAAGTAATGTCACAAATGATTCATTGCAAATATCATGGGATCCACCACAAAATAGAAATGGTATAATTGGCAAATATGTAATATGGAACTATAATGACACAATTTATGAAGACAATGTGTCTGGAACTGATACTTCAAAACGTCTTATCACTTTGCCAGGACTTCAGCCATTCACTAATTACTCTCTGTCTGTTCAGGCATGTAATATTCCAATTGGTTTATGCTCTAAAAGACACTATAATGACAGCATTTTTGTCAGAACAAGCATTGGGCCTCCCAGCAGGCTGAAAGCACCAACTGTAAAAAACAATCCTGATATGCTTAAATGGGAGCCGCCTGAAAATGCAGGGGGAACAGTCGACCTTTACCAGATAAGAAGGGTTAAAGATGATTTGAAACCTGAAATTTTAGATACAACAGATTTGTCATTATCTTTGATTCACTGTGAAGGTGTTGTATCAACAGAAACTTATGAAGTTAGAGCAGTGAACTATGATTATGATATATACAATGGGGCTTTAGGAGACACTAATGTGACCCTGCCTAAAAGAGGCCCAAATGATACTGACAAGGAGTATCCTGGTCCATGGAGTGAACCGAGCACTGGGGGCTGGAGAGGCAAAGATGGCTTGACTATGATTCTGATTTTCATAGCTGTATTTGCCCTAATAGGTATAGCATATGGTTCAATTAAGTTGTACAAAAAGTATAGAAAAATGGAAGATATCAAGCCTGTCTTGCCAAATGGTTTGGGAATACCTGAAAAAGATATCTCAAAGTATGCGTTTAGCAGTTGGAGTCCTACAAACAAGGATGAAAAGCCACCCTCAGATGAAATGTTATTGTTGCCCAATAGTAAAACAACAGTCTCTACACCTGACACAAAACAAAAAGATGACAATTGTGGGGCGAGCGATCACACAGACAGTACTGCATTATCTTCAGATTCATCTGTGCGCGGCCCTATCGAAAGACAAGCCTCTACATCAGATGATGGCTCCAATTCATCTTTTATAGATGTAGAACAACAAGTCAAAGATGTAGATGGTGATGATAAAAAAGACGAAGATTCATCCGCGAATGAGACTGAGAGTTCAGCTGAAGATTCCCCCTATTTTAGTGATAAAGCTTTCAAGAAAAATCCAACAAGTGGATATGTTCAACAGCCTATCGTCAATCCAGGAACTGGATACGTACAATCGGCGCCAGCGCACGCAGTAAATACGACACCTAAAGTCGCTATGCAACCGTCTACCACTAGTTATGTAATGGCCGGTCTGCAACCGCCTGTATTCACTACGAGCACGGCAGCGCCGAAAACATCGCAGCCATCGTCAGGATACGTTCTTCGTGCAGAAGCACAACCGAGGCCCGGAATTGATTTTCCAAAATTAGGGCCATCGCCACCCAAGTTATTGGGACCTGAAAACTTGCCAACTATGCCTACTTTGCCACCACCAACAAAACAGAGCACAGACAACAGCTACATTCAGCTGCAGTCGCTAGATTCCTTGCCTAGTCTCAAGTCGAGCGTGGGTAATCCTACGCCGCTGAAGCCGCCAGCTTCCAGTGGGTACGTCAGTACAGCAGACATAGTCATCAACAAGCACCTGAACAATATGATCGCCGGCCCGCACGCCGAGGAGTCTGCCATACTAGACCCGGCGATGTCTCCCGACGCCTATTGTCGGTTTTCATGGAGCACTGACCCCGCAAATGATAATTTACACACGCTTCTCGCCGAGTCGCCCACGCGGACGACCAAGAATTGA</t>
  </si>
  <si>
    <t xml:space="preserve">&gt;lcl XM_024082418.2_cds_XP_023938186.1_1 [gene=LOC112045987] [db_xref=GeneID:112045987] [protein=monocarboxylate transporter 7-like] [protein_id=XP_023938186.1] [location=194..1603] [gbkey=CDS]</t>
  </si>
  <si>
    <t xml:space="preserve">ATGGATGAAGCATATGCGCATCTAGAAGTGAACAATTTGAAAGATAACAAGAAATCTCTTTTGCCGCCTGATGGAGGTTGGGGCTACGCGGTCTGCATTGGTGTTGGATTTACTTTCATGTTGGGATTTGGTTCTTCTAATGCCTTTGGAATTTTGTTCAACGACTTTTTCTTAGAGCAAGATGGTGCGAGTGGACTCCCCCTAGTTATTGGCGTTTACAATGGAGCATTATCTATATCGGGATTCTTGAGCGGGATTGCACTCAAAAAGTATACGTTCCGCCAAGTTGGTTTAGTCGGAGCTGGGCTGTTTGTTTTAGGCGATGTACTGACAATCTTCGTCGAGAGAACGTATCAGCTTGTGTTCACGTTTGGTGTTATAAGAGGCGCAGGTTTCGGTGTCATGATACCAGTCAGTTTTACAGCGTTCAATTGCTATTTCACAAAGAAACGCACCGCCATGATGAGCGCCAACCAAACCATGAGCAGTATGGCGTCCATCACGTTCCCTATAATGGTGACGTTCCTACTGTCTGAATATGGCTTCAGGTGGACCCTCGCCCTGATAATGGCTGTGGACCTGCACTTAGTATTTGCTATGCTGGTTATGCACCCCGTGGAATGGCATATGATTAAAGTACCGGGATGTGCTGAAATTGAACTCACACCTGATTGTGAATCAAAAAGTCCCAAAAAGGTTAAAATAAAAAGTGATGTCTATGATGAATCTGTAATAAAAATGCTGCCAGCAGATGAAAATGCTATCGAAATAAAACCTACAGCAACTCGACACGAATCTATTCAAAAGAGCATAATGAAAGCTATATACGACAATGTAGAAGTAGATTTGCTAAAAGACCCTCGTTTTGTGAGCACTTTGGTTGGACTTGGATTCGCGTTCGTATCCGATGTTACCTATTTAGCCATGGAACCAATGTTGTTATTCTCTTATGGATATACTAAGATGCAAGTAGCATCGTGTGTAATGATCGGCGCAGTGGCTGATCTGTTGGCGAGGTTTGGTCTGGCGGTGTTCACTTACTTTTACAACGTGGACAGCAAAACTGTCTTCTTTTTTGGGACTTGCATCACGATGGTGTTACGGATAGCGTTGATATGTTCAGATAACTTGATTTTTGTTATCTCAATAACAGCGGTGTCAGGCTTAGTGAGATGCTCAGTGCAGGTCCTGTTTCCATTGGTTTTGGTGACAGCGGCGCCGGACAGATTCCCAGCTGCATTGGCATTGCATATATTATTTTCTGGGATTTTGATGCTAGTTACTGATCCATTAATAGGTGTAATATATGAGACGACAGGCAGCTACACGAACTGTTTTATAGCAATGAGTTTTTGTTGCCTAGTGTGTATAGTGCTTTGGACTATTGATTATTTTGTCAGTCGTAAATAA</t>
  </si>
  <si>
    <t xml:space="preserve">T111</t>
  </si>
  <si>
    <t xml:space="preserve">&gt;En_a_B_anynana</t>
  </si>
  <si>
    <t xml:space="preserve">AAAAGTCGACCGGTGNCCGCCGCCGCGAGCGCATCGTGTTGTCAAAAACTCGTTTGACAGCTTGACAGTTCGGGGATATTTGAATTTGCTAAGTGATGTATTAACATTCANCAATTTGAGGACTATACCCGAGAACGTTTTTGAAGGTGTTTTTTAAAGACTTTTTTGTAATAAAAATGGCGTTTGAAGACCGTTGCAGTCCGAACCAGGCCAACAGCCCCGGTCCGGTCACCGGCAGAGTCCCTGCGCCTCACTCCGAAGTAAGAAACGNGTACCAAAGTCAATACACTTGCACGACTATCGATCAAAGGTTTGACAGAACGATGACAGTGGTGAAAGTGCAGCCGAATTCACCACCGATGAGTCCACTGACGTGAAGCCCATAATCCCTGAGTTTGAAGACAAGAGAAACCGACAACCACCACCAACCATACCCTTCTCTATCAGCAACATATTACACCCAGAATTCGGTTTGACAGCGATTCGAAAAACGAACAAAATCGAAGGACCAAAACACGTCGGCCCCAACCACAGCATTTTGTACAAACCTTATTTGTCGAACGAGTTATCGAGTTCGAAATTCAATTTCGATTATTTAAAATCTAAGGATGATTTCGGTGCATTACCTCCACTTGGCGGTTTGAGGCAGACCGTGTCGAATATTGGAGAACAGAAGGAGGCACCAAAGATTATAGAGCAGCAGAAGAGGCCAGATTCAGCCAGCTCTATTGTCTCTTCCACATCTAGCGGGGCTTTATCGACGTGTGGCAGCACTGACGCCAACAGCAGTCAAAGCGGGAACAGCAATSKACTGGCCTGCWTGGGTGTATTGYACGAGATACAGCGATAGGCCTAGTTCTGGTCCAAGAAGTAGAAGAGTTAAGAATAAGTCGGTCCCAGAAGAGAAGAGACCCAGAACAGCGTTCAGTGCGGCGCAACTTGCTCGACTAAAGCACGAGTTCGCAGAAAATCGCTACCTCACAGAGAGAAGGCGTCAGACCCTCGCAGCTGAGCTGGGGCTGGCGGAAGCGCAGATTAAGATCTGGTTCCAGAACAAGCGCGCCAAGATCAAGAAAGCATCAGGTCAGAGGAACCCGCTGGCGCTGCAGCTGATGGCGCAAGGGTTGTACAACCACAGCACTGCCAACGAGAGTGATGATGAAGAGGAGATTAATGTCACGTAGGGTTGTGCCCAGTGACAGCCCAGTGGATATGACCTCTGCCTCCGAATCGAAGCCAAACGTCATATCCACTGGGCTATCAGTATTGCTTACTTCTAATATATTAATAAATCAAAATCATACAGTTACAGATGTTGTATATGCAGTGGCATAAGCTCATCGATAAGGGTATGCACTAGTAAAAAAAAAAAATTGAAGACCGTTGCAGTCCGAACCAGGCCAACAGCCCCGGTCCGGTCACCGGCAGAGTCCCTGCGCCTCACTCCGAAGTAAGAAACGNGTACCAAAGTCAATACACTTGCACGACTATCGATCAAAGGTTTGACAGAACGATGACAGTGGTGAAAGTGCAGCCGAATTCACCACCGATGAGTCCACTGACGTGAAGCCCATAATCCCTGAGTTTGAAGACAAGAGAAACCGACAACCACCACCAACCATACCCTTCTCTATCAGCAACATATTACACCCAGAATTCGGTTTGACAGCGATTCGAAAAACGAACAAAATCGAAGGACCAAAACACGTCGGCCCCAACCACAGCATTTTGTACAAACCTTATTTGTCGAACGAGTTATCGAGTTCGAAATTCAATTTCGATTATTTAAAATCTAAGGATGATTTCGGTGCATTACCTCCACTTGGCGGTTTGAGGCAGACCGTGTCGAATATTGGAGAACAGAAGGAGGCACCAAAGATTATAGAGCAGCAGAAGAGGCCAGATTCAGCCAGCTCTATTGTCTCTTCCACATCTAGCGGGGCTTTATCGACGTGTGGCAGCACTGACGCCAACAGCAGTCAAAGCGGGAACAGCAATCTA</t>
  </si>
  <si>
    <t xml:space="preserve">&gt;lcl XM_024089045.2_cds_XP_023944813.2_1 [gene=LOC112050707] [db_xref=GeneID:112050707] [protein=mothers against decapentaplegic homolog 6] [protein_id=XP_023944813.2] [location=83..1012] [gbkey=CDS]</t>
  </si>
  <si>
    <t xml:space="preserve">ATGTTCCGGCGGCGCGCGCTGCGGCGGCGGCTGGCGGCGGCCGGCGCGGCCCCGCTGCCCGACGAGCAGCTGCGGCGGCTGGCGCGCGCGCTGGACGCGGGGCCCGCGGGCGCGCCCTGCGTGCCGGCCGAGCCCGCGCTGCGCCCGGCCGTGCTGCGCGCGCTCCGCCCCGACCTGCGGGACCCCAGCGAGCTGCGCCGCCTGCCGCACTGCGAGCACCACCACTGCTGCAACCCCTACCACTACAGCCGCCTCTGCGAGCCCGAAACCCCTCCACCTCCATACAGTCGAATCGCAATGGACGACGTAAAACCGAAAGAACACGGCGAAATTACACAAGACGCGAGGAGGACGAATCATGAGCGGCTTGCTACAGGCTCCCTCGCTACTGATGGCGAAGAGCGGCAGAGCTGGGAGACCGAGTGGTGCAGGCTGGCGTACTGGGAGCTGACGCAGCGTGTGGGGCGACAGTTCAGCGTGCGCGTGCGCGCTGTGGACGTGTTCGGGGGAGGGGGCGACACGTGCGCCGGCAGGCACGGGCTGTGCGTCGACGCGCTCGACACCAAGGAGCCGCAAGTTGAACAGGTGCGAAAAACTCGAGCGAAGATTGGCCTAGGTGTCACACTGTCCTTAGAATCTGATGGCGTCTGGCTCTACAATAGAAGCCAAGAACCCGTGTTCGTCAGCTCCCCCGCGTTAGACGCTGCTGCTGCGAAAGCTCTTCTTGTATGGAGGGTTGCACCAGGACACTGTCTCTGCATCTTCGACCCCTCGTCGCCCCCGCCCGCTGTGTCGCTACCCCACGTGGGGCCAGTTGACCCCAGATCTGTGAGGATATCGTTCGCGAAAGGCTGGGGCCCCAAATACTCGAGGCGTGACGTCACCGCCTGCCCCTGTTGGCTCGAAGTCCTGCTGGCGCCTCCGAGCTGA</t>
  </si>
  <si>
    <t xml:space="preserve">&gt;fz9_B3</t>
  </si>
  <si>
    <t xml:space="preserve">ATGATGGGGAGGATTTTGTGTGTTTTTCTCCTGGTCTGGATGGTCGCTGCTGGCCAGGAGGAGGAGGGTGGGAAATGCGAGAGGATCACCCTGTCCCAGTGCCAGGATCTGGGGTACAATTGGACCGCTATGCCCAATCTCATTGGACATAGAGACCAGAAGGAGGCAGAAGAAGCGATGACTGCGTTCACGAGCATCCTTGCGAGCGAATGCTCGGTGCACGCTCGCTTCCTGCTGTGCTCGGCCTTCGCCCCGCTGTGCTCCGAGCAGGTGTCGGGCTCCGTCAGCGCCTGCCGCGCGCTCTGCGACAAGGTCGTCCGCGACTGCAAGAACCAGATCGCGGCCCTGCCCGACGGCATCAAGCTCGACTGCTCCGCCTTCCCGCTCCGCCCGGACTGGCGGCTCTGCATGCGGCCGCCCAACGCCAGCGAGGAGCCCGAGCCGCCGCCGGTGCCGCGCTGGCCCTTCAACGAGCAAGATCTGAAAGAGCACGCGTGTCCCCCGGGCTACGCGCACTCCCCCACGGGCTCGTGCTGGCCCGCCTGCGACAAGCCCGCGCGCTACACGCAAGCTAACAAGAGAAAAGCGGAGATATGGATGCTCACGCTCGCCTGGTTCTCTCTGCTCTCCACTTCTTTCGCGCTGCTCACGTTCTGCGCTGAACCGTCGCGATACCGCTACCCCGAGAGGCCCGTCGTCTGGATGGCCGCGTGCCACGCTGTCGTCGCGCTCGCCTACGTCACGAGAGGCTGGCTCGGTGCGAAGACCGTCTCCTGCACTGGAAACCTGTTGGCCGTCGACGGAATGGGTTCGACGATTTGCGTCGCATTCTTCTCTCTTACATACTACTTCACGTTAGCGGCGGACGCGTGGTTCGCGAACGCGTGCGTAGCGTGGTACTTGACCGCTGCGAGCGAGTGGTCCACCGAGGCGTTGGAGCGGGCGGCGGCGTACCTGCACGCGGTGGCGTGGGGCTGGGCGGGGGCGTGGACGGCGGCGGCGCTGGCGCTGCGGCGGGTGACGGCGGACGAGCTGACCGGGACCTGCGGCGTGTCGGACGAAGCGGCCGCGGCGCTGATCGGCGTCCCGCGAGGCGCTCTGCTCATCACCTCAATAGCGTTGGCTATCGGCGCGTGTCCGGGCATAATGAGAGTGCGCCGCGCGTTGGACTCGCGAGGAGCGAAACGAGTGGGACGGTTGGCCGCTCGAGCGGCCGCTGGAGGCCTGCTCTACCTGTTCTTAGCGGCGTGCGCGACCGGCGCGCGCGTGATTGAAGCCAGAAACAGAGCGGCGCAAAAGAGCTTGCCGCTTCTGGCGGCGATGGGCGCGGGCAGTCTGGATGACTCGGCGGGGTCGCGCGCCGTGGCCGTGAGCCTGTGGCTGTGCTGCGGGGTCGCCGCGGGGGCGTGGTCGTGGTCGCGCAAGTCGGCGGTGGTGTGGCGCAAGGCGCTGTGTCCGCCGCGCAAGGCCCCGTGCTGCGCGCCGCCGCTGCTCGGACCCCATCACCCGTACTATAAAAGACCTCTGCACGTGTCTAGAGTGTGA</t>
  </si>
  <si>
    <t xml:space="preserve">&gt;dachshund_B3</t>
  </si>
  <si>
    <t xml:space="preserve">ATGGAGTCCGCCGTGGACTCAGCGTCGACCGCCAGCGAGGTGAGCGGCTCGTCCGGGGGCTCGCCGCGCGTCAAGGCGGCGTCGCCGGCGCGCGGCCTCAGCCCGCCGCAGCTGCTGGCGCCGCGCCTGCCGCTGCCGCCGCCGGGCCTGGGCCTGCTGGGCTCGCTGCAGATGATGCACCACTCGCCGCTCGAGCTCATGGCGGCGGCGCACCACCACCCGCACCGCTACGGGAGCCCGCCGCCCATCTCCACGTCCGACCCCTCGGCGAACGAGTGCAAGCTGGTGGACTATCGCGGGCAGAAGGTGGCCGCGTTCATCATCCAGGGCGACACGATGCTGTGCCTGCCGCAGGCCTTCGAGCTGTTCCTGAAGCACCTGGTGGGCGGGCTGCACACCGTGTACACCAAGCTGAAGCGGCTGGACATCGTGCCGCTGGTGTGCAACGTGGAGCAGGTCCGCATCCTGCGCGGGCTGGGCGCCATCCAGCCGGGCGTCAACCGCTGCAAGCTGCTCTCGTGCAAGGACTTCGACGTGCTGTACCGCGACTGCACCACGGCAAGGTGCCTGTCAATGAAAGCGCCAGACAGCTCCAGACCGGGTCGACCTCCGAAGCGTGCTTCTGGAGTTGGTCTTTCGCTTGCCGCCACGCAGTTCCCGGGGCACCCCTTCAAGAAGCACCGCCTAGAGAATGGGGACTACTCGCCGTATGAAAATGGACATATGAGCGAGATGGCCCGCATGGATAAGTCCCCGCTCCTCGCGAACGGGTACAACGCACCCCCCACCCACCTGGGGCCCATGGGCTTCATGCACCAGCACGCCCTCATGTCTCCGGGTATGCCACACCCTGGCGTGCCCAGGCCTGACGGGTCCATCATTAAGGGGCAGCCTATGCATAACATGGAAGCACTAGCAAGATCTGGTATTTGGGAGAATTGTAGAGCAGCATACGAGGACATCGTAAAACATCTCGAAAGGTTGCGTGATGAACGGGGTGATATTGAACGTGTTATAGCAATGGACAAGGCGCGCGAGGGTTCACATAATGGTTCGTCTCCAGGCCACAGTCCTGTGCTGAACCTTTCGAAGTCAGGCTCCGGTGAGCGCGAGCGGTCCGAGCGGGACCGCGAGCGCGCGGAGCGGGGCGAAGGCTCGGCGAGCGGGCGCAGCTCGGCCGCCTCGCGCCGCACGCCGCAGCCGCCGCGCATCCCCTCCACCGCCGCGCCGGTCTCCCCGCGCTCCCACTCCGACGAGAGCGACGCTGCTCTGTCTGATCAAGACGACCATAACGTCAAAGACGAGGATGACGATCTCAGCGATGGTGAACGAGACCTCGCAACGAATTCCTCGCCAGCGCCCGTCAGCTACCCCCCACAAGGCTCGCCGTCGAACGTTCCCGTGGACCCCACCGCCGACACCCTGGTCTCCTCCACCGAGACCCTCCTCAGGAACATCCAGGGCCTCCTCAAAGTAGCGGCGGACAACGCACGCCAACAAGAACGGCAAATCAGTTACGAAAAAGCGGAACTAAAAATGGACGTGTTAAGAGAAAGAGAAGTAAAAGACAACCTGGAAAGACAGTTACTGGACGAACAAAAAATGAGAGTAATGTATCAGAAGAGATTAAAGAAAGAAAGAAAGCAGAGGCAACAAATTCAAGACCAATTAGAATTGGAGTTAAAAAGACGACAGAAGATAGAAGAAGCACTAAAGCAGTCAGGAGCGCCCGGTGAAATTCTGAGAATAGTAACTGAGAATTTAACACCACCGTCCCAAGAAAATCGCGAACGTGAGAACGGTACAGAGAGCAAACCGCCAAGTACAGAGCCCCCCACCTCGTCGCCGCCGTTCCAGAGGGACCCCCCGCGCACGCCCGACAAGCCCCAGTGGAACTACCCTCCGCCGCCTGTCGACATCATGAGCGGAGGAGCTGCTTTCTGGCAGAACTACTCTGAATCCTTGGCGCAAGAGTTGGAGATGGAGCGCAAGTCCCGCCAGCAGGCCATGGAGAGAGACGTGAAGAGCCCTCTGTCGGACCGCGCCAGTTACTACAAGAACTCGGTGCTGTTCAGCTCGGCCACTTAG</t>
  </si>
  <si>
    <t xml:space="preserve">&gt;segmentation protein Runt-like_B3</t>
  </si>
  <si>
    <t xml:space="preserve">ATGCACCTTCCGCACGCAAGCCCCGCGGCCCCGAGCATGGCGGACGTCTACTCGCACATCCACGAGTACTACCGGCAGAGCCACGGCGACCTGGTGCAGACCGGCTCCCCAGCAGTGCTCTGCTCGGCTTTACCCGGACACTGGCGGTCCAACAAGTCCTTACCGGTAGCCTTCAAGGTCGTCGCCCTCGACGATGTGCAAGACGGGACCTTAGTGACCATTAAAGCTGGGAACGATGAGAATGTGATGGCGGAGATGAGGAACTGCACCGCTGTGATGAAGAACCAGGTGGCAAAGTTCAATGACCTGAGGTTCGTGGGTCGCAGCGGGCGTGGCAAGTCCTTCAGCCTGACCATCACCATCAGCACGTTCCCCAGCCAAGTGGCCTCCTACACCAAAGCTATCAAGGTCACCGTGGACGGACCCAGAGAACCCCGGACCAAGCAAAATTACGGTTACGGTCACCCTGGCGCCTTCAACCCGTTCCTGCTCAACCCGGGCTGGTTAGACGCTGCGTATCTGAACTACGCCTGGGCGGACTATTTCAGGCCGCCGCAATTGAGGGATCAAGCTGCCCTTGTTAAAGGTGGGGCTGCACCCATAACGACACCACCGCTGGCGTTGCCCGGAGCGGAGCTGTTCCCGTTTCCACCGGCGATGGCGAGCTTACCGACCGGAGGGTTGATCCCTCCGCCCGGAGCGTTCCTACCGCCGAACGGACTTCTGGCTTTCCCGCCCCATCCCGCAGATCTTGCGTTAAAAAGTTTACCACCGGAGCTGACGTTGAAAAACGGCATCAGTCCCTACGACGCGTTAAGGCAGTTCCAAAGCAACGTCTCCTCGATGGACACTTCGAGCGCTCGCTTGTCTCCGACGAGCAGCAGACAGAGTGGAAGCCCGAGGAGTGTCACAAACGCCAGTCCGAGATCGAAGGCTGATTCGAGGTCGGAAGTCAACTCGACTCACGAAGCAACGATATCTGACGAATCGGACGAAGAGCCGATCGAAGTCGTCAAATCGGCGTTCCACCCGACGAGACCGGCAAACGTGGAACTGCAGGAGATGAAGCAAGTCCAGGCGGCGGACTCCACCGTGGCGGACAAGCCCCGGACGCGCAACGAACTAAAAGCGCCTTCACAACGCACCACTCGTGTTCTCTCCACTAGTCCCACATCGACCAAAATTACAAATGGCAGCATATCGAACCATAAATCCGTGTGGAGACCATATTGA</t>
  </si>
  <si>
    <t xml:space="preserve">&gt;LOC112052246_suppressor of hairless protein</t>
  </si>
  <si>
    <t xml:space="preserve">ATGCCGCACCAGTACGGCGCGGGCGCGGGCGGCATGGGCGGGGGCCCGCCGTCGCCGCCGCCGCAGCACGGCGCGCTGTACCCGCGCTACGCCGCCGCCGCGGGCCCCGGCGCCGGCGCCTACCGCCCCGAGGAGCGGCGCCTGACGCGCGAGGCCATGGAGCGCTACCTGCGCGACCGCTCCGACATGGTGGTGGTCATCCTGCACGCCAAAGTCGCTCAGAAGTCGTACGGCAACGAGAAGAGGTTCTTCTGTCCGCCACCCTGTATATATCTGTTCGGCGACGGCTGGCGGCTGCGGCGCGAGCGCATGCTGCGCGAGGGAGAGACTGAGCAGGCATCACAGCTGTGTGCCTTTATCGGCATCGGCAACTCCGACCAGGACATGCAACAGCTCGACCTCAACAACGGCAAGCAGTACTGCGCCGCCAAAACATTGTACATATCAGATTCAGACAAGCGCAAACATTTTATGCTCTCTGTAAAGATGTTCTATGGCAACGGCCATGATATTGGAATATTTAATAGTAAAAGAATAAAGGTGATATCTAAGCCTTCGAAAAAGAAACAGTCATTGAAAAATGCAGACTTATGTATTGCTAGTGGAACTAAGGTAGCTTTATTTAATAGACTAAGGTCACAGACTGTGTCGACGAGATACCTCCATGTTGAGAATGGAAATTTCCATGCGTCGTCCACTCAGTGGGGAGCGTTCACGATACACCTGCTGGACGACAATGAGAGTGAGTCGGAGGAGTTTGCAGTGAGAGACGGGTATGTCCACTATGGGTCCACTGTAAAACTTGTGTGCTCAGTGACAGGCATGGCACTGCCGAGACTTATAATAAGGAAGGTAGACAAACAAATGTCTCTCCTAGAAGCTGACGACCCAGTGTCTCAGCTACACAAGTGTGCTTTTTACATGAAAGACACTGAGCGCATGTACCTGTGCCTTTCTCAAGAGAGAATCATTCAGTTCCAAGCCACTCCGTGCCCAAAAGAGCAAAACAAAGAGATGATCAATGACGGAGCTTGCTGGACTATCATATCAACTGATAAGGCTGAATATCAATTTTATGAAGGAATGGGTCCTGTCAGGTCGCCGGTGACGCCGGTGCCGCTGGTGCACTCGCTCAACCTGAACGGCGGCGGCGACGTGGCCATGCTGGAGCTGGCCGGCGACAACTTCACGCCGTCGCTGCAGGTGTGGTTCGGCGACGTGGAGGCGGAGACCATGTACCGCTGCGCGGAGTCCATGCTGTGCGTGGTGCCCGACATCTCGCAGTTCCGGGGGCAGTGGCTGTGGGTGCGACAGCCTACGCAGGTGCCAGTGTCGCTGGTCCGCAACGACGGCATCATCTACGCCACGGGGCTCACGTTCACGTACACGCCGGAGCCGGGCCCGCGCCCCACGTGCCCGCCCGTGGACGACGTCATGCGGCCCGACAACGCGTGGCACGACGCGCACCGCCTGCCCGACGCGCTGCAGTAG</t>
  </si>
  <si>
    <t xml:space="preserve">&gt;LOC112049380_protein serrate</t>
  </si>
  <si>
    <t xml:space="preserve">ATGCGCGCGCGCAGCCCGCGGCCCGCGCCGCTGCTGCTCGCCCTCGCCCTCGCCTGCACCCTGCAACGCGCGGCGGGGGCGGGCGTGTTCGAGCTGCAAGTTCTCGAGTTCTCCAATTACCGGCTGCAGCTGGCGTCGGGCGCGTGCTGCGGCGCCGCGGACGCCGCCGGTGCGCCGGGCGCCGCCGCCGCCGCCGCCGCCTGCGCGCAGCCGTGTCGCACGCGCTTCACGCTGTGCCTCAAGGAGTACCAGTCGGCCGCCGCGCCCGGCGCCTGCTCCTTCGGCCGCGCCGCCTCGCCCGTGCTGGGCACCGACTCCTTCACGCTGGCCGACCCGCTCTACACGCTGGCGCTGCCCTTCTCCTTCCGCTGGACGCGCTCCTTCACGCTCATCCTGCAGGCCTTCGACGACGCGAGCGCCGCCGAGCCCGCCGACGACGCCGGCCTCATCGAGGAGGCGTGGTGGTCGGGCATCGTGGAGCCGGGCGCCGAGTGGCACGCGCTGCGGCACGCGGGCGCCGCCGCGTCCGTGGCGTACCGCGTGCGCGTCACGTGCCAGCCCAACTACTACAACTCCACCTGCACCACGTTCTGCCGCGCGCGCGACGACAAGTTCGGCCACTACTCCTGCACGCCGGCGGGCGGCAAGCGCTGCCTGCCCGGCTGGCAGGGCGACAACTGCGAGCGGCCCCAGTGCAAGGCGGGCTGCCACCCGGCGCACGGGCGCTGCGACGCGCCCGGCGAGTGCGCGTGCCGGCCCGGCTGGCGCGGCGAGCTGTGCGCGCAGTGCACGCCCTACCCCGGCTGCAAGCACGGCTACTGCAACGGCTCCTCGTGGGACTGCACGTGCGACACCAACTGGGGCGGCATCCTGTGCGACCAGGACCTCAACTACTGCGGCACGCACGAGCCGTGTCGCCACGGCGGCACCTGCGAGAACACGGCGCCCGACCAGTACCTGTGCACGTGCGCCGACGGCTTCTCGGGCGCCGACTGCGAGCGCGTGGACAACCCGTGCGCGCCGCAGCCCTGCGCGCACGGCGCCTGCGCGCTGGCGCCCGGCGCGCCCGGCGGCTTCGCGTGCGCCTGCGAGCGCGGCTGGGCGGGCGCGCGCTGCGACGTGGACGCCGACGACTGCGCCAGCGCGCCGTGCCGCAACGGCGCCACGTGCCGCGACGCGCTGGACGCCTTCGCATGCGAGTGCGCGGCGGGCTGGCGCGGGCCCGCGTGCGCTGACGACGTGGACGAGTGCGCGGCGGGCGAGCTGGGCCCGTGCGTCAACGCCGCCGCCTGCAACAATACGGCGGGCGGCTACGCGTGCGCCTGCCTGGCCGGCTGGACGGGCCGCGACTGCGAGCTCAACGTGGACGACTGCGCCGGCCAGTGCCTGCACGGCGCCACGTGCATCGACCTGGTGGACGACTTCCACTGCGCGTGCGCCGCGGGGTACGCGGGGCGCACGTGCGCGCGCGACGTGGACGACTGCGCGGCGCGCCCGTGCCGGCACGGCGGCGAGTGCGTGGACCTGCTGGACGCCTACCGCTGCATCTGCCCCGTGGGCTTCTCCGGCGCCGACTGCGAGGACGACCGCGACCACTGCGCCGACGCGCCGTGCGGCAACGGCGCGCCGTGCTACACCGCGCAGAGCGACTACTACTGCCACTGCGCGCCCGGCTGGACCGGCAAGAACTGCACGCAGCGCGCCGCCCGCGAGCAGCCGGACGTGTGCGCGTCCAGCCCGTGCCGCAACAACGGCTCCTGTGTGCCGGGCCCCGCCGGCCCCGTCTGCGCCTGCGCCGCCGGCTGGACCGACGCCACCTGCTCCTCGCGCCTCGAGCCGCCGTGCGAGCCCGCCTGCGCGCACGGCGGCTCCTGCGTCGGCGAGCCCGCGCCGCACTGCGCCTGCCCGCCCGGCCGCGCCGGCGCCGCGTGCGACGCGATCGCCGCGCCCGCCGCGCCCGCCGCCGCCTGCTCGTGCCTGCACGGCGGCTCGTGCGTGGCGCGCGACGGCGCCTGGGCCTGCGTCTGCCGCGCCGGCTGGGAGGGCGCCCGCTGCGAGCGCGCGGCGCCGGGCTGCGCGTCCCAGCCGTGCCGCCACGGCGCGCGCTGCGTCGGCGGCGACGGCTGGTGGGCCTGCGAGTGCGCGCCGGGCTGGGCGGGCGCCGACTGCGGCGAGCCGGCCTGCGAGCCCGCCTGCCCGCCGCCCGCGCAGTGTCTGCCGGCGCCCGGCGGCGGCGCGCCGCGCTGCGTGTGCCCCGCGCAGGGCCGGGCGGCGCGCGGCTGCCTGGAGCTGCTGGCGGGGCTGGGCGCGGAGGGCGGCGCGGCAGCGGCGGCGCCGGGCGCGTGCGGCGCGGACAACGGCACGTGGTGGTGGGGCTGCAACGCGTGCCGCTGCGCGGCGGGCGCGCCGACGTGCACGCGGCTGTGGTGCGGGCTGGCCGACTGCCTGGCGCCCGCGGCGGCGCCGTGCCGCGCGGACGAGGTGTGTGTGCCGGCCGCGCCCGCGCTGTGCCTGCGCGCGCCGTGCGCGGCGCCGGGCGAGTGCCGGCGCGTGGCGGGGCGGCGCGTGGAGCCGCCGGCGCTGCCCGCGCCCGCCGCGTGCTGGCCGGGCGCGCGCGGGCCGCCGCCGCCGGGCTGCGCGCGCGCCGAGCTGCGGCTGGCGCGCGAGCGGCTGCTGGCGGGCGCGCACGTGGAGCGCGCGTGCGGGGCGCTGCGGCGCGCGCTGGCGGCGGCGCTGGCCGCGCGCGAGCCGCCCGCGCCGCCGCTGACGCTGCTCTGCGACGTGGCGCCCGACGACGAGGACGCGCTCGACCTCGCTCTCTGGGTCGGCGAAGAGGAGGAGGGCGGAGACGCGAGCGCGCTGGCGGCCGCCGTGCGCGCGCTCAGCGAGCTGGTGGCGCGCCGCCGCCTCGCCGCGCACCCGCTGCTGGCCGCCGCGCTGCGCCTGCGCGTGCTCGCCGCCGCGCCCGCGCCCGCGCCCGCGCCCGGCGGCGGCGCGCTGCTGGCGCTGGCGGCCGGCGCGCCGCTGCTGCTGCTGGGCGCGGGCGCGGGCGGCGCGCTGCTGCTGCGCCGGCGCCGCGCCGCCGCCGCCGCGCGCGCGCGCCGCTGCTGCGACGAGGAGAAGTCCAACAACCTGCAGAACGAGGAGAACCTGCGGCGCTACGCCAACCCGCTGCGCGAGGAGCCCCTGCGCGCGCACTCGCTGTACAAGGCGCAGAACGCGGACGCGCGCAACCACACGCCGCCGCGCGACAAGGAGCTCACCAAGCGCGCGCTGCCGCCGCCCGAGCCGCCGCCCGCCGCCGCGCCCGCGCCCGCCGCCGCCTCCGCGCCCGCCTCCGCGCCCGCGCCCGCGCCCGCCGCGCGCCACCCGCCGCCCGAGCGCCTCACCGTGCTGGTGTAG</t>
  </si>
  <si>
    <t xml:space="preserve">&gt;LOC112050737_protein strawberry notch</t>
  </si>
  <si>
    <t xml:space="preserve">ATGTCAAAGCGACAAGCATTCGGTGATCACAATCCAGCTGCCTCAGACGATGACTCTGATTTTGATGACGATGAGGATCCAGACAATTTGGAAGTGCCAGGTGGCGGCAAGACCCTGGCGGCGGCGGCGCGTCTGGGCGACAAGGCGAAGCCGCAGCCCGCGCCCGTCACCGTGCGCGCCACCACCAACCCGCTGGCCGTGGAGATGGTGGGCATGCAGGGCATGAACTCGTACCTGCTGCAGAACCTCAACCAGATCCTGGCGTCGGGCATGGGCGGGCCGCTGGCCGGCATGCTGGGCCAGTTCGCCGCCGTGCCGCCGTGGGCGCAGAAGGGCGCGTGGGACAAGCCGGCCGGCGACGAGGAGGAGGTGGACGACGACGAGATGGGCGTGGCCGAGACGTACGCCGACTACATGCCGCCCAAGCTGCGCCTGGGCCGCAAGCACCCCGACCCCGTGGTGGAGACGGCGTCGCTGTCGTCCGTGGAGCCGGTGGACGTGACGTACTCGCTGGGGCTGCCCGACGAGACGGTGCGCGGCGGGCTGCTGTCGGCGCTGCAGCTGGAGGCCGTGGTGTACGCGGCGCAGGCGCACGAGCACCTGCTGCCCGACGGCTCGCGCGCCGGCTTCCTGGTGGGCGACGGCGCGGGCGTGGGCAAGGGGCGCACCATCGCCGGCATCATCTTCGAGAACCACCTGCGCGGCCGCAAGCGCGCGCTGTGGGTGTCCGTGTCCAACGACCTGAAGTACGACGCGGAGCGCGACCTGCGCGACATCGGCGCCGGCAAGATCGAGGTGCACTCGCTCAGCAAGTTCAAGTACGCGAAGATCTCGTCGGCCGCCAACGGGCACGTGAAGAAGGGCGTGGTGTTCAGCACCTACAGCGCGCTCATCGGCGAGACGCAGGCCAGCACCAAGTACCGCTCGCGCCTCAAGCAGCTGCTGCAGTGGTGCGGCGAGGACTTCGACGGCGTCATCGTGTTCGACGAGTGCCACAAGGCCAAGAACCTGTGCCCCGTGGGCTCGGGCAAGGCCACCAAGACGGGGCTGACGGCGCTGGAGCTGCAGAACAAGCTGCCCAAGGCGCGCGTGGTGTACGCGTCCGCCACGGGCGCCTCCGAGCCGCGCAACATGGCGTACATGGTGCGCCTCGGCATCTGGGGCGAGGGCACGCCTTTCCCCACCTTCATGGACTTCATCAACGCCGTGGAGAAGCGCGGCGTGGGCGCCATGGAGATCGTGGCCATGGACATGAAGCTGCGGGGCATGTACATCGCGCGCCAGCTGTCCTTCCACGGCGTGTCCTTCAAGATCGAGGAGGTGCCGCTGTCCGACTCGTTCCGCGACACCTACGACAAGGCGGTGGCGCTGTGGGTGGAGGCCATGCAGCGCTTCACGGAGGCGGCCGAGCTGATCGACGCGGAGCCGCGCATGAAGAAGACCATGTGGGGGCAGTTCTGGTCGGCGCACCAGCGGTTCTTCAAGTACCTGTGCATCGCCGCCAAGGTGAACCAGGCCGTGGTGCTGGCGCGCGAGGCGGTCAAGTGCGGCAAGTGCGTGGTCATCGGCCTGCAGAGCACGGGCGAGGCGCGCACGCTGGACCAGCTCGAGCGCGACGACGGCGAGCTGTCCGACTTCGTGTCCACCGCCAAGGGCGTGCTGCAGACGCTGGTGGAGAAGCACTTCCCGGCGCCGGACCGCGAGCGCATCAACCGGCTGCTGGGCCTGGAGGCGAAGGCCAAGGCCGCGCCGGCCGCGCCCGCCGCCGCGCCGCCGCGCAACGGGCTGGACGACGGCGCCGCCAAGCGCAAGCTGACGGCGCGCCAGCAGGTCAACGCGGCCGCCAAGCGGCTGCGCGGCGGCTCCTCGTCCGACGAGTTCGTCCGCTCGGACGACGAGCTCGACGCCGAGCTGGAGGCCGAGCGCGAGGCCGAGGCCGACTCGGCCGACGACTCAGAGCTGAGCGACTCCAACCCGTTCCGCGCCGGCAGCGACAGCGACGACGATCCGTGGGTGGGGCGCAAGAAGAAAGTGGCGAAAAAGAAAAAAGCGCCCGCCGCGAAGAAGGCGAAGGCGAGCACGCAGGACAAGATAGAGACCATGTTCTCGCGCAAAAGCCTGGCGCCCGCGCCCGTCACCGTCGCGGCGGCCGGCCGCAGCCTCGCGGGCACGCCCGTGGGCACCAACGGCCTGTACCTGGGCCCCTCGCGCGCCGTGGCGCCCGCGCGCTCCGCCATCGAGCGCGCCTGCAGCATGAAGGAGCAGCTGCTGGCGGCCGTGGAGCGCCTGGGCCGCCGCCTGCCGCCCAACACGCTGGACCAGCTGGTGGACGAGCTGGGCGGCACCGACAACGTGGCCGAGATGACGGGCCGCAAGGGCCGCGTGGTGCAGACGGAGGACGGCCAGATCCAGTACGAGAGCCGCTCGGAGGCCGACGTGCCTCTGGAGACGCTCAACCTGACGGAGAAGCAGCGCTTCATGGACGGCGAGAAGGACGTGGCCATCATCTCGGAGGCGGCGTCCAGCGGCATCTCGCTGCAGAGCGACCGGCGCGCGCGCAACCAGCGCCGGCGCGTGCACATCACGCTGGAGCTGCCGTGGTCGGCCGACCGCGCCGTGCAGCAGTTCGGGCGCACGCACCGCTCCAACCAGGTCAACGCGCCCGAGTACGTGTTCCTCATCTCCGACCTGGCGGGCGAGCGGCGCTTCGCCTCCACCGTGGCCAAGCGCCTGGAGTCGCTGGGCGCGCTCACGCACGGCGACCGGCGCGCCACCGAGTCGCGCGACCTAAGCCAGTTCAACGTGGACAACAAGTACGGGCGCACGGCGCTGGAGGCCGTCATGAAGGCCATCATGAAGTACGAGGCGCCGCTGGTGCCGCCGCCCGCCGACTACGCGGGCGACTTCTTCCAGGACGTGGCGGCCGCGCTCGTGGGCGTGGGGCTCATCGTCAACAGCGACGCGGCGCCCGGCGTGCTGGCGCTGGACAAGGACTACAACAACATGTCCAAGTTCCTGAACCGCATCCTGGGCATGCCCGTGGAGCTGCAGAACCGCCTCTTCAAGTACTTCACCGACACGCTCGCCGCCGTCATGGACCAAGCTCGTCGCAGCGGGCGGTTCGACCTCGGCATCCTGGACCTCGGCAGCGCGGGCGAGAGCGTGCGGCGCGTGCGCTGCGTGCGCTTCCTGCGCCGACACGCCACCGGGCAGGCGCCCGTCGAGCTGCACACCGTGCACTCTGAGCGCGGGCTCGAGTGGTCGCTGGCGCTGGAGAAGCTGTCGGAGGCCAGCTCGGCCGAGGAGGGCTTCTACGTGTCGCGCACGCCGCGCAACGGCAAGCTGACGGCCGTGCTGTGCCTGGCGGCGGCGCCGGCGCGCGCCGAGCGTCGCGAGCGCGACCGCCCCGCCAAGAAGGAGCGCATGTTCCACGTGCACAAGCCCAACACGGGGCTGCAGCTGCGGCTCGAGAGCCTGGCCGACATCGAGAAGAAGTACAAGCGCGCGGAGCCCGACGACGCGGAGGCGGCGTGGCGCGCGCAGCACGCGGCCTCGCTGCGCACGTGCGCGCACGCCTACTGGCGCGCGGCATGCCGCGACCCGCACTGCGAGGTGGGGCTGCGGCGCCGCACGCACCACGTGCTGGCCGGCTCGCTGCTGGCCGTGTGGGCGCGCGTGGAGCAGGCGCTGGCGGCGCGCTCGGCCGGCAAGATGCAGGTGGTGCGCCTCAAGACGGACGACGGGCTCAAGATCGTGGGTACGCTCATCCCCAAGAACTGCGTGGACACGCTGAAGGAGGCGCTGTCGGTGGACGCCGTGAGCGTCAGCGAGCAGACGTTCGAGTCGGAGCGCTAG</t>
  </si>
  <si>
    <t xml:space="preserve">&gt;lcl XM_024078199.2_cds_XP_023933967.1_1 [gene=LOC112042967] [db_xref=GeneID:112042967] [protein=protein toll-like] [protein_id=XP_023933967.1] [location=274..2721] [gbkey=CDS]</t>
  </si>
  <si>
    <t xml:space="preserve">ATGATGGATCGAAAGTTCACACATGTGTTGATGGCGGCACTAGCCGTGCATGTAATTAGTGCTAGTGTGATGTGCCCCAGTCACCCTAACTGCGTTTGCGGCGGCACGCTCGCAATTGAACTGAATTGTAACATCGATGGGCGTATTGTAAAAATAAACTTACTACCAAGTACGTACATCAACATAAAATGCGAAAACACCACAACTCTAGATTACAGCCAGCTACCAAAATGTGCCAACGGAACAAATTCTTTCAAGTCAGTCAGTTTCAAAGACTGTCCATTACCAAACAGTTCATTCAATGATATTTTAATGCATATTGGAGTCCCTAAGACAATGTCTTTGATATTTCAAAATGCAAAAGAGCTATCTGGATATTTCGATAGAAAGCATTTTGCAGGATTAAAAGATTTGACCAAGCTGCTTCTATCAGTGAACGGAATAAAACACTTACCGGACAACTTATTTGTGGACGTTCAAAACTTGACATGGCTTAACATACGATGTAACAATATCAAACTGTCTGAAGAGTTATTCAAGCCCCTAGAAAGGTTGGAGACCTTGGAAATAAGTCATAACCACATGACGAATATGTCCTCGAATCTCTTTTCTCATTTAACGTTATTGAGAAAATTATCCTTATGGCAAAGTAATGTGACAAAGTTTTCAAAAGATTTCTTCACTGGCGTAGACGTTCTCGAAGAATTGGATCTGAGTTCTAATGGACTTAATGAACTTCCAACATCAATTTTTAAGCCATTAAGAAAATTAAAGAAACTTACGTTATTTTCCAACAAGTTTTCAACATTACCAGAGAATCTCTTTTCAAACAATAAAAAGTTGGAAACTGTAATAGTTCTCAATAATGATGTAAAAATGAAAGAATTGCCGAGAAGTCTATTTGGAAATTTACCAAACTTAAATCAGGTATACATTCAGAGAAGTGGAATAGAAGTTGTGCCATATGACATTTTCACTAACTCGTCTCTGTTAAAAAACATATCGTTCGCATTTAATGATATAGAAATAATACCAGAGTCAACTTTTAATGATCAAATTAACTTGTTGGAATTGGATTTGAGTCATAATAACTTGAAAAGCTTACATTCTAAATTGTTCTCATCATTAGTACGCTTGGAGAAATTGAATTTATGTTATAATTCCATTGAAGAAGTTTCTGGTTCTACGTTTTCTTCGCTCTTAAGTCTCATATATTTAAACATGGAGCATAACCATATAAAAACAATATCCTCGTATTTATTCAGCAATAATAGACAGAGGATGTCAATCTCTTTTGCTTACAACGAGCTTGACGATCTGCATATGAAATTGGAATATAGATTCAAATTTGGAACTAAACTAATAAGTGTAATTAATCGTGATTCACCTTTTGCTCACACGTCTCTAAGATTACTCAATTTAAGTCACAATAAGTTCCAAGTAGCTTTTGATGATTGGTGGTTTAATGGCCATGAAATATTGGATATCAGCAACAACTATATACAATTTCTATCGGATAAAGGATTTGACATACTTGATAAACAATGTACATCAAAGTACAAAAAGCGCATAAGCCCACTATTAAAAGAGATATGGATCACAGAAAATCCTTTAAAATGTATGTGCACGAATTTTCAATTCATCAACTATGTAAAGGATGTTCTCAAAACAAAGGTTGTTGATGATACTCTTACGCATTGCTCTACTTGGACGAAAGAAGTTTGTCGCGAATCGTGGGCTTTCACTTTCACGATAACTCTTGCGACGTCGCTAACTTCTTTTTTTATGATTGTGTTATTCTATTGTGTGTACAAGGAGCAAATACATCTGTATATAAAAAAAAAACTTCAATACTTTTTTCATCAAGAAACTGCAGTCTCGGAAGAAGATAAGAACATTATAGTAAAATATACTGATATGGACGAAGAGTTTGTCTTAAAAGAAATATTACCAGAATTGAAAGAGCATAAAAATTACAATGTACAAATAAGATGCATAAATAATGCGAATAATAAAGATCATTTAGCCAAACAGTTTAGGACTGGCACAAAGGAATCAAATGTCGTCTTGATTATATTCTCTCCAAATTATCTAACATCAATGTATAGTCACGTGAATATAAAGAAAATCCGAGGCGAAATGTTGAAGAGCAAGAATACTGTTTACGTATTTACTGATATTGGCTCGGAGAACTCGATATACGCTTTTCTGAAGGAGCAGCGAGATCGGCGATCAACTATTTTGTGGAGCGACCCAAATTTCTGGAGTGTGTTAATCTACATGTTGTCAAATAGCACGTACAAGAAGAAAGTCAGAATTGCCACTGAACATGTGAAATGTTCAAAAATCGATAAAAATGAATGGATGGCAACCGATCCATTTGTAACCACAACTTCTGACAGCCCGGAAATTTATACGTCTCGAACAGTTGCTGACAGTCCAGTTTAA</t>
  </si>
  <si>
    <t xml:space="preserve">&gt;lcl XM_052890551.1_cds_XP_052746511.1_1 [gene=LOC112045741] [db_xref=GeneID:112045741] [protein=homeobox protein caupolican isoform X2] [protein_id=XP_052746511.1] [location=409..1605] [gbkey=CDS]</t>
  </si>
  <si>
    <t xml:space="preserve">ATGAGCAGCGCCGCGGCGGCTCGGCCGAGCTCGCCGGCGGCATCGACAGCGCGGTGTTGCGACACCGGCCGCCCTATATTCCAGGACCCCATCACTGGGCAAACGGTCTGCTCGTGCCAGTACGAGTTCCTCAACTACCAGCGGCTGGCGTCCGGGGTGCCGCTGTCGATGTACAGCGCGCCGTACCCGGACGCGGCCGCCGCGGCTGGCATGGCAGCCTACTTCCCCGCGCTCGCCGCCGACCAACCACCCTTCTACGCGAACACGGCTGCTGGTATCGAGCTGAAGGAGAACCTGGCAGCCAGCGCGGCTAGTTGGCCTTACCCCACAGTCTACCACCCCTACGATGCGGCTTTCGCTGGCTACCCCTTTAATGGATATGGAATGGATTTGAATGGTGCAAGAAGAAAAAATGCCACCCGAGAAACGACGAGTACACTCAAAGCGTGGCTCAACGAGCACAAGAAGAACCCGTACCCAACCAAGGGGGAAAAGATAATGTTGGCGATCATCACCAAGATGACGCTGACGCAGGTGTCCACGTGGTTTGCGAACGCACGCCGGCGGCTCAAGAAGGAAAACAAGATGACCTGGGAGCCGAGAAACAGGGTCGATGATGACGACAATAATAATGATGATGATGACCACAAAAGCAATGACGGGAAAGATGCTTTGGATGGCAAGGACTCTGGGACAGGCTCGAGTGAAGACGGTGAGCGACCACAACAAAGGTTAGATCTGCTGGGACAGCGAACAGAATCAGAATGGTCGGAATCACGAGCGGACAGTGGACCCGAGTCACCCGAGCCGCCCTACGAACGGCCCATACATCCCGCGTACCAACACCTGCCTTCACGCGCACCGCCCGGTAGCACTCCTGCTTCAGCGAAACCCAGAATATGGTCATTAGCTGACATGGCCAGTAAGGATGGGGAGGCTCCGGCTCCCCCAGCGGCTGCATCCGCTTTCTACCAATCAGCTGCTGCGGCTGCGGCGGCTGCAAGGCTCGCCCATCCTTACGGCAGACCGGACTTGTACCGGGGCTTGTACCCCCCGACGCATCCAGCAGATGTCGCGCTCCTGGAGTACTCCCGCTCTCTAGCTCTCGCAGCCCCCGCGCCCGCGCCGCCCGCCCTCTCCCCGTCCTCTTCGTCTACCTCGTCCCTTGCGGAGCCGCCGCCCCCTTCCCGCGCCTGA</t>
  </si>
  <si>
    <t xml:space="preserve">&gt;lcl XM_024098330.2_cds_XP_023954098.1_1 [gene=LOC112057784] [db_xref=GeneID:112057784] [protein=homeobox protein abdominal-A homolog isoform X4] [protein_id=XP_023954098.1] [location=2967..3992] [gbkey=CDS]</t>
  </si>
  <si>
    <t xml:space="preserve">ATGAGTTCCAAGTTCATCATCGATAGCATGCTCCCCAAGTACCACCAGCAGTTCCATCACCAGAACTTGTTCGCGGGAGCCGGAGCTTCGCCGATCGAGGCGTCGTTGTCGTCGTCGCTGTCGTCGTCGTTGTCGACGTCGCTGTCGTCGTCGCTGTCTGGCGGGCTGGGGGCGGCCGCGCTGGGGGCCGGCTCGCCGGGTGCCGGGAGCCCACAGCGCTCGTCGTCGTCGTCGTCGGCGTCGCCGGGCGCGCCGGCGAGGATGTATCCGTACGTGTCGCACCACCAGCAGTTCGGGGGGTCGGTGCCGTTCCCCGCGGGCGGCGGGCTGGCGGACGACAAGAGCTGCCGGTACCCTGGGGCCGTGAGCGGCGACCCCATGGTGAACTACGCGCTGGGGCAGCACAACGGCGGCGCGGCGGTGTCGGCCGCGTCGGCCAGCATGGCGGCGGCGGCGCAGTTCTACCACCAGGCTGCGGCGTCGGCCGCGTCAGCCGCGTCGGCCGCCTCCGTCGACGCCATGGGCGGCACGTGCGCGCAGCCGTCCGCCCAGCCGCTGCCCGACATCCCGCGCTACCCCTGGATGTCCATCACCGATTGGATGAGCCCCTTCGACCGCGTGGTCTGCGGACCGAACGGCTGTCCAAGGCGACGGGGAAGGCAAACTTACACGAGGTTTCAAACGCTAGAATTAGAAAAGGAATTCCATTTTAACCATTATCTGACGCGCCGACGCAGGATAGAGATCGCGCACGCCCTGTGTCTCACAGAAAGACAAATCAAAATATGGTTCCAGAATCGACGAATGAAACTAAAGAAGGAGCTGCGCGCAGTGAAAGAGATAAACGAGCAAGCGCGCCGGGAGCGAGAGGAACAGGACCGGATGAAGCAGCAGCAGCAGGAGAAGCAGGCCAAGCTGGAGAGCCAGCACCACGGCCACCACGTGACCCACCACCACGACCCAATGAAAATGCCCATCGACAAGGGCTCCAGCGATATCCTCAAAGTGAATAAAGTGCCGACGTAA</t>
  </si>
  <si>
    <t xml:space="preserve">&gt;lcl XM_024082856.2_cds_XP_023938624.2_1 [gene=LOC112046261] [db_xref=GeneID:112046261] [protein=uncharacterized protein LOC112046261] [protein_id=XP_023938624.2] [location=275..862] [gbkey=CDS] (pika)</t>
  </si>
  <si>
    <t xml:space="preserve">ATGAAGCGCAAAATATGTATGACGCCATCGTTCACGTGTGACGACGACATGGAGGAGCTGAATGTGGCAGCACTGTCACACCGGAAGGAGTCCGCGGCGCCGCTGACGGCAGAGCGGGACGGCGCCATCTTCCGTCACCCTCTGTCGTACCCACTCGCTTTGGTGCTGCGACTTCGAGTTCTTCAGATAGTATGCGGCATCTCAACTTTGGTCATGGGAAGTGTCGCCTTTATAGAAGAGAGGCAGAAGTTCAACATGGGGCTCGGCATACCCGCTGGGAGTCTCAGCATAGTAGCCGCTGCGGTGTCAATCCACACGTCGCGCGGCTGGGGGGTGTCCAACGGAGCCAGCGCTGGCGTGGCGGCGGCCGTGCTGTGGGCGGCGTCGGGCTGTCTGCTGGTCGCGCTGATGGTGCAGTGCTCGCGGACTATACTGGACCCGCCCGGGTTCAATCATGGGGACGGACCCGACGAGGAAGCGAAGCCGTCGTCACGTGACCTGGTCGTTATAGCGTTTGTGCAAATCGCTCTCGCCGCCGCTACGCTCCTCAGTGCGGTGGTGTGCGCTCGCATCGACTGCAGCGCATGA</t>
  </si>
  <si>
    <t xml:space="preserve">T123</t>
  </si>
  <si>
    <t xml:space="preserve">tbx3</t>
  </si>
  <si>
    <t xml:space="preserve">&gt;lcl XM_052882937.1_cds_XP_052738897.1_1 [gene=LOC112048640] [db_xref=GeneID:112048640] [protein=T-box transcription factor TBX3 isoform X9] [protein_id=XP_052738897.1] [location=186..1673] [gbkey=CDS]</t>
  </si>
  <si>
    <t xml:space="preserve">ATGCGCTTCGAGGGCGCGGAGCGGGCCTTCCACCCGCTGCTGGCGCCGCGGCCGAGCGACTTCTCGGTGTCGGCGCTGCTGACGGCGGGCGCACTGCCGCCGCCGCCCTACCTGCCGGCCGCGCTGGCCGCCGCCGCCGCGCTGTCCGCGCCGTGTCCGCTGCTGAAGCCGCCGCCGCCGCACTACGCGCCGCTGCCTCCCGACGACGACGGCGTCGTCGACGACCCCAAGGTCACGCTCGAGGGCAAGGACCTGTGGGAGAAGTTCCACAAGCTGGGCACCGAGATGGTGATCACCAAGAGTGGCAGACGTATGTTTCCTGCCTACAAAGTTCGCGTTTCTGGTCTTGATAAAAAAGCAAAATACATTTTGCTAATGGACATCGTAGCTGCCGACGATTGCAGATACAAATTCCACAACAGCCGGTGGATGGTCGCCGGCAAGGCTGACCCGGAGATGCCCAAAAGGATGTACATCCACCCCGACTCGCCGTCCACGGGCGAGCAGTGGATGCAGAAGGTGGTCTCCTTCCACAAGCTGAAGTTGACCAACAACATCAGCGACAAACACGGATTCACGATCCTGAACTCGATGCACAAGTACCAGCCGCGGTTCCACCTGGTGCGAGCCAACGACATCCTCAAGCTGCCCTACTCCACCTTCCGCACCTACGTGTTCAAGGAGACCGAGTTCATCGCCGTCACCGCCTACCAGAACGAGAAGATAACGCAGCTGAAAATCGACAACAACCCCTTCGCGAAAGGCTTCCGAGACACGGGGGCGGGGAAGCGGGAGAAGAAGCAGGCGCTGCTGACGGCGCGGTCGGACGCCCGCGAGGACGACGACGAACGTCCACTAGACGTCGGTGGACCCTCCAGCCCGCCGCCGCCCGCGACGCAACACACGAGCAGCTCGTGGTTCAGTTCGAGCGGAGGCGGCGCGGACTCCGGTCCAGAGGAAGCCGGCTCGGACTCGTCGTGCTCCGGCCCCGCGCGCGCTCCCTCGCCCCCCGCCGGGCCCTCGCGGCCTTCTCCCGCCCCTGACGTGTCTCTCGGCCCGCCGGTGCAGCCCCCCCTCCTGCCCTACCTATACCCGCCTTCGCTGTACCCGCCACCGTTCTTCCCGCCACACCAAATGCCGCCAGGTCTGTTGTTCAACCTGCATCCCCTCCTGCAGCAGTACTCGTTGCCCCCTCCCCTCGCGCCGCCGACCCCCACGTCCGCGCCTTCTCTGAGCAAGACGCACAGGTTCGCGCCGTACGCGCTGCCCGGGTTAGGGTCTGCGTTCGAGCAGGTCGCGCCCAGAGCGAGGAGCCTCAGTTCGTCGCCGGCGCGGCCGCGGGTGGGGTCGCCTCCCACGAGAGCGGCGTCAGCGGACCCCCCACCGGACGCGCCGACGTCGACCACCTCCGCCGCGACCCCTCCCGCGTCCGACCTCAAGAGCATCGAGCGCATGGTCAACGGCTTGGACGTGGAGACGCAGGACTGA</t>
  </si>
  <si>
    <t xml:space="preserve">T124</t>
  </si>
  <si>
    <t xml:space="preserve">ush</t>
  </si>
  <si>
    <t xml:space="preserve">&gt;lcl XM_024085242.2_cds_XP_023941010.1_1 [gene=LOC112047931] [db_xref=GeneID:112047931] [protein=zinc finger protein ush isoform X3] [protein_id=XP_023941010.1] [location=908..3133] [gbkey=CDS]</t>
  </si>
  <si>
    <t xml:space="preserve">ATGTCAGGAGAACCTCGCACGCCGAGCTCTGGGGGGGAGCGCGTCGCATCGAGCGGTGGAGCCTCGCCGGTCTCTGAAGGGTCCACCGCCGCCTCTCCGCCGCGGCTGCGGCTCAACACGAGCCTGGCGACGGACCCGGCGCTCGCACCGCAGGCGACGCCGCTGAAGCGCGAGCCGCCCTCCCCGTCGCCGCCGCCGCCGCCGGTTCAAACTCCGAGAGATTACTTGGCTCTCACTGCCGCAAACTTCCCGGCGCTGTTTCCCGCGACACCCCCCGGATACATGTGCCAACCTTGCGGAATACGCTATTCTTCACTAAGTACTCTTCAAGCTCACCAAGAACACTACTGTTCTAAACGAAGAACGAAACCCGACGGCACAGAGGCCACTTCGGATGCCGGAGCCGACGAGTCGAGTGGGGACTCCAAAACGCCGCGACCCTTAGGCAAGCAGTACGCCTGCACGTATTGTTCGTACAGTGCCGACAAAAAAGTTAGTTTGAATCGACACATGCGAATGCATTCCTCGTCACCCGTCAGCAGCAGTACTCCCGTACCGCCTCCGACGTCCAACGGAGAATCCGTCGAAGGTCAACCGTCGCAGGACCGATACTGTGCGGACTGCGACATACATTTCACCTCACTCAAAACCTATCGGGCCCACAAAGCACACTACTGCAACACGCGGCAAGTCGTGAAACAGGCGCTGGCTGCAGCCAGAGCGGGCTCGGGCACGTCGGGGTCGGCGCCGCCGTCCCCCGGGGCGACTCCTCCTGCGCAAAACCAATATGCGTTGGCGCTACCTACGAATCCCATTCTCATCGTCCCGTATTCGATATTGAGGGGCGCCAGTACGCTACCGGGCACCACTCTCCCCGACCCAGAGACGCCGTGCTTTTTACTACCAAACGGAACATTTCAGCCCATCAGCAGAGCGTTACCAAATTTAAATACAGAGTTGAAGGAGCCCGAAGTTTTAAAATCAGCGAACAGGCCGCGAGAGCCATCTCGAGATGTCACCACGCCGTTAGATCTGAGCGTGCGACGGACTCCGGAGTCAGTGACGCCGGACGAACACGAAAAGGAGAACAGAATGCGTTCGACGACTCCCGAGCAAATAGTTTGCGCTCCGTCGTTGCCGGGCTCGCCTGGAACCCCATCGCCGTCGAGGCGGTCTTCCTCGCCGAGCGGAGAGAGCTCACCCAAACGCAGTAGGAGAAGTTCGCGAGGTCCGACGCCGAAACCGCCGAGCATACCTTCCCCACCGGAGGAAAAGAATCCCTCGGTTGCGCCTCCACCGATTCTACCTCCCGGTTTAGCGTTAAGATTAGCTACAGATCTGCCCGTGGCCACCGTACCGCCGCAAGTGTTGGTCAAGCAAGGAGTCTCACGATGCAAAGAGTGCAACATAGTGTTCTGCAAGTTCGAGAACTACCGCATACACAAGCGGCACTACTGCTCAGCGGGGGGCGGGGAGGAGCGGGCAAGTCCGGCGCCCCCGGAGGCGGGCCCGCCGCCGCTGTACCGGCAGCTCATCTGCCTGGCGTGCGGCATCCACTTCAGCTCGTTCGACAACCTGACGACGCACCAGCAGTACTACTGCACGAAGCGCGAGACGCGCTCGCCGCGCGCGGCCGAGGCGCGGGCGGGCGCGGAGGGCGGCTGGAAGTGCCCGTGCTGCGACGTGGTGTCGCCCACGGCGGCGGCGGCGCAGCGGCACATGGAGGCGCACGCGGGCGTCAAGGCGTTCCGCTGCACCATCTGCCGCTACCGCGGGAACACGCTGCGCGGCATGCGCACGCACATCCGCATGCACTTCCGGGAGAAGCCGGCCGACCTGCAGGAGGAGAACTACATCTCATGCGTAGTCGAAGAAGAGAGCCGAGAGACCACATCCCCCGCACCAGCCGCAGGGGAGAGAGTCCACCAATGCGGCTCCTGCGCTTACACCTCCACGTACCGGGGCAACGTGGTCCGGCACTCGCGTCTAGTCCACGCTACCGGGGACCCCGAACCAGAGGAACAGACGTCCCCCATCCCTACCGTAGATATTAAAAAAGAACCGGACGCAGAGGAGGAATCGCCAAACTTCTGCAAATTCTGCAACATACCCTTCAAGTACGGTAACTCGTACAAAGCTCACAAGCAGTACTACTGCAAGGCTAACCAGGAGGCTGCAGCCAACAACAACGTACCAGCGCGAGTCAATGACGCTTCGGTGGTATGA</t>
  </si>
  <si>
    <t xml:space="preserve">T125</t>
  </si>
  <si>
    <t xml:space="preserve">tpk</t>
  </si>
  <si>
    <t xml:space="preserve">&gt;lcl XM_024098972.2_cds_XP_023954740.1_1 [gene=LOC112058262] [db_xref=GeneID:112058262] [protein=muscle, skeletal receptor tyrosine protein kinase isoform X2] [protein_id=XP_023954740.1] [location=389..2053] [gbkey=CDS]</t>
  </si>
  <si>
    <t xml:space="preserve">ATGAGGAAGAAAAATCAGTTTGAAACTTCGGAAAAGCCGAATAGGAAACGGAAGCCATTGCGAGAAAGAACAATGAAGTTAGCAAGAGTCGCAAGAGAAGAAGCAAGGCCGAAGTCATCACAAAATAATACTATAACTTTTATCCACGGGACTTGCGAAAAGTCATCGTGTGGGCAAGAGGCCGCCTGTGTCCTACATAACACCACAGTATACTACTGTGTCTGCACCACCAATGGATTACCTGCTGTTGATGGCGCATGTCCTAGAAGTACAGTACCACTAATGCCTAAGGCTATCCACAATGTGATCCCGCCGCGGCAGTCCAACGCCACGGAGCCTCGCTATACGTCCTCCTCGCCCCCGCCGATACCGAAAACGAGCAGCGAAATGTTCACGGAACCGACGGCGGGCAGTGAAACAGTGATATCCGGCTCCAACCCTTACTCGACGGCGAGCGTGCCGCTGCTCATAGGCATGGTGACGGGCTGCGCAGTGTTGCTGCTGCTAGTCGCACTCGTGTTGATCTACCTCAGAAAACGTATTTGTAACGTCGATAGAAAAGTCAAGCCGTACGGGGTCTGCGGCGCGGGCACGTTGACTCCGATGGTGGTGCCGGGGACTCCAGCGCCGATGCCGGCGAAGGCCCACGAGCCCGAAGTCACGCTTCTGGAGAGGAGCGCCCTCACATTCTTGGAGGAGGTTGGGGAAGGCTGCTTTGGAAAGGTTTACAAAGGTGTTCTCAGGGGAAGGGGCGCGGAAGAAGTTGTTGCTATCAAAGTGCTAAAAGAAATAGCAGGCCGCAGTGCTGAACAAGACTTTATGAGAGAAGTTAACATCATGTCAGCATTTCGACATCCCAACATCTTATCACTTATTGGAGTTGTTTATAAAGATGATACTAATGTGAGTCCATGGATGGTCTTCGAATACATGAAATGGGGAGACTTAGCAGGTGTCCTGCGAGGTTCACGTGGAGGAAGTCGAGAGCAACCGACACTCGATGAGTCAGCTTTATTGCACGTGGCACTTCAAGTGGCACGGGGCATGCAGTATCTGGCTTCCAGACGTTTTGTACACAGAGACCTCGCTGCAAGAAACTGTCTAGTCGGAGCCAATTTGGCAGTGAAAATTGCGGACTTTGGAATGTCTCGAGACGTTTACACTTGTGATTACTACAAGATGGGCGGTGAACGACCTATGCCGGTTCGTTGGATGCCCCCCGAAAGCATCGTGTACGCTCGATTCACCCACGAATCAGATGTTTGGTCATACGGAGTAGTCCTTTGGGAAATATACAGCAGGGGAAAACAACCGTTCTATGGCTGTAACAATTATGGAGCTACCAAAAAAATCTTGCGGGGAATTTTATTAGTTCCCCCCGAAGACTGTCCACGATTCGCATGCGAACTGATGCGTGCATGTTGGGCGATAGATCCCAGAGACAGGATAGGATTTGATGAATTATGTAGTAAATTAGAGACTGCACAGGCGGAGGGAGGTTCCGGGGCGCAGATAAGGTTACCGCGACCACCGGCCACGCCTTTAGATTCAGCTGGCTATTTGGTTCCAAACACGCCACCGGGAGTTGATTATTTGAAACCCCTGCCTGACCAAGATCCGGAATCTGATTTCAGCGATGATGATGACGACGAAGAGTACACCTGA</t>
  </si>
  <si>
    <t xml:space="preserve">T126</t>
  </si>
  <si>
    <t xml:space="preserve">HP8</t>
  </si>
  <si>
    <t xml:space="preserve">&gt;lcl XM_052886504.1_cds_XP_052742464.1_1 [gene=LOC112044672] [db_xref=GeneID:112044672] [protein=CLIP domain-containing serine protease HP8] [protein_id=XP_052742464.1] [location=171..1322] [gbkey=CDS]</t>
  </si>
  <si>
    <t xml:space="preserve">ATGGTGACCTTCAAAGTTTTATTTTGCCTATTTGTGCTCTCTGAGTGCCAAAATTTGTTTACTTCCGCACGATCTCGTAACATGCGACGATGCTTCGATTGCGTTTCAGTGAAATCGTGTGAATCAGCCGTTAAATTTGCTACCATGCTACACCAAGGATCTCTGCCTGAAGAACAAAGAGAAACGTTTTATAAAGCCGTGTGTGGTTACGATGCATACGAACCTAATGTACCAAAGGTGTGCTGCTCGGACTTTCCCATGATAAAAACAGCGGCAATGCACCCACGAATGAATCGAGGAAGTAGTGAAGAAACTAACCTCGAGGATTCCATTGAAACACATCCTAATGTCGATCTGCTGCCAAGCATCTGCGGAGGCATTGACGGAAGACGCATTATCAATGGTCACGTCGCTAAGTTGTACGAGTTCCCCTGGATGGCTCTCATCGCTTATAACACAAGTATAGGTACGCAGTTCCATTGCGGTGGGAGCGTTATCAACTCAAGATATATTCTGACAGCTGCTCACTGCACTATCAATGTATATACTGGTGAATTTAAGAAAATAGCTGGCGTACGAATTGGGGAGATAGATTATAATACAGATTTTGACTGTCAAGGAAGCTACCCGGATAGAATTTGTGAATCTAAGATTCAGGATATGTACGTGGAAAAAATAATACCCCATGAAAATTTCTTTGCACAACAACCAAAGGCAGATATTGCGCTTCTTCGCCTTGCTGATCCAATTACTATGTACAAAAATGCGGCTCCAATATGCCTGCCAGTGTACAGTGAGCTACGTAACGTAAACCTCACGGGCCTTAACGGAACTGTGGCTGGCTGGGGAGCTACTGAGAAGGAAACACAATCCACTATACTACTGAAGGTCCAAGTTCCAATTAACACTGATGGTGCCTGCGCCCATGACAATAATAACGGAATACTGTGCGCTGGTGAAGAATTGAAGGACTCTTGCGAGGGTGACTCGGGAGGTCCTCTTATGGTAGAGTCGGACTTCAATGGTTCTATACGGCAGGTTCAATACGGCATCGTTTCTCGAGGTCCCCGGACGTGTGGATCAGAAAACCCTGGAGTTTATACAGATGTATCGAAGTATATGGATTGGATATTAGACAATATTAGGAAATAG</t>
  </si>
  <si>
    <t xml:space="preserve">T127</t>
  </si>
  <si>
    <t xml:space="preserve">ms-hox</t>
  </si>
  <si>
    <t xml:space="preserve">&gt;lcl XM_024085133.2_cds_XP_023940901.1_1 [gene=LOC112047859] [db_xref=GeneID:112047859] [protein=muscle segmentation homeobox] [protein_id=XP_023940901.1] [location=697..1509] [gbkey=CDS]</t>
  </si>
  <si>
    <t xml:space="preserve">ATGAAGACGTCGATAGAATGTGAGCGGTCGGAAGCCGCGGAGAGCGGGGGAAAGGGACGGATATCCTTCAGCGTAGATTCCCTCCTGGGGAGTAAGAGCGAGACGCCTAGAGACACTCCGGACGCGATAAGCAATGACGCGGAAAGCGCAGTCGAAACGGATGATAGTGATGTAGATATAGAGGACTTGGAGTCGAATGTCGGTGATGAACGCGATGAACGAGATGCTAATGATGGTGATGAAACTGAAGTTAAGGGGGTGGTGGTGCCACAACCCCTTCTGCCTAGGTTGTACCAGGGTCATGCGGCGCCGAGTTGGCCGTTTGGGGGGTTTCCGTGGATGACTCCTAACCCCATGTTTCGAGCTGGATCGCCCGGTGGTCCCCCTGCCGGTCCACCAGTGGTACGCTGCCAGCTCCGCAAGCACAAACCCAACAGAAAGCCGCGCACTCCCTTCACCACGCAGCAACTCCTGGCGCTGGAGAAGAAGTTCCGAGACAAGCAATACTTGAGCATCGCTGAGAGAGCCGAGTTCTCTTCTTCACTGCGACTAACAGAGACACAGGTCAAAATATGGTTCCAGAACCGGCGCGCAAAAGCCAAGCGGCTCCAAGAAGCGGAAATCGAGAAGCTTCGTCTATCCGCGAGGCCCCTTTTACCACCATCCTTCGCCCTGTTCGGTGGTGGAGGGGCCCCGCCATTGTTTGCAGCCATGGCCGCGGCTTCCAGGCCTCAGTTGAGCTTCCTGGGAGGCCCGCCCTCCCACCAACACGCGATAAACATGAATATCCTGAACTCCTTGCAACCGCATTGA</t>
  </si>
  <si>
    <t xml:space="preserve">T128</t>
  </si>
  <si>
    <t xml:space="preserve">sm1a</t>
  </si>
  <si>
    <t xml:space="preserve">&gt;lcl XM_024080454.2_cds_XP_023936222.1_1 [gene=LOC112044583] [db_xref=GeneID:112044583] [protein=U-scoloptoxin(19)-Sm1a] [protein_id=XP_023936222.1] [location=100..450] [gbkey=CDS]</t>
  </si>
  <si>
    <t xml:space="preserve">ATGAAGATCGCTGTACTCGTGATTGTGGTGTTAGGAGTTGTTAGTGCAAATGAAGCGGACTTAAGGATCATAGATTCGATCGTGCAAGAACAGCCGTGCATCCACATGGGTGGCATTTGTACGGTCGCGGAGGACTGTCCCAAGGGCCACCTCGCTGAGAAACCAGGACTGTGTCCAACGCAGCGCAAGCAGGGGATCGACTGTTGCCATGGAGTATCCTTGAAGGAAACGAGATGTGAAAAGCACGGTGGGGTCTGTATGACCCATGCGACGTACTGCAACCCTCGTCTTATATTCGACGGCGCCAAAGACTGTCCTCAAGACCACCATTGTTGTATTATGACTCTTTA</t>
  </si>
  <si>
    <t xml:space="preserve">&gt;lcl XM_024086594.2_cds_XP_023942362.1_1 [gene=LOC112048892] [db_xref=GeneID:112048892] [protein=androgen-induced gene 1 protein] [protein_id=XP_023942362.1] [location=107..844] [gbkey=CDS]</t>
  </si>
  <si>
    <t xml:space="preserve">ATGTCGCGCGCGTTGTTACATTTAAGTGTAGCATCACTAAATACATTCGTAATGTGGTACGATCAAACGTATATAACGTTTCCGTTTGCTGTTAAAGAGATGGAAGGATTTCCTTTGAAATCGAGGAGCATGTTTCTAACTATATGGTGTTTGATTTTGCAAACAGTGTACCACTTCGTCGCATTCCTGAATGACGTCTTTGGAACGAACGCTCAGTCACCGAAAAAGACGCCTGTAATCCGGCAAATTAAAGACACCATCTTCTCCCTTGCTTTCCCAACAGCAATTTACGTGTCTATCGCATTTTGGAGCATATACGCCATAGACAAGGAGCTTATATTCCCGGAAAGAATTTCCAAATTATACCACCCAGCGCTCAATCATGTTATGCATACAACTGTGTCGTTATTTATTATCATTGAATTGTTCACATCATACAGAAATTATCCCTCAAGAAAAGTGGGTTATATGGTAACATTTTCTTTCTATATATCGTATTTAGTATGGTTCTTTATTGTCTATGCCAAAACGGGTGCATGGGTATACCCTGTGTTCCAACCTTTGAATTGGCCAATGAGATTTTTATTCATTATCTTAAGTGTAAGTGGTGCTACTGGTTTATACATTTTGGGTGAGAAAATTAACAATCTTGTATGTAAGACTCGTAAACAAAGTTATACCAATGGTACTAGCAATGGTACGACAAATGGTACGGCTAAGGCTAAGAAAAAATCATAA</t>
  </si>
  <si>
    <t xml:space="preserve">&gt;lcl XM_024086515.2_cds_XP_023942283.1_1 [gene=LOC112048837] [db_xref=GeneID:112048837] [protein=fork head domain transcription factor slp2-like] [protein_id=XP_023942283.1] [location=94..1053] [gbkey=CDS]</t>
  </si>
  <si>
    <t xml:space="preserve">ATGGTGAAGTTCGAAGGAGATTTCAGTATAAACGCCATACTGATGAACCACGCGGCGGCGAAACCTCCCCCCTCGCCCGCCGCGTCCTCCACCGCCACCCCGTCGGAGGCCGACCTCAGCGACTCCGAGCTCGACGTGACGGGCACGGAGCCGGTCGACTGCACCAAGCCCAAGGAAGACGACGACAAGAAGGACAAGAAGCACGAGAAGCCGGCCTACAGCTACAACGCCCTCATCATGATGGCCATCCGCAACAGCCCGGAGAAGCGGCTCACGCTCAACGGCATCTACGAGTACATCATGACCAACTTCCCCTACTACCGGGAGAACCGGCAGGGCTGGCAGAACTCCATCCGCCACAACCTCAGCCTCAACAAGTGCTTCGTGAAAGTGCCGCGGCACTACGACGACCCCGGCAAGGGCAACTACTGGATGCTGGACGCGTCGGCGGAGGACGTGTTCATAGGCGGCACGACGGGCAAGCTGCGCCGCCGCTCCGCGCTCACGGGCCGCTCGCGCCTCGCCTGCTTCAAGCGGCCGCTGTTCCCCGGCGCGCCGCTCGCCGGCCCCTACCCGCCGGCGTACACGCAGCTGGTCGGCCTGTACTCCCAGCTGCTCTACCAGCGGTACGCGCCGATGCAGATGAAGACCCCGCCGGTGGCGCCGAGCGCAGTGCACCCCGCCTTCAGAGACATGGGCTACAACGGCCTGCCGTATTCGCCAGCGCTGTACTCCCCCGAAAGGCTGCAAGGCGCTCCGTTCTTCGGGCAGTCTCTGATGCAGAGCTCTCAGCTGGGGTCCGCGGCGATGGCGCAGACGTCCCCGCTGCTGCCGCCGTCCCCGCCGATGATGCACTCGCCCCCCACGTCCGGCTCGTCGAGCCCCGAGCTCCCGTCGCCGTCGCACCACCCGCTGACGCCGCACATCTACAAACCTGTGACAGTTCTGACGCGGCAGTGA</t>
  </si>
  <si>
    <t xml:space="preserve">&gt;lcl XM_024090859.2_cds_XP_023946627.2_1 [gene=LOC112051985] [db_xref=GeneID:112051985] [protein=juvenile hormone epoxide hydrolase-like] [protein_id=XP_023946627.2] [location=89..1483] [gbkey=CDS]</t>
  </si>
  <si>
    <t xml:space="preserve">ATGGTGTTCCGTCTCATACTGGTTGCCATATTGGCTTCGGTGGCAGCGGTGCTGTTGCCGCTGTCGTATCTGTACCTGAAGAGCACGCCGCCTCTGCCGGAGATCGTCCTCGACGAGTGGTGGGGCTCCGCGGTGCTGAGGGACAGCGTCACTGAGGACATCAAGCCTTTCAAAGTGAAGTTTAGTGAACTGCTGGTGAGAGACATCAAAGCCCGCCTGAGGGACAAACACCCGCTCGCGCCGCCTCTAGAGGGCGTCGCCTTCGAATACGGCTTCAACAGCAAGCAGCTCGAGACCTGGCTGAAGTACTGGGCTGACGAGTATCCGTTCAGTGAACGCGAGAAATTCTTCAACAAATACCCGCATTTCAAGACTAACATACAGGGGTTGGACATTCACTTCATTAGAGTAACGCCCAATGTCCCCTCCGGCGTGGAGGTGGTGCCACTGCTGCTGCTGCACGGCTGGCCGGGGTCGGTGCGCGAGTTCTACGAGGCCATCCCGCTGCTGACCTCGGTGACGAAGGACCGGGACTTTGCCATCGAGGTCATTGTACCCAGCCTGCCTGGATATGGGTTTTCCAGCGCAGCCGTCCGCCCCGGCCTGGGCGCGGACAAAATGGCGGTTGTGTTCCGGAACCTGATGCAGCGACTGGGCTTCAAGAAGTATTACGTGCAAGGAGGCGACTGGGGTGCTATTATCACCAAAGACATGGCAACTTTCTTCCCTGAGGAGGTACTGGGCTACCACACCAACATGCCCGCCACATTCTCTCCGCTGTACACTTTCTACACTCTGCTGGGCGCCGTCTTCCCGTCGCTGGTGGTGAGCGCCGAGCTGCAGGACAGGATGTACCCGCTGGCCAAGGTGTACGGGAACCTGCTGGAGGAGACGGGCTACCTGCATTTACAGGCCACTAAACCTGACACGATAGGTGTAGCGCTAGCAGATTCCCCAACAGGCCTTGCAGCGTACATCCTGGAGAAGTTCTCCACGTGGACCAAATTGCAGCACCGTCGGCAGGCTGACGGAGGCCTCACCTACCGCTTCACGAAGGATCAGCTGCTGGACAACGTCATGGTGTACTTCGCGACTAACTCCATGACCTCAGCCATGAGGCTTTACGCCGAAACCTTCAACTCTAGATATTTTAACTTGCAACTTGACGATATCCCATCTCCAGTTCCAACGGTGTCACTCCAGGCGAAGCACGAGATCTCGTACAAGCCGACCTGGGCCATCAGGAAGAAGTTCCCCAACCTCATCCGCAACACGGTCCTGAGTGACGGCGGCCACTTCCTTGCCTTTGAGTTGCCGCAGGTCTTCGCCGATGACGTCATCAAGGCTATCGCGCAGTTCAGGGCGTGGCATAAGAATAACAGAATTGAGTTATAA</t>
  </si>
  <si>
    <t xml:space="preserve">&gt;lcl XM_052882629.1_cds_XP_052738589.1_1 [gene=LOC112058222] [db_xref=GeneID:112058222] [protein=lebercilin-like protein] [protein_id=XP_052738589.1] [location=1..1833] [gbkey=CDS]</t>
  </si>
  <si>
    <t xml:space="preserve">ATGTCAGAGCTTAGCCTCGTCCCAGAAGAGAAACGACGAGATCAAAGTTTGTATTGCAGGGACTCACTGGAGAGCGTGTACAGTAGCAACTCCCGCCTCAACCTCCTGCACAAGCGCAAGCGACTCAACCTGTGCGTGGGCATGTCCAACCAGTCGCTCAACCACAAGGGTGACAGATACGTCACCCAGAGGGTGCTCTCCGCCAAGACCCATAGGGTGAAGCAGCTGCAGAATCAGTTGGCTGATGCGCACTATCATTTACAAGAACTTAGCAACGAAAATCGAGTGTTACGTGCTCTCCAAAAGAAACAAGAAATCGCGTTACAGAGATACGAGAACTCGAACGCGGAGCTGCCCCAAGTGCTGAACTCCCACAGCGAGGAGATGCGCGTGCAGCAGAGCCGGTACAAGCAGCTGAAGCAGCAGCACCGGGACGCGGCGCAGCGGCTTAAGGAGCGGGACCTGCAGCTGCAGCAGCTGAGGGATGAGCACCAGCATCTGTTGGACTTGAGCAAGGACAGGAACTTGTTGGAACGCGAAAAGCTGCAGGCTCAGGTGGTTGAACTGACCGCCAAAGTGCAGCAACAGGGTGAAACTATCAGCATGCTGCAGCGACGCATCGCGCTGGAAGCCAAGAACTTCAGGCACCAGCTGCAGGCGGAGATCAATAAGCACAAAGACACGAGACACGACCTGGACCTGGCCATCACTAACGCTGACAAACTATCCACTATTATCGAGATGAAGGAAAAGATGATAAGTACAGTCGCAGGCAGAGCAGTGAAGTCTCCTACAAAGATTCCGTCTACCATCAACATTGCGAGACCGATTAGCAAGAGTGGGAGAGAGGCTGCCAGAGGGACTGACGAGAGATCGAATATAATACAGTTAGAACAAAACCTACTCGCCAAGCTATGTGAGAATTCACGGAATGTCAGTAGTTCACTATCGCACGAGGAAGACACAAGCTCATCCACAGAACCTCGCTCTAGATATGTCTCCTCTCGAAGTTCTACCAGCACCCGAACAACGCCGAGCCAAAACCAAAACCGAAAAGGATCAAAAGGTTCAGACGAAATAATAGAACTAGCAAAAACAGTACAAGAAGGCATGGCTGACCTCACGATAGTTGACGACGATTTAAGAAATTCTACTCCTGAGGAAATGCAGAAAAGAATGGAAGCAATGAAGGCTGATTTGTTAAATAAAATGAAGAATAACGAAGAACCCGGTTCTAGAAAGCCTAGTGCTTTGAGAAGAAAATCTATGGAAGAGTCCATTGAGGAACACATTGAAGAAGTTGTGATAGAACGTCCGAAATCCAGAGGAAGAAGAGGTTCTACGGTTTCGTTTTACGACAGTTCAAGTTCTGAAATGAACGCAGCAAGTAGCAGTACTGGTGATGATGAGAAAACATTGTTAAAACGTGAGCTTAGCATAACTGATAAGAAAGCTACCGGGAAACCGATAGACAAATATTGCAAAGACATCATTCAAGATATAGAGAAGAGCAGCAAAGTGATAGATAATCACATGAAACAGTTCACACAAACAAAATTCGCTAGTGATAAATTGATCGAGCAATTGCAAGCGGTTGACACGTTGAATGAATTTGTGAACGGTGGTGGAGACATACCACCAGAGGCATTCAGCGAAATGAACAATAATTTCAAAATGCTCTCCGAACAAGTTTTTTCTGAAAATGTTCCAGTGGCCCGTAAACGCAATCTTTCTGGAAGAAAAAACTCCCGTATAGAATCTAGAACCAGTTTCCTCGGTGACTCCAATATGAGTAACCAGGATTTGCTCGAGGATTTGCTGGGCAAGAAATGA</t>
  </si>
  <si>
    <t xml:space="preserve">&gt;lcl XM_052891357.1_cds_XP_052747317.1_1 [gene=LOC112048682] [db_xref=GeneID:112048682] [protein=iroquois-class homeodomain protein irx-5] [protein_id=XP_052747317.1] [location=345..1181] [gbkey=CDS]</t>
  </si>
  <si>
    <t xml:space="preserve">ATGACACTCATCCAAAGGCCCAGTGAGGCTAAAGTGGAACAAATGGATGGTCCGAAGGAAGACAACGGGAAGTCTATGAGACCAGTGAGGAACAGGCGATACACAAGGAGATGTCTAGTAGCAGGCCAGCGGCCACAGAAGAGGCTCTTCACTCCAGAAATAAAACGCTATTTGAAAGACTGGCTCGTGAGGCGAAGAGAAAATCCTTATCCGAACCGCGAAGAGAAAAAACAATTATCTCGCGAAACAGGTCTCACGTACATACAGATATGCAATTGGTTTGCTAACTGGCGCCGAAAGTTGAAAAACGCTAACGCAGATCGGAACCAGCTGACTTGGGGACATCTCATCCGCACTTATAATGACAAAGCCCAAGGCAACGTGGAACAGTTTAGCATCTGCTCCGATGACAGCATTTGGAGCGAACCAGAACCTACCAGCCCTGGCTTTGAAACCCTAGAAACAGATGAAAGATTGGAACAAAGCCCAGACTCTGTGAACTCCTACAAGCAGGAAGACACTGATGAATCCTGCACATCACAGGACAAATACGAAAATTTCAACAACAATTCCAACGAAATAGAGCCTTGTGATACAGGCAACTGCAACAGCAAGGCCATTCCTAGTCCTGTACTTCTAAGCAAATGGTTGGAGAGTGCAGCGAGATTTCAGCCCAGCGAAACAAATTATTCTTGGTGGGCGGAAGGAAGAAGATGGAAGCAAGAAAGGAAAATACAACGGACAGACGTTGCGCTCAGGCATGACAGAGACGAAGTGGAAGCAGCAGTGGCGCTGACGGCACTAGCTACAGCCTCCAGTCGCCTCACTGCGCTATGA</t>
  </si>
  <si>
    <t xml:space="preserve">&gt;lcl XM_024099324.2_cds_XP_023955092.1_1 [gene=LOC112058471] [db_xref=GeneID:112058471] [protein=carbonic anhydrase-related protein 10 isoform X2] [protein_id=XP_023955092.1] [location=409..1323] [gbkey=CDS]</t>
  </si>
  <si>
    <t xml:space="preserve">ATGTACAACCTTCTTGGTGCGGTAACAGCGTCGGTTATACTGCAGATATTACTTTCTTGTACAGGGCCGGCGTTCTGGGGGCTGATCAACCCCGAGTGGTCGCTATGCAACAAGGGGCGGCGGCAGTCCCCCGTCAACTTGGAGCCAGAGAAACTACTGTTCGATCCAAACCTACGATTTTTGCACATAGATAAGCATAGAATAAATGGTCTAATAAGTAACACCGGTCACTCAGTAATCTTCACAGTGGAGAACGAGACCCGCCACCACATCAACATAACGGGGGGCCCTCTCTCATACAAGTACCAGTTCCATGAGATCCACATACACTATGGGCTTCACGATCAGTTCGGATCGGAGCACGCCATCAATGGCTACTCATTCCCTGCTGAGATTCAAATATTCGGTTTCAATTCACAACTATATTCAAACTTCTCAGAAGCTCTTCACAAAGCTCAAGGAATCGTCTCAATTTCTTTACTGCTACAACTTGGAGATTTATCAAATCCCGAGCTCAGGATATTAACGGAGGAGTTAGAAAATATAAAATACGGAGGAGCGGAGATGCCAGTAAACCGGCTGTCGGTGCGAGGCCTGCTGCCAGACACCGACTACTACATGACGTACGACGGCTCGACCACCGCGCCCGCCTGCTACGAGACAGTCACGTGGATTATTGTCAACAAGCCCATTTATATCACTAAACAACAGTTGCACGCCCTAAGGCGCCTGATGCAGGGAGATGCGCGGCACCCGAAGGCTCCACTCGGGAACAACTTCCGACCTCCACAGCCTCTGCACCACCGCGCTGTGCGGACTAACATTGACTTTGACTTGAGCAAGTATCCAGGCAAAACTTGCCCCAGCATGCATCGGGATATGCATTATAAAGCTAAAACCTGGACTCAATATTGA</t>
  </si>
  <si>
    <t xml:space="preserve">&gt;Mothers_against_decapentaplegic_homolog_4_Bany_17230-RA_B3</t>
  </si>
  <si>
    <t xml:space="preserve">ATGAACACTACAGCACCGACATCGGCAGATGCCTGCCTCAGTATAGTCCACTCCCTGATGTGCCACAGGCAAGGGGGTGAGAGCGAGGGTTTCTCCAAGAGAGCTATTGAGTCACTAGTCAAGAAGTTGAAGGAAAAGAGAGATGAATTGGACTCCTTGATCACAGCCATCACCACTAACGGTGCTCACCCTAGCAAATGTGTCACTATACAACGCACATTAGATGGTCGGTTACAGGTAGCAGGAAGAAAGGGTTTTCCTCACGTCATCTACGCCCGTATATGGCGCTGGCCGGATCTCCACAAAAATGAACTGAAACATGTGAAGTTTTGTCAGTTTGCATTTGATCTCAAGTGTGACTCAGTGTGCGTTAACCCTTACCACTATGAGAGAGTTGTGTCTCCAGCGCCAGATGGCGTTGCGAATATGTTTTCCCCACACGGCCCGCGGCCCTCGATGCGACCGGGAGCGCCATTGGTGCCGCCACAAATGGTGCACTCGCCTGGCGCGCAAATGCTAAACCACCAGTCGAATCAGATGCCAGGCACACCGCAAATGGGGCCGGGGACACCGCAAATGGGTCCGGGGACACCGCAAATGGGACCGGGTACACCACAAATGGGGCCGGGCACACCGCAGATGGGGCCGGGCACACCGCAAATGGGACCAGGGCCGCCTCAGATGGGGCCGGGGACACCGCAGATGGGGACAAACGTGCCGCAGATGGCGTCCCCGAGAATGGCGTCGGCTCCCACACAGATGTCCCCGGGGACGCCCCAGATGCCGAGTATAAGCCAGGGCATGTCTATATCGAGCCCCCAACAAATGGCAATGGCGCAACAGAGAGCTATACTCGCCCCAAAACTGGAACCGCCCGATACAATGGACGCGCGCGCGATGTACTCCCCGGGGTGCCGAGATGTGACGGGCGAGGCGGGGGAGGCGGTACATGGAGCCGGCTGGCGGATTGACGAAGATGGTGACGCGCAGATGCGTACATGGACAGGCAACAACACACTAACATACACGCAGAGCTTGGCGCCGCCGCCGGCCGCCCCGCCCGTGCCGGTTGATGCGCCTGCGCATCATCATCATTATTATAATGGTAATCCTGGTGGTTTGCTGTCGAGTCAACCAGCCCCAGAGTATTGGTGCTCAGTGGCATACTTTGAACTGGACACACAAGTGGGAGAGACATTCAAAGTGCCTTCTAGTAGGCCCAATGTTACTGTTGACGGTTACGTTGATCCTTCTGGCGGCAACAGATTTTGTTTAGGAGCCCTAAGTAATGTACACAGGACAGAGCAGAGTGAACGAGCTAGGCTCCATATCGGTAAAGGCGTTCAGCTGGACCTGCGCGGCGAGGGCGACGTGTGGCTACGGTGTCTCTCAGACCACTCGGTGTTCGTGCAGTCGTACTACCTCGACCGGGAGGCGGGCAGGGCGCCGGGCGACGCTGTGCACAAGATATACCCGTCGGCTTGTATTAAGGTATTCGACCTCCGGCAGTGCCACCGTCAGATGCAGACGCAGGCGCGCACGGCGCAGGCCGCCGCCGCCGCGCAGGCCGCCGCCGTCGCAGGACACATACAGCCTGCGCATCCTGGGATGAACAAATGTCTATCAGCTGCCGCCGGCATCGGTGTAGACGACTTGCGGCGGCTCTGCATCGTGCGACTGTCGTTTGTGAAGGGCTGGGGACCCGACTACCCTCGGACCTCCATCAAAGAGACCCCCTGCTGGGTTGAAGTACATTTACACAGAGCATTGCAACTTCTGGACGAGGTGTTGCATACGATGCCCATCGACGGTCCTCGGACGAGCATCGAGTAG</t>
  </si>
  <si>
    <t xml:space="preserve">&gt;lcl XM_024090818.2_cds_XP_023946586.2_1 [gene=LOC112051959] [db_xref=GeneID:112051959] [protein=protein Star isoform X2] [protein_id=XP_023946586.2] [location=154..1116] [gbkey=CDS]</t>
  </si>
  <si>
    <t xml:space="preserve">ATGAAAATACAAGAAAACCCTCTACCCGAGACTCCTGAGCATGAAGCACAGACATCAGAAACACCGGAAAAAACAAAAGATCTCCCCCCCAGTCCCATACCAGTGAAAATAACTCCCCCCACCCCAGTCACTCCGTCACCAGTGTCCCGAGTCAGCATCCCCTCGTTCACCAAGACTCCTCCCAATGAACTGTACCGGAAGCTGTTGCCTGCAGTGTTGTTCCTGCTCACGTTTGTCACTGTCATGACAGTGCTGCTGATCTATATGGATACTGTCGCTTTGGGAGCGCAGCAGTTCCGCCTGAACATGTCGCGGGACTACGAGCTGGCGCGCATCCCCGCCGAGTCGCCCACGCTGGTGGCGTACGTGCGCCAGCTGCACCTGGCGCCGCGCGCGCCGCGCACGCCGCCGCCCACGCCCACGCCCACGCCGCGCGTGCGTGCGCTGGACCGGCTACTGGGGGAGATGTACAATGGTACTCTGGTAGAGTTTCTCCCGCGCGGCGGGCGGGACCCCACGGCCGCCTACCTGGAGACGGTGCGCGGCTGGAGCGGCGTGGCCGTGCGCGCCGCCCCCAGGGACTTCCTGGCGCTCCGGGGCGCCGCCAGAGCCCTGCACGCTTGCCTCAGCCCTACTGATCATCCTAGAGAGGTGAGCTACGAGGAGGCGGAGGGCGGCGGCGGCGTGTTCCGCTCGCGCGTGCTGTGCCTGCCGCTGCTCACCGTGCTGCTGGCGGCCGACGCGCCGCGCGCCGACTACACCGCGCTGGCGGGCCCCGCCGCGCCGCGCGCGCTCGCCGCGCTGCCCTACGACCGGCTGCGACTCAAGGTGATCGACTTCCGGTCCACAGACCCGGTGGCGTTGAACAAAACGACGGAAGTGCTGGAGGCGAACAACTACACCGTCGCCGCCACCTTCGACGACGGCATCATGTACGCGCTCAAAGACATCAGGCAGGAGTGA</t>
  </si>
  <si>
    <t xml:space="preserve">PPO1 (loc112056593)</t>
  </si>
  <si>
    <t xml:space="preserve">AAGAGTGATGTTTCGCAACTTGAAATTTGGAGAGACCGTTTCCTTAAAGCAATTGAGGACATGGCAATCGTTCTACCAAACGGCCGTACAATGCCACTCGATGAAGAAACTGGTATAGATGTGCTCGGAAATCTTATGGAATCGTCTATTATTAGCCGTAACCGCGGCTACTATGGTGATTTGCACAATATGGGGCACGTTTTCATCTCATATTCCCACGATCCTGACCACAGGAACTTGGAGCAATTTGGTGTCATGGGTGATTCGGCTACTGCGATGCGTGATCCCGTATTTTACCGTTGGCACTCATACATTGATGACATATTCCAGCTCTATAAGAACAAACTTCCTCCTTATCCCGCAGAAAGGTTAGATTTCCCAGGTGTCAGAGTAACGTCAATCGGCGTCGAAGGAGCTAGTGGCGCTAATATATTAACGACCCAATGGGAGCAAAGCACGGTAGAGCTTGGCCGAGGTCTCGATTTTACACCACGTGGTTCAGTGCTAGCGCGTTTCACACACTTGCAGCATGACGAATTTAACTACGTTTGTACCGTTACAAACTCGAGTGGTTCAGATTTGATGGGTACAGTGAGAATCTTTATGGCACCAGTCCTGGACGAGGGTGGCCGCCAATTGTCATTCGATGACCAGCGCAGACTTATGATCGAACTTGATAAATTCACGGAACAATTACCAGCTGGCTCTAGAACAATTCGTCGCCGAAGTTTGGACTCCTCAGTCACTATTCCATACGAGAGGACCTTCCGTAATCAAAACACCCGTCCTGGCGATCCAGGTTCTGCTGAGGCTGCTGAGTTCGATTTCTGTGGCTGTGGATGGCCTCATCATTTGCTGATACCCAAGGGTACTGACAATGGATACCCTGTTGTACTGTTTGCCATGGTTTCCAATTGGAACGATGACAGAGTTATTCAGGATTTGGTGGGCAGTTGCAACGACGCGGCTTCATACTGTGGTATTCGTGATCGCAAGTATCCTGACCGTCGTGCCATGGGTTACCCCTTCGACCGCCCCTCTCAAGCGTCTAGCATAAATGACTTTTTGACTCCAAATATGGCTATTCAAGAATGCTCCATCAGATTCACTAACG</t>
  </si>
  <si>
    <t xml:space="preserve">&gt;vestigial_B4</t>
  </si>
  <si>
    <t xml:space="preserve">ATGGCGGTGAGCTGCCCCGAGGTGATGTACGGCGCCTACTACCCCTACCTGTACGGCCGAGGCGCCGCGCGCTCCTTCCACCACGCGCCGCACTTCCAGTACGACCGGTTGAACGTGCAAAGCTCGGGCAATGCCAGCGCAGAGTACGCGGCCGCCGTCGGCTCGGGCGTGTCCGGCGCGTCGGGCTCGGCGTCGTCGGGCGCGTCGGGCGCGCAGTCGCCGGGCTCGCCGCCGCACGCGCACCACCTGGCGCACGCGCACCTGGCGCACCACGCGTCGCCGCGCCTGCGCGCCAAGGAGGAGGACCTGTCGGCGCACGGCCGCAACAGCGCCGACGCGTCCTCCGAGTCGGAGGGCGAGTGCGGCGGCGCGGCGCGCGCCCGCGCGCAGTACGTCAGCGCCAACTGCGTGGTGTTCACGCACTACTCCGGCGACGTGGCCGCCGTCGTGGACGAGCACTTCGCGCGCGCGCTGGCGCTCGACAAGCCCAAGGAGGGCGTCCCGCTGTCGGCGCGCAACCTGCCCGCGTCGTTCTTCAACGCGGCGGCGGGCGGCGGCGGCGCGTGCGCGCTGGAACTGTACGAGTACGACCCCTGGCACCAGCACTACGGGTACAACGCGCACCGGCACGCGGCGGAGTACCACGCGCACCACGGCATGGCGGCGGGCTACGGCGGCCTGCTGCTGGGCCGCGGCTCGCTGCACGCGCAGTACAAGCCGGTGGAGTGGCCGCACCACGCGCACCACGCGCACGCCGCGCCGCACCTCGACCCCGCCGCCTGCTCGCCCTACTCCTACCCGGCGCCGCCAGGTCTGGAGGCGCCGGTGCAGGACACGTCGAAGGACCTGTACTGGTTCTGA</t>
  </si>
  <si>
    <t xml:space="preserve">&gt;Antp_BANY.1.2.t02571</t>
  </si>
  <si>
    <t xml:space="preserve">ATGGAGGGCTGCGACCAGCAGCTCAGGCCCGGGCAGCACCACTACCCCGCGCAGCCCGCCCCTGGCATGCCTTACCCCAGGTTTCCGCCCTACGACCGGCTGGGCTACTACCAACAGATGGAACAGAACGGGTACCGGCCCGACAGTCCGACCCAGATGCACATGGGGCCGAAGTCCGACGGCTACGGGCCCAACGGCCACCAGCCGCCGACGCCGGCGGTGTACCCCTCGTGCAAGCTGCAGGCGGTGGCGGCGACGGCGGGGGGAGTGCCGGGCAGTCCGCCCCTGGAGCAAGCCCAGCAGATGCCGCACCACATGCACCCGCAGCAGCACATGCAGCACGGCATGCCGCCGCACCAGCAGCACGTCATGTACCCGGTGGACGACATGCAGCACCAGACGCAGATGCCGCCCATGCACCAGCAGTCCATGCACCCGCAGCAGGCGCCGCCTCAACAACCCCCGCCGAATACGAACGCGTCGCTCCCCAGTCCACTGTACCCTTGGATGCGAAGTCAATTTGAACGAAAGCGGGGACGGCAAACGTACACCCGGTACCAGACCCTCGAGTTGGAGAAGGAGTTCCACTTCAACCGATACCTGACGCGGAGGAGACGGATCGAGATCGCGCACGCCCTCTGTCTCACCGAGCGCCAAATCAAGATCTGGTTCCAGAACCGGCGCATGAAGTGGAAGAAAGAAAACAAGACCAAAGGCGAACCCGGCTCCGGCGATGAACCGGACAACATGAGTCCGCCCACCTCGCCCCAGTAA</t>
  </si>
  <si>
    <t xml:space="preserve">&gt;ref XM_024097661.1 :1-1092 PREDICTED: Bicyclus anynana frizzled-2-like (LOC112057170), partial mRNA</t>
  </si>
  <si>
    <t xml:space="preserve">ATGAAAAAAGAAAAACCGACGTTTATGAGGCTGTTGTGTACAATTTTGAATCCGCGGCTCGTGGCGCTGCGCGCGCGCAACGCCAGCGCGCCCGGCGTGCCGGCGCCCGCCTGCGGCCTGCCGTGCCGCGGCGCCTTCTTCTCGCGCGAGGAGAAGGAGTTCGCCGCCGTGTGGGTCGCGCTGTGGGCCGGCCTGTGCGCCGCCTCCACGCTCATGACGCTCACCACCTTCGCCATCGACTCGCAGCGCTTCAAGTACCCCGAGCGGCCCATCGTGTACCTGTCGGCCTGCTACTTCATGGTGGCGCTGGGCTACCTGGCGCGCCTGGCGCTGGGCCACGAGGCCGTGGCGTGTGACGGGCCGCTGCTGCGGACGTCGGCGGGCGGGCCCGGCGCCTGCACGCTGGTGTTCGTGCTGGTGTACTTCTTCGGCATGGCGTCGTCCATCTGGTGGGTGGTGCTGTCGTTCGCGTGGTTCCTGGCCGCCGGGCTCAAGTGGGGCAACGAGGCCATCGCCGGGCACGCGCAGTACTACCACCTGGCGGCGTGGCTGGTGCCGGCCGCCAAGACCGTGGCCGTGCTGCTGGCGGGCGCCGTGGACGGCGACCCCGTGGCCGGCGTGTGCTACGTGGGCAACTCGTCGCCCGAGCACCTGCGGCGCTACGTGCTGGCGCCGCTCGTGGTGTACTTCGCGCTGGGCGCCTCCTTCCTGCTGGCCGGCTTCGTGTCGCTGTTCCGCATCCGCAGCGTCATCAAGCGGCAGGGCGGCGCGGGCGCGGGCTCCAAGGCCGACAAGCTGGAGAAGCTCATGATCCGCATCGGCGTGTTCAGCGTGCTGTACGCCGTGCCGGCCGGCGTGGTGATCGGCTGCCTGGCGTACGAGGCGGGCGGGCGCGAGCGCTGGCTGCGGCGCGTGGCGTGCGGCGCGGCGTGCGGCCCGCGCCCCGTCTACTCGGCGCTCATGCTCAAGTACTTCATGGCGCTGGCCGTGGGCATCACGTCGGGCGTGTGGATCTGGTCGGGCAAGACGCTGGAGTCGTGGCGCCGCGTGTGGCGCGGGGGGCGCGCGCCGCCGCCCGCGCAGCGCGCGCTG</t>
  </si>
  <si>
    <t xml:space="preserve">&gt;ftz7/ftz1</t>
  </si>
  <si>
    <t xml:space="preserve">ATGGTCTGGCGATGGATTTTGTTTGTATACGCCTTGTCTGTTATAACTAAAAGTTCACGTGTTACAGTGAACCAAGGGGATACTTTACCTCATCATGGACGATGTGAACCAATAACAATACAGTTTTGCCAGCAGATACAGTACAATCAAACAATTTTTCCAAACTTGCTGAACCACGCTAAACAGGAAGATGCTGGATCCGAAGTACATCAATATACACCTCTTATAAAAGTAAACTGTTCGCCAGACTTGAAATTCTTTTTGTGCTCAGTTTTTGCACCAGTTTGTACAATATTAAATGAACCTATTCCGCCTTGTCGTCATTTATGCGAATCTGCAAGACACAACTGCGATGAGATACTTATACATTTTGGATTTGAGTGGCCAAAGGCGTTAGAGTGTTCACGATTTCCAGTGGTTACAGATGAAAATGTTATATGTGTTGGGGATAACAATGTGACTCATGAACCTCGTAAGGCTACAGAGACCAAACTTCGGAAGGTAGATTACAAGTCAAACAATGATAGAGACCCTACAAAGTTACAAGGTGCTAAAGACCTTGGTTTTGTTTGTCCAGTACATTTTAAAATACCTAAGAATCTGGATTTAGAGTATTCCCTGAAAGTTGGAGATAGAACTGAACGTGACTGTGGGGCACCATGCAACGGAATGTTTTTCAGTGAAGAGGAAAAAAGTTTTGCACGATCATGGATTGTTATTTGGGCCACTTTGTGCTCAATCAGTTGCTTGTTCACTGTTTTGACATTTGTAATAGATACAGATAGATTCCGCTATCCAGAGAGGCCTATAATTTTTTTATCAGTGTGTTATCTAATGGTTGCCGCAGCCTATGTTATGGGATGGGGTGCAGGAGACTCTGTCAGCTGCCAAGGGCCCTTTCCGTCAACTATTAGTGGAACAAGGTTGCCTAACATATCAGTTATTACACAAGGAACAAAACATGAGCCGTGTACAATCCTTTTTATGATTGTATATTTCTTCAGTATGGCATCTAGCATTTGGTGGGTTATTTTAACACTCACATGGTTTTTAGCAGCAGGATTGAAGTGGGGGCATGAAGCAATAGAAGCTAATTCACAATATTTTCATCTAGTGGCTTGGGCAGTGCCTGCCATTAAAACAATATTTATTCTAGCTATGGGCAAAGTTGATGGTGATGTACTCTCTGGTGTGTGCTATGTTGGGCTTTGGGATGCAGAAACTTTACGTGGTTTTGTATTGGCACCATTATGTGTTTATTTAGTCTTGGGCACTATATTTTTAATGGCAGGTTTTGTGTCACTATTCAGAATAAGAACAGTTATGAAACATGATGGTACCAAAACTGATAAATTGGAAAAGTTAATGATACGTATTGGTATATTTGGTGTGTTATACACTGTTCCTGCTCTTATTGTGATTTCATGTTTATTTTACGAACAGGCTTATTTTGACAAATGGATGGTGACATGGCACCGTGACATGTGCTCAACACCTCTCTACTCTATTCCATGCCCATTTACACATCAGGAGATGGAAAGGCCTAAATTTGAAGTGTTCATGATAAAATATCTTATGACAATGATTGTTGGCATCACATCAAGTTTTTGGATTTGGTCTGGTAAAACTCTAGTTTCATGGCATCAATTTTTTGATAAAATAAGGGGAAGACGAGTTGAAGCATATGTTTGA</t>
  </si>
  <si>
    <t xml:space="preserve">&gt; patched_B4_XM_024091129.1</t>
  </si>
  <si>
    <t xml:space="preserve">ATGTACGACATCGAGTGGCGGCTCAAGGACCTCTGCTACAGCCCCAGCATCCCGGACTTCGAGGGCTACCACCACATCGAGTCCATCATAGACAACGTCATCCCGTGCGCAATCATCACGCCGCTCGACTGCTTCTGGGAGGGGTCCAAGTTGCTTGGTCCTGAATATCCTATATTTGTACCTCATCTAAAAAACAAACTACAATGGACTCATTTGAACCCGCTCGAAGTATTAGAGGAAGTGAAGAAGCTAAAGTTCCAGTTCCCTCTGAGCACAATGGAGGCGTACATGAAGAGGGCCGGCATCACGTCCGCTTACATGAAGAAGCCGTGCTTAGACCCCACCGACCCTCATTGTCCAGACACGGCGCCGAACAAAAAATCAGGACATATTCCAGATGTAGCGGCAGAGCTGTCCCACGGATGTTACGGTTTCGCGGCTGCGTACATGCACTGGCCGGAGCAGTTGATAGTGGGCGGAGCGACGAGGAACTCCACATCAGCTCTGAGGAGTGCGCGCGCCCTGCAGACCGTCGTCCAGTTGATGGGCGAGCGAGAAATGTACGAATACTGGGCCGACCACTACAAAGTGCACCAAATTGGTTGGAATCAAGAAAAAGCCGCCGCCGTACTTGATGCTTGGCAGAGAAAGTTTGCAGCTGAAGTAAAAAAGATGACTACCTCAAGTTCAGTGTCAGCAGCGTACAGCTTCTACCCGTTTTCGACCTCAACTTTGAATGACATACTCGGAAAATTCTCGGAAGTCTCACTAAAGAACATTATTTTGGGATACATGTTTATGTTAATTTATGTTGCTGTAACGTTAATACAATGGCGAGATCCAATTCGTTCTCAAGCTGGAGTGGGTATAGCCGGAGTATTGCTTCTGTCGATCACAGTAGCCGCTGGCTTAGGCTTTTGTGCATTATTAGGCATACCATTCAATGCATCGAGTACACAAATAGTGCCGTTCCTAGCTCTCGGACTAGGTGTTCAAGATATGTTCCTTCTCACTCACACATACGTTGAACAAGCGGGAGATGTGCCGAGAGAAGAGAGAACCGGACTGGTACTGAAAAAGAGCGGACTGAGCGTTCTACTGGCCTCTCTGTGCAATGTTATGGCGTTCTTAGCTGCAGCTCTACTGCCTATACCTGCGTTTCGGGTATTTTGTTTACAGGCGGCCATCCTCTTACTATTCAACCTGGGTTCAATGTTGTTGGTGTTTCCTGCGATGATCTCACTGGATCTCCGGCGTAGATCAGCGGCGAGAGCCGATCTATTGTGTTGTTTGATGCCAGAAAGTCCGCTTCCCAAAAAGAAAATTCCAGAGCGAGCTAAATCAAGGAGTGGAAAGACTGATAAGAACAATAGGTTAGACACGACTCGGCAACCATTAGATCCAGATGTGACGGGCGAGCAACCCAAAGCCTGTTGCCTCAGCGTGTCGCTCACCAAGTGGGTCAAGAACCAATACGCGCCCTTCATAATGCGCCCCGCTGTTAAGGTAACATCAATGCTAGCGTTGATAGTAGTGATTTTGGCGAGTGTTTGGGGAGCCACGAAAGTCAAAGATGGATTGGATTTAACAGACATAGTACCAGAACATACTGATGAACGCGAATTTCTTACGCGCCAAGAGAAATACTTCGGCTTCTACAATATGTATGCTGTGACGCAGGGCGACTTTGAATATCCCACGAATCAGAAATTGTTATACGAATATCACGATCAATTTGTTCGAATACCGAATATTATTAAAAACGACAACGGTGGACTCACAAAGTTTTGGTTGGGTCTATTTCGCGACTGGTTACTGGATTTACAGGATGCATTCGACAAAGAAGTAGCCAGTGGCTGTATCACTCAAGAATACTGGTGTAAGAATGCAACTGATGAAGGAATATTAGCTTATAAGCTTATGGTACAGACGGGTCATGTAGACAATCCGATTGACAAATCACTCATTAATTCTGGTCACAGATTAGTCGATAAAGATGGGATTATAAATCCTAAAGCGTTTTACAACTATCTATCAGCATGGGCAACGAATGACGCATTAGCGTATGGAGCATCTCAAGGAAATCTGAAACCACAACCCCAAAGATGGATTCATTCTCCGGAAGACGTCCATTTAGAAATAAAGAAGTCATCACCGTTAATCTACACTCAATTACCGTTTTATTTATCGGGGCTGAGTGATACTGACAGTATAAAGACATTGATAAGGTCAGTTCGAGAGCTTTGTTTGAAGTACGAGGCGAAAGGATTACCGAACTTTCCTTCTGGAATACCGTTCTTGTTTTGGGAACAGTATCTGTATTTGAGGACATCACTGTTACTGGCTCTCGCGTGTGCTTTGGGTGCTGTTTTTATTGCGGTGATGGTGCTGCTCTTGAATGCATGGGCGGCGGTGTTAGTGACTCTATCATTAGCCACTTTGGTGCTGCAACTGTTAGGAGTAATGGCTATTCTGGGCGTCAAGCTCTCAGCAATGCCTGCGGTGTTACTGGTACTGGCTGTTGGACGAGGCGTACATTTTACTGTCCATTTATGTTTGGGTTTCGTTACTTCAATAGGTTGCAAGCGTCGCCGAGCGTCGCTAGCTCTAGAGGCAGTGCTCGCGCCGGTGGTGCACGGAGCGCTGGCCGCTGCGCTGGCAGCCTCCATGCTAGCTGCCAGCGAGTTCGGCTTCGTGGCACGACTGTTCCTCAGACTGCTACTGGCACTCGTGGTGCTTGGATTAGTTGACGGATTGCTGTTCTTCCCTATCATACTGTCGATATTGGGACCGGCTGCTGAGGTGCAACCTTTGGAGCATCCCGAACGATTGTCAACACCTTCACCGAAAAGTTCGCCCGTCCATCCTCGGAAATCAAGTTCTGGTTCAAACGGAGGCGACAAATCCAGTCGAACCAGCAAAACGGCTCCACGACCTTCCGGACCATCATTGACAACTATAACAGAAGAGCCATCCAGTTGGCACAGCTCCAACCACTCTGTTCAGTCGTCAATGCAGTCCATAGTGGTTCAACCGGAGGTGGTGGTAGAGACGACTACGTATAACGGAAGCGATTCTACTTCTGGCAGATCAACGCCGACTTCGAAATCGACGCACACTGGAGCTGTCACTACAACTAAGGTAACCGCAACAGCGAATATAAAAGTTGAGGTAGTAACGCCAAGCGACAGAAAATCACGACGCTCATATCATTACTACGACCGTCGAAGGGATCGAGATGATGACAGAGATAGAGAAAGAGATCGTGATCGGGATCGAGATAGAGACAGAGATCGTGAAAGAGATCGTGATAGAGACAGAGAGAGATCTAGAGAACGGGACCGAAGGGACAGGTATAGGGAAGAGAGAGATCATCGCGCTTCGCCGAGAGAAAACGGTCGTGATTCTGGGCATGAAAGTGATTCTTCCCGACACTGA</t>
  </si>
  <si>
    <t xml:space="preserve">T143</t>
  </si>
  <si>
    <t xml:space="preserve">&gt;Hedgehog_BANY.1.2.t04018</t>
  </si>
  <si>
    <t xml:space="preserve">ATGTCGATAAAGCGGTGCAAAGAGAAGTTGAACACGCTCGCCATCAGTGTGATGAACCAGTGGCCGGGGGTTCGACTCCGGGTCATCGAGGGCTGGGACGAGGAGAACTCGGCTCACCTGGAAAACTCACTGCACTACGAGGGCCGGGCAGTGGACATCACCACCAGCGACCGGGATCGCAGCAAGTACGGCATGCTGGCACGCCTTGCTGTGGAAGCCGACTTCGACTGGGTGTTCTATGAGAGCCGGTCCTACATACATTGTTCTGTCAAGACAGAATCATCAGTGGGCACTGGAGCTGGTTGTTTTCCTTCTGGGTCTGTTGTGCATACGGAAGAAGGTCCTCGGGACATCGCTACTCTCAAGAAAGGCGATCGAGTTCTGGCTGCAGATGACGATGGCAAGATGGTCTATTCAGAGGTTTTAACATTTATTGATCGAGAACCAAACGCGACGCGACAGTTCGTCGAAGTGACAGCAGAGAACGGCGTGAGTATAACAACCACGCCGTCACATTTGCTGCTGCTAGCTGCCGCAGACGGATGGCGGGAGTCCTTCGCCACCAACATAGAAGCCGGTGACGTCCTCCTGACGAGAGGGCAGGGCAGCGTCATGCGACCGTCGAGAGTTGTCAAAACTCGACTGGTATCGAAGAGAGGGGTTTATGCACCCCTCACAAGGACAGGGACTATCATTGTAGACGATGCATTGGCGTCTTGCTACGCTCTCGTGCGAAGCCATGCTCTAGCGCACGCTGCAATGGCTCCACTGCGCTGGATGGCCGGCTGGACTTCCAACGAAGTCTCCCGCGGAGTCCATTGGTACGCTAATGCCCTCTACAACGTCGGCGACTATGTCTTACCCGCCTCGTACAAGTATCGCTGA</t>
  </si>
  <si>
    <t xml:space="preserve">&gt;lcl XM_024098318.2_cds_XP_023954086.1_1 [gene=LOC112057777] [db_xref=GeneID:112057777] [protein=homeotic protein Sex combs reduced] [protein_id=XP_023954086.1] [location=378..1439] [gbkey=CDS]</t>
  </si>
  <si>
    <t xml:space="preserve">ATGAACGACCTAAATTACAACGCAGGGATGAGTTCCTACCAATTCGTCAACTCCCTGGCGTCCTGCTATGGGAATCAGGTGCCAGGTCGCACGGGAACGCCTGTAGAACAAGCAGGTCACCCTGGATTACCGACGCCTGGAGCGGACTATTATAATCCAAATGCTACAGCTTCGTATCCAAATACATGTTATTCACCACCACAGGTGGGTCATCATTACCCGCAACATCCGTATGCGACGCCGGCAGCCGGTGCTCACATGCAACCACAGACTATGATCGACTACACACAACTGCATCCACAAAGACTTGGCGGCACGGCGAGCCATGTGCACCAACATTCAAATCCAAGCCCTGGAGCGCTTTCCCCGAATCTAATGTCGACGCCGCCCAGTCAAGCCGCCAGTGCAAGTTGTAAATTCGCCGATTCAACCTCTACAACAGGTTTAGCATCGCCGCAGGACTTGTCAACTTCTTCAGGACCAGGTAGAACATCACCGGGTTTCGGAAATGTCGGTAATCCTAGCGGCACGACCAGTACTAAACTCGGATTGACCACTCCGATCGCTTCCCCAGTGGAGCACAAGGCGAATATCAATCAAAACATCTCGAGCCCTGCTTCTAGTACGTCTAGCAACGAAAGCAATGAAGCGAACAATTCAAGTTCAAGCAATACGAAGAACGCGAAAGCTTCAGGCAACGCTCAAGCAAATCCACCGCAGATTTACCCATGGATGAAAAGAGTTCACCTAGGCCAAAGTACTGTTAACGCGAATGGAGAGACGAAACGACAGAGGACGTCGTACACCCGGTACCAGACACTCGAACTCGAGAAGGAGTTCCACTTCAATCGGTACCTGACGCGGAGAAGACGGATCGAGATCGCGCATGCCCTCTGCCTCACAGAGCGCCAAATCAAAATCTGGTTCCAGAACCGGCGCATGAAGTGGAAGAAGGAACATAAAATGGCATCGATGAATATCGTCCCCTACCATATGAATCCGTATGGCCATCCTTACCAATTCGACCTTCACCCGAGTCAATTTGCGCACTTGTCAGCATAG</t>
  </si>
  <si>
    <t xml:space="preserve">&gt;lcl XM_024098314.2_cds_XP_023954082.1_1 [gene=LOC112057771] [db_xref=GeneID:112057771] [protein=homeotic protein proboscipedia] [protein_id=XP_023954082.1] [location=406..2439] [gbkey=CDS]</t>
  </si>
  <si>
    <t xml:space="preserve">ATGCAAGAGATATGCAATACCGCGCTGCCGCTAGACAGTAACCCCTTGGTGCGCAAGATAAAATGCGAAGAGTTCCCCGTGAGAGGAAAGCAAGCAGCAAGAATCGGTATGGGGGTCCGCGATGATATGGAAGAGGAGTTCGTGGTGAAGACGAGGAATACGCCCCCAATGGGGCCCGCTCCAGGACAAGAGCATCCTCGTATGGAGCATGGGGGTAATGGGTTCTGGCTGGCTGCGGTCACCGCAGCCGGCGCTCCTCATCCAATGCTCGAAACGTGTACAGAGACTGGGTTTATTAATAGTCAACCTTCTATGGCGGAGTTTATGACGGCGCTTCCACAGCTGGGAGGAGGCGAATTAAGTCCGCAGCACACACCTCCCGGTTACGCGCCTGACCTGCCATCGCCTGGTGGCGGTCTCAACGTCCCCGAGTACCCTTGGATGAAGGAGAAAAAAACGACAAGAAAAAACAGCCAACAAGAAAATGGCTTGCCGCGACGATTACGAACCGCCTACACGAACACACAACTGCTGGAATTAGAAAAAGAGTTTCATTTCAACAAGTACCTGTGCAGGCCTAGAAGAATCGAGATTGCCGCGTCCCTTGATCTAACAGAAAGACAGGTCAAAGTGTGGTTCCAAAATAGAAGGATGAAACACAAAAGACAAACGGTTAGCAAAAGTGAAGATGGTGACGATAAGGATTCGACAACCTCAGAAGGAGGCAAAAGTTCTAAAACAGGGTTAGAAAAGTTCCTCGATGACGATGGCCCATTATCTGGCAAGAAGAGTTGTCAGGGTTGTGAACTACCACCTGGTGTTCTGTGTTCTCCATCAGAGGATCTTCCGGAGTTAGCCTCACGAACACGTAACAACAACACTCCGAGTGCTACGAATAACAACAGCTTTGCAAGCGATGGAGCTTCCAGCGTAGCTTCATCTTCTTCCCTAGATAAACTAGCGGAGGAAGATTCCCGAGAAGGACTTCCGCCAGCAAACCCTGTAACGACAGCACCTAGAAATCTAGCTAAAAGAATTAAACAAGAGTCAAGAAAGCGATCCCCTTCATTGGATGCGACGGGTTGTAAAGTGTCACCGTCGTCTTCGAAAGACGGTCTCGTCGGTATAGCTGGCCTATCAGACGGTGGGAAATTTTCTTCAGTCAATTTGACACCGTCATCTACTCCTGGCACACCATCAAGTATGCACCAAAGTCCTCTTGGTCTCTACCCTCGACCGTCGCCGCCCCATGCACCACCAGGACCACCCCTTCCTCAAGCTGTACCTAACTCGATGCCACCGTACGTAATTAGAGGGAACGCTCCACCTGGCCAATTCGTACCACATCCAGACTTTCGAATGGACCCAAAGCAATTTGTCGGTAAACTGGCCCAATATCCTCAGAGTAACAGGTCCTACGACGCTTACGGACCTGCATTACAAGGTACAGAACAACACGCTTACACAAGGAATCAACATCACTCAAGACAACACGATAGCTCTCCTTCTACGAGACCGACAAACGGGATAGGGTCGAGACAATCCTACCCACATGAAATGTACCAAAACTACGCTTACGGGAGTTATGCAAAAGATCAAGTTGCGTACGGTCATCCTAGCTACGAACAGGGCCAAGGTTACCCAGGTGAACATATTGGCTATGCAAATAGTCACTACGGATACCACTATCACGAAAGCGGACAACATGACGCCTCACACGGTTACTACGGTAGTGATGGACAAAAGAATGTTCATGGCGCCGACTACACAAAGAACGCCTACTATGACGCAAGCTCATATGGAAGTCAACAAGGAAGTGCAACGGCAGCGAGCTATGGCGCGGGCACACAAGGATCCGCGTCAGGGGAGGCTTATGGCAGCGGCGAATGTGGCGAAACCTACGGTTCTTTCCAACAGTTTTACGAAGCAACACACACAACGCCTGCCACCGGTGACAATTCGAACTCTTCATCAGACTTTCACTTCCTGAGCAATCTAGCGAACGACTTCGCTCCGGAATACTACACCATTTGA</t>
  </si>
  <si>
    <t xml:space="preserve">&gt;lcl XM_024092708.2_cds_XP_023948476.1_1 [gene=LOC112053316] [db_xref=GeneID:112053316] [protein=homeobox protein bagpipe-like] [protein_id=XP_023948476.1] [location=56..1294] [gbkey=CDS]</t>
  </si>
  <si>
    <t xml:space="preserve">ATGGAATCTAAAGTTAAAAGTTTTATGGACATAAAAACAATGCAGGACTGTGAAAAGACCAATTTAAGTTTGTCGACACCATTTTCAATAAATGACATTCTGACCAAAGAGAATGAGTCGAAGTGCGAATTTGAAAATCGAATGTTTTCGGGCGCGTTCGGCGGGAAGATTAACTTTTTAAATAAACAAGGAGGATTCAGCAAAGAGGATAGTTATGCGAACAAGGAGGTTCTGGAAAAGAGTATGAAGTATTACGACGATTGCAGTTATCGTGATTATGCCGACGATGGTGCTTTGGACATGTCGAGGAAAAACAGTTTTCCAGTCACGGAATTGTCAGATGACTACGACTCCCGTTCCTCAACCACCGGCTCCCCAGTCAGAAGGAGTTCCCCCCACTCAGACCAGCCGTACAAGCCGTTCATCAGCTACGACAAATGCCCCACGCCTCCCCTCACAGACCAGACCAGACTGATGACGTCATACCCCCCGATAGAGTACGCGCAGAGCAATGGCAGGAAGAAACGGTCTAGAGCAGCTTTCTCTCACGCGCAAGTCTACGAATTGGAACGGCGATTTAGTCAACAGAGGTACTTATCAGGACCCGAAAGAGCCGACTTAGCAGCTAGCCTAAAGCTAACAGAGACCCAAGTGAAGATATGGTTCCAGAACAGACGGTACAAGACGAAACGGAAACAACTGCAAATGCAAGAGAGCGGCTTGCTAGCTGCCGCTGCCGCCGTCAACCACGCGAGAAAAGTCGCAGTCAAAGTACTAGTCAATAACAATGGACAACCCAACTTGGCAGATCTAAAACCTTACCAATCACCCATGTTAGGGAAACCTGTTAACCCAGCGTTATTTGCCCCACCAAACCTTCTAGAAGGTTCCCCAATTTTGAAACACTTTGCAGGTGTTTATGGTGTGGATTTTGGAAAAAATCCTGAATACAAAGCGTTATTGCAAGAGTCGTATAATCAGGCTGTTTTGCAGTCTTTGTATGGTCCCCATTTAGGGGTGAATTATCCCAATCTACCCCTACCCTATATGTACTATCCCGGTCATCCAGCGTTAGGAATACCTTTATCTTGTGAAGTTGATAACAGGATGCAGGATAATGATAGTTCGAAAGATTTTGAAGTCAAAAATGAGAAAATGGTTGACAAAAGCAAAAAACTGGTTGACTTAAATGAAAATAGTAGTGAAAGTATGGCGAGCAATATTGAAGTAGAGAATTAG</t>
  </si>
  <si>
    <t xml:space="preserve">&gt;lcl XM_052883843.1_cds_XP_052739803.1_1 [gene=LOC112057786] [db_xref=GeneID:112057786] [protein=homeobox protein abdominal-B isoform X2] [protein_id=XP_052739803.1] [location=336..1283] [gbkey=CDS]</t>
  </si>
  <si>
    <t xml:space="preserve">ATGATGAACGGCGTGGGCGGCGCGCTGTACGAGGAGGCGCACGCGTCGCCCCCGGGGGGCTCCCCGCCGGCCGCGCCCGCCGCCGCGCCGCCGTCCGCGTCCAGCGCCTCGCCGGCGTCCGTGGGCTCCAACCCGCCGCAGCCGCTGCACATCCCGGCCAAGCGCTACGAGCCCGAGCCCGGCGTCATCCGCCACGCGCAGCAGTCGTGGGGCTACCCGCCCGACGCGCCCGCACCCTTCGAGCACCAGTACCCGGCCGGGCCCACGTACTACAACCTGCCGGTGGAGCGCGAGCGCAAGGCGGGCCTGCCCTTCTGGCCCGGCGGCGGCGAGTACAAGCCCTACGCGGACGGCTGCCACCAAGGCTTCACGCAGCCGTGCTGGAACTACCCGTACGGGGCGCCGCGCGGCGACCAGCCGCTGCCGTACGTGGGCGAGGAGCGGCGCACCGCCGTGTCCGAGGCGTCCGGCTTCTCGCACGACGCGTACGGGCTGCGGAACTACGCGCCGGAGTCCGTGTCCAGCGCGCCCTACCCGCCGCCCAGCGCGCTGCCTGGATCCCTGTCCATGTCGGTCGGCGTCGGCGTCGGCTGCGGCTCCAACCCCCTAGACTGGACCGGACAAGTCACTGTGCGTAAAAAACGCAAACCCTACTCAAAGTTCCAGACCCTCGAATTAGAAAAAGAGTTCCTTTTCAACGCTTACGTGTCAAAGCAGAAGAGATGGGAACTGGCGCGGAACCTAAACCTCACAGAGAGACAGGTGAAGATATGGTTCCAGAACCGACGGATGAAGAACAAGAAGAACTCGCAGCGGCAGGCGGCGCAGGCGGCTCAGAACAACAACAACAACTCGAACGCCAATAACCACAACCACCACGGCAGCCATCACCATGCGCCGCACCACGTGGCGTTGCACCATGCGCCGCCTGCTAAGCATCATCAGTGA</t>
  </si>
  <si>
    <t xml:space="preserve">&gt;lcl XM_024095788.2_cds_XP_023951556.2_1 [gene=LOC112055606] [db_xref=GeneID:112055606] [protein=uncharacterized protein LOC112055606] [protein_id=XP_023951556.2] [location=67..906] [gbkey=CDS] (chu)</t>
  </si>
  <si>
    <t xml:space="preserve">ATGGACTATTCTAAGCGTATGGTGTTTCTCGTATTGTGTGCTCAATGCGTAGCAGTAAATATACAAAGGATAGAAGTTCCACCGCTTGTAGAAGTAGGCACCGATGCTGTAATACTAGACTGTCAGTACAAGACCTACAACGCTTCGCCGCCAGGATTGGTCATGAAATGGTTCTTCAACGGCTCTTCCGGTCTTGTTTACCAATGGATACCGCCTTTAAGACCGCAAGTTATAGGTCTACTTAAGGGCAAAGTGGATTTGGACTTCAGGATTTCTGAGGAGCCCTTGCAAGCTTATCGTGCTATCAAGATATTAAACCCAACCACAGATCTTAGCGGAAACTACACTTGCGTAGTATCTTCATTCATAGAAGAGGATCGAGAGACGAGATCCATGCTTGTGTACAGTCCTGGTAAAAACTTTCATTTTGTCCAAGAGAAAAAGTATGTGTTTTTGGTGACACTCATTTGTGCTGCGGAAGATTTGTACCCAAGACCTGAAATATGCATAATCGCTCAAGGAAATCCCTTAAAGCAAGCCGTGTCCGAAATGAAAATGAACTCTTGGGGATTATACGCGGTGACCATAAAGGCCGTTGTGCACGACGATGACGTCACAGCTCCATATGAAAAGTTCACGTGCACTTTGAGTTTACCACCTGCGAACTACACGTCGAATCGCACGACTGTATACTATCCTGGGTTAATGCCCACTGCATACATCGCTGCTTACGAATTGGAAAAAACACAAGAAATGCATGCCAATGGAAACCTTCCTCCATCAAGAAACCTAATAGTCCAGCTTCTGTCCGCGTTCATATCAACGAGATTTATTGTATAA</t>
  </si>
  <si>
    <t xml:space="preserve">&gt;lcl XM_052881908.1_cds_XP_052737868.1_1 [gene=LOC112050562] [db_xref=GeneID:112050562] [protein=protein O-mannosyl-transferase TMTC1-like] [protein_id=XP_052737868.1] [location=239..2725] [gbkey=CDS]</t>
  </si>
  <si>
    <t xml:space="preserve">ATGTGCAAATGTAGGTATGTGACGCTGAGGCCACCTCGAAACAGCCCAAAGATGAAACGGCGCCTAGCAACCGTGAGGGAGGAACCCAACTCCAAAACAATATGCAATAGTGATCTAGCGATATATACCATGGTGGTTTCCACCGCAGTTCTTAGTTATGTGAACAGTTTGAACGGTGATTTCGTGCACGATGACATACCCGCCATAGTGACTAACGGGGATGTGGTGGGCACGAACTCTTTGAAGCAGTTGTTTTTGGACGACTTCTGGGGCACTCCGATGGCTGACCCCAACAGCCATAAGTCGTATCGACCTCTCACTACGCTGTCTTTTAGGTTAAACTATGCTCTAGCGGGGCTGAGGCCGTGGTGGTGGCACGCTTGCAACGTGTGCCTGCACGCTGCGTGCTGCGCGTTAGTCGCACGCACCTGCGTCACCATCGCGCGTCTGCAGCGACCCTTTGCTGCACTCGCCGCGCTGCTGTTTGCAGTACACCCTGTGCATACAGAAGCAGTGGCGGGAGTAGTGGGCAGAGCGGATGTACTTGCGTGTATATTTTTTTTATCTTCACTACTAGTTTACCACAGACCAATAAACAATAAGAAGAGCATCTGGCTGAGCATCGTGCTCGGCGCGCTGAGCATGCTCGCGAAGGAGACTGGAGTCACCATTCTGCTCTTGAACCTCACCATAGACTTCTTCCGGTGTTGGCCGCTAGTTAAAAGATCAATATGCTCGTTGAAAATCGAGAAGAAATGCGCTGGGTTGTCTATCAGAACGGCCAAGGTGCTGGTGTCGCTCTCGCTGCTGATCTGCGTGCGACTGGCGCTGCTGCAGGGAACCTGGCCCACCTTCTCACCGCAGGACAACCCTGCAGCTTTCCACCACAGTTTTGTTGTAAGATTGATGACGTTCTGCTACCTGGCAGCGTTCAACTGGTGGCTGCTGCTGTGCCCCTGGAGCCTCAGCCACGACTGGCAGATGGGGTCTGTGCCGCTCATCACCAGCGGCTGGGACCCCCGGAACTTTGTCACGTGTGCCGCCTTTGGGGCACTCCTGTTGTTGGGCTACCGATGCATTGCTGATTTGGACGTACAAAGGCACACGCCGGCAGTGATCGGCTTGCTGCTGCTGGTGGTGCCGTTCGTGCCGGCTAGCAACTTGCTCGTCACCGTCGGCTTCGTCATCGCTGAGAGGGTCTTGTACATCCCGAGCGTAGGCAGTGTCATAATAACCGCGTACGGCGTGCAGCTCATGTGGTACTCCAAGCCCGGCGCCAAGGCGCTGCTGGTGCTCGGGCTGGCAGTGCTGGCAGCGAGCGGAGTCGCCCGGACGTATAGGAGAAACGCTGACTGGCGGGACCGGGCCACTTTAATAAGAGCGGACTTAGTGACTCTGCCGCAGAATGCTAAACTCCACTACAACTTCGGCAACTTCCTGCGCGAGACAGAACAGCAAGACAACGCCATCAAACATTACAAAGAAGCTTTAAGGCTGTGGCCAACATACGCCAGCGCCCACAACAACATCGGCACGCTGGTGGGCGCCGACCTGGCGGAGCACCACTTCTTGCAAGCCATCAAGTACAACAGGCAGCACGTCAACGCGCACTACAACCTTGGCAAGCTTTACAAGAAAAGCGGACGAACAAGCCCAGCAGTGTCGATGCTCGAGCGCTGTATAGCGCTGCAGCCTCGCTTCGTGCAAGCTCATGTGGAACTGCTGACCTTGAAGCCGGAGCCGGAGAAACGGAAGATACTCGCGCGACTCGTGGAGTTGGAGCCTAACAACTGGGAACACTACGTTTTGTATGGGAATTGGTTGAGGACCAAAGGTTTACCAGTAGCTGCTGCCAAGTACTTCTTAGAAGCGACAAGGCTTAGTTTTCGAAATCGAAACTTCGAAAAACCAATCAGAGGAGATCTTATTTCTATAAGATCAACAGCACTTATATACAGAAGCTTAGGACAGAAATCAAGAACACTCCAACTTTTAACAAGATGGCACACCTGGCGGCGTGGCTGGCCGAGTGCTGCGGCCGCGCACATGTACCTGCGTGACTGGCGGCTGAAGATGGAGTTGGAGGGGCGGATACAAATATACTCCAGAGCAGTCAATCCTACTAAATCTACGACTTGCTTCGATCACACTCAACTAGCAGTCGAAGCAGCAGCTGCGAGCGAAGACAAAACTGTAAAGATAGAAGAAGAAAAAATCAAAATCGAAGAAACAGTTCATAGTGATAAAACAAACAGTGAAAGTGACAAAATCGTGATTATCAATGGTAACACATGCAGCCAAAAAGCGTGTACAGTTAAAAAACGTAATCTATCTATATCAACACAAATAAAGACAACTCATAATAAATCCGAAATCGGACATAAGAAAAAGTGTACGATGCATAGAAAAGAGAATAATATAAAAAATAACGAAATACCTAACATAGTGCCGCCATTAACTGAGCATATTCTCATAAAGACATTTTAA</t>
  </si>
  <si>
    <t xml:space="preserve">&gt;BANY.1.2.t12873_arrow</t>
  </si>
  <si>
    <t xml:space="preserve">ATGTTAGTAGGCTACTACTCTAGCATAAGCAATCCGGTGTTGTTGTATTCAACGGCGACAGATATTCGTGTGGCAAATATATCCAAATTGAGTAAAATCAATGCAATAATCAAAGGATTAGAGCAAGGCTCAGCTGTTGATTTCCTGTGCAAAAGTAATTTAATATGCTGGTCGGACCAGACTGCGGAATTGATACAATGTATGGAGTACAACAACACCCACTCGGGAGAAAAGATGAAAATAGTGTCAGAAGGAATTATTACTCCTACCGGTATTGCAATAGACTGGTATACAGACAAAATCTATTGGACAGATGGCGAAACTAATAGAATAGAAGTAATTAGTATAGAGCACAAATATAGAAAAGTTCTATTCTGGACTGAGGTGGACCTGGCAAGGGCCATTGCTTTAGTTCCTAAAGAAGGTTTAATGTTTTGGACTGACTGGGGTGAAATACCCAAGATTGAAAGAGCTGGTATGAACGGTGATCCCACAACTCGCAAAATAATAGTGAAAGATAACATATTCTGGCCCAACGGCATCACTGTGGACTACAATAACAATTTAATATATTGGGTCGATGCCAAACTACAGTTTGTAGATATGATAGACTTTAATGGTAATAAACGGAAGAGAATAGTTAAGGATGGTTTGAAATATCCATATGCTTTAACATACTTCAATGAAAAACTTTACTGGACTGATTGGAAGACTTGGGGAATATATACATGGGACATATCCACAAATGGAGGTATAAAAGAGGTCATCAAGTCAGACCCGGTGCCTGTTGACATTAAAGTGTATGACCGGAGCAGGCAGCTGATGCCCACTGGAGACTATCCTTGTAAAGACAATGAGGGATGTTCACATCTGTGCCTGTTATCACCAACCCCACCAGGCTACGTTTGCGCGTGTCCGACTGGGGTGAAGTTAAAAGAGGATAGCAACACTACCTGCTACAACTCGCCACAGTCTATGCTATTAGTGGCCCAACGGTCCATCATATCCAAGATATCGCTGGATTCACCTGACTTTACCCCTTATACACTGCCCTTGAAAGACTTGAAAAGGGCCCTCACTGTAGACTTTGATCCGAAAACTGAATACATTTACTGGGCTGACAGTCAGTCAAAAACCATATCTCGCGCACGGTTGGACGGCAGCGAACAGTCTGTGGTCATACACAGCAACGGCGTGCCCGACAGTATCGCGATAGACCCCCTCGCGAGGAACATATACTGGACTGACCCCGTCTCGGACACCATCACCGTTGCTAGGCTGGACGGCAGCGCGAGGAAGGTCATAATCCACGACGATCTGTACGACCCACGAGCAATAGCTCTCCACCCGACCGCCGGTTGGATGTTCTGGTCGGATTGGAATGAGAAGAAGCCGAAGATCGAACGAGCCAACTTGGACGGAACCGACCGGATGATGCTGGTCTCTGAAAAACTAACTTGGCCCAATGGGATTGCTCTGGACACTGAAAACAATAAGTTGTACTGGGGAGATGCAAGAACACATAAGATAGAGGTGTGTAACATGGACGGGTCGGAGCGGCGCGAGCTGCACAGTAGCGACATCCTTCACATCTTCGGGCTCACGCTGCTCGGACCGCACTTGTACTGGACGGACATGCAGAGGCGGACCCTGGACAGAATCAACAAAGACACGGGTTTAGAAAGGCAAGCGGTGGTGGAACAGATGGCCAACATGATGGGCGTGAAGGCGTTCCGACTGGGCGAGCCGCTTGGCCACAACCCCTGCGCTGACCACAACGGACAGTGCTCCCATCTGTGCTTCAACCGTCCGCACGACCACGTCTGTAGCTGTCCTCTAGGGTTGGAACTGGGCAAAGATCGCAAGACGTGCATAGAGCCTGAAGCATTCCTTATATACAGCAGGAAGAATGTGATCGGACGAATCAGTATTGAGAATGAAAATAACGACGCAGTTCTGCCCATCAAAGAGTTGAAAGAAGTCAGTGCTCTAGCAGTCCACGTGTCTGGCTCGAAAATCTATTGGTCTGACAGCAAAACTAAAACTATAAACAGATGCTCCATAAATGGATCAAATATGGAGAAAATTCTGGAATGGATGGGCTTGGTCGAAGGTTTAGCAATAGACTGGTCTGCTCAGAACATTTATTGGACAGACACGAGCTCGCAACGGATAGAGGTGGCTCGGCTGGACGGGTCCAGTAGACGCACGTTGATATGGCAGGGTCTGAAGAAACCTAAGAGTATAGTCTTGGACCCTAAGAAAGGCTATATGTATTGGTCCGAACTCGGTCCAAAGAGCATCAAACGTGCGACCATGGACGGGGCTTCCCCGACGGTAGTATTCGAGCAAGTAGGCCGCGTGCACGCCCTGGCCATAGACTACGATACGCGCACGATGTACTGGGCGGCACTAGACCCGCCCGTCATAGAGTTCGCGTACCTCAACGGCACGGGACGGAAGGTGCTGGCCGATAACATACCGATGCCATTTGCTCTCGCCTTGTATGCGGACCGCGTGTTTTGGGGCGATTGGAACACTGGCCTCATAGAAGTGTCGAAGAAAACCGATGGTACAAACCGCAAAACAATCCACAACCAGCTAGACTACATCTCGGACCTGAAAGTGTACCACAGGGGACGAGACACACTGTCCAACCAGTGCGGCGTGGACAACGGGGGCTGTTCACACTTGTGCCTGCCCTTGCCTAACAACGACTACCGGTGCGCTTGTCCCACACACTACCGCCTCAATAAAGACAACATCTCTTAACCAGAGGAATACCTGTTTTTCGCCCAAAAAAACGCTGTCGGTCGTATAATGTCAGCCAACGGCGAGTGTAACGATGCGTTCATTCCTCTGACGGGCTTGAAGAGCGTTCGCGCCATTGAATACGATCCGGTTAACAAGCATCTGTATTGGATGGATGACGAGTCTCACGCCATACGTCGGGTACCCATCTCGCACTCGACCACTTCCGCCGTCACCAACGCTGTGACCATAGTCACTGACCTCTCGCGACCCTTCCACATGGTGCTGGATATACTGGGCCGAGCCCTCTACTGGACCTGCTTGGACACAGACTCTATTAACGCCACATCAATAGACAATAACTCTTCAATCGGTGTCATACTGCGTGGGGAGAAAATGATGCCTCGACATTTGGCTTTTCACCAAACTAAAAGGATTCTTATATGGAGTGACGCGGGAATCGGCGCCATAATGCGTGCGAACGTGGACGGCACCGCGCGCGTGGAGCTCGCGCGCGCCAACAACGTGACAGCGCTGGCGGTGGAGCAGACCAGCGGTACGGTGTACTGGGCGGTGGCGCGCCAGATACACGCGTTGGACCTCGACTCGTCCAACAGGCGCGTGGTGTGGCAGGGCGGCGGCGTGCCCGCCGCGCCGCTGCCGCACCTCGCACGCCTCGTCGCCGCCGTACCGCAGCACAGGGTGGCGCGGGAACATCCGTGCTTCGGCGGGCGAGCGTGCGGCGGCGCGCCGGGCGCGTGCGGCGCGGACGGCGTGTGCGGCTGCGGGCTGCGGTGCGGCGCGCGGCGCGCGTGCGGCGACAACCAGTTCCAGTGCGCACCGCCCGCGCCCGCCGCTGGCGACGCGACTGTCGCCGTCTCCGCCTCGCCGCCCGAGGCGCACTGCATACCTGCGGAGTGGAAGTGCGACGGCCAGCGCGACTGCCCGGACGGATGCGACGAGCGGCTGTGCCTGGCGCCGCGCCTGGTGTGCGACAACCACCAGCACTGCGAGGACGGCGCGGACGAGGCGCCGTCGCTCTGTGACGACTACACGCGCAAGGACCAG</t>
  </si>
  <si>
    <t xml:space="preserve">&gt;lcl XM_024096155.2_cds_XP_023951923.2_1 [gene=LOC112055844] [db_xref=GeneID:112055844] [protein=synapsin] [protein_id=XP_023951923.2] [location=1..1866] [gbkey=CDS]</t>
  </si>
  <si>
    <t xml:space="preserve">ATGGTAGTCGGGGCGGTCAAAATAGATCGTTCGGGGTGTCCTGGGATCTGTGGCCCGCAGGCCGCGACCACATCAACCCTGTCTTTCTCAAGCTTCCGGAACTCATTCACCACCAATGTCAATTACCTGAAAAGAAGCTCAGCGGAGGCGTTGCGCAGATTCAGCTCGGGGGACCTGCAGTCCGAGTGCGATGAGGGAGAGGTGGACCCCTACACCGGCCAGCCAGCCACCACCAGCCAGCCCAAGCCGCAGAATCAGAGGCCGGCCTCCCAGGCTACGGGAGGCAGCATCGGCAGTGCATCGACGTCAACGGTGCCGCCCGCACCCAGTGCCAGCAGCAGCAGCGGCGTCGGCAGCGACCTGTCGCTCAACCTTCGTGGAGGCTCCCGCGGCACGTCGGCGCCTTCCTCGCCGGCCAAGTCGCGGGAGTCGCTGCTGCAACGCGTGCAGTCGCTCACCGGCGCCGCGAGAGACCAAGGAGCTAATTTATTAGGCAGCGTGACGTCCGTGGCATCCGTCGGTCGTGGTTACAACCGAGACCGTTGCGTGACGCTACTGGTGGTGGATGACCAGAATACCGATTGGTCCAAGTATTTCCGTGGCCGACGGTTGCCTGGCGAATGGGATATTCGCGTTGAACAGGCAGAATTTAGGGAGCTGTCAGTGACGGCGAGCGGGGAAGGCTCTAATGTGTCGATGGCGGTCTACCGCAGCGGAACTAAAGTAACCCGTTGCTTCAAGCCCGACTTTGTTCTGGTGCGACAAAACGTGCGAGACGCTGCTTCCGATCACCGCGCGCTCCTGCTCGGCCTGAAGTTCGGCGGAGTGCCTTCCATTAATAGCCTCAACTCTATTTACCACTTCCAGGACCGGCCTTGGGTGTTTGGGCACCTACTTCAACTGCAGCGACGCCTTGGCAGGGAAAACTTCCCTCTGATCGAGCAGACCTACTACCACAACTATGCCGATATGGTAACGGCGCCGAAGTTCCCAGTCGTGATCAAGATCGGCCACGCGCACAGCGGAGTGGCCAAGGTGAAAGTGGACTCTCTGGCCGACTTCCAGGATATAGCAGGCGTGGTGGCAATGATAGGAACATATTCCACCGTGGAGCCATACATCGATGCGAAGTACGATATCCACATTCAAAAAATTGGTACCAACTATAAAGCGTTTATGCGCAAGTCCATATCCGGTAATTGGAAAACCAATCAAGGCTCCGCCATGCTGGAAGCTATTGGCATGAACGACAGATATAAGATGTGGATCGATGAGGTGAGCGAGATATTTGGTGGTCTGGAAGTGTGCGCTCTGGAGCTGGTGGTAGGCAAGGATGGGCGGGAGCACATCATCGAGCTGAATGACTCCGCCACCTCATTCATGGGCGACTCGCAGGAGGAGGACCGGCGCCATCTAGCGGAACTTGTCTTTCAACGCATGCAGGCGGTTTGCCGGCCCGGCCTGACAAAGACCACATCCCGAAGCTCAGTAGCGGGCAGCGGCGCAGCGTCCCCCGAGGAGCGCTCCATCGCTGGGGGCCCGCCCAGCGCTCCGCCGCCTGCGCCTCTAGCCACGGCGGCCAGCATCGACCGCCCACTGCCGCCCATACCGGCAGAGCCTTCGCAGCCACCGCCGCCGCCGTTAGCTCGCCGTGACTCGCAAGCATCACAATCATCGACCGTGTCATCGGCATCAGCAGCGCCGAGTACAGCCAGCAGCTCCGCTCCCCCCACCCAGTCGGCAGCCGCCACCGCGCGCAGCGGCTTCGCGCGCCAGGGATCCCTCAGTGCCACCCTCACTGAAGACGCTGAGGACACCATGAAGAACCTCCGCAAAACCTTCGCCGGGATCTTTGGAGACATGTAA</t>
  </si>
  <si>
    <t xml:space="preserve">&gt;lcl XM_024086622.2_cds_XP_023942390.2_1 [gene=LOC112048918] [db_xref=GeneID:112048918] [protein=odorant receptor coreceptor] [protein_id=XP_023942390.2] [location=1..1311] [gbkey=CDS]</t>
  </si>
  <si>
    <t xml:space="preserve">ATGTCAGTTCTTCTTCGTAAGGTGTATGCTGTCGTCCATGCTTTGTTGATTGTCATGCATTACGCGTGCATGGCGATTAATATGGCAAAATACTCGGACGAAGTCAACGAGCTGACCGCTAACACAATCACGGTTCTTTTCTTCGCGCATACTATTATCAAGTTGACCTTCTTTGCTATCACCTCAAAGAACTTTTACAGGACTCTAGCGGTATGGAACCAGTCGAACAGCCATCCTCTCTTCACGGAGTCCGACTCAAGGTACCACCAGCTCGCGCTCACCAAGATGAGGAGGCTCCTCTACTTCATCTGCGGAACGACCATCTTTGCTGTGACGTGTTGGGTAACGATCACGTTCTTCGGAGACTCAGTGCGTATGCTGGTGGACAAGGAGACTAATGAGACGCTGACGGAACCCGTCCCGAGACTACCACTCAAGGCTTGGTATCCTTTCGATGCTATGAGCGGCACCATGTACGTCGCTGCGTTTGCATTTCAGATCTACTGGCTGCTCTTTGCCATGTCCATCGCGAACCTCCTGGACGTGATGTTCTGCTCCTGGCTGATCTACGCGTGCGAACAGCTCCAACATTTGAAAGCCATCATGAAGCCTTTGATGGAACTTAGCGCGTCTTTGGACACCTACAGACCGAATACTGCTGAACTGTTTAAAGTTTCCTCTACGGAGGTATCAGAGAAGGTGCCGGAACCAGTAGACATGGATATCAGAGGGATATATTCAAGTCAGCATGACTTTGGAATGACGCTGCGCGGTGGCGGGGGCAGACTGCAGACTTTTGGCCAGAACCCCAACAACCCGAACGGTTTGACCCAAAAACAGGAAATACTCGCACGTTCAGCTATCAAGTATTGGGTTGAAAGGCACAAACATATTGTGAGATTAGTATCTTCTATAGGAGATACATATGGAACGGCTCTATTATTCCACATGCTGGTGTCTACTATTACTTTGACATTGTTAGCTTATCAAGCAACTAAGATCAACGGATTGAACGTTTACGCATTCAGTACAGTGGGCTATCTAGGCTATACTCTTGGACAAGTGTTTCACTTTTGCATCTTTGGCAACAAGCTTATCGAAGAGAGTTCATCAGTGATGGAGGCAGCGTACTCCTGCCAGTGGTACGATGGCTCCGAAGAGGCGAAGACGTTCGTGCAGATTGTCTGCCAGCAGTGTCAGAAGGCTATGAGCATTTCCGGCGCCAAGTTCTTCACCGTCTCATTGGATTTGTTTGCATCTGTCCTAGGAGCCGTGGTCACATACTTCATGGTATTGGTGCAGCTGAAGTAA</t>
  </si>
  <si>
    <t xml:space="preserve">&gt;OBPA10.2_MSTRG.7783</t>
  </si>
  <si>
    <t xml:space="preserve">AGGAGGGCAAATTAGATGCTTCACAACACTCCGACCATTATAAATACAGCCCGCTACAACTCGGCACTCATAAATCACCGGTGATTGTGCAACCTAACTTATTGTGATACGATGATTGCGAAAGTAATTGGACTATTGTGCGTCGTGCTTGCGCTGGCACTCGCTGAGGACAAATATACATCCAAATATGACAACTTCAACATAACGGAGGTGCTGGAGAACCCAAGGCTAAGGCAAGCCTATGGCAACTGTATGCTTGGTAAGGGGAAATGCACCCCTGAAGGAAAGGAACTCACAGAACATATGCAGGAAGCCCTTGAGACTGGATGCAAAAAATGTACCGATGCCCAAATAGACGGAACAGCTACCGTGACCGATTACCTCATTAAACACGACCCTGCTCTGTGGAAGGAATTGACTGCAAAGTTTGACCCCACGGGAACCTACAGGAAGCAGTACGAAGACCGTGCTAGAGAAAAGGTGCACCTTAAAGACGGCATGCAAACAGGATGCAAAAAATGTACTCAAGCTCAAAAGGAAAAGGCACGAAAAGTGGCGAACCATCTCAAAAATCACGAACCAAAATTCTGGGAAGATTTAAAACATAAATTTGATCCCGAAAACAGTAACAAGGCAACTTATGAAGCTTTTCTGGCATCTAAGGAATAAGCAACATAACATTGTGCTTATTCTTTTATTTAACAGTAAAAGTCTAAATAAATCTCTATCTAATAAAGTAGCATTATCGTCTAACAATGTTTTTTAAAGATTTTAGTAAAATAAACATTTTAATCATCGCATAATTTTAACAGTTTGCGCTTTTGCTATTTTGCAAATTAAGAATGTCTTAAAGGCATAGGCATTATTAGCTTTACAATCATCTATAGAACTAAGTAACACAAAATTCATCGTCATTGAAAAAAAGTAACATTTTTTCGAGATCATGAAACATATGTTATGTAAGTACAAGAATTGACCGTTTGTCGCTTGATGTAGGTATACCTTACAATATTAAAAAGCAAATTTCAAAAACATGGATTTAGCTAATATTTTATCTTCTTCAAGACATTGAATAAAATTTAGCATACTTATTATTTGTCTTTCAAATTTTATGTTCCTAACCTAACTACAAGTATATCGCAAGGTACTGAAGTAAGTATTTATTACCTATCTATATGAATCGGC</t>
  </si>
  <si>
    <t xml:space="preserve">&gt;lcl XM_052888388.1_cds_XP_052744348.1_1 [gene=LOC112056723] [db_xref=GeneID:112056723] [protein=dopamine receptor 2-like] [protein_id=XP_052744348.1] [location=470..1870] [gbkey=CDS]</t>
  </si>
  <si>
    <t xml:space="preserve">ATGAATGCAACCAAACCAGAAATACTGGTGGCACGAAGCCAAACTGACATATCGCTTAAAGAGCCAGACTTTTTTCTTGAATCAGCAGGATTTCCTTTCAACACTTTATTGGAGTATAACATTAGTTTTGACAACAGCACATTCAATGTAACAGTGGATTTAGAAGAACCTTGGAATGATTATATCAAACTTCTCCGTGATCGAGCTGTTCTTGTTGCCTTTCTGCTTCTTTTCTCTTTGACGACTGTATTCGGAAACATGTTGGTCATTCTCGCAGTTGTGAGAGAACGCTATCTACATACGTCTACAAACTACTTCGTGACGTCACTCGCGGTGGCCGATTGTCTGGTGGGCTTAGTTGTGATGCCCTTTTCTGCACTGTACGAAGTTTTGGAACATACTTGGTTTTTTGGGGTGGATTGGTGCGATGTTTGGAGATCCCTGGATGTGTTGTTTAGTACAGCGTCAATACTGAATCTTTGCGTCATATCTTTGGACAGATACTGGGCTATAACGGACCCTATAACATATCCTATGAGGATGAGTGGACGCAAAGCGGCATTTCTGATAGCGGCAGTGTGGGTGTGTTCGGGCGCTATATCGTTTCCAGCAATCGCGTGGTGGCGCGCAGTGAGAATAGAAGAAGTACCAGATTACAAGTGCCCCTTCACGGAAAACTTAGAATACATTATATTTTCATCAACAATATCATTTTACTTGCCATTATTCGTTATGGTGTTCACGTATTACCGTATATATCGTGCAGCGACGATACAGACGAGATCTTTGAAAATCGGGACTAAACAAGTGATGAGACCTAGTGGGGAGCTAGAATTGACTTTGCGTATACACAGGGGTGGGACGGTGCGTAAGAGGAACGAAGTGTGTCATGGGGCGTGTACTCCTGAAGAAGCGGATCAAGAACCCTTGACCGCGTTGCAAAACAACGGACTTTCCCGTTCTTCGACGCGTCTAACCAATGTGGCGCATAACAAGAATTTGCCAAAAAACTTTTCCCTGTCGCGTAAGCTCGCCAAATTTGCGAAAGAGAAAAAGGCAGCTAAGACTCTGGGTATCGTGATGGGTGTGTTCATAGTGTGTTGGTTACCGTTTTTTGTAGTGAATCTCCTGTCGGGGATATGTTCGTCGTGTATCACGCACGAGGAGATTGTCAACGTGGTGGTGACGTGGCTGGGATGGGTCAACTCGTCGATGAACCCAGTCATTTACGCCTGCTGGAGTAGAGACTTTAGAAGGGCATTCCTTAGAATTATATGTGTATGCTGCCCGAGGAAGTTGCGTAGGAAATACCAGCCACAGCTCCGCTTCAAGCAATCGCAGTATCCAGTGACAACGATGATGTATTCGTCAGTGTCACAACACGAGATGTGTCGTTTGTGA</t>
  </si>
  <si>
    <t xml:space="preserve">&gt;GOR22_Bany_15856</t>
  </si>
  <si>
    <t xml:space="preserve">ATGACCACATTTAACACAAAAATGTATAACTTCCAACAGACAGAAGAAATGAAAAAGAGGCATAAGTTTGACAAGATTGGTGGAAATGATTTTAAAGACAGCTGTAGTGACGACTATACTAACGAACGAACTACAAAACATTAATATACAAGTAAATATATGTTAAATGTAGTTCTGAAAAAAAATCCAACCAATAGGTATTATTTTTGATACATCCAAATTTTACCACAAATTTTGCTTTTTCATCCGAAATGTCGACATGCATAAATTTGCATTCTTTGATACCGAAAATTACATTAGCATTTATATGATAAATGATGTTTATTTATGCAGTAAATGAATAAAGTATTATTATAATATTTTCTGACACGTGTTCGAAAATAGCTTTAATTTTTCAGAGGCGGTTCTGGTCAACCAATAGCTATATATTCTTAAGAATGCTTATAATAAATAACGGAAAAATCTCGTTTTGTTTCAGCATATCAGGAAAAAGATGTGTACGGACCACAGATAACAGACAAAGATGGCGCACTGCTAGACAAACACGACAATTTCTACATCACCACGAAGAGCCTGCTGGTGCTATTCCAGATCATGGGCGTTATGCCCATCATGCGGGTGCCGAGACATGCAGAAACAACAAAACGGACAACATTTAATTTCCTGTCTAAGGCAACCTTATGGGCGTATCTGGTATGGAGTCTTGAAAGCATTATTGTTATAAAAGTGGGGAAGGAGAGACTCGAAAATTTCCAACAGAACTCTAACAAACGTTTCGACGAAGTGATCTATAATATCATATTTCTAAGCATCCTCATTCCACACTTTCTCCTGCCTATTGCATCGTGGCGTCATGGACCTGAAGTGGCGATATTTAAAAACATGTGGACACATTACCAACTAAAGTACCTCAAAATAACTGGCACACCAATAATTTTTCCAAACTTGTATTCACTGACGTGGGCTCTGTGTATTTTCTCTTGGGCGCTGAGTTTTGCTGTTATTCTTTCACAAAATTACCTTCAAGACGACTTTGAGCTGTGGCATTCTTTTGCTTACTATCACATCATTGCTATGTTGGATGGTTTTTGTTCATTATGGTATATAAACTGCAATGCATTTGGCACTGCCTCCAAAGGATTGGCGGAAAATCTACACAAAGCCTTGAACGCTGAACATCCGGCACTGAAGTTGGCACAGTACCGCCATCTGTGGGTCGACTTGTCGCATATGATGCAGCAACTTGGTCGGGCGTATTCTAATATGTACGGCATTTATTGCATGGTCATCTTTTTCACAACAACCATCTCTCTTTACGGCTCCCTCTCAGAGATATTAGAACATGGTTTGAGTTACAAGGAAATGGGGCTATTTGTTATAGTGGGCTACTGTATGACACTGCTGTTTATCATTTGTAATGAAGCTTATCACGCTACTAGAAAGGTTGGCCTGGAATTTCAAATGCGTCTACTCAACGTGAACCTCGGCGCTATCGACCGTAACACACAACGCGAGGTGGAGATGTTCCTCGTGGCCATCGCCAAGAACCCGCCCATCATGAACCTGGACGGCTTTACCAACATCAATAGGGAGTTGTTTACAGCTAATATATCCTACATGTCCACATATTTGATAGTACTGATGCAGTTCAAGTTGACGCTTCTACGACAAGGTTCAAATAGAGTCATCAAGACCATAGTTCGAGCAATTTTCAACAGTACCACTGCACTACCTGATGAAGATGAAGATGAAATAGATGGAGAATAAATATTAAAAATGAAATAAAAATGCACATTGCACAAAACATTAATACACAAAAAACAAATTGTATTAAAACACATCTAAAACTTAATTAATTTCAGTTACTTACATTATGCATTAAAAACCTACATTACATATTTTGATATCACACTAATATTATAAATGCCAAAGTTTGCGATTTGGCTACTG</t>
  </si>
  <si>
    <t xml:space="preserve">&gt;OR17_MSTRG.11135</t>
  </si>
  <si>
    <t xml:space="preserve">CGACCATCGTGTGATCAGCGGATTTGTTTATACAGTTAGTTTCGGTAGCGGCGGCCTGGAGTTCAATAAACTTCCTCAGGACGGGCTTCACAGAAAATGTCATTATTGGTTATTGGTGTTAATTCGAATGTTAGATTTTAGCTAACTTTGTGTTCTAAGTGTTAGTGCGGGTGCTATGGAAAACCAAAATTCTCCCGAACGGAGTGTACCTATACAGTATGTCCGCGCATCGCGAGCCTTTCGACAATTTAAGAATCCTCCGCAGCCGCATATGTGTATACAGGATACTATCAAGGATACTACTGAAAAACTCTACATTAATGTGCTAGGATGGCAGAAAATTGCGAACCCTAAACAGTGTTGTTGGTGTTCGCTGTGATGGTCAATCCTGATATACTGAAGGCAAATGGCAAGAATGCTATAAACCCAACGGATCGGGAAGCCTTAGTAAGCTTGCTGTGTGACTTTGTAGAGGCTATGAACCCTGGACTGGCTTTAACAAGGAGTCCCATCATACTCAAAGATCGCGACCTGGCCGGGGAACTGAAGGATGTCTGGCTTGCTGTGCAGGCCAAGAGAGAACGGGAGAAAGGACTCAACCAGGAGGTTATGTATAAGGTTTACGACATTGACGGCATAGGTTGTGAAGACCCCAATGAAGAAGAGCAAACAAACAGCAGAAACAAACAATATGACAATAACTCACTAAACAGAACACAGAATTGTGAAAAGCGAAAATACCCAGTGAAATCTTCTAAGCAGATACTCAAAAATGCTGGACAAAAGTCAGAATTTGACTCTGGGATGAACAACTGTCAGCTGAACCAGAACAATTTAAACCGGGACAACCGTTGTGGCAACACTGACCAGGACACTACGTACTGTACACCAGTGTACGGTCAGATAGTGTCCACCAGAGAAAACCACAATCAAATAAACGATATACAACAGAAATTTGCAACGAACGACAACGTCAAACCGTCTAGTTCATACAGAAAAGACTGGCAACCGTGCAAACAGGCGCAAGGGGTCTTGGACGAAGTGTGGGACGAGATCACCAAGAAGGATGCACCGTCGAAACCTGACGGTGAAATAAAAACAAACCGAGATGACTATGGTGTACGCAATATTAATCTAAAACACAATGAGAGTGAAACAAAAAAACATAAATCTAAAACAGACAAAACGAAGCCTGTCACGAATGGAAAACCACATTTTGACTTTTTCCCTGTTTTCGACAATAAGACAGTTGTAACAGAAAGTCCGGACAATGCGACGGGAAAACTAAAGGAACAGAATAAAGACATAAGTGACGATGACAATTCTAAAATAATTGTAGACCCAATGCAGAAGTTAGTTCTGCATTCGACTGATAACAAAATATGTGATAATAAGTCAAGTGCTCTCAGTTCGTATAGCTCGTAATCTCATAGCTTTTACACTTTTTGTATAGCAGGTATGTATTGTGCTTACATTTGTTTATGATAAGAGATTTTTTAATACATTTAATGATTTAGACCATTTTCAATAAAAATAAAGTTATTATGTAACTTGAATAGCTACTATAAGAGAATGTATTGAAAAATGTCTGCATGTAGCAATGGAATGTGACGGCTAGTCAAGTTCGTATGGATTACAATATAGAACAAAACTATTTAGATTCAGACACACAAAACTAAATCAAAACATTTTACTACATAGTACTACAAATTAACATTGTAGTAATTACAAACACAGCCAGTTATTACTACAATGATGTTTTTGAGAAGTAGTAGTAGAGGAAATCTAGAAAATATGACTACAAGAATTACATGCTCCCTACCGATGGTTAAAAAATCTCGAGTCATGTAATTCTTGTACAAAACGTATACGATTTTTTCTACATTTCCTGTACGATAGAGAGAAAGACCAAAAAGTTTATGGAACATAATAATATATAACATAGGATGTTTTGGTTTAGTTTTGATATAAAGTATAAACGAGAACAATAGATGATACAAAATTAGTTTTTTTTGTAAATCAAAGTTTGTTAGCATGCTGTAGGAGGAACAATATTATTGTGCGTACCACAGTACGCTTGATTATTATATATTAGATGTAGTGTGATGAGTTCATATTGATATTTGCATATATACTGAAGGTTTTATTTATTTTAGACTGTATGGAACATGTTTATATTGTTATACATGATTGCTAGATGTTGGAAGAAGTAGATAATATTCAGGGGTGAATAAGTTTCAAATAATCTTAAGTGAATTTATTTAGTTTCACAACTCAGAAACTCTTTGCATTGTAATAAACAAAACACTGATATCTTTAGACTGGCTTATTGGACCTTCACTGCTATGCCTAGTTCGGACTACTTTAGTATTTTAGTTGAGTACAAACAATTTTTGGATCTACCTCCCAAAAATCGTTTGTACTCGGCTAAAATACTAAAGTAATCCGAACTAAGCCTCAAACATCTAGTTAACATTGCAACAATATCACAGACACAGGCAGTCTGGGGTTAAAACATACTATCATAATCACCCATGTATGTTTCTGAAGAAGATTAAGCCGGGTCTAGACGTGTGTAACAGGTAATGTAAGATTACGTGTAATTTAGTGTCAACAGTGTGGACGGCACACGAACTCAAAGCGAATTGTTTACGCGAGTCTATTTCAAGAGCGGTTTCCAATAGTAGCGAGTAGAGTAGCAGAGCGCCTTTGTGTTCGCGCAAAAAACCGATAGCCAATGGATCAGCCTAAACGCAGGCGCGAGCGTTACATGTATTTATTTATTTATATAAAGTACGCCAACAATACACATATTAAACTTTAAAAAATCAAATAAAACATGTCACATGAAAGAATTCTGATATAAATAATACGAACACAGAACATTTATATAATTATATGTCAACACTTAACCAATTATATTTCAAATTTATAGGAAAGATTATCTAAACGTCAAAGTTAATTAATGATTTAAAATTAAATAAAATAGTGTACAATTTTGAAACAATTGCAAAAAATAGAAAACAAATGACTTAAATACAATTATTAAATTAAAATACTTTGTTATATATACAAAATAAAAAGAAAAACATTAAACTAATTGTTGTTACATGTAATGCTTGTAGTGCTGTCCACACGTAGAATTCGCATTACAATACACGGTGGATTACATAACGCGTTACACACGTCTGGACCCAGCTTTAAATGTTCTCAAACAGTGTCAAACAAATAAAACTCACAGTATAAAGTATTAAATTAATATCAGGGTGTAAAATGTAAAATGAAGTTGGATTGTCTGCAAATTATATATATATTTTTTTGTGCTGCGTGATTGTTAAAGACAATGGTTGTGTGTTCTTTAGTGTTTTGTAAACGGTGGCCAAATGCGGCCGGAATGCCGACTGTTCACAGTTCTTTATAGTCCAAGAGCCCAAAGTCTGTCGCTGATAAATCGCTGCTGCAATTCAGATCAATACGATTTACAAATACATGATGTAATGTGTATATTTACATGATTTTGTTGTACTTCTAACATGCCGCGGTTTCTGGTATAGTCCTTTTCATGAAAGAAAATTCCCGCGGCGATAAAGTTATAATGGCGCTCATTGTCATTGGTAATGGCGGTCTTATTGTCATATGTGTATGGCGCTGTCAATTTTAGTTCAGGTTCTAGCCGCGGGACTTCTTTCATGAAATCGACTCTACGGCGACAAATTCCGGTATTTTTCATCCGGTATGTATTTGAAATAATGGTAATGATACTCCTACACCGTTTTACTTCGTGGGCTCTTGCGCTATATTAAGTGAATGTAATTTTGTACATTGCTATATTTTTCATTGTTGCCAATTTTATAAGGAAAATATAAAAAAAAATAGGCGTGGTGTATAGACGCAGAAACATTTTGACTTCGGCGATCGCCGCTGCGTCTGTGAGCACGCTGTAGCGGAGGCCAACCGTGGACGGAATAGGGTAGTTGACTCATCAAAGGAGATGGACCATTTCAGGTCCACTCTTGTACCCCGTATTATTAAGATTTAAAAAATACAAGGATCTCATTAAAATTTATTAAAGTGAATAAATGTAAATAAATAGAAAGAAATAAATAAAATGAAAACCCAAGTTTTTGAGTTACATCAAGATGGCGCCCATACAGAAACTATGACATGACAGTTGACAGCAAACGTCAAATCGATTACTGCATTGAAAACGTCATCAATCCGCCATTATTACCCCTAATAATGTTGCATTTATTTAAAAATTATATATTTATTCAATATTTCAAACGTGACATCACAATATTACTAGTCAAACTAATAATTTTGTCAAATACTCCGTTTGGTTCAGATTTAGTGTTAACTTGACGTCATGAAACGGTTAAAATATACTCATCATGGCCAAATAAAAAAAAAGAATTCAAAAATATTTAAAAATTAAAATTGATAGTTGCTCAAAAAAAAATATTTTTGTTCAATCTAGTACTCGTACAACGGTTATGAACAATTTAAGGCCATTTAAAAAAAATGTCAACTAGCCTATTCGCAAGTGCGTCCACGGCACCGAACTAGCTTGTGTCCTGCGTCCAGTGGTGTCCACTTCATATAAGCACTGCTTAGTATTAAAACATCGATTTAGCGATATTATATGTATTGTCAATGAAATAGGGTATGGTTGCCTTAAATTATACCACAGTGTATGTAATACTACAGTATTCTTTCCTTAGGGGATATGATTTAAGAAACATTACCCTACTTTATTGGCAGTATTATTGTGAGTACCTGGTGCCTCGACTATTTTTCCATTTTGTATAAATTAATGCTTACTTATGCTTGCCACTGCCTACACTCAAATCTCGATGATATTTGCGACGAAATTCGCGAAGCTTTCTCCGATGTGTGCTACGATTCCTAGCGCAAGTTTTTATAGCAGAAAGCGATTATTGGTCATGTCTAATATACTAATATAAGTACCGCCAAGAGAGTTAGCGTTCCGGTACGATGTCGTGTAGAATTTTTTTAAACAAAAAGTAGACTTGCTCAAATCGATGCGTTTAAGTTAGTTGTACTCACGTGGCTCAACACGTCACTGCGGTCGCAGGATTGTATCGGTGTGTGGTCTCCGCCTAAAACACTCGAATAAGCATTAACACTATTGCTCATTATATTGTAAAATTTTGAAAAATTGTTTACCCTTTTTGAAATGTAACTATTGGTTACGTTACTACGGATAAATGTTGAAATACACGTATACTTAACTGTTTAAAATGTTGAACCTAAAAATTAAGTATTAATAATTTCGCCTGTTTATATTTCTGTTACGGTATAAATCCTTTTTAGATTAATTTATTTATTAGTACTTAACATATAATCACAACTTAATAGAATAGACATAATTAAACAAAAAATACCGCTAACAATATTGACCAAGTGTTCAACATTTATTTGTAGTACAATTTTTTGCGTACTATAAAGAGTTTGTCGCTTAGATTTATATTGTATATAAAATGATCTCTTCATACATTATAGTTGTTATGGAATTCCTCATTCTATTCGATGTTGCCTTCACCGCCCCGACACTGCCAAATAACGCTTCATTCCCCATTCTCCCTCTAATCGTGACACTTTATTTAATTCCACTTACGTAAGCTCCTTGAACATATAAGAACTTCATAAACAACTCCTTATACATATAAAATAAAAGCCGAAAGTACAGAGAACCGAAAAACTGTGTGATTTTTTTTGTAGGAATTTGTAAAGGGTTCTTAGGACATCACTAATGTAGGCATTAGACAACGTTGTTGTGAAAAATCAAAAATGAAATGTATTGAATTTTAATTAGGCTTGTACATATATACCAACGTGAGCAGTGTCACTAACATGCGATTGACCTGACGAAACACTGAAAATAACGATTTCATGTTTTTCAAAATTAGGAGCAATGTCAGAATGTGACATGAATCATTCTGAATGAATTCAGAATGTGAATGAAACGCACGTAATTTAAATAATTTATCTACCCGTAAAGCAAACATTACTACATCACTACTTCTTTATATAAACGCATGTTTTTAAACAAAGGTACAAAATGAAAAGTGTCATCCCCTGTCAACCTAGCAAATCGGTAAAAACGAAAATATTAGGTACATGCCTAGTCCACTCCAGCTATGACATTTCTGTAGCGACTCCCATATTAAGTAATAGGTACTGTAACTTTATGAGATGTTATGAAATTCTTATAATATATAGGAGCTATTAAAACTCCCAAACGAAGGCCAAGGCTACATAATTTAATTTAAAGATAATTTTGACGGCAATAACAGAAGCTTGGCATTTAATGTAGCATTAGCCTTATGCGGAATTTCCTTCAAAATGTCTGCAACAACGACGTCTGAGCCTTGTATGTAAACTGCTGTCACATGAGAATAAGATGGAGGAATGATAAAAATAAATGGCCCGCAAACGGTTTACGTTTTGACCGAGATCTCGCACGTCTGGGAGTGCTTTTAACTTTATAAAACATAGTATTATTAAATGTTTGTTATATAGATTATAGATATAGTTTACATAAAGCTATATACCTACAGATGTTTTTTTTCTAAACGTGCAATTTTTTTTTATTTGAGCCAAGATTATGTCCAATTTAAGTACTGTATTGTAATATAATAATCATATAAGGCATTATTTTTTCGGTCACTAAGTATTGCACAATAGGTATACAGCGATAGCGATGAAAGAACAGCGATATTTTCATCTATTTAAACTTTTTGCGACTGCCGCGTTAGCAGCGCGTTTCAATTGCGTCTGACGCACTTTGATTTGGAATGAATACGTCATCGCATTTATTTAATTTTGTTTGTGAAATTAATTGGAAAACACTGAAATAGCATTTAATATATCTATAATAATATAACCAGTGCTTGAGTTATTTGCAGTAATTGTATTTTCAGTTGGATGTAATTTTGGCTCAGGCTTTTATAATTATTGTAAAATCGAATATGAAATAATATATTTTTTAACAATTTTTCATTGTAATTAATTCATTTTTATGATATACATTTTATTGGTACTCTAACATAACGTTCATCTTTTGAAGAAGTAGCTAGGAATTAAAATGTTATCTATTTAAAATAAAATCAACGAATATATTATAAATGTTGATTGTAATAATAACTAACGGCATAACAATAGAAATCCTGAAAAAATTAATGCGGCATATTTTTAAAGTTTTAATCAAAATATTACAAAAACAACGACAACTTTGGTGAAACTTATAGAGCTTCTATTGTTATGTCATTTCTATAAACTAACTATTCCAAAGTTATAATGAACGTTTTTACCTCGGATGACAAACTGTTACAGATTGTTCAGTTCATGTTTTAGCATATAAACAGTCCCTGTTAATTTAACACTAAAAGTGTTTTTTAAATGTATTTACTTTCCATGGCGACAGGTTTACCGTCACTTTTGGAAGATGGTTAAAAAAACCAAAAGCGGTAACATAAAATAATATTTATTATTAGGTTGTAAACTCCACGTGACAACGATGTCATCAATATGGACGTTGTAACATGTTGATGTCAATTTATTGATGATAGTGGACCAACAGTCTGTGAAGGCCAGATATTCATCATTTTATAAAAGCTGAAACATTGTAAATAAATATGCTCTTGCCATAAGTAGGTATGTTAACAATGTGGAGTTTGGACGATAGTGGGTTCGGGAGTTAACAGGTTTCAAGTGTCCAGACCGACAATTGTTCAAGTATAGAACGTAGTTTGTTATATTTACCACGGAATGTCACGAGAACTAATGTTCCCATGTACGCCAGACACTTGGTTTCGAAGAAACCTTTAGTATGATATTTTACAATGCTTTTCGAAGGGTTTCCATTGAGCGTTATCTGGAAACTGGGGATTTGATTTCTCATGTAATACCAGGGAAATATAAGTAAAGTATGAGTGGGAAGGTTGAAAGTCTGGTCAAAACCTGCTACTTCCCAAAGCCTCCGCGGCCCAAACTCCATAGTTGCGCACCATATCTACTTAACTATAGTAAGACAATGGGCTCTTACACTTTAACTTTTTTAAAATCACGAAGGTATGGCTGTCACAGACTTTGAATCTATAGTAAATGTATTTTAATGAGGAATAGAATGCCATGGTTAAGTTTTTAAGAAGTCACATCATGGGAGTTTCAATATAGAGAAAGGAGATACTTACATTTCTCGTCACTGGAATTAAAAAGAGATTAGAATGAGAACAATTTTGTAAAAATATTTATTTTAATATAACTTACTTCCTCAGCATTTATTTTTATATATTTGTTATATTATTTTGTGCATATTTGTTGAAACGGTACTTTAACATTAAGTTAACATTAACATTAGTTGCGTATTAAATTTTATAGAACAAAAATATTATCTGATTTATAGCTAGTTTTAGATGATCATCAGCGTAGCCATAAAAGCAGTAATTATGTTCCTTTTGCTATTAAAAGCTTTTTTGTAACTATAGATTTACTATTTTTATCATTTTTAGCTGATATAACCATGTAGCTAGTCTTATATTTGCAATATTATATTATGACAATAGCATTTATTCGTTTATGAATATAGTAAACGCTACTGTCGCGGTTTTAATAAGAATCGCGACGTGCGTGTAATGTAGCCCATATAATGAAATATACGTATTATTTGAACGCAATTTTAAAGTTGTCGAAAATGTAATAATTAGTGTCTGTGCTAATCTGAGGCCCCTAGAACATGTCAGTAAAGTTTTATTAATATAAAGGAATTAAAATATCGGATCTCTTGTTTACAGTATTTAAAATTACATGTCATTTACAAGACTGGTTTGGTTGTTTTATTTCATTGTTCACCACAGAAGCTTTATAAACGAATACAAAGCTTTGAAAAAAGTGGGTGTACTTTAGACTACATCACCACACGACTTTTTTTAAAAATGAATAGGTACTAAATACCCTATAGGTACTTAAATAGAGCCGTGATAGCCCAGTGGATGTAACCTCTGCCTCCGATTCCGGAGGGTGTGTGTTCGAATTCTGTCCGAGGCGTGCACCTCAAACTTTTCAGTTGTGTGCGTTTTAAGAAATTAAATATCACGTGTCTTAAACGGTGAAGGAAAAACATCGTGAGGAAACCTGCATACCAGAGAATTTTCTTAATAATCTACGTGTTTGAAGTCTGCCAAAGCGCATTGGACTATTGGCCTAAGCCCTCTGTTAGCGACGCAAATACTATACTTGTTATTTAATCTGTGCTTTACAATAAAGAGGCAAAAACGCAGCGTATATGGTGACAGCATACGTCATACTTTGACAGCCGTTTAAACATACAAACCGACTTTTACGCCAAGTGCCTAACCGTCACCATATACGTTCCCGTTTTAAGCCGTTTTAACAAAG</t>
  </si>
  <si>
    <t xml:space="preserve">&gt;lcl XM_052885041.1_cds_XP_052741001.1_1 [gene=LOC112050897] [db_xref=GeneID:112050897] [protein=serum response factor homolog isoform X2] [protein_id=XP_052741001.1] [location=117..1307] [gbkey=CDS]</t>
  </si>
  <si>
    <t xml:space="preserve">ATGTGCGCACCGGTTACTGTGGCGTACTGCGAGGTTATAATGGACCCGCCCGGCGGAGCTCGGGAGCCCCGCTTCGGGTCGCCGTACGGTATGGGACTCCTTGGAGAGGTGCCGGACATGTACGGCGCGGGCCGGCCGCCGAGCGCGCTGGGGCTCCGGCCCGGCATGCAAGCCTGCCCGTCGCGCGGAGTCAAGCGCCCTGCCGAGCAGTGCTACGAGGAGCGGCCGCAGAGCCTGGGCCTGGAGCACTGCGCGCTGCCCGACATCGCCGACGACGGGTACGCCTCGCTGCAGCCCAAGAAGTCGCCGCCCTCCAACGGCAAGAAGACCAAGGGCCGCGTCAAGATCAAGATGGAGTACATTGACAACAAGCTGCGTCGTTACACCACCTTCTCCAAGCGGAAAACGGGCATTATGAAGAAGGCATACGAGCTATCAACGCTGACCGGCACGCAAGTGATGCTGCTGGTCGCGTCGGAGACCGGCCACGTGTACACGTTCGCGACACGCAAACTGCAGCCGATGATCACGTCCGACTCGGGCAAGCGGCTCATACAGACGTGCCTCAACTCGCCCGACCCGCCCACCACCAGCGAGCAGCGCATGGCCGCCACCGGCTTCGAGGAGACCGAGCTCACGTATAACGTTGTAGACGACGAGATGAAGGATGAACCGGCTTCCTCGGGCGACAGTGGAGACGAGAGCGGCAGTGAACCGGAGTCTCCGAGTGAAAAGTTGATGCAGCAGAACCATAAGCAGGAGTGGATATGTGCTGACAACGAGCGGGAGTTTAAAAGGGAACCTCCAACCGACAATCTACCGTCAACCTCAACAGCGAACCCTGAACCGGAAAGCAGCAAGTCGACCCAACCATCACTACCCAAGTTATTGCCAAAGATAGACCTGCCAGGAGGAGCGATGTTATACCATACAGGCGTGTTGGGCTTGGACGGGCTTGGCAACAACCTGGGGCTTGGCAATTTAGCCATGGGCTATCCTCACAGCTTTATATTGGGACTGGCCAACCAGGGTCAAGAAGGAGCGTCATCATCATCGTCGCAGCCGCAGTACATAACAATACCGCTGTCGATGGCGATGGCGGCGGCGTCGGGCCCCGCCAACGGCTGTCCCAGCGCCTCCAGCGACGACAGCAGCGAGCTACAGGACCTCAGCACCGGCGGGAGGAAATGA</t>
  </si>
  <si>
    <t xml:space="preserve">&gt;lcl XM_024085182.2_cds_XP_023940950.1_1 [gene=LOC112047886] [db_xref=GeneID:112047886] [protein=protein abrupt isoform X2] [protein_id=XP_023940950.1] [location=231..1376] [gbkey=CDS]</t>
  </si>
  <si>
    <t xml:space="preserve">ATGGCAATGCCTGAGCAGTTTTCATTGCGTTGGAATGATTTCCACGCAAACTTGTCCCAGTCTTTCCAAGCTTTGTTGGAGGGCGAAGACCTAGTAGACGTGACGCTGGCGGCTGGTGGTCAGTATGTCCACGCTCACAAGCTCATCCTCTCAGTATGCAGTCCCTATTTCAAGGAGCTATTTAAGATGAATCCCTGCGAGCACCCAATAGTAATACTAAAGGATGTAGCTCACCAGGAATTGCGACAGCTTTTGCAATTTATGTACCGTGGAGAAGTCCACGTCAGACAGCAAGAGTTGTCTGCTTTTCTTCACACAGCAGAGCTGCTGCAAGTCAAAGGGCTTACGGGCGGTAGAGAGAGAAGTGAATCACCTCCTGCACCAGTGGAAGAAGATATACTAAATGCTCCTATGCCACCTGAACCTATTGGTGATAGTTTGCCTGAATGGGTACCATCAAATGATGAAGCGATCCCTCCTGAAGTCTCGCAAGAATCTGCTAGCTCTCTAGTCCCTAAAGACGAAGCTGCTCGGAGCCCTTTGAAAAGGTTGTTGAAGAACACTACAAACAAAAACAGTTACAACATCAAGAAGAAACCACGGCCCGTGAGCGATAATAGCCCTTCGCTTGCTGAAAACACGGAATACTCCTCTGACGGTGAATTAATGATCGACTTTGACAACGATATGCTTCACAATCTGGTTTCGGCAGATTCAGCCAAAGAGTCCGGATGGAACTGCAAAACGGGCGGGGTTAAATGTCCGTCTTGTCACCGATTTTTCGCGAATCGATACAATCTGAAAGTACATATTCGGGACAAGCACGACACAAGAGAAGGAACTCTGCAGTGTGACATTTGTCAGAAACGTATGCGCAACCCATCGTGTCTCCGTGTCCACATGTACCATCATCGCAAGCAGGCCGCCTACTTGGCACAGCTCAGTGCCCAAGGAGACCAAATGAGTGTACAAAACATGGTTGGAAATAAATGGCGCCCGGATCCCAACACTGAACTGCGAGATGTCGATAATTACCCAGCGTCAGGAGCCATGGAACTGAAGTACCAGCCGGCTGGCGACGCCCCGTTGCCGGCAGTGGCCGAGGCAACGCTTCCGAAAGTGGGAGCAAATGTGGAGACGGCATGA</t>
  </si>
  <si>
    <t xml:space="preserve">&gt;lcl XM_052881588.1_cds_XP_052737548.1_1 [gene=LOC112052596] [db_xref=GeneID:112052596] [protein=rhomboid-related protein 2] [protein_id=XP_052737548.1] [location=242..1270] [gbkey=CDS]</t>
  </si>
  <si>
    <t xml:space="preserve">ATGGCTCCAGATGCGGAGGATTGCGAACAGGTGGAGCGGTTAAATGCAAACTATCCAGAAGTGCCCGTACACCAAGGCAGACGGATTCTGCCAGAAGTGCCGCCGCCGGCGCAAGCCTGGACAGAGAACGAGGAGTTGGGCCTCGGAAGCGATAGCAGGACCAACAGTCCTGGCGAGAACAGGCGACTCCTCGGAACCAAGCCCCTCCAGAAACCCTCCTGCCGTCTCCAGGCCGGTCTCACTTTAGGAGTGTGGGTCGTCAAAAAACCGAAATGTTCGTCACTAAAGTCTGGAATAAAAACGCAAACCAAAACGAAATTTCAGAAGAGAAGGGAGAAGTTAAAAGATGTTCTTAGGCCTCCCTACTTCATCATCACCATGCTGTTCCTTATTGTAATGGTGCACCTCTGTGGTCCGGACGAGTTGCGCTCGAAGCTGGAGTGGGCTCCGGAGGCGTGGTGGACGGAGCCCTGGCGCCTGCTCACGTACGGGCTGGTGCACGCCGGCGCCGCGCACCTCGCCATCAACGCGCTGGTGGCGGTCACTGTGGGCTGGCACCTGGAGCGCGAGCAGGGCTGGGCGCGCGTGGCGCTGGTGTGGCTGGGCGGCGTGGCGGCCGGCGCGCTGGGCGCGGGCGCGCTGCAGCCGCGCGTGCGCGTCGTGGGCGCGTCCGCCGCCGTGTACGCCTTGCTCACGGCGCACCTGCCCAACGTGTGCCTAAGATTCGGCCACATCCCCTTGTGGTGGTTTCGGCCGCTGAGCGTCATGGTGCTGGGCGCGTCGGAGGGCTGCTGGGCGCTGGTCCGCACCCCCGACCCGCAGCTGTCGGCCTCGCATGTGGCGTGGGCGGCGCACGCGCTGGGCGCGGCCGTGGGCGTGCCGCTGGCGTTCCTGGTGTTCACAGGAGAAAATTCACATAAACGAAGCGTAACAGTGTGTAGAATATCGTCGGGCCTGCTGCTGGTCATGGGAGTTGTAGCTGCCGCTCTTTACTATCGCTTCTGGTACGAGGTCGATCCGATGACTTGA</t>
  </si>
  <si>
    <t xml:space="preserve">&gt;lcl XM_052883132.1_cds_XP_052739092.1_1 [gene=LOC112045926] [db_xref=GeneID:112045926] [protein=rhomboid-related protein 2 isoform X6] [protein_id=XP_052739092.1] [location=388..1335] [gbkey=CDS]</t>
  </si>
  <si>
    <t xml:space="preserve">ATGGCATTACGTCACCAAATGGATAAAATTATCAGTTTTAAAAATGTGTTTTTAATTGTATCTCTAAATGTGTCACTTTATCCAGGCCCAAGTGAAATGTGGTTAAAAACATGTAAACAGATAGACAGTTATAAGAAATTAACTAGTGAAATAGACAGAGAAACAGTGATAAAAATATATATCAAGAAAGTTTTGGATTGCATCAAAAAGTTTATTGATTATTTTGACGGCACCTACGAAGAGGAGTATTCCTGCTGGCCGCCCGCCATCTGCATGATCCTCATATCAATAGCTGAGATCGTGCTGTTCTGCTACGATGCTGCCCAGGGCAAGACTGACGCGACCGGGCCCATCGCTCAGATATTTATATACAACCCCCACAAGAGGCAGGAGGCGTGGCGGTTCCTTACATACATGCTAGTTCATGTTGGCGTAGTTCATCTTCTAGTTAATCTGCTGGTGCAATTGTTCCTCGGTGTTCCACTGGAGATGGTCCACCGGTGGTGGCGAGTCGTCCTGGTGTACTTGGCGGGCGTAGCGGCTGGATCGTTGGCGACGAGTCTCACCGATCCAAAAGTGTATCTGGCCGGAGCGTCAGGAGGCGTCTACGCGCTTATTGCTGCACACATTGCCACTATAATTATGAATTGGGCGGAGATGGAGTTCGCAATAATCCAGCTGCTTGTGTTCCTGCTGCTGGCGGCGGTGGATGTGGGCACGGCGGTGTACGACCGCTACTGGCGCCATCTGCAGCAGAACATCGGCTACGTGGCGCACTTGGCCGGAGCTGTGGCCGGTCTTCTTGTGGGCATTGGTGTTCTCCGGAACTTGGAGAAGAGAAAATGGGAGAAGCGTCTATGGTGGGCGGCAGTAGTACTTTACTTCTCCCTCATGATAGGCGGGGTGCTTGCCAACATATTTTGGACGTCACATTTTCAAACTACATAA</t>
  </si>
  <si>
    <t xml:space="preserve">&gt;lcl XM_024078680.2_cds_XP_023934448.2_1 [gene=LOC112043329] [db_xref=GeneID:112043329] [protein=presenilins-associated rhomboid-like protein, mitochondrial] [protein_id=XP_023934448.2] [location=162..1205] [gbkey=CDS]</t>
  </si>
  <si>
    <t xml:space="preserve">ATGTTCTTCAGAAATGTTCAGTGTGCAGCAGAAATAATACATTTCTGCAAACCAGTATTTTATAATCAAAACTCACAAAAGAATAGATATGTCCGGCTACAAGTACGCAATGCCTTTCACAATACGCGACGTGGCGGGCGGCGAACGGTCACAGAGCCAAATCCTATTGACAACATACTTATAGAAGAACCCCTGAAATTAAGTGCAAGTGGGCTGTTAAAGCCCTTCTTCTTCACTATAGGGGTAACATCTGTAAGTCTGGCTGGTTGTGTCATTTGGGAATATGAGAATCTCCGCTCACATGCAAGTTCATTTCTCAAAAAACCAGGACAATGGTTAAATGCCCATCAAAAGCGTGTATCAGCATATAATAGATCAGAACCTGGACCTATTAGGAAATGGTGGAGTTCACTGAGGGAGAGTGAAAAAGTTTTCTTTCCAATTTTAGCAGCCAATGTTCTAGTCTTCTGTGCTTGGAGGGTAAAGCCTTTGCAGCCGTTCATGATCAAATACTTCTGTTCAAACCCTTCTGGCAGAGCAAAATGTCTGCCAATGGTTCTGTCCACATTCAGCCACTACTCAACACTACATTTAGCTGCCAATATGTATGTCCTATATAGTTTCATGCCAGCTGCACTGGCATCACTGGGCAAGGAACAGTTTGTAGCAATGTATTTGAGTGCTGGAGTCATCAGTAGTTTTGCCAGCTTCCTCTACAAAGTTATGATAAGTCAGCCTGGTCTCAGTCTTGGTGCATCTGGTGCGATAATGGCAGTTTTGTCTTACGTCTGTGTACAATATCCTGACACAAGATTAAGCATAATATTCCTGCCAATGTATACATTTGCTGCTGGAACAGCAATAAAGGCTATTATGTCTGTGGACTTGGCGGGCGTAGTTATGGGATGGAAGTTCTTTGATCATGCCGCTCATCTTGGTGGTGCTTTATTTGGCATGGCGTGGTGTTACTGGGGCAACTTGCACATTTGGGGCAACAGAGACAAATTCCTACAGTATTATCATAGCATCAGAAAAGATGCATGA</t>
  </si>
  <si>
    <t xml:space="preserve">&gt;lcl XM_052888412.1_cds_XP_052744372.1_1 [gene=LOC112046576] [db_xref=GeneID:112046576] [protein=protein trachealess isoform X2] [protein_id=XP_052744372.1] [location=109..2682] [gbkey=CDS]</t>
  </si>
  <si>
    <t xml:space="preserve">ATGGAGCACGGCGGAGGTTTCGCATCGTCGCCGTGGGCAGCCATGATGCATGGCATGCATAGCATGATGCCGCATGACTATGCACATGCTGCGCCCGTGCCGATGGACCTGCATGTGCCACAGCCGTTCCCTTACTACCGGTATAGAGACGAGGCGTTGTGCTGGTCTGACAGAAAACCGTCAGTAGATGGCGTTAGCAACGCAGCTTCTGTAAACAGTCGATACTATGCCCCAGAGAACTGCATCCTCGAGCTACGGAAAGAGAAAAGTAGAGACGCGGCCAGATCTCGGCGTGGGAAAGAGAACTACGAGTTCTACGAGCTAGCGAAGATGTTGCCCTTACCGGCCGCTATTACCAGCCAGCTGGATAAGGCTTCGATCATAAGGCTGACCATAAGCTACCTCAAACTAAGAGACTTCGCCAACCATGGCGACCCGCCGTGGAGTCGAGATCTACCCTCTAGTAAAGCTTTAAAAGGTGCTCAGAACAGGCGGACATCTGCAAGTCTTGCGATGGAGCTGTTCGAACAACATCAGGGCACGCATATCCTTCAGTCTCTCGACGGGTTCGCTCTCTCTGTGGCGGCGGACGGGAGGTTTCTGTACATATCTGAAACTGTTTCTATATATTTAGGGCTATCACAAGTAGAAATGACAGGCAGTAGTATATTCGACTATGTCCACCAGGCGGACCACGCGGAGATAGCGGAACAACTGGGCCTGTCCTTAGCAGGCAGGTCCGGGGGCACCGGACTCAACAGTCCGGCGTCAGGCAGCGAGGAAGGCAGTCAGCATGGGACGAATAATCCTGACGTATCAGCACAAATGACGTTAGCAGCGAGCGGCGCATTATTCCGAGGGATGGACCGGGCCTTCTGCATCAGGATGAAGAGCACCCTCACGAAGAGGGGCTGCCATTTCAAGTCATCAGGTTATAGGGTGGTGCTAATGTTATGCCGTCTACGGCCGCAGTATTCCTTCTCACACAGTCGCAAGACACCGCCCGCTCTGCTGGGGATGGTGGCACTGGCGATAGCTCTACCACCGCCATCAGTGCACGAGATCAGGCTAGAGTCGGACATGTTCGTCACCAGGATCAACTTCGACTTCCGAATAGCGCATTGCGAGCCCAGGGTATCAGAGCTACTGGGATACACCGCCGAGGAGCTTACAGGGAAAAATATTTACGCTCTTTGCCATGGAGAAGACGCGAACAAGCTTAGAAAATGTCACGTAGATCTGATAAACAAGGGTCAAGTGCTGACACATTACTACAGGCTGATGAACAAACTTGGCGGCTATACCTGGATGCAGACTTGTGCAACCGTCATCTGTTCCACTAAGAATGCAGAGGAGCAAAACATTATTTGCGTCAATTATGTTATCAGTGGCCGAGAATACCCAAACACGGTGATGGACTGTTGCCAATTAGAAGAAAGTTTACAGGGAGTGAAGAGAGAGGAAACCACAGGGGATCCAGAAAATGGCCCACCGGACGCCGATACGCCTGGAGCACCTCCACCTCCTGCAAGACACACTGCTGAAAGAACTGAGGCACCTGCAAATACAGACTCAGCCTCTACCGCACCTCCTACCTCCGAAGTGCCTCATTTAACAAGACTAAGTGACTCGCAGCCTATATCACTAAATGCAACCCAAGAAAAAACCTCCCCTATGCCAGCCAGAAGGATGAAGAAACGGAAACATACCACAGACTGCGAGGAAGATCCAGAAAGAGAGGAAGAGAGACGAAAGAGTTCCTCAAATCCCGCTGCCACTATATCCACAGAACGGGACATGACTAAAACTAATCTAGCAATTCCAGAAACATCTGATGCGACATCAGTTAGGGATTTAGAAAACGCTATGTCCAAACATTTGCCATCGTTAGACGGGAAGGAGATATCTCATCGGCCTACAGATTTTTCTACGGATGCGTTATTAAAACAACAACAACAGAAATCTACTATTCAATGGATCGGCACGCAAAACCATCACTTGAATCATTTGAATCGCCAAATCCCTGTGAGTCATTCTTCCACGCCCGCTTCAGCATTGTTAAGGCAACTGTACGCGAGTCGAGAAAGCGTTATTAGATTAGGGGATGGGAGAACAGGAGGCTATTACTCAAGTGATGGTCAATCTGGACCTCTACCCACGCCTCCCGGCAGCGAAGGGTCTGGTTACGGGGAACAATTAGGCCACAAAGGCACAGATATTAGTTCCTTACCCTACGGACCGTATGCAGACTATCATCCTGCAATGACCCCTCCTGGATCAGTATCGCCCAGGGATAAACAGCAATACCCTTTGCCATACGATAACAGTCATTATTCAGAAGCAATAAGGCACTCCTATTTAGAATCTTCGTTCCCATTGAAACCTCAAGCGTACTCAGCGGTGCCTGGTGCTCTTGACTACGCGTCATCTATAGATCAGTCACAGTTCTTCCATCCGCCTGCATCTTTTCATCTCTATCACCCACAAGCGCATTCCGCTCATGCGTCTCACTCGCACCAACCGACAGACAAGTCAGCGCCGCCGAATACAAATTGGTATTCGGCCAGCTCATAG</t>
  </si>
  <si>
    <t xml:space="preserve">&gt;lcl XM_024095242.2_cds_XP_023951010.2_1 [gene=LOC112055221] [db_xref=GeneID:112055221] [protein=transcription factor ATOH8] [protein_id=XP_023951010.2] [location=249..1019] [gbkey=CDS]</t>
  </si>
  <si>
    <t xml:space="preserve">ATGTCAACAAATACATTTATTTCCGCCTCCGGTGATGTTGCAGTACCTGATGCTAAAGATCGTATCCTAGAACGAGACGCGGGCTTCGTGTCGGGCGGCGAAGATGACGACTCGTGTTCCGGCCCCGCCCACTCCGACGACTCCGGAGTCAGACTCACCGAGACCGAGTCACGAGTCAAACGGGTCCACTCCCCCACCCGCCAGCCGCCAAAGAAACGTATCCGCCTCGACTCCACAGAAGACATATGCGAAGCGCCGAGATTCAGACCTTGGTCATTCGCCGAGGAACCCCAAAATGAACCCTTATCTTTAGTGAAGAAAAGCGAAACTAGTCTGCTGAGGCAAAGGCGGAGGCCTTTAGAACCACCTCCGCCTCCAACCCCAACTCTTATCCCAATGCCAGAGACCACAGGCCCGCCTAGAGTTCCACCGCATCCAGGAGTAACCGATTCGTTTACGGAGAAAAACAAACCGCGAGAGCAGAGGAATTACAAAAACATGACAAGAGAAAGGAGGATAGAAGCCAACGCGAGAGAGAGAACAAGAGTTCATACAATAAGCGCAGCTTTCGACACTCTTAGAAAAGCAGTGCCTTCTTATAGCCATAACCAAAAGTTGTCCAAACTTTCCGTTCTTCGGATAGCGTGCGCCTACATTGCGGCCTTGTCAGCAGCGACAGACCCCGACGCTGACCTCGCGGACGCAGTGGAAAAAGTCACGCAAACCATACACACGGAAGGAAAACTCAGGAAAAAGAAAGACGAGCCTTGA</t>
  </si>
  <si>
    <t xml:space="preserve">T164</t>
  </si>
  <si>
    <t xml:space="preserve">Mahjong</t>
  </si>
  <si>
    <t xml:space="preserve">Sector 1: Protein Mahjong (B1): LOC112045818</t>
  </si>
  <si>
    <t xml:space="preserve">Mahjong_AHox1_TBX20 doc</t>
  </si>
  <si>
    <t xml:space="preserve">ATGGATTCGGGACCAGCCCAGGAGGTAACCGAATTGCTTAAACAGTGGGAAGAACAGCACACAACGCCTGGATATGACCCTATACCAACACTAACTAGGATAGCAGAAATAATAGAGGCAGAGACAGAGAATTTTATGAAGAAAGACCCGGACCCTTTTGATGAGAGGCATCCATCTCGCACAGACCCTGAATGTGCGCTGGGACATGCTCTCAAAGTTATGTTTAAGAAGGATAACTTTATGACCAAGTTAGTAAATGACTATGTGCGCGACTCATACTATTCGCGCCAGAACATAACGGGCCGGGACGTGCTGAAACTGAACGTGGTCGCTTGCAGACTCACCCTCGACCTGATGCCGGGCCTGGAGATGAGTGTTGTGTTCCAGGACAACGAAGCCCTAATCCACCGGTTGCTCAACTGGGCCTCGAACTCGCCGGAGCCCTTGCAGTGTTACGCCACCGGGCTGCTGGCCGCCGCCATGGAGGTGCAGGAGATCGCCACCAACTTCAGGGACCTAAATGCAATGCTGGTGCCTTTAATGCTAAAAAGGCTACACGAACTGAGAGCGAAGCCGCAGGATGACAAACCAGGCACCAACCTCGTGACTCCACCGAGCCAGACGAGACACTTTGCGAGGTTCGACAAGAGGAACAACGACATCAAGAGTAACGGACCGCTGCACGATAAGAAAGATCGCGAGAAAGACGACGGTGGAGGGGGAGGTGTGGACCACACACCTTCCATTGCCAAAGATCCGGCCACGCCCGTCAAAAACTTCAACTGCAGCGCGGGCTCCCCCGAGCGGTGGGGTCTCATGTCACCCCCCGCGCGCCCCCCGCCGCCCGCGCCGCCCGCCATCCACCACGAGACCTCCTCCAACTCCAGCTGGGCGGAGATGGAGACCTACGTCATAGGTGAGAGAGTGAGACAGAGTCGTCGCAGGCAGCGCGGGCCCCCCGAGCGGTGGGGTCTCATGTCACCCCCCGCGCGCCCCCCGCCGCCCGCGCCGCCCGCCATCCACCACGAGACCTCTTCCAACTCCAGCTGGGCGGAGATGGAGACCTACGTCATAGGTGAGAGAGTGAGACAGAGTCGTCGCAGGCAGCGCGGGCCCCCCGAGCGGTGGGGTCTCATGTCACCCCCCGCGCGCCCCCCGCCGCCCGCGCCGCCCGCCATCCACCACGAGACCTCTTCCAACTCCAGCTGGGCGGAGATGGAGACCTACGTCATAGGTGAGAGAGTGAGACAGAGTCGTCGCAGGCAGCGCGGGCCCCCCGAGCGGTGGGGTCTCATGTCACCCCCCGCGCGCCCCCCGCCGCCCGCGCCGCCCGCCATCCACCACGAGACCTCCTCCAACTCCAGCTGGGCGGAGATGGAGACCTACGTCATAGGGAACATACATATCCACCCACCGACAGATGCAACCAAACAGATGTTAATACTACGGTACCTCACACCCATCGGTGAATATCAAGAGTTCCTATCGCACGTGTTCGAGTGGAACGCCCTGGGGCTCATCCTGGGTTACCTGAACGTGCGCGAGTCGCGCGACTCGCGGCTCGCCTTCGAAGCCTTGAAGTACTTGGCGGCGCTGCTGTGCCATAAGAAGTTCTCCATAGACTTCATCAACATGGGAGGATTGCAGAAATTTCTAGAAGTTCCCAGGCCGTCAGTGGCGGCGACAGGCGTTTCCATCTGCCTGTACTACCTGGCGTACTGCGAGGACGCCATGGAGCGAGTGTGCCTCATGCCGTCCCACATACTGGCGAACCTTGTCGAGTATGCGTTATGGCTTCTAGAATGTTCGCACGACTCGGGCCGATGCCATGCCACCATGTTCTTCGGGCTGTCCTTCCAGTTTCGAGTCATACTCGAGGAGTTTGACAAGCAGGACGGCCTCAGAAAGTTGTACAACGTGATATCGACGCTGCCGATCCTCGGCTCTGACGAGGAGGAGTCCAGGGTGTCTGATGATGAGACGTGCGCCGCCAGGCAGATCGTGAGGCACGTGTGCGTCGCACTCAGGAGGTATTTTGAAGCACACCTGAGGATACGAGCCGCTCACGTGGCGAGACAGCAAGGCGACAACGTCCCCGACCCGCCGCCGTATAAGGCGTCGAAGTCGTCGGTAGAAGAGATACAGGAGCAGATAGAGGTGGTGCAGAGCGCGTGGTGGGCGCGCTGGACGCCGGTCGACGAGCTGCTGGAGCTGGGCGGCGTGTCGCTGCTGCTGCAGGTCGTTGGCTACGCATACGACTGGAACTTCAACGGCAGGGCGGAGACGGTGCGGTCGGCGCTGGACGTGGTGTCGGTGTGCTGCGTGGCGCCGCGCGTGCAGCTGCTGCTCACCGACAAGATCAACATGCGCGACGCCGACCTCACCACCGGCGTGCACATCGTGCTCAGCGCGGCGGATGGCGACATCGTGCCGGAGCCCGAGGTGCAGAAGGCGGCGCTCAACGTGCTCGTCAACTGCGTGTGCGCGCCCGTGCACCGGGGAGGTCCCTCATCTGCGAGGTTTTCACTGAGCGGATCAAGTAAAAAGAAGACAGCGGTAAAATCGTACGAAGACGTCATACAGAAGGTGTGGGAGAGCGTTCGGACGAACAATGGAATTATGGTGCTCCTGTCGCTGATGATGGTGAAGTCCCCCATCACGGACGCGGACCGGCTGCGCGGGCTGGCGTGCCGCGCGCTGGCCGGCCTGGCGCGCTGCCCTACCGTGCGCCAGATCATCTCCAAGCTGCCGCTCTTCACCACCTCGCACCTGCAGGTTCTGATGCGGGACCCGATCTTGCAGGAGAAGAGGCAGGAGCACGTGATGTTCCAGAAGTACGCGCTGGAGTTGCTCGAGCGAGTGTCGGGCAAGAGTAAGCACATGGGCGCCGAGTTCGAGACCTCCCTCGCTAACATTCACAGGGCGAACGTGGTGGCGCAGACGCGGATCAGTTACAACGAGCGGCAGCTGCTGCAGCTGGTGGCGGCGCACCTGTGGGCGCGCGGGCTGCGGGACAGCGCGGCGGCGCTGCAGCGGGAGGCGGGGCTGCCCCCGCCCGCGCCCGCCGCGCCGCCGCCCCACCCGCCGCCCGTCTACACCCCCTCCACGCCCGCGCGGCCGCGACTGTCCGTCTCCCGTCAGAGCAGCTGCGCGTCGCTGCACCGCGACAGTCTGGACCACTCGCTCGTCAACCATGAAGACAGCCCCGTGCCCTCCGTCATCAAACTCAGGAAGCTGCAGAGCCAGGCGCACGCGCACAGCCCCGGGCCGGCGGAGCGTCGCTCGCTGCAGAAGCAGCTGAGCGCGGCGGCGGGCGAGCGGCCGTGCTCGCCGCCGCGCGTCACGCTGCACTCCATCATCACGGAGTTCCTGTACAACCAGCACGCGCTGTGCAAGAACCCGGTGGTGACATGCCCGCAGTTCAATTTGTTCGAGCCGCACAAGTGCCCCGAGCCGGCGGCGGGCGGGCTGGCGTCGGTGGCGTCGCGCGGCGCGGAGGCGGGCAACCTGCTGGCGCGCGTCGTGCGCCGCGAGACGTTCGGCACGACATCGTGCCGCGCGCACGCGCGTCTCGCGCACTCGTACTTCGCGCACGTGCGCACGCTGCGCCTGCAGGACGACGACGGCTACTTCACGCACACCATATTCCATCCGACGCAGCAGCAGTTGCTGACGGCGACGTCGTCGGGCGACATCCGGGTGTTCAACTTGTTCACGGGCGTCGAGGAGAACTCCTACCAAGTGCACGAGTCCTACATATACCACATGCAGGCGAGCAGAGACGGGTGCCTGTTGCTAGCGTCGTCGACGACGTCGTGGCGGACGCTGTCTGCTCTGTGGAACATGAAGGAGTTTGAGCAATTGTTCCAGCTCGACAACGAGGAGTACGTGGAGTTCTCCAAGGTGTCTGACGAGCGCATCATCGGCACCAAGGGCGAGACGGCCAGCGTGTTCGACACGCGCACCGGCCGCGAGCTGATGACGCTCACGCCGGCCATCTCCAACCAGTACGCCAAGAACAGGGCCACCTTCAACCCGACCGACGAGCTGGTGCTGTCAGACGGTGTTCTATGGGACGTGAACACTGGCAAGGAAATTCACAAGTTTGACAAGCTGAACCAAACGCATAGCGGAGTTTTCCACCCCAACGGTCTAGAGGTCATATCAAACACAGAAGTATGGGACCTAAGGACATTTCACCTTCTGAGAACAGTGCCTTCATTAGACAAATCAGAGGTGATATTTAACCCGACCTGTAGCGCGCTGTACGCCGTGTGCTCAGACCAGGACTCCGAGGAGCGCAGCCAGTTCGACACCAGCTTCAAGACCCTCGACCCCTACGACTACTCCAGCATAGCGACGATCGACGTGAAACGCAACATCTACTCGCTGGGCGTGTCGCAGTACGGCACGCAGATCTCTCTGGTCGAGAACATGGGAGAGTTCGAGCAGGTGCAGGAGTCGTGCGTCAAATTGTATGACGTAGGCAGGAAGAGGGACCACGACGACGACGCGGACGAGGAAGAGGAAGAGGAGCTGGCCGCGGGCTCGGACAACGATGACGGATCGGACTCCGGCTCCGACAACGTTGACGACTTAGCGTCCAGCCTCCTGCAGCGGTACAACGCGGTGATGGAGCTGGCGGAGGGGTCCGGCTCCGCGTCCGGCTCGGCGTCCGGCTCTGCGTCCGGCGACTCGTCGCGCGAGGAGCTCGACAGGGACGAGGAGCCGCCGCGCCGCCGGCCGCGACGGATGCGGACGCGCCGACGGGCAGCGGAGAGACGCAGCACGGACAGCGATGGCGACTCCGAGAACATCATAGAGTTCGAGCTGGACTAG</t>
  </si>
  <si>
    <t xml:space="preserve">T165</t>
  </si>
  <si>
    <t xml:space="preserve">AHox1</t>
  </si>
  <si>
    <t xml:space="preserve">Sector 2: homeobox protein AHox1 (B2): LOC112043835 (homeobox protein 10)</t>
  </si>
  <si>
    <t xml:space="preserve">ATGATACACATGAACGCAGAACAAGACGGAAAACCGATACACACTAAAGACACTGGAGAGATGCAAACTGTCGTGTCGAATTACGTGACGCCGAGCTTAATTACGCAAGCCGATAGGTTGATATCTCACAGCTATTCCGCTGATAACTACACGGAGTACTATGGAGATGACGTAGATAGGTTATCTCTCGAAGGTAGAGACGAAAGAGATGAGAGAGATGAAAATATCAACGTCGATGAGGACGATAAAGAGGAAGAACTGGTCATCGCTGACGATGTTACAGATGATACGAATATTGATGATAGATGCGATGAAAGTACACACGATTCCTATATAAATAGAAACCAGTTAGAAAGATGTGTAGAAGAGAGTGCCATACAAGAAGAGAACAGTAATTTAAACAGTGATAGAGAAGAAAGCGGCGAACCGTCATGGCATCCGCACGTTTATGGCAAACCTCCCAAAAAGCCTACACCTCACACCATAGAATACATTTTAGGTATATCTGGAGAGGTGAAAGAGCAACGGTCGACGGTGAGTCAATTAATGAATGTGAAGCGAAATTTTGCGATCAAAAAGACTTTTAACTATAAAGAGAAGAGTACACAAGTGCCGAGGGATATGACGGAGAGGAAGGTTAGTCTCAGTGTGCAAAAGAATAAGCTGCAAGAGCAGTTGCTGCAACGCGGTGTTAGAACTAGTAACAGTGATTATGACAAAGTGTACCCCTTCAAGAGTGACGAGCAGCCGCTGAATCTTTCCGTGCCCAAGCCCAAGGATTCGCCAGCGTGGAGCCCTGCTGGGGACGAAGATAAGTTTAACAGAGATACAAAACACATGAAACGCAAGAAGTCCACTGACTCGGTCCGTTCGCCGCTGGGCGGGGAAGGCTCCATGACCAGCGAGGAAGGCGAGGAGCTGGGGCGGCGCAAGAAGGCGCGCACCACCTTCACCGGCAGACAGATCTTCGAGCTGGAGAAGCTGTTCGAGGTGAAGAAGTACCTGTCTTCTGGCGAGAGAGCTGATATGGCCAAGCTGCTGAACGTCACCGAGACGCAAGTAAAAATATGGTTCCAAAACAGAAGAACAAAATGGAAGAAGAAGGACAATTTATCAAACGCAGAAGTAGCAGAAATAAAACAGCAAAACAAGCCAAACGCAGAAGAGAAGACTGAGGAAGTACAAGACCCGCTGGCCCTGGACATGTCCAAGAAAACGTGCAATAAAATACTTAGTGAAAAATTAAGAAACACTCCACAAAAAGTGCCCCTACCACAGATACCAAAACCTAGGAAAGTAGAGAAGGGGGTCGTTCTAGAATCGATATGCGACTCGAATGATATAGAAAGTAGGATATCGATTACGAAGATAACGAATAAACTATCGAGTACAGATCTCTCGGAAGCTGTGTCGGTGAAGAGTTTCACTCCCGAAGAGGTGAAAGAGAAGTATGACTCCAGAGAGGTGGAAATGTAA</t>
  </si>
  <si>
    <t xml:space="preserve">T166</t>
  </si>
  <si>
    <t xml:space="preserve">TBX20</t>
  </si>
  <si>
    <t xml:space="preserve">Sector 3: T-box transcription factor TBX20-like (B3): LOC112048683</t>
  </si>
  <si>
    <t xml:space="preserve">ATGGATGTGGAGGGGTGGGGCTCCAGGATGGTCGCGGAGGAGGGCAAGACCCGGGCCACGGACTTTTCCATCGCGGCCATCATGGCTCGCAGCGCGGAGCAGAGGCGAAGCCCCGTCGCCAGCTCGCCGCCATTCCTCGGTCCATCATCGCGGCAGAGTTCGCCGGCGTCGCTCAGTTCGCCGGCGTCCAGCTGCCGATCACCCGTACCCGACGAGGATGTGGAGGTGGACGTGGAGCAGTGCTCGGACGGCGAGCGGGACGCGTCGGACGCGGCCGCCCCTTCCCCCGCGCCTTCGTCAGAATTAGGCGAAAGGGACACGCCCTCTCCCGCGCGCCCGCTGCCGCCCCCCGCGACCTCCTGCAACTGTGAGGAACTTTTGTCGGTCGACTGTCAGCTGGAGACCAAAGAACTATGGGATAAGTTCCACGATTTGGGCACTGAAATGATCATCACTAAGACCGGGAGACGCATGTTCCCGACGGTGCGCGTCTCGTTCGCCGGCTGCCGGTCGGAGGCGCGCTACGCGGTGCTGCTGGACGTGGTGCCGGTGGACGGCAAGCGCTACCGCTACGCCTACCACCGCTCCTCGTGGCTGGTGGCGGGCAAGGCGGACCCGCCCGCGCCCGCGCGCCTCTACCCGCACCCCGACTCGCCCTTCTCCGGAGACCAGCTGCGCAAGCAGGTCGTGTCCTTCGAGAAGGTCAAGCTCACCAACAACGAGATGGACAAGAATGGACAGATAGTCCTAAACTCGATGCACCGGTACCAGCCGCGCATACACCTAGTGAAGGTCCGGGACGGCGGCGGCCCTATCACCGACCTCTCCCGGGAACAGCACCGAACGTTCATTTTCCCGGAGACAGTCTTCACTGCGGTCACGGCCTACCAGAACCAGCTCATCACCAAACTGAAGATCGATTCCAATCCATTCGCGAAAGGATTCCGGGATTCCTCAAGGCTGACTGACTTTGACAGAGATCCCATGGAGTTGATGCTAATGGAGCAGCAGTTACTTCGCTCTCCGTTACGGCTGTACTCGGGGGCGAGCAGCACTATTGAGGAAGAAGCAGAGAAACGGGCGGTCTGGGCCAGGACCCCGCCGGCCTTGCAGCTTCTAGCGCTCGGAGGCCGGGCCTGGCCTTCCGCTTGGCCGCAACCCCTGGGGCTTCCACCAGACCTCTGGTTACAAAAGCCCCCTGCGCCAGTTCGGTACTGCCCGTACCCCCCGCCCGCGCACCCTTCCGCCCCCAGACCGGACCATTCGCCCTCACCGCGACACCCTATGTAA</t>
  </si>
  <si>
    <t xml:space="preserve">&gt;lcl NM_001310068.1_cds_NP_001296997.1_1 [gene=tph2] [db_xref=GeneID:407712,ZFIN:ZDB-GENE-040624-4] [protein=tryptophan 5-hydroxylase 2 isoform 1] [protein_id=NP_001296997.1] [location=89..1729] [gbkey=CDS]</t>
  </si>
  <si>
    <t xml:space="preserve">ATGCAAGGGAAGAAAACCTCTCAAGAGACAACAGCAACTATGTCTAATGAACTGCAAACTAATCCAAAGGGGCAGCAAACAGCCCCTAAATCACCTGTTGGGCTTCTTAGGAAAAGAGGTCAAGAAGCAATTCCGAAGATGCAACCTGCCATGATGATGTTCTCCAGCAAATACTGGGCTCGGAGAGGACTATCTTTGGATTCAGCTATGTATGACCAACAGCACCTTGCATCCTCCATGCTCCGCAGGACATCCTTTAATCGGATAGATGAAAGACCTGACAAAGAAGAACAGAAATCCACTCATGACCTTGGGAAGCTGGCAGTGATTTTCTCTCTGAAGAATGAAGTTGGCTTTCTGGTGAAAGCGCTGAGGCTCTTTCAGGAGAAGCATGTGAATTTGGCGCACATTGAGTCTCGGAGATCAAAGAGACTCACCAATGAGATTGAGATATATGCAGAATGCAACTGCACAAAGAAAGAGTTCAACGAACTGGTGCAACACCTCAAAGACCACGTTAATATTGTCTCGTATAACACACCTCAACATGTGTGGTCTGCAGAGACCGACTGTTTGGACTGTGTGTGTGTTTTGGGTGGATTGCCAGATGGGGAAGGAATACCATGGTTTCCCCAAAAAATCTCAGAGCTGGATCAGTGCTCCCATAGAGTGCTAATGTATGGCTCTGAACTGGATGCTGATCATCCAGGCTTTAAAGACAAGGTCTATCGGCAGAGGAGAAAGTACTTTGTGGAGGTTGCAATGAACTACAAATTTGGGCAGCCCATCCCACGGATTGAGTACACTGCAGAGGAAGTAAAGACATGGGGAGTCGTTTACAGAGAACTTACAAAACTCTATCCAACTCATGCCTGCCGCGAATACTTAAAAAACCTTCCTCTGCTGACAAAGCATTGTGGGTACAGAGAGGACAACATCCCACAGCTGGAGGACGTGTCTCTATTCTTAAGAGAGAGGTCAGGGTTTACCGTAAGGCCTGTGGCTGGATATCTCTCACCACGAGACTTCCTGGCTGGACTGGCTTATCGAGTGTTTAATTGCACTCAGTATATTCGTCACAGCACAGACCCTCTCTATACACCAGAGCCGGACACCTGCCATGAACTGCTTGGTCACGTGCCGCTCCTGGCCGATCCCAAATTTGCTCAGTTTTCTCAGGAGATTGGCCTTGCATCTCTAGGCGCTTCAGACGAAGATGTGCAAAAGCTGGCAACTTGTTATTTCTTCACAATAGAGTTTGGGCTGTGCAAACAAGATGGTCAGTTGAGAGTCTATGGAGCAGGTCTACTGTCTTCTATTGGAGAGTTAAGGCATGCGCTTTCTGATAAAGCAACAGTGAAGGTGTTTGACCCCAAAACCACGTGCTACCAGGAGTGCCTCATTACCACATTTCAAGATGTGTATTTTGTCTCTGAGAGCTTTGAGGAGGCAAAAGAGAAAATGAGGGAATTTGCTAAATCAATAAAGAGGCCTTTTTCTGTCTACTACAACCCTTACACGCAGAGCATCGACTTACTCAAGGACACCAGGAGCATTGAAAATGTGGTTCAAGATCTACGCAGCGACTTAACCACCGTCTGTGACGCCCTGGGAAAAATGAACAAATACCTCGGTATCTAA</t>
  </si>
  <si>
    <t xml:space="preserve">&gt;lcl NM_001017708.2_cds_NP_001017708.2_1 [gene=gad2] [db_xref=GeneID:550403,ZFIN:ZDB-GENE-030909-9] [protein=glutamate decarboxylase 2] [protein_id=NP_001017708.2] [location=315..2066] [gbkey=CDS]</t>
  </si>
  <si>
    <t xml:space="preserve">ATGGCATCACACGGGTTTTGGTTTCTGGGGGCTGAAAACGCGGCTGGAAACGGCAGTCAAAGCCCGAACACGCCTAGAGCATGGTGCCAGGCGGCGGCCCAGAAATTCAGCGGAGGCATCGGCTCCAAATTATGTGCTCTGTTAAATGTCGGGGAGGCTGAGAAAGCAGCTCAAGCCCCAGTTAAAGCCGAGGATGAGTCTACAGCCGAGAGCTGCGGCTGTAATAAACCCTGTAACTGCTCCAAAGCCACCGCGTGCTTTTCGGATCTCTACTCAACAGATCTGTTACCTGCACTGGACGGAGACGCGAAGACTATGAATTTTCTGCAGGAGGTTGTGGATATATTGCTGGCTTATATAGTGGAATCATTTGACAGGTCTACGAAAGTGATTGATTTCCACTATCCAAACGAACTGCTCCAAAGGAATAATTGGGAGCTTTCGGACGAACCCGAGACTTTAGACGATATTCTGATCAGCTGTCGCGCTACGCTTAAATATGCCATAAAAACTGCGCATCCCAGGTATTTCAATCAACTCTCCACTGGGTTAGACATGGTTGGCTTGGCTGCAGATTGGCTAACCTCCACTGCCAACACCAATATGTTCACCTATGAGGTGGCTCCAGTCTTCGTGCTGTTGGAATACGTCACGCTGAAGAAGATGAGGGAGATCATTGGCTGGCAGGACGGCCACGGTGATGGAATATTCTCTCCGGGTGGCGCCATTTCCAACATGTATGCCATGCTACTGGCTCGCTATAAAATGTTCCCTGAGGTGAAGGAGAAAGGAATGTCATCCGTACCTAGGCTGGTGGCCTTCACATCAGAACATAGCCATTTTTCAATCAAGAAAGGAGCAGCTGCTCTTGGAATCGGTACAGAGAGTGTCATTTGCATTAAAGCTGATGAGAGGGGTAAGATGATTCCATCTGACCTTGAGAGGAGGATCATTGAAGCCAAGCAGAAGGGATACGTGCCGTTCTTTGTCAGCGCGACGGCCGGCACCACGGTTTATGGTGCCTTTGATCCTTTGATCGCTATAGCGGACATCTGCAAGAAGCATGACGTCTGGATGCATGTGGATGGAGCATGGGGTGGAAGTCTGCTAATGTCCCGGAAACACCGGTGGAAGCTTAATGGAGTTGAGAGGGCTAATTCTATGACCTGGAACCCTCATAAAATGATGGCTGTGCCCTTGCAGTGCTCTGCTCTTCTGGTTCGAGAGGAGGGACTGATGCAGAGCTGCAATCAGATGCAGGCCTGTTATCTGTTCCAGCAGGACAAGCATTATGACCTGCAGTATGACACAGGAGACAAGGCCCTGCAGTGTGGACGTCATGTGGACATCTTTAAACTGTGGCTGATGTGGAGAGCTAAGGGCACGATTGGTTTTGAGGCTCAGATCGACAAATGCCTGGAGCTTTCCGAATATCTCTACAACAAGATTAAGGACAGGGAAGGATATCAGATGGTGTTTGATGGAAAGCCGCAGCATACCAATGTGTGTTTCTGGTACCTTCCACCGGGCGTGCGCTACCTGGAGGACAAAGTGGAGAGGATGAAGCGTCTGCACAAGGTTGCCCCTGTAATCAAAGCCAGAATGATGGAGTACGGCACGACCATGGTGAGCTACCAGCCACAGGGAGACAAGGTCAACTTCTTCCGCATGGTCATCTCCAATCCAGCCGCTACCTTTGAAGACATTGACTTCCTCATTGAAGAGATCGAGCGACTGGGGCAGGATCTTTAA</t>
  </si>
  <si>
    <t xml:space="preserve">&gt;lcl NM_178291.2_cds_NP_840076.1_1 [gene=oxt] [db_xref=GeneID:352920,ZFIN:ZDB-GENE-030407-1] [protein=oxytocin-neurophysin 1 precursor] [protein_id=NP_840076.1] [location=64..528] [gbkey=CDS]</t>
  </si>
  <si>
    <t xml:space="preserve">ATGTCTGGAGGTCTGCTGTCCGCGGCGGCTCTGCTGTGTCTGCTGTCCGTCTGCTCGGCCTGCTACATCTCAAACTGCCCCATCGGAGGAAAACGCTCCGTTCAGGACTGGCCCATTCGACAGTGTATGCCGTGTGGCCCCGGGGACCGCGGACGCTGTTTCGGCCCCAGTATCTGCTGTGGTGAAGGCATCGGCTGCTTGGTCGGCTCTCCAGAAACCCTGCGCTGTCTGGAGGAGGATTTTCTCCCTTCTCCGTGTGAGATGTCTGGAAAGGCCTGCGGTTATGAGGGACGCTGCGCTGCTCCTGGAGTCTGCTGCGACTCGGAGGGCTGCAGTGTGGACCAGTCGTGTGTGGACGGAGATGCTGACGCTGCAGCTGTCAATCAACCGGCCAACAGCCCAGATCTGCTGCTGAAGCTCCTGCACCTGTCAAGCCACACCCACCCCTCCAGAATCCACCAATGA</t>
  </si>
  <si>
    <t xml:space="preserve">&gt;lcl XM_695289.9_cds_XP_700381.4_1 [gene=chrm3a] [db_xref=GeneID:571679] [protein=muscarinic acetylcholine receptor M3] [protein_id=XP_700381.4] [location=341..2128] [gbkey=CDS]</t>
  </si>
  <si>
    <t xml:space="preserve">ATGGACTCCAACAGCACCGAGTTGGGCCACTTCTCTCCATCCGACACCCTCGGAGTGGGAATGTACCCGGCATCCACTCTGTGGCCACTGCTCCAGAACACAAGCCTCGTCAACCTCACTGCTGTTTTCAAGCTCAATGGGAGTAATGCTGAGGCTGAAGGTCAATCCTATGATCCTCTGGGTGGACACTCGCTCTGGCAGGTCATTCTCATCGTTGTCTTTACAGGCCTGCTTTCCCTTATTACTATTATCGGCAACATCTTGGTCATGGTGTCATTTAAGGTCAACCGACAGCTCAAAACAGTTAACAATTACTTCCTACTCAGCTTAGCCGTGGCAGATCTCATCATTGGGGTCATCTCTATGAACCTGTACACTGCCTACATCGTCATGGGCCAGTGGGCGATGGGAAACTGGGCATGTGACCTCTGGCTAGCCATAGACTACGTAGCCAGCAATGCATCTGTCATGAATCTGCTTGTCATTAGCTTTGACCGATATTTCTCCATTACGAGGCCTCTGACGTACCGTGCCAAACGCACCACCAAGCGAGCAGGAGTGATGATTGGCCTGGCATGGTTTGTGTCACTCATTCTTTGGGCACCTGCCATTTTGTTTTGGCAGTATTTCGTAGGACAAAGAACTGTTCCACAGGATAAATGCTACATTCAGTTTCTCTCCGAGCCTATTATTACGTTTTGCACCGCAATGGCGGCGTTCTACCTGCCGGTGACGATAATGAGCGTTTTATACTGGCGAATATACAAAGAGACAGAAAACAGATCACGGGAACTTGCTGGATTGCAAGGTTCAGGTGGACGATTTGGAGGTGTTGAGCGACCACGCTTCCATCTCCACGCCACTAGGGGGAGCTCTAGGAGCTGCAGCAGCTTTGAACTGGGCCAACCTGGTCATAAAAAAGCCTCTGTTCACAGTCTGAGTGGGAGATTCCACTGTTGGGGGTGGAAGTCTGGTGGCAGTGATAAAAGTGGGCCAAATAGGGAGGCAGATCAGAGCAGCAGTGACAGCTGGAACAACAACGACGCTGGACTTTCAGCTGATCACTCAGGTTCATCTGATGAAGACGAGAGCGCACCATCTACAACAAGAGCCATCTTCTCAATTGTTCTCAGTCTGCCTGGCGTGAGGGCCGCAGTCAACTCCCAGGTCACTTCCTGTGAGGAACTGGACACAGAGGAAGATCCCTTACGGTCAGCCGAGGAGAAGGACAGCAGGGATGGCAGCATCTCACGCTCTGTCACCAACGGGAACAAGCGCTTTGTGGGTGGCATGAGTAAAGTTCAGTCAATGTCTGCAATACAGCCGACAACAGATACCACCACAGACAGCACTAACACTACCATCAAATCTCCCTCAGCACCAATAACTTTCAAAGAGGCAGCTTTAGCAAAACGTTTTGCAGCTCGCGCAAGGACACAAATCACCAAGCGCAAGCGCATGTCGCTAATAAAGGAAAAGAAAGCAGCACAGACTCTAAGCGCCATCCTCTTTGCTTTTATCATAACATGGACGCCTTATAACATCATGGTACTGGTGAACACTTTCTGCAATGGCTGCATACCTGAGAACCTCTGGGCGCTAGGCTATTGGTTATGTTACGTCAACAGTACAGTAAATCCTATGTGCTACGCACTTTGCAACAAAACTTTTCGTAGCACTTTCAAAATGATCCTGCTATGTCGCTGGGATCAGAAAAAAAGCAAGCCAAGCTTTCCGCAAAGACAGGCTGTGAGGTTTCACAGGCCCATACCGACAGACTCCACATAG</t>
  </si>
  <si>
    <t xml:space="preserve">&gt;lcl AF036148.1_cds_AAB88820.1_1 [gene=nrd] [protein=NeuroD] [protein_id=AAB88820.1] [location=57..1109] [gbkey=CDS]</t>
  </si>
  <si>
    <t xml:space="preserve">ATGACGAAGTCATACAGCGAGGAAAGCATGATGCTGGAGTCTCAGAGCAGCTCGAACTGGACCGACAAGTGTCACAGCAGCTCCCAAGACGAACGAGACGTGGACAAGACCAGCGAGCCCATGCTCAACGATATGGAAGACGACGATGATGCCGGTCTCAACCGACTCGAGGATGAGGACGACGAGGAAGAAGAAGAGGAGGAAGAAGACGGCGACGACACCAAGCCGAAAAGACGGGGTCCCAAGAAGAAGAAGATGACCAAGGCGCGTATGCAGAGATTCAAGATGCGGCGCATGAAGGCGAACGCCCGGGAGAGGAACCGCATGCACGGCCTCAACGACGCGCTTGAGAGCCTGCGCAAAGTTGTTCCGTGCTACTCCAAAACGCAGAAGCTCTCCAAGATCGAGACGCTCCGACTAGCCAAGAACTACATTTGGGCTCTTTCGGAAATCTTGAGGTCGGGCAAAAGCCCCGACCTGATGTCTTTTGTGCAGGCCTTGTGCAAGGGCTTGTCCCAACCCACGACCAACTTGGTCGCAGGATGCCTCCAACTGAACCCCAGAACTTTTCTGCCCGAGCAGAGCCAGGAGATGCCCCCTCATATGCAAACAGCAAGTGCTTCCTTTTCCGCTCTTCCCTACTCCTACCAGACGCCCGGTCTTCCCAGCCCTCCGTACGGTACAATGGACAGCTCTCACATCTTTCACGTCAAGCCGCACGCGTACGGGAGCGCACTGGAGCCGTTCTTTGACACCACCCTCACAGACTGCACCAGTCCCTCATTTGACGGACCCCTTAGCCCGCCTTTAAGCGTCAACGGGAACTTTTCGTTCAAACACGAGCCTTCTTCGGAATTCGAGAAGAACTACGCGTTTACCATGCACTATCAGGCAGCGGGTCTGGCCGGCGCGCAGGGACACGCCGCGTCTCTTTACGCGGGCTCGACGCAGCGCTGTGATATACCGATGGAGAACATTATGTCGTACGACGGGCACTCGCATCACGAACGGGTCATGAACGCCCAGTTGAACGCGATATTTCACGACTCGTGA</t>
  </si>
  <si>
    <t xml:space="preserve">&gt;lcl NM_194405.2_cds_NP_919386.1_1 [gene=kctd12.1] [db_xref=GeneID:373865,ZFIN:ZDB-GENE-030902-5] [protein=BTB/POZ domain-containing protein KCTD12.1] [protein_id=NP_919386.1] [location=63..929] [gbkey=CDS]</t>
  </si>
  <si>
    <t xml:space="preserve">ATGGCTTTGGCAGACCCCGAGTGTGGAATATCAAACGGCGCTGATTCCGCGTCTCCGTTTTCCGTCATTATCGAACTTAACGTGGGAGGACAGGTGTATGTAACGCGGCACACCACTTTAATAGCCGTACCGGACTCTCTGCTGTGGAACATGTTCAGTAAGAAAACACCGGCTGAGCTGGCGCGGGACAGCAAAGGTCGTTTTTTTCTGGACAGGGACGGCTTTCTTTTCCGCTACATTTTAGACTACCTACGGGATCTAAACCTGGTTCTGCCGGACTATTTTCCAGAGAAAAGTAGATTACAGAGAGAGGCTGAGTTCTTTCAGCTGCGGGACCTTAGCAAGCTCTTGAGTCCCAAAATGAGTAAAGACAACTCCATCACTGACGAGATCTGCCAGAGTGACTCGGAGGAGCCGAGCGCGAGCGCGACTCCGGTGGTCGGACCCGAGACTTCTCGCACACTGTCCGTCGCCAGCAGCGCACATTCTCCCTCCCTGGAGTCCAGAAAGTCTGGGTACATCACGGTTGGTTACCGAGGCTCGTACACAATGGGAAGAGACATACAGACAGACGCCAAATTCAGGCGGGTCGCGCGGATCACGGTTTGCGGGAAGACTTCTTTGGCAAAGGAGGTGTTTGGAGACACATTGAACGAAAGCAGAGACCCGGACCGGCCCCCAGAGAGGTACACCTCGCGCTATTATCTGAAATATAATTTCCTCGAACAGGCGTTTGACAAACTGTCAGAGTTTGGCTTCCAGATGGTCGCGTGCAGCTCCACGGGCACGTGCGCGTACTCCAGCAGCGACCCAAACGAGGACAAAGTCTGGACAAGCTACACAGAGTATGTTTTCTGTCGAGAATGA</t>
  </si>
  <si>
    <t xml:space="preserve">&gt;lcl NM_001034019.2_cds_NP_001029191.1_1 [gene=kctd12.2] [db_xref=GeneID:553403,ZFIN:ZDB-GENE-060117-4] [protein=potassium channel tetramerisation domain containing 12.2] [protein_id=NP_001029191.1] [location=53..868] [gbkey=CDS]</t>
  </si>
  <si>
    <t xml:space="preserve">ATGGATAAGACTCGCGCGGACGCTTCTTCACCGCGATTCTCCGAAATCATTGAGCTCAATGTCGGAGGGCAAGTTTACGTTACGCGCCACTCAACTTTGCTCTCCGTGCCCAATTCTTTACTTTGGACCATGTTCAGTCAGAAGAAACCCGCGGAACTTACTACCGACAGCAAAGGACGCTTCTTTTTGGACAGGGACGGCTTTTTGTTCCGTTATATTTTGGATTACTTGCGGGACCAGACTCTGGTTTTGCCTGATTACTTCAAAGAGAAAGCGAGCCTCCTCAAAGAGGCAGAATATTTCCAACTTCAAGACCTGGCAAAGCGCCTGAAACCTGCGGTCAGCAAGGAGAACTCCATCAGCGAGGAGGTTTGCCAGAGCGACCCGGAGGAGGCTGCGCTCGCCGGAACCAGCATGACCTGCACCGGCCCCCGCTCACCGTCTTTGGACGCGAGGAAAACCGGCTTCATAACCATCGGGTACAGGGGCTCCTACACTATAGGACGAGATCTTCAACAGGACGCCAAATTCCGACGGGTGGCGAGAATCACTGTGTGCGGCAAAACGTCTCTCGCCAAAGAAGTTTTCGGGGAGACGCTGAACGAGAGCAGAGACCCCGACAGACCCCCTGAGAGATACACATCTCGGTATTACCTGAAGTATAATTTTCTGGAGCAAGCCTTTGACAGGCTGGCGGAGGTGGGCTTCCACATGGTTGCGTGCAGCTCTACGGGCACCTGTGCGTACGCGAGTAACGACCCCAACGAGGACAAAATCTGGACGAGTTACACCGAGTATGTTTTTTGTAGGGAGTGA</t>
  </si>
  <si>
    <t xml:space="preserve">&gt;lcl XM_009297199.3_cds_XP_009295474.1_1 [gene=nrp1a] [db_xref=GeneID:353246] [protein=neuropilin-1a isoform X2] [protein_id=XP_009295474.1] [location=612..3371] [gbkey=CDS]</t>
  </si>
  <si>
    <t xml:space="preserve">ATGCATTGTGGATTAGTGTTGATCCTCTTTACGGGAATCTTTCTCATCGTCAGTGCTCTCAAAAATGACAAATGTGGGGACAATATCAGGATCACTAGTGCCAATTATCTCACATCGCCCGGCTATCCAGTATCTTACTACCCGTCTCAGAAATGCATATGGGTGATTACAGCTCCAGGACCCAACCAGAGGATTTTGATCAACTTCAACCCACACTTTGACCTGGAAGACCGAGAGTGCAAATATGACTATGTGGAAGTGAGAGACGGCGTGGATGAGAACGGGCAGCTGGTGGGCAAATATTGTGGAAAGATCGCTCCATCTCCGGTGGTCTCGTCGGGAAACCAGCTCTTCATCAAGTTTGTGTCCGACTACGAGACTCACGGTGCCGGATTCTCCATCCGCTATGAGATCTTCAAAACGGGTCCAGAATGTTCCAGGAACTTCACCTCCAGCAGCGGAGTCATCAAGTCGCCCGGATTTCCAGAGAAATACCCCAATAATTTGGACTGCACGTTCATGATCTTTGCTCCTAAGATGTCAGAAATCGTTTTAGAGTTCGAGAGTTTTGAGCTGGAGCCAGACACGCAGCCGCCCGCCGGAGTCTTCTGCCGATACGACCGCCTGGAGATTTGGGACGGATTCCCTGGAGTTGGTCCATACATCGGCAGATACTGCGGACAGAATACTCCAGGACGGATCATATCCTACACTGGAACTTTGGCCATGACAATCAACACAGACAGCGCTATTGCTAAAGAAGGATTTTCAGCTAATTTCACTGTGCTGGAAAGGACGGTTCCTGATGACTTTGACTGCACTGAGCCTTTGGGTATGGAAACTGGGGAAATCCATTCGGACCAAATCATGGCCTCGTCCCAGTACAGCAACAGCTGGTCAGCAGAACGATCACGACTCAACAACCCAGAGAACGGCTGGACGCCTTTGGAGGACACGAATAAAGAGTGGATTCAGGTTGATCTTGGATTTCTGCGCTTTGTCTCGGCCATCGGCACACAGGGAGCCATTTCTCAGGAGACCAAGAAGAAATATTACGTGAAGGAATATAAGGTGGACGTGAGCTCCAATGGTGAAGACTGGATCACTATTAAGGATGGCCCAAAACAGAAGCTTTTCCAGGGTAACACCAACCCTACTGATGTGGTGAAAGCCAAGTTTCCAAAGCCCACGCTGACCCGATACCTGCGGATCCGACCCATTAACTGGGAAACTGGCATCGCACTGCGGTTCGAGGTCTACGGATGCAAGATCTCAGAGTATCCGTGCTCAGGAATGCTGGGAATGGTTTCAGGCCTGATCACAGACTCTCAGATCACCGTCTCGTCCCACATCGAGCGTACCTGGGTTTCAGAAAACGCTCGTCTGATGACCAGCCGTTCAGGATGGATGTTACTGCCACAGTCACAACCGTATGCAGACGAATGGCTGCAGATAGATCTGGCCGAAGAAAAACTAGTCAAAGGTTTGATCATCCAGGGAGGCAAACACCGAGATAACAAGGTGTTCATGAAGAAGTTTCGTCTGGGATACAGCAACAACGGATCCGATTGGAAATTGGTGATGGATGCTACCGGCAACAAGCCCAAGATTTTTGAGGGGAATTTGAACTATGACACCCCAGCGTTGAGGACAATGGAGCCAGTGTTGACACGCTTTGTTAGGATTTACCCAGACAGAGGCACTCCTGCTGGGATGGGACTCAGACTGGAACTTTTGGGATGTGAAATGGAAGTGCCTACAGTGCCGCCTACTACACCCGCAGCCTCCACCACACCGTCAGACGAGTGTGACGATGACCAGGCCAACTGCCATAGTGGAACAGGTGGAACCACTGCGACAGAGACGATCAGGGAGATGAGCACCATTCCAGGTGAGAAAGCATTCCTGTGGTTTGCTTGTGACTTCGGCTGGGCAAATGATCCTTCGTTCTGCGGCTGGATCTCCGAGGACAGCGGTTTCAGGTGGCAGATTCAGTCCAGTGGCACCCCGACTCTAAACACCGGCCCAAACATGGACCACACAGGCGGATCAGGGAACTTCATCTACACGCTGGCGACCGGAGCTCAGGAGACAGAAGTGGCCCGGTTAGTGAGTCCGTCGGTGTCGGGCCAGGACTCAGACCTCTGCCTGTCTTTCTGGTACCACATGTTTGGCTCTCACATCGGCACGCTGCACATTAAACAGCGCAGAGAGACCAGTCAGGGCTCGGCTGATGTGCTGCTGTGGACCGTCAGCGGACATCAGGGCAACCGCTGGAGGGAGGGACGCGTCCTCATACCACACTCCAACAAACCCTACCAGGTAATAATTGAAAGTGTGGTCGAGAGGAAGAGTTGGGGAGACATCGCTGTAGACGACATCAAAATCTTAGACAATGTGAACATGGCCGACTGCAAGGACCCAGATGTCCCAGCAGAGCCGATACAGCCAGAAGACAATTTCAATGAAATCATGGTGGACATCACCGATTTCCCAGATATCGTGGAGAACCCAGATATCGGCGGAGCTGGAAACATGCTGAAAACCCTGGACCCCATCCTCATTACTATCATCGCCATGAGTGCGCTTGGTGTTTTCCTGGGCGCCATCTGTGGCGTGGTGCTGTACTGCGCCTGCTCTCATAGCGGCATGTCAGACAGGAACTTATCAGCCCTGGAGAACTATAATTTTGAGCTGGTGGACGGCGTCAAGTTAAAGAAGGACAAGCTCAACTCACAGAACTCGTACTCGGAAGCGTGA</t>
  </si>
  <si>
    <t xml:space="preserve">&gt;lcl XM_021478458.1_cds_XP_021334133.1_1 [gene=ccser1] [db_xref=GeneID:795160] [protein=serine-rich coiled-coil domain-containing protein 1 isoform X1] [protein_id=XP_021334133.1] [location=238..2595] [gbkey=CDS]</t>
  </si>
  <si>
    <t xml:space="preserve">ATGGGTGAATCAGGGACCCGTCGCTCCACCCTGGTTTCCAGGCTTCCTATCTTCAGGCGCAGCGCCCGAAAGAGGCAGGACTCCCTCCCTTCCTCACCCTCTTCTGGCGGTGTTGGCAATGGCGTCCACACTTCTTCCCCCTCCAGCACGAACTCCAGCTCCAGCAGCACGAGCAAGCGCCGCAGCCTTTTCCGCACACCATCCCTCAGCTTCCACAGCAAGAGGAACAGTGACCCAATCCAGCTCAACCTGGACAATCGCACCCAGGGGACTGATCCCACTTTTCAAGATGGTTGCATCTCAAAGACTCGCCATTCATTTGGATTTGGTGGACACAAAAAGAAGATCACCCGATCTCATACGGAAGACCTTGAGAAAGCTTCTGCCAACAGAAACAGCGTGTTTATTAACTGCATCAGCTCAGGTACGAATGAGGGAGATGATTCGGGGTTTCTTGATGACGTGAGCAGCAAGAGATCTTCCAAACATAAGAAGCACCTGCTGCCCAAGTCCTTCTCCGCTCATCAGCGGTTACCCAAGAACTCTGCTAATATCCCAGACCAGGTTAAAGGTCAGGACGGGGTGGAAGAACCTCCTAAAACTGGTACCCCAGGTTCCTGGCCTGGAGAACTGGCGGAGAGTTCCCTACAGTCACCTATGATCTCAGAAGACCGCACCACTGCAATCACACCATCTGATTTCGTCCATGTCACAGAAGACTCCGTCTCGGAAGTGGATGCTTTGCCGGCTCCCAGTCCTGCTGCTCCTCCAGAAACCTCCAGCCAAGCTGTTTCTACCTCGCAGGTGTCCTTCACTCCAGCCGAGGGCACCTCGGAAAAGCCCCTACTGCCAGATACCAGCCACACAGCCAACACACAGTGCGAGAGCACCACTGCCCATACAGAGCCAGTCACACTGCAGATGGTGAAAGAGCTGAATCCTAATCCAGAGCAGTCAGAGGCCAGTGAGATTGATCAAGCTCCAGAACTCAGTGAGGACAGCAGCTCCAATCCAGATCCCCGTGAGAGAAGGTCCAGAAATTCTGTACTTATTCAGCAAACAGGAAGATTATCAGGCTTGAGCAAACTGGAGACCAGACCAAGTCACCTGAGAAAGCCGCACACAGTGTCCATGTGCAGTAGCGTGAGCCCATATCATGAGGTGATGCGTTTGGAGAGACGTTTACGCTCGGCCTCTGAGGGTGCAGGAGGACCCAGACTTCACCTCAATCTCAGGGATCCTCACTGCACGGATGCCAACACTTTATCCAAGCAGAGAACTAGCTCTTCATCCTCCAAACTGGGCAGCCTGGATGTTTTGAATAACCTTGGCTCATCTGAATTGGATGAGGATGACCTGATGCTGGATCTTGACCTTTCTGATGACCAGCGTCCTCATCATGCATCTCGGGAGGATTCAAGTCAGTCTCTTGCTTCATGCCTCAACCTGTTGCTCTCACCGCTGGATGCCTCCACTGACCGGACCCTTGGAAGAGACCCCAGAGAGCCCTTCTTCAGGGAGCAGCGGCCAATGTCTCTCTGTCTGTCCCGTGATGATGAAGCTGTGCCCGGGTTGGAAGCGCTGCCGTTCAGGCTGATGCAGCAGGACTGCACAGCGGTAAAGACTCTTCTGCTGCGGTTACGTCGGACGCTGCAGGAGAGCACTGAGATCAGCCCTGCCAGCAGTCTTCACTCTTTACCCATAAGCCCCTGCAGTGAAAAATCACTTCCCTTTAAGGATCCTGGGAGAGAGGAGAATCAGTTTCTGCACCAGAAGCTGAAGGAGAGAGATGAGCTTATTGCACAACTTCAGGCAGAGTTGGAATCCACCCGTGCCACCCAGAGATCTTCATGCCAAAAAGCTGACAAAAGCACTCAGACAGATTTCTTACTCTCAGAGACAATCCATCCAAGTCGACCCACAGGCCAAAACTGCAACATTCCCAGCAACAGCAGCAGGGAGCGAAGACAAGTTCGGCCTCTCGCTGCAGACCAGCACAATCGTCCCAGTGAAGTTTGCAGCAACGGTGGAGGGAGGAGTGCACAATCTGTGTCTGAAATACCCGGGCCTCGAAAGACCGATCATCAAGGCCCATCTCAAATCCCTCGTGCGGTGGCTGGCAGCAGCGTGAGCCTTCCTAGCAAAGGCAGTCCGTCTCGCAGCCTGTCCTCAGACAGCGAAAGGGGCCCACGCAGCGAACGAGGGCCTATTCCTAGGCTTCAATCTTCCTTCACCGGCCGTCTCGGTCAACCGCCCCGTGGGCCTCTGTCTTTACACATGTACAGGCGAAATAACGTCTTCCTACAGCACTCGCTCCACACGGCCGAACTGCAGGCTCTTGCTCAGCAGGACGGTTGA</t>
  </si>
  <si>
    <t xml:space="preserve">&gt;lcl XM_001921279.5_cds_XP_001921314.1_1 [gene=chrna3] [db_xref=GeneID:568467] [protein=neuronal acetylcholine receptor subunit alpha-3] [protein_id=XP_001921314.1] [location=49..1575] [gbkey=CDS]</t>
  </si>
  <si>
    <t xml:space="preserve">ATGAACACCGGAGCTCTCCTGATCTTCTTCTCCTCATTTTCTCCTCTGTGTTTTCTCCTGTCGGGGGTTTGCTGCTCTGAGGCCGAGCACCGGCTCTTCTCTGTCATTTTCTCCAGCTATAACCAGTACATCCGACCAGTGGAGAATGTGTCTGATCCAGTGGTCGTCCAGTTCGAGGTCTCCATGTCACAGCTGGTCAAAGTGGACGAGGTGAACCAGATTATGGAGACCAATCTTTGGCTGAGACACATTTGGAATGACTATAAGCTCCGATGGGATCCCAAGGATTTTGGAGGTGTTGAGTTCATCCGTGTGCCGTCCAACAAGATTTGGAAGCCAGACATTGTGTTGTATAACAATGCGGTGGGAGATTTCCAGGTGGACGATAAAACCAAAGCCCTTCTGCGCTTCAATGGAGACGTGACCTGGATCCCACCGGCCATCTTCAAGAGCTCCTGCAAGATCGACGTCACCTACTTCCCCTTCGACTACCAGAACTGCACCATGAAGTTTGGCTCGTGGACCTACGACAAGGCCAAGATCGACCTGGTGCTCATCGGCTCCACCATCAACCTGAAGGACTTCTGGGAGAGCGGAGAATGGACGATCATCGACGCTCCAGGATATAAACACGACATTAAATACAACTGCTGTGAGGAGATCTACACGGACATCACGTATTCACTGTACATCCGCCGATTACCGCTCTTCTACACCATCAACATGATCATCCCCTGTCTTCTCATCTCCTTCCTGACCGTTCTCGTATTCTACCTGCCCTCCGACTGCGGAGAGAAAGTCACTTTATGCATTTCCGTCCTCCTGTCGCTCACTGTATTTCTTCTGGTCATCACAGAAACCATCCCATCTACGTCTCTAGTCATTCCGCTAATAGGAGAGTATCTGCTTTTCACCATGATATTCGTCACGCTCTCTATTGTGATTACGGTGTTTGTGTTAAATGTGCATTATCGTACGCCTAAGACTCATACTATGCCCTGTTGGGTTCGTCGAGTGTTTCTGAGTCTGCTTCCTCGGGTTATGTTCATGACCCGGCCTGAGAAAGACCAGGAGGTTCCTGCCAAACAGTGCAGTGTTCATCCTCCGGTTTCCAGCAAACAGACAAGTGTGTGTCGCGGGCCGCAGCTCCTCCTGTGTCCGACTGAACTCAACGAGGCGTCCAGGACGGCGTTTCTGTGTCGAGAGCACCACTGCTGGAAGAAACACATCTCCAACATGACCAGCGAGGGCGCAGAGGACGGAGGCAGCCCGTGCTCCAGCTCTGAGTCTCTGGACGGATTTCTGTGCATGTCTGCTGTTTCACCGCAGGTCCGAGAGGCTATCGAGAGCGTCAAGTACATCGCTGAAAACATGAGGCTACAAAACGAGGCTAAAGAGGTCCAGGATGACTGGAAGTATGTGGCGATGGTGATAGACAGGATCTTTCTGTGGGTGTTTGTGCTGGTGTGTATTCTGGGTACAGCGGGACTCTTCCTGCAGCCGCTCCTGCTGGGCGAAGACATGTGA</t>
  </si>
  <si>
    <t xml:space="preserve">&gt;lcl XM_021467652.1_cds_XP_021323327.1_1 [gene=chrna5] [db_xref=GeneID:550584] [protein=neuronal acetylcholine receptor subunit alpha-5 isoform X1] [protein_id=XP_021323327.1] [location=685..2004] [gbkey=CDS]</t>
  </si>
  <si>
    <t xml:space="preserve">ATGCTGTCCTCCTATGCCAAGACTGAAGACAAGCTGTTTAAACATCTCTTCAGCAACTACCAGAAATGGGTGAGACCAATCGAAGATCTAAACACAACTATTCAAGTAAAGTTTGGCCTGGCAATTTCCCAGCTGGTGGATGTGGATGAGAAGAACCAGCTGATGACGACCAATGTGTGGATGAAGCAGGAATGGACAGACTTGAAGCTCAGATGGGATCCGGATCATTACCTGGGCATCACCTCTATCAGGGTGCCTTCAGACTCCATCTGGATTCCTGACATTGTGCTCTATGACAATGCAGATGGTAATTTCGAGGCCACAGTGACAAAAGCAGTGGTGAGATTTGATGGCACAATCTCCTGGACTCCTCCTGCCAACTATAAATCTGCCTGCACCATTGATGTGACCTTCTTCCCCTTTGACCTTCAAAACTGCTCCATGAAGTTCGGTTCTTGGACCTATGATGGCTCCCAGGTCGACATTCTCCTTGAAGACGTGCATGTGGACAAACGTGACTATTTTGACAATGGCGAATGGGAGATCGTGAAGGCCACTGGTAACCGGGGTTTGAGAAGAGATGGGACTTTTTTCTATCCATCCATCACGTACTCCTTTATAATCCGACGTCTTCCTCTCTTCTACACACTCTTCCTCATCATCCCCTGCATTGGATTGTCTTTCCTGACTGTGCTTGTCTTTTATCTTCCGTCTAATGGAGGGGAAAAAATCTCCCTCTGCACGTCTGTCCTCGTCTCACTTACTGTCTTCCTTCTGGTGATAGAAGAGATCATCCCTTCCTCCTCAAAGGTAATTCCTCTGATTGGAGAATATTTGGTCTTCACTATGATCTTCGTGACACTTTCCATTGTCATCACCGTCTTTGCTATTAACATCCACCATCGCTCCTCTTCCACCCATCATAGCATGGCTCCCTGGGTCCGCCGTATCTTTCTTCACCACTTGCCTAGACTGCTCTGCATGCGTAGCCACGTGGACCGTTACGCCACCAGCGCTGGGACTCGAACAGGAGGACTGGGCTATGGGAAGAGTTTGAGTCAGGATACCAACCAGCTCGATGCAGAACACAACCTGCAGGCGGCCTTAGAGTCTATACGCTACATCACACGCCATGTGGTGAAGGAGAATGAAGTCAGAGAGGTTGTTCAAGACTGGAAGTTTGTGGCCCAGGTTCTGGACCGGGTTTTCCTGTGGGCCTTTCTCTTAGTATCACTACTCGGCTCTGCTCTGCTTTTCATCCCTGTTATCTATAAATGGGCCAGCATCATTGTTCCCAGCTATGCTGAAATTACTAGCTAA</t>
  </si>
  <si>
    <t xml:space="preserve">&gt;lcl XM_691901.6_cds_XP_696993.2_1 [gene=chrnb4] [db_xref=GeneID:568566] [protein=neuronal acetylcholine receptor subunit beta-4-like] [protein_id=XP_696993.2] [location=287..1864] [gbkey=CDS]</t>
  </si>
  <si>
    <t xml:space="preserve">ATGGGACTGAAGAGATGCAGAATCCCGGCCGGATCCAGCATGACGCGCGCGCTCTGCGTCCTCCTGTGCGCCCTCAGCCTCGCCAGAAGTGGTGTGTGTGCAGACTCAGAGGAGCGTCTGATGAACTGGCTGCTGGGTAAACATCGCTACAATAAACTGATCCGGCCGGCGCTGAACCGCACCGAGAGAGTGACCGTCCTGCTGCAGGTGTCTCTGGCCCAGCTCATCAGTGTGAATGAAAGAGAGCAGATCATGACCACAAACGTCTGGCTCACTCAGAACTGGAACGATTATCGCCTGTCGTGGGACCCGGCGGAGTACGAGGGCATCGACAAGCTGCGGATTCCCTCCAGACACATCTGGCTGCCTGATATAGTGCTGTACAACAATGCTGACGGGACGTACGAGGTGACGGTGTTCACTAACGCCATCGTGCTCTTCAACGGCAGCATCGCGTGGCTCCCGCCGGCCATCTACAAGAGCGCCTGTAAGATCGAGGTCAAGCACTTTCCCTTCGACCAGCAGAACTGCACGCTCAAGTTCCGCTCCTGGACCTACGACCACACCGAGATCGACCTGCTGCTGAAGTCGGACGCCGCCAGCATGGACGACTTCACGCCCAGCGGCGAGTGGGACATCCTGGCGCTGCCAGGCCGTCGAACGGTCAGCCCGCTGGACGCCACGTACGTAGACCTGACCTACGACTTCATCATCAAGAGGAAGCCGCTGTTTTACACCATCAACCTGATCATCCCGTGTGTGCTCATCACCTCGCTGGCCATCCTGGTGTTCTACCTGCCGTCCGACTGCGGAGAGAAGATGACTCTGTGTATCTCCGTCCTACTAGCGCTCACCGTTTTCCTCTTGCTGATCTCCAAAATCGTGCCGCCCACTTCCCTGGACGTTCCTTTAATCGGGAAGTACCTGATGTTCACGATGGTTCTGGTGACCTTCTCGATTATCACTAGTGTGTGTGTGTTAAACGTGCACCATCGTTCTCCCAGTACCCACAGCATGCCGGCGTGGGTGAAGATCGTGTTTTTGGTGCGACTGCCGGCGCTGCTGTTTATGCAGAGACCGAGAGGACATTCGGCACGCCAGCGTCTGCGCCAGAACCGCCGTCTGCTTGGATTGGCTGATACTCCTGGCAGATCCGTCATGTGCTCGTCTGCGTCTGCGCTGCTGGCTGCGTCTTCGGCGTCCGCTCTTTCCTCTCCGGGACTCTTGTATAATAAAGGGCATTTCGGCTCTCGGAGAGCTGAAGGTCTGAATAATGGACACGGCTCCGCACAGGACCTGAAGGGGAACAGGCTGTATTGTGAATGGGGATCTGAGATTCAGGAGGCTGTGGACGGAGTTCGATATGTTGCTGATCACATGATGGGGAATGACGACGATCAAAGCGTCATCGAGGACTGGAAGTACGTGGCGATGGTGGTGGACCGGCTGTTCCTCTGGATCTTTGTGATCGTGTGTGTGGTGGGAACGCTGGGTCTTTTCCTGCAGCCGCTCTTCCAGAACCAGACCCTCGCCATCCAGCAGCCCAACACTGAGCCCGCCAGACGGGACGGCATGTGA</t>
  </si>
  <si>
    <t xml:space="preserve">&gt;lcl XM_005168771.4_cds_XP_005168828.1_1 [gene=oxtrl] [db_xref=GeneID:796298] [protein=oxytocin receptor like isoform X1] [protein_id=XP_005168828.1] [location=564..1712] [gbkey=CDS]</t>
  </si>
  <si>
    <t xml:space="preserve">ATGGAGAGCCTGCTAAAAGACGTGATCCTCTGGCCCATTAACGACTCCTGGGCCAACTCAAGTAGGGGAAACGACAGCAGAGGATTGAACCAAACTGTGAACCCCCTGAAGCGCAACGAAGAAGTTGCTAAAGTCGAAGTCACGGTGCTGGTGTTGATTCTGCTGCTGGCGCTCGCCGGAAACCTGTGCGTCCTTGTGGCCATCCAGACGAGTAAACACGGCCAGTCGAGGATGTATTACTTTATGAAACACTTGAGCATTGCTGACCTGGTGGTGGCGGTTTTTCAAGTCCTCCCCCAACTCATTTGGGACATCACCTTTCGCTTTTATGGACCAGACTTTCTGTGTCGTTTAGTGAAGTACCTACAGGTGGTTGGCATGTTCGCGTCCACTTACATGCTTGTGCTGATGTCCATCGACAGATGTTTGGCTATCTGGCAGCCTCTCCGTTCCCTGCGCCGTCGAAAGGACCGTTTTTACGTATTGGCCTCTTGGATTATAAGCCTGCTGTTCAGTTTGCCGCAGGTGTATATTTTCTCTCTTCGAGAAGTTGGCGATGGGGTGTTCGACTGCTGGGGGGATTTTGTTCAGCCCTGGGGCGCGAAGGCTTACGTTACATGGATTAGTCTTACCATCTACATCATCCCCGTAGCCATTCTAAGTGTCTGTTACGGACTGATAAGTTATAAAATATGGCAAAACTTTAGGCTGAAGACCCGGCGAGACCAGTGTTTGTCCCTGACCCCAAGGCCAACCAAAGGCGCCGCGCTCTCTCGCGTCAGCAGCGTCAAGTTGATCTCCAAGGCCAAGATCAGGACGGTGAAAATGACGTTTGTGATCGTCATGGCTTACATCATCTGCTGGACGCCCTTCTTCTTCGTTCAGATGTGGTCCGCTTGGGATCCCATGGCTCCAAGAGAAGCTATGGCGTTCATCATCGCAATGCTTCTGGCCAGTCTCAACAGCTGCTGTAACCCCTGGATCTACATGTTTTTCGCTGGTCATCTGTTCCGGGATCTCATGCAGCGCTGCCTTACGGTTTCACACTGTGGCTGTAAGAGGCACTGGAGAAATAAAAACCATTCAGGGACGGGTGCCATGAGGAGCTCCAGCAGCCAGAAGAGTGTGACACAGTCCTCCACTACATAA</t>
  </si>
  <si>
    <t xml:space="preserve">&gt;lcl XM_005166001.4_cds_XP_005166058.1_1 [gene=oxtr] [db_xref=GeneID:100001530] [protein=oxytocin receptor isoform X1] [protein_id=XP_005166058.1] [location=821..1987] [gbkey=CDS]</t>
  </si>
  <si>
    <t xml:space="preserve">ATGGAGGACATCTTCAAGGATCAAGACTTTTGGTCCTTTAATGAGTCATCCAGAAACGCCACCAATGAAACCTACGGCGTGAACCAGACGGTGAATCCCCTCAAGCGGAACGAAGAGGTGGCCAAAGTGGAAGTTACCGTGTTGGCCTTGGTGCTGTTCTTGGCGCTCGCCGGTAACCTTTGCGTCCTTATTGCAATCCACACAGCCAAGCACAGCCAGTCTCGCATGTATTACTTCATGAAGCACCTCAGCATTGCAGACCTGGTCGTGGCCGTCTTCCAGGTTCTTCCTCAACTCATTTGGGACATCACTTTTCGCTTTTATGGTCCGGACATCTTGTGTAGGTTGGTGAAGTATCTTCAGACTGTTGGGATGTTCGCCTCCACCTACATGCTGGTGCTGATGTCCATAGACAGATGCATGGCGATCTGCCAACCTCTTCGTTCTTTACACAAGAGAAAGGACCGCTGTTACGTGATTTGTTCATGGGCACTGAGCTTACTTTTCAGCATCCCGCAGGTTTATATCTTCTCCCTACGGGAGGTGGGTTCAGGAGTCTATGATTGCTGGGGAGATTTTGTTCAGCCTTGGGGAGCGAAAGCCTACATTACGTGGATTAGTCTGACAATATACATTATACCAGTGACCATTCTGAGTGTCTGCTACGGGCTGATAAGCTTTAAAATATGGCAAAACTTTAAAAGGAAGACGAAGAGGGACCAGTGCATCACTCTCACACCCAAAGCATCCAAAGGCAACGCGCTCGCGCGGGTCAGCAGCGTCAAACTCATTTCCAAGGCCAAAATCACCACCGTTAAAATGACTTTTGTTATCGTACTGGCTTACATAGTGTGTTGGACTCCGTTTTTCTCCGTGCAGATGTGGTCAGCATGGGATCCTGAAGCACCGAGGGAAGCGATGCCCTTTATCATCTCCATGTTGCTGGCCAGTCTGAACAGCTGCTGCAACCCCTGGATCTACATGTTTTTTGCTGGCCATCTCTTCCATGACCTGAAGCAGAATCTGTTTTGCTGCTCCACGCTCTATCTGAAGTCCTCTCAATGCCGCTATGATCCAGAGCAAGATTCCCGTAAGAGCAACTCCTCCACCTACGTCATCAAAAGCACCAGCAGCCAGCGGAGCATCACCCAAACCTCCATCACATAA</t>
  </si>
  <si>
    <t xml:space="preserve">&gt;lcl KF840480.1_cds_AHE40951.1_1 [gene=chatb] [protein=choline O-acetyltransferase] [protein_id=AHE40951.1] [location=1..1908] [gbkey=CDS]</t>
  </si>
  <si>
    <t xml:space="preserve">ATGTCGGTGGTCCTGAAGGCAGCAGCTGAAGCCGGCAGTGGGCGCAGGGTTCCTCCTCCGCTGCCGGTCCCGGAGCTCCAGCAGACTCTGGTGTGGTACCTGCGGGCGGTGCAGCACCTGGTGTCCGAGGCTCAGTTCAGAAGAACATCAGCAGCCGTGGAGGAGTTCAGGAGAGCTGGAGGAGCAGGAGAAACCCTGCAGAGACGCCTGCTGGAGAGAAGAGCACACACACACAACTGGGTGTACCAGCTGTGGCTGGAGGACATGTACCTGAAGAACACACTCCCCCTGCCCGTACACTCCAGTCCAGCGCTGGTGCTTCCCATACAGGCCTTCAGAGAGCCAGGAGACCGTCTGGAGTTTGCAGCTCGTCTTATTCTAGGTGTTTGCGAGTTGAAGACTGCAGTGGACAGGGACAGTCTGCCGCTGGACTCTGCTGGGTCGGGTGTCCCGCTCTGCATGGATCAGTATAAGCGTCTCTTCAGCTGCTACAGACGGGCCGGACTCCAGCAGGACACACTGATCAGCACAGAGCCCTCGCAGAACACACACGCCATAGTGGCATGCAGGAACCAGTTCTTCGTGCTGAACCTGTCGGTGGGCTGCAGGACTCTGAGCCAGTCGGAGCTCCAGCATCAGCTGCTGTGGATCACTGAACACACACACACTCACACACACACACACACTCACACACACACAACACCGGAGCAGCCGCCGGCGCTGGGCTTACTGACTGCTGCCTGCAGGAGAGACTGGGCCACTGCCCGACAGCAGCTGCTTACAGATGAGGAGAACAGGCGGTCTCTGGAGCTGATGGAGCGGTGTGTGTGTGTGGTGTGTCTGGACGAGCCGGCAGGACTTGAACCCTGCGCCGCAGACAGAGCAGCACTGATACTCCACGGTGGAGGACCAGACAGAAACGGAGGAAACCGCTGGTACGACAAACCCCTGCAGTTTGTGGTTGGGGCAGACGGTGTGTGTGGAGTGGTGTGTGAACACTCTGCTGCCGAGGGCATCGTGCTGGTGCAGTGTGTTGAACACGTGCTGAAACGCACGTCTGTAAGTGAGCTTGAACACACACACCTCTCCAACACACACCACTCTGACACACACTGCTCGGACACACACGTCTCCGGCTGGACCACTGGTCTTCCTCAGCCACGCAGACTACTCTGGAAATGTTCCCCGCGGGTGGAGGAGATGCTGGCGGCGGCGGCGAATCAGCTGCAGGGGCTGGTCTGGGATCTGCACATGAGAGTGTTTGTGTTCTCCGCCTTCGGGAAGACTCTGRTCAAACAGCAGCGCATCAGTCCAGACGGCTTCATCCAGCTGGCCATACAGCTCGCCTACTACAGGACCCACAGCAGGGCGGTGTCCACCTATGAGAGTGCATCTCTCCGCCGCTTCCACCTCGGCCGTGTTGAAATCATCCGCTCGGCCACAGCGGAGGCTCTGCGCTTCTGCACGGCCATGAGCGGGGGCGGAGCTTCAGTTCAGGACTCAGAGAAGATGGAGAAACTCAGAGCAGCTGCAGACGCTCAGGCTCAGCTCACACTGAGGGCCGTCACTGGGAACGGGATGGACAATCACTTACTGGGACTGCGGGAAATGGCCAGGCAGATGGAGATGCAGACGCCGGACATATTCTCTGATGAAACATACAAGATCAGCAACCATTTCATCCTGTCCACCAGTCAGGTCCCCACTGAGATGGAGATGTTCTGCTGCTATGGTCCAGTGGTTCCAGACGGTTACGGTGTTTGTTATAATCCTCAGTCGGATCACATCGTGTTCTCAGTGTCCAGTTTCAGAGAGAATAAAGAAACCTGTTCAGATCGGCTGGCAGAAGAGCTGCAGGTCGCACTACTGGACATGAAGGACCTGTGCATGAAACACATGAAACACTAA</t>
  </si>
  <si>
    <t xml:space="preserve">&gt;lcl AF457189.1_cds_AAL87664.1_1 [gene=omp] [protein=olfactory marker protein] [protein_id=AAL87664.1] [location=71..538] [gbkey=CDS]</t>
  </si>
  <si>
    <t xml:space="preserve">ATGTCTCTGGAGTTGACGTTCAATCCTGATGTCCAGCTGACGGAGATGATGCGTCTGCGCGTTCAGTCTCTACAACAACGAGGACAGAAACGTCAAGACGGAGAGCGTCTCCTCAAGTCCAACGAGCACGTCTACAGTCTGGACTTCTCCGAACAGGCCTTGCATTTCACCCGCTGGAACATTCGCATTTCCAGCCCGGGACGCCTAAACATCATCGCCACTTCCCAGCTCTGGACGCCCGACCTCACACACCTGATGACCCGGCAGCTCCTGGAACCCACCGGACTCTTCTGGAGGAGCGCAGACGACGAGAACATCCAGTGTTATGAGGCCGACGCACAGGAGTTTGGTGAAAGGATAGCAGAGCTGGCCAAAGTGCGAAAGGTGATGTATTTCCTGTTCGCCTTTGAAGACGGCTTGAGTCCGGAGAGCGTGGAATGCTCCATTGAATTCCAGACCTCCAAGTGA</t>
  </si>
  <si>
    <t xml:space="preserve">&gt;lcl XM_017351234.2_cds_XP_017206723.1_1 [gene=trpc2a] [db_xref=GeneID:559914] [protein=short transient receptor potential channel 2] [protein_id=XP_017206723.1] [location=215..2782] [gbkey=CDS]</t>
  </si>
  <si>
    <t xml:space="preserve">ATGGAAAACCTTACGTCAGACAACTGGCGGGAGATCGTGAACAAAAAGCTCCACTTTCCACCAGAGCTGATCCTCGCCATTCAAGAGGGCAACATGGCCTGGGTGGACAGCCTGCTCTCCCTGGGTGACGGGATCATCCGTCAGCTGGACGAGTCTGAGGACCGGCTCTGGAGAGAAGCCTTGAACCTCTCCATCCGCCTGGGCAGCGAAGACATCATGACCTCCCTCCTTCTGGGCGTCAAGTTTGACTTCCGGCAGATTCACGAAGCTCTATTAGTGGCCGTCGACACCAACCAGCCAAGGTTTGTCAAACACCTCCTGGACCGGCTGGATCTGGAGAAAGGCAACAAGATGGACGTTCGCTCCTTCAGCATGGCAATCTTCGACCACTCCATTGACGATTCCCAGTTTGCTCCTGGAGTGACGCCACTAACGTTGGCCTGTCAGAAGGACTTGTATGAGATCGTGATGATGTTGACGCAGAGAGGCCATGACATTCCTTTGCCTCATGCCATTTCTTGCACATGCTTGGAGTGCAATAATGGACGTCAATACGACTTGCTCAAGTTCTCCCTGTCCCGTATAAATACATACAGAGGAATCGCCAGCCGTGCGTATTTGTCGATCACGTCTGAAGATGCCATGCTCAGCGCTTTCCACCTCAGCAAAGAGCTGCGCAAACTGTCGAAGAAAGAACCAGAGTTCAAGCCTCAGTATCTGGCTCTGGAGGAGCTGTGTCAGGAGTTTGCAGTGGAACTTCTGGGAATGTGCCGGAATCAGAGTGAAGTTTCCACCATCCTCAACAGTGCTGAAGGGGACAGTGAGGATGAGGAGCTGGACGAACAGACCTTTGAGGAAGGCATTCCCAACCTCGCTCGCCTGCGTCTGGCTGTCAACTACAATCAGAAACAGTTTGTGACTCATCCCATCTGCCAGCAAGTGCTCTCCTCCATTTGGTGCGGGAGTCTGTCCGGCTGGAGGGGGAGCCGAACCACTTGGAAACTGCTGGTGTCTTTAGGGATTTTTCTGACCATGCCAGTCCTGTGCCTCATTTACTGGATCGCCCCAAAGTCTAAGCTGGGTAAACTGCTAAAGGTTCCTGTGATTAAGTTCCTGTTGCACTCGGCATCATACATGTGGTTCCTCATCGCGCTCTTGACAGAGTCCATCTTCATGGAGATCTACCGAACTGAATTTGCCTCCCGAAATCAGAACATTCTCCATAACTCTCTCCATATGGTGTGGGTCGCAGGTTTCTTCTGGTTTGAGTGTAAGGAGGTCTGGATTGAGGGATTAAAGAGTTATTTTCTGGATTTATGGAATATTCTGGATATGATGGTGTTGAGTATGTATCTGGCTTCATTCACACTGCGCATTCTCATCATGCTGAAAGGATATTTCTTGTGTCAGGACTCCAGCACACAAGAGCTCTGTGACTACTTCACCAACACAGTGCGAGAGAACTGGAGGCAGGAGGATCCTCAGCTGATTGCAGAGACTCTGTTTGCCGTGACCAGCATGTTGAGCTTTACTCGTCTCGCCTACATTCTGCCGGCCCACGAATCTCTGGGAACCCTGCAGATCTCCATGGGCAGGATGATCGATGACATGATGAGGTTCATGTTCATCCTCATGATTATTGGAACAGCATTTCTGTGTGGAATAAACAACATATACGTCCCATATGTTATATCTCCACATCTTGGCAGATTGAACGAGACGTTTAACTTCCTCTTCTGGACCATGTTTGGGATGGCGAACCAGGGATATGTGGACATGCCTGATTATGCTCTGGCTGAATTTGTGGGACGGATCTTCTATGGGATTTTCACACTGCTCATCGTCATAGTGCTGCTGAACATGCTTATTGCCATGATCTCCAATTCATTTCAGAGGATCGAGGATGATGCAGATGTCGAATGGAAGTTTGCGCGATCTAAACTCTACCTCAGCTACTTCAGAGAGGGTCTCACAATGCCAGTTCCCTTTAATATCATCCCCTCTCCAAAGGCTTTCTTTTACATCTTGAGAGGCATCTTCCAAAAGATCTGCTGCTGCTGCCAGAAGAAAGCTCCAGAATATCCTCCTATCACATCAGTGTCTAGTAATGCCATGAATAGTGGTGGAGGTCAAGGTGAGGGCAGAGTGCCATACCGCCTGCAGGTCACCAAAGCTCTAGTGCACCGCTACATTGAAGCCGCACGCAGAGAGTTTGAGGAGAGCACGCGGAAAGATGTCGGGAACAGAATCACCGAGCTGAATAAAGTTGTGGGCCGACTGCACACCGAGATGAAGGACTTCCAGCAGAAGTTGAAGTGGCAGAACAAAGGTGAACCAGACCAGGCCAACATCCTGGGCAAATACATCAAGGGGGCCAAGAACAATTTCCGGGACTTTGACAAGAATGAGGCGATGGGGTGCGAAAATGTCGGTCTGCGCTTCAGCACTCACCCTGAGGAAGAGAAGAGTAAAGCAGATGAGGACGTCCTGATGGAGGAGGAGGAGCCAGAGAGCCCTGTGGAGATCCACCCTGGAGAACAGAGCACCGCTCAAACTGCTGATGAGTAA</t>
  </si>
  <si>
    <t xml:space="preserve">&gt;lcl NM_130949.2_cds_NP_571024.1_1 [gene=foxa2] [db_xref=GeneID:30126,ZFIN:ZDB-GENE-980526-404] [protein=forkhead box protein A2] [protein_id=NP_571024.1] [location=180..1409] [gbkey=CDS]</t>
  </si>
  <si>
    <t xml:space="preserve">ATGCTCGGTGCTGTCAAAATGGAGGGACACGAACACGCAGCAGACTGGAGCACTTACTACGGAGAGCCTGAGTGTTACACCTCGGTCAGCAACATGAACACTGGACTTGGAATGAATTCCATGAACACTTACATGACTATGTCCGGAATGAGTTCGACTGCAAACATGACAGCAGCTAACACCATGAACATGTCCTATGTCAACACGGGCATGAGCCCTTCAATGACAGGCATGTCCCCCGGTACGGGAGCGATGGCCGGCATGGGTGCGGGTATGACGGGCATGAGCGCAGCCCTGAGCCCTACCATGAGCCCAATGGCAGCGCAAGCGCCCTCCATGAACGCCCTAACCTCGTACAGCAACATGAACGCTATGAGCCCTATGTACGGCCAGTCGAACATAAACAGATCGAGAGATCCGAAGACCTACCGCAGGAGCTACACTCATGCCAAGCCCCCTTACTCGTACATTTCTCTAATAACCATGGCCATCCAGCAATCACCCAGTAAGATGCTGACCCTTAGTGAGATTTACCAGTGGATAATGGACCTTTTCCCTTTTTACCGACAGAACCAGCAACGCTGGCAAAACTCTATCCGCCACTCGCTGTCTTTTAACGATTGTTTCCTGAAAGTTCCGCGCTCTCCGGATAAGCCGGGTAAAGGCTCGTTTTGGACCCTTCATCCCGATTCCGGAAACATGTTCGAAAACGGCTGTTACCTGAGGAGGCAAAAGCGCTTCAAGTGCGATAAGAAACTAAGCAAGGATCCGAGTCGAAAAACATCAGAGGGCGGATCAAACAGCAGCTCCGAGAGCTGCAATGGGAACGAATCTCCTCATTCCAACTCTTCAAGTAACGAGCTCAAAAGATCTCTGTCTGACATGAAGTCGGGTCAGGGTCTGAGTCCGGACCACGCAGCGTCCCCGACCTCCCAGGCGCAGCATCTGCTGGCTCAACATCACTCTGTTTTAGCGCACGAAGGACACCTGAAGCCAGAACATCACTACTCGTTCAATCACCCCTTCTCTATTAACAACCTAATGTCCTCGGAGCAGCAGCATCACAAAATGGACCTAAAGACATACGAGCAAGTGATGCATTATGGTTACGGTTCTCCGATGGCCGGCACGTTATCCATGGGCTCTATGGCAAGCAAAGCAGGCCTGGATTCACCGGACACATCCTATTACCAAGGTGTGTACTCCAGGCCCATCCTGAACTCTTCCTAA</t>
  </si>
  <si>
    <t xml:space="preserve">&gt;lcl NM_131285.1_cds_NP_571360.1_1 [gene=foxb1a] [db_xref=GeneID:30542,ZFIN:ZDB-GENE-990616-47] [protein=forkhead box protein B1a] [protein_id=NP_571360.1] [location=146..1039] [gbkey=CDS]</t>
  </si>
  <si>
    <t xml:space="preserve">ATGCCCAGACCCGGGAGAAACACCTACAGCGATCAGAAACCGCCGTACTCCTACATTTCACTCACCGCCATGGCCATCCAGAGTTGTCCGGAGAAGATGCTCCCTCTCAGCGAGATCTACAAGTTTATCATGGATCGCTTTCCGTACTACCGGGAAAACACCCAGCGCTGGCAGAACTCCCTCCGCCACAACCTCTCCTTCAACGACTGCTTCATTAAAATCCCCCGGCGCCCGGACCAGCCCGGGAAGGGTAGTTTCTGGGCGCTCCATCCCAGCTGCGGAGACATGTTCGAGAACGGTAGTTTCCTGCGACGCCGCAAACGCTTCAAGGTGATGACATCAGAGCACCTGGCACCCAGCAAGCCCTCAGACGCTGCCCACTACCTCCAGCAGCACGCCAAGCTCCGGCTCAGTGCCCTAGGCACACACCTCCCTCAGATGTCCAGCTACAACCTGGGAGTTTCCCAGCCGTCCACGTTCAAGCACCCGTTCGCCATCGAGAACATCATCGCCCGAGAGTACAAAGTTCCCGGAGGACTGGCGTTCTCCACCGGGTACCCCCTCCACAACCAGCTGACCACAGCCTGGCCCCATATGTACAGCACTAGTATGATGGACAGCGCGGCTCCCATCTCCATGACAAGCAGCGATTATAGTGCCTACGGTGTGCCCATCAAGTCGCTCTGCCACGGCGGACAAACCTTACCGGCGATCCCCGTCCCGATCAAGCCGACCCCGGCGGCGCTGCCTCACCACATCCCGGCATTCCTATCGAACTCTCCGCAATCTCTGAGCCCGACGTCCCCGCAGACAGCGACCAGCCAAAGCAGCCCGGCCACCCCGAGCGAAACCCTGACGGGACCCGCGACGCTGCAGTCGGTCGCGGTGCACTGA</t>
  </si>
  <si>
    <t xml:space="preserve">&gt;lcl XM_001920023.7_cds_XP_001920058.2_1 [gene=fat2] [db_xref=GeneID:568468] [protein=protocadherin Fat 2] [protein_id=XP_001920058.2] [location=253..13281] [gbkey=CDS]</t>
  </si>
  <si>
    <t xml:space="preserve">ATGTCTTTCACAGACACAGCCATAATTCTCACTGTCATAGCAGTCCTAGGAACACTAACCAGATGTCATGGGAGCCTGGTAAAGGACAGCTCTTTGCTGAGGTTCACCCATCATTTGTATAATGCCAGCATTTATGAGAACTCTGCCCCTAAGACCTACGTGGAGAGTTCAGTCCGGATGGGCATATTACTGACTGATCCCTTCTGGAACATCAAGTACAAGATTGTCTCTGGTGATGATGATGGCCTTTTCCAGACCGAGAAAGAAGATGTAGGAGATTTCTCCTTTCTGAGAATCATAACCCGAAGCAGTAACTCAGCTGTGCTCAACCGAGAGGTCAGAGACATTTACACCCTCACTGTTGAGGCTACAGAAAGCACTTTTGACAACCGAGCTAGAACAAAGGTATTGATCCAAGTGCTTGACACAAATGATCTGAAACCGCTCTTCTACCCTGCCTCTTATCATGTGGTAATTAAGGAGGACACACCAATCAAGTCGAGCCTGGTGAGAGTGAGTGCAACGGATGCTGATATTGGCAGCAATGCTGAATTTTATTACTCATTCACCACTAGATCACACCCGTTTGCTGTTGATCCTTTCACGGGGACTGTTACACTTGTCAAGAGACTTGACACCAGTCAGAGAGATAGGTATGACCTGACAGTGCTGGCAGAGGACAGGAAAAAGAAAATCTCTGGTGTGCAGAAATTTGGAAATGTAGCAACGGTTGTTGTGAAGATCCAAAAAGTAGAAAAGAATTTCACCCTTATTTCACCAACCACTGCAGAGAGTCTGCTAACGATCGATGACAAAATAAGTGTAAACATCAAGATGGAACCTAAAGAGAAGGAAAACACAGCATCTTTAAGTATAGTTAAAGGAGATCCATTGAATTGCTTTCAGATTATTCCCTCAGCCTTTTATGATGGTGGCTTTCAGCTGGTCTCAACAAAATTTATTGACTGGTCACAGAACCCATTAGGACTAAACATTTCTCTTCAGGCCAAAGACAGAAGCAACCCTCCTTTGCTAACTCCAATAAAAACTGTGCACATTCCACCTCCTCTTCAAATAAAACCCTTGAGGTTTGAACAAGAACTTTACTATGTAACTCTCAGTGAATTTTCTCCACCAAAAACTCATGTGGTTAGAGTTTCTGTTGGGTTGAGTTTAAAAAACACGACATTCAGCATTCAAGAAAACCCAGATAGCTATAAGTTCAAAATCAGTGCCAAAACTGGTGTAATTGTGACTTCTCAGTCTCTTGACTTTGAAAACCGAAATCATTATGAGTTTGATGTCACAGCAAATGATGGGGAAGCAGTTACTCGTGTCATTGTGGATATAACTGATGAAAATGATAATGCCCCTAGTTTCACTTTACCCTCATACCAGGCTTCTCTGCCTGAAAATGTGCGAATCGGAACAAGTGTCTTATCTGTCTCTGCTATTGATGTGGACAAAGATAACAATGGTTTTGTGACCTACGCTATAGCAAACACAGGTCCTGTTCCTTTCAGCATAGACCCACTGACCGGCGTTATTTCTACCTCTCAGGAGTTTGATTATGAGCTCATGAAAAGATGGTACCATCTACGAATCTGGGCCTCTGATAGTGGCAACCCTTTTAACAGGGTGAGTGAATGCACTGTAACTATCACCATGACCAACGTCAACGACAATGTTCCAGTGTTTGAGCGGGTAGCGTGCAATGCCTCCATACCCCGAGACTTTGCTGTGGGGGAAATTATTGCAGAAATATCAGCACTTGATTTGGATGAGCTGCAGCAGATCGTATACAGGATAGAGTCTGGAAATGATGATGGACTGTTTTCAATTGACCCTGTTTCTGGCATCATCAAACTGGCTAAGGCCATTCCATCAAACTACAAAGACACAGAAAATTCTTTATATACACTTAAAATAACAGCAACAGATGGCACATATATTGCAGACCCCAACACTGTGACTGTGAGCATCACAGACAATGGCGAAGGTGCCATCACACATTGCGAGGAGACCGGAATTACTAGGCAGTTGACAGAAAAGCTTATTGAGTCCTTTAGGCCATCTCTTAACATAAAAGAAGAGGAGTCCATCTCAGATGTTCATATAATTAACCAGCACTCACCGAAATTTGTCATTAGCACGCCAGGCTCAATTGACATCAGGGAAGACTTTGCTCTCAATAGATCTGTGTTGCAGTTTAATGCCACTGATAATGACTCTGGATTTAACGGAAAGCTTGTCTATTCAATTTCAAGTGGAAATGAGGACGGATGCTTTACTATCGATGTGAACGCAGGGGATCTGAAGGTTATTTGCGCTTTGGACAGAGAGCAGAAAGAGTTTTACATTCTCAACATAACAGTCTATGACTTGGGATATCCGCAAACCTCTACATGGAAACTTCTTGCTGTTAATATTCTTGATGCAAATGATAATCCTCCATTATTTTCTCAGTCAAGATATGTTGTAACCATCCCAGAAAACACAGAGGTTGACAAAAGCATCTTCAAAGTCAATGCAGTCGACTTCGACTTGGATAACAATGGAGCATTTAAATATTCGCTGTTTACCTTCACAGATTTGTTTCAGATAGAGGAAGACACAGGGGTGGTGAAGGTAATCGGGCCTTTGGATAGGGAAACCTTCAGGAGATATGACCTAACAATTGAGGCCAGAGATCAGGCCAAACCGGATCCACAACTTTTCTCATTTACAGATGTGGTTGTTGTTCTGGAGGACATCAATGACAATCCTCCAAAGTTTGTACCCACAGTCTACAAGATCAAAGTTCCTGAGGATGTTCCTCCAGGCACAGTGCTGCTATGGGTTGAAAGTTTTGATTTAGATCTGGAGAGCGGCGGTGTCATAAGCTACAACCTGAAAAACAGCGAATCAGGAACGTTTTTTCTTGATACATCCACAGGTTCTTTGACTTTGGAGCGGGAATTAGACTTCGAAAAGCGGCAGTTTTATAATTTAACAGTTCGAGCTGTTGACCATGGAAAGCCCCGGTCTTTATCATCTTCGTGTTTTATTGAGATTGAAGTATTAGATGTCAATGAAAACCTGAACCGGCCTCTCTTTGGTGAAATGGTGCATACAGCAGCCGTTATGGAGGATGCTAAAATAGGAACCTCAGTCTTAACACTAACTGCTGTAGATAACGACCTGGGACGAGATGGAGTTGTCAGATACTACATCCATGATGGCTCAGGGCTCGGCGTCTTCACGGTTGATGAAGAAACAGGTGTTATTCAGACTGCAGGCCTTCTGGATCGCGAGGTTGTGCCACACTATTGGCTGACAGTTTATGCAAAAGATCTGGGCACTATACCATTGGTATCCTGGACTGAGGTCTACATTGAAGTTTGGGATATTAATGACAATCCCCCTGAGCTGTCCCAGCCTGTCTACTTTGGCTCAGTGCAAGAGAATTTGCCAAAAGATAAATCTGTGCTGAAAGTTTCTGCCACAGACATGGACAAGTCCTCTGAAGGGAAGCTTGCTTTCCAGATCCTTGATTCTCAGCGCATATATTTCACCATCGATTCAAAAACAGGTGTGATCAGCACTCTCTCCTCTCTGGACCGGGAACAAAAAGCCGAGCATATCATTGAGGTCATGGTGTCAGATAAAGGGGAACCTCCTTTGAGCTCCACTGCCACCGTGGTCATTGAAGTCCTGGACGAGAATGATAACAGCCCTCAGTTCAGTCACAAGCTTTTCCAAATAAAACTCCCTGAACGGCAGAGCACGGCTGAGCCTCAGGACATCTACAGGATGGTGGCCCGTGATGATGATGTGGGGCCCAATGGCATGATCACGTACAGTCTAGAAGACAACAATGAAGGCCGGTTTGATATCCATCCAGACACTGGGGTGGTGACAGCGAGAGGACAGTTTGTTCGGGGGAACTACAGTATTCTGACGATTCAAGCAACAGACCAAGGGAATCCTCCCCGAATGTCCAAATCACGTCTGCATGTTGAATGGCTGCCTCAGCCTGAGCCCAGCTCGGACGTCCTGGCATTTGATGAGCCCCCCTTCAACTATGTGGTGATGGAGACAGATCCTGTCACTGACATGGTGGGAATAATCCGTACAGAGATCCCGAAAAACCTACTCTTGTTTGACATTATAGGTGGTGATGAAGAGCAGGACTTCTACATTGAAAAGAACACCGGCAGCATTGTGAAAGCTAGACGTCTGAATGCAGGCAAAAAATCTCATTACAACTTAACAGTCAGAGTCACAGATGGATTTCAGACTATAACCACTCAGGCCTACATTCAAGTAGTGGATATAAATGAGCATCGGCCCATGTTCCTGAAGAGTCTCTATGAGGTCAGAGTGCCAGAGGACACATCCCCGTGGAAGGAGATCCTTCACATCAGTGCCCATGATGCAGATGCTAGTAGTGGACTCTTTTACAGCATCCACAGCAGCCTCAATCCGGAAAGCCTCAAGTACTTTCACCTGGACCAAAGGAGTGGCGTGCTTGTCTTAAAAGAGGAGCTTGACTACGAGACCATCTCCACTCATACTCTGATTGTGATGGTACGAGATGATAAGATCCCAATAAAAAAGAACTTTGCGAAGGTTGTCGTTCATGTGGAGGACTGCAATGACCACATCCCATCGTTTCTGGATACTCATTATGAGGGCATCATAAGTAATCTAGCACTTACAGGCACTGAAGTGCTAAGAGTTAAAGCCCTGGATAAGGATACAGGGAGCAATGCAGATATTGTTTATTCGTTTCACTCCGGTGGGAATGTGGATGGTGCTTTTAAAATCGACCAAGGGACAGGAAGCATTCGTGTATCTGATGCATTAGACAGACTTCCGCAAGAGCACTATCACCTCACCGTAAAAGCCACTGATCAGGGCTTTCCCCAGCGTAGTGCCCTTTGCCCTGTTACGATCACTATAAAGCTGTCTGAATTCACACCACCCAGGTTCTCCTCCAAAGAATACATCACTGAGATAAGTGAGGCCATGCCTCCAGGATCCCCTGTGCTATCTGTCTCTGCCAGATGCCCATCCTCAGTGCTGTACAGAATCAATGAAGGCGACCCCAATGGGACATTCCACATCAACATCAACTCCGGACTGCTGTCAGTCAAAAATGCACTCGATTTTGAGCAGCACAGCAGCTACCATTTGCAAATAAGTGCTACAAATACGGCAGGAATCTCATCTGATGCTGTAGTGTTTGTTTATGTGATAGATGCCAATGACAATGCTCCTGTTTTCCATCAGGATGTATACTATGGGCAGATTAGTGAGTCTGCTCCTGTAAACAGCATGGTGACTGGGGAGAACAACACGCCTTTAGTTATCAAGGCATCAGATGCGGACAAAGACACAAATGCTCTTCTGGTCTACCAAATTCTTGAGCCTGCAGCTCATGAAGTGTTTAAAATAGATCCGAGCATGGGAACCATCTCCTTAAAATCTTTGATTGACTTTGAGGCAACACCTGAATTTTTCTTCAGTGTTCAGGTGTGGGATTCTGGTGAGCCATCACTGAGTGCTTCCAAGCCTTGCAAAGTAATCATTCGTGTTTTGGACTTTAATGATTGTCCTCCCAAATTTGTTTTACCTGTATATGAAATTGCCCTCACTTGGCCAGTTTTCCAAGACATGAAAGTAATCCAGGTGACAGCTCATGATGCCGATTCAGCAGTGACCTACATGATTTTGGAGAATAGTAACAAAAATGCATTTAAAATAGATCAGTCAACTGGAGTAATTTCAGTAAATGATTCGTCTGAATTACAGTCTCATAACGAGCTAAAGATCACTGCATTCGATGGGTTATATAAAGACACTACCGTAGTGAAATTGAATATCACCAATGCAACAAAATCTAGTCTGAAATTTGAAGACAGAGCACATGTAGCAACTGTTCTGGAGAACTCTACCTCTGTGAAAATTTTAGTTGTCCTTAGAGCAACAGGTACTTACCTGAATGAGCCCTTGCAGTTCACTGTCTTGAACCCACATGGGAAATTTGCAGTGATTCCATCATCTGGAGTCCTTCACACCACTGGTGTTCCGTTTGACCGTGAAGAGCAGGATGTGTATGATGTCGCTGTGGAGGTCCGAGACTTTAGGAGTCCACCACGTGTGGATGTCACTCATGTTAAGGTCTATATAGATGATGTAAACGACAATGTACCAGAAATATTGAATTTGCCCAAAACACTGTTGATATCTGATGAAACCGAACCAGGGGACGTACTCTTTCAAGTGCTAGCAACCGACAATGATTTTGGTGAGAATGGATCTATAATTTTTTCCCTAGAAGATGATTTCGGCCTCTTCAGAATCGACCTTTATCTTGGAGATGTATCACTACAAAGACCCTTAGACTTTGAGTCTATGAATAAATATGTTCTCACTGTACTGGTATCAGATGATGGTCAGCCGAGTCTGTCAGCCATTGGAACAATATATATCCAAGTGCAAAATCGTTCTCATCCAATATTTCAAAGCATGTACTACCCGTTGAAATTACCTGAGAATATTACTCCTTTTACAACAATCCTGCATGTGCAGGCAAGAAATCCAGAAGGATACCGCCTTATCTACAATCTAGAGGAAGACAACGCCTCCAGGTTATTTAACATCGATTTCAAAACTGGGGTCTTAAGTGTCACTGATTTCCTAGACTTTGAGAGTGAAACAAAGCATATTTTGACTGTTCGTGCCACTGATTCCGTGTCTGGTACATTTGCTGAAGCCAAAGTAGAGATTGACGTGGAAGATATAAACGACAATGCCCCAGTCTTCCAGAATCTTTCTTATGTTGCAGATGTGTTTGAGGGCCTTCCAATAGGCACATCTGTTTTACAAGTCTCAGCTGTTGACAGAGATGCAGACAAGAATGCAGAGGCAACTTACCAACTGATTGACAAAGAGAGTCATTTTTTCGAAATTGACCCTCTAAGTGGAGTTTTGGTGACTACACAAGTATTGGACTATGAAAGTACACAGCAGTTTACTTTAAAAGTGAAAGCCACAGATAAAGGGGTACCACCGCTGAGTGGTGAGGCTCACATTATTGTGAACGTCATAGATGTTAATGACAACCCTCCAGATTTTAGCGAGCCATCTTATCGGGCATCTCTTGATGAAATGGCCACTTGTGGCAACATCGTTATCAAAGTTCAAGCATCAGACCCCGATAGTAAGGATGACCTTCAATATAAGATTCTGTCAGGCAATGAAGGCCGATATTTCGCTATTAATGAATCATCTGGACTCATCTCATTCTCTAATGTGTGCAAGAGAAACTTGGATCCATTTTATAACCTCACAGTTGCAGTTTCAGACGGTGTGTTTCAGAAGACTGCCCCCGTTAACATTGACATGACAAATGGCAACAAATACAGCCCCTATTTTACCCAGAACATTTACGAGGCAGATCTGGCAGAGAATGCAGAAGTGGGAACTCGTGTGATCAGACTGGCTGCTATTGACCCAGACGATGGGCCATACGGCAGTGTCGACTACACCATCATTAACAAGCTTGCCGATGAGAAGTTTGCCATCAATGAAGACGGACAAATTGTGACTTCTCAACCTTTAGACAGAGAAAATCCATCACAGAGAGTAATTGCTATTAAGATCATGGCTAAGGATGGAGGAGGAAGAGTGGGGTTTTGCACAGTGAAGATTATTCTAACAGATGAGAATGATAATGTTCCTCAGTTTAAAGCCTCTGAGTATGATATTTCCATTCAATCTACAGTGAACAAAGGCTCACCAGTGATACAAATAATGGCTTATGATGCAGATGAAGGTAAAAATGCTGATGTCACTTATACAGTAGAAGAAGCAGACGAGGTTACAGAAGACATTATCGAGGTCAACCCCTTTACTGGAGTAGTCAGTGTCAAAGAGAGTCTGGTTGGTTTGGAGAATAAAATTTTCAACTTCAAAGTCAAGGCACGAGATGGAGGCTTTCCTTTTTACAACTCCTCTGTGCCAGTGCAAGTCAAGGTGGTCCCACCGGAGATCATACTGCCCCGGTTTACAGAGCCATTGTACTCATTCTCAGCATCTGAGGACCTCCCAATAGGATATGAAATAGGCACGGTCAAAGCAGACGCTGACATGCCACTGATCTACAGCTTGGTCAATGGGAACACTTTAGACAGTAACAAAGAACTTTCTTTTGCTATTGACAAAGATGGCGGCACAGTTGTTTTGCAGAACAATATCGACCATGAAAAAACCAAGATGTACAAGATTGATGTAATCGCTCAAGGGAATCACAATGGCACCAATGTAGCATCTCTTGTGTCTGTTCACATAGAGGTTCAAGATGTTAATGACAATAAGCCTATGTTTGAAGCTGACACATATAAGGCCTTCCTGGCTGAGAATTTGCCCTCTGGTACTACAGTCATTCAAGTTACTGCAAATGATGCAGATGCAAACATCAATGGAGAAGTTTCATATACACTTGAGCCGGAGTCAGATGACATTGGTGATATGTTTGCCATTGATTCGCAAACTGGCTGGATTACCACCCTAAAGGAGGCTGATTCAGAGACCAAACAGCTTCACAGATTTTTCGTGGTGGCCACTGATCATGGTGACGCACTCAAACAGTCGGCTTCGGTTCTAGTCGAGGTGACTCTTACAGATGAAAATGACAACCCACCACAGTTTACAGAAGAGCTTTACCAAGGGTCCATCCTAGAAAACAGCAGGCCTGGAGAGAACATTGTCACTCTGACAACTGCTGATAAAGACGTGTCTGCAGAAAATAGACAGATTGTATGTTACATAACAGATGGAGACCCGCTGGGCCAGTTTTCAGTCACAGCGGTAGGGGAGGAGTGGACGGTGATTTCCAAAAGTCCACTTGACAGAGAGGACAAAGACAAATACACTCTAAAAATAATAGCCACGGATGGAAGGTTTCAAACCTCTGCCAATGTGGAGGTCCATGTTCTTGACCTCAATGACAACAGTCCTTTCTGTGAGCAATTGCAGTACACTGAAGCAGTCATGGAGAATTCTTCATCAGGCAAGGTTATCCTGAAGATCTCTGCTTCAGATCCGGACATTGGAACAAATGGTCAGGTGTCATTCACTCTTCATGGACCTAATGCAGACAAGTTCCATCTTGACCCCAAAACAGGAGAGCTATTCACCCTCGCTGTGCTGGACCGGGAGCGAGAAAAAGAGTATGACCTAGTTGTTAAAGCGACTGATGGCGGTGGCCGCTCTTGCCAGGCAGACGTCACACTTATGGTGCAAGATATGAATGACAACCCGCCACAGTTTTCCACAAGCCATTATGAAGTCACAGTGTTTGACAACACAACCATTAGGACGCCTATTGCTGTCATCTATGCCAAAGACCCAGACACAGGTATAAACTCAGAGGTGCGGTACTCTCTTCAAGGTGCCGACAGTGGCTTCTTCTCTCTAGATGAAATCTCCGGCGTTCTAAGATTGGAGCGATCTCTAGCTGATGAGACCAAGTCCACTTATGAGATGAAAGTAAAAGCCACTGACCGAGGCCTCCCTCGCCATCTCTTCTCCTTCGCCATGATTACAGTACATGTGGTGATTCTGAGTGATTACCAGCCATTGTTCCTCAGCTCCGAGTATTCAGTACAGATAGCAGAATCATCCCAGGTCGGCTCAGAGGTGATCAGTGTGTCTGCCCTCACCAAAGACGCCACTGAAAACGAGCCTGTGAGATATTCCATCATATCTGGCAACGAAGATGGCAGATTCATGATAAACCCTGTGACTGGTTTGCTGTCGGTGAAGGCTGCGCTGGATTTTGAGCGCTGTCGCGAGTATTACCTGTCAGTGGAAGGGGCAAGGGGCAAACCACTGCTCAGTGACATCGCCATGGTTATCATCAATATCACAGACGTCAACGACAACCCTCCTGTCTTCAACCGCAGCAGCTACAGCACAGTGATACCAGAGGACATTTCACCTGGAGAAATGGCTCTGCAGGTAAGAGCCATCGACCTTGATGGGCCTCCAAATAACTTCATCATCTACTCTATTGTGAGCGGTGATCCAAAGCAGCAGTTCAGCATCGACCCTCGCACAGGCTTTATAACACTGCGCTCCATGCTGGACCGAGAAGAGATAACGCACTACTCATTAACTGTGCAAGCTGCTGATGAAGGCGATCCTCCTTTATCCTCCGCCGTCCAGGTGACCGTGACTGTATCTGACGTCAACGACAACCCACCCATGTTTTCCAAGATTAATCACAGCCTCATTGTCCAGGAAGGGGAGGCTGTGGGCAGTGGGATTTTGCAGCTGCTGGTAACAGACAGAGATACGCCTCAGAACGGCCCTCCCTTCTCCTTCCATATTGTCTCTGGAAACGAGGACAGGAGTTTTCACATTGACCAAGGAGGACTGCTGTCCGTATCCTCCCAGCTGAGGAGGAGAGGCAAGCCGCAGCATCTGCTAAAAATCCAGGTCACTGACAGCGGCCACCCTCCACTGTCCTCTATCTGCGTGGTGAAGATCAACATCACAGAGCAGAGCCGGTATCCACCTACTGTGAATCCGCTTGAGATTTTCATCACCACTGCTGGTGGTCCAATCTTGAAGAGTGTCATCAGCAAGCTGCACGCTACTGACCAAGATCCCCAAGATGTACTGTCCTACAAGCTGGTCTCCGAGGGCCAGGACAAAGGCCTGTTTTCTGTGGACACAGTTGATGGAAAGATTGTAGTGGAGAAGAACCTGGATCCAGGCCTGTATCACTTGAACGTGAGCGTGACCGACGGGAAATTTAGCATCTGGGCTGGAGTGAAGGTCCATGTTTGGGCTGCCACTCAGCAAAACCTGGATCAGGGCTTCACACTGCAGTTGGCTGGAATTTCTGCAGAAGAATTCGTCTCTGACCACTGGAGAGGCCTCCAACGCAGCCTGGCTCAGGAGTTAAACATACCCCGACAAGAGTTGCACATCGCCAGCTTGCAACAGCAGCCAAACTCTGTCAACACTGAGGTTTTGCTGGTCCGGCGTGCTCAGGATGGTTCCGTTAAGTCTGTGCCTGTTCAACGTCTGACTGGGGTTCTGTCCACTGTAGAAGATACGCTGGGTTTGAATGTCTTAAGGCTAAAGCATGATGGGTGTGTGGGTGCTGGTTGCCCACCCAGAGGTTGTAAGAACACAGTGGTGATGAGGCAGGGGAGGATGAGTAACTACGCCACAGCACGGATGAACTTCATAACCCCGCAGCACAGCTGGGAAAGCATGTGCACCTGCAATGAATCGGCTGTGAGATTTGACGGTAAGGGTTATCTAAAATACCTCTATCACATGGAGGAGGCCAAAGAGAACTTCCATCTGTCTCTTCGACTGAAGACGTCAGCAGCAGATGGCACAGTGATGGCCACCAATGCCTCAGACTGGGGAACATTAGAGCTGGTGGACAAGGAGCTGTGGCTCAGATATAGATGTGGCAACATGCTCTCTGCCGGGCTGCAGGTGGCCAACTACCCCGTGGCTGATGGCCGCTGGCATCATGTCTCTCTGGATGTCAATGACACAACCCTTAGACTCACCATTGATTCCAGTCACACCAATTCAGTGGTCCTGCCACAGCCCTGCAGACTCAGTCACCCCGGCGGGGCCTTGGTGCTGGCCAGCTCTAATCCCAACACAGATGCAGAGCGCCTGGGCTTCACGGGCTGTTTGGAGAGCGTACACTTCAATGGAGAGGCGCTGAGACGACAGGAGGGGATGACAGGAGCTGGAGCGCAGGCTGGCAAACTCTTCGGGATCTACCAGTGCTGCTCTGATGTGGAGATCTGTGCCAGTAATCCTTGTGAAAATGGAGGCATTTGTGCTGAGAATTCCACTGGAGGGTTTCACTGCAGCTGTCCGTCAATGTACTATGGACCTCACTGTCAGTTTATCCACCTGCCGGACGATCCTTGCTCATCCAAGCCATGTGTCGATGGTTTATGTATGCCAAATAATCAAGGGTACATCTGCAACTGCTCCACACAAATAGCTGGAAACAGGTGTCCGACTTCATGTGCTCCAAATTCATGTCAGGATGGTTTCACCTGTTCAATGGTAGCCAACTCAGTCCACTGTGAGCGCACCACCTACCGCTCCACCTATATTCCTTATGTGGAAATTGCTGAAATCTGCGCTGGTGTTGTTGGACTTGTCCTCCTCGTCATAGCCTTTGTGTGTTTCCGAAAACACTATGTCAGCAAAAAGAAGCACAAATCTGGCTGTGTGCAGGACTCCAATGGTTACTTCCCAACTTTACCCAAGACCATGACGAAAGAAGCAGAGATCAGCTCTCCAATGGACGGCATGCTAATCGGCTCTGTTGGTGATCTGGAAAGCAGTCCTTTCCGTTCACTCAAACTTCGGGAACAGCGCGAGCTCGGCCCTCAGGTGGGCCCTCGCCCTCAGAGGCCTCAGGGTCCTGTTATCTGCAGCGTGGCCCCAAATCTTCCTCCTCCACCCTCCACCAGCTCTGACAATGACTCCATTATGAAAAACAACTGGGAGCACGATTACGAAGTGTATCCAGCTGACCCTGACTACTATGGTCGACCCGCCGTTCAGGAGTTCCCTCAATTTGACATTGTGGAAAGCACCTACTCCAATACTTCCACCGAGTCGCGCAGAAACTCTCGCTTCGGAGGTTTTCCTTTCCCGTTGGACCGCGCCGACCGCCGAGCTCCATTACCCCCATGTTACAGCAATCAAAATCTCGATGACTTCTTAGGGCCTGACGGACTGCCGCTGCCTCGCTCTCAGTGCCCTAATGAGTACACTGCCATAAGCTACTACCCTACCCAGCACGCTCGAAGCCTGGACAACGTCTCCAGCGGCTATAAGAGACTCAGTGTGCGTCTGAGCGTAGCACAGCCTTCCTATGCGGACAGCACACGGCCTGGATCCACTAGAAGGACGTCTCGCAGTTATGCTGGCTCAGATAGGGTGGAGAGCGACTACGGCAGCTGCGAGGAGGTCATGTTTTAG</t>
  </si>
  <si>
    <t xml:space="preserve">&gt;lcl NM_200711.1_cds_NP_957005.1_1 [gene=calb2b] [db_xref=GeneID:393684,ZFIN:ZDB-GENE-040426-1668] [protein=calbindin 2b] [protein_id=NP_957005.1] [location=76..885] [gbkey=CDS]</t>
  </si>
  <si>
    <t xml:space="preserve">ATGGCGAATAAAGCACCAGAGCCCATTTCTCTGCATTTGGCGGAACTCACTGCCTCTCAGTTTCTGGACATCTGGAATAAATTTGATGCTGACGGCAATGGCTGCATTGAAGGGAAGGAACTGGAAAATTTCATCCGTGAGCTGGAGATTGCACGGAAAACTGCGGATCCTTCAAATGCTTCATTTAAAGACAGGATGAAAGAGTTTATGCAGAAATTCGATGAGAACGGTGATGGGAAGATCGAGATGTCAGAGCTGGCCCAGATCCTGCCGACAGAGGAGAATTTTCTATTGTGCTTCAGACAGTTTGTGGGATCCAGTGCAGAGTTTATGACGGCATGGAGAAAATATGATACCGATCGCAGCGGATACATTGAATCCAATGAACTGAAGGGCTTCCTGTCAGATCTGCTGAAGAAAGCCAACAGACATTATAATGACAAGAAACTGAATGAGTATACGCAGACCATACTTAAAATGTTCGACCTGAATGGCGACGGGAAACTGGGACTGTCTGAGATGGCCAGACTGCTTCCTGTGGAAGAGAATTTTCTGCTCAAGTTTCAGAACTTCAAACTGTCTGCTGAAGAATTTGAAGCAATCTTCAACTATTACGACAAGGATGGCAATGGTTATATTGATGAACATGAACTGGATGCCCTGCTGAGAGACCTCTACCATAAACATAAAATGGCCGTTGACCCTCACAGCCTGTCCAGCTCAAAGAAGAGCATCATGGCGCTGTCTGATGGAGGAAAGCTGTTCCGCACAGAACTGGAGATTGTGCTATGCAAAGATCCATCAGTGTGA</t>
  </si>
  <si>
    <t xml:space="preserve">&gt;lcl NM_200718.1_cds_NP_957012.1_1 [gene=calb2a] [db_xref=GeneID:393691,ZFIN:ZDB-GENE-040426-1677] [protein=calbindin 2a] [protein_id=NP_957012.1] [location=55..870] [gbkey=CDS]</t>
  </si>
  <si>
    <t xml:space="preserve">ATGGCAAACAAAGGACAGCAGCCTCCTTACCTTCACTTGGCGGAGCTGACCGCATCCCAGTTCCTGGACATCTGGAAACATTTTGATGCAGACGGAAATGGCTACATCGAGGGTAAGGAGCTTGACAACTTCTTTAGTCAGCTGGAGATTGCGAGGAGAGGAGCTGGTGTGGATCCCTCAAATGCAGCCTTTAAGGGGAGAATGACAGAGTTCATGCAGAAATTCGACAAGAACAAAGATGGAAGAATTGAGATGTCAGAGCTGGCTCAGATCCTGCCCACAGAAGAGAACTTTCTCCTCTGCTTCAGACAGTTTGTGGGATCCAGCACCGAATTCATGGCTGCCTGGCGGAAATACGATACAGACCGCAGCGGTTTCATTGAGGCTAATGAACTTAAGGGCTTCCTCTCTGACCTGCTTAAAAAGGCAAACAGACATTACGACGACCAGAAATTGCAGGAATATACACAAACAATACTTAAAATGTTTGATCTGAATGGTGATGGGAAACTGGGTCTGTCTGAAATGGCAAGGCTTCTGCCAGTTCAGGAGAACTTCTTGTTGAAGTTTCAGGGAGTCAGGCTGTCTGCTGAGCAGTTCAACGCCATCTTTACATACTACGATAAGGATGGAAACGGCTACATTGACGAGCAGGAGTTGGACGCTCTCCTGAAGGACCTCTATGAGAAGAACAACAAGGAGGTGGACTCCAAGAGCCTGACCGGTTACAAGCAAAGCATCATGGCCCTGTCGGATGGAGGCAAACTGTACCGCTCAGAGCTGGAGATTGTCCTCTGCCGGGACCCCATGCTGTGA</t>
  </si>
  <si>
    <t xml:space="preserve">&gt;lcl XM_001341568.5_cds_XP_001341604.1_1 [gene=calb1] [db_xref=GeneID:100001650] [protein=calbindin] [protein_id=XP_001341604.1] [location=164..946] [gbkey=CDS]</t>
  </si>
  <si>
    <t xml:space="preserve">ATGGCAAACGCGTACCTGCAGGGAGTAGAGATCTCAGCCTCGCAGTTCCTGGATATATTCCATCATTATGACAACGATGGTAATGGATTTATCGAGGGGAAGGAGTTGCAGAATTTTATCAAAGAACTTCAACAAGCTCGAAAGCAAGCGGGACTGGAACTAACAGACAAAATGAAGGCCTTTGTTGAGAAATATGAGCAAAATGCTGATGGGAAAATAGGTATCATTGAGTTGGTTCAAATACTTCCTACAGAGGAAAACTTCTTGCTATTTTTCCGACAACAGCTGAAGTCCTGTGCAGAATTTATGGAGGCTTGGAGAATATATGATGCTGATCACAGTGGATACATTGAAGCTGATGAGCTGAAGAACTTTTTGAAAGACCTGCTTCAGAGGGCTAAAAAACCATATGATGAGAAGAAACTAGAGGAGTACACATTGACTACGCTAAAAATTTTTGATTCAAATAAAGATGGGAAATTATGTCTGTCAGAAATGGCACGGCTGTTACCGGACAATGAGAACTTTCTACTAAAATTTCAGGGCGTAAAAATGGCCAGAAAAGAGTTCAACAAGATTTTTGAGTTATATGATAAGGACAGAAACGGATACATGGACGAAAACGAGCTTGACGCCCTCCTTAAAGACCTTTGTGAGAAAAACAACAAGGTTCTAGAAGCCAACAAAATCTCCACGTATAAGAGTGCCATCATGGCTCTGTCCGACGGAGGCAAGCTCTACAGAACAGAGTTAGCGCTGGTGTTGTGTGCAGAGGAGATGTGA</t>
  </si>
  <si>
    <t xml:space="preserve">Sector 1: Protein Dachsous (ds) (B1): LOC112058497</t>
  </si>
  <si>
    <t xml:space="preserve">ds_dsx_ets5 doc</t>
  </si>
  <si>
    <t xml:space="preserve">ATGTTGCGCGCAATCCTCTGCCTGCTCGTCGCTGCGGCGGCGGCCGTACACGTCCGCGAGTTCGCCGTCAAAGAGAACGCACGCGCCGGCACCCTCGTCGGCAACCTCGGCGATGAATTGCCAGACGCCGCACCCCCGTACACTATAGTACCAGTACCAGGCAGCGCTGTCAACGATGACCTCAAGATAGACCCTCACACCGGAGAAATAAGAACTAGGGTACCGTTAGATAGAGAAAATAGAGACCATTACGCTCTAGTAGCGATACCCGCGAGTGGCGACAACGTCCGTGTTGTAGTACGTGTATCAGACGAAAATGATAACTCTCCTATATTCCCCGCCCCGGTCATGAACGTAGAATTCTCAGAAAATACTCCTAGAGACGTTAAAAGAAAGCTGAATCCAGCCAAAGACCAGGATTTAGGAGTATTCAATACGCAGAGGTATAACATCGTTTCGGGAAATACAGATAACGCTTTCAGGCTGTCTTCTCATAGAGAACGCGATGGCGTGCTTTATCTTGATTTACAAATTAATGGTTTCCTTGACAGAGAAACCACTGACCACTATGAATTGGTCATAGAAGCGTTAGATGGGGGTACGCCGCCTTTGAGAGGGACGATGACTGTAAATATTACTATTTTAGATGTTAATGATAACCCACCGGTGTTTGCTGAAAGTGTGTACTCGGCTATGATACCCGAAAACGCGACGGTAGGTACTGCTGTACTGAAAGTTTTTGCAATAGATTCGGATGCGGGAGAGAACGGCTTAATAGAGTACTCAATAAATAGGCGGCAAAGCGATAAGGAGAATATGTTTAAAATAGATCCCGAGACGGGTGAGATAACTGTAAATAAGGCTTTAGATTTTGAGACCAAAGAGTTGCATGAGTTAGTTGTAGTCGCAAGAGATAAAGGCGCACAACCTCTGGAGACAACCGCATTTGTGTCGATACGTGTTACTGATGTGAACGATAACCAGCCAACAATAGATGTAATATTCCTCAGTGACGATGCAACACCAAAAATATCCGAGTCAGCACAGCTAGACGAATTTGTGGCTAGAATATCAGTACACGACCCAGACTCTAAAACAGAGTATGCGAATGTTAACGTAACATTGAGTGGTGGTGATGGCCATTTTGACTTGCGCACTCACGATAACATTATTTATTTGGTCGTGGTAGCGTTACCATTGGACAGAGAGTCGCAGTCCTCATACACGCTGAATGTTGTGGCGACTGACAAAGGTTCACCGCCTCTGCATGCCTCACGGATAATAAGTCTCCGAGTGACCGATGTTAATGATAACCCACCAGTTTTTCTCGAGAACGAATACCAGACGAGTGTACCGGAGGCCGCAGCTCCCGGTACGCCAGTGATTCAAGTATCAGCTAGCGATGTGGATGAAGGAGATAATTCCGACATCAGGTATTCCTTGCTTCCAACACCGCAGTCTGACTGGTTTTCGATCGACGAGCGTTCTGGTCTGGTAACAACCCGGTCCCGCGTTGATTGTGAAACGAATCCGATGCCGCGTTTGACGGTGGTTGCCAGTGACCGAGGCAATCCTCCGCTGTCGTCCACCGCAACGTTGTTAGTGACAGTGTTAGATGTGAATGATAACGAGCCGATCTTCGACCAGTCCTTCTACAACGTGACCGTCTCCGAGAATGAGGCTGTCGGCAGCTGTATTTTAAAGATGTCAGCAATAGACCCGGACTGCGGCGTGAACGCGATAGTGAACTACACCCTGGGCGATGGACTGGCTCGACCACAGTTCTCCGTGAAGCCAGATTCAGGGGATCTTTGCGTTTCTGCCCCCTTGGACCACGAGACAACTAGCGATTTTGAGTTTCCTGTTATTGCTACTGACAGAGGGGGCCTGTCCACGACCGCAATGGTGAAGATCCAACTTCTCGATATAAACGACAACGTCCCAGTCTTCACCGTGAGAGATTACAACGTCTCTCTGAAGGAGGGGAGGATATCTAGCAACGAGCCCATAGTAGCTGTGTCAGCTGCGGATGCTGATTCTGGAAGATTCGGAACAGTTACGTACAGAATAGTTAATGGGAACGACAACGATGTATTCCGAATAGATAGAAGTACGGGCGAGATGTTTGTGACTAAGCCCTCGTTGATACAAGCGAATGGGAGGTTCGATCTGGAAGTGTCAGCGACTGACGGCGGGGGTCTAGCTGCAGCGCAAGGGGCTGTGGTGCATGTGAACGTGATACCTGCTGGCGTCGGCTCTGCATTGTTCGATAAGCCGCGATACAACTTCCGCGTGCGTGAAGACGTGAAGAGCGGGACTATTGTGGGCAGTCTCAAAGCTACGGCTGGAGGCAAACAATTGGTCCGGTACAGCATCGTCTCCGGGGACGCAGACAAGCGCTTCACCATCGAACCTCACACTGGAGCCATCAGGACCTCAGGAAAGCTGAACAGAGAAGCCACTCCTTCGTATCTGCTCAACATAAGAGCTGCTACCAGCAATTCTGCAAACTATGATCAGACTCAAGTACAAATAACGCTCGAGGATGTGAACGACAATGCACCAGAGTTCGGAACATCATCAGTACGAGTATCAGTAGCAGAGTCAGCAGCTATCGGCTCAGTGGTGTACGCGGCTAGAGCAACTGATGAAGACGAGGGGAGGAATGGCCAGATCACATATGGTCTAGTGTCTGCCACGGGGCCAGCTAACACCTTTGCTGTCAACCCTCAACATGGATTGGTCACTTTGTTGAAGCCACTGGACTATGAAAATCTAGTTCGCCATACACTCGTAATATCGGCCAAGGACGGCGGCAACCCTCAGCTGAGTGCCAACCTTACTCTAGCAGTAGATGTACAAGACGTAAACGACAACGCGCCCGTTTTCGAACATGACACCTACAGCGCGAATGTCCTAGAGTCGGACGCTGTAAAAACAAAGATTTTAGAAATACAAGCCATAGACAAGGATACCGGTAACAATGCGCGCATAACCTATCGCGTAGTATCAGAGAATAATACAAACGAAGAGCATTTCAAAGTTCAGCCGGCCACAGGCTGGGTATACCTCGCCAAACAACTTGATAGAGAGACGATAGCTAAACACAAAATGACAATAATAGCTACGGACAATGGCATCCCGCCGATGTCAGCGACTGCCAGCCTTATTGTCAACGTGGTAGATGCTAATGATAATGATCCAGTATTCTCACAGACGGCCTATGACTTTCACGTTGAGGAGAATCAAAAGATTGGCGCGTTCGTTGGAAAAATTGCTGCGACTGATGCTGATTTGGGTGACAATGCTGTAGTTAAATACAGTTTGTTCCCTTCTAACACCAGCTTTGTCGTTAACCCGACTACAGGTATAATAACAACCAAACAAATATTGGACAGAGAATTTAAGAACTCATACTCACTTTTCGCTGAAGCACGTGACCAAGGATCCCTGCCCAGATCTAGCAGAGTTCTTGTGTCTATAAAAGTAACCGATGTAAACGATAACTCACCAGAGATTATCGACCCTAGAGAAGATGTTGTAAGTGTAAGAGAAGAACAGCAACCAGGAGCAGAAGTAGCAAGAGTAAAAGCTATCGATAGAGATAATGGTGTAAATGCATCTGTGGTATATTCTATTTTAAATGAGAGGGATATGGATGGATTTGGTGTATTTGTTATAGACTCCGATACTGGGATTATAAAAACAAGTACAGTATTGGATCATGAAGAAAGATCAATTTATCGTTTGACGGTAGCAGCAACAGATGGTGGACATCCACCGCGGCAGACTGTTAGGCAATTAAAAGTTGAAGTATTAGACTTAAATGATAATAGACCTACATTTACTAGCTCCAGTTTATCATTTAAGGTGAAAGAAGATGCAAAAGTGGGCCATATAGTAGGGACCGTTGCATGCTGTGATAGTGACATTAACGAAAATTCTATAAATGGAGATGAAGAAAGGCAAATATCATATCTGTTAATGCCACTCACATCAGATCACTCGCCAGGGACATTTGAAATTGATAGAAGAACTGGCTTTCTGGTTGTTGCAAGACAATTAGATAGAGAAATACAAGATGAGTATAGACTGGAAGTTCGAGCATTAGATACATCTGCTACAAATAATCCACAGAGTAGTGCAGTCACTGTTCGTATTGAAATTATAGACGTCAATGACAATGCACCTCAATGGCCGGCTGATCCAATAAACATTAAAGTATCTGAAGTAACTCCTGTTGGGATGACGATATACAATTTTACTGCAAGCGATGCAGATGCAGGACCAAATGGCGAACTACATTTTAACATAATGTCTTCTCTTCCACTAAATAAAAATGCATTTAGCTTAGATCCTCTAACAGGGTCTTTGACGCTGACCTCTCCCCTTGATTATGAACTACTAAAAGAATATTGGTTAGTCATTGAAGCTTCAGACCTAGCTGCTAATATAACGGAGAGGATGGTTACATCTGCAACAGTACATGTATCTGTGATTGATGCAAACGATAACACACCTACTTTTGTGTCTACCAATAAAGTTTCTGTTACATTGAACACTTTATCTGGTACATTATATCAAGCTCTTGCAGTTGATACAGATTCTGGTGATAACGGCAGAATTTCATACTTTATAGCCGGAGGAAATGATCAAGCTTATTTTTCTATGGACTACGATACCGGTAGACTGACTTTGACGAAAAAATACTCTTCAGATGTATCTAAAGTGAAACCAGGGCAATATAAACTCAACTTAACAGCCTCAGATCACGGTACACCCTTTCCAAGACAAAGTCATATGACATTGTTACTAAACTTGCAAGAGTCAACGAATATTCCACCCCGATTTACAGATTCTTTTTATAGAGCAAACATTAGCGAAGACATACGTCCAAACAGTTTTGTTACTAGACTGTCAGCCAAATCATCAAGAGGTAATACAGGAAACCTTCGCTTTATGATACCTTCAGGTGCCGCGGGCGATAAGTTTGGGATTGATGAACGTCTAGGAACTGTTACTGTTAAAACTAAAATTGATAGAGAAGAAAATGATCATTACATTTTTCCTGTTTATGTTACTGATTCTAGTACATTTCAATCTACTACAAACTTTGATGTCGCTACTGTCTCGATAAATGTATTAGACGTAAATGATAACCCGCCTACTTTTAAACCTGGATCTTGTTATACATTAACAGTACCCGAAAATAATATCGCCGAAGTCATACATACGGTAACAGCTACAGACAAAGATATCGGAGCTAATGGTATGATAACGTACAGCATTATTTCTGGTAATAATGGAAATAAGTTTTCTATTGACTCCACTACTGGAAAACTCACAGCAAAAACTTTAGATAGGGAAACACAAGCCAGATATGATTTGACCATATCCGCTTATGATCATGGTTCACCAGTAGCATTACAAGGCTCCTGTAATCTAACAGTCATGGTAGAAGATCAAAATGACAACGATCCTGTATTCGATACTGGACATTACTCTGCTGCTATACCTGAAGATGCTTCTATTGATACATCAATTATTAAAGTGAGAGCTACAGACGCCGATTTGGGATTAAATAAACGAATAGTTTACTCACTAGCTAATGAAAGTCAAGGATTATTTCGAATAGACAACAAATCTGGAATAATTTACACTACAGGCTATTTTGATCGTGAAAAAACAAGTGTCTATCATTTTGACGCAGTTGCTACGGACCAAGGACGATATATAGCTCGTTTTCAAAGAGTGTCTGTAGAAGTCACTATAAATGATGTAAATGACAATAAACCTATATTTACAAAATATCCTTTCAAAGAACAGATGGCTACACTTACTCCACCGGGTCAGAGTTTACTACGAGTGTCAGCCACTGACAATGATATAGGAATCAACTCAGAAATACTGTATGAGCTTATGGATACATCTAATCACAAGTTTCGCATAAATCCAACCACAGGTGTTCTTACAGCTACACAGAGTTTAGCAAGTGAAAATGGCAAATTATTACACCTTAAAGTTTTAGCTAAAGATAAAGGAAACCCACCTCAAACCTCAGTAGGCCTTATCGAAATAAGAGTTGGAGATTTTCCAGATAACACACCAACTCTTTCTTTCCAAAATTCAACATACAATATTACAATAGAAGAAAATTTACAATATGGCAAAGACGTATTACAAGTTACGGCTTTAAGAAGTGATGGACGTCGGCAAAGGATATTTTATGAATTCGGCAATGGTAATGACCAGTATGCCTTTGAAATAGACTCTAATACCGGGGTCATAAGAGCCAACAATTCGGATAATTTGGATTATGAGTCTTATCCAGGTCCAAGAAGGCAACTTGTTATAGTAGCTCGAACAGAAGGGACGCCTACATTATATGGATACTGCGACGTAATAATAAATCTTTTGGATCAGAACGATCACGCTCCTAGATTTACGCAACAACAATACATAGCAAATGTTCTCGAAGGAAATACAAAAGGCGAGTTTGTCGTGCAGTTAGCTGCAAAAGATGGAGATCGAGGGGCGAACGCAAGAATCTTATATCATATCGTCGATGGAAATCATGATAACGCATTCATTATTGAACCTGCATTTTCTGGATCCGTCAAGACGAATATTGTATTGGATCGGGAGATAAGAGAGACATACAAACTGACTGTCATAGCTACTGATGAAGGCAATCCCCAAATGACTGGCACGGCTACGCTGCGAATCAACGTGGTGGATGTCAATGACAATCAGCCGACGTTTCCACCGCCGAATGTCATTTCTGTATCGGAAGGAGCGGAAGTCGGGTCGATACTTACATCTGTTACTGCAAATGATGTCGACACATACCCGGCGTTAAAGTATGCAATTATTCAAGGAGATAATACTTTTTCAATAGACCGATACAGTGGAAAAATAGTATTGAACAGAGCGTTGGATTTTGAAAGTAAAAAAGAGTATCAAGTAAACATCAGCGCTTCTGATACTGAACATGTTGCGAAAACTACTCTTACAATAAAAGTAACAGACGTTAATGACAACGCTCCAGTGTTTGATGAAATATCTTACAACAGAGTGTTACCTGAAGGCACCGGTGTCATGGAAATCGGTTCAGTTAACGCAAAGGATGTAGACAGTGATGAAAATGGAAAAGTGACATACCACATTCTTCAACCAAACCCAGGTTATTCTATTCACCCAAATACTGGTATTCTGTATGTCAACTATAGTGCATTACCTGCTCACCAGAGGGATGTACAATTGGCTGTAGTTGCCACAGATCTTGGGAAACCAAACAGAAGTTCTGTCGCTTCAGTGAGAATTAGCACCGGTGCTTCCTCAGAAATTAAACCTTTCATTGGACAAGACACGTACAGAATAACTGTGAATGAAGAAACAGAAAAAGGGACATCACTTCTTCAAATAGGTGGAATCAACGATGTTCTCAAAAAATATAATCTGGACTTCCATATAATATCCGGCAATGAGGGTGATGTTTTTGACGTCACTACAGAAGGAGCGTTGCTTCTTGTAAATAGATTAGATAGAGAAGCACAGGACTCTTATGTTCTTGGAATGGCTGCGGTAGAACAAGGAAAAATTCTCTCCTATAACCAAAACAAAACTTCTGTCATGATTTTTGTTACCGTAACAGATGCGAATGATAATGCTCCAACATTCTCTCTCACTGATTATGAACTAACAATAAGCGAAAATGTAAAAGTAGGTCATACTTTGATGGAACTAACTGTTAATGATGCTGATTTGTATGGTACCCCTAACTCTGCCATTTTGTTTAATATAACATCAGGCGATGATGAAAACTCTTTTTATGTACATCCTACGACAGGCATCTTAACTGTTAATAAGTCAATAGATTACGATACTGGCAGAACAAAACATAAGCTAATTATAGTTGCTTGCGATCAGGGCACACCATGTTTATGTAACGCTGCTTACGTAAATGTGGAAATTCTCGATGAAAATGATAACACGCCTACGTTCCCTGTAAGTGAGTATTTCGAAACAATAGGGGAGAATGAGCGAGTCGGAACATCGGTATTCACAGCAAGAGCAACAGACCTAGATAGAGGTAAATATGGAAAACTAAATTACTCCATAGTACCACTGTCCAACAATTACAATAGAAACGACGACTCTTGGAAAATGTTTCAAATTGACCCTATATCTGGGCTCGTTAATACTAACGCGGTTTTTGACTACGAACAAAAGAATAAATATGAATTTTCAGTCAAAGCATCTGATTTAGGTGGAAAAAGTTCAACAGTGAAAGTAAGAATCGATATTGAAAGTCGCGATGAGTTCTATCCCCAGTTTACACAAAAGACGTATAATTTTGGTGTCCCTAAATCTGGCTCCTTACCAGCGGGCTATGTTATAGGGCAAGCAACGGCAACGGATCGAGATAAAGGTATTGACGGTCGTATAGTATATCAGCTGTCGACTTCACATTCTTACTTCAAGATAAATAGAACAACTGGCATCATAATTTTAAAGAAAAAAGTTGACTCTGTTAAGAATTTATTTGGAGCAGATAAATCCATCAGTTTAGTTGTAACTGCTAGCTCTGGAAGACAAGGTTCATTAACGAATAAAACCGCCGTAGAAATTCTGCTCGATCCGTTGGCAACAGTGTCGGAAATTACAAATCATATGAACGATACATCCGTGGCACAAAGCAGTGGGCTTTCCGACTGGGCATTAGGTTTATTAATAGCATTTATATTTATTATAATAATATTTGCTGCAGCGTTTTTATTTTTACATATGAAAAATAAAAGACATAAAAAAGGAAACAAGCCAGGCTTAAATTCTGAAGGCGTAGGAGCGACTAATAGCTATGTTGATCCCAGTGGATTTGACACAATACCTATACGAAATACCGGCCCAGTGACTTCTGCTAATCAATTTGCTCCTCCTAAGTACGACGAAATACCACCTTACGGTGCTCATACGGCTAGCTCAAATTCTGGTGCGGCTACGACTTCTGAACTTTCAGGGTCTGATCAGTCAGGCTCTAGTGGCCGTGGATCTGCAGAGGATGGTGAAGATGGAGAAGACGAAGAAATAAGAATGATAAATGAAGGGCCTTTACAAAGAGAAACTGGTATTCATAGACAAACAAATGGGGTAGACGATGACAATCTTTCAGATGTTTCAGTTCATAATACACAAGAATACTTAGCTAGGTTGGGAATCGTAGACACTGGCACTGGCGGAGGTGCATCGACATCTTCTCGAAGATGTTCTGAAAATGTTGTAAATAAAGATACAATGTTACATCATGGGCCAATAGATTCAATGCATATATTTGACGAAGAAGGTGCTCATGAAAATGATATAACTAATCTAATATACGCCAAATTGAATGAAGTGACTGGAAGTGAAAGAGCAAGTAGTGCTGATGAGGCAAGTGCTGCAGTTGACAGAGCAATGGCTCTTGGAGCTTTTCCAAGCACTTCGGCTGATAATAACGCTGTTCCAACTGCTGGGCCATCTATGACCGGAAGCCTAAGTTCTATTGTTCATTCTGAAGAAGAATTGACTGGTAGTTATAATTGGGATTACTTACTCGACTGGGGCCCTCAGTATCAACCCTTAGCTCACGTGTTTTCAGAAATTGCGCGCTTGAAGGATGACGCTGTATCATTACAAAGTGGAAATAGTGGTGCGTCGAGCGCAAAGAGCAAAGGTACGTCAATATCTGGTGGTAAAAGTGTACCACCACCGTTACTTACAACAGTTGCGCCAAGAAGTTGTCCAGCGCCATCATTGTCTTGTAGACAACCACAACACTTGTTACCGAGGTCGCCAATAAGCCATGACGTACCTGGCGGGTTTTCTGCCGCTGCTGCAATGTCACCATCGTTTTCACCTTCCTTATCACCATTAGCTACTAGATCTCCTTCAATGTCACCTTTAGTAGGGCCGGGTCTTCCACCTGCCCCAGCCAATAGAAAACCACCTCATTCTACAATGAGAATGTAA</t>
  </si>
  <si>
    <t xml:space="preserve">Sector 2: doublesex- and mab-3-related transcription factor 1 (dsx) (B2): LOC112058347</t>
  </si>
  <si>
    <t xml:space="preserve">ATGGTGTCCGTGGGCCCGTGGCGGCGCCGCACGCCCGACGAATGCGACGAGCGCTCCGACCCCGGCGCCTCCAGCTCGGGCGTGCCGCGCGCGCCGCCCAACTGTGCGCGCTGCCGCAACCACCGGCTCAAGATCGAGCTGAAGGGCCACAAGCGGTACTGCAAGTACCGGTACTGCACGTGCGAGAAGTGCCGGCTGACGGCCGACCGGCAGCGGGTCATGGCGCTGCAGACGGCGCTGCGGCGTGCCCAGGCGCAGGACGAGGCGCGCGCGCGGGCGCGGGGCGGCGGGCCCGACCCGCGCCTGGAGCTGGACCGGCCCGAGCCGCCCGTGGTGAAGGCGCCGCGCAGCCCGCCGCCGCCGCCGCCGCGCTCCTTCGGCTCGGCCAGCGGCGACTCGGTGCCCGGCTCGCCCGGCGTGTCGCCGTACGCGCCGCCGCCGCCGCCCTCGGCGCCGCCCGTGCCGCCCATGCCGCCGCTCTTGCCTCCGCAACAGCCCGCGGTGTCACTGGAGACCCTAGTTGAAAACTGTCATAAGCTCCTAGAAAAATTCCACTATTCGTGGGAGATGATGCCCCTCGTGCTAGTCATCCTCAACTACGCGGGCAGCGATCTGGAGGAGGCGTCACGGAAGATTGACGAAGGGAAGATGATCATCAACGAGTACGCGAGGAAACACAATCTGAACATCTTTGACGGTCACGAACTACGGAACTCGACTCGCCATGACCGGACGAAGGTGGAGAAATTCTGA</t>
  </si>
  <si>
    <t xml:space="preserve">Sector 3: ETS translocation variant 5-like (B3):  LOC112048800</t>
  </si>
  <si>
    <t xml:space="preserve">ATGTCGCAGCCTCCCTTCCTGCCGTGGGGGCTGCCCCCGCCTTCCCCGCACGCCTCGCACCACAGGGAGGCTGCACCGCGGCGCGACTCGTACGAGCACCTGCACCCGCAGCACCCGGCGCTGTACTCGCACGCGCGCACGCACGCACCCGACCACACACAATGTAAGGGCGAGGCGGAGGAGACACGTGTCGACTACACAGACTACCTGCACAGATGCGGCTACACGAAGTGCGCGGGCGAGACGGATTGCGGCGAGCCGCGCGGCGAAACGCGCGTCGAGCCGCGCGACGAGCCCGTCTCCAGCAGCGTGGAGAGCTGGGGCGACGCACTCGTGAGCAGCTCGCACTGCGGCGAGTCGCGCGCGCGCGCGTCGCCGCCGCCGCATCACGTCTCCACAACACACGGCAGCGGCGGGCGTCGCGGTGCGCTGCAGTTGTGGCAGTTCCTGGTGTCTCTGCTGGCGGAGGGCGCGCGCTGTGTGGCGTGGACCGGCCGGGGACTGGAGTTCAAACTGCACGAGCCAGAGGAGGTGGCGAGACGCTGGGGCGCGCAGAAGAACCGTCCCGCCATGAACTACGACAAGCTGTCCCGCTCGCTGCGCTACTACTACGAGAAGGGGATCATGCAGAAGGTTGCTGGCGAGCGCTACGTGTACAAGTTCGTGTGCGACCCCGAGGCGCTGTTCAGCATGGGGCGCGCGCCCCCCCCGGCGCCCTACGACGTGCTGTCGCTATACGCGCCCTACCCCGCGGCCCCCGCGCCCCCCGCGCCCGACTACCGCCGCTACTACCCGCACGCGCACTACGACGCCTGA</t>
  </si>
  <si>
    <t xml:space="preserve">Sector 4: PAX-interacting protein 1-like (B1): LOC112046065</t>
  </si>
  <si>
    <t xml:space="preserve">pax1_apoD_ems doc</t>
  </si>
  <si>
    <t xml:space="preserve">ATGGTAACGATTGTTGACGATTTAGACTCATTATCTTTGCAAGAACCAATCTTTAAGGATGTCAAGTACTACCTCTCTGGCGATGTCTCGGAAAGGATTATGCAGTTGCTTCAGTCAGGGGGAGCGGAAAACACAAAGTATTTCTCAGATTATGTCACTCATCTAATTTGTGGGAATAATGCTGTCGATACGGACGTCGAGGATGCGCAGGACATATACCAAATTCCTGCAGTGACGGAAAACTGGGTCCTCGCTTGCGTCCGCCTCAAGAAGCTCGCACACCCTAAACCTTACTTCCCCAATAAGAATAAGATATTCTCAAATGTTACTGTGACTGTGTGTAAAGTGACTCCAGCCGATGCTAAAGCGTTGTTCGCACTCATTACTTATCATGGTGGAAGAGTGAAGTTGACCTTGGACACGAGTTGCACTCATTTGGTCTGTGGTTCTGCCGCTGGAAGGAAGTATAGTGCTGCCTTGTCTATTCCTAAAATAAAAATTGTTACTCCCGATTGGGTTATAGAGAGCATATTGGCAAGAATACAAGCTGCAGCAGACGTGTTCCACCCAAAGCTGCTCGTAGTTCCACAGCCACCGCCTAAGCCAATGGACCGTATCAGTGCTATTACAGGGTTCGATTTTGAAGAAGGCATAGCTAAAAACGAAGTACCTACACAAAATATGGCAGAAAACAAAGATGAGACACAAGCGCTACTCGACAAGCTAAAGCAAAGGATGCCTTGGAATCATCCTCCGTCTACTGCAAATTCATCAGCAGCAGTAACTTCTAGTGTCAATTCCATGGGATACAGCAATGCAATGTCCACATCCAGTATTATAAGTAAATCAATTCCTCAAGGCATAGTCACCCAGAACTTGCAAATACAAGGCAGTCAAGCCAACACACAATTCATTCAGAAACTTGGTCAAAATTCTGTTGTAACTCAGGCTGGGATGAATGTCCAAAGTCAGCAAGTCAATTTACAACAACAAAACTACAGTCAGCAGAATCAGCAACAGCAACAACAACAACCGCATGGCCTCTCCGCTATACAAATACAACAACAGAAGTTACTGCAGCAGCATCAAATTAATCAGAGAATGCAGATGTTGCAACAAAAGATTGGCAATCAACAGAGCCAGCAAGGATTCGCTCAACCCAATGTCTCAGCATCTCAAATAACGCAAAACATAATACAGCAGCACATTCAGGGCAATCAACACCACATACAACAGTCCCAGAACATTAGTCAAAGCCCAAATACTTCTATGAGTTCAGCTCAACAAATTGAGAACATTAGTCAAATGTTAAGTCAAAGTGCTAACAATTTACAGCAGTCACAGTTAAATCAGCAAAATATGGTGATGAAGCAAGGTTTGACACTCAGCCAGCAGAGTGCAGTTCAAAATATTGCTCAACAACTGGCACAGTCCACTCAGAACCTTCAACAGAGTCTTCAAAATGCCAAACTGAATCAAAATTTAGGCCAAACACAAGTGTTAAATCAACAACAGCTCATAAATTCAGGGCAGCAAATGTCTTCCCAACAAACTATGCAACAGCAAACTGTACAGACCCTCACTAATCAAAGACAAAGTATCAATATGGGTGTTATAAATCAGCAAGGACTGGTGACATCTCAGGCACAGAGCGGACAAGGGCAACTCGGTCAACTAGTGGGTAACACTACCCAACAGTCTGTTATAGGGCAACAGATTCAGACTGTGCAGCAAACTATACAAAACCAACAAGGAAACACTGTGCCAGTGCAGGGCACTTGGCGGCAGCAGAACATACAAATGGTGCAAAATGTTCAAGGGCAGCATCAGATAATAAGAAGCCCGCTTGTACAGTCTCGCAACACGGCCAACCAAGTTATATTGCAACAGCAAATAATGCAAACTCAGCAGCAAGCTCTGATCAACAACCAGCAAGCTCAACTCAGTCCGCAACACACTATCCAACAACCCCAACAAATTCTCCAGCAAACAATTGGCAACCAAGGGCAAACAATCAGCCAGACTCACCATCAAATACTAGTCCAGAAGAATTTACTGAACAGTGGTGGGCAACAACAGATTGTGCAACCTCAACAAGTTTTAATAAACCAACATACTGGCCAACAACAGATACTTGTGCATGGCAACCAACAAGTGACTTTGCAGGGTGGGCAACAAATTGTGTCCCAAAGTCAAATAGTGCATCAAGGGGGCCAAATTGTGAACCAAGGTGGCCAACAAATAATTACCCAGGGAGGTCAGCAAGTCTTGTCGCAGGGAGGCCAACATGTGATCACACAACAGGGTCAACAGCATCAAGTTGTAATTGCCCAATCATCTCAGCAAATAGTGGCCCAGTCAGGCCAACAATTAATTGGCCAAAGTGTTGGCCAAACACAGCAAGTGTTGACACAAGTGCCTCAATCCCCGCAGCCAGGTTCCCAGTTATCAGGGGGAGGTATACAGCAAATAATTACACACAGTGGTGGGCAACAGATAGTGTCGCCAGGCGGTCAGCAGATTGTTCAAGGAGGCCAAAATGTATCTTGGCAACAGCAGCAGTATTTGCAGCAAAGACAACAAATTGGCCAGCCTGGTGCTGTTGGACCAAGGGTGTCGTGGACGGCGGGCGGCGGCGGGAGGCAGCTCATCCACCTGGACGCGGAGACGCACGCGCAGCTGCAGCAGATGGACCCCAAGCAGCGCGCCATGTTTGTGGCGCAGCTGCAGAAGCGCCGCCAGCTCTCCATGCAGCGGGCCGCTGCCATTGCGCAACAGCAGCAAGGCGTAGTGGCGGGGTCTCCGGGCGCGCCGTCCCCGGCGCCGCAGAGCGTGACGTTCATACGCAGTCAGTTGCCGCCGGGACTGTCGCAGCAACAGCAGGTGCAATGGCTGCAGCAGCAAGGCGCCAGGGCGGCCACCATACCCGCGGCGCAGGCCGTGCAAACCCCGCAGTCTCCTGTGGGTGGGGCCGTGGCGGGGACCGTGGGGCAAGTGGGGGCTACAGCGGTGGGCGGGAACGTGGAGACGCCGCTGCAGCAGCTGCAGCGCCAGCAGCAGTACCAGCGGCTGCACCAGCTGCAGGCGCAGCGGGACCACGCCGCGCACCACCACGCTGCTGCCAAACAGGTGTCCCCGGTGACGCAGCACGTGATCACTCCGCTACAAGAGCAGCAAGTCGACGCGTTACTGGCTCCCACTACGCCTGACCAGCAAGGAGCGGGTGCTTTGTTAGTGAATCCGAAGACGAAGACAGCGCTCGCCAACATGCTGTCCATCCGACTGCAGGGCGCCGCGCCGCCGCCCGACCACGAGCCTTCAGCTGCCGGCACTTTGAGGCTGATGACGGCGGCGCACGCGGCGGGCGGCGCGGTGCGGGCGCCGGCGCGCCTCGTGCTGGGGCCCGCGCACCATCCGCACCAGGTGCCCGCACCGGCGGGCAGCGCGGGCGTGGTGGGCAACAAAGTGTACGCGGGCGCGGTGCGGGCGGCGCCCCCGCGCGCGCAGTTCTACGGCCACAACCCCAACCTCAAGCTGCCGCCCGACCTCTTCCTGCTCGGCTGCGTCTTTCACATTGTGGAGTACCAGCAGTCGGTGGGTGCGGAGCGCGTGTCGCGCTGGACGGAGGCGATCGTGCGGCGCGGCGGGGAGGTGGAGGGCGGCTACTGCGCGCGCGTCACGCACGTGCTGTGCGAGACGCAGCGGCACGGCGTCGTGATGCAGGCGCTGCGCGACGCCAAGCGCTGCGTGACGGCGTACTGGGTGGCAGACACGCTGGAGCGGCGCTGCGTGTCGCCGCCGTGGCACGCGCTGCACCTGCCGGCGCTGCACGCGCGCGCCGAGCGGCCCGCGCAGCACCACCGCGCCGCGCTCACCGGCTGGCGGCGCGACGAGCGGCGGCGCCTCGCCTGCTGCCTGCGACAGATCGGCGCCAAGCTAACGCCGTACATGAGCCGCGACAACACGGTGCTGATCTGTCGGCGTGCGGAGGGCCACAAGTACCGGCGCGCGCGCGACTGGGGCGTCCCCTGCGTCAGCGCCGCCTGGCTCACCGACCTGCTGCTGGGCAACATGACGGCTCTGGCGCAGATCGAGAATGCAAAATATCAGCAGTTCAACCTGCAACATCCATTCCGCATGGACTACAGCTTGGTTTCGCATCTCATGAACGCCTGGAAAATGCCCATCAACATAACGCAAGAGTCTCACGAGCGGGCGAAGCGCAGCGCGGCGGCGGCGGGCGGGCGGCGCGCCAAGCGACCGCGCCTCGAGCCGCCGCCCGCCGCCCTGCAGCCGCCGCCGCAGCCCCCGCCGCTGCACCTCGCGCCGCGCGTGCTCTTCTCCGCCATACCGCTGCCGGAGCAGAATCGACTCGCAGCCATTGTCAGACAACTCGGAGGTCTCATCGTAACATCGGCCGCTGAAGCGACGCACCTCGTGATGGAGAAGCTGGTCCGGACCTGCAAGCTCGTCAGCTGCCTCGTCACCGTCAAGCATCTCCTCACTCCCGACTGGATCCTGGAGAGCCAGCGCGCCAACAAGTTCGCCGACGAGGCCAAACACGGCCTCCGCTGCGAGGCCTTCAACAAAACCTACCAGTGCGACGTGGACGAAGTCCTACTCTGCGGCGAACAGAGGAAGAAACTCTTCGAAGGCATCACCTTCTACCTGACTCCGTGCGTGAAACCTTCGAGGTCCGGCCTCACTGAGATGATAGAGCTCTGCGGTGGGAAGGTCGAAAAAAACCGCAGATCCTACGTCTCCATCCAAGAGATGCACAACCAGAAGGCTTTCAGTTATTTAGTGATAACCGTACCCAATGACCTGCATCTAGTCTACTATCTGTTGCAGGCCGAGAAGACTTTGAACGTAGTGTGCAGCACAGAGGTGGTCATGACAGCGATACTGAGACAGAAACTGCAGATTGAAGAGTTTCTGGTCAGAATCGATTGA</t>
  </si>
  <si>
    <t xml:space="preserve">Sector 5: Apolipoprotein D-like (ApoD) B2: LOC112055889</t>
  </si>
  <si>
    <t xml:space="preserve">ATGTCTGTTCTCCGAGCTATAGCGGTGTTTCTCTGCGGATTCTTCTGCCTACGTGTGAGCAGGGCTCAATTGGTATTCCCCGGAGCGTGCCCAGATGTTGCTGTTATGACTGATTTTGATGCTAGCAGATACTTGGGAAAATGGTACGAGGCCGAGAAATACTTCGCTGCTTTCGAGCTGGGGGGAAAGTGCATCACCGCCAACTACGGGCTCAAAGACAATGGAGTGGTCAGAGTCCTCAACAAACAAATAAGCACTTTTACGGGAATGAAGTCAGAGATAGAAGGAGAGGCCATGCAAGTGAGCCGGTCGGACGAGGGCAAGCTGTCGGTGAGGTTTCCGTCGCTGCCAGTCAACGTGGCGGCGCCGTACTGGGTCGTCGACACTGACTATGACAGCTTCAGCCTGGTCTGGAGCTGCTATGACTTCGGCATCTTCCACACAAGAAATGCATGGATACTTACGAGAGAGAGAAACCCGCCTTTGGAAGTTCTAGAGAAAGCGTACACAGCAGCCGACAAAAACAACATTAACCGTGCATACTTCATGCGGACAGACCAGAAGAATTGCCCCAAAGAAGATTGA</t>
  </si>
  <si>
    <t xml:space="preserve">Sector 6: Homeotic protein empty spiracles-like (ems) B3: LOC112044014</t>
  </si>
  <si>
    <t xml:space="preserve">ATGATGCCTCTCGCACCGACGCCTGTCTTGGCGGTGCCTTCGAAGCCGAAGATAGGATTCAGTATAGACAGTATAGTGGGTGGTTCGGAGAGGCCGAAGCATACGTCTCCTCCGTTGGCGAGTCCCGGGTCTCCTTCCCCAGTGGCGTCCCCTCGGAGTCCTTCGCCGAGGCCTTTGCTACGACCGAGCGCTCTACCAGCGGTGTTCCCGAGTCCTGAGATAAAGAGGCTGCCTTACTTGGATGCTCAGAGCCATCACCACCAGTTCTTGGCGCATTTCCAAGGTGCTGCTTTGGCTGCGGCCTTGGCACATCAGCAGCAAGGCTTTGGGGGTCCGCTACCACCCCACCCGCCGCCGCACCCCGCTGCGCCGGTCCCCAGGGAGTCCTACCAGTTGTACCCGTGGCTCATCAACAGGCATGGGAGGATTTTCCCTCACAGGTTTCCTGGGGGTCCAGACATCCCTGGTTTCCTACTCCAACCCTTCAGGAAGCCGAAGAGGATCCGGACCGCCTTCTCCCCCTCGCAACTCCTGAAGCTGGAGCATGCCTTCGAGAAGAACCATTACGTGGTGGGGGCGGAGAGGAAACAACTGGCTCAAGTGTTGAGCTTGACTGAGACACAGGTGAAAGTGTGGTTCCAAAACAGAAGAACGAAACACAAAAGAATGCAGCAAGAAGAAGAAGCGAAAACTGGAACCAAATCCGGATCATCGAGCTCTAAACCGGAAGACGGTCACCAGTTTAACAACTCGTACGAAGAAGAAGATGAAGAACTAATAGATATGGACATGGATGAGTTAAGTGAAAGTGAAAATGAAACGTAA</t>
  </si>
  <si>
    <t xml:space="preserve">T196</t>
  </si>
  <si>
    <t xml:space="preserve">tachykinin receptor 86C</t>
  </si>
  <si>
    <t xml:space="preserve">Sector 4: Tachykinin-like peptides receptor 86C(B1): LOC112050630</t>
  </si>
  <si>
    <t xml:space="preserve">tachykinin_ocelliless_nos doc</t>
  </si>
  <si>
    <t xml:space="preserve">ATGGACACAATGGATTCCATGTCCAACATAACTTTGCTGAGGAAAAAGTTTTACGCGTCCAATAGCTTCAAGAACATGACTAACATGAGTGATGTTGAGGTGATATACACTTGGGAGATGGACTTCAACCGGAGCCTGCTGGCGGCGGCGACGGTGCTGGTGCCCAAGAAGCCCACGCCGTCGCCCACGACGCCCATGATGCCCGTGTGGGCGCACAACTCCTGGGTGTGTCTGTTCGCCGCCATGCTGACCGTCGCTATCGGGGGCAACGCTATCGTTATATGGATTGTCACAGCTCATCGCCGAATGCGGACGGTGACGAACTATTTCCTGGTGAATCTCTCCTTCGCTGATCTCATGATGGCGTCCCTCAACTGCCTGTTCAACTTCATCTATATGCTGCATAGCGACTGGGTGTTTGGAGTGCGTTACTGTCAACTGAGCAACTTCATAGCGAACGTCACTGTCGCGGCCAGCGTGTTCACTCTCACCGGGATATCATTTGACAGGTACCAAGCGATCGTCAGACCAATGCGGCCGAGGATGTCAAAGACATGCTCCCTCATCATGATAGCCGTCATCTGGGCGAGCGGGATGCTCCTAGCTGTGCCATGTTTACTGTACTCCACTACTAAGGAATATCGATCGAAGGGAACCTTAAAAACTGCATGCCTGCTGTCGTGGCCTGATGGTTTACCTGACGTCTCATACATGGACTTTGTGTACCAAGTGTTGTTCTTCGTGGTCACGTACGCGGTGCCCATGCTCGGGATGACGTTCTTCTACTCGGCGATGGGGCGAGTCCTGTGGGGGTCTAGATCCATCGGTGAACTGACGCAGAGGCAAGCTGACTCCATACGATCTAAAAGAAAGGTCGTGAAGATGTTTATCCTCGTGATAGTGATATTCGGCCTCTGCTGGCTGCCCTACCACTCGTACTTCATCTACACACACTTCAACCCGTCGATCATGTACATGAAGTACATCCAGCACATCTACCTGGGCTTCTACTGGCTAGCCATGGCCAACGCTATGGTCAACCCTATCATTTATTACTGGATGAATGCCAAGTTCAGGTCATACTTCCGGGCGGCAATCCTCTGCCGCTGGCGCGACACGTGTTTCCGCCGCAAGAGGCCGCTGCCGGAGTCGCCGCCTGAATACGTCTCGCAGTCGGGCAGCAGATCCCGTTCAGGTGTCGAGGAGCCCAGAAGCTTAAGAGGAAATGCAGCAGTCGCATGGCCGCGCTCGTCATACCTGGCGCCCGGCCTGCGGTCGCAGAGACCGCCTTTGCTTGCTAGCTGTCCGCGGTCGCAGAGACCGCCTTCGATTGCTAGCTGTCCGCGGTGCCCGCACGGGACCAACTACGATGCATTCATCCACGGGCGTAAAGTGTAA</t>
  </si>
  <si>
    <t xml:space="preserve">T197</t>
  </si>
  <si>
    <t xml:space="preserve">ocelliless</t>
  </si>
  <si>
    <t xml:space="preserve">Sector 5: Homeotic protein ocelliless-like (B2): LOC112057036</t>
  </si>
  <si>
    <t xml:space="preserve">ATGGACCAAATTAAGGAAGGAATAAACATTAAAGATTCAGTAATTAAAAACTACGAAGTAAAGAGTCAAACGCAAGTCAACAACTACAATACTTCAAATTATCCAGAGAACAATCACAATTTATACCAAATGATTAAGTGCCACGAAGATAGTTTGTTAAGACTCCATCACTTAACAGCGGGACGACAAATAAGTTCTAATTATGAAACAAATTACCAAAATGACCTCTCATGGTATCCCAAAGATTTCCAAAGACAATATATTAAGCCTGTAGATTATTTAGCGTATGAGGACATGAGACGAAAATTTGACGAAGCTAAAGTAAAGGATAGGGAAATACGAAAAGAGTCAGAGGAAGAAAAGGATGGTAAAACAGACGAAAGAAAAAAACCAAGAAGAAATAGAACAACATTCACAAGTCAACAATTGGCTGCGCTGGAAAAGGTCTTTGAAAAGACGCATTACCCTGATGCGTTTGTGAGAGAAGATTTAGCATCACGAGTCAATTTAACAGAAGCCAGAGTTCAGGTTTGGTTTCAAAACAGGCGCGCTAAATTTAGAAGAAACGAAAGATCAGCACTATCGTCACATAGAACTTCAACTAGTCAAAGTTCTCCAGAACCAGTGTCAGTTCCAATTGGTATCGCTCAATCTGCAGACCATCGACAAGATTTCAACCGAAACCCGAAGGAACCGTGGTTACACCACTTTCAAACAAATAACTTGAATTTCAACCTCGGCTTACCGATTAGTAACACAGGGTTATACCAAAATGATTATACATTAATGATGCAAAATGTAGGTAATAGGCAATACGTGCCCAACTCGAATACGTTGATGGGACAAAATGTGGCAAATTATGGAACTTCATCAGACAATGGTTATGGTTCCTGTGCGTTATTAGGGAGTTACGGTGGAACACTACAACCAGCACATCACAGTTCCTATAATTTGAATTTGAGACTTAGGCCACACGATTTCAGTATTAACAATATAACTTTATGA</t>
  </si>
  <si>
    <t xml:space="preserve">T198</t>
  </si>
  <si>
    <t xml:space="preserve">nos</t>
  </si>
  <si>
    <t xml:space="preserve">Sector 6: Nitric Oxide Synthase-like (NOS) (B3): LOC112048436</t>
  </si>
  <si>
    <t xml:space="preserve">ATGGAAACGGATGTGGGTAAAATGGAAACGGATTTCGGCAAAATGGAAATAGGTGTCGCGAAAAATGCGGGACATTCGATAAACGGACACGCGATGTGTCCATTCAGTGGTAAAATTGCAGTGCAAAATCAAAAGCATGAAAAACCTAATCTAAAGTTAAAAGTTCCTCAGCCAATAAGATTGAAGAATCATCTTGTCAGTGAAGAAAATTACGATGTTCTCCATTCACAGATCGATGAAGTCGCCAGTTTTAACACAAAATGCACAGAGAAGGTATGCCAGAACAGTATAATGGATATTCCAAACAGAGGAGACTCTCCGCGCTCCGAGGAAGAGGTTTACAAAGAAGCTCAGGCGTTTCTCAAACAGTACTTTTCTTCAATACGCAGAGAAAACACAGACGCGCATATATCAAGACTACATGAAGTAGAGAGAGAGCTGAAAGAAAAAGGTACCTACCAGCTCAAAACACCGGAACTTGTGTTTGGTGCTAAGCTGGCGTGGAGGAATGCATCCAGATGCATCGGCAGAATACAATGGAAGAAATTACAAATATTCGATTGCAGAGCAGTAACAACCGCGAGCGGTATGTTCGAGGCGCTGTGCAATCACATCAAGTACGCCACGAATAAAGGAAACATAAGGTCAGCGATAACCATCTTTCCCCAACGGACGGACGGCAAGCATGACTACAGGATATGGAGCCCACAACTCATCAGCTATGCGGGCTACATTGAACCAGACGGCTCAATATTGGGTGATCCAGCTAGAGTCGAATTTACAGAGGTATGCATAAAACTGGGATGGAAGCCGCCTCGTACAGCGTGGGATATTCTTCCTATAGTAGTGTCAGCTGACGGCAAAGATCCTGAATACTTTGACATACCACGCGAAATTGTTATGGAAGTGAAGATGGAACATCCCAAATACGAGTGGTTCAAAGACCTAGGATTACAATGGTATGCCTTACCCGCAGTATCAAATATGAGTCTGGACTGTGGAGGCTTGGAGTTTACTGGTACCGCCTTCAATGGTTGGTACATGGGTACTGAGATTGGATGTCGCAACTTCTGCGATTCAAATAGACTGAACATTGTTGAGAGTATAGCAAACAAAATGGGCCTAGACACAAACTCGTACGTGTCATTGTGGAAAGACAAAGCATTGGTGGAAGTGAACATAGCTGTGCTGAACAGTTTCCACAGAGACAATGTGTCTATAGTTGACCACCACTCCGCGTCGGAACAGTTTATCAAACATCTGGATAATGAGAACAAAAGCAGAGGAGGCTGTCCGTCTGACTGGGTTTGGATTGTGCCACCGATGTCTTCCTCTTTAACTTCAGTATTTCACCAGGAAATGGCTTTATATTACTTACGCCCATCGTATGATTACCAAGAGCCTGCTTGGAAAACTCACCAATGGGTGAAGTCAGAAGATAAGCCCAGAACTAGAAAGTTCCACTTCAAACAAATTGCCCGCGCCGTCAAGTTTACATCCAAACTATTTGGCCAAGCACTCTCCAAGCGAATTAAAGCGACCATACTTTATGCCACAGAGACAGGCAAATCTGAACAGTATGCCAAAGAGTTAGGAACTATTTTTGGACACGCTTTCAATGCTCAGGTGCATTGTATGTCTGAATACGACGTATTTTCGATAGAACACGAGACCCTCTTACTGATCGTAACTTCTACCTTCGGCAACGGTGAACCACCTGCAAATGGCGAGGAATTCGCAAAACATTTGTTGCAAATGCTATATAATGAAAAGAAGAATCAAGGAGACCAAGTTGATAGTGCTGGGACTGTCAAAGTACACACGCCCAAATCACTAATACGAACAAACAGTGCCATGACGCCAAGTATCGACTACAAAAAACAGTTGTCTCGTATGGAGTCCAATAAGAACTCAAATGCTATCGACTACAAAAGACAACTATCACGTTTGGAATCCAATAAAAGTAGTATAACTGCATCAACACCCGAAATCATAGGTCCATTGAGCAATGTATGTTATGCTGTATTTGCTCTGGGCTCTAGTGCGTATCCAAAATACTGTAACTTTGGAAAAACTATGGATAGAGTTCTGGAAGAGTTAGGAGGAGAGAGGCTATTAGAATTAACATGTGGTGATGAAATGTGCGGCCAAGAACAACAGTTTCGTAGTTGGTCGTCAAACATATTTCAGGTAGCGTGCGAATCATTTTGTCTTGAAGAAAATGAAATGGTTAAAAATGCCAAAAAATCATTCGGCATGATGCCACTCACAGAGGAAACAGTGAGATTTAATAGAGCAGAAAAACAGCAGTGTCTAAAAACAGCCTTGGAACAGAGCTACAGGAAACAGATTGTTACGTGTCATGTAAAAGAAAATAAACATTTAGGCGAAGTTTCAAACGATCGTGCTACTATATTTGTGGATATGGAATCTACTACTGAATTAAATTACGATCCAGGAGATCACGTCGGTGTAATGGCTTGCAATCGTAGCGAAATAGTTGATGCTGTATTAAAAAGACTCAAAGGTGTAGATAACTTCGAAAGACCTGTGCAACTTCAAGTTATGAAAGAAAAACTTACTCCAACAGGCACTGTAAAGTCTTGGGAGCGCCATGAGCGTATACCTGTTGCAACTATCCGCCAGATTTTTACAAGGTTTTTAGACATTACAACACCACCATCCACCAAAGTATTAAAATATCTAGCTTCAGCTTGTACTGATGAAAATGAGGCTGATTATTTAAGAGAACTCATAGAGGATTCAAACAAGTATGACGATTGGATGCATCACTATTATCCTCATCTTGCAGAAGTATTCTCTCAAGTTCCATCTTGCAGACCGCAAGCTTCGCTGCTAGCTGCATTATTACCTCCTTTACAACCTAGATTCTATTCCATATCATCTTCATCATTAGAACATCCAAATAAAATCCATGTGACGGTTGCAGTTGTTGTTTATAAAACTCAAAATGGTGAAGGTTCAACGCATTATGGCGTATGCTCGACCTACTTACAAAGTTTAAAGCCAAAAGATGAAGTGTATGTTTTTACTCGCAGAGCACCAAGTTTCCACATGCCGCAGGACATATCTGTACCTCTCATATTAGTAGGACCTGGCTCTGGCATTGCACCATTTAGAGGATTCTGGCATCACAGGAGGCGACAAATTCTAGATAACTCAACAAATGGCAAGAAACCAGGTCCCATTTATCTACTTTTTGGCTGCAGATATAAAGGAATGGATTTATATAAAGATGAAAAAGAACAACTTGTCAGTGAGGGCGTACTAACGAAATCTTTATTAGCACTGTCCCGAGAAGAGGGAGTTAGTAAGAAACATGTTCAAGCTTTATTAGAAGATGAAGGTGCTTATATAACACGTATGCTGGTAGATGAAGGTGGACATTTCTACGTATGTGGAGATTGCAAGATGGCAGAAGAAGTACAGCAAAAGCTAAAGGATGTTATTAAACGGCACGCACGTTATTCAGATGAAGAGGCTGACGATTTCATATTATTTTTAATGGATGAGAACAGATACCATGAAGATATATTTGGTATCACACTGCGTACATCGATTGTACATAAGGCATCGAGGGAATCTGCGAAAAGAACCCGTTTACAATCTATGCAATCTTTTTGTTTATCGTAG</t>
  </si>
  <si>
    <t xml:space="preserve">Sector 1: TOX high mobility group box family member 3 (B1): LOC112052747</t>
  </si>
  <si>
    <t xml:space="preserve">tox3_tsu_mab21 doc</t>
  </si>
  <si>
    <t xml:space="preserve">ATGATGAATCCAGCACAAGACGGACTAGCTCCACCCGGCGGAGCGCCGTCATATCAACAACCTTTGTATTTACAAGAACCACACACGCCTGTTACCTCTCACAGCAATGCAGCAGCTCCAGCAGGTAATTACATGATCCAACAGCAACCCGGTGGGCAACAGCAACTGCTTATGCTACAGCCAACACAAGTGATGAGTGGACCACCTACACCAAGCACCCCCACACAGCCGGGCCCAGTGTACGGCTCGCCACAACGAGCCTCACCACCGGGCACCACCAGTGATGATTCTGATGATAGTGTACCTTCACACCACTCTCAGTTGCCTGGTGATGCGGAAAGCCTTCTGCCAATCCATTATTGCTCAGCGAGCCGGCAGCAACAAACTACGATTCATCAGATGGGTGTTAGCAACATGGGAGTGAAAAGGTCGTCCCCAGAACCTATGGACAATGGCATGAGCCGTGGACAAATGCAGAAGAAGCCCAAGGTTCAGAAAAAAAAGAAAAAACGAGATCCAAATGAACCACAAAAACCTGTGTCTGCATATGCCTTATTTTTCCGTGATACGCAGGCAGCAATAAAAGGCCAAAATCCAAATGCAAGTTTTGGTGAAGTGTCCAAAATTGTAGCTTCCATGTGGGATGGTTTAGATTCAGAACATAAAAGTGTTTACAAACAAAAAACAGAAGTAGCAAAAAAAGAATATTTGAAGGCACTGGCAGCGTACAGAGCAAGTTTAGTATCAAAGGGAGGAGAACAAGAGAATCCAGTTATGTATAACCACGGGAATACTAATGCAAACTATGGAAATTATTATCAAGGACAAGCATATGGAAACGGACACTCTCCTCAAGGCTATGTTCCGAACTCAACTCCTCAAGGATATTCCCCGCAGGGATTCCAAGGTGGCCAGTCTCAGCCTTCATATGCTGGAGCACCTCCTCAAAACTATCCACCGAACAATCAGCAGACGCAGCAAAGCTATCAAGGAAATATGGGCCACAATGCTCAGACATATCAAGGTGTGCCAGGACAGTCTCCTCAAGGGTACCAAGTCAACACAGCAGCAAATCAGCAGTCCTGTCAGCCCAATATTTCACAGTCACCTAGAAACTACCAGCCATCACAGTCTCCGAGCTATGCTGCAAACTCGGCTCTCTCACCACCTGCTGGCTACAGACAAGTGCAGTCCCAATCTCCTCCCGTTCAATCTGTTCATGCCATGCAATACCATCACTCGCAACAGATGCAGCAAGCTCACCAAGTGCAACAGTACCAGCAACAACAGCAACAGCACCAACACCAGCAACAGCAACAGCCGCAGCAGCAGCAACTGCAACACCAGCAGCAACAGCAGCAGCTGCAGCACCAGCAGCAACCGCAGCAGCCCCACCTGCACCAGCAGCCGCAGCAACAGAGCCAACAGCAACAGCCTCAACACCCAACACAGCAACCACAGAACCCTGCTATAAACAATGAGCATCCTTCCAATAGCAATGGTAATTCAGGAATGCCACATAAATCTCCAGAGCAAAACGAAAATCGAAGTACACCGTCATGTATCCGCCAGGGCTGCACCAATCCTGCTATAGCCAATAGCGAATGGGAGGATGAATACTGTTCCAATGAATGTGTTGTTAGTCACTGCAGAGATGTATTCAGCTCCTGGGTGGCTTCAAACACAAATAATCAAATTCAAAACTTCTCAGCTGTCAAATAA</t>
  </si>
  <si>
    <t xml:space="preserve">Sector 7: tsukushin (tsu) (B2): LOC112051063</t>
  </si>
  <si>
    <t xml:space="preserve">ATGTTCAGATTTGCAGTATACCCGTCTCTCCTGTTGATACTGACTGCTACAAACACAGATGCCAAGGAGATGACAGAAATCGAGGCGTTGGGAGCGAAGCCGACGCGTTGTACGTACGCATACGCCTTTGAGATGTATGGCGCCCACTGCGCTGGCCTCAGACTGAATAAAATACCAAGTCTCAGAAGTGGGATTGAGATCCTTGACTTCAGCGACAACAAGTTACAAGAAATACACGCGGACACATTATCGTCATACTCGAGTATAAAATTTTTATACTTGACCGAAAACCAAATCTATTCCATCCACACAGACGCTTTCGCCTACCTCACTAATCTACAAACGCTTGATCTATCTAAAAATGTGATATTACAAATAACAGATTCTATATTCCAATTGCCGTCGTTAAGAAAACTGTATCTTAGTGGGAATCCATTGTTACATTTAAGTTTGAATGAGATGATAATTCACAAGCCTATCAAAGCGCCATTGGAGCTGCTAGATTTGTCCGACTGCAAGATAAAAGAGCTACCAGATTTTGGTATTCTACCACAAATGAGTTTCTACAACGTGTCGTACAATCCTCTAGTAAAGCTAGATACTCATACCTTCAGCTCCATGTGTAAGCTGACGAAAGTTGACTTATCAGAGTCCATTCAAAATATTAAGCTCTGCGACCTGAAGATGAGCATAATGTGGTTCCAAGACCGAAAGATATATTTCCAGATTAAGTTGGACGAATACTCTCAGTTGAACTCTAGAGAATTTGAAAACTGTCCGAAGTCCGTCTTTCCAGACAGTCTCAACGCCAGTTATAACCACTGCCAAAATGAATATACTGAGGTACAAAACGTAACGACATCGCGTAGCACCTGGATGACCATCGCCGGTGGTCTCTTCGGCTTCCTCGTCGGCTTCGTGCTACTGCTGTACATAATGCACCGGCATAATGTTGCGCAAACCAAAAAAACTAACAAAGATATAAATAAAGAAAAACCGTCCGATGTAGATAAGAACGCCACTGCCATACTCCTAAATAACGAGTCATAG</t>
  </si>
  <si>
    <t xml:space="preserve">Sector 8: Protein mab-21 (B3): LOC112048478</t>
  </si>
  <si>
    <t xml:space="preserve">ATGCTCGTGCCACCCGAGATGATGGCTGCGCAATCCAAGCTGGTGTACCAGATGAACAAGTACTACAACGAGCGGGTCGCCAACCGCAAGGCGCAGATCGCCAAAACGATACACGAAGTGTGCAGAATAGTTCAGGATGTCTTGAAAGAAGTGGAACTTCAAGAACCGCGGTTTATATCCTCCCTGACGGATTACAATGGTCGGTTCGACGGGTTGGAAGTCGTCTCCCCCCATGAGTTCGAAATCATCATCTATTTGAACCAGATGGGGGTTTTAAACTTCGTCGACGACGGATCTCTGCCGGGCTGCGCTGTGCTCAAGCTGAGCGACGGCAGGAAGCGATCCATGTCGCTGTGGGTGGAGTTCATCACGGCGTCAGGATACCTGTCGGCGAGGAAGATAAGGTCGCGCTTCCAGACGCTGGTGGCGCAGGCCTGCGACAAGTGCTCGTACCGTGATTGCGTGAAGATGATCGCTGAGACTACGGAAGTGAAGTTACGTATTCGGGAACGTTACATCGTGCAAATAACGCCAGCGTTCAAATGTGCCGGGCTGTGGCCGCGGTCGGCGGCGCACTGGCCGCTGCCGACGATTCCTTGGCCGCATCCGAACATCGTCGCCGAGGTGAAGACCGAAGGGTTCGACTTGTTGTCGAAGGAGTGTTTGACGTTGCAAGGGAAGAACTCCGCCATGGAAGGAGACGCGTGGGTGTTGAGTTTTTTCGAGGCAGAAAACCGCTTGCTTCAAGGCGGTTGCAGAAAAAAGTGTTTGAGCATACTCAAGACGATCAGGGACAGACATTTGGACCTTCCCGGGAATCCAGTGACGTGCTATCACATGAAGACGCTGTTGCTGTACGAATGTGAGAAACATCCGCGGGAGCACGAGTGGGACGAGGGCGCCATAGGCGACAGGATCAACGGCATATTCCTCCAGCTGATCTCTTCTCTCCAGTGCCGCAGGTGCCCGCACTACTTCCTCCCGCACGTCGACCTCTTCAAAGGGAAGTCGCCGACGGCGATGGAGAACGCCGCCAAACAAGTGTGGCGACTCACGCGGGAGATGCTGACGAATTCGCGAGCTTTCGAAAAGCTGTGA</t>
  </si>
  <si>
    <t xml:space="preserve">ban-miR-2788-5p (mature miRNA, ugggguuuccuagcggcaugug)</t>
  </si>
  <si>
    <t xml:space="preserve">TGGGGTTTCCTAGCGGCATGTG</t>
  </si>
  <si>
    <t xml:space="preserve">Fluorophore (lab default)</t>
  </si>
  <si>
    <t xml:space="preserve">P1 5′ initiator half</t>
  </si>
  <si>
    <t xml:space="preserve">P1 spacer</t>
  </si>
  <si>
    <t xml:space="preserve">P2 spacer</t>
  </si>
  <si>
    <t xml:space="preserve">P2 3′ initiator half</t>
  </si>
  <si>
    <t xml:space="preserve"># sets in this file</t>
  </si>
  <si>
    <t xml:space="preserve"># pairs in this file</t>
  </si>
  <si>
    <t xml:space="preserve">GAGGAGGGCAGCAAACGG</t>
  </si>
  <si>
    <t xml:space="preserve">AA</t>
  </si>
  <si>
    <t xml:space="preserve">TA</t>
  </si>
  <si>
    <t xml:space="preserve">GAAGAGTCTTCCTTTACG</t>
  </si>
  <si>
    <t xml:space="preserve">CCTCGTAAATCCTCATCA</t>
  </si>
  <si>
    <t xml:space="preserve">ATCATCCAGTAAACCGCC</t>
  </si>
  <si>
    <t xml:space="preserve">GTCCCTGCCTCTATATCT</t>
  </si>
  <si>
    <t xml:space="preserve">TT</t>
  </si>
  <si>
    <t xml:space="preserve">CCACTCAACTTTAACCCG</t>
  </si>
  <si>
    <t xml:space="preserve">CCTCAACCTACCTCCAAC</t>
  </si>
  <si>
    <t xml:space="preserve">AT</t>
  </si>
  <si>
    <t xml:space="preserve">TCTCACCATATTCGCTTC</t>
  </si>
  <si>
    <t xml:space="preserve">CTCACTCCCAATCTCTAT</t>
  </si>
  <si>
    <t xml:space="preserve">CTACCCTACAAATCCAAT</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</si>
</sst>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9"/>
      <name val="Courier New"/>
      <family val="0"/>
      <charset val="1"/>
    </font>
  </fonts>
  <fills count="12">
    <fill>
      <patternFill patternType="none"/>
    </fill>
    <fill>
      <patternFill patternType="gray125"/>
    </fill>
    <fill>
      <patternFill patternType="solid">
        <fgColor rgb="FF1F3864"/>
        <bgColor rgb="FF333333"/>
      </patternFill>
    </fill>
    <fill>
      <patternFill patternType="solid">
        <fgColor rgb="FFBF8F00"/>
        <bgColor rgb="FFED7D31"/>
      </patternFill>
    </fill>
    <fill>
      <patternFill patternType="solid">
        <fgColor rgb="FFF4B084"/>
        <bgColor rgb="FFFFD966"/>
      </patternFill>
    </fill>
    <fill>
      <patternFill patternType="solid">
        <fgColor rgb="FFFFF2CC"/>
        <bgColor rgb="FFFCE4D6"/>
      </patternFill>
    </fill>
    <fill>
      <patternFill patternType="solid">
        <fgColor rgb="FFFCE4D6"/>
        <bgColor rgb="FFFFF2CC"/>
      </patternFill>
    </fill>
    <fill>
      <patternFill patternType="solid">
        <fgColor rgb="FFC00000"/>
        <bgColor rgb="FF800000"/>
      </patternFill>
    </fill>
    <fill>
      <patternFill patternType="solid">
        <fgColor rgb="FF70AD47"/>
        <bgColor rgb="FF339966"/>
      </patternFill>
    </fill>
    <fill>
      <patternFill patternType="solid">
        <fgColor rgb="FFFFD966"/>
        <bgColor rgb="FFF4B084"/>
      </patternFill>
    </fill>
    <fill>
      <patternFill patternType="solid">
        <fgColor rgb="FFED7D31"/>
        <bgColor rgb="FFFF8080"/>
      </patternFill>
    </fill>
    <fill>
      <patternFill patternType="solid">
        <fgColor rgb="FFE2EFDA"/>
        <bgColor rgb="FFFCE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4B084"/>
          <bgColor rgb="FF000000"/>
        </patternFill>
      </fill>
    </dxf>
    <dxf>
      <fill>
        <patternFill patternType="solid">
          <fgColor rgb="FFFFD966"/>
          <bgColor rgb="FF000000"/>
        </patternFill>
      </fill>
    </dxf>
    <dxf>
      <fill>
        <patternFill patternType="solid">
          <fgColor rgb="FFFCE4D6"/>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4B084"/>
      <rgbColor rgb="FFCC99FF"/>
      <rgbColor rgb="FFFFD966"/>
      <rgbColor rgb="FF3366FF"/>
      <rgbColor rgb="FF33CCCC"/>
      <rgbColor rgb="FF99CC00"/>
      <rgbColor rgb="FFFFCC00"/>
      <rgbColor rgb="FFBF8F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45" hidden="false" customHeight="tru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30" hidden="false" customHeight="tru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75" hidden="false" customHeight="tru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30" hidden="false" customHeight="tru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34"/>
    <col collapsed="false" customWidth="true" hidden="false" outlineLevel="0" max="6" min="5" style="0" width="16"/>
    <col collapsed="false" customWidth="true" hidden="false" outlineLevel="0" max="7" min="7" style="0" width="17"/>
    <col collapsed="false" customWidth="true" hidden="false" outlineLevel="0" max="8" min="8" style="0" width="1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2" min="12" style="0" width="11"/>
    <col collapsed="false" customWidth="true" hidden="false" outlineLevel="0" max="13" min="13" style="0" width="13"/>
    <col collapsed="false" customWidth="true" hidden="false" outlineLevel="0" max="14" min="14" style="0" width="28"/>
    <col collapsed="false" customWidth="true" hidden="false" outlineLevel="0" max="15" min="15" style="0" width="30"/>
    <col collapsed="false" customWidth="true" hidden="false" outlineLevel="0" max="16" min="16" style="0" width="12"/>
    <col collapsed="false" customWidth="true" hidden="false" outlineLevel="0" max="18" min="17" style="0" width="17"/>
    <col collapsed="false" customWidth="true" hidden="false" outlineLevel="0" max="20" min="19" style="0" width="11"/>
    <col collapsed="false" customWidth="true" hidden="false" outlineLevel="0" max="22" min="21" style="0" width="34"/>
    <col collapsed="false" customWidth="true" hidden="false" outlineLevel="0" max="23" min="23" style="0" width="30"/>
    <col collapsed="false" customWidth="true" hidden="false" outlineLevel="0" max="24" min="24" style="0" width="40"/>
    <col collapsed="false" customWidth="true" hidden="false" outlineLevel="0" max="25" min="25" style="0" width="12"/>
    <col collapsed="false" customWidth="true" hidden="false" outlineLevel="0" max="26" min="26" style="0" width="16"/>
    <col collapsed="false" customWidth="true" hidden="false" outlineLevel="0" max="27" min="27" style="0" width="12"/>
    <col collapsed="false" customWidth="true" hidden="false" outlineLevel="0" max="28" min="28" style="0" width="16"/>
    <col collapsed="false" customWidth="true" hidden="false" outlineLevel="0" max="29" min="29" style="0" width="34"/>
  </cols>
  <sheetData>
    <row r="1" customFormat="false" ht="31.5" hidden="false" customHeight="tru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4" t="s">
        <v>34</v>
      </c>
      <c r="Z1" s="4" t="s">
        <v>35</v>
      </c>
      <c r="AA1" s="4" t="s">
        <v>36</v>
      </c>
      <c r="AB1" s="4" t="s">
        <v>37</v>
      </c>
      <c r="AC1" s="4" t="s">
        <v>38</v>
      </c>
    </row>
    <row r="2" customFormat="false" ht="15" hidden="false" customHeight="false" outlineLevel="0" collapsed="false">
      <c r="A2" s="5" t="s">
        <v>39</v>
      </c>
      <c r="B2" s="5" t="s">
        <v>40</v>
      </c>
      <c r="C2" s="5" t="s">
        <v>41</v>
      </c>
      <c r="D2" s="5" t="s">
        <v>42</v>
      </c>
      <c r="E2" s="5" t="s">
        <v>43</v>
      </c>
      <c r="F2" s="5" t="s">
        <v>44</v>
      </c>
      <c r="G2" s="5"/>
      <c r="H2" s="5"/>
      <c r="I2" s="6" t="s">
        <v>45</v>
      </c>
      <c r="J2" s="5" t="s">
        <v>46</v>
      </c>
      <c r="K2" s="5" t="n">
        <f aca="false">COUNTIF(Probe_Pairs!$B:$B,A2)</f>
        <v>6</v>
      </c>
      <c r="L2" s="5" t="n">
        <f aca="false">COUNTIFS(Probe_Pairs!$B:$B,A2,Probe_Pairs!$S:$S,"Both halves")</f>
        <v>6</v>
      </c>
      <c r="M2" s="5"/>
      <c r="N2" s="5" t="s">
        <v>41</v>
      </c>
      <c r="O2" s="5" t="s">
        <v>47</v>
      </c>
      <c r="P2" s="5" t="s">
        <v>48</v>
      </c>
      <c r="Q2" s="5" t="s">
        <v>49</v>
      </c>
      <c r="R2" s="5" t="s">
        <v>44</v>
      </c>
      <c r="S2" s="5" t="n">
        <f aca="false">IF(R2="","",COUNTIFS(Probe_Pairs!$B:$B,A2,Probe_Pairs!$X:$X,"Both halves"))</f>
        <v>6</v>
      </c>
      <c r="T2" s="5" t="str">
        <f aca="false">IF(R2="","",IF(S2*2&gt;=K2,"High","Low"))</f>
        <v>High</v>
      </c>
      <c r="U2" s="5" t="s">
        <v>50</v>
      </c>
      <c r="V2" s="5" t="s">
        <v>50</v>
      </c>
      <c r="W2" s="5" t="s">
        <v>51</v>
      </c>
      <c r="X2" s="5"/>
      <c r="Y2" s="7"/>
      <c r="Z2" s="7"/>
      <c r="AA2" s="7"/>
      <c r="AB2" s="7"/>
      <c r="AC2" s="7"/>
    </row>
    <row r="3" customFormat="false" ht="15" hidden="false" customHeight="false" outlineLevel="0" collapsed="false">
      <c r="A3" s="5" t="s">
        <v>52</v>
      </c>
      <c r="B3" s="5" t="s">
        <v>40</v>
      </c>
      <c r="C3" s="5" t="s">
        <v>53</v>
      </c>
      <c r="D3" s="5" t="s">
        <v>54</v>
      </c>
      <c r="E3" s="5" t="s">
        <v>43</v>
      </c>
      <c r="F3" s="5" t="s">
        <v>55</v>
      </c>
      <c r="G3" s="5"/>
      <c r="H3" s="5"/>
      <c r="I3" s="6" t="s">
        <v>45</v>
      </c>
      <c r="J3" s="5" t="s">
        <v>46</v>
      </c>
      <c r="K3" s="5" t="n">
        <f aca="false">COUNTIF(Probe_Pairs!$B:$B,A3)</f>
        <v>4</v>
      </c>
      <c r="L3" s="5" t="n">
        <f aca="false">COUNTIFS(Probe_Pairs!$B:$B,A3,Probe_Pairs!$S:$S,"Both halves")</f>
        <v>4</v>
      </c>
      <c r="M3" s="5"/>
      <c r="N3" s="5" t="s">
        <v>56</v>
      </c>
      <c r="O3" s="5" t="s">
        <v>47</v>
      </c>
      <c r="P3" s="5" t="s">
        <v>57</v>
      </c>
      <c r="Q3" s="5" t="s">
        <v>49</v>
      </c>
      <c r="R3" s="5" t="s">
        <v>55</v>
      </c>
      <c r="S3" s="5" t="n">
        <f aca="false">IF(R3="","",COUNTIFS(Probe_Pairs!$B:$B,A3,Probe_Pairs!$X:$X,"Both halves"))</f>
        <v>4</v>
      </c>
      <c r="T3" s="5" t="str">
        <f aca="false">IF(R3="","",IF(S3*2&gt;=K3,"High","Low"))</f>
        <v>High</v>
      </c>
      <c r="U3" s="5" t="s">
        <v>58</v>
      </c>
      <c r="V3" s="5" t="s">
        <v>59</v>
      </c>
      <c r="W3" s="5" t="s">
        <v>60</v>
      </c>
      <c r="X3" s="5"/>
      <c r="Y3" s="7"/>
      <c r="Z3" s="7"/>
      <c r="AA3" s="7"/>
      <c r="AB3" s="7"/>
      <c r="AC3" s="7"/>
    </row>
    <row r="4" customFormat="false" ht="15" hidden="false" customHeight="false" outlineLevel="0" collapsed="false">
      <c r="A4" s="5" t="s">
        <v>61</v>
      </c>
      <c r="B4" s="5" t="s">
        <v>40</v>
      </c>
      <c r="C4" s="5" t="s">
        <v>62</v>
      </c>
      <c r="D4" s="5" t="s">
        <v>63</v>
      </c>
      <c r="E4" s="5" t="s">
        <v>43</v>
      </c>
      <c r="F4" s="5" t="s">
        <v>64</v>
      </c>
      <c r="G4" s="5" t="s">
        <v>65</v>
      </c>
      <c r="H4" s="5"/>
      <c r="I4" s="6" t="s">
        <v>45</v>
      </c>
      <c r="J4" s="5" t="s">
        <v>46</v>
      </c>
      <c r="K4" s="5" t="n">
        <f aca="false">COUNTIF(Probe_Pairs!$B:$B,A4)</f>
        <v>3</v>
      </c>
      <c r="L4" s="5" t="n">
        <f aca="false">COUNTIFS(Probe_Pairs!$B:$B,A4,Probe_Pairs!$S:$S,"Both halves")</f>
        <v>3</v>
      </c>
      <c r="M4" s="5" t="s">
        <v>66</v>
      </c>
      <c r="N4" s="5" t="s">
        <v>62</v>
      </c>
      <c r="O4" s="5" t="s">
        <v>47</v>
      </c>
      <c r="P4" s="5" t="s">
        <v>67</v>
      </c>
      <c r="Q4" s="5" t="s">
        <v>68</v>
      </c>
      <c r="R4" s="5" t="s">
        <v>64</v>
      </c>
      <c r="S4" s="5" t="n">
        <f aca="false">IF(R4="","",COUNTIFS(Probe_Pairs!$B:$B,A4,Probe_Pairs!$X:$X,"Both halves"))</f>
        <v>2</v>
      </c>
      <c r="T4" s="5" t="str">
        <f aca="false">IF(R4="","",IF(S4*2&gt;=K4,"High","Low"))</f>
        <v>High</v>
      </c>
      <c r="U4" s="5" t="s">
        <v>69</v>
      </c>
      <c r="V4" s="5" t="s">
        <v>70</v>
      </c>
      <c r="W4" s="5" t="s">
        <v>71</v>
      </c>
      <c r="X4" s="5"/>
      <c r="Y4" s="7"/>
      <c r="Z4" s="7"/>
      <c r="AA4" s="7"/>
      <c r="AB4" s="7"/>
      <c r="AC4" s="7"/>
    </row>
    <row r="5" customFormat="false" ht="15" hidden="false" customHeight="false" outlineLevel="0" collapsed="false">
      <c r="A5" s="5" t="s">
        <v>72</v>
      </c>
      <c r="B5" s="5" t="s">
        <v>40</v>
      </c>
      <c r="C5" s="5" t="s">
        <v>73</v>
      </c>
      <c r="D5" s="5" t="s">
        <v>74</v>
      </c>
      <c r="E5" s="5" t="s">
        <v>43</v>
      </c>
      <c r="F5" s="5" t="s">
        <v>75</v>
      </c>
      <c r="G5" s="5" t="s">
        <v>76</v>
      </c>
      <c r="H5" s="5"/>
      <c r="I5" s="6" t="s">
        <v>45</v>
      </c>
      <c r="J5" s="5" t="s">
        <v>46</v>
      </c>
      <c r="K5" s="5" t="n">
        <f aca="false">COUNTIF(Probe_Pairs!$B:$B,A5)</f>
        <v>6</v>
      </c>
      <c r="L5" s="5" t="n">
        <f aca="false">COUNTIFS(Probe_Pairs!$B:$B,A5,Probe_Pairs!$S:$S,"Both halves")</f>
        <v>6</v>
      </c>
      <c r="M5" s="5"/>
      <c r="N5" s="5" t="s">
        <v>73</v>
      </c>
      <c r="O5" s="5" t="s">
        <v>47</v>
      </c>
      <c r="P5" s="5" t="s">
        <v>77</v>
      </c>
      <c r="Q5" s="5" t="s">
        <v>49</v>
      </c>
      <c r="R5" s="5" t="s">
        <v>75</v>
      </c>
      <c r="S5" s="5" t="n">
        <f aca="false">IF(R5="","",COUNTIFS(Probe_Pairs!$B:$B,A5,Probe_Pairs!$X:$X,"Both halves"))</f>
        <v>6</v>
      </c>
      <c r="T5" s="5" t="str">
        <f aca="false">IF(R5="","",IF(S5*2&gt;=K5,"High","Low"))</f>
        <v>High</v>
      </c>
      <c r="U5" s="5" t="s">
        <v>74</v>
      </c>
      <c r="V5" s="5" t="s">
        <v>78</v>
      </c>
      <c r="W5" s="5" t="s">
        <v>79</v>
      </c>
      <c r="X5" s="5"/>
      <c r="Y5" s="7"/>
      <c r="Z5" s="7"/>
      <c r="AA5" s="7"/>
      <c r="AB5" s="7"/>
      <c r="AC5" s="7"/>
    </row>
    <row r="6" customFormat="false" ht="15" hidden="false" customHeight="false" outlineLevel="0" collapsed="false">
      <c r="A6" s="5" t="s">
        <v>80</v>
      </c>
      <c r="B6" s="5" t="s">
        <v>40</v>
      </c>
      <c r="C6" s="5" t="s">
        <v>81</v>
      </c>
      <c r="D6" s="5" t="s">
        <v>81</v>
      </c>
      <c r="E6" s="5" t="s">
        <v>43</v>
      </c>
      <c r="F6" s="5" t="s">
        <v>82</v>
      </c>
      <c r="G6" s="5"/>
      <c r="H6" s="5"/>
      <c r="I6" s="6" t="s">
        <v>45</v>
      </c>
      <c r="J6" s="5" t="s">
        <v>46</v>
      </c>
      <c r="K6" s="5" t="n">
        <f aca="false">COUNTIF(Probe_Pairs!$B:$B,A6)</f>
        <v>10</v>
      </c>
      <c r="L6" s="5" t="n">
        <f aca="false">COUNTIFS(Probe_Pairs!$B:$B,A6,Probe_Pairs!$S:$S,"Both halves")</f>
        <v>10</v>
      </c>
      <c r="M6" s="5"/>
      <c r="N6" s="5" t="s">
        <v>83</v>
      </c>
      <c r="O6" s="5" t="s">
        <v>47</v>
      </c>
      <c r="P6" s="5" t="s">
        <v>84</v>
      </c>
      <c r="Q6" s="5" t="s">
        <v>68</v>
      </c>
      <c r="R6" s="5" t="s">
        <v>82</v>
      </c>
      <c r="S6" s="5" t="n">
        <f aca="false">IF(R6="","",COUNTIFS(Probe_Pairs!$B:$B,A6,Probe_Pairs!$X:$X,"Both halves"))</f>
        <v>6</v>
      </c>
      <c r="T6" s="5" t="str">
        <f aca="false">IF(R6="","",IF(S6*2&gt;=K6,"High","Low"))</f>
        <v>High</v>
      </c>
      <c r="U6" s="5" t="s">
        <v>85</v>
      </c>
      <c r="V6" s="5" t="s">
        <v>85</v>
      </c>
      <c r="W6" s="5" t="s">
        <v>86</v>
      </c>
      <c r="X6" s="5"/>
      <c r="Y6" s="7"/>
      <c r="Z6" s="7"/>
      <c r="AA6" s="7"/>
      <c r="AB6" s="7"/>
      <c r="AC6" s="7"/>
    </row>
    <row r="7" customFormat="false" ht="15" hidden="false" customHeight="false" outlineLevel="0" collapsed="false">
      <c r="A7" s="5" t="s">
        <v>87</v>
      </c>
      <c r="B7" s="5" t="s">
        <v>40</v>
      </c>
      <c r="C7" s="5" t="s">
        <v>88</v>
      </c>
      <c r="D7" s="5" t="s">
        <v>89</v>
      </c>
      <c r="E7" s="5" t="s">
        <v>43</v>
      </c>
      <c r="F7" s="5" t="s">
        <v>90</v>
      </c>
      <c r="G7" s="5"/>
      <c r="H7" s="5"/>
      <c r="I7" s="6" t="s">
        <v>45</v>
      </c>
      <c r="J7" s="5" t="s">
        <v>46</v>
      </c>
      <c r="K7" s="5" t="n">
        <f aca="false">COUNTIF(Probe_Pairs!$B:$B,A7)</f>
        <v>7</v>
      </c>
      <c r="L7" s="5" t="n">
        <f aca="false">COUNTIFS(Probe_Pairs!$B:$B,A7,Probe_Pairs!$S:$S,"Both halves")</f>
        <v>7</v>
      </c>
      <c r="M7" s="5"/>
      <c r="N7" s="5" t="s">
        <v>88</v>
      </c>
      <c r="O7" s="5" t="s">
        <v>47</v>
      </c>
      <c r="P7" s="5" t="s">
        <v>91</v>
      </c>
      <c r="Q7" s="5" t="s">
        <v>68</v>
      </c>
      <c r="R7" s="5" t="s">
        <v>90</v>
      </c>
      <c r="S7" s="5" t="n">
        <f aca="false">IF(R7="","",COUNTIFS(Probe_Pairs!$B:$B,A7,Probe_Pairs!$X:$X,"Both halves"))</f>
        <v>5</v>
      </c>
      <c r="T7" s="5" t="str">
        <f aca="false">IF(R7="","",IF(S7*2&gt;=K7,"High","Low"))</f>
        <v>High</v>
      </c>
      <c r="U7" s="5" t="s">
        <v>92</v>
      </c>
      <c r="V7" s="5" t="s">
        <v>93</v>
      </c>
      <c r="W7" s="5" t="s">
        <v>94</v>
      </c>
      <c r="X7" s="5"/>
      <c r="Y7" s="7"/>
      <c r="Z7" s="7"/>
      <c r="AA7" s="7"/>
      <c r="AB7" s="7"/>
      <c r="AC7" s="7"/>
    </row>
    <row r="8" customFormat="false" ht="15" hidden="false" customHeight="false" outlineLevel="0" collapsed="false">
      <c r="A8" s="5" t="s">
        <v>95</v>
      </c>
      <c r="B8" s="5" t="s">
        <v>40</v>
      </c>
      <c r="C8" s="5" t="s">
        <v>96</v>
      </c>
      <c r="D8" s="5" t="s">
        <v>97</v>
      </c>
      <c r="E8" s="5" t="s">
        <v>43</v>
      </c>
      <c r="F8" s="5" t="s">
        <v>98</v>
      </c>
      <c r="G8" s="5" t="s">
        <v>99</v>
      </c>
      <c r="H8" s="5"/>
      <c r="I8" s="6" t="s">
        <v>45</v>
      </c>
      <c r="J8" s="5" t="s">
        <v>46</v>
      </c>
      <c r="K8" s="5" t="n">
        <f aca="false">COUNTIF(Probe_Pairs!$B:$B,A8)</f>
        <v>6</v>
      </c>
      <c r="L8" s="5" t="n">
        <f aca="false">COUNTIFS(Probe_Pairs!$B:$B,A8,Probe_Pairs!$S:$S,"Both halves")</f>
        <v>6</v>
      </c>
      <c r="M8" s="5"/>
      <c r="N8" s="5" t="s">
        <v>96</v>
      </c>
      <c r="O8" s="5" t="s">
        <v>47</v>
      </c>
      <c r="P8" s="5" t="s">
        <v>100</v>
      </c>
      <c r="Q8" s="5" t="s">
        <v>49</v>
      </c>
      <c r="R8" s="5" t="s">
        <v>98</v>
      </c>
      <c r="S8" s="5" t="n">
        <f aca="false">IF(R8="","",COUNTIFS(Probe_Pairs!$B:$B,A8,Probe_Pairs!$X:$X,"Both halves"))</f>
        <v>6</v>
      </c>
      <c r="T8" s="5" t="str">
        <f aca="false">IF(R8="","",IF(S8*2&gt;=K8,"High","Low"))</f>
        <v>High</v>
      </c>
      <c r="U8" s="5" t="s">
        <v>101</v>
      </c>
      <c r="V8" s="5" t="s">
        <v>102</v>
      </c>
      <c r="W8" s="5" t="s">
        <v>103</v>
      </c>
      <c r="X8" s="5"/>
      <c r="Y8" s="7"/>
      <c r="Z8" s="7"/>
      <c r="AA8" s="7"/>
      <c r="AB8" s="7"/>
      <c r="AC8" s="7"/>
    </row>
    <row r="9" customFormat="false" ht="15" hidden="false" customHeight="false" outlineLevel="0" collapsed="false">
      <c r="A9" s="5" t="s">
        <v>104</v>
      </c>
      <c r="B9" s="5" t="s">
        <v>40</v>
      </c>
      <c r="C9" s="5" t="s">
        <v>105</v>
      </c>
      <c r="D9" s="5" t="s">
        <v>106</v>
      </c>
      <c r="E9" s="5" t="s">
        <v>43</v>
      </c>
      <c r="F9" s="5" t="s">
        <v>107</v>
      </c>
      <c r="G9" s="5" t="s">
        <v>108</v>
      </c>
      <c r="H9" s="5"/>
      <c r="I9" s="6" t="s">
        <v>45</v>
      </c>
      <c r="J9" s="5" t="s">
        <v>46</v>
      </c>
      <c r="K9" s="5" t="n">
        <f aca="false">COUNTIF(Probe_Pairs!$B:$B,A9)</f>
        <v>8</v>
      </c>
      <c r="L9" s="5" t="n">
        <f aca="false">COUNTIFS(Probe_Pairs!$B:$B,A9,Probe_Pairs!$S:$S,"Both halves")</f>
        <v>8</v>
      </c>
      <c r="M9" s="5" t="s">
        <v>66</v>
      </c>
      <c r="N9" s="5" t="s">
        <v>105</v>
      </c>
      <c r="O9" s="5" t="s">
        <v>47</v>
      </c>
      <c r="P9" s="5" t="s">
        <v>109</v>
      </c>
      <c r="Q9" s="5" t="s">
        <v>49</v>
      </c>
      <c r="R9" s="5" t="s">
        <v>107</v>
      </c>
      <c r="S9" s="5" t="n">
        <f aca="false">IF(R9="","",COUNTIFS(Probe_Pairs!$B:$B,A9,Probe_Pairs!$X:$X,"Both halves"))</f>
        <v>8</v>
      </c>
      <c r="T9" s="5" t="str">
        <f aca="false">IF(R9="","",IF(S9*2&gt;=K9,"High","Low"))</f>
        <v>High</v>
      </c>
      <c r="U9" s="5" t="s">
        <v>110</v>
      </c>
      <c r="V9" s="5" t="s">
        <v>111</v>
      </c>
      <c r="W9" s="5" t="s">
        <v>112</v>
      </c>
      <c r="X9" s="5"/>
      <c r="Y9" s="7"/>
      <c r="Z9" s="7"/>
      <c r="AA9" s="7"/>
      <c r="AB9" s="7"/>
      <c r="AC9" s="7"/>
    </row>
    <row r="10" customFormat="false" ht="15" hidden="false" customHeight="false" outlineLevel="0" collapsed="false">
      <c r="A10" s="5" t="s">
        <v>113</v>
      </c>
      <c r="B10" s="5" t="s">
        <v>40</v>
      </c>
      <c r="C10" s="5" t="s">
        <v>114</v>
      </c>
      <c r="D10" s="5" t="s">
        <v>115</v>
      </c>
      <c r="E10" s="5" t="s">
        <v>43</v>
      </c>
      <c r="F10" s="5" t="s">
        <v>116</v>
      </c>
      <c r="G10" s="5" t="s">
        <v>117</v>
      </c>
      <c r="H10" s="5"/>
      <c r="I10" s="6" t="s">
        <v>45</v>
      </c>
      <c r="J10" s="5" t="s">
        <v>46</v>
      </c>
      <c r="K10" s="5" t="n">
        <f aca="false">COUNTIF(Probe_Pairs!$B:$B,A10)</f>
        <v>7</v>
      </c>
      <c r="L10" s="5" t="n">
        <f aca="false">COUNTIFS(Probe_Pairs!$B:$B,A10,Probe_Pairs!$S:$S,"Both halves")</f>
        <v>7</v>
      </c>
      <c r="M10" s="5"/>
      <c r="N10" s="5" t="s">
        <v>114</v>
      </c>
      <c r="O10" s="5" t="s">
        <v>47</v>
      </c>
      <c r="P10" s="5" t="s">
        <v>118</v>
      </c>
      <c r="Q10" s="5" t="s">
        <v>68</v>
      </c>
      <c r="R10" s="5" t="s">
        <v>116</v>
      </c>
      <c r="S10" s="5" t="n">
        <f aca="false">IF(R10="","",COUNTIFS(Probe_Pairs!$B:$B,A10,Probe_Pairs!$X:$X,"Both halves"))</f>
        <v>6</v>
      </c>
      <c r="T10" s="5" t="str">
        <f aca="false">IF(R10="","",IF(S10*2&gt;=K10,"High","Low"))</f>
        <v>High</v>
      </c>
      <c r="U10" s="5" t="s">
        <v>119</v>
      </c>
      <c r="V10" s="5" t="s">
        <v>120</v>
      </c>
      <c r="W10" s="5" t="s">
        <v>121</v>
      </c>
      <c r="X10" s="5"/>
      <c r="Y10" s="7"/>
      <c r="Z10" s="7"/>
      <c r="AA10" s="7"/>
      <c r="AB10" s="7"/>
      <c r="AC10" s="7"/>
    </row>
    <row r="11" customFormat="false" ht="15" hidden="false" customHeight="false" outlineLevel="0" collapsed="false">
      <c r="A11" s="5" t="s">
        <v>122</v>
      </c>
      <c r="B11" s="5" t="s">
        <v>40</v>
      </c>
      <c r="C11" s="5" t="s">
        <v>123</v>
      </c>
      <c r="D11" s="5" t="s">
        <v>124</v>
      </c>
      <c r="E11" s="5" t="s">
        <v>43</v>
      </c>
      <c r="F11" s="5" t="s">
        <v>125</v>
      </c>
      <c r="G11" s="5" t="s">
        <v>126</v>
      </c>
      <c r="H11" s="5"/>
      <c r="I11" s="6" t="s">
        <v>45</v>
      </c>
      <c r="J11" s="5" t="s">
        <v>46</v>
      </c>
      <c r="K11" s="5" t="n">
        <f aca="false">COUNTIF(Probe_Pairs!$B:$B,A11)</f>
        <v>8</v>
      </c>
      <c r="L11" s="5" t="n">
        <f aca="false">COUNTIFS(Probe_Pairs!$B:$B,A11,Probe_Pairs!$S:$S,"Both halves")</f>
        <v>8</v>
      </c>
      <c r="M11" s="5"/>
      <c r="N11" s="5" t="s">
        <v>127</v>
      </c>
      <c r="O11" s="5" t="s">
        <v>47</v>
      </c>
      <c r="P11" s="5" t="s">
        <v>128</v>
      </c>
      <c r="Q11" s="5" t="s">
        <v>49</v>
      </c>
      <c r="R11" s="5" t="s">
        <v>125</v>
      </c>
      <c r="S11" s="5" t="n">
        <f aca="false">IF(R11="","",COUNTIFS(Probe_Pairs!$B:$B,A11,Probe_Pairs!$X:$X,"Both halves"))</f>
        <v>6</v>
      </c>
      <c r="T11" s="5" t="str">
        <f aca="false">IF(R11="","",IF(S11*2&gt;=K11,"High","Low"))</f>
        <v>High</v>
      </c>
      <c r="U11" s="5" t="s">
        <v>129</v>
      </c>
      <c r="V11" s="5" t="s">
        <v>130</v>
      </c>
      <c r="W11" s="5" t="s">
        <v>131</v>
      </c>
      <c r="X11" s="5"/>
      <c r="Y11" s="7"/>
      <c r="Z11" s="7"/>
      <c r="AA11" s="7"/>
      <c r="AB11" s="7"/>
      <c r="AC11" s="7"/>
    </row>
    <row r="12" customFormat="false" ht="15" hidden="false" customHeight="false" outlineLevel="0" collapsed="false">
      <c r="A12" s="5" t="s">
        <v>132</v>
      </c>
      <c r="B12" s="5" t="s">
        <v>40</v>
      </c>
      <c r="C12" s="5" t="s">
        <v>133</v>
      </c>
      <c r="D12" s="5" t="s">
        <v>134</v>
      </c>
      <c r="E12" s="5" t="s">
        <v>43</v>
      </c>
      <c r="F12" s="5" t="s">
        <v>135</v>
      </c>
      <c r="G12" s="5" t="s">
        <v>136</v>
      </c>
      <c r="H12" s="5"/>
      <c r="I12" s="6" t="s">
        <v>45</v>
      </c>
      <c r="J12" s="5" t="s">
        <v>46</v>
      </c>
      <c r="K12" s="5" t="n">
        <f aca="false">COUNTIF(Probe_Pairs!$B:$B,A12)</f>
        <v>3</v>
      </c>
      <c r="L12" s="5" t="n">
        <f aca="false">COUNTIFS(Probe_Pairs!$B:$B,A12,Probe_Pairs!$S:$S,"Both halves")</f>
        <v>3</v>
      </c>
      <c r="M12" s="5" t="s">
        <v>137</v>
      </c>
      <c r="N12" s="5" t="s">
        <v>133</v>
      </c>
      <c r="O12" s="5" t="s">
        <v>47</v>
      </c>
      <c r="P12" s="5" t="s">
        <v>138</v>
      </c>
      <c r="Q12" s="5" t="s">
        <v>68</v>
      </c>
      <c r="R12" s="5" t="s">
        <v>135</v>
      </c>
      <c r="S12" s="5" t="n">
        <f aca="false">IF(R12="","",COUNTIFS(Probe_Pairs!$B:$B,A12,Probe_Pairs!$X:$X,"Both halves"))</f>
        <v>3</v>
      </c>
      <c r="T12" s="5" t="str">
        <f aca="false">IF(R12="","",IF(S12*2&gt;=K12,"High","Low"))</f>
        <v>High</v>
      </c>
      <c r="U12" s="5" t="s">
        <v>139</v>
      </c>
      <c r="V12" s="5" t="s">
        <v>140</v>
      </c>
      <c r="W12" s="5" t="s">
        <v>141</v>
      </c>
      <c r="X12" s="5"/>
      <c r="Y12" s="7"/>
      <c r="Z12" s="7"/>
      <c r="AA12" s="7"/>
      <c r="AB12" s="7"/>
      <c r="AC12" s="7"/>
    </row>
    <row r="13" customFormat="false" ht="15" hidden="false" customHeight="false" outlineLevel="0" collapsed="false">
      <c r="A13" s="5" t="s">
        <v>142</v>
      </c>
      <c r="B13" s="5" t="s">
        <v>40</v>
      </c>
      <c r="C13" s="5" t="s">
        <v>143</v>
      </c>
      <c r="D13" s="5" t="s">
        <v>144</v>
      </c>
      <c r="E13" s="5" t="s">
        <v>43</v>
      </c>
      <c r="F13" s="5" t="s">
        <v>145</v>
      </c>
      <c r="G13" s="5"/>
      <c r="H13" s="5"/>
      <c r="I13" s="6" t="s">
        <v>45</v>
      </c>
      <c r="J13" s="5" t="s">
        <v>46</v>
      </c>
      <c r="K13" s="5" t="n">
        <f aca="false">COUNTIF(Probe_Pairs!$B:$B,A13)</f>
        <v>6</v>
      </c>
      <c r="L13" s="5" t="n">
        <f aca="false">COUNTIFS(Probe_Pairs!$B:$B,A13,Probe_Pairs!$S:$S,"Both halves")</f>
        <v>6</v>
      </c>
      <c r="M13" s="5"/>
      <c r="N13" s="5" t="s">
        <v>143</v>
      </c>
      <c r="O13" s="5" t="s">
        <v>47</v>
      </c>
      <c r="P13" s="5" t="s">
        <v>146</v>
      </c>
      <c r="Q13" s="5" t="s">
        <v>49</v>
      </c>
      <c r="R13" s="5" t="s">
        <v>145</v>
      </c>
      <c r="S13" s="5" t="n">
        <f aca="false">IF(R13="","",COUNTIFS(Probe_Pairs!$B:$B,A13,Probe_Pairs!$X:$X,"Both halves"))</f>
        <v>6</v>
      </c>
      <c r="T13" s="5" t="str">
        <f aca="false">IF(R13="","",IF(S13*2&gt;=K13,"High","Low"))</f>
        <v>High</v>
      </c>
      <c r="U13" s="5" t="s">
        <v>144</v>
      </c>
      <c r="V13" s="5" t="s">
        <v>147</v>
      </c>
      <c r="W13" s="5" t="s">
        <v>148</v>
      </c>
      <c r="X13" s="5"/>
      <c r="Y13" s="7"/>
      <c r="Z13" s="7"/>
      <c r="AA13" s="7"/>
      <c r="AB13" s="7"/>
      <c r="AC13" s="7"/>
    </row>
    <row r="14" customFormat="false" ht="15" hidden="false" customHeight="false" outlineLevel="0" collapsed="false">
      <c r="A14" s="5" t="s">
        <v>149</v>
      </c>
      <c r="B14" s="5" t="s">
        <v>40</v>
      </c>
      <c r="C14" s="5" t="s">
        <v>150</v>
      </c>
      <c r="D14" s="5" t="s">
        <v>151</v>
      </c>
      <c r="E14" s="5" t="s">
        <v>43</v>
      </c>
      <c r="F14" s="5" t="s">
        <v>152</v>
      </c>
      <c r="G14" s="5" t="s">
        <v>153</v>
      </c>
      <c r="H14" s="5"/>
      <c r="I14" s="6" t="s">
        <v>45</v>
      </c>
      <c r="J14" s="5" t="s">
        <v>46</v>
      </c>
      <c r="K14" s="5" t="n">
        <f aca="false">COUNTIF(Probe_Pairs!$B:$B,A14)</f>
        <v>8</v>
      </c>
      <c r="L14" s="5" t="n">
        <f aca="false">COUNTIFS(Probe_Pairs!$B:$B,A14,Probe_Pairs!$S:$S,"Both halves")</f>
        <v>8</v>
      </c>
      <c r="M14" s="5"/>
      <c r="N14" s="5" t="s">
        <v>150</v>
      </c>
      <c r="O14" s="5" t="s">
        <v>154</v>
      </c>
      <c r="P14" s="5" t="s">
        <v>155</v>
      </c>
      <c r="Q14" s="5" t="s">
        <v>49</v>
      </c>
      <c r="R14" s="5" t="s">
        <v>152</v>
      </c>
      <c r="S14" s="5" t="n">
        <f aca="false">IF(R14="","",COUNTIFS(Probe_Pairs!$B:$B,A14,Probe_Pairs!$X:$X,"Both halves"))</f>
        <v>8</v>
      </c>
      <c r="T14" s="5" t="str">
        <f aca="false">IF(R14="","",IF(S14*2&gt;=K14,"High","Low"))</f>
        <v>High</v>
      </c>
      <c r="U14" s="5" t="s">
        <v>151</v>
      </c>
      <c r="V14" s="5" t="s">
        <v>156</v>
      </c>
      <c r="W14" s="5" t="s">
        <v>157</v>
      </c>
      <c r="X14" s="5"/>
      <c r="Y14" s="7"/>
      <c r="Z14" s="7"/>
      <c r="AA14" s="7"/>
      <c r="AB14" s="7"/>
      <c r="AC14" s="7"/>
    </row>
    <row r="15" customFormat="false" ht="15" hidden="false" customHeight="false" outlineLevel="0" collapsed="false">
      <c r="A15" s="5" t="s">
        <v>158</v>
      </c>
      <c r="B15" s="5" t="s">
        <v>40</v>
      </c>
      <c r="C15" s="5" t="s">
        <v>159</v>
      </c>
      <c r="D15" s="5" t="s">
        <v>160</v>
      </c>
      <c r="E15" s="5" t="s">
        <v>43</v>
      </c>
      <c r="F15" s="5" t="s">
        <v>161</v>
      </c>
      <c r="G15" s="5"/>
      <c r="H15" s="5"/>
      <c r="I15" s="6" t="s">
        <v>45</v>
      </c>
      <c r="J15" s="5" t="s">
        <v>46</v>
      </c>
      <c r="K15" s="5" t="n">
        <f aca="false">COUNTIF(Probe_Pairs!$B:$B,A15)</f>
        <v>10</v>
      </c>
      <c r="L15" s="5" t="n">
        <f aca="false">COUNTIFS(Probe_Pairs!$B:$B,A15,Probe_Pairs!$S:$S,"Both halves")</f>
        <v>10</v>
      </c>
      <c r="M15" s="5" t="s">
        <v>162</v>
      </c>
      <c r="N15" s="5" t="s">
        <v>163</v>
      </c>
      <c r="O15" s="5" t="s">
        <v>47</v>
      </c>
      <c r="P15" s="5" t="s">
        <v>164</v>
      </c>
      <c r="Q15" s="5" t="s">
        <v>68</v>
      </c>
      <c r="R15" s="5" t="s">
        <v>161</v>
      </c>
      <c r="S15" s="5" t="n">
        <f aca="false">IF(R15="","",COUNTIFS(Probe_Pairs!$B:$B,A15,Probe_Pairs!$X:$X,"Both halves"))</f>
        <v>7</v>
      </c>
      <c r="T15" s="5" t="str">
        <f aca="false">IF(R15="","",IF(S15*2&gt;=K15,"High","Low"))</f>
        <v>High</v>
      </c>
      <c r="U15" s="5" t="s">
        <v>165</v>
      </c>
      <c r="V15" s="5" t="s">
        <v>165</v>
      </c>
      <c r="W15" s="5" t="s">
        <v>166</v>
      </c>
      <c r="X15" s="5"/>
      <c r="Y15" s="7"/>
      <c r="Z15" s="7"/>
      <c r="AA15" s="7"/>
      <c r="AB15" s="7"/>
      <c r="AC15" s="7"/>
    </row>
    <row r="16" customFormat="false" ht="15" hidden="false" customHeight="false" outlineLevel="0" collapsed="false">
      <c r="A16" s="5" t="s">
        <v>167</v>
      </c>
      <c r="B16" s="5" t="s">
        <v>40</v>
      </c>
      <c r="C16" s="5" t="s">
        <v>168</v>
      </c>
      <c r="D16" s="5" t="s">
        <v>169</v>
      </c>
      <c r="E16" s="5" t="s">
        <v>43</v>
      </c>
      <c r="F16" s="5" t="s">
        <v>170</v>
      </c>
      <c r="G16" s="5"/>
      <c r="H16" s="5"/>
      <c r="I16" s="6" t="s">
        <v>45</v>
      </c>
      <c r="J16" s="5" t="s">
        <v>46</v>
      </c>
      <c r="K16" s="5" t="n">
        <f aca="false">COUNTIF(Probe_Pairs!$B:$B,A16)</f>
        <v>10</v>
      </c>
      <c r="L16" s="5" t="n">
        <f aca="false">COUNTIFS(Probe_Pairs!$B:$B,A16,Probe_Pairs!$S:$S,"Both halves")</f>
        <v>10</v>
      </c>
      <c r="M16" s="5"/>
      <c r="N16" s="5" t="s">
        <v>168</v>
      </c>
      <c r="O16" s="5" t="s">
        <v>171</v>
      </c>
      <c r="P16" s="5" t="s">
        <v>172</v>
      </c>
      <c r="Q16" s="5" t="s">
        <v>49</v>
      </c>
      <c r="R16" s="5" t="s">
        <v>170</v>
      </c>
      <c r="S16" s="5" t="n">
        <f aca="false">IF(R16="","",COUNTIFS(Probe_Pairs!$B:$B,A16,Probe_Pairs!$X:$X,"Both halves"))</f>
        <v>10</v>
      </c>
      <c r="T16" s="5" t="str">
        <f aca="false">IF(R16="","",IF(S16*2&gt;=K16,"High","Low"))</f>
        <v>High</v>
      </c>
      <c r="U16" s="5" t="s">
        <v>173</v>
      </c>
      <c r="V16" s="5" t="s">
        <v>173</v>
      </c>
      <c r="W16" s="5" t="s">
        <v>174</v>
      </c>
      <c r="X16" s="5"/>
      <c r="Y16" s="7"/>
      <c r="Z16" s="7"/>
      <c r="AA16" s="7"/>
      <c r="AB16" s="7"/>
      <c r="AC16" s="7"/>
    </row>
    <row r="17" customFormat="false" ht="15" hidden="false" customHeight="false" outlineLevel="0" collapsed="false">
      <c r="A17" s="5" t="s">
        <v>175</v>
      </c>
      <c r="B17" s="5" t="s">
        <v>40</v>
      </c>
      <c r="C17" s="5" t="s">
        <v>176</v>
      </c>
      <c r="D17" s="5" t="s">
        <v>177</v>
      </c>
      <c r="E17" s="5" t="s">
        <v>43</v>
      </c>
      <c r="F17" s="5" t="s">
        <v>178</v>
      </c>
      <c r="G17" s="5" t="s">
        <v>179</v>
      </c>
      <c r="H17" s="5"/>
      <c r="I17" s="6" t="s">
        <v>45</v>
      </c>
      <c r="J17" s="5" t="s">
        <v>46</v>
      </c>
      <c r="K17" s="5" t="n">
        <f aca="false">COUNTIF(Probe_Pairs!$B:$B,A17)</f>
        <v>6</v>
      </c>
      <c r="L17" s="5" t="n">
        <f aca="false">COUNTIFS(Probe_Pairs!$B:$B,A17,Probe_Pairs!$S:$S,"Both halves")</f>
        <v>6</v>
      </c>
      <c r="M17" s="5"/>
      <c r="N17" s="5" t="s">
        <v>176</v>
      </c>
      <c r="O17" s="5" t="s">
        <v>47</v>
      </c>
      <c r="P17" s="5" t="s">
        <v>180</v>
      </c>
      <c r="Q17" s="5" t="s">
        <v>49</v>
      </c>
      <c r="R17" s="5" t="s">
        <v>178</v>
      </c>
      <c r="S17" s="5" t="n">
        <f aca="false">IF(R17="","",COUNTIFS(Probe_Pairs!$B:$B,A17,Probe_Pairs!$X:$X,"Both halves"))</f>
        <v>6</v>
      </c>
      <c r="T17" s="5" t="str">
        <f aca="false">IF(R17="","",IF(S17*2&gt;=K17,"High","Low"))</f>
        <v>High</v>
      </c>
      <c r="U17" s="5" t="s">
        <v>177</v>
      </c>
      <c r="V17" s="5" t="s">
        <v>181</v>
      </c>
      <c r="W17" s="5" t="s">
        <v>182</v>
      </c>
      <c r="X17" s="5"/>
      <c r="Y17" s="7"/>
      <c r="Z17" s="7"/>
      <c r="AA17" s="7"/>
      <c r="AB17" s="7"/>
      <c r="AC17" s="7"/>
    </row>
    <row r="18" customFormat="false" ht="15" hidden="false" customHeight="false" outlineLevel="0" collapsed="false">
      <c r="A18" s="5" t="s">
        <v>183</v>
      </c>
      <c r="B18" s="5" t="s">
        <v>40</v>
      </c>
      <c r="C18" s="5" t="s">
        <v>184</v>
      </c>
      <c r="D18" s="5" t="s">
        <v>185</v>
      </c>
      <c r="E18" s="5" t="s">
        <v>43</v>
      </c>
      <c r="F18" s="5" t="s">
        <v>186</v>
      </c>
      <c r="G18" s="5" t="s">
        <v>187</v>
      </c>
      <c r="H18" s="5"/>
      <c r="I18" s="6" t="s">
        <v>45</v>
      </c>
      <c r="J18" s="5" t="s">
        <v>46</v>
      </c>
      <c r="K18" s="5" t="n">
        <f aca="false">COUNTIF(Probe_Pairs!$B:$B,A18)</f>
        <v>6</v>
      </c>
      <c r="L18" s="5" t="n">
        <f aca="false">COUNTIFS(Probe_Pairs!$B:$B,A18,Probe_Pairs!$S:$S,"Both halves")</f>
        <v>6</v>
      </c>
      <c r="M18" s="5"/>
      <c r="N18" s="5" t="s">
        <v>184</v>
      </c>
      <c r="O18" s="5" t="s">
        <v>47</v>
      </c>
      <c r="P18" s="5" t="s">
        <v>188</v>
      </c>
      <c r="Q18" s="5" t="s">
        <v>49</v>
      </c>
      <c r="R18" s="5" t="s">
        <v>186</v>
      </c>
      <c r="S18" s="5" t="n">
        <f aca="false">IF(R18="","",COUNTIFS(Probe_Pairs!$B:$B,A18,Probe_Pairs!$X:$X,"Both halves"))</f>
        <v>6</v>
      </c>
      <c r="T18" s="5" t="str">
        <f aca="false">IF(R18="","",IF(S18*2&gt;=K18,"High","Low"))</f>
        <v>High</v>
      </c>
      <c r="U18" s="5" t="s">
        <v>185</v>
      </c>
      <c r="V18" s="5" t="s">
        <v>189</v>
      </c>
      <c r="W18" s="5" t="s">
        <v>190</v>
      </c>
      <c r="X18" s="5"/>
      <c r="Y18" s="7"/>
      <c r="Z18" s="7"/>
      <c r="AA18" s="7"/>
      <c r="AB18" s="7"/>
      <c r="AC18" s="7"/>
    </row>
    <row r="19" customFormat="false" ht="15" hidden="false" customHeight="false" outlineLevel="0" collapsed="false">
      <c r="A19" s="5" t="s">
        <v>191</v>
      </c>
      <c r="B19" s="5" t="s">
        <v>40</v>
      </c>
      <c r="C19" s="5" t="s">
        <v>192</v>
      </c>
      <c r="D19" s="5" t="s">
        <v>193</v>
      </c>
      <c r="E19" s="5" t="s">
        <v>43</v>
      </c>
      <c r="F19" s="5" t="s">
        <v>194</v>
      </c>
      <c r="G19" s="5"/>
      <c r="H19" s="5"/>
      <c r="I19" s="6" t="s">
        <v>45</v>
      </c>
      <c r="J19" s="5" t="s">
        <v>46</v>
      </c>
      <c r="K19" s="5" t="n">
        <f aca="false">COUNTIF(Probe_Pairs!$B:$B,A19)</f>
        <v>9</v>
      </c>
      <c r="L19" s="5" t="n">
        <f aca="false">COUNTIFS(Probe_Pairs!$B:$B,A19,Probe_Pairs!$S:$S,"Both halves")</f>
        <v>9</v>
      </c>
      <c r="M19" s="5" t="s">
        <v>137</v>
      </c>
      <c r="N19" s="5" t="s">
        <v>192</v>
      </c>
      <c r="O19" s="5" t="s">
        <v>47</v>
      </c>
      <c r="P19" s="5" t="s">
        <v>195</v>
      </c>
      <c r="Q19" s="5" t="s">
        <v>68</v>
      </c>
      <c r="R19" s="5" t="s">
        <v>194</v>
      </c>
      <c r="S19" s="5" t="n">
        <f aca="false">IF(R19="","",COUNTIFS(Probe_Pairs!$B:$B,A19,Probe_Pairs!$X:$X,"Both halves"))</f>
        <v>5</v>
      </c>
      <c r="T19" s="5" t="str">
        <f aca="false">IF(R19="","",IF(S19*2&gt;=K19,"High","Low"))</f>
        <v>High</v>
      </c>
      <c r="U19" s="5" t="s">
        <v>196</v>
      </c>
      <c r="V19" s="5" t="s">
        <v>197</v>
      </c>
      <c r="W19" s="5" t="s">
        <v>198</v>
      </c>
      <c r="X19" s="5"/>
      <c r="Y19" s="7"/>
      <c r="Z19" s="7"/>
      <c r="AA19" s="7"/>
      <c r="AB19" s="7"/>
      <c r="AC19" s="7"/>
    </row>
    <row r="20" customFormat="false" ht="15" hidden="false" customHeight="false" outlineLevel="0" collapsed="false">
      <c r="A20" s="5" t="s">
        <v>199</v>
      </c>
      <c r="B20" s="5" t="s">
        <v>40</v>
      </c>
      <c r="C20" s="5" t="s">
        <v>200</v>
      </c>
      <c r="D20" s="5" t="s">
        <v>201</v>
      </c>
      <c r="E20" s="5" t="s">
        <v>43</v>
      </c>
      <c r="F20" s="5" t="s">
        <v>202</v>
      </c>
      <c r="G20" s="5" t="s">
        <v>203</v>
      </c>
      <c r="H20" s="5"/>
      <c r="I20" s="6" t="s">
        <v>45</v>
      </c>
      <c r="J20" s="5" t="s">
        <v>46</v>
      </c>
      <c r="K20" s="5" t="n">
        <f aca="false">COUNTIF(Probe_Pairs!$B:$B,A20)</f>
        <v>6</v>
      </c>
      <c r="L20" s="5" t="n">
        <f aca="false">COUNTIFS(Probe_Pairs!$B:$B,A20,Probe_Pairs!$S:$S,"Both halves")</f>
        <v>6</v>
      </c>
      <c r="M20" s="5"/>
      <c r="N20" s="5" t="s">
        <v>200</v>
      </c>
      <c r="O20" s="5" t="s">
        <v>47</v>
      </c>
      <c r="P20" s="5" t="s">
        <v>204</v>
      </c>
      <c r="Q20" s="5" t="s">
        <v>49</v>
      </c>
      <c r="R20" s="5" t="s">
        <v>202</v>
      </c>
      <c r="S20" s="5" t="n">
        <f aca="false">IF(R20="","",COUNTIFS(Probe_Pairs!$B:$B,A20,Probe_Pairs!$X:$X,"Both halves"))</f>
        <v>6</v>
      </c>
      <c r="T20" s="5" t="str">
        <f aca="false">IF(R20="","",IF(S20*2&gt;=K20,"High","Low"))</f>
        <v>High</v>
      </c>
      <c r="U20" s="5" t="s">
        <v>201</v>
      </c>
      <c r="V20" s="5" t="s">
        <v>201</v>
      </c>
      <c r="W20" s="5" t="s">
        <v>205</v>
      </c>
      <c r="X20" s="5"/>
      <c r="Y20" s="7"/>
      <c r="Z20" s="7"/>
      <c r="AA20" s="7"/>
      <c r="AB20" s="7"/>
      <c r="AC20" s="7"/>
    </row>
    <row r="21" customFormat="false" ht="15" hidden="false" customHeight="false" outlineLevel="0" collapsed="false">
      <c r="A21" s="5" t="s">
        <v>206</v>
      </c>
      <c r="B21" s="5" t="s">
        <v>40</v>
      </c>
      <c r="C21" s="5" t="s">
        <v>207</v>
      </c>
      <c r="D21" s="5" t="s">
        <v>208</v>
      </c>
      <c r="E21" s="5" t="s">
        <v>43</v>
      </c>
      <c r="F21" s="5" t="s">
        <v>209</v>
      </c>
      <c r="G21" s="5"/>
      <c r="H21" s="5"/>
      <c r="I21" s="6" t="s">
        <v>45</v>
      </c>
      <c r="J21" s="5" t="s">
        <v>46</v>
      </c>
      <c r="K21" s="5" t="n">
        <f aca="false">COUNTIF(Probe_Pairs!$B:$B,A21)</f>
        <v>6</v>
      </c>
      <c r="L21" s="5" t="n">
        <f aca="false">COUNTIFS(Probe_Pairs!$B:$B,A21,Probe_Pairs!$S:$S,"Both halves")</f>
        <v>6</v>
      </c>
      <c r="M21" s="5"/>
      <c r="N21" s="5" t="s">
        <v>207</v>
      </c>
      <c r="O21" s="5" t="s">
        <v>47</v>
      </c>
      <c r="P21" s="5" t="s">
        <v>210</v>
      </c>
      <c r="Q21" s="5" t="s">
        <v>68</v>
      </c>
      <c r="R21" s="5" t="s">
        <v>209</v>
      </c>
      <c r="S21" s="5" t="n">
        <f aca="false">IF(R21="","",COUNTIFS(Probe_Pairs!$B:$B,A21,Probe_Pairs!$X:$X,"Both halves"))</f>
        <v>3</v>
      </c>
      <c r="T21" s="5" t="str">
        <f aca="false">IF(R21="","",IF(S21*2&gt;=K21,"High","Low"))</f>
        <v>High</v>
      </c>
      <c r="U21" s="5" t="s">
        <v>211</v>
      </c>
      <c r="V21" s="5" t="s">
        <v>212</v>
      </c>
      <c r="W21" s="5" t="s">
        <v>213</v>
      </c>
      <c r="X21" s="5"/>
      <c r="Y21" s="7"/>
      <c r="Z21" s="7"/>
      <c r="AA21" s="7"/>
      <c r="AB21" s="7"/>
      <c r="AC21" s="7"/>
    </row>
    <row r="22" customFormat="false" ht="15" hidden="false" customHeight="false" outlineLevel="0" collapsed="false">
      <c r="A22" s="5" t="s">
        <v>214</v>
      </c>
      <c r="B22" s="5" t="s">
        <v>40</v>
      </c>
      <c r="C22" s="5" t="s">
        <v>215</v>
      </c>
      <c r="D22" s="5" t="s">
        <v>216</v>
      </c>
      <c r="E22" s="5" t="s">
        <v>43</v>
      </c>
      <c r="F22" s="5" t="s">
        <v>217</v>
      </c>
      <c r="G22" s="5" t="s">
        <v>218</v>
      </c>
      <c r="H22" s="5"/>
      <c r="I22" s="6" t="s">
        <v>45</v>
      </c>
      <c r="J22" s="5" t="s">
        <v>46</v>
      </c>
      <c r="K22" s="5" t="n">
        <f aca="false">COUNTIF(Probe_Pairs!$B:$B,A22)</f>
        <v>6</v>
      </c>
      <c r="L22" s="5" t="n">
        <f aca="false">COUNTIFS(Probe_Pairs!$B:$B,A22,Probe_Pairs!$S:$S,"Both halves")</f>
        <v>6</v>
      </c>
      <c r="M22" s="5"/>
      <c r="N22" s="5" t="s">
        <v>215</v>
      </c>
      <c r="O22" s="5" t="s">
        <v>47</v>
      </c>
      <c r="P22" s="5" t="s">
        <v>219</v>
      </c>
      <c r="Q22" s="5" t="s">
        <v>49</v>
      </c>
      <c r="R22" s="5" t="s">
        <v>217</v>
      </c>
      <c r="S22" s="5" t="n">
        <f aca="false">IF(R22="","",COUNTIFS(Probe_Pairs!$B:$B,A22,Probe_Pairs!$X:$X,"Both halves"))</f>
        <v>6</v>
      </c>
      <c r="T22" s="5" t="str">
        <f aca="false">IF(R22="","",IF(S22*2&gt;=K22,"High","Low"))</f>
        <v>High</v>
      </c>
      <c r="U22" s="5" t="s">
        <v>216</v>
      </c>
      <c r="V22" s="5" t="s">
        <v>220</v>
      </c>
      <c r="W22" s="5" t="s">
        <v>221</v>
      </c>
      <c r="X22" s="5"/>
      <c r="Y22" s="7"/>
      <c r="Z22" s="7"/>
      <c r="AA22" s="7"/>
      <c r="AB22" s="7"/>
      <c r="AC22" s="7"/>
    </row>
    <row r="23" customFormat="false" ht="15" hidden="false" customHeight="false" outlineLevel="0" collapsed="false">
      <c r="A23" s="5" t="s">
        <v>222</v>
      </c>
      <c r="B23" s="5" t="s">
        <v>40</v>
      </c>
      <c r="C23" s="5" t="s">
        <v>223</v>
      </c>
      <c r="D23" s="5" t="s">
        <v>224</v>
      </c>
      <c r="E23" s="5" t="s">
        <v>43</v>
      </c>
      <c r="F23" s="5" t="s">
        <v>225</v>
      </c>
      <c r="G23" s="5" t="s">
        <v>226</v>
      </c>
      <c r="H23" s="5"/>
      <c r="I23" s="6" t="s">
        <v>45</v>
      </c>
      <c r="J23" s="5" t="s">
        <v>46</v>
      </c>
      <c r="K23" s="5" t="n">
        <f aca="false">COUNTIF(Probe_Pairs!$B:$B,A23)</f>
        <v>6</v>
      </c>
      <c r="L23" s="5" t="n">
        <f aca="false">COUNTIFS(Probe_Pairs!$B:$B,A23,Probe_Pairs!$S:$S,"Both halves")</f>
        <v>6</v>
      </c>
      <c r="M23" s="5"/>
      <c r="N23" s="5" t="s">
        <v>223</v>
      </c>
      <c r="O23" s="5" t="s">
        <v>47</v>
      </c>
      <c r="P23" s="5" t="s">
        <v>227</v>
      </c>
      <c r="Q23" s="5" t="s">
        <v>49</v>
      </c>
      <c r="R23" s="5" t="s">
        <v>225</v>
      </c>
      <c r="S23" s="5" t="n">
        <f aca="false">IF(R23="","",COUNTIFS(Probe_Pairs!$B:$B,A23,Probe_Pairs!$X:$X,"Both halves"))</f>
        <v>6</v>
      </c>
      <c r="T23" s="5" t="str">
        <f aca="false">IF(R23="","",IF(S23*2&gt;=K23,"High","Low"))</f>
        <v>High</v>
      </c>
      <c r="U23" s="5" t="s">
        <v>224</v>
      </c>
      <c r="V23" s="5" t="s">
        <v>228</v>
      </c>
      <c r="W23" s="5" t="s">
        <v>229</v>
      </c>
      <c r="X23" s="5"/>
      <c r="Y23" s="7"/>
      <c r="Z23" s="7"/>
      <c r="AA23" s="7"/>
      <c r="AB23" s="7"/>
      <c r="AC23" s="7"/>
    </row>
    <row r="24" customFormat="false" ht="15" hidden="false" customHeight="false" outlineLevel="0" collapsed="false">
      <c r="A24" s="5" t="s">
        <v>230</v>
      </c>
      <c r="B24" s="5" t="s">
        <v>40</v>
      </c>
      <c r="C24" s="5" t="s">
        <v>231</v>
      </c>
      <c r="D24" s="5" t="s">
        <v>231</v>
      </c>
      <c r="E24" s="5" t="s">
        <v>232</v>
      </c>
      <c r="F24" s="5"/>
      <c r="G24" s="5"/>
      <c r="H24" s="5"/>
      <c r="I24" s="6" t="s">
        <v>45</v>
      </c>
      <c r="J24" s="5" t="s">
        <v>46</v>
      </c>
      <c r="K24" s="5" t="n">
        <f aca="false">COUNTIF(Probe_Pairs!$B:$B,A24)</f>
        <v>8</v>
      </c>
      <c r="L24" s="5" t="n">
        <f aca="false">COUNTIFS(Probe_Pairs!$B:$B,A24,Probe_Pairs!$S:$S,"Both halves")</f>
        <v>8</v>
      </c>
      <c r="M24" s="5"/>
      <c r="N24" s="5" t="s">
        <v>233</v>
      </c>
      <c r="O24" s="5" t="s">
        <v>47</v>
      </c>
      <c r="P24" s="5" t="s">
        <v>234</v>
      </c>
      <c r="Q24" s="5"/>
      <c r="R24" s="5"/>
      <c r="S24" s="5" t="str">
        <f aca="false">IF(R24="","",COUNTIFS(Probe_Pairs!$B:$B,A24,Probe_Pairs!$X:$X,"Both halves"))</f>
        <v/>
      </c>
      <c r="T24" s="5" t="str">
        <f aca="false">IF(R24="","",IF(S24*2&gt;=K24,"High","Low"))</f>
        <v/>
      </c>
      <c r="U24" s="5"/>
      <c r="V24" s="5"/>
      <c r="W24" s="5"/>
      <c r="X24" s="8" t="s">
        <v>235</v>
      </c>
      <c r="Y24" s="7"/>
      <c r="Z24" s="7"/>
      <c r="AA24" s="7"/>
      <c r="AB24" s="7"/>
      <c r="AC24" s="7"/>
    </row>
    <row r="25" customFormat="false" ht="15" hidden="false" customHeight="false" outlineLevel="0" collapsed="false">
      <c r="A25" s="5" t="s">
        <v>236</v>
      </c>
      <c r="B25" s="5" t="s">
        <v>40</v>
      </c>
      <c r="C25" s="5" t="s">
        <v>237</v>
      </c>
      <c r="D25" s="5" t="s">
        <v>237</v>
      </c>
      <c r="E25" s="5" t="s">
        <v>43</v>
      </c>
      <c r="F25" s="5" t="s">
        <v>238</v>
      </c>
      <c r="G25" s="5" t="s">
        <v>239</v>
      </c>
      <c r="H25" s="5"/>
      <c r="I25" s="6" t="s">
        <v>45</v>
      </c>
      <c r="J25" s="5" t="s">
        <v>46</v>
      </c>
      <c r="K25" s="5" t="n">
        <f aca="false">COUNTIF(Probe_Pairs!$B:$B,A25)</f>
        <v>3</v>
      </c>
      <c r="L25" s="5" t="n">
        <f aca="false">COUNTIFS(Probe_Pairs!$B:$B,A25,Probe_Pairs!$S:$S,"Both halves")</f>
        <v>3</v>
      </c>
      <c r="M25" s="5" t="s">
        <v>66</v>
      </c>
      <c r="N25" s="5" t="s">
        <v>237</v>
      </c>
      <c r="O25" s="5" t="s">
        <v>47</v>
      </c>
      <c r="P25" s="5" t="s">
        <v>240</v>
      </c>
      <c r="Q25" s="5" t="s">
        <v>68</v>
      </c>
      <c r="R25" s="5" t="s">
        <v>238</v>
      </c>
      <c r="S25" s="5" t="n">
        <f aca="false">IF(R25="","",COUNTIFS(Probe_Pairs!$B:$B,A25,Probe_Pairs!$X:$X,"Both halves"))</f>
        <v>3</v>
      </c>
      <c r="T25" s="5" t="str">
        <f aca="false">IF(R25="","",IF(S25*2&gt;=K25,"High","Low"))</f>
        <v>High</v>
      </c>
      <c r="U25" s="5" t="s">
        <v>241</v>
      </c>
      <c r="V25" s="5" t="s">
        <v>242</v>
      </c>
      <c r="W25" s="5" t="s">
        <v>243</v>
      </c>
      <c r="X25" s="5"/>
      <c r="Y25" s="7"/>
      <c r="Z25" s="7"/>
      <c r="AA25" s="7"/>
      <c r="AB25" s="7"/>
      <c r="AC25" s="7"/>
    </row>
    <row r="26" customFormat="false" ht="15" hidden="false" customHeight="false" outlineLevel="0" collapsed="false">
      <c r="A26" s="5" t="s">
        <v>244</v>
      </c>
      <c r="B26" s="5" t="s">
        <v>40</v>
      </c>
      <c r="C26" s="5" t="s">
        <v>245</v>
      </c>
      <c r="D26" s="5" t="s">
        <v>246</v>
      </c>
      <c r="E26" s="5" t="s">
        <v>43</v>
      </c>
      <c r="F26" s="5" t="s">
        <v>247</v>
      </c>
      <c r="G26" s="5" t="s">
        <v>248</v>
      </c>
      <c r="H26" s="5"/>
      <c r="I26" s="6" t="s">
        <v>45</v>
      </c>
      <c r="J26" s="5" t="s">
        <v>46</v>
      </c>
      <c r="K26" s="5" t="n">
        <f aca="false">COUNTIF(Probe_Pairs!$B:$B,A26)</f>
        <v>6</v>
      </c>
      <c r="L26" s="5" t="n">
        <f aca="false">COUNTIFS(Probe_Pairs!$B:$B,A26,Probe_Pairs!$S:$S,"Both halves")</f>
        <v>6</v>
      </c>
      <c r="M26" s="5"/>
      <c r="N26" s="5" t="s">
        <v>245</v>
      </c>
      <c r="O26" s="5" t="s">
        <v>47</v>
      </c>
      <c r="P26" s="5" t="s">
        <v>249</v>
      </c>
      <c r="Q26" s="5" t="s">
        <v>49</v>
      </c>
      <c r="R26" s="5" t="s">
        <v>247</v>
      </c>
      <c r="S26" s="5" t="n">
        <f aca="false">IF(R26="","",COUNTIFS(Probe_Pairs!$B:$B,A26,Probe_Pairs!$X:$X,"Both halves"))</f>
        <v>6</v>
      </c>
      <c r="T26" s="5" t="str">
        <f aca="false">IF(R26="","",IF(S26*2&gt;=K26,"High","Low"))</f>
        <v>High</v>
      </c>
      <c r="U26" s="5" t="s">
        <v>246</v>
      </c>
      <c r="V26" s="5" t="s">
        <v>246</v>
      </c>
      <c r="W26" s="5" t="s">
        <v>250</v>
      </c>
      <c r="X26" s="5"/>
      <c r="Y26" s="7"/>
      <c r="Z26" s="7"/>
      <c r="AA26" s="7"/>
      <c r="AB26" s="7"/>
      <c r="AC26" s="7"/>
    </row>
    <row r="27" customFormat="false" ht="15" hidden="false" customHeight="false" outlineLevel="0" collapsed="false">
      <c r="A27" s="5" t="s">
        <v>251</v>
      </c>
      <c r="B27" s="5" t="s">
        <v>40</v>
      </c>
      <c r="C27" s="5" t="s">
        <v>252</v>
      </c>
      <c r="D27" s="5" t="s">
        <v>253</v>
      </c>
      <c r="E27" s="5" t="s">
        <v>43</v>
      </c>
      <c r="F27" s="5" t="s">
        <v>254</v>
      </c>
      <c r="G27" s="5"/>
      <c r="H27" s="5"/>
      <c r="I27" s="6" t="s">
        <v>45</v>
      </c>
      <c r="J27" s="5" t="s">
        <v>46</v>
      </c>
      <c r="K27" s="5" t="n">
        <f aca="false">COUNTIF(Probe_Pairs!$B:$B,A27)</f>
        <v>6</v>
      </c>
      <c r="L27" s="5" t="n">
        <f aca="false">COUNTIFS(Probe_Pairs!$B:$B,A27,Probe_Pairs!$S:$S,"Both halves")</f>
        <v>5</v>
      </c>
      <c r="M27" s="5" t="s">
        <v>137</v>
      </c>
      <c r="N27" s="5" t="s">
        <v>255</v>
      </c>
      <c r="O27" s="5" t="s">
        <v>47</v>
      </c>
      <c r="P27" s="5" t="s">
        <v>256</v>
      </c>
      <c r="Q27" s="5" t="s">
        <v>68</v>
      </c>
      <c r="R27" s="5" t="s">
        <v>254</v>
      </c>
      <c r="S27" s="5" t="n">
        <f aca="false">IF(R27="","",COUNTIFS(Probe_Pairs!$B:$B,A27,Probe_Pairs!$X:$X,"Both halves"))</f>
        <v>5</v>
      </c>
      <c r="T27" s="5" t="str">
        <f aca="false">IF(R27="","",IF(S27*2&gt;=K27,"High","Low"))</f>
        <v>High</v>
      </c>
      <c r="U27" s="5" t="s">
        <v>257</v>
      </c>
      <c r="V27" s="5" t="s">
        <v>258</v>
      </c>
      <c r="W27" s="5" t="s">
        <v>259</v>
      </c>
      <c r="X27" s="8" t="s">
        <v>235</v>
      </c>
      <c r="Y27" s="7"/>
      <c r="Z27" s="7"/>
      <c r="AA27" s="7"/>
      <c r="AB27" s="7"/>
      <c r="AC27" s="7"/>
    </row>
    <row r="28" customFormat="false" ht="15" hidden="false" customHeight="false" outlineLevel="0" collapsed="false">
      <c r="A28" s="5" t="s">
        <v>260</v>
      </c>
      <c r="B28" s="5" t="s">
        <v>40</v>
      </c>
      <c r="C28" s="5" t="s">
        <v>261</v>
      </c>
      <c r="D28" s="5" t="s">
        <v>262</v>
      </c>
      <c r="E28" s="5" t="s">
        <v>43</v>
      </c>
      <c r="F28" s="5" t="s">
        <v>263</v>
      </c>
      <c r="G28" s="5"/>
      <c r="H28" s="5"/>
      <c r="I28" s="6" t="s">
        <v>45</v>
      </c>
      <c r="J28" s="5" t="s">
        <v>46</v>
      </c>
      <c r="K28" s="5" t="n">
        <f aca="false">COUNTIF(Probe_Pairs!$B:$B,A28)</f>
        <v>10</v>
      </c>
      <c r="L28" s="5" t="n">
        <f aca="false">COUNTIFS(Probe_Pairs!$B:$B,A28,Probe_Pairs!$S:$S,"Both halves")</f>
        <v>10</v>
      </c>
      <c r="M28" s="5"/>
      <c r="N28" s="5" t="s">
        <v>261</v>
      </c>
      <c r="O28" s="5" t="s">
        <v>47</v>
      </c>
      <c r="P28" s="5" t="s">
        <v>264</v>
      </c>
      <c r="Q28" s="5" t="s">
        <v>68</v>
      </c>
      <c r="R28" s="5" t="s">
        <v>263</v>
      </c>
      <c r="S28" s="5" t="n">
        <f aca="false">IF(R28="","",COUNTIFS(Probe_Pairs!$B:$B,A28,Probe_Pairs!$X:$X,"Both halves"))</f>
        <v>7</v>
      </c>
      <c r="T28" s="5" t="str">
        <f aca="false">IF(R28="","",IF(S28*2&gt;=K28,"High","Low"))</f>
        <v>High</v>
      </c>
      <c r="U28" s="5" t="s">
        <v>265</v>
      </c>
      <c r="V28" s="5" t="s">
        <v>266</v>
      </c>
      <c r="W28" s="5" t="s">
        <v>267</v>
      </c>
      <c r="X28" s="5"/>
      <c r="Y28" s="7"/>
      <c r="Z28" s="7"/>
      <c r="AA28" s="7"/>
      <c r="AB28" s="7"/>
      <c r="AC28" s="7"/>
    </row>
    <row r="29" customFormat="false" ht="15" hidden="false" customHeight="false" outlineLevel="0" collapsed="false">
      <c r="A29" s="5" t="s">
        <v>268</v>
      </c>
      <c r="B29" s="5" t="s">
        <v>40</v>
      </c>
      <c r="C29" s="5" t="s">
        <v>269</v>
      </c>
      <c r="D29" s="5" t="s">
        <v>269</v>
      </c>
      <c r="E29" s="5" t="s">
        <v>43</v>
      </c>
      <c r="F29" s="5"/>
      <c r="G29" s="5"/>
      <c r="H29" s="5"/>
      <c r="I29" s="6" t="s">
        <v>45</v>
      </c>
      <c r="J29" s="5" t="s">
        <v>46</v>
      </c>
      <c r="K29" s="5" t="n">
        <f aca="false">COUNTIF(Probe_Pairs!$B:$B,A29)</f>
        <v>3</v>
      </c>
      <c r="L29" s="5" t="n">
        <f aca="false">COUNTIFS(Probe_Pairs!$B:$B,A29,Probe_Pairs!$S:$S,"Both halves")</f>
        <v>3</v>
      </c>
      <c r="M29" s="5"/>
      <c r="N29" s="5" t="s">
        <v>270</v>
      </c>
      <c r="O29" s="5" t="s">
        <v>47</v>
      </c>
      <c r="P29" s="5" t="s">
        <v>271</v>
      </c>
      <c r="Q29" s="5"/>
      <c r="R29" s="5"/>
      <c r="S29" s="5" t="str">
        <f aca="false">IF(R29="","",COUNTIFS(Probe_Pairs!$B:$B,A29,Probe_Pairs!$X:$X,"Both halves"))</f>
        <v/>
      </c>
      <c r="T29" s="5" t="str">
        <f aca="false">IF(R29="","",IF(S29*2&gt;=K29,"High","Low"))</f>
        <v/>
      </c>
      <c r="U29" s="5"/>
      <c r="V29" s="5"/>
      <c r="W29" s="5"/>
      <c r="X29" s="5"/>
      <c r="Y29" s="7"/>
      <c r="Z29" s="7"/>
      <c r="AA29" s="7"/>
      <c r="AB29" s="7"/>
      <c r="AC29" s="7"/>
    </row>
    <row r="30" customFormat="false" ht="15" hidden="false" customHeight="false" outlineLevel="0" collapsed="false">
      <c r="A30" s="5" t="s">
        <v>272</v>
      </c>
      <c r="B30" s="5" t="s">
        <v>40</v>
      </c>
      <c r="C30" s="5" t="s">
        <v>273</v>
      </c>
      <c r="D30" s="5" t="s">
        <v>274</v>
      </c>
      <c r="E30" s="5" t="s">
        <v>43</v>
      </c>
      <c r="F30" s="5" t="s">
        <v>275</v>
      </c>
      <c r="G30" s="5" t="s">
        <v>276</v>
      </c>
      <c r="H30" s="5"/>
      <c r="I30" s="6" t="s">
        <v>45</v>
      </c>
      <c r="J30" s="5" t="s">
        <v>46</v>
      </c>
      <c r="K30" s="5" t="n">
        <f aca="false">COUNTIF(Probe_Pairs!$B:$B,A30)</f>
        <v>6</v>
      </c>
      <c r="L30" s="5" t="n">
        <f aca="false">COUNTIFS(Probe_Pairs!$B:$B,A30,Probe_Pairs!$S:$S,"Both halves")</f>
        <v>6</v>
      </c>
      <c r="M30" s="5"/>
      <c r="N30" s="5" t="s">
        <v>273</v>
      </c>
      <c r="O30" s="5" t="s">
        <v>47</v>
      </c>
      <c r="P30" s="5" t="s">
        <v>277</v>
      </c>
      <c r="Q30" s="5" t="s">
        <v>49</v>
      </c>
      <c r="R30" s="5" t="s">
        <v>275</v>
      </c>
      <c r="S30" s="5" t="n">
        <f aca="false">IF(R30="","",COUNTIFS(Probe_Pairs!$B:$B,A30,Probe_Pairs!$X:$X,"Both halves"))</f>
        <v>6</v>
      </c>
      <c r="T30" s="5" t="str">
        <f aca="false">IF(R30="","",IF(S30*2&gt;=K30,"High","Low"))</f>
        <v>High</v>
      </c>
      <c r="U30" s="5" t="s">
        <v>274</v>
      </c>
      <c r="V30" s="5" t="s">
        <v>278</v>
      </c>
      <c r="W30" s="5" t="s">
        <v>279</v>
      </c>
      <c r="X30" s="5"/>
      <c r="Y30" s="7"/>
      <c r="Z30" s="7"/>
      <c r="AA30" s="7"/>
      <c r="AB30" s="7"/>
      <c r="AC30" s="7"/>
    </row>
    <row r="31" customFormat="false" ht="15" hidden="false" customHeight="false" outlineLevel="0" collapsed="false">
      <c r="A31" s="5" t="s">
        <v>280</v>
      </c>
      <c r="B31" s="5" t="s">
        <v>40</v>
      </c>
      <c r="C31" s="5" t="s">
        <v>281</v>
      </c>
      <c r="D31" s="5" t="s">
        <v>282</v>
      </c>
      <c r="E31" s="5" t="s">
        <v>43</v>
      </c>
      <c r="F31" s="5" t="s">
        <v>283</v>
      </c>
      <c r="G31" s="5" t="s">
        <v>284</v>
      </c>
      <c r="H31" s="5"/>
      <c r="I31" s="6" t="s">
        <v>45</v>
      </c>
      <c r="J31" s="5" t="s">
        <v>46</v>
      </c>
      <c r="K31" s="5" t="n">
        <f aca="false">COUNTIF(Probe_Pairs!$B:$B,A31)</f>
        <v>8</v>
      </c>
      <c r="L31" s="5" t="n">
        <f aca="false">COUNTIFS(Probe_Pairs!$B:$B,A31,Probe_Pairs!$S:$S,"Both halves")</f>
        <v>8</v>
      </c>
      <c r="M31" s="5"/>
      <c r="N31" s="5" t="s">
        <v>281</v>
      </c>
      <c r="O31" s="5" t="s">
        <v>47</v>
      </c>
      <c r="P31" s="5" t="s">
        <v>285</v>
      </c>
      <c r="Q31" s="5" t="s">
        <v>49</v>
      </c>
      <c r="R31" s="5" t="s">
        <v>283</v>
      </c>
      <c r="S31" s="5" t="n">
        <f aca="false">IF(R31="","",COUNTIFS(Probe_Pairs!$B:$B,A31,Probe_Pairs!$X:$X,"Both halves"))</f>
        <v>3</v>
      </c>
      <c r="T31" s="5" t="str">
        <f aca="false">IF(R31="","",IF(S31*2&gt;=K31,"High","Low"))</f>
        <v>Low</v>
      </c>
      <c r="U31" s="5" t="s">
        <v>286</v>
      </c>
      <c r="V31" s="5" t="s">
        <v>287</v>
      </c>
      <c r="W31" s="5" t="s">
        <v>288</v>
      </c>
      <c r="X31" s="8" t="s">
        <v>289</v>
      </c>
      <c r="Y31" s="7"/>
      <c r="Z31" s="7"/>
      <c r="AA31" s="7"/>
      <c r="AB31" s="7"/>
      <c r="AC31" s="7"/>
    </row>
    <row r="32" customFormat="false" ht="15" hidden="false" customHeight="false" outlineLevel="0" collapsed="false">
      <c r="A32" s="5" t="s">
        <v>290</v>
      </c>
      <c r="B32" s="5" t="s">
        <v>40</v>
      </c>
      <c r="C32" s="5" t="s">
        <v>291</v>
      </c>
      <c r="D32" s="5" t="s">
        <v>291</v>
      </c>
      <c r="E32" s="5" t="s">
        <v>43</v>
      </c>
      <c r="F32" s="5" t="s">
        <v>292</v>
      </c>
      <c r="G32" s="5"/>
      <c r="H32" s="5"/>
      <c r="I32" s="6" t="s">
        <v>45</v>
      </c>
      <c r="J32" s="5" t="s">
        <v>46</v>
      </c>
      <c r="K32" s="5" t="n">
        <f aca="false">COUNTIF(Probe_Pairs!$B:$B,A32)</f>
        <v>10</v>
      </c>
      <c r="L32" s="5" t="n">
        <f aca="false">COUNTIFS(Probe_Pairs!$B:$B,A32,Probe_Pairs!$S:$S,"Both halves")</f>
        <v>10</v>
      </c>
      <c r="M32" s="5"/>
      <c r="N32" s="5" t="s">
        <v>293</v>
      </c>
      <c r="O32" s="5" t="s">
        <v>47</v>
      </c>
      <c r="P32" s="5" t="s">
        <v>294</v>
      </c>
      <c r="Q32" s="5" t="s">
        <v>68</v>
      </c>
      <c r="R32" s="5" t="s">
        <v>292</v>
      </c>
      <c r="S32" s="5" t="n">
        <f aca="false">IF(R32="","",COUNTIFS(Probe_Pairs!$B:$B,A32,Probe_Pairs!$X:$X,"Both halves"))</f>
        <v>6</v>
      </c>
      <c r="T32" s="5" t="str">
        <f aca="false">IF(R32="","",IF(S32*2&gt;=K32,"High","Low"))</f>
        <v>High</v>
      </c>
      <c r="U32" s="5" t="s">
        <v>295</v>
      </c>
      <c r="V32" s="5" t="s">
        <v>295</v>
      </c>
      <c r="W32" s="5" t="s">
        <v>296</v>
      </c>
      <c r="X32" s="8" t="s">
        <v>235</v>
      </c>
      <c r="Y32" s="7"/>
      <c r="Z32" s="7"/>
      <c r="AA32" s="7"/>
      <c r="AB32" s="7"/>
      <c r="AC32" s="7"/>
    </row>
    <row r="33" customFormat="false" ht="15" hidden="false" customHeight="false" outlineLevel="0" collapsed="false">
      <c r="A33" s="5" t="s">
        <v>297</v>
      </c>
      <c r="B33" s="5" t="s">
        <v>40</v>
      </c>
      <c r="C33" s="5" t="s">
        <v>298</v>
      </c>
      <c r="D33" s="5" t="s">
        <v>299</v>
      </c>
      <c r="E33" s="5" t="s">
        <v>43</v>
      </c>
      <c r="F33" s="5" t="s">
        <v>300</v>
      </c>
      <c r="G33" s="5" t="s">
        <v>301</v>
      </c>
      <c r="H33" s="5"/>
      <c r="I33" s="6" t="s">
        <v>45</v>
      </c>
      <c r="J33" s="5" t="s">
        <v>46</v>
      </c>
      <c r="K33" s="5" t="n">
        <f aca="false">COUNTIF(Probe_Pairs!$B:$B,A33)</f>
        <v>6</v>
      </c>
      <c r="L33" s="5" t="n">
        <f aca="false">COUNTIFS(Probe_Pairs!$B:$B,A33,Probe_Pairs!$S:$S,"Both halves")</f>
        <v>6</v>
      </c>
      <c r="M33" s="5"/>
      <c r="N33" s="5" t="s">
        <v>298</v>
      </c>
      <c r="O33" s="5" t="s">
        <v>47</v>
      </c>
      <c r="P33" s="5" t="s">
        <v>302</v>
      </c>
      <c r="Q33" s="5" t="s">
        <v>49</v>
      </c>
      <c r="R33" s="5" t="s">
        <v>300</v>
      </c>
      <c r="S33" s="5" t="n">
        <f aca="false">IF(R33="","",COUNTIFS(Probe_Pairs!$B:$B,A33,Probe_Pairs!$X:$X,"Both halves"))</f>
        <v>6</v>
      </c>
      <c r="T33" s="5" t="str">
        <f aca="false">IF(R33="","",IF(S33*2&gt;=K33,"High","Low"))</f>
        <v>High</v>
      </c>
      <c r="U33" s="5" t="s">
        <v>299</v>
      </c>
      <c r="V33" s="5" t="s">
        <v>299</v>
      </c>
      <c r="W33" s="5" t="s">
        <v>303</v>
      </c>
      <c r="X33" s="5"/>
      <c r="Y33" s="7"/>
      <c r="Z33" s="7"/>
      <c r="AA33" s="7"/>
      <c r="AB33" s="7"/>
      <c r="AC33" s="7"/>
    </row>
    <row r="34" customFormat="false" ht="15" hidden="false" customHeight="false" outlineLevel="0" collapsed="false">
      <c r="A34" s="5" t="s">
        <v>304</v>
      </c>
      <c r="B34" s="5" t="s">
        <v>40</v>
      </c>
      <c r="C34" s="5" t="s">
        <v>305</v>
      </c>
      <c r="D34" s="5" t="s">
        <v>306</v>
      </c>
      <c r="E34" s="5" t="s">
        <v>43</v>
      </c>
      <c r="F34" s="5" t="s">
        <v>307</v>
      </c>
      <c r="G34" s="5" t="s">
        <v>308</v>
      </c>
      <c r="H34" s="5"/>
      <c r="I34" s="6" t="s">
        <v>45</v>
      </c>
      <c r="J34" s="5" t="s">
        <v>46</v>
      </c>
      <c r="K34" s="5" t="n">
        <f aca="false">COUNTIF(Probe_Pairs!$B:$B,A34)</f>
        <v>6</v>
      </c>
      <c r="L34" s="5" t="n">
        <f aca="false">COUNTIFS(Probe_Pairs!$B:$B,A34,Probe_Pairs!$S:$S,"Both halves")</f>
        <v>6</v>
      </c>
      <c r="M34" s="5"/>
      <c r="N34" s="5" t="s">
        <v>305</v>
      </c>
      <c r="O34" s="5" t="s">
        <v>47</v>
      </c>
      <c r="P34" s="5" t="s">
        <v>309</v>
      </c>
      <c r="Q34" s="5" t="s">
        <v>49</v>
      </c>
      <c r="R34" s="5" t="s">
        <v>307</v>
      </c>
      <c r="S34" s="5" t="n">
        <f aca="false">IF(R34="","",COUNTIFS(Probe_Pairs!$B:$B,A34,Probe_Pairs!$X:$X,"Both halves"))</f>
        <v>6</v>
      </c>
      <c r="T34" s="5" t="str">
        <f aca="false">IF(R34="","",IF(S34*2&gt;=K34,"High","Low"))</f>
        <v>High</v>
      </c>
      <c r="U34" s="5" t="s">
        <v>306</v>
      </c>
      <c r="V34" s="5" t="s">
        <v>310</v>
      </c>
      <c r="W34" s="5" t="s">
        <v>311</v>
      </c>
      <c r="X34" s="5"/>
      <c r="Y34" s="7"/>
      <c r="Z34" s="7"/>
      <c r="AA34" s="7"/>
      <c r="AB34" s="7"/>
      <c r="AC34" s="7"/>
    </row>
    <row r="35" customFormat="false" ht="15" hidden="false" customHeight="false" outlineLevel="0" collapsed="false">
      <c r="A35" s="5" t="s">
        <v>312</v>
      </c>
      <c r="B35" s="5" t="s">
        <v>40</v>
      </c>
      <c r="C35" s="5" t="s">
        <v>313</v>
      </c>
      <c r="D35" s="5" t="s">
        <v>314</v>
      </c>
      <c r="E35" s="5" t="s">
        <v>43</v>
      </c>
      <c r="F35" s="5" t="s">
        <v>315</v>
      </c>
      <c r="G35" s="5"/>
      <c r="H35" s="5" t="s">
        <v>316</v>
      </c>
      <c r="I35" s="6" t="s">
        <v>45</v>
      </c>
      <c r="J35" s="5" t="s">
        <v>46</v>
      </c>
      <c r="K35" s="5" t="n">
        <f aca="false">COUNTIF(Probe_Pairs!$B:$B,A35)</f>
        <v>5</v>
      </c>
      <c r="L35" s="5" t="n">
        <f aca="false">COUNTIFS(Probe_Pairs!$B:$B,A35,Probe_Pairs!$S:$S,"Both halves")</f>
        <v>5</v>
      </c>
      <c r="M35" s="5" t="s">
        <v>137</v>
      </c>
      <c r="N35" s="5" t="s">
        <v>317</v>
      </c>
      <c r="O35" s="5" t="s">
        <v>47</v>
      </c>
      <c r="P35" s="5" t="s">
        <v>318</v>
      </c>
      <c r="Q35" s="5" t="s">
        <v>68</v>
      </c>
      <c r="R35" s="5" t="s">
        <v>315</v>
      </c>
      <c r="S35" s="5" t="n">
        <f aca="false">IF(R35="","",COUNTIFS(Probe_Pairs!$B:$B,A35,Probe_Pairs!$X:$X,"Both halves"))</f>
        <v>5</v>
      </c>
      <c r="T35" s="5" t="str">
        <f aca="false">IF(R35="","",IF(S35*2&gt;=K35,"High","Low"))</f>
        <v>High</v>
      </c>
      <c r="U35" s="5" t="s">
        <v>314</v>
      </c>
      <c r="V35" s="5" t="s">
        <v>314</v>
      </c>
      <c r="W35" s="5" t="s">
        <v>319</v>
      </c>
      <c r="X35" s="5"/>
      <c r="Y35" s="7"/>
      <c r="Z35" s="7"/>
      <c r="AA35" s="7"/>
      <c r="AB35" s="7"/>
      <c r="AC35" s="7"/>
    </row>
    <row r="36" customFormat="false" ht="15" hidden="false" customHeight="false" outlineLevel="0" collapsed="false">
      <c r="A36" s="5" t="s">
        <v>320</v>
      </c>
      <c r="B36" s="5" t="s">
        <v>40</v>
      </c>
      <c r="C36" s="5" t="s">
        <v>321</v>
      </c>
      <c r="D36" s="5"/>
      <c r="E36" s="5" t="s">
        <v>43</v>
      </c>
      <c r="F36" s="5"/>
      <c r="G36" s="5"/>
      <c r="H36" s="5"/>
      <c r="I36" s="6" t="s">
        <v>45</v>
      </c>
      <c r="J36" s="5" t="s">
        <v>46</v>
      </c>
      <c r="K36" s="5" t="n">
        <f aca="false">COUNTIF(Probe_Pairs!$B:$B,A36)</f>
        <v>1</v>
      </c>
      <c r="L36" s="5" t="n">
        <f aca="false">COUNTIFS(Probe_Pairs!$B:$B,A36,Probe_Pairs!$S:$S,"Both halves")</f>
        <v>1</v>
      </c>
      <c r="M36" s="5"/>
      <c r="N36" s="5" t="s">
        <v>322</v>
      </c>
      <c r="O36" s="5" t="s">
        <v>47</v>
      </c>
      <c r="P36" s="5" t="s">
        <v>323</v>
      </c>
      <c r="Q36" s="5"/>
      <c r="R36" s="5"/>
      <c r="S36" s="5" t="str">
        <f aca="false">IF(R36="","",COUNTIFS(Probe_Pairs!$B:$B,A36,Probe_Pairs!$X:$X,"Both halves"))</f>
        <v/>
      </c>
      <c r="T36" s="5" t="str">
        <f aca="false">IF(R36="","",IF(S36*2&gt;=K36,"High","Low"))</f>
        <v/>
      </c>
      <c r="U36" s="5"/>
      <c r="V36" s="5"/>
      <c r="W36" s="5"/>
      <c r="X36" s="8" t="s">
        <v>235</v>
      </c>
      <c r="Y36" s="7"/>
      <c r="Z36" s="7"/>
      <c r="AA36" s="7"/>
      <c r="AB36" s="7"/>
      <c r="AC36" s="7"/>
    </row>
    <row r="37" customFormat="false" ht="15" hidden="false" customHeight="false" outlineLevel="0" collapsed="false">
      <c r="A37" s="5" t="s">
        <v>324</v>
      </c>
      <c r="B37" s="5" t="s">
        <v>40</v>
      </c>
      <c r="C37" s="5" t="s">
        <v>325</v>
      </c>
      <c r="D37" s="5" t="s">
        <v>326</v>
      </c>
      <c r="E37" s="5" t="s">
        <v>43</v>
      </c>
      <c r="F37" s="5" t="s">
        <v>327</v>
      </c>
      <c r="G37" s="5" t="s">
        <v>328</v>
      </c>
      <c r="H37" s="5"/>
      <c r="I37" s="6" t="s">
        <v>45</v>
      </c>
      <c r="J37" s="5" t="s">
        <v>46</v>
      </c>
      <c r="K37" s="5" t="n">
        <f aca="false">COUNTIF(Probe_Pairs!$B:$B,A37)</f>
        <v>6</v>
      </c>
      <c r="L37" s="5" t="n">
        <f aca="false">COUNTIFS(Probe_Pairs!$B:$B,A37,Probe_Pairs!$S:$S,"Both halves")</f>
        <v>6</v>
      </c>
      <c r="M37" s="5"/>
      <c r="N37" s="5" t="s">
        <v>325</v>
      </c>
      <c r="O37" s="5" t="s">
        <v>47</v>
      </c>
      <c r="P37" s="5" t="s">
        <v>329</v>
      </c>
      <c r="Q37" s="5" t="s">
        <v>49</v>
      </c>
      <c r="R37" s="5" t="s">
        <v>327</v>
      </c>
      <c r="S37" s="5" t="n">
        <f aca="false">IF(R37="","",COUNTIFS(Probe_Pairs!$B:$B,A37,Probe_Pairs!$X:$X,"Both halves"))</f>
        <v>6</v>
      </c>
      <c r="T37" s="5" t="str">
        <f aca="false">IF(R37="","",IF(S37*2&gt;=K37,"High","Low"))</f>
        <v>High</v>
      </c>
      <c r="U37" s="5" t="s">
        <v>326</v>
      </c>
      <c r="V37" s="5" t="s">
        <v>330</v>
      </c>
      <c r="W37" s="5" t="s">
        <v>331</v>
      </c>
      <c r="X37" s="5"/>
      <c r="Y37" s="7"/>
      <c r="Z37" s="7"/>
      <c r="AA37" s="7"/>
      <c r="AB37" s="7"/>
      <c r="AC37" s="7"/>
    </row>
    <row r="38" customFormat="false" ht="15" hidden="false" customHeight="false" outlineLevel="0" collapsed="false">
      <c r="A38" s="5" t="s">
        <v>332</v>
      </c>
      <c r="B38" s="5" t="s">
        <v>40</v>
      </c>
      <c r="C38" s="5" t="s">
        <v>333</v>
      </c>
      <c r="D38" s="5" t="s">
        <v>334</v>
      </c>
      <c r="E38" s="5" t="s">
        <v>43</v>
      </c>
      <c r="F38" s="5" t="s">
        <v>335</v>
      </c>
      <c r="G38" s="5" t="s">
        <v>336</v>
      </c>
      <c r="H38" s="5"/>
      <c r="I38" s="6" t="s">
        <v>45</v>
      </c>
      <c r="J38" s="5" t="s">
        <v>46</v>
      </c>
      <c r="K38" s="5" t="n">
        <f aca="false">COUNTIF(Probe_Pairs!$B:$B,A38)</f>
        <v>10</v>
      </c>
      <c r="L38" s="5" t="n">
        <f aca="false">COUNTIFS(Probe_Pairs!$B:$B,A38,Probe_Pairs!$S:$S,"Both halves")</f>
        <v>10</v>
      </c>
      <c r="M38" s="5"/>
      <c r="N38" s="5" t="s">
        <v>333</v>
      </c>
      <c r="O38" s="5" t="s">
        <v>154</v>
      </c>
      <c r="P38" s="5" t="s">
        <v>337</v>
      </c>
      <c r="Q38" s="5" t="s">
        <v>49</v>
      </c>
      <c r="R38" s="5" t="s">
        <v>335</v>
      </c>
      <c r="S38" s="5" t="n">
        <f aca="false">IF(R38="","",COUNTIFS(Probe_Pairs!$B:$B,A38,Probe_Pairs!$X:$X,"Both halves"))</f>
        <v>10</v>
      </c>
      <c r="T38" s="5" t="str">
        <f aca="false">IF(R38="","",IF(S38*2&gt;=K38,"High","Low"))</f>
        <v>High</v>
      </c>
      <c r="U38" s="5" t="s">
        <v>334</v>
      </c>
      <c r="V38" s="5" t="s">
        <v>338</v>
      </c>
      <c r="W38" s="5" t="s">
        <v>339</v>
      </c>
      <c r="X38" s="5"/>
      <c r="Y38" s="7"/>
      <c r="Z38" s="7"/>
      <c r="AA38" s="7"/>
      <c r="AB38" s="7"/>
      <c r="AC38" s="7"/>
    </row>
    <row r="39" customFormat="false" ht="15" hidden="false" customHeight="false" outlineLevel="0" collapsed="false">
      <c r="A39" s="5" t="s">
        <v>340</v>
      </c>
      <c r="B39" s="5" t="s">
        <v>40</v>
      </c>
      <c r="C39" s="5" t="s">
        <v>341</v>
      </c>
      <c r="D39" s="5" t="s">
        <v>342</v>
      </c>
      <c r="E39" s="5" t="s">
        <v>43</v>
      </c>
      <c r="F39" s="5" t="s">
        <v>343</v>
      </c>
      <c r="G39" s="5" t="s">
        <v>344</v>
      </c>
      <c r="H39" s="5"/>
      <c r="I39" s="6" t="s">
        <v>45</v>
      </c>
      <c r="J39" s="5" t="s">
        <v>46</v>
      </c>
      <c r="K39" s="5" t="n">
        <f aca="false">COUNTIF(Probe_Pairs!$B:$B,A39)</f>
        <v>6</v>
      </c>
      <c r="L39" s="5" t="n">
        <f aca="false">COUNTIFS(Probe_Pairs!$B:$B,A39,Probe_Pairs!$S:$S,"Both halves")</f>
        <v>6</v>
      </c>
      <c r="M39" s="5"/>
      <c r="N39" s="5" t="s">
        <v>341</v>
      </c>
      <c r="O39" s="5" t="s">
        <v>47</v>
      </c>
      <c r="P39" s="5" t="s">
        <v>345</v>
      </c>
      <c r="Q39" s="5" t="s">
        <v>49</v>
      </c>
      <c r="R39" s="5" t="s">
        <v>343</v>
      </c>
      <c r="S39" s="5" t="n">
        <f aca="false">IF(R39="","",COUNTIFS(Probe_Pairs!$B:$B,A39,Probe_Pairs!$X:$X,"Both halves"))</f>
        <v>6</v>
      </c>
      <c r="T39" s="5" t="str">
        <f aca="false">IF(R39="","",IF(S39*2&gt;=K39,"High","Low"))</f>
        <v>High</v>
      </c>
      <c r="U39" s="5" t="s">
        <v>346</v>
      </c>
      <c r="V39" s="5" t="s">
        <v>346</v>
      </c>
      <c r="W39" s="5" t="s">
        <v>347</v>
      </c>
      <c r="X39" s="5"/>
      <c r="Y39" s="7"/>
      <c r="Z39" s="7"/>
      <c r="AA39" s="7"/>
      <c r="AB39" s="7"/>
      <c r="AC39" s="7"/>
    </row>
    <row r="40" customFormat="false" ht="15" hidden="false" customHeight="false" outlineLevel="0" collapsed="false">
      <c r="A40" s="5" t="s">
        <v>348</v>
      </c>
      <c r="B40" s="5" t="s">
        <v>40</v>
      </c>
      <c r="C40" s="5" t="s">
        <v>349</v>
      </c>
      <c r="D40" s="5" t="s">
        <v>350</v>
      </c>
      <c r="E40" s="5" t="s">
        <v>43</v>
      </c>
      <c r="F40" s="5" t="s">
        <v>351</v>
      </c>
      <c r="G40" s="5"/>
      <c r="H40" s="5"/>
      <c r="I40" s="6" t="s">
        <v>45</v>
      </c>
      <c r="J40" s="5" t="s">
        <v>46</v>
      </c>
      <c r="K40" s="5" t="n">
        <f aca="false">COUNTIF(Probe_Pairs!$B:$B,A40)</f>
        <v>6</v>
      </c>
      <c r="L40" s="5" t="n">
        <f aca="false">COUNTIFS(Probe_Pairs!$B:$B,A40,Probe_Pairs!$S:$S,"Both halves")</f>
        <v>6</v>
      </c>
      <c r="M40" s="5"/>
      <c r="N40" s="5" t="s">
        <v>349</v>
      </c>
      <c r="O40" s="5" t="s">
        <v>47</v>
      </c>
      <c r="P40" s="5" t="s">
        <v>352</v>
      </c>
      <c r="Q40" s="5" t="s">
        <v>49</v>
      </c>
      <c r="R40" s="5" t="s">
        <v>351</v>
      </c>
      <c r="S40" s="5" t="n">
        <f aca="false">IF(R40="","",COUNTIFS(Probe_Pairs!$B:$B,A40,Probe_Pairs!$X:$X,"Both halves"))</f>
        <v>6</v>
      </c>
      <c r="T40" s="5" t="str">
        <f aca="false">IF(R40="","",IF(S40*2&gt;=K40,"High","Low"))</f>
        <v>High</v>
      </c>
      <c r="U40" s="5" t="s">
        <v>353</v>
      </c>
      <c r="V40" s="5" t="s">
        <v>350</v>
      </c>
      <c r="W40" s="5" t="s">
        <v>354</v>
      </c>
      <c r="X40" s="5"/>
      <c r="Y40" s="7"/>
      <c r="Z40" s="7"/>
      <c r="AA40" s="7"/>
      <c r="AB40" s="7"/>
      <c r="AC40" s="7"/>
    </row>
    <row r="41" customFormat="false" ht="15" hidden="false" customHeight="false" outlineLevel="0" collapsed="false">
      <c r="A41" s="5" t="s">
        <v>355</v>
      </c>
      <c r="B41" s="5" t="s">
        <v>40</v>
      </c>
      <c r="C41" s="5" t="s">
        <v>356</v>
      </c>
      <c r="D41" s="5" t="s">
        <v>357</v>
      </c>
      <c r="E41" s="5" t="s">
        <v>43</v>
      </c>
      <c r="F41" s="5" t="s">
        <v>358</v>
      </c>
      <c r="G41" s="5"/>
      <c r="H41" s="5"/>
      <c r="I41" s="6" t="s">
        <v>45</v>
      </c>
      <c r="J41" s="5" t="s">
        <v>46</v>
      </c>
      <c r="K41" s="5" t="n">
        <f aca="false">COUNTIF(Probe_Pairs!$B:$B,A41)</f>
        <v>6</v>
      </c>
      <c r="L41" s="5" t="n">
        <f aca="false">COUNTIFS(Probe_Pairs!$B:$B,A41,Probe_Pairs!$S:$S,"Both halves")</f>
        <v>6</v>
      </c>
      <c r="M41" s="5"/>
      <c r="N41" s="5" t="s">
        <v>356</v>
      </c>
      <c r="O41" s="5" t="s">
        <v>47</v>
      </c>
      <c r="P41" s="5" t="s">
        <v>359</v>
      </c>
      <c r="Q41" s="5" t="s">
        <v>49</v>
      </c>
      <c r="R41" s="5" t="s">
        <v>358</v>
      </c>
      <c r="S41" s="5" t="n">
        <f aca="false">IF(R41="","",COUNTIFS(Probe_Pairs!$B:$B,A41,Probe_Pairs!$X:$X,"Both halves"))</f>
        <v>6</v>
      </c>
      <c r="T41" s="5" t="str">
        <f aca="false">IF(R41="","",IF(S41*2&gt;=K41,"High","Low"))</f>
        <v>High</v>
      </c>
      <c r="U41" s="5" t="s">
        <v>360</v>
      </c>
      <c r="V41" s="5" t="s">
        <v>361</v>
      </c>
      <c r="W41" s="5" t="s">
        <v>362</v>
      </c>
      <c r="X41" s="5"/>
      <c r="Y41" s="7"/>
      <c r="Z41" s="7"/>
      <c r="AA41" s="7"/>
      <c r="AB41" s="7"/>
      <c r="AC41" s="7"/>
    </row>
    <row r="42" customFormat="false" ht="15" hidden="false" customHeight="false" outlineLevel="0" collapsed="false">
      <c r="A42" s="5" t="s">
        <v>363</v>
      </c>
      <c r="B42" s="5" t="s">
        <v>40</v>
      </c>
      <c r="C42" s="5" t="s">
        <v>364</v>
      </c>
      <c r="D42" s="5" t="s">
        <v>365</v>
      </c>
      <c r="E42" s="5" t="s">
        <v>43</v>
      </c>
      <c r="F42" s="5" t="s">
        <v>366</v>
      </c>
      <c r="G42" s="5"/>
      <c r="H42" s="5"/>
      <c r="I42" s="6" t="s">
        <v>45</v>
      </c>
      <c r="J42" s="5" t="s">
        <v>46</v>
      </c>
      <c r="K42" s="5" t="n">
        <f aca="false">COUNTIF(Probe_Pairs!$B:$B,A42)</f>
        <v>6</v>
      </c>
      <c r="L42" s="5" t="n">
        <f aca="false">COUNTIFS(Probe_Pairs!$B:$B,A42,Probe_Pairs!$S:$S,"Both halves")</f>
        <v>6</v>
      </c>
      <c r="M42" s="5"/>
      <c r="N42" s="5" t="s">
        <v>364</v>
      </c>
      <c r="O42" s="5" t="s">
        <v>47</v>
      </c>
      <c r="P42" s="5" t="s">
        <v>367</v>
      </c>
      <c r="Q42" s="5" t="s">
        <v>49</v>
      </c>
      <c r="R42" s="5" t="s">
        <v>366</v>
      </c>
      <c r="S42" s="5" t="n">
        <f aca="false">IF(R42="","",COUNTIFS(Probe_Pairs!$B:$B,A42,Probe_Pairs!$X:$X,"Both halves"))</f>
        <v>6</v>
      </c>
      <c r="T42" s="5" t="str">
        <f aca="false">IF(R42="","",IF(S42*2&gt;=K42,"High","Low"))</f>
        <v>High</v>
      </c>
      <c r="U42" s="5" t="s">
        <v>365</v>
      </c>
      <c r="V42" s="5" t="s">
        <v>368</v>
      </c>
      <c r="W42" s="5" t="s">
        <v>369</v>
      </c>
      <c r="X42" s="5"/>
      <c r="Y42" s="7"/>
      <c r="Z42" s="7"/>
      <c r="AA42" s="7"/>
      <c r="AB42" s="7"/>
      <c r="AC42" s="7"/>
    </row>
    <row r="43" customFormat="false" ht="15" hidden="false" customHeight="false" outlineLevel="0" collapsed="false">
      <c r="A43" s="5" t="s">
        <v>370</v>
      </c>
      <c r="B43" s="5" t="s">
        <v>40</v>
      </c>
      <c r="C43" s="5" t="s">
        <v>371</v>
      </c>
      <c r="D43" s="5" t="s">
        <v>372</v>
      </c>
      <c r="E43" s="5" t="s">
        <v>43</v>
      </c>
      <c r="F43" s="5" t="s">
        <v>373</v>
      </c>
      <c r="G43" s="5"/>
      <c r="H43" s="5" t="s">
        <v>374</v>
      </c>
      <c r="I43" s="6" t="s">
        <v>45</v>
      </c>
      <c r="J43" s="5" t="s">
        <v>46</v>
      </c>
      <c r="K43" s="5" t="n">
        <f aca="false">COUNTIF(Probe_Pairs!$B:$B,A43)</f>
        <v>10</v>
      </c>
      <c r="L43" s="5" t="n">
        <f aca="false">COUNTIFS(Probe_Pairs!$B:$B,A43,Probe_Pairs!$S:$S,"Both halves")</f>
        <v>10</v>
      </c>
      <c r="M43" s="5" t="s">
        <v>375</v>
      </c>
      <c r="N43" s="5" t="s">
        <v>371</v>
      </c>
      <c r="O43" s="5" t="s">
        <v>47</v>
      </c>
      <c r="P43" s="5" t="s">
        <v>376</v>
      </c>
      <c r="Q43" s="5" t="s">
        <v>68</v>
      </c>
      <c r="R43" s="5" t="s">
        <v>373</v>
      </c>
      <c r="S43" s="5" t="n">
        <f aca="false">IF(R43="","",COUNTIFS(Probe_Pairs!$B:$B,A43,Probe_Pairs!$X:$X,"Both halves"))</f>
        <v>6</v>
      </c>
      <c r="T43" s="5" t="str">
        <f aca="false">IF(R43="","",IF(S43*2&gt;=K43,"High","Low"))</f>
        <v>High</v>
      </c>
      <c r="U43" s="5" t="s">
        <v>377</v>
      </c>
      <c r="V43" s="5" t="s">
        <v>377</v>
      </c>
      <c r="W43" s="5" t="s">
        <v>378</v>
      </c>
      <c r="X43" s="5"/>
      <c r="Y43" s="7"/>
      <c r="Z43" s="7"/>
      <c r="AA43" s="7"/>
      <c r="AB43" s="7"/>
      <c r="AC43" s="7"/>
    </row>
    <row r="44" customFormat="false" ht="15" hidden="false" customHeight="false" outlineLevel="0" collapsed="false">
      <c r="A44" s="5" t="s">
        <v>379</v>
      </c>
      <c r="B44" s="5" t="s">
        <v>40</v>
      </c>
      <c r="C44" s="5" t="s">
        <v>380</v>
      </c>
      <c r="D44" s="5" t="s">
        <v>381</v>
      </c>
      <c r="E44" s="5" t="s">
        <v>43</v>
      </c>
      <c r="F44" s="5" t="s">
        <v>382</v>
      </c>
      <c r="G44" s="5"/>
      <c r="H44" s="5"/>
      <c r="I44" s="6" t="s">
        <v>45</v>
      </c>
      <c r="J44" s="5" t="s">
        <v>46</v>
      </c>
      <c r="K44" s="5" t="n">
        <f aca="false">COUNTIF(Probe_Pairs!$B:$B,A44)</f>
        <v>23</v>
      </c>
      <c r="L44" s="5" t="n">
        <f aca="false">COUNTIFS(Probe_Pairs!$B:$B,A44,Probe_Pairs!$S:$S,"Both halves")</f>
        <v>16</v>
      </c>
      <c r="M44" s="5" t="s">
        <v>66</v>
      </c>
      <c r="N44" s="5" t="s">
        <v>383</v>
      </c>
      <c r="O44" s="5" t="s">
        <v>384</v>
      </c>
      <c r="P44" s="5" t="s">
        <v>385</v>
      </c>
      <c r="Q44" s="5" t="s">
        <v>68</v>
      </c>
      <c r="R44" s="5" t="s">
        <v>382</v>
      </c>
      <c r="S44" s="5" t="n">
        <f aca="false">IF(R44="","",COUNTIFS(Probe_Pairs!$B:$B,A44,Probe_Pairs!$X:$X,"Both halves"))</f>
        <v>17</v>
      </c>
      <c r="T44" s="5" t="str">
        <f aca="false">IF(R44="","",IF(S44*2&gt;=K44,"High","Low"))</f>
        <v>High</v>
      </c>
      <c r="U44" s="5" t="s">
        <v>386</v>
      </c>
      <c r="V44" s="5" t="s">
        <v>387</v>
      </c>
      <c r="W44" s="5" t="s">
        <v>388</v>
      </c>
      <c r="X44" s="8" t="s">
        <v>389</v>
      </c>
      <c r="Y44" s="7"/>
      <c r="Z44" s="7"/>
      <c r="AA44" s="7"/>
      <c r="AB44" s="7"/>
      <c r="AC44" s="7"/>
    </row>
    <row r="45" customFormat="false" ht="15" hidden="false" customHeight="false" outlineLevel="0" collapsed="false">
      <c r="A45" s="5" t="s">
        <v>390</v>
      </c>
      <c r="B45" s="5" t="s">
        <v>40</v>
      </c>
      <c r="C45" s="5" t="s">
        <v>391</v>
      </c>
      <c r="D45" s="5" t="s">
        <v>392</v>
      </c>
      <c r="E45" s="5" t="s">
        <v>43</v>
      </c>
      <c r="F45" s="5" t="s">
        <v>393</v>
      </c>
      <c r="G45" s="5"/>
      <c r="H45" s="5"/>
      <c r="I45" s="6" t="s">
        <v>45</v>
      </c>
      <c r="J45" s="5" t="s">
        <v>46</v>
      </c>
      <c r="K45" s="5" t="n">
        <f aca="false">COUNTIF(Probe_Pairs!$B:$B,A45)</f>
        <v>10</v>
      </c>
      <c r="L45" s="5" t="n">
        <f aca="false">COUNTIFS(Probe_Pairs!$B:$B,A45,Probe_Pairs!$S:$S,"Both halves")</f>
        <v>10</v>
      </c>
      <c r="M45" s="5"/>
      <c r="N45" s="5" t="s">
        <v>394</v>
      </c>
      <c r="O45" s="5" t="s">
        <v>395</v>
      </c>
      <c r="P45" s="5" t="s">
        <v>396</v>
      </c>
      <c r="Q45" s="5" t="s">
        <v>49</v>
      </c>
      <c r="R45" s="5" t="s">
        <v>393</v>
      </c>
      <c r="S45" s="5" t="n">
        <f aca="false">IF(R45="","",COUNTIFS(Probe_Pairs!$B:$B,A45,Probe_Pairs!$X:$X,"Both halves"))</f>
        <v>10</v>
      </c>
      <c r="T45" s="5" t="str">
        <f aca="false">IF(R45="","",IF(S45*2&gt;=K45,"High","Low"))</f>
        <v>High</v>
      </c>
      <c r="U45" s="5" t="s">
        <v>397</v>
      </c>
      <c r="V45" s="5" t="s">
        <v>398</v>
      </c>
      <c r="W45" s="5" t="s">
        <v>399</v>
      </c>
      <c r="X45" s="5"/>
      <c r="Y45" s="7"/>
      <c r="Z45" s="7"/>
      <c r="AA45" s="7"/>
      <c r="AB45" s="7"/>
      <c r="AC45" s="7"/>
    </row>
    <row r="46" customFormat="false" ht="15" hidden="false" customHeight="false" outlineLevel="0" collapsed="false">
      <c r="A46" s="5" t="s">
        <v>400</v>
      </c>
      <c r="B46" s="5" t="s">
        <v>40</v>
      </c>
      <c r="C46" s="5" t="s">
        <v>401</v>
      </c>
      <c r="D46" s="5" t="s">
        <v>402</v>
      </c>
      <c r="E46" s="5" t="s">
        <v>43</v>
      </c>
      <c r="F46" s="5" t="s">
        <v>403</v>
      </c>
      <c r="G46" s="5" t="s">
        <v>404</v>
      </c>
      <c r="H46" s="5"/>
      <c r="I46" s="6" t="s">
        <v>45</v>
      </c>
      <c r="J46" s="5" t="s">
        <v>46</v>
      </c>
      <c r="K46" s="5" t="n">
        <f aca="false">COUNTIF(Probe_Pairs!$B:$B,A46)</f>
        <v>6</v>
      </c>
      <c r="L46" s="5" t="n">
        <f aca="false">COUNTIFS(Probe_Pairs!$B:$B,A46,Probe_Pairs!$S:$S,"Both halves")</f>
        <v>6</v>
      </c>
      <c r="M46" s="5"/>
      <c r="N46" s="5" t="s">
        <v>401</v>
      </c>
      <c r="O46" s="5" t="s">
        <v>47</v>
      </c>
      <c r="P46" s="5" t="s">
        <v>405</v>
      </c>
      <c r="Q46" s="5" t="s">
        <v>49</v>
      </c>
      <c r="R46" s="5" t="s">
        <v>403</v>
      </c>
      <c r="S46" s="5" t="n">
        <f aca="false">IF(R46="","",COUNTIFS(Probe_Pairs!$B:$B,A46,Probe_Pairs!$X:$X,"Both halves"))</f>
        <v>6</v>
      </c>
      <c r="T46" s="5" t="str">
        <f aca="false">IF(R46="","",IF(S46*2&gt;=K46,"High","Low"))</f>
        <v>High</v>
      </c>
      <c r="U46" s="5" t="s">
        <v>402</v>
      </c>
      <c r="V46" s="5" t="s">
        <v>406</v>
      </c>
      <c r="W46" s="5" t="s">
        <v>407</v>
      </c>
      <c r="X46" s="5"/>
      <c r="Y46" s="7"/>
      <c r="Z46" s="7"/>
      <c r="AA46" s="7"/>
      <c r="AB46" s="7"/>
      <c r="AC46" s="7"/>
    </row>
    <row r="47" customFormat="false" ht="15" hidden="false" customHeight="false" outlineLevel="0" collapsed="false">
      <c r="A47" s="5" t="s">
        <v>408</v>
      </c>
      <c r="B47" s="5" t="s">
        <v>40</v>
      </c>
      <c r="C47" s="5" t="s">
        <v>409</v>
      </c>
      <c r="D47" s="5" t="s">
        <v>410</v>
      </c>
      <c r="E47" s="5" t="s">
        <v>43</v>
      </c>
      <c r="F47" s="5" t="s">
        <v>411</v>
      </c>
      <c r="G47" s="5"/>
      <c r="H47" s="5"/>
      <c r="I47" s="6" t="s">
        <v>45</v>
      </c>
      <c r="J47" s="5" t="s">
        <v>46</v>
      </c>
      <c r="K47" s="5" t="n">
        <f aca="false">COUNTIF(Probe_Pairs!$B:$B,A47)</f>
        <v>3</v>
      </c>
      <c r="L47" s="5" t="n">
        <f aca="false">COUNTIFS(Probe_Pairs!$B:$B,A47,Probe_Pairs!$S:$S,"Both halves")</f>
        <v>3</v>
      </c>
      <c r="M47" s="5"/>
      <c r="N47" s="5" t="s">
        <v>409</v>
      </c>
      <c r="O47" s="5" t="s">
        <v>47</v>
      </c>
      <c r="P47" s="5" t="s">
        <v>412</v>
      </c>
      <c r="Q47" s="5" t="s">
        <v>49</v>
      </c>
      <c r="R47" s="5" t="s">
        <v>411</v>
      </c>
      <c r="S47" s="5" t="n">
        <f aca="false">IF(R47="","",COUNTIFS(Probe_Pairs!$B:$B,A47,Probe_Pairs!$X:$X,"Both halves"))</f>
        <v>3</v>
      </c>
      <c r="T47" s="5" t="str">
        <f aca="false">IF(R47="","",IF(S47*2&gt;=K47,"High","Low"))</f>
        <v>High</v>
      </c>
      <c r="U47" s="5" t="s">
        <v>410</v>
      </c>
      <c r="V47" s="5" t="s">
        <v>410</v>
      </c>
      <c r="W47" s="5" t="s">
        <v>413</v>
      </c>
      <c r="X47" s="5"/>
      <c r="Y47" s="7"/>
      <c r="Z47" s="7"/>
      <c r="AA47" s="7"/>
      <c r="AB47" s="7"/>
      <c r="AC47" s="7"/>
    </row>
    <row r="48" customFormat="false" ht="15" hidden="false" customHeight="false" outlineLevel="0" collapsed="false">
      <c r="A48" s="5" t="s">
        <v>414</v>
      </c>
      <c r="B48" s="5" t="s">
        <v>40</v>
      </c>
      <c r="C48" s="5" t="s">
        <v>415</v>
      </c>
      <c r="D48" s="5" t="s">
        <v>416</v>
      </c>
      <c r="E48" s="5" t="s">
        <v>43</v>
      </c>
      <c r="F48" s="5" t="s">
        <v>417</v>
      </c>
      <c r="G48" s="5" t="s">
        <v>418</v>
      </c>
      <c r="H48" s="5"/>
      <c r="I48" s="6" t="s">
        <v>45</v>
      </c>
      <c r="J48" s="5" t="s">
        <v>46</v>
      </c>
      <c r="K48" s="5" t="n">
        <f aca="false">COUNTIF(Probe_Pairs!$B:$B,A48)</f>
        <v>5</v>
      </c>
      <c r="L48" s="5" t="n">
        <f aca="false">COUNTIFS(Probe_Pairs!$B:$B,A48,Probe_Pairs!$S:$S,"Both halves")</f>
        <v>5</v>
      </c>
      <c r="M48" s="5"/>
      <c r="N48" s="5" t="s">
        <v>419</v>
      </c>
      <c r="O48" s="5" t="s">
        <v>154</v>
      </c>
      <c r="P48" s="5" t="s">
        <v>420</v>
      </c>
      <c r="Q48" s="5" t="s">
        <v>49</v>
      </c>
      <c r="R48" s="5" t="s">
        <v>417</v>
      </c>
      <c r="S48" s="5" t="n">
        <f aca="false">IF(R48="","",COUNTIFS(Probe_Pairs!$B:$B,A48,Probe_Pairs!$X:$X,"Both halves"))</f>
        <v>5</v>
      </c>
      <c r="T48" s="5" t="str">
        <f aca="false">IF(R48="","",IF(S48*2&gt;=K48,"High","Low"))</f>
        <v>High</v>
      </c>
      <c r="U48" s="5" t="s">
        <v>421</v>
      </c>
      <c r="V48" s="5" t="s">
        <v>422</v>
      </c>
      <c r="W48" s="5" t="s">
        <v>423</v>
      </c>
      <c r="X48" s="5"/>
      <c r="Y48" s="7"/>
      <c r="Z48" s="7"/>
      <c r="AA48" s="7"/>
      <c r="AB48" s="7"/>
      <c r="AC48" s="7"/>
    </row>
    <row r="49" customFormat="false" ht="15" hidden="false" customHeight="false" outlineLevel="0" collapsed="false">
      <c r="A49" s="5" t="s">
        <v>424</v>
      </c>
      <c r="B49" s="5" t="s">
        <v>40</v>
      </c>
      <c r="C49" s="5" t="s">
        <v>425</v>
      </c>
      <c r="D49" s="5" t="s">
        <v>426</v>
      </c>
      <c r="E49" s="5" t="s">
        <v>43</v>
      </c>
      <c r="F49" s="5" t="s">
        <v>427</v>
      </c>
      <c r="G49" s="5" t="s">
        <v>428</v>
      </c>
      <c r="H49" s="5"/>
      <c r="I49" s="6" t="s">
        <v>45</v>
      </c>
      <c r="J49" s="5" t="s">
        <v>46</v>
      </c>
      <c r="K49" s="5" t="n">
        <f aca="false">COUNTIF(Probe_Pairs!$B:$B,A49)</f>
        <v>5</v>
      </c>
      <c r="L49" s="5" t="n">
        <f aca="false">COUNTIFS(Probe_Pairs!$B:$B,A49,Probe_Pairs!$S:$S,"Both halves")</f>
        <v>5</v>
      </c>
      <c r="M49" s="5"/>
      <c r="N49" s="5" t="s">
        <v>429</v>
      </c>
      <c r="O49" s="5" t="s">
        <v>154</v>
      </c>
      <c r="P49" s="5" t="s">
        <v>430</v>
      </c>
      <c r="Q49" s="5" t="s">
        <v>49</v>
      </c>
      <c r="R49" s="5" t="s">
        <v>427</v>
      </c>
      <c r="S49" s="5" t="n">
        <f aca="false">IF(R49="","",COUNTIFS(Probe_Pairs!$B:$B,A49,Probe_Pairs!$X:$X,"Both halves"))</f>
        <v>5</v>
      </c>
      <c r="T49" s="5" t="str">
        <f aca="false">IF(R49="","",IF(S49*2&gt;=K49,"High","Low"))</f>
        <v>High</v>
      </c>
      <c r="U49" s="5" t="s">
        <v>426</v>
      </c>
      <c r="V49" s="5" t="s">
        <v>431</v>
      </c>
      <c r="W49" s="5" t="s">
        <v>432</v>
      </c>
      <c r="X49" s="5"/>
      <c r="Y49" s="7"/>
      <c r="Z49" s="7"/>
      <c r="AA49" s="7"/>
      <c r="AB49" s="7"/>
      <c r="AC49" s="7"/>
    </row>
    <row r="50" customFormat="false" ht="15" hidden="false" customHeight="false" outlineLevel="0" collapsed="false">
      <c r="A50" s="5" t="s">
        <v>433</v>
      </c>
      <c r="B50" s="5" t="s">
        <v>40</v>
      </c>
      <c r="C50" s="5" t="s">
        <v>434</v>
      </c>
      <c r="D50" s="5" t="s">
        <v>435</v>
      </c>
      <c r="E50" s="5" t="s">
        <v>43</v>
      </c>
      <c r="F50" s="5" t="s">
        <v>436</v>
      </c>
      <c r="G50" s="5" t="s">
        <v>437</v>
      </c>
      <c r="H50" s="5"/>
      <c r="I50" s="6" t="s">
        <v>45</v>
      </c>
      <c r="J50" s="5" t="s">
        <v>46</v>
      </c>
      <c r="K50" s="5" t="n">
        <f aca="false">COUNTIF(Probe_Pairs!$B:$B,A50)</f>
        <v>4</v>
      </c>
      <c r="L50" s="5" t="n">
        <f aca="false">COUNTIFS(Probe_Pairs!$B:$B,A50,Probe_Pairs!$S:$S,"Both halves")</f>
        <v>4</v>
      </c>
      <c r="M50" s="5" t="s">
        <v>438</v>
      </c>
      <c r="N50" s="5" t="s">
        <v>434</v>
      </c>
      <c r="O50" s="5" t="s">
        <v>154</v>
      </c>
      <c r="P50" s="5" t="s">
        <v>439</v>
      </c>
      <c r="Q50" s="5" t="s">
        <v>49</v>
      </c>
      <c r="R50" s="5" t="s">
        <v>436</v>
      </c>
      <c r="S50" s="5" t="n">
        <f aca="false">IF(R50="","",COUNTIFS(Probe_Pairs!$B:$B,A50,Probe_Pairs!$X:$X,"Both halves"))</f>
        <v>4</v>
      </c>
      <c r="T50" s="5" t="str">
        <f aca="false">IF(R50="","",IF(S50*2&gt;=K50,"High","Low"))</f>
        <v>High</v>
      </c>
      <c r="U50" s="5" t="s">
        <v>435</v>
      </c>
      <c r="V50" s="5" t="s">
        <v>440</v>
      </c>
      <c r="W50" s="5" t="s">
        <v>441</v>
      </c>
      <c r="X50" s="5"/>
      <c r="Y50" s="7"/>
      <c r="Z50" s="7"/>
      <c r="AA50" s="7"/>
      <c r="AB50" s="7"/>
      <c r="AC50" s="7"/>
    </row>
    <row r="51" customFormat="false" ht="15" hidden="false" customHeight="false" outlineLevel="0" collapsed="false">
      <c r="A51" s="5" t="s">
        <v>442</v>
      </c>
      <c r="B51" s="5" t="s">
        <v>40</v>
      </c>
      <c r="C51" s="5" t="s">
        <v>443</v>
      </c>
      <c r="D51" s="5" t="s">
        <v>444</v>
      </c>
      <c r="E51" s="5" t="s">
        <v>43</v>
      </c>
      <c r="F51" s="5" t="s">
        <v>445</v>
      </c>
      <c r="G51" s="5"/>
      <c r="H51" s="5"/>
      <c r="I51" s="6" t="s">
        <v>45</v>
      </c>
      <c r="J51" s="5" t="s">
        <v>46</v>
      </c>
      <c r="K51" s="5" t="n">
        <f aca="false">COUNTIF(Probe_Pairs!$B:$B,A51)</f>
        <v>3</v>
      </c>
      <c r="L51" s="5" t="n">
        <f aca="false">COUNTIFS(Probe_Pairs!$B:$B,A51,Probe_Pairs!$S:$S,"Both halves")</f>
        <v>3</v>
      </c>
      <c r="M51" s="5"/>
      <c r="N51" s="5" t="s">
        <v>446</v>
      </c>
      <c r="O51" s="5" t="s">
        <v>47</v>
      </c>
      <c r="P51" s="5" t="s">
        <v>447</v>
      </c>
      <c r="Q51" s="5" t="s">
        <v>49</v>
      </c>
      <c r="R51" s="5" t="s">
        <v>445</v>
      </c>
      <c r="S51" s="5" t="n">
        <f aca="false">IF(R51="","",COUNTIFS(Probe_Pairs!$B:$B,A51,Probe_Pairs!$X:$X,"Both halves"))</f>
        <v>3</v>
      </c>
      <c r="T51" s="5" t="str">
        <f aca="false">IF(R51="","",IF(S51*2&gt;=K51,"High","Low"))</f>
        <v>High</v>
      </c>
      <c r="U51" s="5" t="s">
        <v>444</v>
      </c>
      <c r="V51" s="5" t="s">
        <v>444</v>
      </c>
      <c r="W51" s="5" t="s">
        <v>448</v>
      </c>
      <c r="X51" s="5"/>
      <c r="Y51" s="7"/>
      <c r="Z51" s="7"/>
      <c r="AA51" s="7"/>
      <c r="AB51" s="7"/>
      <c r="AC51" s="7"/>
    </row>
    <row r="52" customFormat="false" ht="15" hidden="false" customHeight="false" outlineLevel="0" collapsed="false">
      <c r="A52" s="5" t="s">
        <v>449</v>
      </c>
      <c r="B52" s="5" t="s">
        <v>40</v>
      </c>
      <c r="C52" s="5" t="s">
        <v>450</v>
      </c>
      <c r="D52" s="5" t="s">
        <v>450</v>
      </c>
      <c r="E52" s="5" t="s">
        <v>43</v>
      </c>
      <c r="F52" s="5" t="s">
        <v>451</v>
      </c>
      <c r="G52" s="5"/>
      <c r="H52" s="5"/>
      <c r="I52" s="6" t="s">
        <v>45</v>
      </c>
      <c r="J52" s="5" t="s">
        <v>46</v>
      </c>
      <c r="K52" s="5" t="n">
        <f aca="false">COUNTIF(Probe_Pairs!$B:$B,A52)</f>
        <v>8</v>
      </c>
      <c r="L52" s="5" t="n">
        <f aca="false">COUNTIFS(Probe_Pairs!$B:$B,A52,Probe_Pairs!$S:$S,"Both halves")</f>
        <v>8</v>
      </c>
      <c r="M52" s="5"/>
      <c r="N52" s="5" t="s">
        <v>452</v>
      </c>
      <c r="O52" s="5" t="s">
        <v>453</v>
      </c>
      <c r="P52" s="5" t="s">
        <v>454</v>
      </c>
      <c r="Q52" s="5" t="s">
        <v>68</v>
      </c>
      <c r="R52" s="5" t="s">
        <v>451</v>
      </c>
      <c r="S52" s="5" t="n">
        <f aca="false">IF(R52="","",COUNTIFS(Probe_Pairs!$B:$B,A52,Probe_Pairs!$X:$X,"Both halves"))</f>
        <v>3</v>
      </c>
      <c r="T52" s="5" t="str">
        <f aca="false">IF(R52="","",IF(S52*2&gt;=K52,"High","Low"))</f>
        <v>Low</v>
      </c>
      <c r="U52" s="5" t="s">
        <v>455</v>
      </c>
      <c r="V52" s="5" t="s">
        <v>456</v>
      </c>
      <c r="W52" s="5" t="s">
        <v>457</v>
      </c>
      <c r="X52" s="8" t="s">
        <v>289</v>
      </c>
      <c r="Y52" s="7"/>
      <c r="Z52" s="7"/>
      <c r="AA52" s="7"/>
      <c r="AB52" s="7"/>
      <c r="AC52" s="7"/>
    </row>
    <row r="53" customFormat="false" ht="15" hidden="false" customHeight="false" outlineLevel="0" collapsed="false">
      <c r="A53" s="5" t="s">
        <v>458</v>
      </c>
      <c r="B53" s="5" t="s">
        <v>40</v>
      </c>
      <c r="C53" s="5" t="s">
        <v>459</v>
      </c>
      <c r="D53" s="5" t="s">
        <v>460</v>
      </c>
      <c r="E53" s="5" t="s">
        <v>43</v>
      </c>
      <c r="F53" s="5" t="s">
        <v>461</v>
      </c>
      <c r="G53" s="5"/>
      <c r="H53" s="5"/>
      <c r="I53" s="6" t="s">
        <v>45</v>
      </c>
      <c r="J53" s="5" t="s">
        <v>46</v>
      </c>
      <c r="K53" s="5" t="n">
        <f aca="false">COUNTIF(Probe_Pairs!$B:$B,A53)</f>
        <v>8</v>
      </c>
      <c r="L53" s="5" t="n">
        <f aca="false">COUNTIFS(Probe_Pairs!$B:$B,A53,Probe_Pairs!$S:$S,"Both halves")</f>
        <v>8</v>
      </c>
      <c r="M53" s="5"/>
      <c r="N53" s="5" t="s">
        <v>459</v>
      </c>
      <c r="O53" s="5" t="s">
        <v>453</v>
      </c>
      <c r="P53" s="5" t="s">
        <v>462</v>
      </c>
      <c r="Q53" s="5" t="s">
        <v>68</v>
      </c>
      <c r="R53" s="5" t="s">
        <v>461</v>
      </c>
      <c r="S53" s="5" t="n">
        <f aca="false">IF(R53="","",COUNTIFS(Probe_Pairs!$B:$B,A53,Probe_Pairs!$X:$X,"Both halves"))</f>
        <v>4</v>
      </c>
      <c r="T53" s="5" t="str">
        <f aca="false">IF(R53="","",IF(S53*2&gt;=K53,"High","Low"))</f>
        <v>High</v>
      </c>
      <c r="U53" s="5" t="s">
        <v>463</v>
      </c>
      <c r="V53" s="5" t="s">
        <v>464</v>
      </c>
      <c r="W53" s="5" t="s">
        <v>465</v>
      </c>
      <c r="X53" s="5"/>
      <c r="Y53" s="7"/>
      <c r="Z53" s="7"/>
      <c r="AA53" s="7"/>
      <c r="AB53" s="7"/>
      <c r="AC53" s="7"/>
    </row>
    <row r="54" customFormat="false" ht="15" hidden="false" customHeight="false" outlineLevel="0" collapsed="false">
      <c r="A54" s="5" t="s">
        <v>466</v>
      </c>
      <c r="B54" s="5" t="s">
        <v>40</v>
      </c>
      <c r="C54" s="5" t="s">
        <v>467</v>
      </c>
      <c r="D54" s="5" t="s">
        <v>468</v>
      </c>
      <c r="E54" s="5" t="s">
        <v>43</v>
      </c>
      <c r="F54" s="5" t="s">
        <v>469</v>
      </c>
      <c r="G54" s="5" t="s">
        <v>470</v>
      </c>
      <c r="H54" s="5"/>
      <c r="I54" s="6" t="s">
        <v>45</v>
      </c>
      <c r="J54" s="5" t="s">
        <v>46</v>
      </c>
      <c r="K54" s="5" t="n">
        <f aca="false">COUNTIF(Probe_Pairs!$B:$B,A54)</f>
        <v>6</v>
      </c>
      <c r="L54" s="5" t="n">
        <f aca="false">COUNTIFS(Probe_Pairs!$B:$B,A54,Probe_Pairs!$S:$S,"Both halves")</f>
        <v>6</v>
      </c>
      <c r="M54" s="5"/>
      <c r="N54" s="5" t="s">
        <v>467</v>
      </c>
      <c r="O54" s="5" t="s">
        <v>47</v>
      </c>
      <c r="P54" s="5" t="s">
        <v>471</v>
      </c>
      <c r="Q54" s="5" t="s">
        <v>49</v>
      </c>
      <c r="R54" s="5" t="s">
        <v>469</v>
      </c>
      <c r="S54" s="5" t="n">
        <f aca="false">IF(R54="","",COUNTIFS(Probe_Pairs!$B:$B,A54,Probe_Pairs!$X:$X,"Both halves"))</f>
        <v>6</v>
      </c>
      <c r="T54" s="5" t="str">
        <f aca="false">IF(R54="","",IF(S54*2&gt;=K54,"High","Low"))</f>
        <v>High</v>
      </c>
      <c r="U54" s="5" t="s">
        <v>468</v>
      </c>
      <c r="V54" s="5" t="s">
        <v>472</v>
      </c>
      <c r="W54" s="5" t="s">
        <v>473</v>
      </c>
      <c r="X54" s="5"/>
      <c r="Y54" s="7"/>
      <c r="Z54" s="7"/>
      <c r="AA54" s="7"/>
      <c r="AB54" s="7"/>
      <c r="AC54" s="7"/>
    </row>
    <row r="55" customFormat="false" ht="15" hidden="false" customHeight="false" outlineLevel="0" collapsed="false">
      <c r="A55" s="5" t="s">
        <v>474</v>
      </c>
      <c r="B55" s="5" t="s">
        <v>40</v>
      </c>
      <c r="C55" s="5" t="s">
        <v>475</v>
      </c>
      <c r="D55" s="5" t="s">
        <v>475</v>
      </c>
      <c r="E55" s="5" t="s">
        <v>43</v>
      </c>
      <c r="F55" s="5" t="s">
        <v>476</v>
      </c>
      <c r="G55" s="5"/>
      <c r="H55" s="5"/>
      <c r="I55" s="6" t="s">
        <v>45</v>
      </c>
      <c r="J55" s="5" t="s">
        <v>46</v>
      </c>
      <c r="K55" s="5" t="n">
        <f aca="false">COUNTIF(Probe_Pairs!$B:$B,A55)</f>
        <v>21</v>
      </c>
      <c r="L55" s="5" t="n">
        <f aca="false">COUNTIFS(Probe_Pairs!$B:$B,A55,Probe_Pairs!$S:$S,"Both halves")</f>
        <v>21</v>
      </c>
      <c r="M55" s="5"/>
      <c r="N55" s="5" t="s">
        <v>475</v>
      </c>
      <c r="O55" s="5" t="s">
        <v>477</v>
      </c>
      <c r="P55" s="5" t="s">
        <v>478</v>
      </c>
      <c r="Q55" s="5" t="s">
        <v>68</v>
      </c>
      <c r="R55" s="5" t="s">
        <v>476</v>
      </c>
      <c r="S55" s="5" t="n">
        <f aca="false">IF(R55="","",COUNTIFS(Probe_Pairs!$B:$B,A55,Probe_Pairs!$X:$X,"Both halves"))</f>
        <v>12</v>
      </c>
      <c r="T55" s="5" t="str">
        <f aca="false">IF(R55="","",IF(S55*2&gt;=K55,"High","Low"))</f>
        <v>High</v>
      </c>
      <c r="U55" s="5" t="s">
        <v>479</v>
      </c>
      <c r="V55" s="5" t="s">
        <v>480</v>
      </c>
      <c r="W55" s="5" t="s">
        <v>481</v>
      </c>
      <c r="X55" s="5"/>
      <c r="Y55" s="7"/>
      <c r="Z55" s="7"/>
      <c r="AA55" s="7"/>
      <c r="AB55" s="7"/>
      <c r="AC55" s="7"/>
    </row>
    <row r="56" customFormat="false" ht="15" hidden="false" customHeight="false" outlineLevel="0" collapsed="false">
      <c r="A56" s="5" t="s">
        <v>482</v>
      </c>
      <c r="B56" s="5" t="s">
        <v>40</v>
      </c>
      <c r="C56" s="5" t="s">
        <v>483</v>
      </c>
      <c r="D56" s="5" t="s">
        <v>484</v>
      </c>
      <c r="E56" s="5" t="s">
        <v>43</v>
      </c>
      <c r="F56" s="5" t="s">
        <v>485</v>
      </c>
      <c r="G56" s="5" t="s">
        <v>486</v>
      </c>
      <c r="H56" s="5"/>
      <c r="I56" s="6" t="s">
        <v>45</v>
      </c>
      <c r="J56" s="5" t="s">
        <v>46</v>
      </c>
      <c r="K56" s="5" t="n">
        <f aca="false">COUNTIF(Probe_Pairs!$B:$B,A56)</f>
        <v>6</v>
      </c>
      <c r="L56" s="5" t="n">
        <f aca="false">COUNTIFS(Probe_Pairs!$B:$B,A56,Probe_Pairs!$S:$S,"Both halves")</f>
        <v>6</v>
      </c>
      <c r="M56" s="5"/>
      <c r="N56" s="5" t="s">
        <v>483</v>
      </c>
      <c r="O56" s="5" t="s">
        <v>47</v>
      </c>
      <c r="P56" s="5" t="s">
        <v>487</v>
      </c>
      <c r="Q56" s="5" t="s">
        <v>49</v>
      </c>
      <c r="R56" s="5" t="s">
        <v>485</v>
      </c>
      <c r="S56" s="5" t="n">
        <f aca="false">IF(R56="","",COUNTIFS(Probe_Pairs!$B:$B,A56,Probe_Pairs!$X:$X,"Both halves"))</f>
        <v>6</v>
      </c>
      <c r="T56" s="5" t="str">
        <f aca="false">IF(R56="","",IF(S56*2&gt;=K56,"High","Low"))</f>
        <v>High</v>
      </c>
      <c r="U56" s="5" t="s">
        <v>484</v>
      </c>
      <c r="V56" s="5" t="s">
        <v>484</v>
      </c>
      <c r="W56" s="5" t="s">
        <v>488</v>
      </c>
      <c r="X56" s="5"/>
      <c r="Y56" s="7"/>
      <c r="Z56" s="7"/>
      <c r="AA56" s="7"/>
      <c r="AB56" s="7"/>
      <c r="AC56" s="7"/>
    </row>
    <row r="57" customFormat="false" ht="15" hidden="false" customHeight="false" outlineLevel="0" collapsed="false">
      <c r="A57" s="5" t="s">
        <v>489</v>
      </c>
      <c r="B57" s="5" t="s">
        <v>40</v>
      </c>
      <c r="C57" s="5" t="s">
        <v>490</v>
      </c>
      <c r="D57" s="5" t="s">
        <v>490</v>
      </c>
      <c r="E57" s="5" t="s">
        <v>43</v>
      </c>
      <c r="F57" s="5" t="s">
        <v>491</v>
      </c>
      <c r="G57" s="5" t="s">
        <v>492</v>
      </c>
      <c r="H57" s="5"/>
      <c r="I57" s="6" t="s">
        <v>45</v>
      </c>
      <c r="J57" s="5" t="s">
        <v>46</v>
      </c>
      <c r="K57" s="5" t="n">
        <f aca="false">COUNTIF(Probe_Pairs!$B:$B,A57)</f>
        <v>8</v>
      </c>
      <c r="L57" s="5" t="n">
        <f aca="false">COUNTIFS(Probe_Pairs!$B:$B,A57,Probe_Pairs!$S:$S,"Both halves")</f>
        <v>8</v>
      </c>
      <c r="M57" s="5"/>
      <c r="N57" s="5" t="s">
        <v>490</v>
      </c>
      <c r="O57" s="5" t="s">
        <v>154</v>
      </c>
      <c r="P57" s="5" t="s">
        <v>493</v>
      </c>
      <c r="Q57" s="5" t="s">
        <v>49</v>
      </c>
      <c r="R57" s="5" t="s">
        <v>491</v>
      </c>
      <c r="S57" s="5" t="n">
        <f aca="false">IF(R57="","",COUNTIFS(Probe_Pairs!$B:$B,A57,Probe_Pairs!$X:$X,"Both halves"))</f>
        <v>8</v>
      </c>
      <c r="T57" s="5" t="str">
        <f aca="false">IF(R57="","",IF(S57*2&gt;=K57,"High","Low"))</f>
        <v>High</v>
      </c>
      <c r="U57" s="5" t="s">
        <v>490</v>
      </c>
      <c r="V57" s="5" t="s">
        <v>490</v>
      </c>
      <c r="W57" s="5" t="s">
        <v>494</v>
      </c>
      <c r="X57" s="5"/>
      <c r="Y57" s="7"/>
      <c r="Z57" s="7"/>
      <c r="AA57" s="7"/>
      <c r="AB57" s="7"/>
      <c r="AC57" s="7"/>
    </row>
    <row r="58" customFormat="false" ht="15" hidden="false" customHeight="false" outlineLevel="0" collapsed="false">
      <c r="A58" s="5" t="s">
        <v>495</v>
      </c>
      <c r="B58" s="5" t="s">
        <v>40</v>
      </c>
      <c r="C58" s="5" t="s">
        <v>496</v>
      </c>
      <c r="D58" s="5" t="s">
        <v>497</v>
      </c>
      <c r="E58" s="5" t="s">
        <v>43</v>
      </c>
      <c r="F58" s="5" t="s">
        <v>498</v>
      </c>
      <c r="G58" s="5"/>
      <c r="H58" s="5"/>
      <c r="I58" s="6" t="s">
        <v>45</v>
      </c>
      <c r="J58" s="5" t="s">
        <v>46</v>
      </c>
      <c r="K58" s="5" t="n">
        <f aca="false">COUNTIF(Probe_Pairs!$B:$B,A58)</f>
        <v>20</v>
      </c>
      <c r="L58" s="5" t="n">
        <f aca="false">COUNTIFS(Probe_Pairs!$B:$B,A58,Probe_Pairs!$S:$S,"Both halves")</f>
        <v>20</v>
      </c>
      <c r="M58" s="5"/>
      <c r="N58" s="5" t="s">
        <v>499</v>
      </c>
      <c r="O58" s="5" t="s">
        <v>500</v>
      </c>
      <c r="P58" s="5" t="s">
        <v>501</v>
      </c>
      <c r="Q58" s="5" t="s">
        <v>49</v>
      </c>
      <c r="R58" s="5" t="s">
        <v>498</v>
      </c>
      <c r="S58" s="5" t="n">
        <f aca="false">IF(R58="","",COUNTIFS(Probe_Pairs!$B:$B,A58,Probe_Pairs!$X:$X,"Both halves"))</f>
        <v>20</v>
      </c>
      <c r="T58" s="5" t="str">
        <f aca="false">IF(R58="","",IF(S58*2&gt;=K58,"High","Low"))</f>
        <v>High</v>
      </c>
      <c r="U58" s="5" t="s">
        <v>502</v>
      </c>
      <c r="V58" s="5" t="s">
        <v>503</v>
      </c>
      <c r="W58" s="5" t="s">
        <v>504</v>
      </c>
      <c r="X58" s="5"/>
      <c r="Y58" s="7"/>
      <c r="Z58" s="7"/>
      <c r="AA58" s="7"/>
      <c r="AB58" s="7"/>
      <c r="AC58" s="7"/>
    </row>
    <row r="59" customFormat="false" ht="15" hidden="false" customHeight="false" outlineLevel="0" collapsed="false">
      <c r="A59" s="5" t="s">
        <v>505</v>
      </c>
      <c r="B59" s="5" t="s">
        <v>40</v>
      </c>
      <c r="C59" s="5" t="s">
        <v>506</v>
      </c>
      <c r="D59" s="5" t="s">
        <v>507</v>
      </c>
      <c r="E59" s="5" t="s">
        <v>43</v>
      </c>
      <c r="F59" s="5" t="s">
        <v>508</v>
      </c>
      <c r="G59" s="5" t="s">
        <v>509</v>
      </c>
      <c r="H59" s="5"/>
      <c r="I59" s="6" t="s">
        <v>45</v>
      </c>
      <c r="J59" s="5" t="s">
        <v>46</v>
      </c>
      <c r="K59" s="5" t="n">
        <f aca="false">COUNTIF(Probe_Pairs!$B:$B,A59)</f>
        <v>30</v>
      </c>
      <c r="L59" s="5" t="n">
        <f aca="false">COUNTIFS(Probe_Pairs!$B:$B,A59,Probe_Pairs!$S:$S,"Both halves")</f>
        <v>30</v>
      </c>
      <c r="M59" s="5"/>
      <c r="N59" s="5" t="s">
        <v>506</v>
      </c>
      <c r="O59" s="5" t="s">
        <v>510</v>
      </c>
      <c r="P59" s="5" t="s">
        <v>511</v>
      </c>
      <c r="Q59" s="5" t="s">
        <v>49</v>
      </c>
      <c r="R59" s="5" t="s">
        <v>508</v>
      </c>
      <c r="S59" s="5" t="n">
        <f aca="false">IF(R59="","",COUNTIFS(Probe_Pairs!$B:$B,A59,Probe_Pairs!$X:$X,"Both halves"))</f>
        <v>30</v>
      </c>
      <c r="T59" s="5" t="str">
        <f aca="false">IF(R59="","",IF(S59*2&gt;=K59,"High","Low"))</f>
        <v>High</v>
      </c>
      <c r="U59" s="5" t="s">
        <v>512</v>
      </c>
      <c r="V59" s="5" t="s">
        <v>513</v>
      </c>
      <c r="W59" s="5" t="s">
        <v>514</v>
      </c>
      <c r="X59" s="5"/>
      <c r="Y59" s="7"/>
      <c r="Z59" s="7"/>
      <c r="AA59" s="7"/>
      <c r="AB59" s="7"/>
      <c r="AC59" s="7"/>
    </row>
    <row r="60" customFormat="false" ht="15" hidden="false" customHeight="false" outlineLevel="0" collapsed="false">
      <c r="A60" s="5" t="s">
        <v>515</v>
      </c>
      <c r="B60" s="5" t="s">
        <v>40</v>
      </c>
      <c r="C60" s="5" t="s">
        <v>516</v>
      </c>
      <c r="D60" s="5" t="s">
        <v>517</v>
      </c>
      <c r="E60" s="5" t="s">
        <v>43</v>
      </c>
      <c r="F60" s="5" t="s">
        <v>518</v>
      </c>
      <c r="G60" s="5"/>
      <c r="H60" s="5" t="s">
        <v>519</v>
      </c>
      <c r="I60" s="6" t="s">
        <v>45</v>
      </c>
      <c r="J60" s="5" t="s">
        <v>46</v>
      </c>
      <c r="K60" s="5" t="n">
        <f aca="false">COUNTIF(Probe_Pairs!$B:$B,A60)</f>
        <v>8</v>
      </c>
      <c r="L60" s="5" t="n">
        <f aca="false">COUNTIFS(Probe_Pairs!$B:$B,A60,Probe_Pairs!$S:$S,"Both halves")</f>
        <v>8</v>
      </c>
      <c r="M60" s="5"/>
      <c r="N60" s="5" t="s">
        <v>520</v>
      </c>
      <c r="O60" s="5" t="s">
        <v>47</v>
      </c>
      <c r="P60" s="5" t="s">
        <v>521</v>
      </c>
      <c r="Q60" s="5" t="s">
        <v>68</v>
      </c>
      <c r="R60" s="5" t="s">
        <v>518</v>
      </c>
      <c r="S60" s="5" t="n">
        <f aca="false">IF(R60="","",COUNTIFS(Probe_Pairs!$B:$B,A60,Probe_Pairs!$X:$X,"Both halves"))</f>
        <v>4</v>
      </c>
      <c r="T60" s="5" t="str">
        <f aca="false">IF(R60="","",IF(S60*2&gt;=K60,"High","Low"))</f>
        <v>High</v>
      </c>
      <c r="U60" s="5" t="s">
        <v>522</v>
      </c>
      <c r="V60" s="5" t="s">
        <v>523</v>
      </c>
      <c r="W60" s="5" t="s">
        <v>524</v>
      </c>
      <c r="X60" s="5"/>
      <c r="Y60" s="7"/>
      <c r="Z60" s="7"/>
      <c r="AA60" s="7"/>
      <c r="AB60" s="7"/>
      <c r="AC60" s="7"/>
    </row>
    <row r="61" customFormat="false" ht="15" hidden="false" customHeight="false" outlineLevel="0" collapsed="false">
      <c r="A61" s="5" t="s">
        <v>525</v>
      </c>
      <c r="B61" s="5" t="s">
        <v>40</v>
      </c>
      <c r="C61" s="5" t="s">
        <v>526</v>
      </c>
      <c r="D61" s="5" t="s">
        <v>526</v>
      </c>
      <c r="E61" s="5" t="s">
        <v>43</v>
      </c>
      <c r="F61" s="5" t="s">
        <v>527</v>
      </c>
      <c r="G61" s="5"/>
      <c r="H61" s="5"/>
      <c r="I61" s="6" t="s">
        <v>45</v>
      </c>
      <c r="J61" s="5" t="s">
        <v>46</v>
      </c>
      <c r="K61" s="5" t="n">
        <f aca="false">COUNTIF(Probe_Pairs!$B:$B,A61)</f>
        <v>6</v>
      </c>
      <c r="L61" s="5" t="n">
        <f aca="false">COUNTIFS(Probe_Pairs!$B:$B,A61,Probe_Pairs!$S:$S,"Both halves")</f>
        <v>6</v>
      </c>
      <c r="M61" s="5"/>
      <c r="N61" s="5" t="s">
        <v>526</v>
      </c>
      <c r="O61" s="5" t="s">
        <v>47</v>
      </c>
      <c r="P61" s="5" t="s">
        <v>528</v>
      </c>
      <c r="Q61" s="5" t="s">
        <v>68</v>
      </c>
      <c r="R61" s="5" t="s">
        <v>527</v>
      </c>
      <c r="S61" s="5" t="n">
        <f aca="false">IF(R61="","",COUNTIFS(Probe_Pairs!$B:$B,A61,Probe_Pairs!$X:$X,"Both halves"))</f>
        <v>6</v>
      </c>
      <c r="T61" s="5" t="str">
        <f aca="false">IF(R61="","",IF(S61*2&gt;=K61,"High","Low"))</f>
        <v>High</v>
      </c>
      <c r="U61" s="5" t="s">
        <v>529</v>
      </c>
      <c r="V61" s="5" t="s">
        <v>529</v>
      </c>
      <c r="W61" s="5" t="s">
        <v>530</v>
      </c>
      <c r="X61" s="5"/>
      <c r="Y61" s="7"/>
      <c r="Z61" s="7"/>
      <c r="AA61" s="7"/>
      <c r="AB61" s="7"/>
      <c r="AC61" s="7"/>
    </row>
    <row r="62" customFormat="false" ht="15" hidden="false" customHeight="false" outlineLevel="0" collapsed="false">
      <c r="A62" s="5" t="s">
        <v>531</v>
      </c>
      <c r="B62" s="5" t="s">
        <v>40</v>
      </c>
      <c r="C62" s="5" t="s">
        <v>532</v>
      </c>
      <c r="D62" s="5" t="s">
        <v>533</v>
      </c>
      <c r="E62" s="5" t="s">
        <v>43</v>
      </c>
      <c r="F62" s="5" t="s">
        <v>534</v>
      </c>
      <c r="G62" s="5"/>
      <c r="H62" s="5" t="s">
        <v>535</v>
      </c>
      <c r="I62" s="6" t="s">
        <v>45</v>
      </c>
      <c r="J62" s="5" t="s">
        <v>46</v>
      </c>
      <c r="K62" s="5" t="n">
        <f aca="false">COUNTIF(Probe_Pairs!$B:$B,A62)</f>
        <v>6</v>
      </c>
      <c r="L62" s="5" t="n">
        <f aca="false">COUNTIFS(Probe_Pairs!$B:$B,A62,Probe_Pairs!$S:$S,"Both halves")</f>
        <v>6</v>
      </c>
      <c r="M62" s="5"/>
      <c r="N62" s="5" t="s">
        <v>532</v>
      </c>
      <c r="O62" s="5" t="s">
        <v>47</v>
      </c>
      <c r="P62" s="5" t="s">
        <v>536</v>
      </c>
      <c r="Q62" s="5" t="s">
        <v>68</v>
      </c>
      <c r="R62" s="5" t="s">
        <v>534</v>
      </c>
      <c r="S62" s="5" t="n">
        <f aca="false">IF(R62="","",COUNTIFS(Probe_Pairs!$B:$B,A62,Probe_Pairs!$X:$X,"Both halves"))</f>
        <v>2</v>
      </c>
      <c r="T62" s="5" t="str">
        <f aca="false">IF(R62="","",IF(S62*2&gt;=K62,"High","Low"))</f>
        <v>Low</v>
      </c>
      <c r="U62" s="5" t="s">
        <v>537</v>
      </c>
      <c r="V62" s="5" t="s">
        <v>537</v>
      </c>
      <c r="W62" s="5" t="s">
        <v>538</v>
      </c>
      <c r="X62" s="8" t="s">
        <v>539</v>
      </c>
      <c r="Y62" s="7"/>
      <c r="Z62" s="7"/>
      <c r="AA62" s="7"/>
      <c r="AB62" s="7"/>
      <c r="AC62" s="7"/>
    </row>
    <row r="63" customFormat="false" ht="15" hidden="false" customHeight="false" outlineLevel="0" collapsed="false">
      <c r="A63" s="5" t="s">
        <v>540</v>
      </c>
      <c r="B63" s="5" t="s">
        <v>40</v>
      </c>
      <c r="C63" s="5" t="s">
        <v>541</v>
      </c>
      <c r="D63" s="5" t="s">
        <v>541</v>
      </c>
      <c r="E63" s="5" t="s">
        <v>43</v>
      </c>
      <c r="F63" s="5" t="s">
        <v>534</v>
      </c>
      <c r="G63" s="5"/>
      <c r="H63" s="5" t="s">
        <v>542</v>
      </c>
      <c r="I63" s="6" t="s">
        <v>45</v>
      </c>
      <c r="J63" s="5" t="s">
        <v>46</v>
      </c>
      <c r="K63" s="5" t="n">
        <f aca="false">COUNTIF(Probe_Pairs!$B:$B,A63)</f>
        <v>7</v>
      </c>
      <c r="L63" s="5" t="n">
        <f aca="false">COUNTIFS(Probe_Pairs!$B:$B,A63,Probe_Pairs!$S:$S,"Both halves")</f>
        <v>7</v>
      </c>
      <c r="M63" s="5"/>
      <c r="N63" s="5" t="s">
        <v>543</v>
      </c>
      <c r="O63" s="5" t="s">
        <v>47</v>
      </c>
      <c r="P63" s="5" t="s">
        <v>544</v>
      </c>
      <c r="Q63" s="5" t="s">
        <v>68</v>
      </c>
      <c r="R63" s="5" t="s">
        <v>534</v>
      </c>
      <c r="S63" s="5" t="n">
        <f aca="false">IF(R63="","",COUNTIFS(Probe_Pairs!$B:$B,A63,Probe_Pairs!$X:$X,"Both halves"))</f>
        <v>5</v>
      </c>
      <c r="T63" s="5" t="str">
        <f aca="false">IF(R63="","",IF(S63*2&gt;=K63,"High","Low"))</f>
        <v>High</v>
      </c>
      <c r="U63" s="5" t="s">
        <v>537</v>
      </c>
      <c r="V63" s="5" t="s">
        <v>537</v>
      </c>
      <c r="W63" s="5" t="s">
        <v>538</v>
      </c>
      <c r="X63" s="5"/>
      <c r="Y63" s="7"/>
      <c r="Z63" s="7"/>
      <c r="AA63" s="7"/>
      <c r="AB63" s="7"/>
      <c r="AC63" s="7"/>
    </row>
    <row r="64" customFormat="false" ht="15" hidden="false" customHeight="false" outlineLevel="0" collapsed="false">
      <c r="A64" s="5" t="s">
        <v>545</v>
      </c>
      <c r="B64" s="5" t="s">
        <v>40</v>
      </c>
      <c r="C64" s="5" t="s">
        <v>546</v>
      </c>
      <c r="D64" s="5" t="s">
        <v>546</v>
      </c>
      <c r="E64" s="5" t="s">
        <v>43</v>
      </c>
      <c r="F64" s="5" t="s">
        <v>547</v>
      </c>
      <c r="G64" s="5"/>
      <c r="H64" s="5" t="s">
        <v>548</v>
      </c>
      <c r="I64" s="6" t="s">
        <v>45</v>
      </c>
      <c r="J64" s="5" t="s">
        <v>46</v>
      </c>
      <c r="K64" s="5" t="n">
        <f aca="false">COUNTIF(Probe_Pairs!$B:$B,A64)</f>
        <v>8</v>
      </c>
      <c r="L64" s="5" t="n">
        <f aca="false">COUNTIFS(Probe_Pairs!$B:$B,A64,Probe_Pairs!$S:$S,"Both halves")</f>
        <v>8</v>
      </c>
      <c r="M64" s="5"/>
      <c r="N64" s="5" t="s">
        <v>543</v>
      </c>
      <c r="O64" s="5" t="s">
        <v>47</v>
      </c>
      <c r="P64" s="5" t="s">
        <v>549</v>
      </c>
      <c r="Q64" s="5" t="s">
        <v>68</v>
      </c>
      <c r="R64" s="5" t="s">
        <v>547</v>
      </c>
      <c r="S64" s="5" t="n">
        <f aca="false">IF(R64="","",COUNTIFS(Probe_Pairs!$B:$B,A64,Probe_Pairs!$X:$X,"Both halves"))</f>
        <v>2</v>
      </c>
      <c r="T64" s="5" t="str">
        <f aca="false">IF(R64="","",IF(S64*2&gt;=K64,"High","Low"))</f>
        <v>Low</v>
      </c>
      <c r="U64" s="5" t="s">
        <v>550</v>
      </c>
      <c r="V64" s="5" t="s">
        <v>550</v>
      </c>
      <c r="W64" s="5" t="s">
        <v>551</v>
      </c>
      <c r="X64" s="8" t="s">
        <v>552</v>
      </c>
      <c r="Y64" s="7"/>
      <c r="Z64" s="7"/>
      <c r="AA64" s="7"/>
      <c r="AB64" s="7"/>
      <c r="AC64" s="7"/>
    </row>
    <row r="65" customFormat="false" ht="15" hidden="false" customHeight="false" outlineLevel="0" collapsed="false">
      <c r="A65" s="5" t="s">
        <v>553</v>
      </c>
      <c r="B65" s="5" t="s">
        <v>40</v>
      </c>
      <c r="C65" s="5" t="s">
        <v>554</v>
      </c>
      <c r="D65" s="5" t="s">
        <v>554</v>
      </c>
      <c r="E65" s="5" t="s">
        <v>43</v>
      </c>
      <c r="F65" s="5" t="s">
        <v>555</v>
      </c>
      <c r="G65" s="5"/>
      <c r="H65" s="5"/>
      <c r="I65" s="6" t="s">
        <v>45</v>
      </c>
      <c r="J65" s="5" t="s">
        <v>46</v>
      </c>
      <c r="K65" s="5" t="n">
        <f aca="false">COUNTIF(Probe_Pairs!$B:$B,A65)</f>
        <v>7</v>
      </c>
      <c r="L65" s="5" t="n">
        <f aca="false">COUNTIFS(Probe_Pairs!$B:$B,A65,Probe_Pairs!$S:$S,"Both halves")</f>
        <v>7</v>
      </c>
      <c r="M65" s="5"/>
      <c r="N65" s="5" t="s">
        <v>556</v>
      </c>
      <c r="O65" s="5" t="s">
        <v>47</v>
      </c>
      <c r="P65" s="5" t="s">
        <v>557</v>
      </c>
      <c r="Q65" s="5" t="s">
        <v>68</v>
      </c>
      <c r="R65" s="5" t="s">
        <v>555</v>
      </c>
      <c r="S65" s="5" t="n">
        <f aca="false">IF(R65="","",COUNTIFS(Probe_Pairs!$B:$B,A65,Probe_Pairs!$X:$X,"Both halves"))</f>
        <v>6</v>
      </c>
      <c r="T65" s="5" t="str">
        <f aca="false">IF(R65="","",IF(S65*2&gt;=K65,"High","Low"))</f>
        <v>High</v>
      </c>
      <c r="U65" s="5" t="s">
        <v>558</v>
      </c>
      <c r="V65" s="5" t="s">
        <v>559</v>
      </c>
      <c r="W65" s="5" t="s">
        <v>560</v>
      </c>
      <c r="X65" s="5"/>
      <c r="Y65" s="7"/>
      <c r="Z65" s="7"/>
      <c r="AA65" s="7"/>
      <c r="AB65" s="7"/>
      <c r="AC65" s="7"/>
    </row>
    <row r="66" customFormat="false" ht="15" hidden="false" customHeight="false" outlineLevel="0" collapsed="false">
      <c r="A66" s="5" t="s">
        <v>561</v>
      </c>
      <c r="B66" s="5" t="s">
        <v>40</v>
      </c>
      <c r="C66" s="5" t="s">
        <v>562</v>
      </c>
      <c r="D66" s="5" t="s">
        <v>562</v>
      </c>
      <c r="E66" s="5" t="s">
        <v>43</v>
      </c>
      <c r="F66" s="5" t="s">
        <v>563</v>
      </c>
      <c r="G66" s="5" t="s">
        <v>564</v>
      </c>
      <c r="H66" s="5"/>
      <c r="I66" s="6" t="s">
        <v>45</v>
      </c>
      <c r="J66" s="5" t="s">
        <v>46</v>
      </c>
      <c r="K66" s="5" t="n">
        <f aca="false">COUNTIF(Probe_Pairs!$B:$B,A66)</f>
        <v>13</v>
      </c>
      <c r="L66" s="5" t="n">
        <f aca="false">COUNTIFS(Probe_Pairs!$B:$B,A66,Probe_Pairs!$S:$S,"Both halves")</f>
        <v>13</v>
      </c>
      <c r="M66" s="5"/>
      <c r="N66" s="5" t="s">
        <v>562</v>
      </c>
      <c r="O66" s="5" t="s">
        <v>565</v>
      </c>
      <c r="P66" s="5" t="s">
        <v>566</v>
      </c>
      <c r="Q66" s="5" t="s">
        <v>68</v>
      </c>
      <c r="R66" s="5" t="s">
        <v>563</v>
      </c>
      <c r="S66" s="5" t="n">
        <f aca="false">IF(R66="","",COUNTIFS(Probe_Pairs!$B:$B,A66,Probe_Pairs!$X:$X,"Both halves"))</f>
        <v>13</v>
      </c>
      <c r="T66" s="5" t="str">
        <f aca="false">IF(R66="","",IF(S66*2&gt;=K66,"High","Low"))</f>
        <v>High</v>
      </c>
      <c r="U66" s="5" t="s">
        <v>567</v>
      </c>
      <c r="V66" s="5" t="s">
        <v>567</v>
      </c>
      <c r="W66" s="5" t="s">
        <v>568</v>
      </c>
      <c r="X66" s="5"/>
      <c r="Y66" s="7"/>
      <c r="Z66" s="7"/>
      <c r="AA66" s="7"/>
      <c r="AB66" s="7"/>
      <c r="AC66" s="7"/>
    </row>
    <row r="67" customFormat="false" ht="15" hidden="false" customHeight="false" outlineLevel="0" collapsed="false">
      <c r="A67" s="5" t="s">
        <v>569</v>
      </c>
      <c r="B67" s="5" t="s">
        <v>40</v>
      </c>
      <c r="C67" s="5" t="s">
        <v>570</v>
      </c>
      <c r="D67" s="5" t="s">
        <v>571</v>
      </c>
      <c r="E67" s="5" t="s">
        <v>43</v>
      </c>
      <c r="F67" s="5" t="s">
        <v>572</v>
      </c>
      <c r="G67" s="5"/>
      <c r="H67" s="5"/>
      <c r="I67" s="6" t="s">
        <v>45</v>
      </c>
      <c r="J67" s="5" t="s">
        <v>46</v>
      </c>
      <c r="K67" s="5" t="n">
        <f aca="false">COUNTIF(Probe_Pairs!$B:$B,A67)</f>
        <v>10</v>
      </c>
      <c r="L67" s="5" t="n">
        <f aca="false">COUNTIFS(Probe_Pairs!$B:$B,A67,Probe_Pairs!$S:$S,"Both halves")</f>
        <v>0</v>
      </c>
      <c r="M67" s="5" t="s">
        <v>66</v>
      </c>
      <c r="N67" s="5" t="s">
        <v>570</v>
      </c>
      <c r="O67" s="5" t="s">
        <v>573</v>
      </c>
      <c r="P67" s="5"/>
      <c r="Q67" s="5" t="s">
        <v>68</v>
      </c>
      <c r="R67" s="5" t="s">
        <v>572</v>
      </c>
      <c r="S67" s="5" t="n">
        <f aca="false">IF(R67="","",COUNTIFS(Probe_Pairs!$B:$B,A67,Probe_Pairs!$X:$X,"Both halves"))</f>
        <v>10</v>
      </c>
      <c r="T67" s="5" t="str">
        <f aca="false">IF(R67="","",IF(S67*2&gt;=K67,"High","Low"))</f>
        <v>High</v>
      </c>
      <c r="U67" s="5" t="s">
        <v>571</v>
      </c>
      <c r="V67" s="5" t="s">
        <v>574</v>
      </c>
      <c r="W67" s="5" t="s">
        <v>575</v>
      </c>
      <c r="X67" s="5"/>
      <c r="Y67" s="7"/>
      <c r="Z67" s="7"/>
      <c r="AA67" s="7"/>
      <c r="AB67" s="7"/>
      <c r="AC67" s="7"/>
    </row>
    <row r="68" customFormat="false" ht="15" hidden="false" customHeight="false" outlineLevel="0" collapsed="false">
      <c r="A68" s="5" t="s">
        <v>576</v>
      </c>
      <c r="B68" s="5" t="s">
        <v>40</v>
      </c>
      <c r="C68" s="5" t="s">
        <v>577</v>
      </c>
      <c r="D68" s="5" t="s">
        <v>578</v>
      </c>
      <c r="E68" s="5" t="s">
        <v>43</v>
      </c>
      <c r="F68" s="5" t="s">
        <v>579</v>
      </c>
      <c r="G68" s="5"/>
      <c r="H68" s="5"/>
      <c r="I68" s="6" t="s">
        <v>45</v>
      </c>
      <c r="J68" s="5" t="s">
        <v>46</v>
      </c>
      <c r="K68" s="5" t="n">
        <f aca="false">COUNTIF(Probe_Pairs!$B:$B,A68)</f>
        <v>8</v>
      </c>
      <c r="L68" s="5" t="n">
        <f aca="false">COUNTIFS(Probe_Pairs!$B:$B,A68,Probe_Pairs!$S:$S,"Both halves")</f>
        <v>0</v>
      </c>
      <c r="M68" s="5"/>
      <c r="N68" s="5" t="s">
        <v>577</v>
      </c>
      <c r="O68" s="5" t="s">
        <v>580</v>
      </c>
      <c r="P68" s="5"/>
      <c r="Q68" s="5" t="s">
        <v>68</v>
      </c>
      <c r="R68" s="5" t="s">
        <v>579</v>
      </c>
      <c r="S68" s="5" t="n">
        <f aca="false">IF(R68="","",COUNTIFS(Probe_Pairs!$B:$B,A68,Probe_Pairs!$X:$X,"Both halves"))</f>
        <v>8</v>
      </c>
      <c r="T68" s="5" t="str">
        <f aca="false">IF(R68="","",IF(S68*2&gt;=K68,"High","Low"))</f>
        <v>High</v>
      </c>
      <c r="U68" s="5" t="s">
        <v>578</v>
      </c>
      <c r="V68" s="5" t="s">
        <v>578</v>
      </c>
      <c r="W68" s="5" t="s">
        <v>581</v>
      </c>
      <c r="X68" s="5"/>
      <c r="Y68" s="7"/>
      <c r="Z68" s="7"/>
      <c r="AA68" s="7"/>
      <c r="AB68" s="7"/>
      <c r="AC68" s="7"/>
    </row>
    <row r="69" customFormat="false" ht="15" hidden="false" customHeight="false" outlineLevel="0" collapsed="false">
      <c r="A69" s="5" t="s">
        <v>582</v>
      </c>
      <c r="B69" s="5" t="s">
        <v>40</v>
      </c>
      <c r="C69" s="5" t="s">
        <v>583</v>
      </c>
      <c r="D69" s="5" t="s">
        <v>584</v>
      </c>
      <c r="E69" s="5" t="s">
        <v>43</v>
      </c>
      <c r="F69" s="5" t="s">
        <v>585</v>
      </c>
      <c r="G69" s="5" t="s">
        <v>586</v>
      </c>
      <c r="H69" s="5"/>
      <c r="I69" s="9" t="s">
        <v>66</v>
      </c>
      <c r="J69" s="5" t="s">
        <v>587</v>
      </c>
      <c r="K69" s="5" t="n">
        <f aca="false">COUNTIF(Probe_Pairs!$B:$B,A69)</f>
        <v>6</v>
      </c>
      <c r="L69" s="5" t="n">
        <f aca="false">COUNTIFS(Probe_Pairs!$B:$B,A69,Probe_Pairs!$S:$S,"Both halves")</f>
        <v>6</v>
      </c>
      <c r="M69" s="5"/>
      <c r="N69" s="5" t="s">
        <v>583</v>
      </c>
      <c r="O69" s="5" t="s">
        <v>588</v>
      </c>
      <c r="P69" s="5" t="s">
        <v>589</v>
      </c>
      <c r="Q69" s="5" t="s">
        <v>49</v>
      </c>
      <c r="R69" s="5" t="s">
        <v>585</v>
      </c>
      <c r="S69" s="5" t="n">
        <f aca="false">IF(R69="","",COUNTIFS(Probe_Pairs!$B:$B,A69,Probe_Pairs!$X:$X,"Both halves"))</f>
        <v>6</v>
      </c>
      <c r="T69" s="5" t="str">
        <f aca="false">IF(R69="","",IF(S69*2&gt;=K69,"High","Low"))</f>
        <v>High</v>
      </c>
      <c r="U69" s="5" t="s">
        <v>584</v>
      </c>
      <c r="V69" s="5" t="s">
        <v>584</v>
      </c>
      <c r="W69" s="5" t="s">
        <v>590</v>
      </c>
      <c r="X69" s="5"/>
      <c r="Y69" s="7"/>
      <c r="Z69" s="7"/>
      <c r="AA69" s="7"/>
      <c r="AB69" s="7"/>
      <c r="AC69" s="7"/>
    </row>
    <row r="70" customFormat="false" ht="15" hidden="false" customHeight="false" outlineLevel="0" collapsed="false">
      <c r="A70" s="5" t="s">
        <v>591</v>
      </c>
      <c r="B70" s="5" t="s">
        <v>40</v>
      </c>
      <c r="C70" s="5" t="s">
        <v>592</v>
      </c>
      <c r="D70" s="5" t="s">
        <v>593</v>
      </c>
      <c r="E70" s="5" t="s">
        <v>43</v>
      </c>
      <c r="F70" s="5" t="s">
        <v>594</v>
      </c>
      <c r="G70" s="5" t="s">
        <v>595</v>
      </c>
      <c r="H70" s="5"/>
      <c r="I70" s="9" t="s">
        <v>66</v>
      </c>
      <c r="J70" s="5" t="s">
        <v>587</v>
      </c>
      <c r="K70" s="5" t="n">
        <f aca="false">COUNTIF(Probe_Pairs!$B:$B,A70)</f>
        <v>6</v>
      </c>
      <c r="L70" s="5" t="n">
        <f aca="false">COUNTIFS(Probe_Pairs!$B:$B,A70,Probe_Pairs!$S:$S,"Both halves")</f>
        <v>6</v>
      </c>
      <c r="M70" s="5"/>
      <c r="N70" s="5" t="s">
        <v>592</v>
      </c>
      <c r="O70" s="5" t="s">
        <v>588</v>
      </c>
      <c r="P70" s="5" t="s">
        <v>596</v>
      </c>
      <c r="Q70" s="5" t="s">
        <v>49</v>
      </c>
      <c r="R70" s="5" t="s">
        <v>594</v>
      </c>
      <c r="S70" s="5" t="n">
        <f aca="false">IF(R70="","",COUNTIFS(Probe_Pairs!$B:$B,A70,Probe_Pairs!$X:$X,"Both halves"))</f>
        <v>6</v>
      </c>
      <c r="T70" s="5" t="str">
        <f aca="false">IF(R70="","",IF(S70*2&gt;=K70,"High","Low"))</f>
        <v>High</v>
      </c>
      <c r="U70" s="5" t="s">
        <v>593</v>
      </c>
      <c r="V70" s="5" t="s">
        <v>597</v>
      </c>
      <c r="W70" s="5" t="s">
        <v>598</v>
      </c>
      <c r="X70" s="5"/>
      <c r="Y70" s="7"/>
      <c r="Z70" s="7"/>
      <c r="AA70" s="7"/>
      <c r="AB70" s="7"/>
      <c r="AC70" s="7"/>
    </row>
    <row r="71" customFormat="false" ht="15" hidden="false" customHeight="false" outlineLevel="0" collapsed="false">
      <c r="A71" s="5" t="s">
        <v>599</v>
      </c>
      <c r="B71" s="5" t="s">
        <v>40</v>
      </c>
      <c r="C71" s="5" t="s">
        <v>600</v>
      </c>
      <c r="D71" s="5" t="s">
        <v>601</v>
      </c>
      <c r="E71" s="5" t="s">
        <v>43</v>
      </c>
      <c r="F71" s="5" t="s">
        <v>602</v>
      </c>
      <c r="G71" s="5" t="s">
        <v>603</v>
      </c>
      <c r="H71" s="5"/>
      <c r="I71" s="9" t="s">
        <v>66</v>
      </c>
      <c r="J71" s="5" t="s">
        <v>587</v>
      </c>
      <c r="K71" s="5" t="n">
        <f aca="false">COUNTIF(Probe_Pairs!$B:$B,A71)</f>
        <v>6</v>
      </c>
      <c r="L71" s="5" t="n">
        <f aca="false">COUNTIFS(Probe_Pairs!$B:$B,A71,Probe_Pairs!$S:$S,"Both halves")</f>
        <v>6</v>
      </c>
      <c r="M71" s="5"/>
      <c r="N71" s="5" t="s">
        <v>600</v>
      </c>
      <c r="O71" s="5" t="s">
        <v>154</v>
      </c>
      <c r="P71" s="5" t="s">
        <v>604</v>
      </c>
      <c r="Q71" s="5" t="s">
        <v>49</v>
      </c>
      <c r="R71" s="5" t="s">
        <v>602</v>
      </c>
      <c r="S71" s="5" t="n">
        <f aca="false">IF(R71="","",COUNTIFS(Probe_Pairs!$B:$B,A71,Probe_Pairs!$X:$X,"Both halves"))</f>
        <v>6</v>
      </c>
      <c r="T71" s="5" t="str">
        <f aca="false">IF(R71="","",IF(S71*2&gt;=K71,"High","Low"))</f>
        <v>High</v>
      </c>
      <c r="U71" s="5" t="s">
        <v>601</v>
      </c>
      <c r="V71" s="5" t="s">
        <v>605</v>
      </c>
      <c r="W71" s="5" t="s">
        <v>606</v>
      </c>
      <c r="X71" s="5"/>
      <c r="Y71" s="7"/>
      <c r="Z71" s="7"/>
      <c r="AA71" s="7"/>
      <c r="AB71" s="7"/>
      <c r="AC71" s="7"/>
    </row>
    <row r="72" customFormat="false" ht="15" hidden="false" customHeight="false" outlineLevel="0" collapsed="false">
      <c r="A72" s="5" t="s">
        <v>607</v>
      </c>
      <c r="B72" s="5" t="s">
        <v>40</v>
      </c>
      <c r="C72" s="5" t="s">
        <v>62</v>
      </c>
      <c r="D72" s="5" t="s">
        <v>63</v>
      </c>
      <c r="E72" s="5" t="s">
        <v>43</v>
      </c>
      <c r="F72" s="5" t="s">
        <v>64</v>
      </c>
      <c r="G72" s="5" t="s">
        <v>65</v>
      </c>
      <c r="H72" s="5"/>
      <c r="I72" s="9" t="s">
        <v>66</v>
      </c>
      <c r="J72" s="5" t="s">
        <v>587</v>
      </c>
      <c r="K72" s="5" t="n">
        <f aca="false">COUNTIF(Probe_Pairs!$B:$B,A72)</f>
        <v>15</v>
      </c>
      <c r="L72" s="5" t="n">
        <f aca="false">COUNTIFS(Probe_Pairs!$B:$B,A72,Probe_Pairs!$S:$S,"Both halves")</f>
        <v>4</v>
      </c>
      <c r="M72" s="5" t="s">
        <v>45</v>
      </c>
      <c r="N72" s="5" t="s">
        <v>577</v>
      </c>
      <c r="O72" s="5" t="s">
        <v>580</v>
      </c>
      <c r="P72" s="5" t="s">
        <v>67</v>
      </c>
      <c r="Q72" s="5" t="s">
        <v>68</v>
      </c>
      <c r="R72" s="5" t="s">
        <v>64</v>
      </c>
      <c r="S72" s="5" t="n">
        <f aca="false">IF(R72="","",COUNTIFS(Probe_Pairs!$B:$B,A72,Probe_Pairs!$X:$X,"Both halves"))</f>
        <v>15</v>
      </c>
      <c r="T72" s="5" t="str">
        <f aca="false">IF(R72="","",IF(S72*2&gt;=K72,"High","Low"))</f>
        <v>High</v>
      </c>
      <c r="U72" s="5" t="s">
        <v>69</v>
      </c>
      <c r="V72" s="5" t="s">
        <v>70</v>
      </c>
      <c r="W72" s="5" t="s">
        <v>71</v>
      </c>
      <c r="X72" s="8" t="s">
        <v>608</v>
      </c>
      <c r="Y72" s="7"/>
      <c r="Z72" s="7"/>
      <c r="AA72" s="7"/>
      <c r="AB72" s="7"/>
      <c r="AC72" s="7"/>
    </row>
    <row r="73" customFormat="false" ht="15" hidden="false" customHeight="false" outlineLevel="0" collapsed="false">
      <c r="A73" s="5" t="s">
        <v>609</v>
      </c>
      <c r="B73" s="5" t="s">
        <v>40</v>
      </c>
      <c r="C73" s="5" t="s">
        <v>610</v>
      </c>
      <c r="D73" s="5" t="s">
        <v>611</v>
      </c>
      <c r="E73" s="5" t="s">
        <v>43</v>
      </c>
      <c r="F73" s="5" t="s">
        <v>612</v>
      </c>
      <c r="G73" s="5"/>
      <c r="H73" s="5"/>
      <c r="I73" s="9" t="s">
        <v>66</v>
      </c>
      <c r="J73" s="5" t="s">
        <v>587</v>
      </c>
      <c r="K73" s="5" t="n">
        <f aca="false">COUNTIF(Probe_Pairs!$B:$B,A73)</f>
        <v>7</v>
      </c>
      <c r="L73" s="5" t="n">
        <f aca="false">COUNTIFS(Probe_Pairs!$B:$B,A73,Probe_Pairs!$S:$S,"Both halves")</f>
        <v>7</v>
      </c>
      <c r="M73" s="5"/>
      <c r="N73" s="5" t="s">
        <v>394</v>
      </c>
      <c r="O73" s="5" t="s">
        <v>395</v>
      </c>
      <c r="P73" s="5" t="s">
        <v>613</v>
      </c>
      <c r="Q73" s="5" t="s">
        <v>49</v>
      </c>
      <c r="R73" s="5" t="s">
        <v>612</v>
      </c>
      <c r="S73" s="5" t="n">
        <f aca="false">IF(R73="","",COUNTIFS(Probe_Pairs!$B:$B,A73,Probe_Pairs!$X:$X,"Both halves"))</f>
        <v>7</v>
      </c>
      <c r="T73" s="5" t="str">
        <f aca="false">IF(R73="","",IF(S73*2&gt;=K73,"High","Low"))</f>
        <v>High</v>
      </c>
      <c r="U73" s="5" t="s">
        <v>614</v>
      </c>
      <c r="V73" s="5" t="s">
        <v>614</v>
      </c>
      <c r="W73" s="5" t="s">
        <v>615</v>
      </c>
      <c r="X73" s="5"/>
      <c r="Y73" s="7"/>
      <c r="Z73" s="7"/>
      <c r="AA73" s="7"/>
      <c r="AB73" s="7"/>
      <c r="AC73" s="7"/>
    </row>
    <row r="74" customFormat="false" ht="15" hidden="false" customHeight="false" outlineLevel="0" collapsed="false">
      <c r="A74" s="5" t="s">
        <v>616</v>
      </c>
      <c r="B74" s="5" t="s">
        <v>40</v>
      </c>
      <c r="C74" s="5" t="s">
        <v>617</v>
      </c>
      <c r="D74" s="5" t="s">
        <v>618</v>
      </c>
      <c r="E74" s="5" t="s">
        <v>43</v>
      </c>
      <c r="F74" s="5" t="s">
        <v>619</v>
      </c>
      <c r="G74" s="5" t="s">
        <v>620</v>
      </c>
      <c r="H74" s="5"/>
      <c r="I74" s="9" t="s">
        <v>66</v>
      </c>
      <c r="J74" s="5" t="s">
        <v>587</v>
      </c>
      <c r="K74" s="5" t="n">
        <f aca="false">COUNTIF(Probe_Pairs!$B:$B,A74)</f>
        <v>3</v>
      </c>
      <c r="L74" s="5" t="n">
        <f aca="false">COUNTIFS(Probe_Pairs!$B:$B,A74,Probe_Pairs!$S:$S,"Both halves")</f>
        <v>3</v>
      </c>
      <c r="M74" s="5"/>
      <c r="N74" s="5" t="s">
        <v>621</v>
      </c>
      <c r="O74" s="5" t="s">
        <v>588</v>
      </c>
      <c r="P74" s="5" t="s">
        <v>622</v>
      </c>
      <c r="Q74" s="5" t="s">
        <v>68</v>
      </c>
      <c r="R74" s="5" t="s">
        <v>619</v>
      </c>
      <c r="S74" s="5" t="n">
        <f aca="false">IF(R74="","",COUNTIFS(Probe_Pairs!$B:$B,A74,Probe_Pairs!$X:$X,"Both halves"))</f>
        <v>1</v>
      </c>
      <c r="T74" s="5" t="str">
        <f aca="false">IF(R74="","",IF(S74*2&gt;=K74,"High","Low"))</f>
        <v>Low</v>
      </c>
      <c r="U74" s="5" t="s">
        <v>623</v>
      </c>
      <c r="V74" s="5" t="s">
        <v>624</v>
      </c>
      <c r="W74" s="5" t="s">
        <v>625</v>
      </c>
      <c r="X74" s="8" t="s">
        <v>626</v>
      </c>
      <c r="Y74" s="7"/>
      <c r="Z74" s="7"/>
      <c r="AA74" s="7"/>
      <c r="AB74" s="7"/>
      <c r="AC74" s="7"/>
    </row>
    <row r="75" customFormat="false" ht="15" hidden="false" customHeight="false" outlineLevel="0" collapsed="false">
      <c r="A75" s="5" t="s">
        <v>627</v>
      </c>
      <c r="B75" s="5" t="s">
        <v>40</v>
      </c>
      <c r="C75" s="5" t="s">
        <v>628</v>
      </c>
      <c r="D75" s="5" t="s">
        <v>629</v>
      </c>
      <c r="E75" s="5" t="s">
        <v>43</v>
      </c>
      <c r="F75" s="5" t="s">
        <v>630</v>
      </c>
      <c r="G75" s="5" t="s">
        <v>631</v>
      </c>
      <c r="H75" s="5"/>
      <c r="I75" s="9" t="s">
        <v>66</v>
      </c>
      <c r="J75" s="5" t="s">
        <v>587</v>
      </c>
      <c r="K75" s="5" t="n">
        <f aca="false">COUNTIF(Probe_Pairs!$B:$B,A75)</f>
        <v>6</v>
      </c>
      <c r="L75" s="5" t="n">
        <f aca="false">COUNTIFS(Probe_Pairs!$B:$B,A75,Probe_Pairs!$S:$S,"Both halves")</f>
        <v>6</v>
      </c>
      <c r="M75" s="5"/>
      <c r="N75" s="5" t="s">
        <v>632</v>
      </c>
      <c r="O75" s="5" t="s">
        <v>588</v>
      </c>
      <c r="P75" s="5" t="s">
        <v>633</v>
      </c>
      <c r="Q75" s="5" t="s">
        <v>49</v>
      </c>
      <c r="R75" s="5" t="s">
        <v>630</v>
      </c>
      <c r="S75" s="5" t="n">
        <f aca="false">IF(R75="","",COUNTIFS(Probe_Pairs!$B:$B,A75,Probe_Pairs!$X:$X,"Both halves"))</f>
        <v>6</v>
      </c>
      <c r="T75" s="5" t="str">
        <f aca="false">IF(R75="","",IF(S75*2&gt;=K75,"High","Low"))</f>
        <v>High</v>
      </c>
      <c r="U75" s="5" t="s">
        <v>629</v>
      </c>
      <c r="V75" s="5" t="s">
        <v>634</v>
      </c>
      <c r="W75" s="5" t="s">
        <v>635</v>
      </c>
      <c r="X75" s="5"/>
      <c r="Y75" s="7"/>
      <c r="Z75" s="7"/>
      <c r="AA75" s="7"/>
      <c r="AB75" s="7"/>
      <c r="AC75" s="7"/>
    </row>
    <row r="76" customFormat="false" ht="15" hidden="false" customHeight="false" outlineLevel="0" collapsed="false">
      <c r="A76" s="5" t="s">
        <v>636</v>
      </c>
      <c r="B76" s="5" t="s">
        <v>40</v>
      </c>
      <c r="C76" s="5" t="s">
        <v>637</v>
      </c>
      <c r="D76" s="5" t="s">
        <v>637</v>
      </c>
      <c r="E76" s="5" t="s">
        <v>43</v>
      </c>
      <c r="F76" s="5" t="s">
        <v>638</v>
      </c>
      <c r="G76" s="5" t="s">
        <v>639</v>
      </c>
      <c r="H76" s="5"/>
      <c r="I76" s="9" t="s">
        <v>66</v>
      </c>
      <c r="J76" s="5" t="s">
        <v>587</v>
      </c>
      <c r="K76" s="5" t="n">
        <f aca="false">COUNTIF(Probe_Pairs!$B:$B,A76)</f>
        <v>22</v>
      </c>
      <c r="L76" s="5" t="n">
        <f aca="false">COUNTIFS(Probe_Pairs!$B:$B,A76,Probe_Pairs!$S:$S,"Both halves")</f>
        <v>17</v>
      </c>
      <c r="M76" s="5"/>
      <c r="N76" s="5" t="s">
        <v>640</v>
      </c>
      <c r="O76" s="5" t="s">
        <v>641</v>
      </c>
      <c r="P76" s="5" t="s">
        <v>642</v>
      </c>
      <c r="Q76" s="5" t="s">
        <v>68</v>
      </c>
      <c r="R76" s="5" t="s">
        <v>638</v>
      </c>
      <c r="S76" s="5" t="n">
        <f aca="false">IF(R76="","",COUNTIFS(Probe_Pairs!$B:$B,A76,Probe_Pairs!$X:$X,"Both halves"))</f>
        <v>17</v>
      </c>
      <c r="T76" s="5" t="str">
        <f aca="false">IF(R76="","",IF(S76*2&gt;=K76,"High","Low"))</f>
        <v>High</v>
      </c>
      <c r="U76" s="5" t="s">
        <v>643</v>
      </c>
      <c r="V76" s="5" t="s">
        <v>637</v>
      </c>
      <c r="W76" s="5" t="s">
        <v>644</v>
      </c>
      <c r="X76" s="8" t="s">
        <v>389</v>
      </c>
      <c r="Y76" s="7"/>
      <c r="Z76" s="7"/>
      <c r="AA76" s="7"/>
      <c r="AB76" s="7"/>
      <c r="AC76" s="7"/>
    </row>
    <row r="77" customFormat="false" ht="15" hidden="false" customHeight="false" outlineLevel="0" collapsed="false">
      <c r="A77" s="5" t="s">
        <v>645</v>
      </c>
      <c r="B77" s="5" t="s">
        <v>40</v>
      </c>
      <c r="C77" s="5" t="s">
        <v>646</v>
      </c>
      <c r="D77" s="5" t="s">
        <v>647</v>
      </c>
      <c r="E77" s="5" t="s">
        <v>43</v>
      </c>
      <c r="F77" s="5" t="s">
        <v>648</v>
      </c>
      <c r="G77" s="5" t="s">
        <v>649</v>
      </c>
      <c r="H77" s="5"/>
      <c r="I77" s="9" t="s">
        <v>66</v>
      </c>
      <c r="J77" s="5" t="s">
        <v>587</v>
      </c>
      <c r="K77" s="5" t="n">
        <f aca="false">COUNTIF(Probe_Pairs!$B:$B,A77)</f>
        <v>6</v>
      </c>
      <c r="L77" s="5" t="n">
        <f aca="false">COUNTIFS(Probe_Pairs!$B:$B,A77,Probe_Pairs!$S:$S,"Both halves")</f>
        <v>6</v>
      </c>
      <c r="M77" s="5"/>
      <c r="N77" s="5" t="s">
        <v>646</v>
      </c>
      <c r="O77" s="5" t="s">
        <v>588</v>
      </c>
      <c r="P77" s="5" t="s">
        <v>650</v>
      </c>
      <c r="Q77" s="5" t="s">
        <v>49</v>
      </c>
      <c r="R77" s="5" t="s">
        <v>648</v>
      </c>
      <c r="S77" s="5" t="n">
        <f aca="false">IF(R77="","",COUNTIFS(Probe_Pairs!$B:$B,A77,Probe_Pairs!$X:$X,"Both halves"))</f>
        <v>6</v>
      </c>
      <c r="T77" s="5" t="str">
        <f aca="false">IF(R77="","",IF(S77*2&gt;=K77,"High","Low"))</f>
        <v>High</v>
      </c>
      <c r="U77" s="5" t="s">
        <v>651</v>
      </c>
      <c r="V77" s="5" t="s">
        <v>652</v>
      </c>
      <c r="W77" s="5" t="s">
        <v>653</v>
      </c>
      <c r="X77" s="5"/>
      <c r="Y77" s="7"/>
      <c r="Z77" s="7"/>
      <c r="AA77" s="7"/>
      <c r="AB77" s="7"/>
      <c r="AC77" s="7"/>
    </row>
    <row r="78" customFormat="false" ht="15" hidden="false" customHeight="false" outlineLevel="0" collapsed="false">
      <c r="A78" s="5" t="s">
        <v>654</v>
      </c>
      <c r="B78" s="5" t="s">
        <v>40</v>
      </c>
      <c r="C78" s="5" t="s">
        <v>655</v>
      </c>
      <c r="D78" s="5" t="s">
        <v>656</v>
      </c>
      <c r="E78" s="5" t="s">
        <v>43</v>
      </c>
      <c r="F78" s="5" t="s">
        <v>657</v>
      </c>
      <c r="G78" s="5" t="s">
        <v>658</v>
      </c>
      <c r="H78" s="5"/>
      <c r="I78" s="9" t="s">
        <v>66</v>
      </c>
      <c r="J78" s="5" t="s">
        <v>587</v>
      </c>
      <c r="K78" s="5" t="n">
        <f aca="false">COUNTIF(Probe_Pairs!$B:$B,A78)</f>
        <v>6</v>
      </c>
      <c r="L78" s="5" t="n">
        <f aca="false">COUNTIFS(Probe_Pairs!$B:$B,A78,Probe_Pairs!$S:$S,"Both halves")</f>
        <v>6</v>
      </c>
      <c r="M78" s="5"/>
      <c r="N78" s="5" t="s">
        <v>659</v>
      </c>
      <c r="O78" s="5" t="s">
        <v>154</v>
      </c>
      <c r="P78" s="5" t="s">
        <v>660</v>
      </c>
      <c r="Q78" s="5" t="s">
        <v>49</v>
      </c>
      <c r="R78" s="5" t="s">
        <v>657</v>
      </c>
      <c r="S78" s="5" t="n">
        <f aca="false">IF(R78="","",COUNTIFS(Probe_Pairs!$B:$B,A78,Probe_Pairs!$X:$X,"Both halves"))</f>
        <v>6</v>
      </c>
      <c r="T78" s="5" t="str">
        <f aca="false">IF(R78="","",IF(S78*2&gt;=K78,"High","Low"))</f>
        <v>High</v>
      </c>
      <c r="U78" s="5" t="s">
        <v>661</v>
      </c>
      <c r="V78" s="5" t="s">
        <v>662</v>
      </c>
      <c r="W78" s="5" t="s">
        <v>663</v>
      </c>
      <c r="X78" s="5"/>
      <c r="Y78" s="7"/>
      <c r="Z78" s="7"/>
      <c r="AA78" s="7"/>
      <c r="AB78" s="7"/>
      <c r="AC78" s="7"/>
    </row>
    <row r="79" customFormat="false" ht="15" hidden="false" customHeight="false" outlineLevel="0" collapsed="false">
      <c r="A79" s="5" t="s">
        <v>664</v>
      </c>
      <c r="B79" s="5" t="s">
        <v>40</v>
      </c>
      <c r="C79" s="5" t="s">
        <v>105</v>
      </c>
      <c r="D79" s="5" t="s">
        <v>106</v>
      </c>
      <c r="E79" s="5" t="s">
        <v>43</v>
      </c>
      <c r="F79" s="5" t="s">
        <v>107</v>
      </c>
      <c r="G79" s="5" t="s">
        <v>108</v>
      </c>
      <c r="H79" s="5"/>
      <c r="I79" s="9" t="s">
        <v>66</v>
      </c>
      <c r="J79" s="5" t="s">
        <v>587</v>
      </c>
      <c r="K79" s="5" t="n">
        <f aca="false">COUNTIF(Probe_Pairs!$B:$B,A79)</f>
        <v>8</v>
      </c>
      <c r="L79" s="5" t="n">
        <f aca="false">COUNTIFS(Probe_Pairs!$B:$B,A79,Probe_Pairs!$S:$S,"Both halves")</f>
        <v>8</v>
      </c>
      <c r="M79" s="5" t="s">
        <v>45</v>
      </c>
      <c r="N79" s="5" t="s">
        <v>665</v>
      </c>
      <c r="O79" s="5" t="s">
        <v>588</v>
      </c>
      <c r="P79" s="5" t="s">
        <v>666</v>
      </c>
      <c r="Q79" s="5" t="s">
        <v>49</v>
      </c>
      <c r="R79" s="5" t="s">
        <v>107</v>
      </c>
      <c r="S79" s="5" t="n">
        <f aca="false">IF(R79="","",COUNTIFS(Probe_Pairs!$B:$B,A79,Probe_Pairs!$X:$X,"Both halves"))</f>
        <v>3</v>
      </c>
      <c r="T79" s="5" t="str">
        <f aca="false">IF(R79="","",IF(S79*2&gt;=K79,"High","Low"))</f>
        <v>Low</v>
      </c>
      <c r="U79" s="5" t="s">
        <v>110</v>
      </c>
      <c r="V79" s="5" t="s">
        <v>111</v>
      </c>
      <c r="W79" s="5" t="s">
        <v>112</v>
      </c>
      <c r="X79" s="8" t="s">
        <v>289</v>
      </c>
      <c r="Y79" s="7"/>
      <c r="Z79" s="7"/>
      <c r="AA79" s="7"/>
      <c r="AB79" s="7"/>
      <c r="AC79" s="7"/>
    </row>
    <row r="80" customFormat="false" ht="15" hidden="false" customHeight="false" outlineLevel="0" collapsed="false">
      <c r="A80" s="5" t="s">
        <v>667</v>
      </c>
      <c r="B80" s="5" t="s">
        <v>40</v>
      </c>
      <c r="C80" s="5" t="s">
        <v>668</v>
      </c>
      <c r="D80" s="5" t="s">
        <v>669</v>
      </c>
      <c r="E80" s="5" t="s">
        <v>43</v>
      </c>
      <c r="F80" s="5" t="s">
        <v>670</v>
      </c>
      <c r="G80" s="5" t="s">
        <v>671</v>
      </c>
      <c r="H80" s="5"/>
      <c r="I80" s="9" t="s">
        <v>66</v>
      </c>
      <c r="J80" s="5" t="s">
        <v>587</v>
      </c>
      <c r="K80" s="5" t="n">
        <f aca="false">COUNTIF(Probe_Pairs!$B:$B,A80)</f>
        <v>6</v>
      </c>
      <c r="L80" s="5" t="n">
        <f aca="false">COUNTIFS(Probe_Pairs!$B:$B,A80,Probe_Pairs!$S:$S,"Both halves")</f>
        <v>6</v>
      </c>
      <c r="M80" s="5"/>
      <c r="N80" s="5" t="s">
        <v>668</v>
      </c>
      <c r="O80" s="5" t="s">
        <v>588</v>
      </c>
      <c r="P80" s="5" t="s">
        <v>672</v>
      </c>
      <c r="Q80" s="5" t="s">
        <v>49</v>
      </c>
      <c r="R80" s="5" t="s">
        <v>670</v>
      </c>
      <c r="S80" s="5" t="n">
        <f aca="false">IF(R80="","",COUNTIFS(Probe_Pairs!$B:$B,A80,Probe_Pairs!$X:$X,"Both halves"))</f>
        <v>6</v>
      </c>
      <c r="T80" s="5" t="str">
        <f aca="false">IF(R80="","",IF(S80*2&gt;=K80,"High","Low"))</f>
        <v>High</v>
      </c>
      <c r="U80" s="5" t="s">
        <v>669</v>
      </c>
      <c r="V80" s="5" t="s">
        <v>673</v>
      </c>
      <c r="W80" s="5" t="s">
        <v>674</v>
      </c>
      <c r="X80" s="5"/>
      <c r="Y80" s="7"/>
      <c r="Z80" s="7"/>
      <c r="AA80" s="7"/>
      <c r="AB80" s="7"/>
      <c r="AC80" s="7"/>
    </row>
    <row r="81" customFormat="false" ht="15" hidden="false" customHeight="false" outlineLevel="0" collapsed="false">
      <c r="A81" s="5" t="s">
        <v>675</v>
      </c>
      <c r="B81" s="5" t="s">
        <v>40</v>
      </c>
      <c r="C81" s="5" t="s">
        <v>676</v>
      </c>
      <c r="D81" s="5" t="s">
        <v>677</v>
      </c>
      <c r="E81" s="5" t="s">
        <v>43</v>
      </c>
      <c r="F81" s="5" t="s">
        <v>678</v>
      </c>
      <c r="G81" s="5"/>
      <c r="H81" s="5"/>
      <c r="I81" s="9" t="s">
        <v>66</v>
      </c>
      <c r="J81" s="5" t="s">
        <v>587</v>
      </c>
      <c r="K81" s="5" t="n">
        <f aca="false">COUNTIF(Probe_Pairs!$B:$B,A81)</f>
        <v>6</v>
      </c>
      <c r="L81" s="5" t="n">
        <f aca="false">COUNTIFS(Probe_Pairs!$B:$B,A81,Probe_Pairs!$S:$S,"Both halves")</f>
        <v>6</v>
      </c>
      <c r="M81" s="5"/>
      <c r="N81" s="5" t="s">
        <v>676</v>
      </c>
      <c r="O81" s="5" t="s">
        <v>588</v>
      </c>
      <c r="P81" s="5" t="s">
        <v>679</v>
      </c>
      <c r="Q81" s="5" t="s">
        <v>68</v>
      </c>
      <c r="R81" s="5" t="s">
        <v>678</v>
      </c>
      <c r="S81" s="5" t="n">
        <f aca="false">IF(R81="","",COUNTIFS(Probe_Pairs!$B:$B,A81,Probe_Pairs!$X:$X,"Both halves"))</f>
        <v>3</v>
      </c>
      <c r="T81" s="5" t="str">
        <f aca="false">IF(R81="","",IF(S81*2&gt;=K81,"High","Low"))</f>
        <v>High</v>
      </c>
      <c r="U81" s="5" t="s">
        <v>680</v>
      </c>
      <c r="V81" s="5" t="s">
        <v>681</v>
      </c>
      <c r="W81" s="5" t="s">
        <v>682</v>
      </c>
      <c r="X81" s="5"/>
      <c r="Y81" s="7"/>
      <c r="Z81" s="7"/>
      <c r="AA81" s="7"/>
      <c r="AB81" s="7"/>
      <c r="AC81" s="7"/>
    </row>
    <row r="82" customFormat="false" ht="15" hidden="false" customHeight="false" outlineLevel="0" collapsed="false">
      <c r="A82" s="5" t="s">
        <v>683</v>
      </c>
      <c r="B82" s="5" t="s">
        <v>40</v>
      </c>
      <c r="C82" s="5" t="s">
        <v>684</v>
      </c>
      <c r="D82" s="5" t="s">
        <v>684</v>
      </c>
      <c r="E82" s="5" t="s">
        <v>43</v>
      </c>
      <c r="F82" s="5" t="s">
        <v>685</v>
      </c>
      <c r="G82" s="5"/>
      <c r="H82" s="5"/>
      <c r="I82" s="9" t="s">
        <v>66</v>
      </c>
      <c r="J82" s="5" t="s">
        <v>587</v>
      </c>
      <c r="K82" s="5" t="n">
        <f aca="false">COUNTIF(Probe_Pairs!$B:$B,A82)</f>
        <v>6</v>
      </c>
      <c r="L82" s="5" t="n">
        <f aca="false">COUNTIFS(Probe_Pairs!$B:$B,A82,Probe_Pairs!$S:$S,"Both halves")</f>
        <v>6</v>
      </c>
      <c r="M82" s="5"/>
      <c r="N82" s="5" t="s">
        <v>684</v>
      </c>
      <c r="O82" s="5" t="s">
        <v>588</v>
      </c>
      <c r="P82" s="5" t="s">
        <v>686</v>
      </c>
      <c r="Q82" s="5" t="s">
        <v>68</v>
      </c>
      <c r="R82" s="5" t="s">
        <v>685</v>
      </c>
      <c r="S82" s="5" t="n">
        <f aca="false">IF(R82="","",COUNTIFS(Probe_Pairs!$B:$B,A82,Probe_Pairs!$X:$X,"Both halves"))</f>
        <v>6</v>
      </c>
      <c r="T82" s="5" t="str">
        <f aca="false">IF(R82="","",IF(S82*2&gt;=K82,"High","Low"))</f>
        <v>High</v>
      </c>
      <c r="U82" s="5" t="s">
        <v>687</v>
      </c>
      <c r="V82" s="5" t="s">
        <v>688</v>
      </c>
      <c r="W82" s="5" t="s">
        <v>689</v>
      </c>
      <c r="X82" s="5"/>
      <c r="Y82" s="7"/>
      <c r="Z82" s="7"/>
      <c r="AA82" s="7"/>
      <c r="AB82" s="7"/>
      <c r="AC82" s="7"/>
    </row>
    <row r="83" customFormat="false" ht="15" hidden="false" customHeight="false" outlineLevel="0" collapsed="false">
      <c r="A83" s="5" t="s">
        <v>690</v>
      </c>
      <c r="B83" s="5" t="s">
        <v>40</v>
      </c>
      <c r="C83" s="5" t="s">
        <v>691</v>
      </c>
      <c r="D83" s="5" t="s">
        <v>692</v>
      </c>
      <c r="E83" s="5" t="s">
        <v>43</v>
      </c>
      <c r="F83" s="5" t="s">
        <v>693</v>
      </c>
      <c r="G83" s="5" t="s">
        <v>694</v>
      </c>
      <c r="H83" s="5"/>
      <c r="I83" s="9" t="s">
        <v>66</v>
      </c>
      <c r="J83" s="5" t="s">
        <v>587</v>
      </c>
      <c r="K83" s="5" t="n">
        <f aca="false">COUNTIF(Probe_Pairs!$B:$B,A83)</f>
        <v>6</v>
      </c>
      <c r="L83" s="5" t="n">
        <f aca="false">COUNTIFS(Probe_Pairs!$B:$B,A83,Probe_Pairs!$S:$S,"Both halves")</f>
        <v>6</v>
      </c>
      <c r="M83" s="5" t="s">
        <v>137</v>
      </c>
      <c r="N83" s="5" t="s">
        <v>695</v>
      </c>
      <c r="O83" s="5" t="s">
        <v>588</v>
      </c>
      <c r="P83" s="5" t="s">
        <v>696</v>
      </c>
      <c r="Q83" s="5" t="s">
        <v>49</v>
      </c>
      <c r="R83" s="5" t="s">
        <v>693</v>
      </c>
      <c r="S83" s="5" t="n">
        <f aca="false">IF(R83="","",COUNTIFS(Probe_Pairs!$B:$B,A83,Probe_Pairs!$X:$X,"Both halves"))</f>
        <v>6</v>
      </c>
      <c r="T83" s="5" t="str">
        <f aca="false">IF(R83="","",IF(S83*2&gt;=K83,"High","Low"))</f>
        <v>High</v>
      </c>
      <c r="U83" s="5" t="s">
        <v>692</v>
      </c>
      <c r="V83" s="5" t="s">
        <v>697</v>
      </c>
      <c r="W83" s="5" t="s">
        <v>698</v>
      </c>
      <c r="X83" s="5"/>
      <c r="Y83" s="7"/>
      <c r="Z83" s="7"/>
      <c r="AA83" s="7"/>
      <c r="AB83" s="7"/>
      <c r="AC83" s="7"/>
    </row>
    <row r="84" customFormat="false" ht="15" hidden="false" customHeight="false" outlineLevel="0" collapsed="false">
      <c r="A84" s="5" t="s">
        <v>699</v>
      </c>
      <c r="B84" s="5" t="s">
        <v>40</v>
      </c>
      <c r="C84" s="5" t="s">
        <v>570</v>
      </c>
      <c r="D84" s="5" t="s">
        <v>700</v>
      </c>
      <c r="E84" s="5" t="s">
        <v>43</v>
      </c>
      <c r="F84" s="5" t="s">
        <v>572</v>
      </c>
      <c r="G84" s="5"/>
      <c r="H84" s="5" t="s">
        <v>701</v>
      </c>
      <c r="I84" s="9" t="s">
        <v>66</v>
      </c>
      <c r="J84" s="5" t="s">
        <v>587</v>
      </c>
      <c r="K84" s="5" t="n">
        <f aca="false">COUNTIF(Probe_Pairs!$B:$B,A84)</f>
        <v>5</v>
      </c>
      <c r="L84" s="5" t="n">
        <f aca="false">COUNTIFS(Probe_Pairs!$B:$B,A84,Probe_Pairs!$S:$S,"Both halves")</f>
        <v>5</v>
      </c>
      <c r="M84" s="5" t="s">
        <v>45</v>
      </c>
      <c r="N84" s="5" t="s">
        <v>570</v>
      </c>
      <c r="O84" s="5" t="s">
        <v>588</v>
      </c>
      <c r="P84" s="5" t="s">
        <v>702</v>
      </c>
      <c r="Q84" s="5" t="s">
        <v>68</v>
      </c>
      <c r="R84" s="5" t="s">
        <v>572</v>
      </c>
      <c r="S84" s="5" t="n">
        <f aca="false">IF(R84="","",COUNTIFS(Probe_Pairs!$B:$B,A84,Probe_Pairs!$X:$X,"Both halves"))</f>
        <v>2</v>
      </c>
      <c r="T84" s="5" t="str">
        <f aca="false">IF(R84="","",IF(S84*2&gt;=K84,"High","Low"))</f>
        <v>Low</v>
      </c>
      <c r="U84" s="5" t="s">
        <v>571</v>
      </c>
      <c r="V84" s="5" t="s">
        <v>574</v>
      </c>
      <c r="W84" s="5" t="s">
        <v>575</v>
      </c>
      <c r="X84" s="8" t="s">
        <v>703</v>
      </c>
      <c r="Y84" s="7"/>
      <c r="Z84" s="7"/>
      <c r="AA84" s="7"/>
      <c r="AB84" s="7"/>
      <c r="AC84" s="7"/>
    </row>
    <row r="85" customFormat="false" ht="15" hidden="false" customHeight="false" outlineLevel="0" collapsed="false">
      <c r="A85" s="5" t="s">
        <v>704</v>
      </c>
      <c r="B85" s="5" t="s">
        <v>40</v>
      </c>
      <c r="C85" s="5" t="s">
        <v>705</v>
      </c>
      <c r="D85" s="5" t="s">
        <v>706</v>
      </c>
      <c r="E85" s="5" t="s">
        <v>43</v>
      </c>
      <c r="F85" s="5" t="s">
        <v>707</v>
      </c>
      <c r="G85" s="5"/>
      <c r="H85" s="5"/>
      <c r="I85" s="9" t="s">
        <v>66</v>
      </c>
      <c r="J85" s="5" t="s">
        <v>587</v>
      </c>
      <c r="K85" s="5" t="n">
        <f aca="false">COUNTIF(Probe_Pairs!$B:$B,A85)</f>
        <v>9</v>
      </c>
      <c r="L85" s="5" t="n">
        <f aca="false">COUNTIFS(Probe_Pairs!$B:$B,A85,Probe_Pairs!$S:$S,"Both halves")</f>
        <v>9</v>
      </c>
      <c r="M85" s="5"/>
      <c r="N85" s="5" t="s">
        <v>168</v>
      </c>
      <c r="O85" s="5" t="s">
        <v>171</v>
      </c>
      <c r="P85" s="5" t="s">
        <v>708</v>
      </c>
      <c r="Q85" s="5" t="s">
        <v>49</v>
      </c>
      <c r="R85" s="5" t="s">
        <v>707</v>
      </c>
      <c r="S85" s="5" t="n">
        <f aca="false">IF(R85="","",COUNTIFS(Probe_Pairs!$B:$B,A85,Probe_Pairs!$X:$X,"Both halves"))</f>
        <v>9</v>
      </c>
      <c r="T85" s="5" t="str">
        <f aca="false">IF(R85="","",IF(S85*2&gt;=K85,"High","Low"))</f>
        <v>High</v>
      </c>
      <c r="U85" s="5" t="s">
        <v>709</v>
      </c>
      <c r="V85" s="5" t="s">
        <v>710</v>
      </c>
      <c r="W85" s="5" t="s">
        <v>711</v>
      </c>
      <c r="X85" s="5"/>
      <c r="Y85" s="7"/>
      <c r="Z85" s="7"/>
      <c r="AA85" s="7"/>
      <c r="AB85" s="7"/>
      <c r="AC85" s="7"/>
    </row>
    <row r="86" customFormat="false" ht="15" hidden="false" customHeight="false" outlineLevel="0" collapsed="false">
      <c r="A86" s="5" t="s">
        <v>712</v>
      </c>
      <c r="B86" s="5" t="s">
        <v>40</v>
      </c>
      <c r="C86" s="5" t="s">
        <v>713</v>
      </c>
      <c r="D86" s="5" t="s">
        <v>714</v>
      </c>
      <c r="E86" s="5" t="s">
        <v>43</v>
      </c>
      <c r="F86" s="5" t="s">
        <v>715</v>
      </c>
      <c r="G86" s="5" t="s">
        <v>716</v>
      </c>
      <c r="H86" s="5"/>
      <c r="I86" s="9" t="s">
        <v>66</v>
      </c>
      <c r="J86" s="5" t="s">
        <v>587</v>
      </c>
      <c r="K86" s="5" t="n">
        <f aca="false">COUNTIF(Probe_Pairs!$B:$B,A86)</f>
        <v>6</v>
      </c>
      <c r="L86" s="5" t="n">
        <f aca="false">COUNTIFS(Probe_Pairs!$B:$B,A86,Probe_Pairs!$S:$S,"Both halves")</f>
        <v>6</v>
      </c>
      <c r="M86" s="5"/>
      <c r="N86" s="5" t="s">
        <v>717</v>
      </c>
      <c r="O86" s="5" t="s">
        <v>588</v>
      </c>
      <c r="P86" s="5" t="s">
        <v>718</v>
      </c>
      <c r="Q86" s="5" t="s">
        <v>49</v>
      </c>
      <c r="R86" s="5" t="s">
        <v>715</v>
      </c>
      <c r="S86" s="5" t="n">
        <f aca="false">IF(R86="","",COUNTIFS(Probe_Pairs!$B:$B,A86,Probe_Pairs!$X:$X,"Both halves"))</f>
        <v>6</v>
      </c>
      <c r="T86" s="5" t="str">
        <f aca="false">IF(R86="","",IF(S86*2&gt;=K86,"High","Low"))</f>
        <v>High</v>
      </c>
      <c r="U86" s="5" t="s">
        <v>719</v>
      </c>
      <c r="V86" s="5" t="s">
        <v>720</v>
      </c>
      <c r="W86" s="5" t="s">
        <v>721</v>
      </c>
      <c r="X86" s="5"/>
      <c r="Y86" s="7"/>
      <c r="Z86" s="7"/>
      <c r="AA86" s="7"/>
      <c r="AB86" s="7"/>
      <c r="AC86" s="7"/>
    </row>
    <row r="87" customFormat="false" ht="15" hidden="false" customHeight="false" outlineLevel="0" collapsed="false">
      <c r="A87" s="5" t="s">
        <v>722</v>
      </c>
      <c r="B87" s="5" t="s">
        <v>40</v>
      </c>
      <c r="C87" s="5" t="s">
        <v>723</v>
      </c>
      <c r="D87" s="5" t="s">
        <v>724</v>
      </c>
      <c r="E87" s="5" t="s">
        <v>43</v>
      </c>
      <c r="F87" s="5" t="s">
        <v>725</v>
      </c>
      <c r="G87" s="5" t="s">
        <v>726</v>
      </c>
      <c r="H87" s="5"/>
      <c r="I87" s="9" t="s">
        <v>66</v>
      </c>
      <c r="J87" s="5" t="s">
        <v>587</v>
      </c>
      <c r="K87" s="5" t="n">
        <f aca="false">COUNTIF(Probe_Pairs!$B:$B,A87)</f>
        <v>6</v>
      </c>
      <c r="L87" s="5" t="n">
        <f aca="false">COUNTIFS(Probe_Pairs!$B:$B,A87,Probe_Pairs!$S:$S,"Both halves")</f>
        <v>6</v>
      </c>
      <c r="M87" s="5"/>
      <c r="N87" s="5" t="s">
        <v>723</v>
      </c>
      <c r="O87" s="5" t="s">
        <v>588</v>
      </c>
      <c r="P87" s="5" t="s">
        <v>727</v>
      </c>
      <c r="Q87" s="5" t="s">
        <v>49</v>
      </c>
      <c r="R87" s="5" t="s">
        <v>725</v>
      </c>
      <c r="S87" s="5" t="n">
        <f aca="false">IF(R87="","",COUNTIFS(Probe_Pairs!$B:$B,A87,Probe_Pairs!$X:$X,"Both halves"))</f>
        <v>6</v>
      </c>
      <c r="T87" s="5" t="str">
        <f aca="false">IF(R87="","",IF(S87*2&gt;=K87,"High","Low"))</f>
        <v>High</v>
      </c>
      <c r="U87" s="5" t="s">
        <v>724</v>
      </c>
      <c r="V87" s="5" t="s">
        <v>728</v>
      </c>
      <c r="W87" s="5" t="s">
        <v>729</v>
      </c>
      <c r="X87" s="5"/>
      <c r="Y87" s="7"/>
      <c r="Z87" s="7"/>
      <c r="AA87" s="7"/>
      <c r="AB87" s="7"/>
      <c r="AC87" s="7"/>
    </row>
    <row r="88" customFormat="false" ht="15" hidden="false" customHeight="false" outlineLevel="0" collapsed="false">
      <c r="A88" s="5" t="s">
        <v>730</v>
      </c>
      <c r="B88" s="5" t="s">
        <v>40</v>
      </c>
      <c r="C88" s="5" t="s">
        <v>731</v>
      </c>
      <c r="D88" s="5" t="s">
        <v>732</v>
      </c>
      <c r="E88" s="5" t="s">
        <v>43</v>
      </c>
      <c r="F88" s="5" t="s">
        <v>733</v>
      </c>
      <c r="G88" s="5" t="s">
        <v>734</v>
      </c>
      <c r="H88" s="5"/>
      <c r="I88" s="9" t="s">
        <v>66</v>
      </c>
      <c r="J88" s="5" t="s">
        <v>587</v>
      </c>
      <c r="K88" s="5" t="n">
        <f aca="false">COUNTIF(Probe_Pairs!$B:$B,A88)</f>
        <v>6</v>
      </c>
      <c r="L88" s="5" t="n">
        <f aca="false">COUNTIFS(Probe_Pairs!$B:$B,A88,Probe_Pairs!$S:$S,"Both halves")</f>
        <v>6</v>
      </c>
      <c r="M88" s="5"/>
      <c r="N88" s="5" t="s">
        <v>731</v>
      </c>
      <c r="O88" s="5" t="s">
        <v>588</v>
      </c>
      <c r="P88" s="5" t="s">
        <v>735</v>
      </c>
      <c r="Q88" s="5" t="s">
        <v>49</v>
      </c>
      <c r="R88" s="5" t="s">
        <v>733</v>
      </c>
      <c r="S88" s="5" t="n">
        <f aca="false">IF(R88="","",COUNTIFS(Probe_Pairs!$B:$B,A88,Probe_Pairs!$X:$X,"Both halves"))</f>
        <v>6</v>
      </c>
      <c r="T88" s="5" t="str">
        <f aca="false">IF(R88="","",IF(S88*2&gt;=K88,"High","Low"))</f>
        <v>High</v>
      </c>
      <c r="U88" s="5" t="s">
        <v>732</v>
      </c>
      <c r="V88" s="5" t="s">
        <v>732</v>
      </c>
      <c r="W88" s="5" t="s">
        <v>736</v>
      </c>
      <c r="X88" s="5"/>
      <c r="Y88" s="7"/>
      <c r="Z88" s="7"/>
      <c r="AA88" s="7"/>
      <c r="AB88" s="7"/>
      <c r="AC88" s="7"/>
    </row>
    <row r="89" customFormat="false" ht="15" hidden="false" customHeight="false" outlineLevel="0" collapsed="false">
      <c r="A89" s="5" t="s">
        <v>737</v>
      </c>
      <c r="B89" s="5" t="s">
        <v>40</v>
      </c>
      <c r="C89" s="5" t="s">
        <v>738</v>
      </c>
      <c r="D89" s="5" t="s">
        <v>739</v>
      </c>
      <c r="E89" s="5" t="s">
        <v>43</v>
      </c>
      <c r="F89" s="5" t="s">
        <v>740</v>
      </c>
      <c r="G89" s="5"/>
      <c r="H89" s="5"/>
      <c r="I89" s="9" t="s">
        <v>66</v>
      </c>
      <c r="J89" s="5" t="s">
        <v>587</v>
      </c>
      <c r="K89" s="5" t="n">
        <f aca="false">COUNTIF(Probe_Pairs!$B:$B,A89)</f>
        <v>6</v>
      </c>
      <c r="L89" s="5" t="n">
        <f aca="false">COUNTIFS(Probe_Pairs!$B:$B,A89,Probe_Pairs!$S:$S,"Both halves")</f>
        <v>6</v>
      </c>
      <c r="M89" s="5"/>
      <c r="N89" s="5" t="s">
        <v>738</v>
      </c>
      <c r="O89" s="5" t="s">
        <v>588</v>
      </c>
      <c r="P89" s="5" t="s">
        <v>741</v>
      </c>
      <c r="Q89" s="5" t="s">
        <v>49</v>
      </c>
      <c r="R89" s="5" t="s">
        <v>742</v>
      </c>
      <c r="S89" s="5" t="n">
        <f aca="false">IF(R89="","",COUNTIFS(Probe_Pairs!$B:$B,A89,Probe_Pairs!$X:$X,"Both halves"))</f>
        <v>6</v>
      </c>
      <c r="T89" s="5" t="str">
        <f aca="false">IF(R89="","",IF(S89*2&gt;=K89,"High","Low"))</f>
        <v>High</v>
      </c>
      <c r="U89" s="5" t="s">
        <v>743</v>
      </c>
      <c r="V89" s="5" t="s">
        <v>744</v>
      </c>
      <c r="W89" s="5" t="s">
        <v>745</v>
      </c>
      <c r="X89" s="8" t="s">
        <v>746</v>
      </c>
      <c r="Y89" s="7"/>
      <c r="Z89" s="7"/>
      <c r="AA89" s="7"/>
      <c r="AB89" s="7"/>
      <c r="AC89" s="7"/>
    </row>
    <row r="90" customFormat="false" ht="15" hidden="false" customHeight="false" outlineLevel="0" collapsed="false">
      <c r="A90" s="5" t="s">
        <v>747</v>
      </c>
      <c r="B90" s="5" t="s">
        <v>40</v>
      </c>
      <c r="C90" s="5" t="s">
        <v>748</v>
      </c>
      <c r="D90" s="5" t="s">
        <v>748</v>
      </c>
      <c r="E90" s="5" t="s">
        <v>43</v>
      </c>
      <c r="F90" s="5"/>
      <c r="G90" s="5"/>
      <c r="H90" s="5" t="s">
        <v>749</v>
      </c>
      <c r="I90" s="9" t="s">
        <v>66</v>
      </c>
      <c r="J90" s="5" t="s">
        <v>587</v>
      </c>
      <c r="K90" s="5" t="n">
        <f aca="false">COUNTIF(Probe_Pairs!$B:$B,A90)</f>
        <v>8</v>
      </c>
      <c r="L90" s="5" t="n">
        <f aca="false">COUNTIFS(Probe_Pairs!$B:$B,A90,Probe_Pairs!$S:$S,"Both halves")</f>
        <v>8</v>
      </c>
      <c r="M90" s="5"/>
      <c r="N90" s="5" t="s">
        <v>750</v>
      </c>
      <c r="O90" s="5" t="s">
        <v>154</v>
      </c>
      <c r="P90" s="5" t="s">
        <v>751</v>
      </c>
      <c r="Q90" s="5"/>
      <c r="R90" s="5"/>
      <c r="S90" s="5" t="str">
        <f aca="false">IF(R90="","",COUNTIFS(Probe_Pairs!$B:$B,A90,Probe_Pairs!$X:$X,"Both halves"))</f>
        <v/>
      </c>
      <c r="T90" s="5" t="str">
        <f aca="false">IF(R90="","",IF(S90*2&gt;=K90,"High","Low"))</f>
        <v/>
      </c>
      <c r="U90" s="5"/>
      <c r="V90" s="5"/>
      <c r="W90" s="5"/>
      <c r="X90" s="5"/>
      <c r="Y90" s="7"/>
      <c r="Z90" s="7"/>
      <c r="AA90" s="7"/>
      <c r="AB90" s="7"/>
      <c r="AC90" s="7"/>
    </row>
    <row r="91" customFormat="false" ht="15" hidden="false" customHeight="false" outlineLevel="0" collapsed="false">
      <c r="A91" s="5" t="s">
        <v>752</v>
      </c>
      <c r="B91" s="5" t="s">
        <v>40</v>
      </c>
      <c r="C91" s="5" t="s">
        <v>237</v>
      </c>
      <c r="D91" s="5" t="s">
        <v>237</v>
      </c>
      <c r="E91" s="5" t="s">
        <v>43</v>
      </c>
      <c r="F91" s="5" t="s">
        <v>238</v>
      </c>
      <c r="G91" s="5" t="s">
        <v>239</v>
      </c>
      <c r="H91" s="5"/>
      <c r="I91" s="9" t="s">
        <v>66</v>
      </c>
      <c r="J91" s="5" t="s">
        <v>587</v>
      </c>
      <c r="K91" s="5" t="n">
        <f aca="false">COUNTIF(Probe_Pairs!$B:$B,A91)</f>
        <v>10</v>
      </c>
      <c r="L91" s="5" t="n">
        <f aca="false">COUNTIFS(Probe_Pairs!$B:$B,A91,Probe_Pairs!$S:$S,"Both halves")</f>
        <v>4</v>
      </c>
      <c r="M91" s="5" t="s">
        <v>45</v>
      </c>
      <c r="N91" s="5" t="s">
        <v>570</v>
      </c>
      <c r="O91" s="5" t="s">
        <v>573</v>
      </c>
      <c r="P91" s="5" t="s">
        <v>240</v>
      </c>
      <c r="Q91" s="5" t="s">
        <v>68</v>
      </c>
      <c r="R91" s="5" t="s">
        <v>238</v>
      </c>
      <c r="S91" s="5" t="n">
        <f aca="false">IF(R91="","",COUNTIFS(Probe_Pairs!$B:$B,A91,Probe_Pairs!$X:$X,"Both halves"))</f>
        <v>10</v>
      </c>
      <c r="T91" s="5" t="str">
        <f aca="false">IF(R91="","",IF(S91*2&gt;=K91,"High","Low"))</f>
        <v>High</v>
      </c>
      <c r="U91" s="5" t="s">
        <v>241</v>
      </c>
      <c r="V91" s="5" t="s">
        <v>242</v>
      </c>
      <c r="W91" s="5" t="s">
        <v>243</v>
      </c>
      <c r="X91" s="8" t="s">
        <v>389</v>
      </c>
      <c r="Y91" s="7"/>
      <c r="Z91" s="7"/>
      <c r="AA91" s="7"/>
      <c r="AB91" s="7"/>
      <c r="AC91" s="7"/>
    </row>
    <row r="92" customFormat="false" ht="15" hidden="false" customHeight="false" outlineLevel="0" collapsed="false">
      <c r="A92" s="5" t="s">
        <v>753</v>
      </c>
      <c r="B92" s="5" t="s">
        <v>40</v>
      </c>
      <c r="C92" s="5" t="s">
        <v>754</v>
      </c>
      <c r="D92" s="5" t="s">
        <v>755</v>
      </c>
      <c r="E92" s="5" t="s">
        <v>43</v>
      </c>
      <c r="F92" s="5" t="s">
        <v>756</v>
      </c>
      <c r="G92" s="5" t="s">
        <v>757</v>
      </c>
      <c r="H92" s="5"/>
      <c r="I92" s="9" t="s">
        <v>66</v>
      </c>
      <c r="J92" s="5" t="s">
        <v>587</v>
      </c>
      <c r="K92" s="5" t="n">
        <f aca="false">COUNTIF(Probe_Pairs!$B:$B,A92)</f>
        <v>13</v>
      </c>
      <c r="L92" s="5" t="n">
        <f aca="false">COUNTIFS(Probe_Pairs!$B:$B,A92,Probe_Pairs!$S:$S,"Both halves")</f>
        <v>11</v>
      </c>
      <c r="M92" s="5"/>
      <c r="N92" s="5" t="s">
        <v>758</v>
      </c>
      <c r="O92" s="5" t="s">
        <v>759</v>
      </c>
      <c r="P92" s="5" t="s">
        <v>760</v>
      </c>
      <c r="Q92" s="5" t="s">
        <v>68</v>
      </c>
      <c r="R92" s="5" t="s">
        <v>756</v>
      </c>
      <c r="S92" s="5" t="n">
        <f aca="false">IF(R92="","",COUNTIFS(Probe_Pairs!$B:$B,A92,Probe_Pairs!$X:$X,"Both halves"))</f>
        <v>12</v>
      </c>
      <c r="T92" s="5" t="str">
        <f aca="false">IF(R92="","",IF(S92*2&gt;=K92,"High","Low"))</f>
        <v>High</v>
      </c>
      <c r="U92" s="5" t="s">
        <v>761</v>
      </c>
      <c r="V92" s="5" t="s">
        <v>762</v>
      </c>
      <c r="W92" s="5" t="s">
        <v>763</v>
      </c>
      <c r="X92" s="8" t="s">
        <v>235</v>
      </c>
      <c r="Y92" s="7"/>
      <c r="Z92" s="7"/>
      <c r="AA92" s="7"/>
      <c r="AB92" s="7"/>
      <c r="AC92" s="7"/>
    </row>
    <row r="93" customFormat="false" ht="15" hidden="false" customHeight="false" outlineLevel="0" collapsed="false">
      <c r="A93" s="5" t="s">
        <v>764</v>
      </c>
      <c r="B93" s="5" t="s">
        <v>40</v>
      </c>
      <c r="C93" s="5" t="s">
        <v>765</v>
      </c>
      <c r="D93" s="5" t="s">
        <v>766</v>
      </c>
      <c r="E93" s="5" t="s">
        <v>43</v>
      </c>
      <c r="F93" s="5" t="s">
        <v>767</v>
      </c>
      <c r="G93" s="5"/>
      <c r="H93" s="5"/>
      <c r="I93" s="9" t="s">
        <v>66</v>
      </c>
      <c r="J93" s="5" t="s">
        <v>587</v>
      </c>
      <c r="K93" s="5" t="n">
        <f aca="false">COUNTIF(Probe_Pairs!$B:$B,A93)</f>
        <v>6</v>
      </c>
      <c r="L93" s="5" t="n">
        <f aca="false">COUNTIFS(Probe_Pairs!$B:$B,A93,Probe_Pairs!$S:$S,"Both halves")</f>
        <v>6</v>
      </c>
      <c r="M93" s="5"/>
      <c r="N93" s="5" t="s">
        <v>765</v>
      </c>
      <c r="O93" s="5" t="s">
        <v>588</v>
      </c>
      <c r="P93" s="5" t="s">
        <v>768</v>
      </c>
      <c r="Q93" s="5" t="s">
        <v>49</v>
      </c>
      <c r="R93" s="5" t="s">
        <v>767</v>
      </c>
      <c r="S93" s="5" t="n">
        <f aca="false">IF(R93="","",COUNTIFS(Probe_Pairs!$B:$B,A93,Probe_Pairs!$X:$X,"Both halves"))</f>
        <v>3</v>
      </c>
      <c r="T93" s="5" t="str">
        <f aca="false">IF(R93="","",IF(S93*2&gt;=K93,"High","Low"))</f>
        <v>High</v>
      </c>
      <c r="U93" s="5" t="s">
        <v>769</v>
      </c>
      <c r="V93" s="5" t="s">
        <v>769</v>
      </c>
      <c r="W93" s="5" t="s">
        <v>770</v>
      </c>
      <c r="X93" s="5"/>
      <c r="Y93" s="7"/>
      <c r="Z93" s="7"/>
      <c r="AA93" s="7"/>
      <c r="AB93" s="7"/>
      <c r="AC93" s="7"/>
    </row>
    <row r="94" customFormat="false" ht="15" hidden="false" customHeight="false" outlineLevel="0" collapsed="false">
      <c r="A94" s="5" t="s">
        <v>771</v>
      </c>
      <c r="B94" s="5" t="s">
        <v>40</v>
      </c>
      <c r="C94" s="5" t="s">
        <v>772</v>
      </c>
      <c r="D94" s="5" t="s">
        <v>773</v>
      </c>
      <c r="E94" s="5" t="s">
        <v>43</v>
      </c>
      <c r="F94" s="5" t="s">
        <v>774</v>
      </c>
      <c r="G94" s="5"/>
      <c r="H94" s="5"/>
      <c r="I94" s="9" t="s">
        <v>66</v>
      </c>
      <c r="J94" s="5" t="s">
        <v>587</v>
      </c>
      <c r="K94" s="5" t="n">
        <f aca="false">COUNTIF(Probe_Pairs!$B:$B,A94)</f>
        <v>6</v>
      </c>
      <c r="L94" s="5" t="n">
        <f aca="false">COUNTIFS(Probe_Pairs!$B:$B,A94,Probe_Pairs!$S:$S,"Both halves")</f>
        <v>6</v>
      </c>
      <c r="M94" s="5" t="s">
        <v>775</v>
      </c>
      <c r="N94" s="5" t="s">
        <v>772</v>
      </c>
      <c r="O94" s="5" t="s">
        <v>588</v>
      </c>
      <c r="P94" s="5" t="s">
        <v>776</v>
      </c>
      <c r="Q94" s="5" t="s">
        <v>68</v>
      </c>
      <c r="R94" s="5" t="s">
        <v>774</v>
      </c>
      <c r="S94" s="5" t="n">
        <f aca="false">IF(R94="","",COUNTIFS(Probe_Pairs!$B:$B,A94,Probe_Pairs!$X:$X,"Both halves"))</f>
        <v>6</v>
      </c>
      <c r="T94" s="5" t="str">
        <f aca="false">IF(R94="","",IF(S94*2&gt;=K94,"High","Low"))</f>
        <v>High</v>
      </c>
      <c r="U94" s="5" t="s">
        <v>777</v>
      </c>
      <c r="V94" s="5" t="s">
        <v>777</v>
      </c>
      <c r="W94" s="5" t="s">
        <v>778</v>
      </c>
      <c r="X94" s="5"/>
      <c r="Y94" s="7"/>
      <c r="Z94" s="7"/>
      <c r="AA94" s="7"/>
      <c r="AB94" s="7"/>
      <c r="AC94" s="7"/>
    </row>
    <row r="95" customFormat="false" ht="15" hidden="false" customHeight="false" outlineLevel="0" collapsed="false">
      <c r="A95" s="5" t="s">
        <v>779</v>
      </c>
      <c r="B95" s="5" t="s">
        <v>40</v>
      </c>
      <c r="C95" s="5" t="s">
        <v>780</v>
      </c>
      <c r="D95" s="5" t="s">
        <v>781</v>
      </c>
      <c r="E95" s="5" t="s">
        <v>43</v>
      </c>
      <c r="F95" s="5" t="s">
        <v>782</v>
      </c>
      <c r="G95" s="5"/>
      <c r="H95" s="5"/>
      <c r="I95" s="9" t="s">
        <v>66</v>
      </c>
      <c r="J95" s="5" t="s">
        <v>587</v>
      </c>
      <c r="K95" s="5" t="n">
        <f aca="false">COUNTIF(Probe_Pairs!$B:$B,A95)</f>
        <v>8</v>
      </c>
      <c r="L95" s="5" t="n">
        <f aca="false">COUNTIFS(Probe_Pairs!$B:$B,A95,Probe_Pairs!$S:$S,"Both halves")</f>
        <v>8</v>
      </c>
      <c r="M95" s="5"/>
      <c r="N95" s="5" t="s">
        <v>780</v>
      </c>
      <c r="O95" s="5" t="s">
        <v>453</v>
      </c>
      <c r="P95" s="5" t="s">
        <v>783</v>
      </c>
      <c r="Q95" s="5" t="s">
        <v>68</v>
      </c>
      <c r="R95" s="5" t="s">
        <v>782</v>
      </c>
      <c r="S95" s="5" t="n">
        <f aca="false">IF(R95="","",COUNTIFS(Probe_Pairs!$B:$B,A95,Probe_Pairs!$X:$X,"Both halves"))</f>
        <v>5</v>
      </c>
      <c r="T95" s="5" t="str">
        <f aca="false">IF(R95="","",IF(S95*2&gt;=K95,"High","Low"))</f>
        <v>High</v>
      </c>
      <c r="U95" s="5" t="s">
        <v>784</v>
      </c>
      <c r="V95" s="5" t="s">
        <v>785</v>
      </c>
      <c r="W95" s="5" t="s">
        <v>786</v>
      </c>
      <c r="X95" s="5"/>
      <c r="Y95" s="7"/>
      <c r="Z95" s="7"/>
      <c r="AA95" s="7"/>
      <c r="AB95" s="7"/>
      <c r="AC95" s="7"/>
    </row>
    <row r="96" customFormat="false" ht="15" hidden="false" customHeight="false" outlineLevel="0" collapsed="false">
      <c r="A96" s="5" t="s">
        <v>787</v>
      </c>
      <c r="B96" s="5" t="s">
        <v>40</v>
      </c>
      <c r="C96" s="5" t="s">
        <v>788</v>
      </c>
      <c r="D96" s="5" t="s">
        <v>789</v>
      </c>
      <c r="E96" s="5" t="s">
        <v>43</v>
      </c>
      <c r="F96" s="5" t="s">
        <v>790</v>
      </c>
      <c r="G96" s="5" t="s">
        <v>791</v>
      </c>
      <c r="H96" s="5"/>
      <c r="I96" s="9" t="s">
        <v>66</v>
      </c>
      <c r="J96" s="5" t="s">
        <v>587</v>
      </c>
      <c r="K96" s="5" t="n">
        <f aca="false">COUNTIF(Probe_Pairs!$B:$B,A96)</f>
        <v>6</v>
      </c>
      <c r="L96" s="5" t="n">
        <f aca="false">COUNTIFS(Probe_Pairs!$B:$B,A96,Probe_Pairs!$S:$S,"Both halves")</f>
        <v>6</v>
      </c>
      <c r="M96" s="5"/>
      <c r="N96" s="5" t="s">
        <v>788</v>
      </c>
      <c r="O96" s="5" t="s">
        <v>588</v>
      </c>
      <c r="P96" s="5" t="s">
        <v>792</v>
      </c>
      <c r="Q96" s="5" t="s">
        <v>49</v>
      </c>
      <c r="R96" s="5" t="s">
        <v>790</v>
      </c>
      <c r="S96" s="5" t="n">
        <f aca="false">IF(R96="","",COUNTIFS(Probe_Pairs!$B:$B,A96,Probe_Pairs!$X:$X,"Both halves"))</f>
        <v>6</v>
      </c>
      <c r="T96" s="5" t="str">
        <f aca="false">IF(R96="","",IF(S96*2&gt;=K96,"High","Low"))</f>
        <v>High</v>
      </c>
      <c r="U96" s="5" t="s">
        <v>789</v>
      </c>
      <c r="V96" s="5" t="s">
        <v>597</v>
      </c>
      <c r="W96" s="5" t="s">
        <v>793</v>
      </c>
      <c r="X96" s="5"/>
      <c r="Y96" s="7"/>
      <c r="Z96" s="7"/>
      <c r="AA96" s="7"/>
      <c r="AB96" s="7"/>
      <c r="AC96" s="7"/>
    </row>
    <row r="97" customFormat="false" ht="15" hidden="false" customHeight="false" outlineLevel="0" collapsed="false">
      <c r="A97" s="5" t="s">
        <v>794</v>
      </c>
      <c r="B97" s="5" t="s">
        <v>40</v>
      </c>
      <c r="C97" s="5" t="s">
        <v>795</v>
      </c>
      <c r="D97" s="5" t="s">
        <v>796</v>
      </c>
      <c r="E97" s="5" t="s">
        <v>43</v>
      </c>
      <c r="F97" s="5" t="s">
        <v>797</v>
      </c>
      <c r="G97" s="5"/>
      <c r="H97" s="5"/>
      <c r="I97" s="9" t="s">
        <v>66</v>
      </c>
      <c r="J97" s="5" t="s">
        <v>587</v>
      </c>
      <c r="K97" s="5" t="n">
        <f aca="false">COUNTIF(Probe_Pairs!$B:$B,A97)</f>
        <v>5</v>
      </c>
      <c r="L97" s="5" t="n">
        <f aca="false">COUNTIFS(Probe_Pairs!$B:$B,A97,Probe_Pairs!$S:$S,"Both halves")</f>
        <v>0</v>
      </c>
      <c r="M97" s="5"/>
      <c r="N97" s="5" t="s">
        <v>795</v>
      </c>
      <c r="O97" s="5" t="s">
        <v>154</v>
      </c>
      <c r="P97" s="5"/>
      <c r="Q97" s="5" t="s">
        <v>68</v>
      </c>
      <c r="R97" s="5" t="s">
        <v>797</v>
      </c>
      <c r="S97" s="5" t="n">
        <f aca="false">IF(R97="","",COUNTIFS(Probe_Pairs!$B:$B,A97,Probe_Pairs!$X:$X,"Both halves"))</f>
        <v>5</v>
      </c>
      <c r="T97" s="5" t="str">
        <f aca="false">IF(R97="","",IF(S97*2&gt;=K97,"High","Low"))</f>
        <v>High</v>
      </c>
      <c r="U97" s="5" t="s">
        <v>796</v>
      </c>
      <c r="V97" s="5" t="s">
        <v>796</v>
      </c>
      <c r="W97" s="5" t="s">
        <v>798</v>
      </c>
      <c r="X97" s="5"/>
      <c r="Y97" s="7"/>
      <c r="Z97" s="7"/>
      <c r="AA97" s="7"/>
      <c r="AB97" s="7"/>
      <c r="AC97" s="7"/>
    </row>
    <row r="98" customFormat="false" ht="15" hidden="false" customHeight="false" outlineLevel="0" collapsed="false">
      <c r="A98" s="5" t="s">
        <v>799</v>
      </c>
      <c r="B98" s="5" t="s">
        <v>40</v>
      </c>
      <c r="C98" s="5" t="s">
        <v>800</v>
      </c>
      <c r="D98" s="5" t="s">
        <v>801</v>
      </c>
      <c r="E98" s="5" t="s">
        <v>43</v>
      </c>
      <c r="F98" s="5" t="s">
        <v>802</v>
      </c>
      <c r="G98" s="5" t="s">
        <v>803</v>
      </c>
      <c r="H98" s="5"/>
      <c r="I98" s="9" t="s">
        <v>66</v>
      </c>
      <c r="J98" s="5" t="s">
        <v>587</v>
      </c>
      <c r="K98" s="5" t="n">
        <f aca="false">COUNTIF(Probe_Pairs!$B:$B,A98)</f>
        <v>3</v>
      </c>
      <c r="L98" s="5" t="n">
        <f aca="false">COUNTIFS(Probe_Pairs!$B:$B,A98,Probe_Pairs!$S:$S,"Both halves")</f>
        <v>3</v>
      </c>
      <c r="M98" s="5"/>
      <c r="N98" s="5" t="s">
        <v>804</v>
      </c>
      <c r="O98" s="5" t="s">
        <v>588</v>
      </c>
      <c r="P98" s="5" t="s">
        <v>805</v>
      </c>
      <c r="Q98" s="5" t="s">
        <v>68</v>
      </c>
      <c r="R98" s="5" t="s">
        <v>802</v>
      </c>
      <c r="S98" s="5" t="n">
        <f aca="false">IF(R98="","",COUNTIFS(Probe_Pairs!$B:$B,A98,Probe_Pairs!$X:$X,"Both halves"))</f>
        <v>3</v>
      </c>
      <c r="T98" s="5" t="str">
        <f aca="false">IF(R98="","",IF(S98*2&gt;=K98,"High","Low"))</f>
        <v>High</v>
      </c>
      <c r="U98" s="5" t="s">
        <v>801</v>
      </c>
      <c r="V98" s="5" t="s">
        <v>801</v>
      </c>
      <c r="W98" s="5" t="s">
        <v>806</v>
      </c>
      <c r="X98" s="5"/>
      <c r="Y98" s="7"/>
      <c r="Z98" s="7"/>
      <c r="AA98" s="7"/>
      <c r="AB98" s="7"/>
      <c r="AC98" s="7"/>
    </row>
    <row r="99" customFormat="false" ht="15" hidden="false" customHeight="false" outlineLevel="0" collapsed="false">
      <c r="A99" s="5" t="s">
        <v>807</v>
      </c>
      <c r="B99" s="5" t="s">
        <v>40</v>
      </c>
      <c r="C99" s="5" t="s">
        <v>808</v>
      </c>
      <c r="D99" s="5" t="s">
        <v>808</v>
      </c>
      <c r="E99" s="5" t="s">
        <v>43</v>
      </c>
      <c r="F99" s="5" t="s">
        <v>809</v>
      </c>
      <c r="G99" s="5"/>
      <c r="H99" s="5"/>
      <c r="I99" s="9" t="s">
        <v>66</v>
      </c>
      <c r="J99" s="5" t="s">
        <v>587</v>
      </c>
      <c r="K99" s="5" t="n">
        <f aca="false">COUNTIF(Probe_Pairs!$B:$B,A99)</f>
        <v>5</v>
      </c>
      <c r="L99" s="5" t="n">
        <f aca="false">COUNTIFS(Probe_Pairs!$B:$B,A99,Probe_Pairs!$S:$S,"Both halves")</f>
        <v>5</v>
      </c>
      <c r="M99" s="5"/>
      <c r="N99" s="5" t="s">
        <v>810</v>
      </c>
      <c r="O99" s="5" t="s">
        <v>588</v>
      </c>
      <c r="P99" s="5" t="s">
        <v>811</v>
      </c>
      <c r="Q99" s="5" t="s">
        <v>68</v>
      </c>
      <c r="R99" s="5" t="s">
        <v>809</v>
      </c>
      <c r="S99" s="5" t="n">
        <f aca="false">IF(R99="","",COUNTIFS(Probe_Pairs!$B:$B,A99,Probe_Pairs!$X:$X,"Both halves"))</f>
        <v>3</v>
      </c>
      <c r="T99" s="5" t="str">
        <f aca="false">IF(R99="","",IF(S99*2&gt;=K99,"High","Low"))</f>
        <v>High</v>
      </c>
      <c r="U99" s="5" t="s">
        <v>812</v>
      </c>
      <c r="V99" s="5" t="s">
        <v>813</v>
      </c>
      <c r="W99" s="5" t="s">
        <v>814</v>
      </c>
      <c r="X99" s="5"/>
      <c r="Y99" s="7"/>
      <c r="Z99" s="7"/>
      <c r="AA99" s="7"/>
      <c r="AB99" s="7"/>
      <c r="AC99" s="7"/>
    </row>
    <row r="100" customFormat="false" ht="15" hidden="false" customHeight="false" outlineLevel="0" collapsed="false">
      <c r="A100" s="5" t="s">
        <v>815</v>
      </c>
      <c r="B100" s="5" t="s">
        <v>40</v>
      </c>
      <c r="C100" s="5" t="s">
        <v>816</v>
      </c>
      <c r="D100" s="5" t="s">
        <v>817</v>
      </c>
      <c r="E100" s="5" t="s">
        <v>43</v>
      </c>
      <c r="F100" s="5" t="s">
        <v>818</v>
      </c>
      <c r="G100" s="5"/>
      <c r="H100" s="5" t="s">
        <v>819</v>
      </c>
      <c r="I100" s="9" t="s">
        <v>66</v>
      </c>
      <c r="J100" s="5" t="s">
        <v>587</v>
      </c>
      <c r="K100" s="5" t="n">
        <f aca="false">COUNTIF(Probe_Pairs!$B:$B,A100)</f>
        <v>5</v>
      </c>
      <c r="L100" s="5" t="n">
        <f aca="false">COUNTIFS(Probe_Pairs!$B:$B,A100,Probe_Pairs!$S:$S,"Both halves")</f>
        <v>5</v>
      </c>
      <c r="M100" s="5"/>
      <c r="N100" s="5" t="s">
        <v>317</v>
      </c>
      <c r="O100" s="5" t="s">
        <v>588</v>
      </c>
      <c r="P100" s="5" t="s">
        <v>820</v>
      </c>
      <c r="Q100" s="5" t="s">
        <v>68</v>
      </c>
      <c r="R100" s="5" t="s">
        <v>818</v>
      </c>
      <c r="S100" s="5" t="n">
        <f aca="false">IF(R100="","",COUNTIFS(Probe_Pairs!$B:$B,A100,Probe_Pairs!$X:$X,"Both halves"))</f>
        <v>2</v>
      </c>
      <c r="T100" s="5" t="str">
        <f aca="false">IF(R100="","",IF(S100*2&gt;=K100,"High","Low"))</f>
        <v>Low</v>
      </c>
      <c r="U100" s="5" t="s">
        <v>821</v>
      </c>
      <c r="V100" s="5" t="s">
        <v>822</v>
      </c>
      <c r="W100" s="5" t="s">
        <v>823</v>
      </c>
      <c r="X100" s="8" t="s">
        <v>824</v>
      </c>
      <c r="Y100" s="7"/>
      <c r="Z100" s="7"/>
      <c r="AA100" s="7"/>
      <c r="AB100" s="7"/>
      <c r="AC100" s="7"/>
    </row>
    <row r="101" customFormat="false" ht="15" hidden="false" customHeight="false" outlineLevel="0" collapsed="false">
      <c r="A101" s="5" t="s">
        <v>825</v>
      </c>
      <c r="B101" s="5" t="s">
        <v>40</v>
      </c>
      <c r="C101" s="5" t="s">
        <v>826</v>
      </c>
      <c r="D101" s="5" t="s">
        <v>827</v>
      </c>
      <c r="E101" s="5" t="s">
        <v>43</v>
      </c>
      <c r="F101" s="5" t="s">
        <v>828</v>
      </c>
      <c r="G101" s="5" t="s">
        <v>829</v>
      </c>
      <c r="H101" s="5"/>
      <c r="I101" s="9" t="s">
        <v>66</v>
      </c>
      <c r="J101" s="5" t="s">
        <v>587</v>
      </c>
      <c r="K101" s="5" t="n">
        <f aca="false">COUNTIF(Probe_Pairs!$B:$B,A101)</f>
        <v>6</v>
      </c>
      <c r="L101" s="5" t="n">
        <f aca="false">COUNTIFS(Probe_Pairs!$B:$B,A101,Probe_Pairs!$S:$S,"Both halves")</f>
        <v>6</v>
      </c>
      <c r="M101" s="5"/>
      <c r="N101" s="5" t="s">
        <v>826</v>
      </c>
      <c r="O101" s="5" t="s">
        <v>588</v>
      </c>
      <c r="P101" s="5" t="s">
        <v>830</v>
      </c>
      <c r="Q101" s="5" t="s">
        <v>49</v>
      </c>
      <c r="R101" s="5" t="s">
        <v>828</v>
      </c>
      <c r="S101" s="5" t="n">
        <f aca="false">IF(R101="","",COUNTIFS(Probe_Pairs!$B:$B,A101,Probe_Pairs!$X:$X,"Both halves"))</f>
        <v>6</v>
      </c>
      <c r="T101" s="5" t="str">
        <f aca="false">IF(R101="","",IF(S101*2&gt;=K101,"High","Low"))</f>
        <v>High</v>
      </c>
      <c r="U101" s="5" t="s">
        <v>827</v>
      </c>
      <c r="V101" s="5" t="s">
        <v>827</v>
      </c>
      <c r="W101" s="5" t="s">
        <v>831</v>
      </c>
      <c r="X101" s="5"/>
      <c r="Y101" s="7"/>
      <c r="Z101" s="7"/>
      <c r="AA101" s="7"/>
      <c r="AB101" s="7"/>
      <c r="AC101" s="7"/>
    </row>
    <row r="102" customFormat="false" ht="15" hidden="false" customHeight="false" outlineLevel="0" collapsed="false">
      <c r="A102" s="5" t="s">
        <v>832</v>
      </c>
      <c r="B102" s="5" t="s">
        <v>40</v>
      </c>
      <c r="C102" s="5" t="s">
        <v>833</v>
      </c>
      <c r="D102" s="5" t="s">
        <v>834</v>
      </c>
      <c r="E102" s="5" t="s">
        <v>43</v>
      </c>
      <c r="F102" s="5" t="s">
        <v>835</v>
      </c>
      <c r="G102" s="5" t="s">
        <v>836</v>
      </c>
      <c r="H102" s="5"/>
      <c r="I102" s="9" t="s">
        <v>66</v>
      </c>
      <c r="J102" s="5" t="s">
        <v>587</v>
      </c>
      <c r="K102" s="5" t="n">
        <f aca="false">COUNTIF(Probe_Pairs!$B:$B,A102)</f>
        <v>6</v>
      </c>
      <c r="L102" s="5" t="n">
        <f aca="false">COUNTIFS(Probe_Pairs!$B:$B,A102,Probe_Pairs!$S:$S,"Both halves")</f>
        <v>6</v>
      </c>
      <c r="M102" s="5"/>
      <c r="N102" s="5" t="s">
        <v>833</v>
      </c>
      <c r="O102" s="5" t="s">
        <v>588</v>
      </c>
      <c r="P102" s="5" t="s">
        <v>837</v>
      </c>
      <c r="Q102" s="5" t="s">
        <v>49</v>
      </c>
      <c r="R102" s="5" t="s">
        <v>835</v>
      </c>
      <c r="S102" s="5" t="n">
        <f aca="false">IF(R102="","",COUNTIFS(Probe_Pairs!$B:$B,A102,Probe_Pairs!$X:$X,"Both halves"))</f>
        <v>6</v>
      </c>
      <c r="T102" s="5" t="str">
        <f aca="false">IF(R102="","",IF(S102*2&gt;=K102,"High","Low"))</f>
        <v>High</v>
      </c>
      <c r="U102" s="5" t="s">
        <v>834</v>
      </c>
      <c r="V102" s="5" t="s">
        <v>838</v>
      </c>
      <c r="W102" s="5" t="s">
        <v>839</v>
      </c>
      <c r="X102" s="5"/>
      <c r="Y102" s="7"/>
      <c r="Z102" s="7"/>
      <c r="AA102" s="7"/>
      <c r="AB102" s="7"/>
      <c r="AC102" s="7"/>
    </row>
    <row r="103" customFormat="false" ht="15" hidden="false" customHeight="false" outlineLevel="0" collapsed="false">
      <c r="A103" s="5" t="s">
        <v>840</v>
      </c>
      <c r="B103" s="5" t="s">
        <v>40</v>
      </c>
      <c r="C103" s="5" t="s">
        <v>841</v>
      </c>
      <c r="D103" s="5" t="s">
        <v>842</v>
      </c>
      <c r="E103" s="5" t="s">
        <v>43</v>
      </c>
      <c r="F103" s="5" t="s">
        <v>843</v>
      </c>
      <c r="G103" s="5" t="s">
        <v>844</v>
      </c>
      <c r="H103" s="5"/>
      <c r="I103" s="9" t="s">
        <v>66</v>
      </c>
      <c r="J103" s="5" t="s">
        <v>587</v>
      </c>
      <c r="K103" s="5" t="n">
        <f aca="false">COUNTIF(Probe_Pairs!$B:$B,A103)</f>
        <v>8</v>
      </c>
      <c r="L103" s="5" t="n">
        <f aca="false">COUNTIFS(Probe_Pairs!$B:$B,A103,Probe_Pairs!$S:$S,"Both halves")</f>
        <v>8</v>
      </c>
      <c r="M103" s="5" t="s">
        <v>137</v>
      </c>
      <c r="N103" s="5" t="s">
        <v>845</v>
      </c>
      <c r="O103" s="5" t="s">
        <v>588</v>
      </c>
      <c r="P103" s="5" t="s">
        <v>846</v>
      </c>
      <c r="Q103" s="5" t="s">
        <v>68</v>
      </c>
      <c r="R103" s="5" t="s">
        <v>843</v>
      </c>
      <c r="S103" s="5" t="n">
        <f aca="false">IF(R103="","",COUNTIFS(Probe_Pairs!$B:$B,A103,Probe_Pairs!$X:$X,"Both halves"))</f>
        <v>4</v>
      </c>
      <c r="T103" s="5" t="str">
        <f aca="false">IF(R103="","",IF(S103*2&gt;=K103,"High","Low"))</f>
        <v>High</v>
      </c>
      <c r="U103" s="5" t="s">
        <v>847</v>
      </c>
      <c r="V103" s="5" t="s">
        <v>847</v>
      </c>
      <c r="W103" s="5" t="s">
        <v>848</v>
      </c>
      <c r="X103" s="5"/>
      <c r="Y103" s="7"/>
      <c r="Z103" s="7"/>
      <c r="AA103" s="7"/>
      <c r="AB103" s="7"/>
      <c r="AC103" s="7"/>
    </row>
    <row r="104" customFormat="false" ht="15" hidden="false" customHeight="false" outlineLevel="0" collapsed="false">
      <c r="A104" s="5" t="s">
        <v>849</v>
      </c>
      <c r="B104" s="5" t="s">
        <v>40</v>
      </c>
      <c r="C104" s="5" t="s">
        <v>850</v>
      </c>
      <c r="D104" s="5" t="s">
        <v>851</v>
      </c>
      <c r="E104" s="5" t="s">
        <v>43</v>
      </c>
      <c r="F104" s="5" t="s">
        <v>852</v>
      </c>
      <c r="G104" s="5" t="s">
        <v>853</v>
      </c>
      <c r="H104" s="5"/>
      <c r="I104" s="9" t="s">
        <v>66</v>
      </c>
      <c r="J104" s="5" t="s">
        <v>587</v>
      </c>
      <c r="K104" s="5" t="n">
        <f aca="false">COUNTIF(Probe_Pairs!$B:$B,A104)</f>
        <v>6</v>
      </c>
      <c r="L104" s="5" t="n">
        <f aca="false">COUNTIFS(Probe_Pairs!$B:$B,A104,Probe_Pairs!$S:$S,"Both halves")</f>
        <v>6</v>
      </c>
      <c r="M104" s="5"/>
      <c r="N104" s="5" t="s">
        <v>850</v>
      </c>
      <c r="O104" s="5" t="s">
        <v>588</v>
      </c>
      <c r="P104" s="5" t="s">
        <v>854</v>
      </c>
      <c r="Q104" s="5" t="s">
        <v>49</v>
      </c>
      <c r="R104" s="5" t="s">
        <v>852</v>
      </c>
      <c r="S104" s="5" t="n">
        <f aca="false">IF(R104="","",COUNTIFS(Probe_Pairs!$B:$B,A104,Probe_Pairs!$X:$X,"Both halves"))</f>
        <v>6</v>
      </c>
      <c r="T104" s="5" t="str">
        <f aca="false">IF(R104="","",IF(S104*2&gt;=K104,"High","Low"))</f>
        <v>High</v>
      </c>
      <c r="U104" s="5" t="s">
        <v>851</v>
      </c>
      <c r="V104" s="5" t="s">
        <v>855</v>
      </c>
      <c r="W104" s="5" t="s">
        <v>856</v>
      </c>
      <c r="X104" s="5"/>
      <c r="Y104" s="7"/>
      <c r="Z104" s="7"/>
      <c r="AA104" s="7"/>
      <c r="AB104" s="7"/>
      <c r="AC104" s="7"/>
    </row>
    <row r="105" customFormat="false" ht="15" hidden="false" customHeight="false" outlineLevel="0" collapsed="false">
      <c r="A105" s="5" t="s">
        <v>857</v>
      </c>
      <c r="B105" s="5" t="s">
        <v>40</v>
      </c>
      <c r="C105" s="5" t="s">
        <v>858</v>
      </c>
      <c r="D105" s="5" t="s">
        <v>859</v>
      </c>
      <c r="E105" s="5" t="s">
        <v>43</v>
      </c>
      <c r="F105" s="5" t="s">
        <v>860</v>
      </c>
      <c r="G105" s="5" t="s">
        <v>861</v>
      </c>
      <c r="H105" s="5"/>
      <c r="I105" s="9" t="s">
        <v>66</v>
      </c>
      <c r="J105" s="5" t="s">
        <v>587</v>
      </c>
      <c r="K105" s="5" t="n">
        <f aca="false">COUNTIF(Probe_Pairs!$B:$B,A105)</f>
        <v>6</v>
      </c>
      <c r="L105" s="5" t="n">
        <f aca="false">COUNTIFS(Probe_Pairs!$B:$B,A105,Probe_Pairs!$S:$S,"Both halves")</f>
        <v>6</v>
      </c>
      <c r="M105" s="5"/>
      <c r="N105" s="5" t="s">
        <v>858</v>
      </c>
      <c r="O105" s="5" t="s">
        <v>588</v>
      </c>
      <c r="P105" s="5" t="s">
        <v>862</v>
      </c>
      <c r="Q105" s="5" t="s">
        <v>49</v>
      </c>
      <c r="R105" s="5" t="s">
        <v>860</v>
      </c>
      <c r="S105" s="5" t="n">
        <f aca="false">IF(R105="","",COUNTIFS(Probe_Pairs!$B:$B,A105,Probe_Pairs!$X:$X,"Both halves"))</f>
        <v>6</v>
      </c>
      <c r="T105" s="5" t="str">
        <f aca="false">IF(R105="","",IF(S105*2&gt;=K105,"High","Low"))</f>
        <v>High</v>
      </c>
      <c r="U105" s="5" t="s">
        <v>859</v>
      </c>
      <c r="V105" s="5" t="s">
        <v>859</v>
      </c>
      <c r="W105" s="5" t="s">
        <v>863</v>
      </c>
      <c r="X105" s="5"/>
      <c r="Y105" s="7"/>
      <c r="Z105" s="7"/>
      <c r="AA105" s="7"/>
      <c r="AB105" s="7"/>
      <c r="AC105" s="7"/>
    </row>
    <row r="106" customFormat="false" ht="15" hidden="false" customHeight="false" outlineLevel="0" collapsed="false">
      <c r="A106" s="5" t="s">
        <v>864</v>
      </c>
      <c r="B106" s="5" t="s">
        <v>40</v>
      </c>
      <c r="C106" s="5" t="s">
        <v>865</v>
      </c>
      <c r="D106" s="5" t="s">
        <v>866</v>
      </c>
      <c r="E106" s="5" t="s">
        <v>43</v>
      </c>
      <c r="F106" s="5" t="s">
        <v>867</v>
      </c>
      <c r="G106" s="5"/>
      <c r="H106" s="5"/>
      <c r="I106" s="9" t="s">
        <v>66</v>
      </c>
      <c r="J106" s="5" t="s">
        <v>587</v>
      </c>
      <c r="K106" s="5" t="n">
        <f aca="false">COUNTIF(Probe_Pairs!$B:$B,A106)</f>
        <v>5</v>
      </c>
      <c r="L106" s="5" t="n">
        <f aca="false">COUNTIFS(Probe_Pairs!$B:$B,A106,Probe_Pairs!$S:$S,"Both halves")</f>
        <v>5</v>
      </c>
      <c r="M106" s="5"/>
      <c r="N106" s="5" t="s">
        <v>865</v>
      </c>
      <c r="O106" s="5" t="s">
        <v>588</v>
      </c>
      <c r="P106" s="5" t="s">
        <v>868</v>
      </c>
      <c r="Q106" s="5" t="s">
        <v>68</v>
      </c>
      <c r="R106" s="5" t="s">
        <v>867</v>
      </c>
      <c r="S106" s="5" t="n">
        <f aca="false">IF(R106="","",COUNTIFS(Probe_Pairs!$B:$B,A106,Probe_Pairs!$X:$X,"Both halves"))</f>
        <v>5</v>
      </c>
      <c r="T106" s="5" t="str">
        <f aca="false">IF(R106="","",IF(S106*2&gt;=K106,"High","Low"))</f>
        <v>High</v>
      </c>
      <c r="U106" s="5" t="s">
        <v>869</v>
      </c>
      <c r="V106" s="5" t="s">
        <v>869</v>
      </c>
      <c r="W106" s="5" t="s">
        <v>870</v>
      </c>
      <c r="X106" s="5"/>
      <c r="Y106" s="7"/>
      <c r="Z106" s="7"/>
      <c r="AA106" s="7"/>
      <c r="AB106" s="7"/>
      <c r="AC106" s="7"/>
    </row>
    <row r="107" customFormat="false" ht="15" hidden="false" customHeight="false" outlineLevel="0" collapsed="false">
      <c r="A107" s="5" t="s">
        <v>871</v>
      </c>
      <c r="B107" s="5" t="s">
        <v>40</v>
      </c>
      <c r="C107" s="5" t="s">
        <v>872</v>
      </c>
      <c r="D107" s="5" t="s">
        <v>872</v>
      </c>
      <c r="E107" s="5" t="s">
        <v>43</v>
      </c>
      <c r="F107" s="5" t="s">
        <v>873</v>
      </c>
      <c r="G107" s="5"/>
      <c r="H107" s="5"/>
      <c r="I107" s="9" t="s">
        <v>66</v>
      </c>
      <c r="J107" s="5" t="s">
        <v>587</v>
      </c>
      <c r="K107" s="5" t="n">
        <f aca="false">COUNTIF(Probe_Pairs!$B:$B,A107)</f>
        <v>17</v>
      </c>
      <c r="L107" s="5" t="n">
        <f aca="false">COUNTIFS(Probe_Pairs!$B:$B,A107,Probe_Pairs!$S:$S,"Both halves")</f>
        <v>17</v>
      </c>
      <c r="M107" s="5" t="s">
        <v>137</v>
      </c>
      <c r="N107" s="5" t="s">
        <v>874</v>
      </c>
      <c r="O107" s="5" t="s">
        <v>875</v>
      </c>
      <c r="P107" s="5" t="s">
        <v>876</v>
      </c>
      <c r="Q107" s="5" t="s">
        <v>68</v>
      </c>
      <c r="R107" s="5" t="s">
        <v>873</v>
      </c>
      <c r="S107" s="5" t="n">
        <f aca="false">IF(R107="","",COUNTIFS(Probe_Pairs!$B:$B,A107,Probe_Pairs!$X:$X,"Both halves"))</f>
        <v>17</v>
      </c>
      <c r="T107" s="5" t="str">
        <f aca="false">IF(R107="","",IF(S107*2&gt;=K107,"High","Low"))</f>
        <v>High</v>
      </c>
      <c r="U107" s="5" t="s">
        <v>877</v>
      </c>
      <c r="V107" s="5" t="s">
        <v>878</v>
      </c>
      <c r="W107" s="5" t="s">
        <v>879</v>
      </c>
      <c r="X107" s="8" t="s">
        <v>235</v>
      </c>
      <c r="Y107" s="7"/>
      <c r="Z107" s="7"/>
      <c r="AA107" s="7"/>
      <c r="AB107" s="7"/>
      <c r="AC107" s="7"/>
    </row>
    <row r="108" customFormat="false" ht="15" hidden="false" customHeight="false" outlineLevel="0" collapsed="false">
      <c r="A108" s="5" t="s">
        <v>880</v>
      </c>
      <c r="B108" s="5" t="s">
        <v>40</v>
      </c>
      <c r="C108" s="5" t="s">
        <v>881</v>
      </c>
      <c r="D108" s="5" t="s">
        <v>882</v>
      </c>
      <c r="E108" s="5" t="s">
        <v>43</v>
      </c>
      <c r="F108" s="5" t="s">
        <v>883</v>
      </c>
      <c r="G108" s="5" t="s">
        <v>884</v>
      </c>
      <c r="H108" s="5"/>
      <c r="I108" s="9" t="s">
        <v>66</v>
      </c>
      <c r="J108" s="5" t="s">
        <v>587</v>
      </c>
      <c r="K108" s="5" t="n">
        <f aca="false">COUNTIF(Probe_Pairs!$B:$B,A108)</f>
        <v>10</v>
      </c>
      <c r="L108" s="5" t="n">
        <f aca="false">COUNTIFS(Probe_Pairs!$B:$B,A108,Probe_Pairs!$S:$S,"Both halves")</f>
        <v>10</v>
      </c>
      <c r="M108" s="5"/>
      <c r="N108" s="5" t="s">
        <v>881</v>
      </c>
      <c r="O108" s="5" t="s">
        <v>154</v>
      </c>
      <c r="P108" s="5" t="s">
        <v>885</v>
      </c>
      <c r="Q108" s="5" t="s">
        <v>49</v>
      </c>
      <c r="R108" s="5" t="s">
        <v>883</v>
      </c>
      <c r="S108" s="5" t="n">
        <f aca="false">IF(R108="","",COUNTIFS(Probe_Pairs!$B:$B,A108,Probe_Pairs!$X:$X,"Both halves"))</f>
        <v>10</v>
      </c>
      <c r="T108" s="5" t="str">
        <f aca="false">IF(R108="","",IF(S108*2&gt;=K108,"High","Low"))</f>
        <v>High</v>
      </c>
      <c r="U108" s="5" t="s">
        <v>882</v>
      </c>
      <c r="V108" s="5" t="s">
        <v>882</v>
      </c>
      <c r="W108" s="5" t="s">
        <v>886</v>
      </c>
      <c r="X108" s="5"/>
      <c r="Y108" s="7"/>
      <c r="Z108" s="7"/>
      <c r="AA108" s="7"/>
      <c r="AB108" s="7"/>
      <c r="AC108" s="7"/>
    </row>
    <row r="109" customFormat="false" ht="15" hidden="false" customHeight="false" outlineLevel="0" collapsed="false">
      <c r="A109" s="5" t="s">
        <v>887</v>
      </c>
      <c r="B109" s="5" t="s">
        <v>40</v>
      </c>
      <c r="C109" s="5" t="s">
        <v>380</v>
      </c>
      <c r="D109" s="5"/>
      <c r="E109" s="5" t="s">
        <v>43</v>
      </c>
      <c r="F109" s="5"/>
      <c r="G109" s="5"/>
      <c r="H109" s="5"/>
      <c r="I109" s="9" t="s">
        <v>66</v>
      </c>
      <c r="J109" s="5" t="s">
        <v>587</v>
      </c>
      <c r="K109" s="5" t="n">
        <f aca="false">COUNTIF(Probe_Pairs!$B:$B,A109)</f>
        <v>1</v>
      </c>
      <c r="L109" s="5" t="n">
        <f aca="false">COUNTIFS(Probe_Pairs!$B:$B,A109,Probe_Pairs!$S:$S,"Both halves")</f>
        <v>0</v>
      </c>
      <c r="M109" s="5" t="s">
        <v>45</v>
      </c>
      <c r="N109" s="5" t="s">
        <v>888</v>
      </c>
      <c r="O109" s="5" t="s">
        <v>588</v>
      </c>
      <c r="P109" s="5"/>
      <c r="Q109" s="5"/>
      <c r="R109" s="5"/>
      <c r="S109" s="5" t="str">
        <f aca="false">IF(R109="","",COUNTIFS(Probe_Pairs!$B:$B,A109,Probe_Pairs!$X:$X,"Both halves"))</f>
        <v/>
      </c>
      <c r="T109" s="5" t="str">
        <f aca="false">IF(R109="","",IF(S109*2&gt;=K109,"High","Low"))</f>
        <v/>
      </c>
      <c r="U109" s="5"/>
      <c r="V109" s="5"/>
      <c r="W109" s="5"/>
      <c r="X109" s="8" t="s">
        <v>235</v>
      </c>
      <c r="Y109" s="7"/>
      <c r="Z109" s="7"/>
      <c r="AA109" s="7"/>
      <c r="AB109" s="7"/>
      <c r="AC109" s="7"/>
    </row>
    <row r="110" customFormat="false" ht="15" hidden="false" customHeight="false" outlineLevel="0" collapsed="false">
      <c r="A110" s="5" t="s">
        <v>889</v>
      </c>
      <c r="B110" s="5" t="s">
        <v>40</v>
      </c>
      <c r="C110" s="5" t="s">
        <v>890</v>
      </c>
      <c r="D110" s="5" t="s">
        <v>891</v>
      </c>
      <c r="E110" s="5" t="s">
        <v>43</v>
      </c>
      <c r="F110" s="5" t="s">
        <v>892</v>
      </c>
      <c r="G110" s="5" t="s">
        <v>893</v>
      </c>
      <c r="H110" s="5"/>
      <c r="I110" s="9" t="s">
        <v>66</v>
      </c>
      <c r="J110" s="5" t="s">
        <v>587</v>
      </c>
      <c r="K110" s="5" t="n">
        <f aca="false">COUNTIF(Probe_Pairs!$B:$B,A110)</f>
        <v>6</v>
      </c>
      <c r="L110" s="5" t="n">
        <f aca="false">COUNTIFS(Probe_Pairs!$B:$B,A110,Probe_Pairs!$S:$S,"Both halves")</f>
        <v>6</v>
      </c>
      <c r="M110" s="5"/>
      <c r="N110" s="5" t="s">
        <v>894</v>
      </c>
      <c r="O110" s="5" t="s">
        <v>588</v>
      </c>
      <c r="P110" s="5" t="s">
        <v>895</v>
      </c>
      <c r="Q110" s="5" t="s">
        <v>49</v>
      </c>
      <c r="R110" s="5" t="s">
        <v>892</v>
      </c>
      <c r="S110" s="5" t="n">
        <f aca="false">IF(R110="","",COUNTIFS(Probe_Pairs!$B:$B,A110,Probe_Pairs!$X:$X,"Both halves"))</f>
        <v>6</v>
      </c>
      <c r="T110" s="5" t="str">
        <f aca="false">IF(R110="","",IF(S110*2&gt;=K110,"High","Low"))</f>
        <v>High</v>
      </c>
      <c r="U110" s="5" t="s">
        <v>891</v>
      </c>
      <c r="V110" s="5" t="s">
        <v>891</v>
      </c>
      <c r="W110" s="5" t="s">
        <v>896</v>
      </c>
      <c r="X110" s="5"/>
      <c r="Y110" s="7"/>
      <c r="Z110" s="7"/>
      <c r="AA110" s="7"/>
      <c r="AB110" s="7"/>
      <c r="AC110" s="7"/>
    </row>
    <row r="111" customFormat="false" ht="15" hidden="false" customHeight="false" outlineLevel="0" collapsed="false">
      <c r="A111" s="5" t="s">
        <v>897</v>
      </c>
      <c r="B111" s="5" t="s">
        <v>40</v>
      </c>
      <c r="C111" s="5" t="s">
        <v>898</v>
      </c>
      <c r="D111" s="5" t="s">
        <v>898</v>
      </c>
      <c r="E111" s="5" t="s">
        <v>43</v>
      </c>
      <c r="F111" s="5" t="s">
        <v>899</v>
      </c>
      <c r="G111" s="5" t="s">
        <v>900</v>
      </c>
      <c r="H111" s="5"/>
      <c r="I111" s="9" t="s">
        <v>66</v>
      </c>
      <c r="J111" s="5" t="s">
        <v>587</v>
      </c>
      <c r="K111" s="5" t="n">
        <f aca="false">COUNTIF(Probe_Pairs!$B:$B,A111)</f>
        <v>3</v>
      </c>
      <c r="L111" s="5" t="n">
        <f aca="false">COUNTIFS(Probe_Pairs!$B:$B,A111,Probe_Pairs!$S:$S,"Both halves")</f>
        <v>3</v>
      </c>
      <c r="M111" s="5" t="s">
        <v>137</v>
      </c>
      <c r="N111" s="5" t="s">
        <v>898</v>
      </c>
      <c r="O111" s="5" t="s">
        <v>588</v>
      </c>
      <c r="P111" s="5" t="s">
        <v>901</v>
      </c>
      <c r="Q111" s="5" t="s">
        <v>68</v>
      </c>
      <c r="R111" s="5" t="s">
        <v>899</v>
      </c>
      <c r="S111" s="5" t="n">
        <f aca="false">IF(R111="","",COUNTIFS(Probe_Pairs!$B:$B,A111,Probe_Pairs!$X:$X,"Both halves"))</f>
        <v>2</v>
      </c>
      <c r="T111" s="5" t="str">
        <f aca="false">IF(R111="","",IF(S111*2&gt;=K111,"High","Low"))</f>
        <v>High</v>
      </c>
      <c r="U111" s="5" t="s">
        <v>902</v>
      </c>
      <c r="V111" s="5" t="s">
        <v>902</v>
      </c>
      <c r="W111" s="5" t="s">
        <v>903</v>
      </c>
      <c r="X111" s="5"/>
      <c r="Y111" s="7"/>
      <c r="Z111" s="7"/>
      <c r="AA111" s="7"/>
      <c r="AB111" s="7"/>
      <c r="AC111" s="7"/>
    </row>
    <row r="112" customFormat="false" ht="15" hidden="false" customHeight="false" outlineLevel="0" collapsed="false">
      <c r="A112" s="5" t="s">
        <v>904</v>
      </c>
      <c r="B112" s="5" t="s">
        <v>40</v>
      </c>
      <c r="C112" s="5" t="s">
        <v>905</v>
      </c>
      <c r="D112" s="5" t="s">
        <v>906</v>
      </c>
      <c r="E112" s="5" t="s">
        <v>43</v>
      </c>
      <c r="F112" s="5" t="s">
        <v>907</v>
      </c>
      <c r="G112" s="5" t="s">
        <v>908</v>
      </c>
      <c r="H112" s="5"/>
      <c r="I112" s="9" t="s">
        <v>66</v>
      </c>
      <c r="J112" s="5" t="s">
        <v>587</v>
      </c>
      <c r="K112" s="5" t="n">
        <f aca="false">COUNTIF(Probe_Pairs!$B:$B,A112)</f>
        <v>6</v>
      </c>
      <c r="L112" s="5" t="n">
        <f aca="false">COUNTIFS(Probe_Pairs!$B:$B,A112,Probe_Pairs!$S:$S,"Both halves")</f>
        <v>6</v>
      </c>
      <c r="M112" s="5"/>
      <c r="N112" s="5" t="s">
        <v>905</v>
      </c>
      <c r="O112" s="5" t="s">
        <v>588</v>
      </c>
      <c r="P112" s="5" t="s">
        <v>909</v>
      </c>
      <c r="Q112" s="5" t="s">
        <v>49</v>
      </c>
      <c r="R112" s="5" t="s">
        <v>907</v>
      </c>
      <c r="S112" s="5" t="n">
        <f aca="false">IF(R112="","",COUNTIFS(Probe_Pairs!$B:$B,A112,Probe_Pairs!$X:$X,"Both halves"))</f>
        <v>6</v>
      </c>
      <c r="T112" s="5" t="str">
        <f aca="false">IF(R112="","",IF(S112*2&gt;=K112,"High","Low"))</f>
        <v>High</v>
      </c>
      <c r="U112" s="5" t="s">
        <v>910</v>
      </c>
      <c r="V112" s="5" t="s">
        <v>911</v>
      </c>
      <c r="W112" s="5" t="s">
        <v>912</v>
      </c>
      <c r="X112" s="5"/>
      <c r="Y112" s="7"/>
      <c r="Z112" s="7"/>
      <c r="AA112" s="7"/>
      <c r="AB112" s="7"/>
      <c r="AC112" s="7"/>
    </row>
    <row r="113" customFormat="false" ht="15" hidden="false" customHeight="false" outlineLevel="0" collapsed="false">
      <c r="A113" s="5" t="s">
        <v>913</v>
      </c>
      <c r="B113" s="5" t="s">
        <v>40</v>
      </c>
      <c r="C113" s="5" t="s">
        <v>914</v>
      </c>
      <c r="D113" s="5" t="s">
        <v>914</v>
      </c>
      <c r="E113" s="5" t="s">
        <v>43</v>
      </c>
      <c r="F113" s="5" t="s">
        <v>915</v>
      </c>
      <c r="G113" s="5" t="s">
        <v>916</v>
      </c>
      <c r="H113" s="5"/>
      <c r="I113" s="9" t="s">
        <v>66</v>
      </c>
      <c r="J113" s="5" t="s">
        <v>587</v>
      </c>
      <c r="K113" s="5" t="n">
        <f aca="false">COUNTIF(Probe_Pairs!$B:$B,A113)</f>
        <v>3</v>
      </c>
      <c r="L113" s="5" t="n">
        <f aca="false">COUNTIFS(Probe_Pairs!$B:$B,A113,Probe_Pairs!$S:$S,"Both halves")</f>
        <v>3</v>
      </c>
      <c r="M113" s="5"/>
      <c r="N113" s="5" t="s">
        <v>917</v>
      </c>
      <c r="O113" s="5" t="s">
        <v>588</v>
      </c>
      <c r="P113" s="5" t="s">
        <v>918</v>
      </c>
      <c r="Q113" s="5" t="s">
        <v>68</v>
      </c>
      <c r="R113" s="5" t="s">
        <v>915</v>
      </c>
      <c r="S113" s="5" t="n">
        <f aca="false">IF(R113="","",COUNTIFS(Probe_Pairs!$B:$B,A113,Probe_Pairs!$X:$X,"Both halves"))</f>
        <v>3</v>
      </c>
      <c r="T113" s="5" t="str">
        <f aca="false">IF(R113="","",IF(S113*2&gt;=K113,"High","Low"))</f>
        <v>High</v>
      </c>
      <c r="U113" s="5" t="s">
        <v>919</v>
      </c>
      <c r="V113" s="5" t="s">
        <v>920</v>
      </c>
      <c r="W113" s="5" t="s">
        <v>921</v>
      </c>
      <c r="X113" s="5"/>
      <c r="Y113" s="7"/>
      <c r="Z113" s="7"/>
      <c r="AA113" s="7"/>
      <c r="AB113" s="7"/>
      <c r="AC113" s="7"/>
    </row>
    <row r="114" customFormat="false" ht="15" hidden="false" customHeight="false" outlineLevel="0" collapsed="false">
      <c r="A114" s="5" t="s">
        <v>922</v>
      </c>
      <c r="B114" s="5" t="s">
        <v>40</v>
      </c>
      <c r="C114" s="5" t="s">
        <v>434</v>
      </c>
      <c r="D114" s="5" t="s">
        <v>435</v>
      </c>
      <c r="E114" s="5" t="s">
        <v>43</v>
      </c>
      <c r="F114" s="5" t="s">
        <v>436</v>
      </c>
      <c r="G114" s="5" t="s">
        <v>437</v>
      </c>
      <c r="H114" s="5"/>
      <c r="I114" s="9" t="s">
        <v>66</v>
      </c>
      <c r="J114" s="5" t="s">
        <v>587</v>
      </c>
      <c r="K114" s="5" t="n">
        <f aca="false">COUNTIF(Probe_Pairs!$B:$B,A114)</f>
        <v>6</v>
      </c>
      <c r="L114" s="5" t="n">
        <f aca="false">COUNTIFS(Probe_Pairs!$B:$B,A114,Probe_Pairs!$S:$S,"Both halves")</f>
        <v>6</v>
      </c>
      <c r="M114" s="5" t="s">
        <v>923</v>
      </c>
      <c r="N114" s="5" t="s">
        <v>434</v>
      </c>
      <c r="O114" s="5" t="s">
        <v>588</v>
      </c>
      <c r="P114" s="5" t="s">
        <v>439</v>
      </c>
      <c r="Q114" s="5" t="s">
        <v>49</v>
      </c>
      <c r="R114" s="5" t="s">
        <v>436</v>
      </c>
      <c r="S114" s="5" t="n">
        <f aca="false">IF(R114="","",COUNTIFS(Probe_Pairs!$B:$B,A114,Probe_Pairs!$X:$X,"Both halves"))</f>
        <v>6</v>
      </c>
      <c r="T114" s="5" t="str">
        <f aca="false">IF(R114="","",IF(S114*2&gt;=K114,"High","Low"))</f>
        <v>High</v>
      </c>
      <c r="U114" s="5" t="s">
        <v>435</v>
      </c>
      <c r="V114" s="5" t="s">
        <v>440</v>
      </c>
      <c r="W114" s="5" t="s">
        <v>441</v>
      </c>
      <c r="X114" s="5"/>
      <c r="Y114" s="7"/>
      <c r="Z114" s="7"/>
      <c r="AA114" s="7"/>
      <c r="AB114" s="7"/>
      <c r="AC114" s="7"/>
    </row>
    <row r="115" customFormat="false" ht="15" hidden="false" customHeight="false" outlineLevel="0" collapsed="false">
      <c r="A115" s="5" t="s">
        <v>924</v>
      </c>
      <c r="B115" s="5" t="s">
        <v>40</v>
      </c>
      <c r="C115" s="5" t="s">
        <v>925</v>
      </c>
      <c r="D115" s="5" t="s">
        <v>926</v>
      </c>
      <c r="E115" s="5" t="s">
        <v>43</v>
      </c>
      <c r="F115" s="5" t="s">
        <v>927</v>
      </c>
      <c r="G115" s="5" t="s">
        <v>928</v>
      </c>
      <c r="H115" s="5"/>
      <c r="I115" s="9" t="s">
        <v>66</v>
      </c>
      <c r="J115" s="5" t="s">
        <v>587</v>
      </c>
      <c r="K115" s="5" t="n">
        <f aca="false">COUNTIF(Probe_Pairs!$B:$B,A115)</f>
        <v>5</v>
      </c>
      <c r="L115" s="5" t="n">
        <f aca="false">COUNTIFS(Probe_Pairs!$B:$B,A115,Probe_Pairs!$S:$S,"Both halves")</f>
        <v>5</v>
      </c>
      <c r="M115" s="5"/>
      <c r="N115" s="5" t="s">
        <v>925</v>
      </c>
      <c r="O115" s="5" t="s">
        <v>154</v>
      </c>
      <c r="P115" s="5" t="s">
        <v>929</v>
      </c>
      <c r="Q115" s="5" t="s">
        <v>49</v>
      </c>
      <c r="R115" s="5" t="s">
        <v>927</v>
      </c>
      <c r="S115" s="5" t="n">
        <f aca="false">IF(R115="","",COUNTIFS(Probe_Pairs!$B:$B,A115,Probe_Pairs!$X:$X,"Both halves"))</f>
        <v>5</v>
      </c>
      <c r="T115" s="5" t="str">
        <f aca="false">IF(R115="","",IF(S115*2&gt;=K115,"High","Low"))</f>
        <v>High</v>
      </c>
      <c r="U115" s="5" t="s">
        <v>926</v>
      </c>
      <c r="V115" s="5" t="s">
        <v>930</v>
      </c>
      <c r="W115" s="5" t="s">
        <v>931</v>
      </c>
      <c r="X115" s="5"/>
      <c r="Y115" s="7"/>
      <c r="Z115" s="7"/>
      <c r="AA115" s="7"/>
      <c r="AB115" s="7"/>
      <c r="AC115" s="7"/>
    </row>
    <row r="116" customFormat="false" ht="15" hidden="false" customHeight="false" outlineLevel="0" collapsed="false">
      <c r="A116" s="5" t="s">
        <v>932</v>
      </c>
      <c r="B116" s="5" t="s">
        <v>40</v>
      </c>
      <c r="C116" s="5" t="s">
        <v>933</v>
      </c>
      <c r="D116" s="5" t="s">
        <v>934</v>
      </c>
      <c r="E116" s="5" t="s">
        <v>43</v>
      </c>
      <c r="F116" s="5" t="s">
        <v>935</v>
      </c>
      <c r="G116" s="5" t="s">
        <v>936</v>
      </c>
      <c r="H116" s="5"/>
      <c r="I116" s="9" t="s">
        <v>66</v>
      </c>
      <c r="J116" s="5" t="s">
        <v>587</v>
      </c>
      <c r="K116" s="5" t="n">
        <f aca="false">COUNTIF(Probe_Pairs!$B:$B,A116)</f>
        <v>6</v>
      </c>
      <c r="L116" s="5" t="n">
        <f aca="false">COUNTIFS(Probe_Pairs!$B:$B,A116,Probe_Pairs!$S:$S,"Both halves")</f>
        <v>6</v>
      </c>
      <c r="M116" s="5"/>
      <c r="N116" s="5" t="s">
        <v>937</v>
      </c>
      <c r="O116" s="5" t="s">
        <v>588</v>
      </c>
      <c r="P116" s="5" t="s">
        <v>938</v>
      </c>
      <c r="Q116" s="5" t="s">
        <v>49</v>
      </c>
      <c r="R116" s="5" t="s">
        <v>935</v>
      </c>
      <c r="S116" s="5" t="n">
        <f aca="false">IF(R116="","",COUNTIFS(Probe_Pairs!$B:$B,A116,Probe_Pairs!$X:$X,"Both halves"))</f>
        <v>6</v>
      </c>
      <c r="T116" s="5" t="str">
        <f aca="false">IF(R116="","",IF(S116*2&gt;=K116,"High","Low"))</f>
        <v>High</v>
      </c>
      <c r="U116" s="5" t="s">
        <v>934</v>
      </c>
      <c r="V116" s="5" t="s">
        <v>597</v>
      </c>
      <c r="W116" s="5" t="s">
        <v>939</v>
      </c>
      <c r="X116" s="5"/>
      <c r="Y116" s="7"/>
      <c r="Z116" s="7"/>
      <c r="AA116" s="7"/>
      <c r="AB116" s="7"/>
      <c r="AC116" s="7"/>
    </row>
    <row r="117" customFormat="false" ht="15" hidden="false" customHeight="false" outlineLevel="0" collapsed="false">
      <c r="A117" s="5" t="s">
        <v>940</v>
      </c>
      <c r="B117" s="5" t="s">
        <v>40</v>
      </c>
      <c r="C117" s="5" t="s">
        <v>941</v>
      </c>
      <c r="D117" s="5" t="s">
        <v>942</v>
      </c>
      <c r="E117" s="5" t="s">
        <v>43</v>
      </c>
      <c r="F117" s="5" t="s">
        <v>943</v>
      </c>
      <c r="G117" s="5" t="s">
        <v>944</v>
      </c>
      <c r="H117" s="5"/>
      <c r="I117" s="9" t="s">
        <v>66</v>
      </c>
      <c r="J117" s="5" t="s">
        <v>587</v>
      </c>
      <c r="K117" s="5" t="n">
        <f aca="false">COUNTIF(Probe_Pairs!$B:$B,A117)</f>
        <v>6</v>
      </c>
      <c r="L117" s="5" t="n">
        <f aca="false">COUNTIFS(Probe_Pairs!$B:$B,A117,Probe_Pairs!$S:$S,"Both halves")</f>
        <v>6</v>
      </c>
      <c r="M117" s="5"/>
      <c r="N117" s="5" t="s">
        <v>941</v>
      </c>
      <c r="O117" s="5" t="s">
        <v>588</v>
      </c>
      <c r="P117" s="5" t="s">
        <v>945</v>
      </c>
      <c r="Q117" s="5" t="s">
        <v>49</v>
      </c>
      <c r="R117" s="5" t="s">
        <v>943</v>
      </c>
      <c r="S117" s="5" t="n">
        <f aca="false">IF(R117="","",COUNTIFS(Probe_Pairs!$B:$B,A117,Probe_Pairs!$X:$X,"Both halves"))</f>
        <v>6</v>
      </c>
      <c r="T117" s="5" t="str">
        <f aca="false">IF(R117="","",IF(S117*2&gt;=K117,"High","Low"))</f>
        <v>High</v>
      </c>
      <c r="U117" s="5" t="s">
        <v>942</v>
      </c>
      <c r="V117" s="5" t="s">
        <v>942</v>
      </c>
      <c r="W117" s="5" t="s">
        <v>946</v>
      </c>
      <c r="X117" s="5"/>
      <c r="Y117" s="7"/>
      <c r="Z117" s="7"/>
      <c r="AA117" s="7"/>
      <c r="AB117" s="7"/>
      <c r="AC117" s="7"/>
    </row>
    <row r="118" customFormat="false" ht="15" hidden="false" customHeight="false" outlineLevel="0" collapsed="false">
      <c r="A118" s="5" t="s">
        <v>947</v>
      </c>
      <c r="B118" s="5" t="s">
        <v>40</v>
      </c>
      <c r="C118" s="5" t="s">
        <v>948</v>
      </c>
      <c r="D118" s="5" t="s">
        <v>948</v>
      </c>
      <c r="E118" s="5" t="s">
        <v>43</v>
      </c>
      <c r="F118" s="5" t="s">
        <v>949</v>
      </c>
      <c r="G118" s="5"/>
      <c r="H118" s="5"/>
      <c r="I118" s="9" t="s">
        <v>66</v>
      </c>
      <c r="J118" s="5" t="s">
        <v>587</v>
      </c>
      <c r="K118" s="5" t="n">
        <f aca="false">COUNTIF(Probe_Pairs!$B:$B,A118)</f>
        <v>5</v>
      </c>
      <c r="L118" s="5" t="n">
        <f aca="false">COUNTIFS(Probe_Pairs!$B:$B,A118,Probe_Pairs!$S:$S,"Both halves")</f>
        <v>5</v>
      </c>
      <c r="M118" s="5"/>
      <c r="N118" s="5" t="s">
        <v>950</v>
      </c>
      <c r="O118" s="5" t="s">
        <v>588</v>
      </c>
      <c r="P118" s="5" t="s">
        <v>951</v>
      </c>
      <c r="Q118" s="5" t="s">
        <v>68</v>
      </c>
      <c r="R118" s="5" t="s">
        <v>949</v>
      </c>
      <c r="S118" s="5" t="n">
        <f aca="false">IF(R118="","",COUNTIFS(Probe_Pairs!$B:$B,A118,Probe_Pairs!$X:$X,"Both halves"))</f>
        <v>5</v>
      </c>
      <c r="T118" s="5" t="str">
        <f aca="false">IF(R118="","",IF(S118*2&gt;=K118,"High","Low"))</f>
        <v>High</v>
      </c>
      <c r="U118" s="5" t="s">
        <v>952</v>
      </c>
      <c r="V118" s="5" t="s">
        <v>953</v>
      </c>
      <c r="W118" s="5" t="s">
        <v>954</v>
      </c>
      <c r="X118" s="5"/>
      <c r="Y118" s="7"/>
      <c r="Z118" s="7"/>
      <c r="AA118" s="7"/>
      <c r="AB118" s="7"/>
      <c r="AC118" s="7"/>
    </row>
    <row r="119" customFormat="false" ht="15" hidden="false" customHeight="false" outlineLevel="0" collapsed="false">
      <c r="A119" s="5" t="s">
        <v>955</v>
      </c>
      <c r="B119" s="5" t="s">
        <v>40</v>
      </c>
      <c r="C119" s="5" t="s">
        <v>956</v>
      </c>
      <c r="D119" s="5" t="s">
        <v>957</v>
      </c>
      <c r="E119" s="5" t="s">
        <v>43</v>
      </c>
      <c r="F119" s="5" t="s">
        <v>958</v>
      </c>
      <c r="G119" s="5" t="s">
        <v>959</v>
      </c>
      <c r="H119" s="5"/>
      <c r="I119" s="9" t="s">
        <v>66</v>
      </c>
      <c r="J119" s="5" t="s">
        <v>587</v>
      </c>
      <c r="K119" s="5" t="n">
        <f aca="false">COUNTIF(Probe_Pairs!$B:$B,A119)</f>
        <v>6</v>
      </c>
      <c r="L119" s="5" t="n">
        <f aca="false">COUNTIFS(Probe_Pairs!$B:$B,A119,Probe_Pairs!$S:$S,"Both halves")</f>
        <v>6</v>
      </c>
      <c r="M119" s="5"/>
      <c r="N119" s="5" t="s">
        <v>956</v>
      </c>
      <c r="O119" s="5" t="s">
        <v>588</v>
      </c>
      <c r="P119" s="5" t="s">
        <v>960</v>
      </c>
      <c r="Q119" s="5" t="s">
        <v>49</v>
      </c>
      <c r="R119" s="5" t="s">
        <v>958</v>
      </c>
      <c r="S119" s="5" t="n">
        <f aca="false">IF(R119="","",COUNTIFS(Probe_Pairs!$B:$B,A119,Probe_Pairs!$X:$X,"Both halves"))</f>
        <v>6</v>
      </c>
      <c r="T119" s="5" t="str">
        <f aca="false">IF(R119="","",IF(S119*2&gt;=K119,"High","Low"))</f>
        <v>High</v>
      </c>
      <c r="U119" s="5" t="s">
        <v>957</v>
      </c>
      <c r="V119" s="5" t="s">
        <v>957</v>
      </c>
      <c r="W119" s="5" t="s">
        <v>961</v>
      </c>
      <c r="X119" s="5"/>
      <c r="Y119" s="7"/>
      <c r="Z119" s="7"/>
      <c r="AA119" s="7"/>
      <c r="AB119" s="7"/>
      <c r="AC119" s="7"/>
    </row>
    <row r="120" customFormat="false" ht="15" hidden="false" customHeight="false" outlineLevel="0" collapsed="false">
      <c r="A120" s="5" t="s">
        <v>962</v>
      </c>
      <c r="B120" s="5" t="s">
        <v>40</v>
      </c>
      <c r="C120" s="5" t="s">
        <v>963</v>
      </c>
      <c r="D120" s="5" t="s">
        <v>964</v>
      </c>
      <c r="E120" s="5" t="s">
        <v>43</v>
      </c>
      <c r="F120" s="5" t="s">
        <v>965</v>
      </c>
      <c r="G120" s="5"/>
      <c r="H120" s="5" t="s">
        <v>966</v>
      </c>
      <c r="I120" s="9" t="s">
        <v>66</v>
      </c>
      <c r="J120" s="5" t="s">
        <v>587</v>
      </c>
      <c r="K120" s="5" t="n">
        <f aca="false">COUNTIF(Probe_Pairs!$B:$B,A120)</f>
        <v>10</v>
      </c>
      <c r="L120" s="5" t="n">
        <f aca="false">COUNTIFS(Probe_Pairs!$B:$B,A120,Probe_Pairs!$S:$S,"Both halves")</f>
        <v>10</v>
      </c>
      <c r="M120" s="5"/>
      <c r="N120" s="5" t="s">
        <v>967</v>
      </c>
      <c r="O120" s="5" t="s">
        <v>588</v>
      </c>
      <c r="P120" s="5" t="s">
        <v>968</v>
      </c>
      <c r="Q120" s="5" t="s">
        <v>68</v>
      </c>
      <c r="R120" s="5" t="s">
        <v>965</v>
      </c>
      <c r="S120" s="5" t="n">
        <f aca="false">IF(R120="","",COUNTIFS(Probe_Pairs!$B:$B,A120,Probe_Pairs!$X:$X,"Both halves"))</f>
        <v>3</v>
      </c>
      <c r="T120" s="5" t="str">
        <f aca="false">IF(R120="","",IF(S120*2&gt;=K120,"High","Low"))</f>
        <v>Low</v>
      </c>
      <c r="U120" s="5" t="s">
        <v>969</v>
      </c>
      <c r="V120" s="5" t="s">
        <v>964</v>
      </c>
      <c r="W120" s="5" t="s">
        <v>970</v>
      </c>
      <c r="X120" s="8" t="s">
        <v>971</v>
      </c>
      <c r="Y120" s="7"/>
      <c r="Z120" s="7"/>
      <c r="AA120" s="7"/>
      <c r="AB120" s="7"/>
      <c r="AC120" s="7"/>
    </row>
    <row r="121" customFormat="false" ht="15" hidden="false" customHeight="false" outlineLevel="0" collapsed="false">
      <c r="A121" s="5" t="s">
        <v>972</v>
      </c>
      <c r="B121" s="5" t="s">
        <v>40</v>
      </c>
      <c r="C121" s="5" t="s">
        <v>973</v>
      </c>
      <c r="D121" s="5" t="s">
        <v>974</v>
      </c>
      <c r="E121" s="5" t="s">
        <v>43</v>
      </c>
      <c r="F121" s="5" t="s">
        <v>975</v>
      </c>
      <c r="G121" s="5"/>
      <c r="H121" s="5" t="s">
        <v>976</v>
      </c>
      <c r="I121" s="9" t="s">
        <v>66</v>
      </c>
      <c r="J121" s="5" t="s">
        <v>587</v>
      </c>
      <c r="K121" s="5" t="n">
        <f aca="false">COUNTIF(Probe_Pairs!$B:$B,A121)</f>
        <v>10</v>
      </c>
      <c r="L121" s="5" t="n">
        <f aca="false">COUNTIFS(Probe_Pairs!$B:$B,A121,Probe_Pairs!$S:$S,"Both halves")</f>
        <v>10</v>
      </c>
      <c r="M121" s="5"/>
      <c r="N121" s="5" t="s">
        <v>977</v>
      </c>
      <c r="O121" s="5" t="s">
        <v>588</v>
      </c>
      <c r="P121" s="5" t="s">
        <v>978</v>
      </c>
      <c r="Q121" s="5" t="s">
        <v>68</v>
      </c>
      <c r="R121" s="5" t="s">
        <v>975</v>
      </c>
      <c r="S121" s="5" t="n">
        <f aca="false">IF(R121="","",COUNTIFS(Probe_Pairs!$B:$B,A121,Probe_Pairs!$X:$X,"Both halves"))</f>
        <v>8</v>
      </c>
      <c r="T121" s="5" t="str">
        <f aca="false">IF(R121="","",IF(S121*2&gt;=K121,"High","Low"))</f>
        <v>High</v>
      </c>
      <c r="U121" s="5" t="s">
        <v>979</v>
      </c>
      <c r="V121" s="5" t="s">
        <v>979</v>
      </c>
      <c r="W121" s="5" t="s">
        <v>980</v>
      </c>
      <c r="X121" s="5"/>
      <c r="Y121" s="7"/>
      <c r="Z121" s="7"/>
      <c r="AA121" s="7"/>
      <c r="AB121" s="7"/>
      <c r="AC121" s="7"/>
    </row>
    <row r="122" customFormat="false" ht="15" hidden="false" customHeight="false" outlineLevel="0" collapsed="false">
      <c r="A122" s="5" t="s">
        <v>981</v>
      </c>
      <c r="B122" s="5" t="s">
        <v>40</v>
      </c>
      <c r="C122" s="5" t="s">
        <v>982</v>
      </c>
      <c r="D122" s="5" t="s">
        <v>982</v>
      </c>
      <c r="E122" s="5" t="s">
        <v>43</v>
      </c>
      <c r="F122" s="5" t="s">
        <v>983</v>
      </c>
      <c r="G122" s="5"/>
      <c r="H122" s="5" t="s">
        <v>984</v>
      </c>
      <c r="I122" s="9" t="s">
        <v>66</v>
      </c>
      <c r="J122" s="5" t="s">
        <v>587</v>
      </c>
      <c r="K122" s="5" t="n">
        <f aca="false">COUNTIF(Probe_Pairs!$B:$B,A122)</f>
        <v>3</v>
      </c>
      <c r="L122" s="5" t="n">
        <f aca="false">COUNTIFS(Probe_Pairs!$B:$B,A122,Probe_Pairs!$S:$S,"Both halves")</f>
        <v>3</v>
      </c>
      <c r="M122" s="5"/>
      <c r="N122" s="5" t="s">
        <v>985</v>
      </c>
      <c r="O122" s="5" t="s">
        <v>588</v>
      </c>
      <c r="P122" s="5" t="s">
        <v>986</v>
      </c>
      <c r="Q122" s="5" t="s">
        <v>68</v>
      </c>
      <c r="R122" s="5" t="s">
        <v>983</v>
      </c>
      <c r="S122" s="5" t="n">
        <f aca="false">IF(R122="","",COUNTIFS(Probe_Pairs!$B:$B,A122,Probe_Pairs!$X:$X,"Both halves"))</f>
        <v>1</v>
      </c>
      <c r="T122" s="5" t="str">
        <f aca="false">IF(R122="","",IF(S122*2&gt;=K122,"High","Low"))</f>
        <v>Low</v>
      </c>
      <c r="U122" s="5" t="s">
        <v>987</v>
      </c>
      <c r="V122" s="5" t="s">
        <v>979</v>
      </c>
      <c r="W122" s="5" t="s">
        <v>988</v>
      </c>
      <c r="X122" s="8" t="s">
        <v>626</v>
      </c>
      <c r="Y122" s="7"/>
      <c r="Z122" s="7"/>
      <c r="AA122" s="7"/>
      <c r="AB122" s="7"/>
      <c r="AC122" s="7"/>
    </row>
    <row r="123" customFormat="false" ht="15" hidden="false" customHeight="false" outlineLevel="0" collapsed="false">
      <c r="A123" s="5" t="s">
        <v>989</v>
      </c>
      <c r="B123" s="5" t="s">
        <v>40</v>
      </c>
      <c r="C123" s="5" t="s">
        <v>990</v>
      </c>
      <c r="D123" s="5" t="s">
        <v>979</v>
      </c>
      <c r="E123" s="5" t="s">
        <v>43</v>
      </c>
      <c r="F123" s="5" t="s">
        <v>983</v>
      </c>
      <c r="G123" s="5" t="s">
        <v>991</v>
      </c>
      <c r="H123" s="5"/>
      <c r="I123" s="9" t="s">
        <v>66</v>
      </c>
      <c r="J123" s="5" t="s">
        <v>587</v>
      </c>
      <c r="K123" s="5" t="n">
        <f aca="false">COUNTIF(Probe_Pairs!$B:$B,A123)</f>
        <v>10</v>
      </c>
      <c r="L123" s="5" t="n">
        <f aca="false">COUNTIFS(Probe_Pairs!$B:$B,A123,Probe_Pairs!$S:$S,"Both halves")</f>
        <v>10</v>
      </c>
      <c r="M123" s="5"/>
      <c r="N123" s="5" t="s">
        <v>992</v>
      </c>
      <c r="O123" s="5" t="s">
        <v>588</v>
      </c>
      <c r="P123" s="5" t="s">
        <v>993</v>
      </c>
      <c r="Q123" s="5" t="s">
        <v>68</v>
      </c>
      <c r="R123" s="5" t="s">
        <v>983</v>
      </c>
      <c r="S123" s="5" t="n">
        <f aca="false">IF(R123="","",COUNTIFS(Probe_Pairs!$B:$B,A123,Probe_Pairs!$X:$X,"Both halves"))</f>
        <v>1</v>
      </c>
      <c r="T123" s="5" t="str">
        <f aca="false">IF(R123="","",IF(S123*2&gt;=K123,"High","Low"))</f>
        <v>Low</v>
      </c>
      <c r="U123" s="5" t="s">
        <v>987</v>
      </c>
      <c r="V123" s="5" t="s">
        <v>979</v>
      </c>
      <c r="W123" s="5" t="s">
        <v>988</v>
      </c>
      <c r="X123" s="8" t="s">
        <v>994</v>
      </c>
      <c r="Y123" s="7"/>
      <c r="Z123" s="7"/>
      <c r="AA123" s="7"/>
      <c r="AB123" s="7"/>
      <c r="AC123" s="7"/>
    </row>
    <row r="124" customFormat="false" ht="15" hidden="false" customHeight="false" outlineLevel="0" collapsed="false">
      <c r="A124" s="5" t="s">
        <v>995</v>
      </c>
      <c r="B124" s="5" t="s">
        <v>40</v>
      </c>
      <c r="C124" s="5" t="s">
        <v>996</v>
      </c>
      <c r="D124" s="5" t="s">
        <v>997</v>
      </c>
      <c r="E124" s="5" t="s">
        <v>43</v>
      </c>
      <c r="F124" s="5" t="s">
        <v>998</v>
      </c>
      <c r="G124" s="5"/>
      <c r="H124" s="5" t="s">
        <v>999</v>
      </c>
      <c r="I124" s="9" t="s">
        <v>66</v>
      </c>
      <c r="J124" s="5" t="s">
        <v>587</v>
      </c>
      <c r="K124" s="5" t="n">
        <f aca="false">COUNTIF(Probe_Pairs!$B:$B,A124)</f>
        <v>6</v>
      </c>
      <c r="L124" s="5" t="n">
        <f aca="false">COUNTIFS(Probe_Pairs!$B:$B,A124,Probe_Pairs!$S:$S,"Both halves")</f>
        <v>6</v>
      </c>
      <c r="M124" s="5"/>
      <c r="N124" s="5" t="s">
        <v>996</v>
      </c>
      <c r="O124" s="5" t="s">
        <v>588</v>
      </c>
      <c r="P124" s="5" t="s">
        <v>1000</v>
      </c>
      <c r="Q124" s="5" t="s">
        <v>68</v>
      </c>
      <c r="R124" s="5" t="s">
        <v>998</v>
      </c>
      <c r="S124" s="5" t="n">
        <f aca="false">IF(R124="","",COUNTIFS(Probe_Pairs!$B:$B,A124,Probe_Pairs!$X:$X,"Both halves"))</f>
        <v>5</v>
      </c>
      <c r="T124" s="5" t="str">
        <f aca="false">IF(R124="","",IF(S124*2&gt;=K124,"High","Low"))</f>
        <v>High</v>
      </c>
      <c r="U124" s="5" t="s">
        <v>1001</v>
      </c>
      <c r="V124" s="5" t="s">
        <v>1002</v>
      </c>
      <c r="W124" s="5" t="s">
        <v>1003</v>
      </c>
      <c r="X124" s="5"/>
      <c r="Y124" s="7"/>
      <c r="Z124" s="7"/>
      <c r="AA124" s="7"/>
      <c r="AB124" s="7"/>
      <c r="AC124" s="7"/>
    </row>
    <row r="125" customFormat="false" ht="15" hidden="false" customHeight="false" outlineLevel="0" collapsed="false">
      <c r="A125" s="5" t="s">
        <v>1004</v>
      </c>
      <c r="B125" s="5" t="s">
        <v>40</v>
      </c>
      <c r="C125" s="5" t="s">
        <v>1005</v>
      </c>
      <c r="D125" s="5" t="s">
        <v>1006</v>
      </c>
      <c r="E125" s="5" t="s">
        <v>43</v>
      </c>
      <c r="F125" s="5" t="s">
        <v>1007</v>
      </c>
      <c r="G125" s="5"/>
      <c r="H125" s="5"/>
      <c r="I125" s="9" t="s">
        <v>66</v>
      </c>
      <c r="J125" s="5" t="s">
        <v>587</v>
      </c>
      <c r="K125" s="5" t="n">
        <f aca="false">COUNTIF(Probe_Pairs!$B:$B,A125)</f>
        <v>11</v>
      </c>
      <c r="L125" s="5" t="n">
        <f aca="false">COUNTIFS(Probe_Pairs!$B:$B,A125,Probe_Pairs!$S:$S,"Both halves")</f>
        <v>11</v>
      </c>
      <c r="M125" s="5"/>
      <c r="N125" s="5" t="s">
        <v>1008</v>
      </c>
      <c r="O125" s="5" t="s">
        <v>500</v>
      </c>
      <c r="P125" s="5" t="s">
        <v>1009</v>
      </c>
      <c r="Q125" s="5" t="s">
        <v>49</v>
      </c>
      <c r="R125" s="5" t="s">
        <v>1007</v>
      </c>
      <c r="S125" s="5" t="n">
        <f aca="false">IF(R125="","",COUNTIFS(Probe_Pairs!$B:$B,A125,Probe_Pairs!$X:$X,"Both halves"))</f>
        <v>11</v>
      </c>
      <c r="T125" s="5" t="str">
        <f aca="false">IF(R125="","",IF(S125*2&gt;=K125,"High","Low"))</f>
        <v>High</v>
      </c>
      <c r="U125" s="5" t="s">
        <v>1010</v>
      </c>
      <c r="V125" s="5" t="s">
        <v>1006</v>
      </c>
      <c r="W125" s="5" t="s">
        <v>1011</v>
      </c>
      <c r="X125" s="5"/>
      <c r="Y125" s="7"/>
      <c r="Z125" s="7"/>
      <c r="AA125" s="7"/>
      <c r="AB125" s="7"/>
      <c r="AC125" s="7"/>
    </row>
    <row r="126" customFormat="false" ht="15" hidden="false" customHeight="false" outlineLevel="0" collapsed="false">
      <c r="A126" s="5" t="s">
        <v>1012</v>
      </c>
      <c r="B126" s="5" t="s">
        <v>40</v>
      </c>
      <c r="C126" s="5" t="s">
        <v>1013</v>
      </c>
      <c r="D126" s="5" t="s">
        <v>1013</v>
      </c>
      <c r="E126" s="5" t="s">
        <v>43</v>
      </c>
      <c r="F126" s="5" t="s">
        <v>1014</v>
      </c>
      <c r="G126" s="5"/>
      <c r="H126" s="5"/>
      <c r="I126" s="9" t="s">
        <v>66</v>
      </c>
      <c r="J126" s="5" t="s">
        <v>587</v>
      </c>
      <c r="K126" s="5" t="n">
        <f aca="false">COUNTIF(Probe_Pairs!$B:$B,A126)</f>
        <v>6</v>
      </c>
      <c r="L126" s="5" t="n">
        <f aca="false">COUNTIFS(Probe_Pairs!$B:$B,A126,Probe_Pairs!$S:$S,"Both halves")</f>
        <v>6</v>
      </c>
      <c r="M126" s="5"/>
      <c r="N126" s="5" t="s">
        <v>1013</v>
      </c>
      <c r="O126" s="5" t="s">
        <v>588</v>
      </c>
      <c r="P126" s="5" t="s">
        <v>1015</v>
      </c>
      <c r="Q126" s="5" t="s">
        <v>68</v>
      </c>
      <c r="R126" s="5" t="s">
        <v>1014</v>
      </c>
      <c r="S126" s="5" t="n">
        <f aca="false">IF(R126="","",COUNTIFS(Probe_Pairs!$B:$B,A126,Probe_Pairs!$X:$X,"Both halves"))</f>
        <v>6</v>
      </c>
      <c r="T126" s="5" t="str">
        <f aca="false">IF(R126="","",IF(S126*2&gt;=K126,"High","Low"))</f>
        <v>High</v>
      </c>
      <c r="U126" s="5" t="s">
        <v>1016</v>
      </c>
      <c r="V126" s="5" t="s">
        <v>1016</v>
      </c>
      <c r="W126" s="5" t="s">
        <v>1017</v>
      </c>
      <c r="X126" s="8" t="s">
        <v>235</v>
      </c>
      <c r="Y126" s="7"/>
      <c r="Z126" s="7"/>
      <c r="AA126" s="7"/>
      <c r="AB126" s="7"/>
      <c r="AC126" s="7"/>
    </row>
    <row r="127" customFormat="false" ht="15" hidden="false" customHeight="false" outlineLevel="0" collapsed="false">
      <c r="A127" s="5" t="s">
        <v>1018</v>
      </c>
      <c r="B127" s="5" t="s">
        <v>40</v>
      </c>
      <c r="C127" s="5" t="s">
        <v>1019</v>
      </c>
      <c r="D127" s="5" t="s">
        <v>1019</v>
      </c>
      <c r="E127" s="5" t="s">
        <v>43</v>
      </c>
      <c r="F127" s="5" t="s">
        <v>1020</v>
      </c>
      <c r="G127" s="5"/>
      <c r="H127" s="5" t="s">
        <v>1021</v>
      </c>
      <c r="I127" s="9" t="s">
        <v>66</v>
      </c>
      <c r="J127" s="5" t="s">
        <v>587</v>
      </c>
      <c r="K127" s="5" t="n">
        <f aca="false">COUNTIF(Probe_Pairs!$B:$B,A127)</f>
        <v>6</v>
      </c>
      <c r="L127" s="5" t="n">
        <f aca="false">COUNTIFS(Probe_Pairs!$B:$B,A127,Probe_Pairs!$S:$S,"Both halves")</f>
        <v>6</v>
      </c>
      <c r="M127" s="5" t="s">
        <v>137</v>
      </c>
      <c r="N127" s="5" t="s">
        <v>543</v>
      </c>
      <c r="O127" s="5" t="s">
        <v>588</v>
      </c>
      <c r="P127" s="5" t="s">
        <v>1022</v>
      </c>
      <c r="Q127" s="5" t="s">
        <v>68</v>
      </c>
      <c r="R127" s="5" t="s">
        <v>1020</v>
      </c>
      <c r="S127" s="5" t="n">
        <f aca="false">IF(R127="","",COUNTIFS(Probe_Pairs!$B:$B,A127,Probe_Pairs!$X:$X,"Both halves"))</f>
        <v>2</v>
      </c>
      <c r="T127" s="5" t="str">
        <f aca="false">IF(R127="","",IF(S127*2&gt;=K127,"High","Low"))</f>
        <v>Low</v>
      </c>
      <c r="U127" s="5" t="s">
        <v>1023</v>
      </c>
      <c r="V127" s="5" t="s">
        <v>1024</v>
      </c>
      <c r="W127" s="5" t="s">
        <v>1025</v>
      </c>
      <c r="X127" s="8" t="s">
        <v>539</v>
      </c>
      <c r="Y127" s="7"/>
      <c r="Z127" s="7"/>
      <c r="AA127" s="7"/>
      <c r="AB127" s="7"/>
      <c r="AC127" s="7"/>
    </row>
    <row r="128" customFormat="false" ht="15" hidden="false" customHeight="false" outlineLevel="0" collapsed="false">
      <c r="A128" s="5" t="s">
        <v>1026</v>
      </c>
      <c r="B128" s="5" t="s">
        <v>40</v>
      </c>
      <c r="C128" s="5" t="s">
        <v>1027</v>
      </c>
      <c r="D128" s="5" t="s">
        <v>1027</v>
      </c>
      <c r="E128" s="5" t="s">
        <v>43</v>
      </c>
      <c r="F128" s="5" t="s">
        <v>1028</v>
      </c>
      <c r="G128" s="5"/>
      <c r="H128" s="5"/>
      <c r="I128" s="9" t="s">
        <v>66</v>
      </c>
      <c r="J128" s="5" t="s">
        <v>587</v>
      </c>
      <c r="K128" s="5" t="n">
        <f aca="false">COUNTIF(Probe_Pairs!$B:$B,A128)</f>
        <v>7</v>
      </c>
      <c r="L128" s="5" t="n">
        <f aca="false">COUNTIFS(Probe_Pairs!$B:$B,A128,Probe_Pairs!$S:$S,"Both halves")</f>
        <v>7</v>
      </c>
      <c r="M128" s="5"/>
      <c r="N128" s="5" t="s">
        <v>543</v>
      </c>
      <c r="O128" s="5" t="s">
        <v>588</v>
      </c>
      <c r="P128" s="5" t="s">
        <v>1029</v>
      </c>
      <c r="Q128" s="5" t="s">
        <v>68</v>
      </c>
      <c r="R128" s="5" t="s">
        <v>1028</v>
      </c>
      <c r="S128" s="5" t="n">
        <f aca="false">IF(R128="","",COUNTIFS(Probe_Pairs!$B:$B,A128,Probe_Pairs!$X:$X,"Both halves"))</f>
        <v>2</v>
      </c>
      <c r="T128" s="5" t="str">
        <f aca="false">IF(R128="","",IF(S128*2&gt;=K128,"High","Low"))</f>
        <v>Low</v>
      </c>
      <c r="U128" s="5" t="s">
        <v>1030</v>
      </c>
      <c r="V128" s="5" t="s">
        <v>1031</v>
      </c>
      <c r="W128" s="5" t="s">
        <v>1032</v>
      </c>
      <c r="X128" s="8" t="s">
        <v>1033</v>
      </c>
      <c r="Y128" s="7"/>
      <c r="Z128" s="7"/>
      <c r="AA128" s="7"/>
      <c r="AB128" s="7"/>
      <c r="AC128" s="7"/>
    </row>
    <row r="129" customFormat="false" ht="15" hidden="false" customHeight="false" outlineLevel="0" collapsed="false">
      <c r="A129" s="5" t="s">
        <v>1034</v>
      </c>
      <c r="B129" s="5" t="s">
        <v>40</v>
      </c>
      <c r="C129" s="5" t="s">
        <v>1035</v>
      </c>
      <c r="D129" s="5" t="s">
        <v>1035</v>
      </c>
      <c r="E129" s="5" t="s">
        <v>43</v>
      </c>
      <c r="F129" s="5" t="s">
        <v>1036</v>
      </c>
      <c r="G129" s="5"/>
      <c r="H129" s="5"/>
      <c r="I129" s="9" t="s">
        <v>66</v>
      </c>
      <c r="J129" s="5" t="s">
        <v>587</v>
      </c>
      <c r="K129" s="5" t="n">
        <f aca="false">COUNTIF(Probe_Pairs!$B:$B,A129)</f>
        <v>6</v>
      </c>
      <c r="L129" s="5" t="n">
        <f aca="false">COUNTIFS(Probe_Pairs!$B:$B,A129,Probe_Pairs!$S:$S,"Both halves")</f>
        <v>6</v>
      </c>
      <c r="M129" s="5"/>
      <c r="N129" s="5" t="s">
        <v>543</v>
      </c>
      <c r="O129" s="5" t="s">
        <v>588</v>
      </c>
      <c r="P129" s="5" t="s">
        <v>1037</v>
      </c>
      <c r="Q129" s="5" t="s">
        <v>68</v>
      </c>
      <c r="R129" s="5" t="s">
        <v>1036</v>
      </c>
      <c r="S129" s="5" t="n">
        <f aca="false">IF(R129="","",COUNTIFS(Probe_Pairs!$B:$B,A129,Probe_Pairs!$X:$X,"Both halves"))</f>
        <v>5</v>
      </c>
      <c r="T129" s="5" t="str">
        <f aca="false">IF(R129="","",IF(S129*2&gt;=K129,"High","Low"))</f>
        <v>High</v>
      </c>
      <c r="U129" s="5" t="s">
        <v>1038</v>
      </c>
      <c r="V129" s="5" t="s">
        <v>1038</v>
      </c>
      <c r="W129" s="5" t="s">
        <v>1039</v>
      </c>
      <c r="X129" s="8" t="s">
        <v>235</v>
      </c>
      <c r="Y129" s="7"/>
      <c r="Z129" s="7"/>
      <c r="AA129" s="7"/>
      <c r="AB129" s="7"/>
      <c r="AC129" s="7"/>
    </row>
    <row r="130" customFormat="false" ht="15" hidden="false" customHeight="false" outlineLevel="0" collapsed="false">
      <c r="A130" s="5" t="s">
        <v>1040</v>
      </c>
      <c r="B130" s="5" t="s">
        <v>40</v>
      </c>
      <c r="C130" s="5" t="s">
        <v>1041</v>
      </c>
      <c r="D130" s="5" t="s">
        <v>1041</v>
      </c>
      <c r="E130" s="5" t="s">
        <v>43</v>
      </c>
      <c r="F130" s="5" t="s">
        <v>1042</v>
      </c>
      <c r="G130" s="5"/>
      <c r="H130" s="5" t="s">
        <v>1043</v>
      </c>
      <c r="I130" s="9" t="s">
        <v>66</v>
      </c>
      <c r="J130" s="5" t="s">
        <v>587</v>
      </c>
      <c r="K130" s="5" t="n">
        <f aca="false">COUNTIF(Probe_Pairs!$B:$B,A130)</f>
        <v>5</v>
      </c>
      <c r="L130" s="5" t="n">
        <f aca="false">COUNTIFS(Probe_Pairs!$B:$B,A130,Probe_Pairs!$S:$S,"Both halves")</f>
        <v>5</v>
      </c>
      <c r="M130" s="5"/>
      <c r="N130" s="5" t="s">
        <v>543</v>
      </c>
      <c r="O130" s="5" t="s">
        <v>588</v>
      </c>
      <c r="P130" s="5" t="s">
        <v>1044</v>
      </c>
      <c r="Q130" s="5" t="s">
        <v>68</v>
      </c>
      <c r="R130" s="5" t="s">
        <v>1042</v>
      </c>
      <c r="S130" s="5" t="n">
        <f aca="false">IF(R130="","",COUNTIFS(Probe_Pairs!$B:$B,A130,Probe_Pairs!$X:$X,"Both halves"))</f>
        <v>4</v>
      </c>
      <c r="T130" s="5" t="str">
        <f aca="false">IF(R130="","",IF(S130*2&gt;=K130,"High","Low"))</f>
        <v>High</v>
      </c>
      <c r="U130" s="5" t="s">
        <v>1045</v>
      </c>
      <c r="V130" s="5" t="s">
        <v>1046</v>
      </c>
      <c r="W130" s="5" t="s">
        <v>1047</v>
      </c>
      <c r="X130" s="5"/>
      <c r="Y130" s="7"/>
      <c r="Z130" s="7"/>
      <c r="AA130" s="7"/>
      <c r="AB130" s="7"/>
      <c r="AC130" s="7"/>
    </row>
    <row r="131" customFormat="false" ht="15" hidden="false" customHeight="false" outlineLevel="0" collapsed="false">
      <c r="A131" s="5" t="s">
        <v>1048</v>
      </c>
      <c r="B131" s="5" t="s">
        <v>40</v>
      </c>
      <c r="C131" s="5" t="s">
        <v>1049</v>
      </c>
      <c r="D131" s="5" t="s">
        <v>1050</v>
      </c>
      <c r="E131" s="5" t="s">
        <v>43</v>
      </c>
      <c r="F131" s="5" t="s">
        <v>1051</v>
      </c>
      <c r="G131" s="5" t="s">
        <v>1052</v>
      </c>
      <c r="H131" s="5"/>
      <c r="I131" s="10" t="s">
        <v>137</v>
      </c>
      <c r="J131" s="5" t="s">
        <v>1053</v>
      </c>
      <c r="K131" s="5" t="n">
        <f aca="false">COUNTIF(Probe_Pairs!$B:$B,A131)</f>
        <v>6</v>
      </c>
      <c r="L131" s="5" t="n">
        <f aca="false">COUNTIFS(Probe_Pairs!$B:$B,A131,Probe_Pairs!$S:$S,"Both halves")</f>
        <v>6</v>
      </c>
      <c r="M131" s="5"/>
      <c r="N131" s="5" t="s">
        <v>1054</v>
      </c>
      <c r="O131" s="5" t="s">
        <v>1055</v>
      </c>
      <c r="P131" s="5" t="s">
        <v>1056</v>
      </c>
      <c r="Q131" s="5" t="s">
        <v>49</v>
      </c>
      <c r="R131" s="5" t="s">
        <v>1051</v>
      </c>
      <c r="S131" s="5" t="n">
        <f aca="false">IF(R131="","",COUNTIFS(Probe_Pairs!$B:$B,A131,Probe_Pairs!$X:$X,"Both halves"))</f>
        <v>6</v>
      </c>
      <c r="T131" s="5" t="str">
        <f aca="false">IF(R131="","",IF(S131*2&gt;=K131,"High","Low"))</f>
        <v>High</v>
      </c>
      <c r="U131" s="5" t="s">
        <v>1057</v>
      </c>
      <c r="V131" s="5" t="s">
        <v>1057</v>
      </c>
      <c r="W131" s="5" t="s">
        <v>1058</v>
      </c>
      <c r="X131" s="5"/>
      <c r="Y131" s="7"/>
      <c r="Z131" s="7"/>
      <c r="AA131" s="7"/>
      <c r="AB131" s="7"/>
      <c r="AC131" s="7"/>
    </row>
    <row r="132" customFormat="false" ht="15" hidden="false" customHeight="false" outlineLevel="0" collapsed="false">
      <c r="A132" s="5" t="s">
        <v>1059</v>
      </c>
      <c r="B132" s="5" t="s">
        <v>40</v>
      </c>
      <c r="C132" s="5" t="s">
        <v>1060</v>
      </c>
      <c r="D132" s="5" t="s">
        <v>1061</v>
      </c>
      <c r="E132" s="5" t="s">
        <v>43</v>
      </c>
      <c r="F132" s="5" t="s">
        <v>1062</v>
      </c>
      <c r="G132" s="5" t="s">
        <v>1063</v>
      </c>
      <c r="H132" s="5"/>
      <c r="I132" s="10" t="s">
        <v>137</v>
      </c>
      <c r="J132" s="5" t="s">
        <v>1053</v>
      </c>
      <c r="K132" s="5" t="n">
        <f aca="false">COUNTIF(Probe_Pairs!$B:$B,A132)</f>
        <v>6</v>
      </c>
      <c r="L132" s="5" t="n">
        <f aca="false">COUNTIFS(Probe_Pairs!$B:$B,A132,Probe_Pairs!$S:$S,"Both halves")</f>
        <v>6</v>
      </c>
      <c r="M132" s="5"/>
      <c r="N132" s="5" t="s">
        <v>1060</v>
      </c>
      <c r="O132" s="5" t="s">
        <v>1055</v>
      </c>
      <c r="P132" s="5" t="s">
        <v>1064</v>
      </c>
      <c r="Q132" s="5" t="s">
        <v>49</v>
      </c>
      <c r="R132" s="5" t="s">
        <v>1062</v>
      </c>
      <c r="S132" s="5" t="n">
        <f aca="false">IF(R132="","",COUNTIFS(Probe_Pairs!$B:$B,A132,Probe_Pairs!$X:$X,"Both halves"))</f>
        <v>6</v>
      </c>
      <c r="T132" s="5" t="str">
        <f aca="false">IF(R132="","",IF(S132*2&gt;=K132,"High","Low"))</f>
        <v>High</v>
      </c>
      <c r="U132" s="5" t="s">
        <v>1061</v>
      </c>
      <c r="V132" s="5" t="s">
        <v>1065</v>
      </c>
      <c r="W132" s="5" t="s">
        <v>1066</v>
      </c>
      <c r="X132" s="5"/>
      <c r="Y132" s="7"/>
      <c r="Z132" s="7"/>
      <c r="AA132" s="7"/>
      <c r="AB132" s="7"/>
      <c r="AC132" s="7"/>
    </row>
    <row r="133" customFormat="false" ht="15" hidden="false" customHeight="false" outlineLevel="0" collapsed="false">
      <c r="A133" s="5" t="s">
        <v>1067</v>
      </c>
      <c r="B133" s="5" t="s">
        <v>40</v>
      </c>
      <c r="C133" s="5" t="s">
        <v>1068</v>
      </c>
      <c r="D133" s="5" t="s">
        <v>1068</v>
      </c>
      <c r="E133" s="5" t="s">
        <v>43</v>
      </c>
      <c r="F133" s="5" t="s">
        <v>1069</v>
      </c>
      <c r="G133" s="5"/>
      <c r="H133" s="5" t="s">
        <v>1070</v>
      </c>
      <c r="I133" s="10" t="s">
        <v>137</v>
      </c>
      <c r="J133" s="5" t="s">
        <v>1053</v>
      </c>
      <c r="K133" s="5" t="n">
        <f aca="false">COUNTIF(Probe_Pairs!$B:$B,A133)</f>
        <v>15</v>
      </c>
      <c r="L133" s="5" t="n">
        <f aca="false">COUNTIFS(Probe_Pairs!$B:$B,A133,Probe_Pairs!$S:$S,"Both halves")</f>
        <v>4</v>
      </c>
      <c r="M133" s="5" t="s">
        <v>1071</v>
      </c>
      <c r="N133" s="5" t="s">
        <v>570</v>
      </c>
      <c r="O133" s="5" t="s">
        <v>573</v>
      </c>
      <c r="P133" s="5" t="s">
        <v>1072</v>
      </c>
      <c r="Q133" s="5" t="s">
        <v>68</v>
      </c>
      <c r="R133" s="5" t="s">
        <v>1069</v>
      </c>
      <c r="S133" s="5" t="n">
        <f aca="false">IF(R133="","",COUNTIFS(Probe_Pairs!$B:$B,A133,Probe_Pairs!$X:$X,"Both halves"))</f>
        <v>15</v>
      </c>
      <c r="T133" s="5" t="str">
        <f aca="false">IF(R133="","",IF(S133*2&gt;=K133,"High","Low"))</f>
        <v>High</v>
      </c>
      <c r="U133" s="5" t="s">
        <v>1073</v>
      </c>
      <c r="V133" s="5" t="s">
        <v>1074</v>
      </c>
      <c r="W133" s="5" t="s">
        <v>1075</v>
      </c>
      <c r="X133" s="8" t="s">
        <v>1076</v>
      </c>
      <c r="Y133" s="7"/>
      <c r="Z133" s="7"/>
      <c r="AA133" s="7"/>
      <c r="AB133" s="7"/>
      <c r="AC133" s="7"/>
    </row>
    <row r="134" customFormat="false" ht="15" hidden="false" customHeight="false" outlineLevel="0" collapsed="false">
      <c r="A134" s="5" t="s">
        <v>1077</v>
      </c>
      <c r="B134" s="5" t="s">
        <v>40</v>
      </c>
      <c r="C134" s="5" t="s">
        <v>1078</v>
      </c>
      <c r="D134" s="5" t="s">
        <v>1079</v>
      </c>
      <c r="E134" s="5" t="s">
        <v>43</v>
      </c>
      <c r="F134" s="5" t="s">
        <v>1080</v>
      </c>
      <c r="G134" s="5" t="s">
        <v>1081</v>
      </c>
      <c r="H134" s="5"/>
      <c r="I134" s="10" t="s">
        <v>137</v>
      </c>
      <c r="J134" s="5" t="s">
        <v>1053</v>
      </c>
      <c r="K134" s="5" t="n">
        <f aca="false">COUNTIF(Probe_Pairs!$B:$B,A134)</f>
        <v>6</v>
      </c>
      <c r="L134" s="5" t="n">
        <f aca="false">COUNTIFS(Probe_Pairs!$B:$B,A134,Probe_Pairs!$S:$S,"Both halves")</f>
        <v>6</v>
      </c>
      <c r="M134" s="5"/>
      <c r="N134" s="5" t="s">
        <v>1078</v>
      </c>
      <c r="O134" s="5" t="s">
        <v>1055</v>
      </c>
      <c r="P134" s="5" t="s">
        <v>1082</v>
      </c>
      <c r="Q134" s="5" t="s">
        <v>49</v>
      </c>
      <c r="R134" s="5" t="s">
        <v>1080</v>
      </c>
      <c r="S134" s="5" t="n">
        <f aca="false">IF(R134="","",COUNTIFS(Probe_Pairs!$B:$B,A134,Probe_Pairs!$X:$X,"Both halves"))</f>
        <v>6</v>
      </c>
      <c r="T134" s="5" t="str">
        <f aca="false">IF(R134="","",IF(S134*2&gt;=K134,"High","Low"))</f>
        <v>High</v>
      </c>
      <c r="U134" s="5" t="s">
        <v>1083</v>
      </c>
      <c r="V134" s="5" t="s">
        <v>1083</v>
      </c>
      <c r="W134" s="5" t="s">
        <v>1084</v>
      </c>
      <c r="X134" s="5"/>
      <c r="Y134" s="7"/>
      <c r="Z134" s="7"/>
      <c r="AA134" s="7"/>
      <c r="AB134" s="7"/>
      <c r="AC134" s="7"/>
    </row>
    <row r="135" customFormat="false" ht="15" hidden="false" customHeight="false" outlineLevel="0" collapsed="false">
      <c r="A135" s="5" t="s">
        <v>1085</v>
      </c>
      <c r="B135" s="5" t="s">
        <v>40</v>
      </c>
      <c r="C135" s="5" t="s">
        <v>1086</v>
      </c>
      <c r="D135" s="5" t="s">
        <v>1087</v>
      </c>
      <c r="E135" s="5" t="s">
        <v>43</v>
      </c>
      <c r="F135" s="5" t="s">
        <v>1088</v>
      </c>
      <c r="G135" s="5" t="s">
        <v>1089</v>
      </c>
      <c r="H135" s="5"/>
      <c r="I135" s="10" t="s">
        <v>137</v>
      </c>
      <c r="J135" s="5" t="s">
        <v>1053</v>
      </c>
      <c r="K135" s="5" t="n">
        <f aca="false">COUNTIF(Probe_Pairs!$B:$B,A135)</f>
        <v>6</v>
      </c>
      <c r="L135" s="5" t="n">
        <f aca="false">COUNTIFS(Probe_Pairs!$B:$B,A135,Probe_Pairs!$S:$S,"Both halves")</f>
        <v>6</v>
      </c>
      <c r="M135" s="5"/>
      <c r="N135" s="5" t="s">
        <v>1086</v>
      </c>
      <c r="O135" s="5" t="s">
        <v>1055</v>
      </c>
      <c r="P135" s="5" t="s">
        <v>1090</v>
      </c>
      <c r="Q135" s="5" t="s">
        <v>49</v>
      </c>
      <c r="R135" s="5" t="s">
        <v>1088</v>
      </c>
      <c r="S135" s="5" t="n">
        <f aca="false">IF(R135="","",COUNTIFS(Probe_Pairs!$B:$B,A135,Probe_Pairs!$X:$X,"Both halves"))</f>
        <v>6</v>
      </c>
      <c r="T135" s="5" t="str">
        <f aca="false">IF(R135="","",IF(S135*2&gt;=K135,"High","Low"))</f>
        <v>High</v>
      </c>
      <c r="U135" s="5" t="s">
        <v>1087</v>
      </c>
      <c r="V135" s="5" t="s">
        <v>1091</v>
      </c>
      <c r="W135" s="5" t="s">
        <v>1092</v>
      </c>
      <c r="X135" s="5"/>
      <c r="Y135" s="7"/>
      <c r="Z135" s="7"/>
      <c r="AA135" s="7"/>
      <c r="AB135" s="7"/>
      <c r="AC135" s="7"/>
    </row>
    <row r="136" customFormat="false" ht="15" hidden="false" customHeight="false" outlineLevel="0" collapsed="false">
      <c r="A136" s="5" t="s">
        <v>1093</v>
      </c>
      <c r="B136" s="5" t="s">
        <v>40</v>
      </c>
      <c r="C136" s="5" t="s">
        <v>133</v>
      </c>
      <c r="D136" s="5" t="s">
        <v>134</v>
      </c>
      <c r="E136" s="5" t="s">
        <v>43</v>
      </c>
      <c r="F136" s="5" t="s">
        <v>135</v>
      </c>
      <c r="G136" s="5" t="s">
        <v>136</v>
      </c>
      <c r="H136" s="5"/>
      <c r="I136" s="10" t="s">
        <v>137</v>
      </c>
      <c r="J136" s="5" t="s">
        <v>1053</v>
      </c>
      <c r="K136" s="5" t="n">
        <f aca="false">COUNTIF(Probe_Pairs!$B:$B,A136)</f>
        <v>10</v>
      </c>
      <c r="L136" s="5" t="n">
        <f aca="false">COUNTIFS(Probe_Pairs!$B:$B,A136,Probe_Pairs!$S:$S,"Both halves")</f>
        <v>10</v>
      </c>
      <c r="M136" s="5" t="s">
        <v>45</v>
      </c>
      <c r="N136" s="5" t="s">
        <v>562</v>
      </c>
      <c r="O136" s="5" t="s">
        <v>1094</v>
      </c>
      <c r="P136" s="5" t="s">
        <v>138</v>
      </c>
      <c r="Q136" s="5" t="s">
        <v>68</v>
      </c>
      <c r="R136" s="5" t="s">
        <v>135</v>
      </c>
      <c r="S136" s="5" t="n">
        <f aca="false">IF(R136="","",COUNTIFS(Probe_Pairs!$B:$B,A136,Probe_Pairs!$X:$X,"Both halves"))</f>
        <v>10</v>
      </c>
      <c r="T136" s="5" t="str">
        <f aca="false">IF(R136="","",IF(S136*2&gt;=K136,"High","Low"))</f>
        <v>High</v>
      </c>
      <c r="U136" s="5" t="s">
        <v>139</v>
      </c>
      <c r="V136" s="5" t="s">
        <v>140</v>
      </c>
      <c r="W136" s="5" t="s">
        <v>141</v>
      </c>
      <c r="X136" s="5"/>
      <c r="Y136" s="7"/>
      <c r="Z136" s="7"/>
      <c r="AA136" s="7"/>
      <c r="AB136" s="7"/>
      <c r="AC136" s="7"/>
    </row>
    <row r="137" customFormat="false" ht="15" hidden="false" customHeight="false" outlineLevel="0" collapsed="false">
      <c r="A137" s="5" t="s">
        <v>1095</v>
      </c>
      <c r="B137" s="5" t="s">
        <v>40</v>
      </c>
      <c r="C137" s="5" t="s">
        <v>1096</v>
      </c>
      <c r="D137" s="5" t="s">
        <v>1097</v>
      </c>
      <c r="E137" s="5" t="s">
        <v>43</v>
      </c>
      <c r="F137" s="5" t="s">
        <v>1098</v>
      </c>
      <c r="G137" s="5"/>
      <c r="H137" s="5"/>
      <c r="I137" s="10" t="s">
        <v>137</v>
      </c>
      <c r="J137" s="5" t="s">
        <v>1053</v>
      </c>
      <c r="K137" s="5" t="n">
        <f aca="false">COUNTIF(Probe_Pairs!$B:$B,A137)</f>
        <v>8</v>
      </c>
      <c r="L137" s="5" t="n">
        <f aca="false">COUNTIFS(Probe_Pairs!$B:$B,A137,Probe_Pairs!$S:$S,"Both halves")</f>
        <v>8</v>
      </c>
      <c r="M137" s="5"/>
      <c r="N137" s="5" t="s">
        <v>1096</v>
      </c>
      <c r="O137" s="5" t="s">
        <v>453</v>
      </c>
      <c r="P137" s="5" t="s">
        <v>1099</v>
      </c>
      <c r="Q137" s="5" t="s">
        <v>68</v>
      </c>
      <c r="R137" s="5" t="s">
        <v>1098</v>
      </c>
      <c r="S137" s="5" t="n">
        <f aca="false">IF(R137="","",COUNTIFS(Probe_Pairs!$B:$B,A137,Probe_Pairs!$X:$X,"Both halves"))</f>
        <v>8</v>
      </c>
      <c r="T137" s="5" t="str">
        <f aca="false">IF(R137="","",IF(S137*2&gt;=K137,"High","Low"))</f>
        <v>High</v>
      </c>
      <c r="U137" s="5" t="s">
        <v>1100</v>
      </c>
      <c r="V137" s="5" t="s">
        <v>1101</v>
      </c>
      <c r="W137" s="5" t="s">
        <v>1102</v>
      </c>
      <c r="X137" s="5"/>
      <c r="Y137" s="7"/>
      <c r="Z137" s="7"/>
      <c r="AA137" s="7"/>
      <c r="AB137" s="7"/>
      <c r="AC137" s="7"/>
    </row>
    <row r="138" customFormat="false" ht="15" hidden="false" customHeight="false" outlineLevel="0" collapsed="false">
      <c r="A138" s="5" t="s">
        <v>1103</v>
      </c>
      <c r="B138" s="5" t="s">
        <v>40</v>
      </c>
      <c r="C138" s="5" t="s">
        <v>1104</v>
      </c>
      <c r="D138" s="5" t="s">
        <v>1105</v>
      </c>
      <c r="E138" s="5" t="s">
        <v>43</v>
      </c>
      <c r="F138" s="5" t="s">
        <v>1106</v>
      </c>
      <c r="G138" s="5"/>
      <c r="H138" s="5"/>
      <c r="I138" s="10" t="s">
        <v>137</v>
      </c>
      <c r="J138" s="5" t="s">
        <v>1053</v>
      </c>
      <c r="K138" s="5" t="n">
        <f aca="false">COUNTIF(Probe_Pairs!$B:$B,A138)</f>
        <v>6</v>
      </c>
      <c r="L138" s="5" t="n">
        <f aca="false">COUNTIFS(Probe_Pairs!$B:$B,A138,Probe_Pairs!$S:$S,"Both halves")</f>
        <v>6</v>
      </c>
      <c r="M138" s="5" t="s">
        <v>162</v>
      </c>
      <c r="N138" s="5" t="s">
        <v>1107</v>
      </c>
      <c r="O138" s="5" t="s">
        <v>1055</v>
      </c>
      <c r="P138" s="5" t="s">
        <v>1108</v>
      </c>
      <c r="Q138" s="5" t="s">
        <v>68</v>
      </c>
      <c r="R138" s="5" t="s">
        <v>1106</v>
      </c>
      <c r="S138" s="5" t="n">
        <f aca="false">IF(R138="","",COUNTIFS(Probe_Pairs!$B:$B,A138,Probe_Pairs!$X:$X,"Both halves"))</f>
        <v>1</v>
      </c>
      <c r="T138" s="5" t="str">
        <f aca="false">IF(R138="","",IF(S138*2&gt;=K138,"High","Low"))</f>
        <v>Low</v>
      </c>
      <c r="U138" s="5" t="s">
        <v>1109</v>
      </c>
      <c r="V138" s="5" t="s">
        <v>1110</v>
      </c>
      <c r="W138" s="5" t="s">
        <v>1111</v>
      </c>
      <c r="X138" s="8" t="s">
        <v>1112</v>
      </c>
      <c r="Y138" s="7"/>
      <c r="Z138" s="7"/>
      <c r="AA138" s="7"/>
      <c r="AB138" s="7"/>
      <c r="AC138" s="7"/>
    </row>
    <row r="139" customFormat="false" ht="15" hidden="false" customHeight="false" outlineLevel="0" collapsed="false">
      <c r="A139" s="5" t="s">
        <v>1113</v>
      </c>
      <c r="B139" s="5" t="s">
        <v>40</v>
      </c>
      <c r="C139" s="5" t="s">
        <v>691</v>
      </c>
      <c r="D139" s="5" t="s">
        <v>692</v>
      </c>
      <c r="E139" s="5" t="s">
        <v>43</v>
      </c>
      <c r="F139" s="5" t="s">
        <v>693</v>
      </c>
      <c r="G139" s="5" t="s">
        <v>694</v>
      </c>
      <c r="H139" s="5"/>
      <c r="I139" s="10" t="s">
        <v>137</v>
      </c>
      <c r="J139" s="5" t="s">
        <v>1053</v>
      </c>
      <c r="K139" s="5" t="n">
        <f aca="false">COUNTIF(Probe_Pairs!$B:$B,A139)</f>
        <v>6</v>
      </c>
      <c r="L139" s="5" t="n">
        <f aca="false">COUNTIFS(Probe_Pairs!$B:$B,A139,Probe_Pairs!$S:$S,"Both halves")</f>
        <v>6</v>
      </c>
      <c r="M139" s="5" t="s">
        <v>66</v>
      </c>
      <c r="N139" s="5" t="s">
        <v>1114</v>
      </c>
      <c r="O139" s="5" t="s">
        <v>1055</v>
      </c>
      <c r="P139" s="5" t="s">
        <v>696</v>
      </c>
      <c r="Q139" s="5" t="s">
        <v>49</v>
      </c>
      <c r="R139" s="5" t="s">
        <v>693</v>
      </c>
      <c r="S139" s="5" t="n">
        <f aca="false">IF(R139="","",COUNTIFS(Probe_Pairs!$B:$B,A139,Probe_Pairs!$X:$X,"Both halves"))</f>
        <v>6</v>
      </c>
      <c r="T139" s="5" t="str">
        <f aca="false">IF(R139="","",IF(S139*2&gt;=K139,"High","Low"))</f>
        <v>High</v>
      </c>
      <c r="U139" s="5" t="s">
        <v>692</v>
      </c>
      <c r="V139" s="5" t="s">
        <v>697</v>
      </c>
      <c r="W139" s="5" t="s">
        <v>698</v>
      </c>
      <c r="X139" s="5"/>
      <c r="Y139" s="7"/>
      <c r="Z139" s="7"/>
      <c r="AA139" s="7"/>
      <c r="AB139" s="7"/>
      <c r="AC139" s="7"/>
    </row>
    <row r="140" customFormat="false" ht="15" hidden="false" customHeight="false" outlineLevel="0" collapsed="false">
      <c r="A140" s="5" t="s">
        <v>1115</v>
      </c>
      <c r="B140" s="5" t="s">
        <v>40</v>
      </c>
      <c r="C140" s="5" t="s">
        <v>1116</v>
      </c>
      <c r="D140" s="5" t="s">
        <v>1117</v>
      </c>
      <c r="E140" s="5" t="s">
        <v>43</v>
      </c>
      <c r="F140" s="5" t="s">
        <v>1118</v>
      </c>
      <c r="G140" s="5"/>
      <c r="H140" s="5"/>
      <c r="I140" s="10" t="s">
        <v>137</v>
      </c>
      <c r="J140" s="5" t="s">
        <v>1053</v>
      </c>
      <c r="K140" s="5" t="n">
        <f aca="false">COUNTIF(Probe_Pairs!$B:$B,A140)</f>
        <v>9</v>
      </c>
      <c r="L140" s="5" t="n">
        <f aca="false">COUNTIFS(Probe_Pairs!$B:$B,A140,Probe_Pairs!$S:$S,"Both halves")</f>
        <v>9</v>
      </c>
      <c r="M140" s="5"/>
      <c r="N140" s="5" t="s">
        <v>394</v>
      </c>
      <c r="O140" s="5" t="s">
        <v>395</v>
      </c>
      <c r="P140" s="5" t="s">
        <v>1119</v>
      </c>
      <c r="Q140" s="5" t="s">
        <v>49</v>
      </c>
      <c r="R140" s="5" t="s">
        <v>1118</v>
      </c>
      <c r="S140" s="5" t="n">
        <f aca="false">IF(R140="","",COUNTIFS(Probe_Pairs!$B:$B,A140,Probe_Pairs!$X:$X,"Both halves"))</f>
        <v>9</v>
      </c>
      <c r="T140" s="5" t="str">
        <f aca="false">IF(R140="","",IF(S140*2&gt;=K140,"High","Low"))</f>
        <v>High</v>
      </c>
      <c r="U140" s="5" t="s">
        <v>1120</v>
      </c>
      <c r="V140" s="5" t="s">
        <v>1120</v>
      </c>
      <c r="W140" s="5" t="s">
        <v>1121</v>
      </c>
      <c r="X140" s="5"/>
      <c r="Y140" s="7"/>
      <c r="Z140" s="7"/>
      <c r="AA140" s="7"/>
      <c r="AB140" s="7"/>
      <c r="AC140" s="7"/>
    </row>
    <row r="141" customFormat="false" ht="15" hidden="false" customHeight="false" outlineLevel="0" collapsed="false">
      <c r="A141" s="5" t="s">
        <v>1122</v>
      </c>
      <c r="B141" s="5" t="s">
        <v>40</v>
      </c>
      <c r="C141" s="5" t="s">
        <v>192</v>
      </c>
      <c r="D141" s="5" t="s">
        <v>193</v>
      </c>
      <c r="E141" s="5" t="s">
        <v>43</v>
      </c>
      <c r="F141" s="5" t="s">
        <v>194</v>
      </c>
      <c r="G141" s="5"/>
      <c r="H141" s="5"/>
      <c r="I141" s="10" t="s">
        <v>137</v>
      </c>
      <c r="J141" s="5" t="s">
        <v>1053</v>
      </c>
      <c r="K141" s="5" t="n">
        <f aca="false">COUNTIF(Probe_Pairs!$B:$B,A141)</f>
        <v>7</v>
      </c>
      <c r="L141" s="5" t="n">
        <f aca="false">COUNTIFS(Probe_Pairs!$B:$B,A141,Probe_Pairs!$S:$S,"Both halves")</f>
        <v>7</v>
      </c>
      <c r="M141" s="5" t="s">
        <v>45</v>
      </c>
      <c r="N141" s="5" t="s">
        <v>1123</v>
      </c>
      <c r="O141" s="5" t="s">
        <v>1055</v>
      </c>
      <c r="P141" s="5" t="s">
        <v>195</v>
      </c>
      <c r="Q141" s="5" t="s">
        <v>68</v>
      </c>
      <c r="R141" s="5" t="s">
        <v>194</v>
      </c>
      <c r="S141" s="5" t="n">
        <f aca="false">IF(R141="","",COUNTIFS(Probe_Pairs!$B:$B,A141,Probe_Pairs!$X:$X,"Both halves"))</f>
        <v>3</v>
      </c>
      <c r="T141" s="5" t="str">
        <f aca="false">IF(R141="","",IF(S141*2&gt;=K141,"High","Low"))</f>
        <v>Low</v>
      </c>
      <c r="U141" s="5" t="s">
        <v>196</v>
      </c>
      <c r="V141" s="5" t="s">
        <v>197</v>
      </c>
      <c r="W141" s="5" t="s">
        <v>198</v>
      </c>
      <c r="X141" s="8" t="s">
        <v>1124</v>
      </c>
      <c r="Y141" s="7"/>
      <c r="Z141" s="7"/>
      <c r="AA141" s="7"/>
      <c r="AB141" s="7"/>
      <c r="AC141" s="7"/>
    </row>
    <row r="142" customFormat="false" ht="15" hidden="false" customHeight="false" outlineLevel="0" collapsed="false">
      <c r="A142" s="5" t="s">
        <v>1125</v>
      </c>
      <c r="B142" s="5" t="s">
        <v>40</v>
      </c>
      <c r="C142" s="5" t="s">
        <v>1126</v>
      </c>
      <c r="D142" s="5" t="s">
        <v>1127</v>
      </c>
      <c r="E142" s="5" t="s">
        <v>43</v>
      </c>
      <c r="F142" s="5" t="s">
        <v>1128</v>
      </c>
      <c r="G142" s="5"/>
      <c r="H142" s="5"/>
      <c r="I142" s="10" t="s">
        <v>137</v>
      </c>
      <c r="J142" s="5" t="s">
        <v>1053</v>
      </c>
      <c r="K142" s="5" t="n">
        <f aca="false">COUNTIF(Probe_Pairs!$B:$B,A142)</f>
        <v>10</v>
      </c>
      <c r="L142" s="5" t="n">
        <f aca="false">COUNTIFS(Probe_Pairs!$B:$B,A142,Probe_Pairs!$S:$S,"Both halves")</f>
        <v>10</v>
      </c>
      <c r="M142" s="5"/>
      <c r="N142" s="5" t="s">
        <v>168</v>
      </c>
      <c r="O142" s="5" t="s">
        <v>171</v>
      </c>
      <c r="P142" s="5" t="s">
        <v>1129</v>
      </c>
      <c r="Q142" s="5" t="s">
        <v>49</v>
      </c>
      <c r="R142" s="5" t="s">
        <v>1128</v>
      </c>
      <c r="S142" s="5" t="n">
        <f aca="false">IF(R142="","",COUNTIFS(Probe_Pairs!$B:$B,A142,Probe_Pairs!$X:$X,"Both halves"))</f>
        <v>10</v>
      </c>
      <c r="T142" s="5" t="str">
        <f aca="false">IF(R142="","",IF(S142*2&gt;=K142,"High","Low"))</f>
        <v>High</v>
      </c>
      <c r="U142" s="5" t="s">
        <v>1130</v>
      </c>
      <c r="V142" s="5" t="s">
        <v>1127</v>
      </c>
      <c r="W142" s="5" t="s">
        <v>1131</v>
      </c>
      <c r="X142" s="5"/>
      <c r="Y142" s="7"/>
      <c r="Z142" s="7"/>
      <c r="AA142" s="7"/>
      <c r="AB142" s="7"/>
      <c r="AC142" s="7"/>
    </row>
    <row r="143" customFormat="false" ht="15" hidden="false" customHeight="false" outlineLevel="0" collapsed="false">
      <c r="A143" s="5" t="s">
        <v>1132</v>
      </c>
      <c r="B143" s="5" t="s">
        <v>40</v>
      </c>
      <c r="C143" s="5" t="s">
        <v>1133</v>
      </c>
      <c r="D143" s="5" t="s">
        <v>1134</v>
      </c>
      <c r="E143" s="5" t="s">
        <v>43</v>
      </c>
      <c r="F143" s="5" t="s">
        <v>1135</v>
      </c>
      <c r="G143" s="5"/>
      <c r="H143" s="5"/>
      <c r="I143" s="10" t="s">
        <v>137</v>
      </c>
      <c r="J143" s="5" t="s">
        <v>1053</v>
      </c>
      <c r="K143" s="5" t="n">
        <f aca="false">COUNTIF(Probe_Pairs!$B:$B,A143)</f>
        <v>6</v>
      </c>
      <c r="L143" s="5" t="n">
        <f aca="false">COUNTIFS(Probe_Pairs!$B:$B,A143,Probe_Pairs!$S:$S,"Both halves")</f>
        <v>6</v>
      </c>
      <c r="M143" s="5" t="s">
        <v>162</v>
      </c>
      <c r="N143" s="5" t="s">
        <v>1136</v>
      </c>
      <c r="O143" s="5" t="s">
        <v>1055</v>
      </c>
      <c r="P143" s="5" t="s">
        <v>1137</v>
      </c>
      <c r="Q143" s="5" t="s">
        <v>68</v>
      </c>
      <c r="R143" s="5" t="s">
        <v>1135</v>
      </c>
      <c r="S143" s="5" t="n">
        <f aca="false">IF(R143="","",COUNTIFS(Probe_Pairs!$B:$B,A143,Probe_Pairs!$X:$X,"Both halves"))</f>
        <v>2</v>
      </c>
      <c r="T143" s="5" t="str">
        <f aca="false">IF(R143="","",IF(S143*2&gt;=K143,"High","Low"))</f>
        <v>Low</v>
      </c>
      <c r="U143" s="5" t="s">
        <v>1134</v>
      </c>
      <c r="V143" s="5" t="s">
        <v>1138</v>
      </c>
      <c r="W143" s="5" t="s">
        <v>1139</v>
      </c>
      <c r="X143" s="8" t="s">
        <v>539</v>
      </c>
      <c r="Y143" s="7"/>
      <c r="Z143" s="7"/>
      <c r="AA143" s="7"/>
      <c r="AB143" s="7"/>
      <c r="AC143" s="7"/>
    </row>
    <row r="144" customFormat="false" ht="15" hidden="false" customHeight="false" outlineLevel="0" collapsed="false">
      <c r="A144" s="5" t="s">
        <v>1140</v>
      </c>
      <c r="B144" s="5" t="s">
        <v>40</v>
      </c>
      <c r="C144" s="5" t="s">
        <v>772</v>
      </c>
      <c r="D144" s="5" t="s">
        <v>773</v>
      </c>
      <c r="E144" s="5" t="s">
        <v>43</v>
      </c>
      <c r="F144" s="5" t="s">
        <v>774</v>
      </c>
      <c r="G144" s="5"/>
      <c r="H144" s="5"/>
      <c r="I144" s="10" t="s">
        <v>137</v>
      </c>
      <c r="J144" s="5" t="s">
        <v>1053</v>
      </c>
      <c r="K144" s="5" t="n">
        <f aca="false">COUNTIF(Probe_Pairs!$B:$B,A144)</f>
        <v>6</v>
      </c>
      <c r="L144" s="5" t="n">
        <f aca="false">COUNTIFS(Probe_Pairs!$B:$B,A144,Probe_Pairs!$S:$S,"Both halves")</f>
        <v>6</v>
      </c>
      <c r="M144" s="5" t="s">
        <v>1141</v>
      </c>
      <c r="N144" s="5" t="s">
        <v>772</v>
      </c>
      <c r="O144" s="5" t="s">
        <v>154</v>
      </c>
      <c r="P144" s="5" t="s">
        <v>776</v>
      </c>
      <c r="Q144" s="5" t="s">
        <v>68</v>
      </c>
      <c r="R144" s="5" t="s">
        <v>774</v>
      </c>
      <c r="S144" s="5" t="n">
        <f aca="false">IF(R144="","",COUNTIFS(Probe_Pairs!$B:$B,A144,Probe_Pairs!$X:$X,"Both halves"))</f>
        <v>6</v>
      </c>
      <c r="T144" s="5" t="str">
        <f aca="false">IF(R144="","",IF(S144*2&gt;=K144,"High","Low"))</f>
        <v>High</v>
      </c>
      <c r="U144" s="5" t="s">
        <v>777</v>
      </c>
      <c r="V144" s="5" t="s">
        <v>777</v>
      </c>
      <c r="W144" s="5" t="s">
        <v>778</v>
      </c>
      <c r="X144" s="5"/>
      <c r="Y144" s="7"/>
      <c r="Z144" s="7"/>
      <c r="AA144" s="7"/>
      <c r="AB144" s="7"/>
      <c r="AC144" s="7"/>
    </row>
    <row r="145" customFormat="false" ht="15" hidden="false" customHeight="false" outlineLevel="0" collapsed="false">
      <c r="A145" s="5" t="s">
        <v>1142</v>
      </c>
      <c r="B145" s="5" t="s">
        <v>40</v>
      </c>
      <c r="C145" s="5" t="s">
        <v>252</v>
      </c>
      <c r="D145" s="5" t="s">
        <v>253</v>
      </c>
      <c r="E145" s="5" t="s">
        <v>43</v>
      </c>
      <c r="F145" s="5" t="s">
        <v>254</v>
      </c>
      <c r="G145" s="5"/>
      <c r="H145" s="5"/>
      <c r="I145" s="10" t="s">
        <v>137</v>
      </c>
      <c r="J145" s="5" t="s">
        <v>1053</v>
      </c>
      <c r="K145" s="5" t="n">
        <f aca="false">COUNTIF(Probe_Pairs!$B:$B,A145)</f>
        <v>6</v>
      </c>
      <c r="L145" s="5" t="n">
        <f aca="false">COUNTIFS(Probe_Pairs!$B:$B,A145,Probe_Pairs!$S:$S,"Both halves")</f>
        <v>5</v>
      </c>
      <c r="M145" s="5" t="s">
        <v>45</v>
      </c>
      <c r="N145" s="5" t="s">
        <v>255</v>
      </c>
      <c r="O145" s="5" t="s">
        <v>1055</v>
      </c>
      <c r="P145" s="5" t="s">
        <v>256</v>
      </c>
      <c r="Q145" s="5" t="s">
        <v>68</v>
      </c>
      <c r="R145" s="5" t="s">
        <v>254</v>
      </c>
      <c r="S145" s="5" t="n">
        <f aca="false">IF(R145="","",COUNTIFS(Probe_Pairs!$B:$B,A145,Probe_Pairs!$X:$X,"Both halves"))</f>
        <v>5</v>
      </c>
      <c r="T145" s="5" t="str">
        <f aca="false">IF(R145="","",IF(S145*2&gt;=K145,"High","Low"))</f>
        <v>High</v>
      </c>
      <c r="U145" s="5" t="s">
        <v>257</v>
      </c>
      <c r="V145" s="5" t="s">
        <v>258</v>
      </c>
      <c r="W145" s="5" t="s">
        <v>259</v>
      </c>
      <c r="X145" s="8" t="s">
        <v>235</v>
      </c>
      <c r="Y145" s="7"/>
      <c r="Z145" s="7"/>
      <c r="AA145" s="7"/>
      <c r="AB145" s="7"/>
      <c r="AC145" s="7"/>
    </row>
    <row r="146" customFormat="false" ht="15" hidden="false" customHeight="false" outlineLevel="0" collapsed="false">
      <c r="A146" s="5" t="s">
        <v>1143</v>
      </c>
      <c r="B146" s="5" t="s">
        <v>40</v>
      </c>
      <c r="C146" s="5" t="s">
        <v>1144</v>
      </c>
      <c r="D146" s="5" t="s">
        <v>1145</v>
      </c>
      <c r="E146" s="5" t="s">
        <v>43</v>
      </c>
      <c r="F146" s="5" t="s">
        <v>1146</v>
      </c>
      <c r="G146" s="5" t="s">
        <v>1147</v>
      </c>
      <c r="H146" s="5"/>
      <c r="I146" s="10" t="s">
        <v>137</v>
      </c>
      <c r="J146" s="5" t="s">
        <v>1053</v>
      </c>
      <c r="K146" s="5" t="n">
        <f aca="false">COUNTIF(Probe_Pairs!$B:$B,A146)</f>
        <v>6</v>
      </c>
      <c r="L146" s="5" t="n">
        <f aca="false">COUNTIFS(Probe_Pairs!$B:$B,A146,Probe_Pairs!$S:$S,"Both halves")</f>
        <v>6</v>
      </c>
      <c r="M146" s="5"/>
      <c r="N146" s="5" t="s">
        <v>1144</v>
      </c>
      <c r="O146" s="5" t="s">
        <v>1055</v>
      </c>
      <c r="P146" s="5" t="s">
        <v>1148</v>
      </c>
      <c r="Q146" s="5" t="s">
        <v>49</v>
      </c>
      <c r="R146" s="5" t="s">
        <v>1146</v>
      </c>
      <c r="S146" s="5" t="n">
        <f aca="false">IF(R146="","",COUNTIFS(Probe_Pairs!$B:$B,A146,Probe_Pairs!$X:$X,"Both halves"))</f>
        <v>6</v>
      </c>
      <c r="T146" s="5" t="str">
        <f aca="false">IF(R146="","",IF(S146*2&gt;=K146,"High","Low"))</f>
        <v>High</v>
      </c>
      <c r="U146" s="5" t="s">
        <v>1145</v>
      </c>
      <c r="V146" s="5" t="s">
        <v>1145</v>
      </c>
      <c r="W146" s="5" t="s">
        <v>1149</v>
      </c>
      <c r="X146" s="5"/>
      <c r="Y146" s="7"/>
      <c r="Z146" s="7"/>
      <c r="AA146" s="7"/>
      <c r="AB146" s="7"/>
      <c r="AC146" s="7"/>
    </row>
    <row r="147" customFormat="false" ht="15" hidden="false" customHeight="false" outlineLevel="0" collapsed="false">
      <c r="A147" s="5" t="s">
        <v>1150</v>
      </c>
      <c r="B147" s="5" t="s">
        <v>40</v>
      </c>
      <c r="C147" s="5" t="s">
        <v>1151</v>
      </c>
      <c r="D147" s="5" t="s">
        <v>1152</v>
      </c>
      <c r="E147" s="5" t="s">
        <v>43</v>
      </c>
      <c r="F147" s="5" t="s">
        <v>1153</v>
      </c>
      <c r="G147" s="5" t="s">
        <v>1154</v>
      </c>
      <c r="H147" s="5"/>
      <c r="I147" s="10" t="s">
        <v>137</v>
      </c>
      <c r="J147" s="5" t="s">
        <v>1053</v>
      </c>
      <c r="K147" s="5" t="n">
        <f aca="false">COUNTIF(Probe_Pairs!$B:$B,A147)</f>
        <v>6</v>
      </c>
      <c r="L147" s="5" t="n">
        <f aca="false">COUNTIFS(Probe_Pairs!$B:$B,A147,Probe_Pairs!$S:$S,"Both halves")</f>
        <v>6</v>
      </c>
      <c r="M147" s="5"/>
      <c r="N147" s="5" t="s">
        <v>1151</v>
      </c>
      <c r="O147" s="5" t="s">
        <v>1055</v>
      </c>
      <c r="P147" s="5" t="s">
        <v>1155</v>
      </c>
      <c r="Q147" s="5" t="s">
        <v>49</v>
      </c>
      <c r="R147" s="5" t="s">
        <v>1153</v>
      </c>
      <c r="S147" s="5" t="n">
        <f aca="false">IF(R147="","",COUNTIFS(Probe_Pairs!$B:$B,A147,Probe_Pairs!$X:$X,"Both halves"))</f>
        <v>6</v>
      </c>
      <c r="T147" s="5" t="str">
        <f aca="false">IF(R147="","",IF(S147*2&gt;=K147,"High","Low"))</f>
        <v>High</v>
      </c>
      <c r="U147" s="5" t="s">
        <v>1152</v>
      </c>
      <c r="V147" s="5" t="s">
        <v>1152</v>
      </c>
      <c r="W147" s="5" t="s">
        <v>1156</v>
      </c>
      <c r="X147" s="5"/>
      <c r="Y147" s="7"/>
      <c r="Z147" s="7"/>
      <c r="AA147" s="7"/>
      <c r="AB147" s="7"/>
      <c r="AC147" s="7"/>
    </row>
    <row r="148" customFormat="false" ht="15" hidden="false" customHeight="false" outlineLevel="0" collapsed="false">
      <c r="A148" s="5" t="s">
        <v>1157</v>
      </c>
      <c r="B148" s="5" t="s">
        <v>40</v>
      </c>
      <c r="C148" s="5" t="s">
        <v>1158</v>
      </c>
      <c r="D148" s="5" t="s">
        <v>1159</v>
      </c>
      <c r="E148" s="5" t="s">
        <v>43</v>
      </c>
      <c r="F148" s="5" t="s">
        <v>1160</v>
      </c>
      <c r="G148" s="5" t="s">
        <v>1161</v>
      </c>
      <c r="H148" s="5"/>
      <c r="I148" s="10" t="s">
        <v>137</v>
      </c>
      <c r="J148" s="5" t="s">
        <v>1053</v>
      </c>
      <c r="K148" s="5" t="n">
        <f aca="false">COUNTIF(Probe_Pairs!$B:$B,A148)</f>
        <v>6</v>
      </c>
      <c r="L148" s="5" t="n">
        <f aca="false">COUNTIFS(Probe_Pairs!$B:$B,A148,Probe_Pairs!$S:$S,"Both halves")</f>
        <v>6</v>
      </c>
      <c r="M148" s="5"/>
      <c r="N148" s="5" t="s">
        <v>1158</v>
      </c>
      <c r="O148" s="5" t="s">
        <v>1055</v>
      </c>
      <c r="P148" s="5" t="s">
        <v>1162</v>
      </c>
      <c r="Q148" s="5" t="s">
        <v>49</v>
      </c>
      <c r="R148" s="5" t="s">
        <v>1160</v>
      </c>
      <c r="S148" s="5" t="n">
        <f aca="false">IF(R148="","",COUNTIFS(Probe_Pairs!$B:$B,A148,Probe_Pairs!$X:$X,"Both halves"))</f>
        <v>6</v>
      </c>
      <c r="T148" s="5" t="str">
        <f aca="false">IF(R148="","",IF(S148*2&gt;=K148,"High","Low"))</f>
        <v>High</v>
      </c>
      <c r="U148" s="5" t="s">
        <v>1159</v>
      </c>
      <c r="V148" s="5" t="s">
        <v>1159</v>
      </c>
      <c r="W148" s="5" t="s">
        <v>1163</v>
      </c>
      <c r="X148" s="5"/>
      <c r="Y148" s="7"/>
      <c r="Z148" s="7"/>
      <c r="AA148" s="7"/>
      <c r="AB148" s="7"/>
      <c r="AC148" s="7"/>
    </row>
    <row r="149" customFormat="false" ht="15" hidden="false" customHeight="false" outlineLevel="0" collapsed="false">
      <c r="A149" s="5" t="s">
        <v>1164</v>
      </c>
      <c r="B149" s="5" t="s">
        <v>40</v>
      </c>
      <c r="C149" s="5" t="s">
        <v>1165</v>
      </c>
      <c r="D149" s="5" t="s">
        <v>1166</v>
      </c>
      <c r="E149" s="5" t="s">
        <v>43</v>
      </c>
      <c r="F149" s="5" t="s">
        <v>1167</v>
      </c>
      <c r="G149" s="5"/>
      <c r="H149" s="5"/>
      <c r="I149" s="10" t="s">
        <v>137</v>
      </c>
      <c r="J149" s="5" t="s">
        <v>1053</v>
      </c>
      <c r="K149" s="5" t="n">
        <f aca="false">COUNTIF(Probe_Pairs!$B:$B,A149)</f>
        <v>13</v>
      </c>
      <c r="L149" s="5" t="n">
        <f aca="false">COUNTIFS(Probe_Pairs!$B:$B,A149,Probe_Pairs!$S:$S,"Both halves")</f>
        <v>13</v>
      </c>
      <c r="M149" s="5"/>
      <c r="N149" s="5" t="s">
        <v>1168</v>
      </c>
      <c r="O149" s="5" t="s">
        <v>500</v>
      </c>
      <c r="P149" s="5" t="s">
        <v>1169</v>
      </c>
      <c r="Q149" s="5" t="s">
        <v>49</v>
      </c>
      <c r="R149" s="5" t="s">
        <v>1167</v>
      </c>
      <c r="S149" s="5" t="n">
        <f aca="false">IF(R149="","",COUNTIFS(Probe_Pairs!$B:$B,A149,Probe_Pairs!$X:$X,"Both halves"))</f>
        <v>13</v>
      </c>
      <c r="T149" s="5" t="str">
        <f aca="false">IF(R149="","",IF(S149*2&gt;=K149,"High","Low"))</f>
        <v>High</v>
      </c>
      <c r="U149" s="5" t="s">
        <v>1170</v>
      </c>
      <c r="V149" s="5" t="s">
        <v>1170</v>
      </c>
      <c r="W149" s="5" t="s">
        <v>1171</v>
      </c>
      <c r="X149" s="5"/>
      <c r="Y149" s="7"/>
      <c r="Z149" s="7"/>
      <c r="AA149" s="7"/>
      <c r="AB149" s="7"/>
      <c r="AC149" s="7"/>
    </row>
    <row r="150" customFormat="false" ht="15" hidden="false" customHeight="false" outlineLevel="0" collapsed="false">
      <c r="A150" s="5" t="s">
        <v>1172</v>
      </c>
      <c r="B150" s="5" t="s">
        <v>40</v>
      </c>
      <c r="C150" s="5" t="s">
        <v>1173</v>
      </c>
      <c r="D150" s="5" t="s">
        <v>1173</v>
      </c>
      <c r="E150" s="5" t="s">
        <v>43</v>
      </c>
      <c r="F150" s="5" t="s">
        <v>1174</v>
      </c>
      <c r="G150" s="5"/>
      <c r="H150" s="5"/>
      <c r="I150" s="10" t="s">
        <v>137</v>
      </c>
      <c r="J150" s="5" t="s">
        <v>1053</v>
      </c>
      <c r="K150" s="5" t="n">
        <f aca="false">COUNTIF(Probe_Pairs!$B:$B,A150)</f>
        <v>10</v>
      </c>
      <c r="L150" s="5" t="n">
        <f aca="false">COUNTIFS(Probe_Pairs!$B:$B,A150,Probe_Pairs!$S:$S,"Both halves")</f>
        <v>10</v>
      </c>
      <c r="M150" s="5"/>
      <c r="N150" s="5" t="s">
        <v>1173</v>
      </c>
      <c r="O150" s="5" t="s">
        <v>1055</v>
      </c>
      <c r="P150" s="5" t="s">
        <v>1175</v>
      </c>
      <c r="Q150" s="5" t="s">
        <v>68</v>
      </c>
      <c r="R150" s="5" t="s">
        <v>1174</v>
      </c>
      <c r="S150" s="5" t="n">
        <f aca="false">IF(R150="","",COUNTIFS(Probe_Pairs!$B:$B,A150,Probe_Pairs!$X:$X,"Both halves"))</f>
        <v>10</v>
      </c>
      <c r="T150" s="5" t="str">
        <f aca="false">IF(R150="","",IF(S150*2&gt;=K150,"High","Low"))</f>
        <v>High</v>
      </c>
      <c r="U150" s="5" t="s">
        <v>1176</v>
      </c>
      <c r="V150" s="5" t="s">
        <v>1176</v>
      </c>
      <c r="W150" s="5" t="s">
        <v>1177</v>
      </c>
      <c r="X150" s="5"/>
      <c r="Y150" s="7"/>
      <c r="Z150" s="7"/>
      <c r="AA150" s="7"/>
      <c r="AB150" s="7"/>
      <c r="AC150" s="7"/>
    </row>
    <row r="151" customFormat="false" ht="15" hidden="false" customHeight="false" outlineLevel="0" collapsed="false">
      <c r="A151" s="5" t="s">
        <v>1178</v>
      </c>
      <c r="B151" s="5" t="s">
        <v>40</v>
      </c>
      <c r="C151" s="5" t="s">
        <v>1179</v>
      </c>
      <c r="D151" s="5" t="s">
        <v>1180</v>
      </c>
      <c r="E151" s="5" t="s">
        <v>43</v>
      </c>
      <c r="F151" s="5" t="s">
        <v>1181</v>
      </c>
      <c r="G151" s="5"/>
      <c r="H151" s="5" t="s">
        <v>1182</v>
      </c>
      <c r="I151" s="10" t="s">
        <v>137</v>
      </c>
      <c r="J151" s="5" t="s">
        <v>1053</v>
      </c>
      <c r="K151" s="5" t="n">
        <f aca="false">COUNTIF(Probe_Pairs!$B:$B,A151)</f>
        <v>5</v>
      </c>
      <c r="L151" s="5" t="n">
        <f aca="false">COUNTIFS(Probe_Pairs!$B:$B,A151,Probe_Pairs!$S:$S,"Both halves")</f>
        <v>5</v>
      </c>
      <c r="M151" s="5"/>
      <c r="N151" s="5" t="s">
        <v>317</v>
      </c>
      <c r="O151" s="5" t="s">
        <v>1055</v>
      </c>
      <c r="P151" s="5" t="s">
        <v>1183</v>
      </c>
      <c r="Q151" s="5" t="s">
        <v>68</v>
      </c>
      <c r="R151" s="5" t="s">
        <v>1181</v>
      </c>
      <c r="S151" s="5" t="n">
        <f aca="false">IF(R151="","",COUNTIFS(Probe_Pairs!$B:$B,A151,Probe_Pairs!$X:$X,"Both halves"))</f>
        <v>3</v>
      </c>
      <c r="T151" s="5" t="str">
        <f aca="false">IF(R151="","",IF(S151*2&gt;=K151,"High","Low"))</f>
        <v>High</v>
      </c>
      <c r="U151" s="5" t="s">
        <v>1184</v>
      </c>
      <c r="V151" s="5" t="s">
        <v>1180</v>
      </c>
      <c r="W151" s="5" t="s">
        <v>1185</v>
      </c>
      <c r="X151" s="8" t="s">
        <v>235</v>
      </c>
      <c r="Y151" s="7"/>
      <c r="Z151" s="7"/>
      <c r="AA151" s="7"/>
      <c r="AB151" s="7"/>
      <c r="AC151" s="7"/>
    </row>
    <row r="152" customFormat="false" ht="15" hidden="false" customHeight="false" outlineLevel="0" collapsed="false">
      <c r="A152" s="5" t="s">
        <v>1186</v>
      </c>
      <c r="B152" s="5" t="s">
        <v>40</v>
      </c>
      <c r="C152" s="5" t="s">
        <v>313</v>
      </c>
      <c r="D152" s="5" t="s">
        <v>314</v>
      </c>
      <c r="E152" s="5" t="s">
        <v>43</v>
      </c>
      <c r="F152" s="5" t="s">
        <v>315</v>
      </c>
      <c r="G152" s="5" t="s">
        <v>1187</v>
      </c>
      <c r="H152" s="5" t="s">
        <v>316</v>
      </c>
      <c r="I152" s="10" t="s">
        <v>137</v>
      </c>
      <c r="J152" s="5" t="s">
        <v>1053</v>
      </c>
      <c r="K152" s="5" t="n">
        <f aca="false">COUNTIF(Probe_Pairs!$B:$B,A152)</f>
        <v>15</v>
      </c>
      <c r="L152" s="5" t="n">
        <f aca="false">COUNTIFS(Probe_Pairs!$B:$B,A152,Probe_Pairs!$S:$S,"Both halves")</f>
        <v>15</v>
      </c>
      <c r="M152" s="5" t="s">
        <v>45</v>
      </c>
      <c r="N152" s="5" t="s">
        <v>1188</v>
      </c>
      <c r="O152" s="5" t="s">
        <v>1055</v>
      </c>
      <c r="P152" s="5" t="s">
        <v>1189</v>
      </c>
      <c r="Q152" s="5" t="s">
        <v>49</v>
      </c>
      <c r="R152" s="5" t="s">
        <v>315</v>
      </c>
      <c r="S152" s="5" t="n">
        <f aca="false">IF(R152="","",COUNTIFS(Probe_Pairs!$B:$B,A152,Probe_Pairs!$X:$X,"Both halves"))</f>
        <v>15</v>
      </c>
      <c r="T152" s="5" t="str">
        <f aca="false">IF(R152="","",IF(S152*2&gt;=K152,"High","Low"))</f>
        <v>High</v>
      </c>
      <c r="U152" s="5" t="s">
        <v>314</v>
      </c>
      <c r="V152" s="5" t="s">
        <v>314</v>
      </c>
      <c r="W152" s="5" t="s">
        <v>319</v>
      </c>
      <c r="X152" s="5"/>
      <c r="Y152" s="7"/>
      <c r="Z152" s="7"/>
      <c r="AA152" s="7"/>
      <c r="AB152" s="7"/>
      <c r="AC152" s="7"/>
    </row>
    <row r="153" customFormat="false" ht="15" hidden="false" customHeight="false" outlineLevel="0" collapsed="false">
      <c r="A153" s="5" t="s">
        <v>1190</v>
      </c>
      <c r="B153" s="5" t="s">
        <v>40</v>
      </c>
      <c r="C153" s="5" t="s">
        <v>841</v>
      </c>
      <c r="D153" s="5" t="s">
        <v>842</v>
      </c>
      <c r="E153" s="5" t="s">
        <v>43</v>
      </c>
      <c r="F153" s="5" t="s">
        <v>843</v>
      </c>
      <c r="G153" s="5" t="s">
        <v>844</v>
      </c>
      <c r="H153" s="5"/>
      <c r="I153" s="10" t="s">
        <v>137</v>
      </c>
      <c r="J153" s="5" t="s">
        <v>1053</v>
      </c>
      <c r="K153" s="5" t="n">
        <f aca="false">COUNTIF(Probe_Pairs!$B:$B,A153)</f>
        <v>15</v>
      </c>
      <c r="L153" s="5" t="n">
        <f aca="false">COUNTIFS(Probe_Pairs!$B:$B,A153,Probe_Pairs!$S:$S,"Both halves")</f>
        <v>6</v>
      </c>
      <c r="M153" s="5" t="s">
        <v>66</v>
      </c>
      <c r="N153" s="5" t="s">
        <v>888</v>
      </c>
      <c r="O153" s="5" t="s">
        <v>1191</v>
      </c>
      <c r="P153" s="5" t="s">
        <v>846</v>
      </c>
      <c r="Q153" s="5" t="s">
        <v>68</v>
      </c>
      <c r="R153" s="5" t="s">
        <v>843</v>
      </c>
      <c r="S153" s="5" t="n">
        <f aca="false">IF(R153="","",COUNTIFS(Probe_Pairs!$B:$B,A153,Probe_Pairs!$X:$X,"Both halves"))</f>
        <v>15</v>
      </c>
      <c r="T153" s="5" t="str">
        <f aca="false">IF(R153="","",IF(S153*2&gt;=K153,"High","Low"))</f>
        <v>High</v>
      </c>
      <c r="U153" s="5" t="s">
        <v>847</v>
      </c>
      <c r="V153" s="5" t="s">
        <v>847</v>
      </c>
      <c r="W153" s="5" t="s">
        <v>848</v>
      </c>
      <c r="X153" s="8" t="s">
        <v>1192</v>
      </c>
      <c r="Y153" s="7"/>
      <c r="Z153" s="7"/>
      <c r="AA153" s="7"/>
      <c r="AB153" s="7"/>
      <c r="AC153" s="7"/>
    </row>
    <row r="154" customFormat="false" ht="15" hidden="false" customHeight="false" outlineLevel="0" collapsed="false">
      <c r="A154" s="5" t="s">
        <v>1193</v>
      </c>
      <c r="B154" s="5" t="s">
        <v>40</v>
      </c>
      <c r="C154" s="5" t="s">
        <v>1194</v>
      </c>
      <c r="D154" s="5" t="s">
        <v>1194</v>
      </c>
      <c r="E154" s="5" t="s">
        <v>43</v>
      </c>
      <c r="F154" s="5" t="s">
        <v>1195</v>
      </c>
      <c r="G154" s="5"/>
      <c r="H154" s="5" t="s">
        <v>1196</v>
      </c>
      <c r="I154" s="10" t="s">
        <v>137</v>
      </c>
      <c r="J154" s="5" t="s">
        <v>1053</v>
      </c>
      <c r="K154" s="5" t="n">
        <f aca="false">COUNTIF(Probe_Pairs!$B:$B,A154)</f>
        <v>8</v>
      </c>
      <c r="L154" s="5" t="n">
        <f aca="false">COUNTIFS(Probe_Pairs!$B:$B,A154,Probe_Pairs!$S:$S,"Both halves")</f>
        <v>8</v>
      </c>
      <c r="M154" s="5"/>
      <c r="N154" s="5" t="s">
        <v>1194</v>
      </c>
      <c r="O154" s="5" t="s">
        <v>154</v>
      </c>
      <c r="P154" s="5" t="s">
        <v>1197</v>
      </c>
      <c r="Q154" s="5" t="s">
        <v>68</v>
      </c>
      <c r="R154" s="5" t="s">
        <v>1195</v>
      </c>
      <c r="S154" s="5" t="n">
        <f aca="false">IF(R154="","",COUNTIFS(Probe_Pairs!$B:$B,A154,Probe_Pairs!$X:$X,"Both halves"))</f>
        <v>4</v>
      </c>
      <c r="T154" s="5" t="str">
        <f aca="false">IF(R154="","",IF(S154*2&gt;=K154,"High","Low"))</f>
        <v>High</v>
      </c>
      <c r="U154" s="5" t="s">
        <v>1198</v>
      </c>
      <c r="V154" s="5" t="s">
        <v>1199</v>
      </c>
      <c r="W154" s="5" t="s">
        <v>1200</v>
      </c>
      <c r="X154" s="5"/>
      <c r="Y154" s="7"/>
      <c r="Z154" s="7"/>
      <c r="AA154" s="7"/>
      <c r="AB154" s="7"/>
      <c r="AC154" s="7"/>
    </row>
    <row r="155" customFormat="false" ht="15" hidden="false" customHeight="false" outlineLevel="0" collapsed="false">
      <c r="A155" s="5" t="s">
        <v>1201</v>
      </c>
      <c r="B155" s="5" t="s">
        <v>40</v>
      </c>
      <c r="C155" s="5" t="s">
        <v>371</v>
      </c>
      <c r="D155" s="5" t="s">
        <v>372</v>
      </c>
      <c r="E155" s="5" t="s">
        <v>43</v>
      </c>
      <c r="F155" s="5" t="s">
        <v>373</v>
      </c>
      <c r="G155" s="5"/>
      <c r="H155" s="5" t="s">
        <v>374</v>
      </c>
      <c r="I155" s="10" t="s">
        <v>137</v>
      </c>
      <c r="J155" s="5" t="s">
        <v>1053</v>
      </c>
      <c r="K155" s="5" t="n">
        <f aca="false">COUNTIF(Probe_Pairs!$B:$B,A155)</f>
        <v>6</v>
      </c>
      <c r="L155" s="5" t="n">
        <f aca="false">COUNTIFS(Probe_Pairs!$B:$B,A155,Probe_Pairs!$S:$S,"Both halves")</f>
        <v>6</v>
      </c>
      <c r="M155" s="5" t="s">
        <v>1202</v>
      </c>
      <c r="N155" s="5" t="s">
        <v>1203</v>
      </c>
      <c r="O155" s="5" t="s">
        <v>1055</v>
      </c>
      <c r="P155" s="5" t="s">
        <v>376</v>
      </c>
      <c r="Q155" s="5" t="s">
        <v>68</v>
      </c>
      <c r="R155" s="5" t="s">
        <v>373</v>
      </c>
      <c r="S155" s="5" t="n">
        <f aca="false">IF(R155="","",COUNTIFS(Probe_Pairs!$B:$B,A155,Probe_Pairs!$X:$X,"Both halves"))</f>
        <v>3</v>
      </c>
      <c r="T155" s="5" t="str">
        <f aca="false">IF(R155="","",IF(S155*2&gt;=K155,"High","Low"))</f>
        <v>High</v>
      </c>
      <c r="U155" s="5" t="s">
        <v>377</v>
      </c>
      <c r="V155" s="5" t="s">
        <v>377</v>
      </c>
      <c r="W155" s="5" t="s">
        <v>378</v>
      </c>
      <c r="X155" s="5"/>
      <c r="Y155" s="7"/>
      <c r="Z155" s="7"/>
      <c r="AA155" s="7"/>
      <c r="AB155" s="7"/>
      <c r="AC155" s="7"/>
    </row>
    <row r="156" customFormat="false" ht="15" hidden="false" customHeight="false" outlineLevel="0" collapsed="false">
      <c r="A156" s="5" t="s">
        <v>1204</v>
      </c>
      <c r="B156" s="5" t="s">
        <v>40</v>
      </c>
      <c r="C156" s="5" t="s">
        <v>872</v>
      </c>
      <c r="D156" s="5" t="s">
        <v>872</v>
      </c>
      <c r="E156" s="5" t="s">
        <v>43</v>
      </c>
      <c r="F156" s="5" t="s">
        <v>873</v>
      </c>
      <c r="G156" s="5"/>
      <c r="H156" s="5"/>
      <c r="I156" s="10" t="s">
        <v>137</v>
      </c>
      <c r="J156" s="5" t="s">
        <v>1053</v>
      </c>
      <c r="K156" s="5" t="n">
        <f aca="false">COUNTIF(Probe_Pairs!$B:$B,A156)</f>
        <v>9</v>
      </c>
      <c r="L156" s="5" t="n">
        <f aca="false">COUNTIFS(Probe_Pairs!$B:$B,A156,Probe_Pairs!$S:$S,"Both halves")</f>
        <v>9</v>
      </c>
      <c r="M156" s="5" t="s">
        <v>66</v>
      </c>
      <c r="N156" s="5" t="s">
        <v>872</v>
      </c>
      <c r="O156" s="5" t="s">
        <v>1205</v>
      </c>
      <c r="P156" s="5" t="s">
        <v>876</v>
      </c>
      <c r="Q156" s="5" t="s">
        <v>68</v>
      </c>
      <c r="R156" s="5" t="s">
        <v>873</v>
      </c>
      <c r="S156" s="5" t="n">
        <f aca="false">IF(R156="","",COUNTIFS(Probe_Pairs!$B:$B,A156,Probe_Pairs!$X:$X,"Both halves"))</f>
        <v>9</v>
      </c>
      <c r="T156" s="5" t="str">
        <f aca="false">IF(R156="","",IF(S156*2&gt;=K156,"High","Low"))</f>
        <v>High</v>
      </c>
      <c r="U156" s="5" t="s">
        <v>877</v>
      </c>
      <c r="V156" s="5" t="s">
        <v>878</v>
      </c>
      <c r="W156" s="5" t="s">
        <v>879</v>
      </c>
      <c r="X156" s="5"/>
      <c r="Y156" s="7"/>
      <c r="Z156" s="7"/>
      <c r="AA156" s="7"/>
      <c r="AB156" s="7"/>
      <c r="AC156" s="7"/>
    </row>
    <row r="157" customFormat="false" ht="15" hidden="false" customHeight="false" outlineLevel="0" collapsed="false">
      <c r="A157" s="5" t="s">
        <v>1206</v>
      </c>
      <c r="B157" s="5" t="s">
        <v>40</v>
      </c>
      <c r="C157" s="5" t="s">
        <v>1207</v>
      </c>
      <c r="D157" s="5" t="s">
        <v>1207</v>
      </c>
      <c r="E157" s="5" t="s">
        <v>43</v>
      </c>
      <c r="F157" s="5" t="s">
        <v>1208</v>
      </c>
      <c r="G157" s="5"/>
      <c r="H157" s="5" t="s">
        <v>1209</v>
      </c>
      <c r="I157" s="10" t="s">
        <v>137</v>
      </c>
      <c r="J157" s="5" t="s">
        <v>1053</v>
      </c>
      <c r="K157" s="5" t="n">
        <f aca="false">COUNTIF(Probe_Pairs!$B:$B,A157)</f>
        <v>8</v>
      </c>
      <c r="L157" s="5" t="n">
        <f aca="false">COUNTIFS(Probe_Pairs!$B:$B,A157,Probe_Pairs!$S:$S,"Both halves")</f>
        <v>8</v>
      </c>
      <c r="M157" s="5"/>
      <c r="N157" s="5" t="s">
        <v>1207</v>
      </c>
      <c r="O157" s="5" t="s">
        <v>154</v>
      </c>
      <c r="P157" s="5" t="s">
        <v>1210</v>
      </c>
      <c r="Q157" s="5" t="s">
        <v>68</v>
      </c>
      <c r="R157" s="5" t="s">
        <v>1208</v>
      </c>
      <c r="S157" s="5" t="n">
        <f aca="false">IF(R157="","",COUNTIFS(Probe_Pairs!$B:$B,A157,Probe_Pairs!$X:$X,"Both halves"))</f>
        <v>4</v>
      </c>
      <c r="T157" s="5" t="str">
        <f aca="false">IF(R157="","",IF(S157*2&gt;=K157,"High","Low"))</f>
        <v>High</v>
      </c>
      <c r="U157" s="5" t="s">
        <v>1211</v>
      </c>
      <c r="V157" s="5" t="s">
        <v>1212</v>
      </c>
      <c r="W157" s="5" t="s">
        <v>1213</v>
      </c>
      <c r="X157" s="5"/>
      <c r="Y157" s="7"/>
      <c r="Z157" s="7"/>
      <c r="AA157" s="7"/>
      <c r="AB157" s="7"/>
      <c r="AC157" s="7"/>
    </row>
    <row r="158" customFormat="false" ht="15" hidden="false" customHeight="false" outlineLevel="0" collapsed="false">
      <c r="A158" s="5" t="s">
        <v>1214</v>
      </c>
      <c r="B158" s="5" t="s">
        <v>40</v>
      </c>
      <c r="C158" s="5" t="s">
        <v>1215</v>
      </c>
      <c r="D158" s="5" t="s">
        <v>1216</v>
      </c>
      <c r="E158" s="5" t="s">
        <v>43</v>
      </c>
      <c r="F158" s="5" t="s">
        <v>1217</v>
      </c>
      <c r="G158" s="5" t="s">
        <v>1218</v>
      </c>
      <c r="H158" s="5"/>
      <c r="I158" s="10" t="s">
        <v>137</v>
      </c>
      <c r="J158" s="5" t="s">
        <v>1053</v>
      </c>
      <c r="K158" s="5" t="n">
        <f aca="false">COUNTIF(Probe_Pairs!$B:$B,A158)</f>
        <v>6</v>
      </c>
      <c r="L158" s="5" t="n">
        <f aca="false">COUNTIFS(Probe_Pairs!$B:$B,A158,Probe_Pairs!$S:$S,"Both halves")</f>
        <v>6</v>
      </c>
      <c r="M158" s="5"/>
      <c r="N158" s="5" t="s">
        <v>1215</v>
      </c>
      <c r="O158" s="5" t="s">
        <v>1055</v>
      </c>
      <c r="P158" s="5" t="s">
        <v>1219</v>
      </c>
      <c r="Q158" s="5" t="s">
        <v>49</v>
      </c>
      <c r="R158" s="5" t="s">
        <v>1217</v>
      </c>
      <c r="S158" s="5" t="n">
        <f aca="false">IF(R158="","",COUNTIFS(Probe_Pairs!$B:$B,A158,Probe_Pairs!$X:$X,"Both halves"))</f>
        <v>6</v>
      </c>
      <c r="T158" s="5" t="str">
        <f aca="false">IF(R158="","",IF(S158*2&gt;=K158,"High","Low"))</f>
        <v>High</v>
      </c>
      <c r="U158" s="5" t="s">
        <v>1216</v>
      </c>
      <c r="V158" s="5" t="s">
        <v>1220</v>
      </c>
      <c r="W158" s="5" t="s">
        <v>1221</v>
      </c>
      <c r="X158" s="5"/>
      <c r="Y158" s="7"/>
      <c r="Z158" s="7"/>
      <c r="AA158" s="7"/>
      <c r="AB158" s="7"/>
      <c r="AC158" s="7"/>
    </row>
    <row r="159" customFormat="false" ht="15" hidden="false" customHeight="false" outlineLevel="0" collapsed="false">
      <c r="A159" s="5" t="s">
        <v>1222</v>
      </c>
      <c r="B159" s="5" t="s">
        <v>40</v>
      </c>
      <c r="C159" s="5" t="s">
        <v>1223</v>
      </c>
      <c r="D159" s="5" t="s">
        <v>1223</v>
      </c>
      <c r="E159" s="5" t="s">
        <v>43</v>
      </c>
      <c r="F159" s="5" t="s">
        <v>1224</v>
      </c>
      <c r="G159" s="5"/>
      <c r="H159" s="5"/>
      <c r="I159" s="10" t="s">
        <v>137</v>
      </c>
      <c r="J159" s="5" t="s">
        <v>1053</v>
      </c>
      <c r="K159" s="5" t="n">
        <f aca="false">COUNTIF(Probe_Pairs!$B:$B,A159)</f>
        <v>6</v>
      </c>
      <c r="L159" s="5" t="n">
        <f aca="false">COUNTIFS(Probe_Pairs!$B:$B,A159,Probe_Pairs!$S:$S,"Both halves")</f>
        <v>6</v>
      </c>
      <c r="M159" s="5"/>
      <c r="N159" s="5" t="s">
        <v>1223</v>
      </c>
      <c r="O159" s="5" t="s">
        <v>1055</v>
      </c>
      <c r="P159" s="5" t="s">
        <v>1225</v>
      </c>
      <c r="Q159" s="5" t="s">
        <v>49</v>
      </c>
      <c r="R159" s="5" t="s">
        <v>1224</v>
      </c>
      <c r="S159" s="5" t="n">
        <f aca="false">IF(R159="","",COUNTIFS(Probe_Pairs!$B:$B,A159,Probe_Pairs!$X:$X,"Both halves"))</f>
        <v>5</v>
      </c>
      <c r="T159" s="5" t="str">
        <f aca="false">IF(R159="","",IF(S159*2&gt;=K159,"High","Low"))</f>
        <v>High</v>
      </c>
      <c r="U159" s="5" t="s">
        <v>1226</v>
      </c>
      <c r="V159" s="5" t="s">
        <v>1226</v>
      </c>
      <c r="W159" s="5" t="s">
        <v>1227</v>
      </c>
      <c r="X159" s="5"/>
      <c r="Y159" s="7"/>
      <c r="Z159" s="7"/>
      <c r="AA159" s="7"/>
      <c r="AB159" s="7"/>
      <c r="AC159" s="7"/>
    </row>
    <row r="160" customFormat="false" ht="15" hidden="false" customHeight="false" outlineLevel="0" collapsed="false">
      <c r="A160" s="5" t="s">
        <v>1228</v>
      </c>
      <c r="B160" s="5" t="s">
        <v>40</v>
      </c>
      <c r="C160" s="5" t="s">
        <v>1229</v>
      </c>
      <c r="D160" s="5" t="s">
        <v>1230</v>
      </c>
      <c r="E160" s="5" t="s">
        <v>43</v>
      </c>
      <c r="F160" s="5" t="s">
        <v>1231</v>
      </c>
      <c r="G160" s="5" t="s">
        <v>1232</v>
      </c>
      <c r="H160" s="5"/>
      <c r="I160" s="10" t="s">
        <v>137</v>
      </c>
      <c r="J160" s="5" t="s">
        <v>1053</v>
      </c>
      <c r="K160" s="5" t="n">
        <f aca="false">COUNTIF(Probe_Pairs!$B:$B,A160)</f>
        <v>6</v>
      </c>
      <c r="L160" s="5" t="n">
        <f aca="false">COUNTIFS(Probe_Pairs!$B:$B,A160,Probe_Pairs!$S:$S,"Both halves")</f>
        <v>1</v>
      </c>
      <c r="M160" s="5" t="s">
        <v>162</v>
      </c>
      <c r="N160" s="5" t="s">
        <v>1229</v>
      </c>
      <c r="O160" s="5" t="s">
        <v>154</v>
      </c>
      <c r="P160" s="5" t="s">
        <v>1233</v>
      </c>
      <c r="Q160" s="5" t="s">
        <v>68</v>
      </c>
      <c r="R160" s="5" t="s">
        <v>1231</v>
      </c>
      <c r="S160" s="5" t="n">
        <f aca="false">IF(R160="","",COUNTIFS(Probe_Pairs!$B:$B,A160,Probe_Pairs!$X:$X,"Both halves"))</f>
        <v>6</v>
      </c>
      <c r="T160" s="5" t="str">
        <f aca="false">IF(R160="","",IF(S160*2&gt;=K160,"High","Low"))</f>
        <v>High</v>
      </c>
      <c r="U160" s="5" t="s">
        <v>1234</v>
      </c>
      <c r="V160" s="5" t="s">
        <v>1235</v>
      </c>
      <c r="W160" s="5" t="s">
        <v>1236</v>
      </c>
      <c r="X160" s="8" t="s">
        <v>235</v>
      </c>
      <c r="Y160" s="7"/>
      <c r="Z160" s="7"/>
      <c r="AA160" s="7"/>
      <c r="AB160" s="7"/>
      <c r="AC160" s="7"/>
    </row>
    <row r="161" customFormat="false" ht="15" hidden="false" customHeight="false" outlineLevel="0" collapsed="false">
      <c r="A161" s="5" t="s">
        <v>1237</v>
      </c>
      <c r="B161" s="5" t="s">
        <v>40</v>
      </c>
      <c r="C161" s="5" t="s">
        <v>898</v>
      </c>
      <c r="D161" s="5" t="s">
        <v>898</v>
      </c>
      <c r="E161" s="5" t="s">
        <v>43</v>
      </c>
      <c r="F161" s="5" t="s">
        <v>899</v>
      </c>
      <c r="G161" s="5" t="s">
        <v>900</v>
      </c>
      <c r="H161" s="5"/>
      <c r="I161" s="10" t="s">
        <v>137</v>
      </c>
      <c r="J161" s="5" t="s">
        <v>1053</v>
      </c>
      <c r="K161" s="5" t="n">
        <f aca="false">COUNTIF(Probe_Pairs!$B:$B,A161)</f>
        <v>15</v>
      </c>
      <c r="L161" s="5" t="n">
        <f aca="false">COUNTIFS(Probe_Pairs!$B:$B,A161,Probe_Pairs!$S:$S,"Both halves")</f>
        <v>10</v>
      </c>
      <c r="M161" s="5" t="s">
        <v>66</v>
      </c>
      <c r="N161" s="5" t="s">
        <v>577</v>
      </c>
      <c r="O161" s="5" t="s">
        <v>580</v>
      </c>
      <c r="P161" s="5" t="s">
        <v>901</v>
      </c>
      <c r="Q161" s="5" t="s">
        <v>68</v>
      </c>
      <c r="R161" s="5" t="s">
        <v>899</v>
      </c>
      <c r="S161" s="5" t="n">
        <f aca="false">IF(R161="","",COUNTIFS(Probe_Pairs!$B:$B,A161,Probe_Pairs!$X:$X,"Both halves"))</f>
        <v>15</v>
      </c>
      <c r="T161" s="5" t="str">
        <f aca="false">IF(R161="","",IF(S161*2&gt;=K161,"High","Low"))</f>
        <v>High</v>
      </c>
      <c r="U161" s="5" t="s">
        <v>902</v>
      </c>
      <c r="V161" s="5" t="s">
        <v>902</v>
      </c>
      <c r="W161" s="5" t="s">
        <v>903</v>
      </c>
      <c r="X161" s="8" t="s">
        <v>389</v>
      </c>
      <c r="Y161" s="7"/>
      <c r="Z161" s="7"/>
      <c r="AA161" s="7"/>
      <c r="AB161" s="7"/>
      <c r="AC161" s="7"/>
    </row>
    <row r="162" customFormat="false" ht="15" hidden="false" customHeight="false" outlineLevel="0" collapsed="false">
      <c r="A162" s="5" t="s">
        <v>1238</v>
      </c>
      <c r="B162" s="5" t="s">
        <v>40</v>
      </c>
      <c r="C162" s="5" t="s">
        <v>434</v>
      </c>
      <c r="D162" s="5" t="s">
        <v>435</v>
      </c>
      <c r="E162" s="5" t="s">
        <v>43</v>
      </c>
      <c r="F162" s="5" t="s">
        <v>436</v>
      </c>
      <c r="G162" s="5" t="s">
        <v>437</v>
      </c>
      <c r="H162" s="5"/>
      <c r="I162" s="10" t="s">
        <v>137</v>
      </c>
      <c r="J162" s="5" t="s">
        <v>1053</v>
      </c>
      <c r="K162" s="5" t="n">
        <f aca="false">COUNTIF(Probe_Pairs!$B:$B,A162)</f>
        <v>10</v>
      </c>
      <c r="L162" s="5" t="n">
        <f aca="false">COUNTIFS(Probe_Pairs!$B:$B,A162,Probe_Pairs!$S:$S,"Both halves")</f>
        <v>10</v>
      </c>
      <c r="M162" s="5" t="s">
        <v>1239</v>
      </c>
      <c r="N162" s="5" t="s">
        <v>1240</v>
      </c>
      <c r="O162" s="5" t="s">
        <v>1241</v>
      </c>
      <c r="P162" s="5" t="s">
        <v>439</v>
      </c>
      <c r="Q162" s="5" t="s">
        <v>49</v>
      </c>
      <c r="R162" s="5" t="s">
        <v>436</v>
      </c>
      <c r="S162" s="5" t="n">
        <f aca="false">IF(R162="","",COUNTIFS(Probe_Pairs!$B:$B,A162,Probe_Pairs!$X:$X,"Both halves"))</f>
        <v>10</v>
      </c>
      <c r="T162" s="5" t="str">
        <f aca="false">IF(R162="","",IF(S162*2&gt;=K162,"High","Low"))</f>
        <v>High</v>
      </c>
      <c r="U162" s="5" t="s">
        <v>435</v>
      </c>
      <c r="V162" s="5" t="s">
        <v>440</v>
      </c>
      <c r="W162" s="5" t="s">
        <v>441</v>
      </c>
      <c r="X162" s="5"/>
      <c r="Y162" s="7"/>
      <c r="Z162" s="7"/>
      <c r="AA162" s="7"/>
      <c r="AB162" s="7"/>
      <c r="AC162" s="7"/>
    </row>
    <row r="163" customFormat="false" ht="15" hidden="false" customHeight="false" outlineLevel="0" collapsed="false">
      <c r="A163" s="5" t="s">
        <v>1242</v>
      </c>
      <c r="B163" s="5" t="s">
        <v>40</v>
      </c>
      <c r="C163" s="5" t="s">
        <v>1243</v>
      </c>
      <c r="D163" s="5" t="s">
        <v>1244</v>
      </c>
      <c r="E163" s="5" t="s">
        <v>43</v>
      </c>
      <c r="F163" s="5" t="s">
        <v>1245</v>
      </c>
      <c r="G163" s="5"/>
      <c r="H163" s="5"/>
      <c r="I163" s="10" t="s">
        <v>137</v>
      </c>
      <c r="J163" s="5" t="s">
        <v>1053</v>
      </c>
      <c r="K163" s="5" t="n">
        <f aca="false">COUNTIF(Probe_Pairs!$B:$B,A163)</f>
        <v>6</v>
      </c>
      <c r="L163" s="5" t="n">
        <f aca="false">COUNTIFS(Probe_Pairs!$B:$B,A163,Probe_Pairs!$S:$S,"Both halves")</f>
        <v>6</v>
      </c>
      <c r="M163" s="5"/>
      <c r="N163" s="5" t="s">
        <v>1246</v>
      </c>
      <c r="O163" s="5" t="s">
        <v>1055</v>
      </c>
      <c r="P163" s="5" t="s">
        <v>1247</v>
      </c>
      <c r="Q163" s="5" t="s">
        <v>68</v>
      </c>
      <c r="R163" s="5" t="s">
        <v>1245</v>
      </c>
      <c r="S163" s="5" t="n">
        <f aca="false">IF(R163="","",COUNTIFS(Probe_Pairs!$B:$B,A163,Probe_Pairs!$X:$X,"Both halves"))</f>
        <v>6</v>
      </c>
      <c r="T163" s="5" t="str">
        <f aca="false">IF(R163="","",IF(S163*2&gt;=K163,"High","Low"))</f>
        <v>High</v>
      </c>
      <c r="U163" s="5" t="s">
        <v>1244</v>
      </c>
      <c r="V163" s="5" t="s">
        <v>1244</v>
      </c>
      <c r="W163" s="5" t="s">
        <v>1248</v>
      </c>
      <c r="X163" s="5"/>
      <c r="Y163" s="7"/>
      <c r="Z163" s="7"/>
      <c r="AA163" s="7"/>
      <c r="AB163" s="7"/>
      <c r="AC163" s="7"/>
    </row>
    <row r="164" customFormat="false" ht="15" hidden="false" customHeight="false" outlineLevel="0" collapsed="false">
      <c r="A164" s="5" t="s">
        <v>1249</v>
      </c>
      <c r="B164" s="5" t="s">
        <v>40</v>
      </c>
      <c r="C164" s="5" t="s">
        <v>1250</v>
      </c>
      <c r="D164" s="5" t="s">
        <v>1250</v>
      </c>
      <c r="E164" s="5" t="s">
        <v>43</v>
      </c>
      <c r="F164" s="5" t="s">
        <v>1251</v>
      </c>
      <c r="G164" s="5"/>
      <c r="H164" s="5"/>
      <c r="I164" s="10" t="s">
        <v>137</v>
      </c>
      <c r="J164" s="5" t="s">
        <v>1053</v>
      </c>
      <c r="K164" s="5" t="n">
        <f aca="false">COUNTIF(Probe_Pairs!$B:$B,A164)</f>
        <v>11</v>
      </c>
      <c r="L164" s="5" t="n">
        <f aca="false">COUNTIFS(Probe_Pairs!$B:$B,A164,Probe_Pairs!$S:$S,"Both halves")</f>
        <v>11</v>
      </c>
      <c r="M164" s="5"/>
      <c r="N164" s="5" t="s">
        <v>1252</v>
      </c>
      <c r="O164" s="5" t="s">
        <v>1055</v>
      </c>
      <c r="P164" s="5" t="s">
        <v>1253</v>
      </c>
      <c r="Q164" s="5" t="s">
        <v>49</v>
      </c>
      <c r="R164" s="5" t="s">
        <v>1251</v>
      </c>
      <c r="S164" s="5" t="n">
        <f aca="false">IF(R164="","",COUNTIFS(Probe_Pairs!$B:$B,A164,Probe_Pairs!$X:$X,"Both halves"))</f>
        <v>11</v>
      </c>
      <c r="T164" s="5" t="str">
        <f aca="false">IF(R164="","",IF(S164*2&gt;=K164,"High","Low"))</f>
        <v>High</v>
      </c>
      <c r="U164" s="5" t="s">
        <v>1254</v>
      </c>
      <c r="V164" s="5" t="s">
        <v>1255</v>
      </c>
      <c r="W164" s="5" t="s">
        <v>1256</v>
      </c>
      <c r="X164" s="5"/>
      <c r="Y164" s="7"/>
      <c r="Z164" s="7"/>
      <c r="AA164" s="7"/>
      <c r="AB164" s="7"/>
      <c r="AC164" s="7"/>
    </row>
    <row r="165" customFormat="false" ht="15" hidden="false" customHeight="false" outlineLevel="0" collapsed="false">
      <c r="A165" s="5" t="s">
        <v>1257</v>
      </c>
      <c r="B165" s="5" t="s">
        <v>40</v>
      </c>
      <c r="C165" s="5" t="s">
        <v>1258</v>
      </c>
      <c r="D165" s="5" t="s">
        <v>1259</v>
      </c>
      <c r="E165" s="5" t="s">
        <v>43</v>
      </c>
      <c r="F165" s="5" t="s">
        <v>1260</v>
      </c>
      <c r="G165" s="5" t="s">
        <v>1261</v>
      </c>
      <c r="H165" s="5"/>
      <c r="I165" s="10" t="s">
        <v>137</v>
      </c>
      <c r="J165" s="5" t="s">
        <v>1053</v>
      </c>
      <c r="K165" s="5" t="n">
        <f aca="false">COUNTIF(Probe_Pairs!$B:$B,A165)</f>
        <v>6</v>
      </c>
      <c r="L165" s="5" t="n">
        <f aca="false">COUNTIFS(Probe_Pairs!$B:$B,A165,Probe_Pairs!$S:$S,"Both halves")</f>
        <v>6</v>
      </c>
      <c r="M165" s="5"/>
      <c r="N165" s="5" t="s">
        <v>1258</v>
      </c>
      <c r="O165" s="5" t="s">
        <v>1055</v>
      </c>
      <c r="P165" s="5" t="s">
        <v>1262</v>
      </c>
      <c r="Q165" s="5" t="s">
        <v>49</v>
      </c>
      <c r="R165" s="5" t="s">
        <v>1260</v>
      </c>
      <c r="S165" s="5" t="n">
        <f aca="false">IF(R165="","",COUNTIFS(Probe_Pairs!$B:$B,A165,Probe_Pairs!$X:$X,"Both halves"))</f>
        <v>6</v>
      </c>
      <c r="T165" s="5" t="str">
        <f aca="false">IF(R165="","",IF(S165*2&gt;=K165,"High","Low"))</f>
        <v>High</v>
      </c>
      <c r="U165" s="5" t="s">
        <v>1259</v>
      </c>
      <c r="V165" s="5" t="s">
        <v>1259</v>
      </c>
      <c r="W165" s="5" t="s">
        <v>1263</v>
      </c>
      <c r="X165" s="5"/>
      <c r="Y165" s="7"/>
      <c r="Z165" s="7"/>
      <c r="AA165" s="7"/>
      <c r="AB165" s="7"/>
      <c r="AC165" s="7"/>
    </row>
    <row r="166" customFormat="false" ht="15" hidden="false" customHeight="false" outlineLevel="0" collapsed="false">
      <c r="A166" s="5" t="s">
        <v>1264</v>
      </c>
      <c r="B166" s="5" t="s">
        <v>40</v>
      </c>
      <c r="C166" s="5" t="s">
        <v>1265</v>
      </c>
      <c r="D166" s="5" t="s">
        <v>1266</v>
      </c>
      <c r="E166" s="5" t="s">
        <v>43</v>
      </c>
      <c r="F166" s="5" t="s">
        <v>1267</v>
      </c>
      <c r="G166" s="5" t="s">
        <v>1268</v>
      </c>
      <c r="H166" s="5"/>
      <c r="I166" s="10" t="s">
        <v>137</v>
      </c>
      <c r="J166" s="5" t="s">
        <v>1053</v>
      </c>
      <c r="K166" s="5" t="n">
        <f aca="false">COUNTIF(Probe_Pairs!$B:$B,A166)</f>
        <v>6</v>
      </c>
      <c r="L166" s="5" t="n">
        <f aca="false">COUNTIFS(Probe_Pairs!$B:$B,A166,Probe_Pairs!$S:$S,"Both halves")</f>
        <v>6</v>
      </c>
      <c r="M166" s="5"/>
      <c r="N166" s="5" t="s">
        <v>1265</v>
      </c>
      <c r="O166" s="5" t="s">
        <v>1055</v>
      </c>
      <c r="P166" s="5" t="s">
        <v>1269</v>
      </c>
      <c r="Q166" s="5" t="s">
        <v>49</v>
      </c>
      <c r="R166" s="5" t="s">
        <v>1267</v>
      </c>
      <c r="S166" s="5" t="n">
        <f aca="false">IF(R166="","",COUNTIFS(Probe_Pairs!$B:$B,A166,Probe_Pairs!$X:$X,"Both halves"))</f>
        <v>6</v>
      </c>
      <c r="T166" s="5" t="str">
        <f aca="false">IF(R166="","",IF(S166*2&gt;=K166,"High","Low"))</f>
        <v>High</v>
      </c>
      <c r="U166" s="5" t="s">
        <v>1266</v>
      </c>
      <c r="V166" s="5" t="s">
        <v>1270</v>
      </c>
      <c r="W166" s="5" t="s">
        <v>1271</v>
      </c>
      <c r="X166" s="5"/>
      <c r="Y166" s="7"/>
      <c r="Z166" s="7"/>
      <c r="AA166" s="7"/>
      <c r="AB166" s="7"/>
      <c r="AC166" s="7"/>
    </row>
    <row r="167" customFormat="false" ht="15" hidden="false" customHeight="false" outlineLevel="0" collapsed="false">
      <c r="A167" s="5" t="s">
        <v>1272</v>
      </c>
      <c r="B167" s="5" t="s">
        <v>40</v>
      </c>
      <c r="C167" s="5" t="s">
        <v>1273</v>
      </c>
      <c r="D167" s="5" t="s">
        <v>1273</v>
      </c>
      <c r="E167" s="5" t="s">
        <v>43</v>
      </c>
      <c r="F167" s="5" t="s">
        <v>1274</v>
      </c>
      <c r="G167" s="5"/>
      <c r="H167" s="5"/>
      <c r="I167" s="10" t="s">
        <v>137</v>
      </c>
      <c r="J167" s="5" t="s">
        <v>1053</v>
      </c>
      <c r="K167" s="5" t="n">
        <f aca="false">COUNTIF(Probe_Pairs!$B:$B,A167)</f>
        <v>6</v>
      </c>
      <c r="L167" s="5" t="n">
        <f aca="false">COUNTIFS(Probe_Pairs!$B:$B,A167,Probe_Pairs!$S:$S,"Both halves")</f>
        <v>6</v>
      </c>
      <c r="M167" s="5"/>
      <c r="N167" s="5" t="s">
        <v>1275</v>
      </c>
      <c r="O167" s="5" t="s">
        <v>1055</v>
      </c>
      <c r="P167" s="5" t="s">
        <v>1276</v>
      </c>
      <c r="Q167" s="5" t="s">
        <v>49</v>
      </c>
      <c r="R167" s="5" t="s">
        <v>1274</v>
      </c>
      <c r="S167" s="5" t="n">
        <f aca="false">IF(R167="","",COUNTIFS(Probe_Pairs!$B:$B,A167,Probe_Pairs!$X:$X,"Both halves"))</f>
        <v>6</v>
      </c>
      <c r="T167" s="5" t="str">
        <f aca="false">IF(R167="","",IF(S167*2&gt;=K167,"High","Low"))</f>
        <v>High</v>
      </c>
      <c r="U167" s="5" t="s">
        <v>1277</v>
      </c>
      <c r="V167" s="5" t="s">
        <v>1277</v>
      </c>
      <c r="W167" s="5" t="s">
        <v>1278</v>
      </c>
      <c r="X167" s="5"/>
      <c r="Y167" s="7"/>
      <c r="Z167" s="7"/>
      <c r="AA167" s="7"/>
      <c r="AB167" s="7"/>
      <c r="AC167" s="7"/>
    </row>
    <row r="168" customFormat="false" ht="15" hidden="false" customHeight="false" outlineLevel="0" collapsed="false">
      <c r="A168" s="5" t="s">
        <v>1279</v>
      </c>
      <c r="B168" s="5" t="s">
        <v>40</v>
      </c>
      <c r="C168" s="5" t="s">
        <v>1280</v>
      </c>
      <c r="D168" s="5" t="s">
        <v>1281</v>
      </c>
      <c r="E168" s="5" t="s">
        <v>43</v>
      </c>
      <c r="F168" s="5" t="s">
        <v>1282</v>
      </c>
      <c r="G168" s="5"/>
      <c r="H168" s="5"/>
      <c r="I168" s="10" t="s">
        <v>137</v>
      </c>
      <c r="J168" s="5" t="s">
        <v>1053</v>
      </c>
      <c r="K168" s="5" t="n">
        <f aca="false">COUNTIF(Probe_Pairs!$B:$B,A168)</f>
        <v>6</v>
      </c>
      <c r="L168" s="5" t="n">
        <f aca="false">COUNTIFS(Probe_Pairs!$B:$B,A168,Probe_Pairs!$S:$S,"Both halves")</f>
        <v>6</v>
      </c>
      <c r="M168" s="5"/>
      <c r="N168" s="5" t="s">
        <v>1283</v>
      </c>
      <c r="O168" s="5" t="s">
        <v>1055</v>
      </c>
      <c r="P168" s="5" t="s">
        <v>1284</v>
      </c>
      <c r="Q168" s="5" t="s">
        <v>49</v>
      </c>
      <c r="R168" s="5" t="s">
        <v>1282</v>
      </c>
      <c r="S168" s="5" t="n">
        <f aca="false">IF(R168="","",COUNTIFS(Probe_Pairs!$B:$B,A168,Probe_Pairs!$X:$X,"Both halves"))</f>
        <v>6</v>
      </c>
      <c r="T168" s="5" t="str">
        <f aca="false">IF(R168="","",IF(S168*2&gt;=K168,"High","Low"))</f>
        <v>High</v>
      </c>
      <c r="U168" s="5" t="s">
        <v>1285</v>
      </c>
      <c r="V168" s="5" t="s">
        <v>1285</v>
      </c>
      <c r="W168" s="5" t="s">
        <v>1286</v>
      </c>
      <c r="X168" s="5"/>
      <c r="Y168" s="7"/>
      <c r="Z168" s="7"/>
      <c r="AA168" s="7"/>
      <c r="AB168" s="7"/>
      <c r="AC168" s="7"/>
    </row>
    <row r="169" customFormat="false" ht="15" hidden="false" customHeight="false" outlineLevel="0" collapsed="false">
      <c r="A169" s="5" t="s">
        <v>1287</v>
      </c>
      <c r="B169" s="5" t="s">
        <v>40</v>
      </c>
      <c r="C169" s="5" t="s">
        <v>1288</v>
      </c>
      <c r="D169" s="5" t="s">
        <v>1289</v>
      </c>
      <c r="E169" s="5" t="s">
        <v>43</v>
      </c>
      <c r="F169" s="5" t="s">
        <v>1290</v>
      </c>
      <c r="G169" s="5" t="s">
        <v>1291</v>
      </c>
      <c r="H169" s="5"/>
      <c r="I169" s="10" t="s">
        <v>137</v>
      </c>
      <c r="J169" s="5" t="s">
        <v>1053</v>
      </c>
      <c r="K169" s="5" t="n">
        <f aca="false">COUNTIF(Probe_Pairs!$B:$B,A169)</f>
        <v>6</v>
      </c>
      <c r="L169" s="5" t="n">
        <f aca="false">COUNTIFS(Probe_Pairs!$B:$B,A169,Probe_Pairs!$S:$S,"Both halves")</f>
        <v>6</v>
      </c>
      <c r="M169" s="5"/>
      <c r="N169" s="5" t="s">
        <v>1288</v>
      </c>
      <c r="O169" s="5" t="s">
        <v>1055</v>
      </c>
      <c r="P169" s="5" t="s">
        <v>1292</v>
      </c>
      <c r="Q169" s="5" t="s">
        <v>49</v>
      </c>
      <c r="R169" s="5" t="s">
        <v>1290</v>
      </c>
      <c r="S169" s="5" t="n">
        <f aca="false">IF(R169="","",COUNTIFS(Probe_Pairs!$B:$B,A169,Probe_Pairs!$X:$X,"Both halves"))</f>
        <v>6</v>
      </c>
      <c r="T169" s="5" t="str">
        <f aca="false">IF(R169="","",IF(S169*2&gt;=K169,"High","Low"))</f>
        <v>High</v>
      </c>
      <c r="U169" s="5" t="s">
        <v>1289</v>
      </c>
      <c r="V169" s="5" t="s">
        <v>1289</v>
      </c>
      <c r="W169" s="5" t="s">
        <v>1293</v>
      </c>
      <c r="X169" s="5"/>
      <c r="Y169" s="7"/>
      <c r="Z169" s="7"/>
      <c r="AA169" s="7"/>
      <c r="AB169" s="7"/>
      <c r="AC169" s="7"/>
    </row>
    <row r="170" customFormat="false" ht="15" hidden="false" customHeight="false" outlineLevel="0" collapsed="false">
      <c r="A170" s="5" t="s">
        <v>1294</v>
      </c>
      <c r="B170" s="5" t="s">
        <v>40</v>
      </c>
      <c r="C170" s="5" t="s">
        <v>1019</v>
      </c>
      <c r="D170" s="5" t="s">
        <v>1019</v>
      </c>
      <c r="E170" s="5" t="s">
        <v>43</v>
      </c>
      <c r="F170" s="5" t="s">
        <v>1020</v>
      </c>
      <c r="G170" s="5"/>
      <c r="H170" s="5" t="s">
        <v>1021</v>
      </c>
      <c r="I170" s="10" t="s">
        <v>137</v>
      </c>
      <c r="J170" s="5" t="s">
        <v>1053</v>
      </c>
      <c r="K170" s="5" t="n">
        <f aca="false">COUNTIF(Probe_Pairs!$B:$B,A170)</f>
        <v>6</v>
      </c>
      <c r="L170" s="5" t="n">
        <f aca="false">COUNTIFS(Probe_Pairs!$B:$B,A170,Probe_Pairs!$S:$S,"Both halves")</f>
        <v>6</v>
      </c>
      <c r="M170" s="5" t="s">
        <v>66</v>
      </c>
      <c r="N170" s="5" t="s">
        <v>543</v>
      </c>
      <c r="O170" s="5" t="s">
        <v>1055</v>
      </c>
      <c r="P170" s="5" t="s">
        <v>1022</v>
      </c>
      <c r="Q170" s="5" t="s">
        <v>68</v>
      </c>
      <c r="R170" s="5" t="s">
        <v>1020</v>
      </c>
      <c r="S170" s="5" t="n">
        <f aca="false">IF(R170="","",COUNTIFS(Probe_Pairs!$B:$B,A170,Probe_Pairs!$X:$X,"Both halves"))</f>
        <v>2</v>
      </c>
      <c r="T170" s="5" t="str">
        <f aca="false">IF(R170="","",IF(S170*2&gt;=K170,"High","Low"))</f>
        <v>Low</v>
      </c>
      <c r="U170" s="5" t="s">
        <v>1023</v>
      </c>
      <c r="V170" s="5" t="s">
        <v>1024</v>
      </c>
      <c r="W170" s="5" t="s">
        <v>1025</v>
      </c>
      <c r="X170" s="8" t="s">
        <v>539</v>
      </c>
      <c r="Y170" s="7"/>
      <c r="Z170" s="7"/>
      <c r="AA170" s="7"/>
      <c r="AB170" s="7"/>
      <c r="AC170" s="7"/>
    </row>
    <row r="171" customFormat="false" ht="15" hidden="false" customHeight="false" outlineLevel="0" collapsed="false">
      <c r="A171" s="5" t="s">
        <v>1295</v>
      </c>
      <c r="B171" s="5" t="s">
        <v>40</v>
      </c>
      <c r="C171" s="5" t="s">
        <v>1296</v>
      </c>
      <c r="D171" s="5" t="s">
        <v>1297</v>
      </c>
      <c r="E171" s="5" t="s">
        <v>43</v>
      </c>
      <c r="F171" s="5" t="s">
        <v>1298</v>
      </c>
      <c r="G171" s="5" t="s">
        <v>1299</v>
      </c>
      <c r="H171" s="5"/>
      <c r="I171" s="11" t="s">
        <v>162</v>
      </c>
      <c r="J171" s="5" t="s">
        <v>1300</v>
      </c>
      <c r="K171" s="5" t="n">
        <f aca="false">COUNTIF(Probe_Pairs!$B:$B,A171)</f>
        <v>6</v>
      </c>
      <c r="L171" s="5" t="n">
        <f aca="false">COUNTIFS(Probe_Pairs!$B:$B,A171,Probe_Pairs!$S:$S,"Both halves")</f>
        <v>6</v>
      </c>
      <c r="M171" s="5"/>
      <c r="N171" s="5" t="s">
        <v>1301</v>
      </c>
      <c r="O171" s="5" t="s">
        <v>1302</v>
      </c>
      <c r="P171" s="5" t="s">
        <v>1303</v>
      </c>
      <c r="Q171" s="5" t="s">
        <v>49</v>
      </c>
      <c r="R171" s="5" t="s">
        <v>1298</v>
      </c>
      <c r="S171" s="5" t="n">
        <f aca="false">IF(R171="","",COUNTIFS(Probe_Pairs!$B:$B,A171,Probe_Pairs!$X:$X,"Both halves"))</f>
        <v>6</v>
      </c>
      <c r="T171" s="5" t="str">
        <f aca="false">IF(R171="","",IF(S171*2&gt;=K171,"High","Low"))</f>
        <v>High</v>
      </c>
      <c r="U171" s="5" t="s">
        <v>1297</v>
      </c>
      <c r="V171" s="5" t="s">
        <v>1304</v>
      </c>
      <c r="W171" s="5" t="s">
        <v>1305</v>
      </c>
      <c r="X171" s="5"/>
      <c r="Y171" s="7"/>
      <c r="Z171" s="7"/>
      <c r="AA171" s="7"/>
      <c r="AB171" s="7"/>
      <c r="AC171" s="7"/>
    </row>
    <row r="172" customFormat="false" ht="15" hidden="false" customHeight="false" outlineLevel="0" collapsed="false">
      <c r="A172" s="5" t="s">
        <v>1306</v>
      </c>
      <c r="B172" s="5" t="s">
        <v>40</v>
      </c>
      <c r="C172" s="5" t="s">
        <v>1307</v>
      </c>
      <c r="D172" s="5" t="s">
        <v>1308</v>
      </c>
      <c r="E172" s="5" t="s">
        <v>43</v>
      </c>
      <c r="F172" s="5" t="s">
        <v>1309</v>
      </c>
      <c r="G172" s="5"/>
      <c r="H172" s="5" t="s">
        <v>1310</v>
      </c>
      <c r="I172" s="11" t="s">
        <v>162</v>
      </c>
      <c r="J172" s="5" t="s">
        <v>1300</v>
      </c>
      <c r="K172" s="5" t="n">
        <f aca="false">COUNTIF(Probe_Pairs!$B:$B,A172)</f>
        <v>6</v>
      </c>
      <c r="L172" s="5" t="n">
        <f aca="false">COUNTIFS(Probe_Pairs!$B:$B,A172,Probe_Pairs!$S:$S,"Both halves")</f>
        <v>6</v>
      </c>
      <c r="M172" s="5"/>
      <c r="N172" s="5" t="s">
        <v>1311</v>
      </c>
      <c r="O172" s="5" t="s">
        <v>1302</v>
      </c>
      <c r="P172" s="5" t="s">
        <v>1312</v>
      </c>
      <c r="Q172" s="5" t="s">
        <v>68</v>
      </c>
      <c r="R172" s="5" t="s">
        <v>1309</v>
      </c>
      <c r="S172" s="5" t="n">
        <f aca="false">IF(R172="","",COUNTIFS(Probe_Pairs!$B:$B,A172,Probe_Pairs!$X:$X,"Both halves"))</f>
        <v>6</v>
      </c>
      <c r="T172" s="5" t="str">
        <f aca="false">IF(R172="","",IF(S172*2&gt;=K172,"High","Low"))</f>
        <v>High</v>
      </c>
      <c r="U172" s="5" t="s">
        <v>1313</v>
      </c>
      <c r="V172" s="5" t="s">
        <v>1314</v>
      </c>
      <c r="W172" s="5" t="s">
        <v>1315</v>
      </c>
      <c r="X172" s="5"/>
      <c r="Y172" s="7"/>
      <c r="Z172" s="7"/>
      <c r="AA172" s="7"/>
      <c r="AB172" s="7"/>
      <c r="AC172" s="7"/>
    </row>
    <row r="173" customFormat="false" ht="15" hidden="false" customHeight="false" outlineLevel="0" collapsed="false">
      <c r="A173" s="5" t="s">
        <v>1316</v>
      </c>
      <c r="B173" s="5" t="s">
        <v>40</v>
      </c>
      <c r="C173" s="5" t="s">
        <v>1317</v>
      </c>
      <c r="D173" s="5" t="s">
        <v>1318</v>
      </c>
      <c r="E173" s="5" t="s">
        <v>43</v>
      </c>
      <c r="F173" s="5" t="s">
        <v>1319</v>
      </c>
      <c r="G173" s="5" t="s">
        <v>1320</v>
      </c>
      <c r="H173" s="5"/>
      <c r="I173" s="11" t="s">
        <v>162</v>
      </c>
      <c r="J173" s="5" t="s">
        <v>1300</v>
      </c>
      <c r="K173" s="5" t="n">
        <f aca="false">COUNTIF(Probe_Pairs!$B:$B,A173)</f>
        <v>6</v>
      </c>
      <c r="L173" s="5" t="n">
        <f aca="false">COUNTIFS(Probe_Pairs!$B:$B,A173,Probe_Pairs!$S:$S,"Both halves")</f>
        <v>6</v>
      </c>
      <c r="M173" s="5"/>
      <c r="N173" s="5" t="s">
        <v>1317</v>
      </c>
      <c r="O173" s="5" t="s">
        <v>1302</v>
      </c>
      <c r="P173" s="5" t="s">
        <v>1321</v>
      </c>
      <c r="Q173" s="5" t="s">
        <v>49</v>
      </c>
      <c r="R173" s="5" t="s">
        <v>1319</v>
      </c>
      <c r="S173" s="5" t="n">
        <f aca="false">IF(R173="","",COUNTIFS(Probe_Pairs!$B:$B,A173,Probe_Pairs!$X:$X,"Both halves"))</f>
        <v>6</v>
      </c>
      <c r="T173" s="5" t="str">
        <f aca="false">IF(R173="","",IF(S173*2&gt;=K173,"High","Low"))</f>
        <v>High</v>
      </c>
      <c r="U173" s="5" t="s">
        <v>1318</v>
      </c>
      <c r="V173" s="5" t="s">
        <v>1318</v>
      </c>
      <c r="W173" s="5" t="s">
        <v>1322</v>
      </c>
      <c r="X173" s="5"/>
      <c r="Y173" s="7"/>
      <c r="Z173" s="7"/>
      <c r="AA173" s="7"/>
      <c r="AB173" s="7"/>
      <c r="AC173" s="7"/>
    </row>
    <row r="174" customFormat="false" ht="15" hidden="false" customHeight="false" outlineLevel="0" collapsed="false">
      <c r="A174" s="5" t="s">
        <v>1323</v>
      </c>
      <c r="B174" s="5" t="s">
        <v>40</v>
      </c>
      <c r="C174" s="5" t="s">
        <v>1324</v>
      </c>
      <c r="D174" s="5" t="s">
        <v>1325</v>
      </c>
      <c r="E174" s="5" t="s">
        <v>43</v>
      </c>
      <c r="F174" s="5" t="s">
        <v>1326</v>
      </c>
      <c r="G174" s="5" t="s">
        <v>1327</v>
      </c>
      <c r="H174" s="5"/>
      <c r="I174" s="11" t="s">
        <v>162</v>
      </c>
      <c r="J174" s="5" t="s">
        <v>1300</v>
      </c>
      <c r="K174" s="5" t="n">
        <f aca="false">COUNTIF(Probe_Pairs!$B:$B,A174)</f>
        <v>6</v>
      </c>
      <c r="L174" s="5" t="n">
        <f aca="false">COUNTIFS(Probe_Pairs!$B:$B,A174,Probe_Pairs!$S:$S,"Both halves")</f>
        <v>6</v>
      </c>
      <c r="M174" s="5"/>
      <c r="N174" s="5" t="s">
        <v>1324</v>
      </c>
      <c r="O174" s="5" t="s">
        <v>1302</v>
      </c>
      <c r="P174" s="5" t="s">
        <v>1328</v>
      </c>
      <c r="Q174" s="5" t="s">
        <v>49</v>
      </c>
      <c r="R174" s="5" t="s">
        <v>1326</v>
      </c>
      <c r="S174" s="5" t="n">
        <f aca="false">IF(R174="","",COUNTIFS(Probe_Pairs!$B:$B,A174,Probe_Pairs!$X:$X,"Both halves"))</f>
        <v>6</v>
      </c>
      <c r="T174" s="5" t="str">
        <f aca="false">IF(R174="","",IF(S174*2&gt;=K174,"High","Low"))</f>
        <v>High</v>
      </c>
      <c r="U174" s="5" t="s">
        <v>1325</v>
      </c>
      <c r="V174" s="5" t="s">
        <v>1329</v>
      </c>
      <c r="W174" s="5" t="s">
        <v>1330</v>
      </c>
      <c r="X174" s="5"/>
      <c r="Y174" s="7"/>
      <c r="Z174" s="7"/>
      <c r="AA174" s="7"/>
      <c r="AB174" s="7"/>
      <c r="AC174" s="7"/>
    </row>
    <row r="175" customFormat="false" ht="15" hidden="false" customHeight="false" outlineLevel="0" collapsed="false">
      <c r="A175" s="5" t="s">
        <v>1331</v>
      </c>
      <c r="B175" s="5" t="s">
        <v>40</v>
      </c>
      <c r="C175" s="5" t="s">
        <v>1104</v>
      </c>
      <c r="D175" s="5" t="s">
        <v>1105</v>
      </c>
      <c r="E175" s="5" t="s">
        <v>43</v>
      </c>
      <c r="F175" s="5" t="s">
        <v>1106</v>
      </c>
      <c r="G175" s="5"/>
      <c r="H175" s="5"/>
      <c r="I175" s="11" t="s">
        <v>162</v>
      </c>
      <c r="J175" s="5" t="s">
        <v>1300</v>
      </c>
      <c r="K175" s="5" t="n">
        <f aca="false">COUNTIF(Probe_Pairs!$B:$B,A175)</f>
        <v>6</v>
      </c>
      <c r="L175" s="5" t="n">
        <f aca="false">COUNTIFS(Probe_Pairs!$B:$B,A175,Probe_Pairs!$S:$S,"Both halves")</f>
        <v>6</v>
      </c>
      <c r="M175" s="5" t="s">
        <v>137</v>
      </c>
      <c r="N175" s="5" t="s">
        <v>1107</v>
      </c>
      <c r="O175" s="5" t="s">
        <v>1302</v>
      </c>
      <c r="P175" s="5" t="s">
        <v>1108</v>
      </c>
      <c r="Q175" s="5" t="s">
        <v>68</v>
      </c>
      <c r="R175" s="5" t="s">
        <v>1106</v>
      </c>
      <c r="S175" s="5" t="n">
        <f aca="false">IF(R175="","",COUNTIFS(Probe_Pairs!$B:$B,A175,Probe_Pairs!$X:$X,"Both halves"))</f>
        <v>1</v>
      </c>
      <c r="T175" s="5" t="str">
        <f aca="false">IF(R175="","",IF(S175*2&gt;=K175,"High","Low"))</f>
        <v>Low</v>
      </c>
      <c r="U175" s="5" t="s">
        <v>1109</v>
      </c>
      <c r="V175" s="5" t="s">
        <v>1110</v>
      </c>
      <c r="W175" s="5" t="s">
        <v>1111</v>
      </c>
      <c r="X175" s="8" t="s">
        <v>1112</v>
      </c>
      <c r="Y175" s="7"/>
      <c r="Z175" s="7"/>
      <c r="AA175" s="7"/>
      <c r="AB175" s="7"/>
      <c r="AC175" s="7"/>
    </row>
    <row r="176" customFormat="false" ht="15" hidden="false" customHeight="false" outlineLevel="0" collapsed="false">
      <c r="A176" s="5" t="s">
        <v>1332</v>
      </c>
      <c r="B176" s="5" t="s">
        <v>40</v>
      </c>
      <c r="C176" s="5" t="s">
        <v>159</v>
      </c>
      <c r="D176" s="5" t="s">
        <v>160</v>
      </c>
      <c r="E176" s="5" t="s">
        <v>43</v>
      </c>
      <c r="F176" s="5" t="s">
        <v>161</v>
      </c>
      <c r="G176" s="5"/>
      <c r="H176" s="5"/>
      <c r="I176" s="11" t="s">
        <v>162</v>
      </c>
      <c r="J176" s="5" t="s">
        <v>1300</v>
      </c>
      <c r="K176" s="5" t="n">
        <f aca="false">COUNTIF(Probe_Pairs!$B:$B,A176)</f>
        <v>7</v>
      </c>
      <c r="L176" s="5" t="n">
        <f aca="false">COUNTIFS(Probe_Pairs!$B:$B,A176,Probe_Pairs!$S:$S,"Both halves")</f>
        <v>7</v>
      </c>
      <c r="M176" s="5" t="s">
        <v>45</v>
      </c>
      <c r="N176" s="5" t="s">
        <v>163</v>
      </c>
      <c r="O176" s="5" t="s">
        <v>1302</v>
      </c>
      <c r="P176" s="5" t="s">
        <v>164</v>
      </c>
      <c r="Q176" s="5" t="s">
        <v>68</v>
      </c>
      <c r="R176" s="5" t="s">
        <v>161</v>
      </c>
      <c r="S176" s="5" t="n">
        <f aca="false">IF(R176="","",COUNTIFS(Probe_Pairs!$B:$B,A176,Probe_Pairs!$X:$X,"Both halves"))</f>
        <v>4</v>
      </c>
      <c r="T176" s="5" t="str">
        <f aca="false">IF(R176="","",IF(S176*2&gt;=K176,"High","Low"))</f>
        <v>High</v>
      </c>
      <c r="U176" s="5" t="s">
        <v>165</v>
      </c>
      <c r="V176" s="5" t="s">
        <v>165</v>
      </c>
      <c r="W176" s="5" t="s">
        <v>166</v>
      </c>
      <c r="X176" s="5"/>
      <c r="Y176" s="7"/>
      <c r="Z176" s="7"/>
      <c r="AA176" s="7"/>
      <c r="AB176" s="7"/>
      <c r="AC176" s="7"/>
    </row>
    <row r="177" customFormat="false" ht="15" hidden="false" customHeight="false" outlineLevel="0" collapsed="false">
      <c r="A177" s="5" t="s">
        <v>1333</v>
      </c>
      <c r="B177" s="5" t="s">
        <v>40</v>
      </c>
      <c r="C177" s="5" t="s">
        <v>1334</v>
      </c>
      <c r="D177" s="5" t="s">
        <v>1335</v>
      </c>
      <c r="E177" s="5" t="s">
        <v>43</v>
      </c>
      <c r="F177" s="5" t="s">
        <v>1336</v>
      </c>
      <c r="G177" s="5"/>
      <c r="H177" s="5"/>
      <c r="I177" s="11" t="s">
        <v>162</v>
      </c>
      <c r="J177" s="5" t="s">
        <v>1300</v>
      </c>
      <c r="K177" s="5" t="n">
        <f aca="false">COUNTIF(Probe_Pairs!$B:$B,A177)</f>
        <v>5</v>
      </c>
      <c r="L177" s="5" t="n">
        <f aca="false">COUNTIFS(Probe_Pairs!$B:$B,A177,Probe_Pairs!$S:$S,"Both halves")</f>
        <v>5</v>
      </c>
      <c r="M177" s="5"/>
      <c r="N177" s="5" t="s">
        <v>1136</v>
      </c>
      <c r="O177" s="5" t="s">
        <v>1302</v>
      </c>
      <c r="P177" s="5" t="s">
        <v>1337</v>
      </c>
      <c r="Q177" s="5" t="s">
        <v>68</v>
      </c>
      <c r="R177" s="5" t="s">
        <v>1336</v>
      </c>
      <c r="S177" s="5" t="n">
        <f aca="false">IF(R177="","",COUNTIFS(Probe_Pairs!$B:$B,A177,Probe_Pairs!$X:$X,"Both halves"))</f>
        <v>5</v>
      </c>
      <c r="T177" s="5" t="str">
        <f aca="false">IF(R177="","",IF(S177*2&gt;=K177,"High","Low"))</f>
        <v>High</v>
      </c>
      <c r="U177" s="5" t="s">
        <v>1338</v>
      </c>
      <c r="V177" s="5" t="s">
        <v>1339</v>
      </c>
      <c r="W177" s="5" t="s">
        <v>1340</v>
      </c>
      <c r="X177" s="5"/>
      <c r="Y177" s="7"/>
      <c r="Z177" s="7"/>
      <c r="AA177" s="7"/>
      <c r="AB177" s="7"/>
      <c r="AC177" s="7"/>
    </row>
    <row r="178" customFormat="false" ht="15" hidden="false" customHeight="false" outlineLevel="0" collapsed="false">
      <c r="A178" s="5" t="s">
        <v>1341</v>
      </c>
      <c r="B178" s="5" t="s">
        <v>40</v>
      </c>
      <c r="C178" s="5" t="s">
        <v>1342</v>
      </c>
      <c r="D178" s="5" t="s">
        <v>1343</v>
      </c>
      <c r="E178" s="5" t="s">
        <v>43</v>
      </c>
      <c r="F178" s="5" t="s">
        <v>1344</v>
      </c>
      <c r="G178" s="5" t="s">
        <v>1345</v>
      </c>
      <c r="H178" s="5"/>
      <c r="I178" s="11" t="s">
        <v>162</v>
      </c>
      <c r="J178" s="5" t="s">
        <v>1300</v>
      </c>
      <c r="K178" s="5" t="n">
        <f aca="false">COUNTIF(Probe_Pairs!$B:$B,A178)</f>
        <v>6</v>
      </c>
      <c r="L178" s="5" t="n">
        <f aca="false">COUNTIFS(Probe_Pairs!$B:$B,A178,Probe_Pairs!$S:$S,"Both halves")</f>
        <v>6</v>
      </c>
      <c r="M178" s="5"/>
      <c r="N178" s="5" t="s">
        <v>1136</v>
      </c>
      <c r="O178" s="5" t="s">
        <v>1302</v>
      </c>
      <c r="P178" s="5" t="s">
        <v>1346</v>
      </c>
      <c r="Q178" s="5" t="s">
        <v>49</v>
      </c>
      <c r="R178" s="5" t="s">
        <v>1347</v>
      </c>
      <c r="S178" s="5" t="n">
        <f aca="false">IF(R178="","",COUNTIFS(Probe_Pairs!$B:$B,A178,Probe_Pairs!$X:$X,"Both halves"))</f>
        <v>6</v>
      </c>
      <c r="T178" s="5" t="str">
        <f aca="false">IF(R178="","",IF(S178*2&gt;=K178,"High","Low"))</f>
        <v>High</v>
      </c>
      <c r="U178" s="5" t="s">
        <v>1348</v>
      </c>
      <c r="V178" s="5" t="s">
        <v>1349</v>
      </c>
      <c r="W178" s="5" t="s">
        <v>1350</v>
      </c>
      <c r="X178" s="8" t="s">
        <v>746</v>
      </c>
      <c r="Y178" s="7"/>
      <c r="Z178" s="7"/>
      <c r="AA178" s="7"/>
      <c r="AB178" s="7"/>
      <c r="AC178" s="7"/>
    </row>
    <row r="179" customFormat="false" ht="15" hidden="false" customHeight="false" outlineLevel="0" collapsed="false">
      <c r="A179" s="5" t="s">
        <v>1351</v>
      </c>
      <c r="B179" s="5" t="s">
        <v>40</v>
      </c>
      <c r="C179" s="5" t="s">
        <v>1133</v>
      </c>
      <c r="D179" s="5" t="s">
        <v>1134</v>
      </c>
      <c r="E179" s="5" t="s">
        <v>43</v>
      </c>
      <c r="F179" s="5" t="s">
        <v>1135</v>
      </c>
      <c r="G179" s="5"/>
      <c r="H179" s="5"/>
      <c r="I179" s="11" t="s">
        <v>162</v>
      </c>
      <c r="J179" s="5" t="s">
        <v>1300</v>
      </c>
      <c r="K179" s="5" t="n">
        <f aca="false">COUNTIF(Probe_Pairs!$B:$B,A179)</f>
        <v>6</v>
      </c>
      <c r="L179" s="5" t="n">
        <f aca="false">COUNTIFS(Probe_Pairs!$B:$B,A179,Probe_Pairs!$S:$S,"Both halves")</f>
        <v>6</v>
      </c>
      <c r="M179" s="5" t="s">
        <v>137</v>
      </c>
      <c r="N179" s="5" t="s">
        <v>1136</v>
      </c>
      <c r="O179" s="5" t="s">
        <v>1302</v>
      </c>
      <c r="P179" s="5" t="s">
        <v>1137</v>
      </c>
      <c r="Q179" s="5" t="s">
        <v>68</v>
      </c>
      <c r="R179" s="5" t="s">
        <v>1135</v>
      </c>
      <c r="S179" s="5" t="n">
        <f aca="false">IF(R179="","",COUNTIFS(Probe_Pairs!$B:$B,A179,Probe_Pairs!$X:$X,"Both halves"))</f>
        <v>2</v>
      </c>
      <c r="T179" s="5" t="str">
        <f aca="false">IF(R179="","",IF(S179*2&gt;=K179,"High","Low"))</f>
        <v>Low</v>
      </c>
      <c r="U179" s="5" t="s">
        <v>1134</v>
      </c>
      <c r="V179" s="5" t="s">
        <v>1138</v>
      </c>
      <c r="W179" s="5" t="s">
        <v>1139</v>
      </c>
      <c r="X179" s="8" t="s">
        <v>539</v>
      </c>
      <c r="Y179" s="7"/>
      <c r="Z179" s="7"/>
      <c r="AA179" s="7"/>
      <c r="AB179" s="7"/>
      <c r="AC179" s="7"/>
    </row>
    <row r="180" customFormat="false" ht="15" hidden="false" customHeight="false" outlineLevel="0" collapsed="false">
      <c r="A180" s="5" t="s">
        <v>1352</v>
      </c>
      <c r="B180" s="5" t="s">
        <v>40</v>
      </c>
      <c r="C180" s="5" t="s">
        <v>772</v>
      </c>
      <c r="D180" s="5" t="s">
        <v>773</v>
      </c>
      <c r="E180" s="5" t="s">
        <v>43</v>
      </c>
      <c r="F180" s="5" t="s">
        <v>774</v>
      </c>
      <c r="G180" s="5"/>
      <c r="H180" s="5"/>
      <c r="I180" s="11" t="s">
        <v>162</v>
      </c>
      <c r="J180" s="5" t="s">
        <v>1300</v>
      </c>
      <c r="K180" s="5" t="n">
        <f aca="false">COUNTIF(Probe_Pairs!$B:$B,A180)</f>
        <v>6</v>
      </c>
      <c r="L180" s="5" t="n">
        <f aca="false">COUNTIFS(Probe_Pairs!$B:$B,A180,Probe_Pairs!$S:$S,"Both halves")</f>
        <v>6</v>
      </c>
      <c r="M180" s="5" t="s">
        <v>438</v>
      </c>
      <c r="N180" s="5" t="s">
        <v>1353</v>
      </c>
      <c r="O180" s="5" t="s">
        <v>1302</v>
      </c>
      <c r="P180" s="5" t="s">
        <v>776</v>
      </c>
      <c r="Q180" s="5" t="s">
        <v>68</v>
      </c>
      <c r="R180" s="5" t="s">
        <v>774</v>
      </c>
      <c r="S180" s="5" t="n">
        <f aca="false">IF(R180="","",COUNTIFS(Probe_Pairs!$B:$B,A180,Probe_Pairs!$X:$X,"Both halves"))</f>
        <v>5</v>
      </c>
      <c r="T180" s="5" t="str">
        <f aca="false">IF(R180="","",IF(S180*2&gt;=K180,"High","Low"))</f>
        <v>High</v>
      </c>
      <c r="U180" s="5" t="s">
        <v>777</v>
      </c>
      <c r="V180" s="5" t="s">
        <v>777</v>
      </c>
      <c r="W180" s="5" t="s">
        <v>778</v>
      </c>
      <c r="X180" s="5"/>
      <c r="Y180" s="7"/>
      <c r="Z180" s="7"/>
      <c r="AA180" s="7"/>
      <c r="AB180" s="7"/>
      <c r="AC180" s="7"/>
    </row>
    <row r="181" customFormat="false" ht="15" hidden="false" customHeight="false" outlineLevel="0" collapsed="false">
      <c r="A181" s="5" t="s">
        <v>1354</v>
      </c>
      <c r="B181" s="5" t="s">
        <v>40</v>
      </c>
      <c r="C181" s="5" t="s">
        <v>1355</v>
      </c>
      <c r="D181" s="5" t="s">
        <v>1356</v>
      </c>
      <c r="E181" s="5" t="s">
        <v>43</v>
      </c>
      <c r="F181" s="5" t="s">
        <v>1357</v>
      </c>
      <c r="G181" s="5" t="s">
        <v>1358</v>
      </c>
      <c r="H181" s="5"/>
      <c r="I181" s="11" t="s">
        <v>162</v>
      </c>
      <c r="J181" s="5" t="s">
        <v>1300</v>
      </c>
      <c r="K181" s="5" t="n">
        <f aca="false">COUNTIF(Probe_Pairs!$B:$B,A181)</f>
        <v>6</v>
      </c>
      <c r="L181" s="5" t="n">
        <f aca="false">COUNTIFS(Probe_Pairs!$B:$B,A181,Probe_Pairs!$S:$S,"Both halves")</f>
        <v>6</v>
      </c>
      <c r="M181" s="5"/>
      <c r="N181" s="5" t="s">
        <v>1355</v>
      </c>
      <c r="O181" s="5" t="s">
        <v>1302</v>
      </c>
      <c r="P181" s="5" t="s">
        <v>1359</v>
      </c>
      <c r="Q181" s="5" t="s">
        <v>49</v>
      </c>
      <c r="R181" s="5" t="s">
        <v>1357</v>
      </c>
      <c r="S181" s="5" t="n">
        <f aca="false">IF(R181="","",COUNTIFS(Probe_Pairs!$B:$B,A181,Probe_Pairs!$X:$X,"Both halves"))</f>
        <v>6</v>
      </c>
      <c r="T181" s="5" t="str">
        <f aca="false">IF(R181="","",IF(S181*2&gt;=K181,"High","Low"))</f>
        <v>High</v>
      </c>
      <c r="U181" s="5" t="s">
        <v>1356</v>
      </c>
      <c r="V181" s="5" t="s">
        <v>1356</v>
      </c>
      <c r="W181" s="5" t="s">
        <v>1360</v>
      </c>
      <c r="X181" s="5"/>
      <c r="Y181" s="7"/>
      <c r="Z181" s="7"/>
      <c r="AA181" s="7"/>
      <c r="AB181" s="7"/>
      <c r="AC181" s="7"/>
    </row>
    <row r="182" customFormat="false" ht="15" hidden="false" customHeight="false" outlineLevel="0" collapsed="false">
      <c r="A182" s="5" t="s">
        <v>1361</v>
      </c>
      <c r="B182" s="5" t="s">
        <v>40</v>
      </c>
      <c r="C182" s="5" t="s">
        <v>1229</v>
      </c>
      <c r="D182" s="5" t="s">
        <v>1230</v>
      </c>
      <c r="E182" s="5" t="s">
        <v>43</v>
      </c>
      <c r="F182" s="5" t="s">
        <v>1231</v>
      </c>
      <c r="G182" s="5" t="s">
        <v>1232</v>
      </c>
      <c r="H182" s="5"/>
      <c r="I182" s="11" t="s">
        <v>162</v>
      </c>
      <c r="J182" s="5" t="s">
        <v>1300</v>
      </c>
      <c r="K182" s="5" t="n">
        <f aca="false">COUNTIF(Probe_Pairs!$B:$B,A182)</f>
        <v>7</v>
      </c>
      <c r="L182" s="5" t="n">
        <f aca="false">COUNTIFS(Probe_Pairs!$B:$B,A182,Probe_Pairs!$S:$S,"Both halves")</f>
        <v>7</v>
      </c>
      <c r="M182" s="5" t="s">
        <v>137</v>
      </c>
      <c r="N182" s="5" t="s">
        <v>1362</v>
      </c>
      <c r="O182" s="5" t="s">
        <v>1302</v>
      </c>
      <c r="P182" s="5" t="s">
        <v>1233</v>
      </c>
      <c r="Q182" s="5" t="s">
        <v>68</v>
      </c>
      <c r="R182" s="5" t="s">
        <v>1231</v>
      </c>
      <c r="S182" s="5" t="n">
        <f aca="false">IF(R182="","",COUNTIFS(Probe_Pairs!$B:$B,A182,Probe_Pairs!$X:$X,"Both halves"))</f>
        <v>7</v>
      </c>
      <c r="T182" s="5" t="str">
        <f aca="false">IF(R182="","",IF(S182*2&gt;=K182,"High","Low"))</f>
        <v>High</v>
      </c>
      <c r="U182" s="5" t="s">
        <v>1234</v>
      </c>
      <c r="V182" s="5" t="s">
        <v>1235</v>
      </c>
      <c r="W182" s="5" t="s">
        <v>1236</v>
      </c>
      <c r="X182" s="5"/>
      <c r="Y182" s="7"/>
      <c r="Z182" s="7"/>
      <c r="AA182" s="7"/>
      <c r="AB182" s="7"/>
      <c r="AC182" s="7"/>
    </row>
    <row r="183" customFormat="false" ht="15" hidden="false" customHeight="false" outlineLevel="0" collapsed="false">
      <c r="A183" s="5" t="s">
        <v>1363</v>
      </c>
      <c r="B183" s="5" t="s">
        <v>40</v>
      </c>
      <c r="C183" s="5" t="s">
        <v>1364</v>
      </c>
      <c r="D183" s="5" t="s">
        <v>1365</v>
      </c>
      <c r="E183" s="5" t="s">
        <v>43</v>
      </c>
      <c r="F183" s="5" t="s">
        <v>1366</v>
      </c>
      <c r="G183" s="5" t="s">
        <v>1367</v>
      </c>
      <c r="H183" s="5"/>
      <c r="I183" s="11" t="s">
        <v>162</v>
      </c>
      <c r="J183" s="5" t="s">
        <v>1300</v>
      </c>
      <c r="K183" s="5" t="n">
        <f aca="false">COUNTIF(Probe_Pairs!$B:$B,A183)</f>
        <v>6</v>
      </c>
      <c r="L183" s="5" t="n">
        <f aca="false">COUNTIFS(Probe_Pairs!$B:$B,A183,Probe_Pairs!$S:$S,"Both halves")</f>
        <v>6</v>
      </c>
      <c r="M183" s="5"/>
      <c r="N183" s="5" t="s">
        <v>1368</v>
      </c>
      <c r="O183" s="5" t="s">
        <v>1302</v>
      </c>
      <c r="P183" s="5" t="s">
        <v>1369</v>
      </c>
      <c r="Q183" s="5" t="s">
        <v>49</v>
      </c>
      <c r="R183" s="5" t="s">
        <v>1366</v>
      </c>
      <c r="S183" s="5" t="n">
        <f aca="false">IF(R183="","",COUNTIFS(Probe_Pairs!$B:$B,A183,Probe_Pairs!$X:$X,"Both halves"))</f>
        <v>6</v>
      </c>
      <c r="T183" s="5" t="str">
        <f aca="false">IF(R183="","",IF(S183*2&gt;=K183,"High","Low"))</f>
        <v>High</v>
      </c>
      <c r="U183" s="5" t="s">
        <v>1365</v>
      </c>
      <c r="V183" s="5" t="s">
        <v>1365</v>
      </c>
      <c r="W183" s="5" t="s">
        <v>1370</v>
      </c>
      <c r="X183" s="5"/>
      <c r="Y183" s="7"/>
      <c r="Z183" s="7"/>
      <c r="AA183" s="7"/>
      <c r="AB183" s="7"/>
      <c r="AC183" s="7"/>
    </row>
    <row r="184" customFormat="false" ht="15" hidden="false" customHeight="false" outlineLevel="0" collapsed="false">
      <c r="A184" s="5" t="s">
        <v>1371</v>
      </c>
      <c r="B184" s="5" t="s">
        <v>40</v>
      </c>
      <c r="C184" s="5" t="s">
        <v>1372</v>
      </c>
      <c r="D184" s="5" t="s">
        <v>1373</v>
      </c>
      <c r="E184" s="5" t="s">
        <v>43</v>
      </c>
      <c r="F184" s="5" t="s">
        <v>1374</v>
      </c>
      <c r="G184" s="5" t="s">
        <v>1375</v>
      </c>
      <c r="H184" s="5"/>
      <c r="I184" s="11" t="s">
        <v>162</v>
      </c>
      <c r="J184" s="5" t="s">
        <v>1300</v>
      </c>
      <c r="K184" s="5" t="n">
        <f aca="false">COUNTIF(Probe_Pairs!$B:$B,A184)</f>
        <v>6</v>
      </c>
      <c r="L184" s="5" t="n">
        <f aca="false">COUNTIFS(Probe_Pairs!$B:$B,A184,Probe_Pairs!$S:$S,"Both halves")</f>
        <v>6</v>
      </c>
      <c r="M184" s="5"/>
      <c r="N184" s="5" t="s">
        <v>1372</v>
      </c>
      <c r="O184" s="5" t="s">
        <v>1302</v>
      </c>
      <c r="P184" s="5" t="s">
        <v>1376</v>
      </c>
      <c r="Q184" s="5" t="s">
        <v>49</v>
      </c>
      <c r="R184" s="5" t="s">
        <v>1374</v>
      </c>
      <c r="S184" s="5" t="n">
        <f aca="false">IF(R184="","",COUNTIFS(Probe_Pairs!$B:$B,A184,Probe_Pairs!$X:$X,"Both halves"))</f>
        <v>6</v>
      </c>
      <c r="T184" s="5" t="str">
        <f aca="false">IF(R184="","",IF(S184*2&gt;=K184,"High","Low"))</f>
        <v>High</v>
      </c>
      <c r="U184" s="5" t="s">
        <v>1373</v>
      </c>
      <c r="V184" s="5" t="s">
        <v>1377</v>
      </c>
      <c r="W184" s="5" t="s">
        <v>1378</v>
      </c>
      <c r="X184" s="5"/>
      <c r="Y184" s="7"/>
      <c r="Z184" s="7"/>
      <c r="AA184" s="7"/>
      <c r="AB184" s="7"/>
      <c r="AC184" s="7"/>
    </row>
    <row r="185" customFormat="false" ht="15" hidden="false" customHeight="false" outlineLevel="0" collapsed="false">
      <c r="A185" s="5" t="s">
        <v>1379</v>
      </c>
      <c r="B185" s="5" t="s">
        <v>40</v>
      </c>
      <c r="C185" s="5" t="s">
        <v>1380</v>
      </c>
      <c r="D185" s="5" t="s">
        <v>1381</v>
      </c>
      <c r="E185" s="5" t="s">
        <v>43</v>
      </c>
      <c r="F185" s="5" t="s">
        <v>1382</v>
      </c>
      <c r="G185" s="5"/>
      <c r="H185" s="5"/>
      <c r="I185" s="11" t="s">
        <v>162</v>
      </c>
      <c r="J185" s="5" t="s">
        <v>1300</v>
      </c>
      <c r="K185" s="5" t="n">
        <f aca="false">COUNTIF(Probe_Pairs!$B:$B,A185)</f>
        <v>6</v>
      </c>
      <c r="L185" s="5" t="n">
        <f aca="false">COUNTIFS(Probe_Pairs!$B:$B,A185,Probe_Pairs!$S:$S,"Both halves")</f>
        <v>6</v>
      </c>
      <c r="M185" s="5"/>
      <c r="N185" s="5" t="s">
        <v>1380</v>
      </c>
      <c r="O185" s="5" t="s">
        <v>1302</v>
      </c>
      <c r="P185" s="5" t="s">
        <v>1383</v>
      </c>
      <c r="Q185" s="5" t="s">
        <v>68</v>
      </c>
      <c r="R185" s="5" t="s">
        <v>1382</v>
      </c>
      <c r="S185" s="5" t="n">
        <f aca="false">IF(R185="","",COUNTIFS(Probe_Pairs!$B:$B,A185,Probe_Pairs!$X:$X,"Both halves"))</f>
        <v>6</v>
      </c>
      <c r="T185" s="5" t="str">
        <f aca="false">IF(R185="","",IF(S185*2&gt;=K185,"High","Low"))</f>
        <v>High</v>
      </c>
      <c r="U185" s="5" t="s">
        <v>1384</v>
      </c>
      <c r="V185" s="5" t="s">
        <v>1384</v>
      </c>
      <c r="W185" s="5" t="s">
        <v>1385</v>
      </c>
      <c r="X185" s="5"/>
      <c r="Y185" s="7"/>
      <c r="Z185" s="7"/>
      <c r="AA185" s="7"/>
      <c r="AB185" s="7"/>
      <c r="AC185" s="7"/>
    </row>
    <row r="186" customFormat="false" ht="15" hidden="false" customHeight="false" outlineLevel="0" collapsed="false">
      <c r="A186" s="5" t="s">
        <v>1386</v>
      </c>
      <c r="B186" s="5" t="s">
        <v>40</v>
      </c>
      <c r="C186" s="5" t="s">
        <v>1068</v>
      </c>
      <c r="D186" s="5" t="s">
        <v>1068</v>
      </c>
      <c r="E186" s="5" t="s">
        <v>43</v>
      </c>
      <c r="F186" s="5" t="s">
        <v>1069</v>
      </c>
      <c r="G186" s="5"/>
      <c r="H186" s="5" t="s">
        <v>1070</v>
      </c>
      <c r="I186" s="12" t="s">
        <v>1071</v>
      </c>
      <c r="J186" s="5" t="s">
        <v>1387</v>
      </c>
      <c r="K186" s="5" t="n">
        <f aca="false">COUNTIF(Probe_Pairs!$B:$B,A186)</f>
        <v>6</v>
      </c>
      <c r="L186" s="5" t="n">
        <f aca="false">COUNTIFS(Probe_Pairs!$B:$B,A186,Probe_Pairs!$S:$S,"Both halves")</f>
        <v>6</v>
      </c>
      <c r="M186" s="5" t="s">
        <v>137</v>
      </c>
      <c r="N186" s="5" t="s">
        <v>1388</v>
      </c>
      <c r="O186" s="5" t="s">
        <v>1389</v>
      </c>
      <c r="P186" s="5" t="s">
        <v>1072</v>
      </c>
      <c r="Q186" s="5" t="s">
        <v>68</v>
      </c>
      <c r="R186" s="5" t="s">
        <v>1069</v>
      </c>
      <c r="S186" s="5" t="n">
        <f aca="false">IF(R186="","",COUNTIFS(Probe_Pairs!$B:$B,A186,Probe_Pairs!$X:$X,"Both halves"))</f>
        <v>3</v>
      </c>
      <c r="T186" s="5" t="str">
        <f aca="false">IF(R186="","",IF(S186*2&gt;=K186,"High","Low"))</f>
        <v>High</v>
      </c>
      <c r="U186" s="5" t="s">
        <v>1073</v>
      </c>
      <c r="V186" s="5" t="s">
        <v>1074</v>
      </c>
      <c r="W186" s="5" t="s">
        <v>1075</v>
      </c>
      <c r="X186" s="8" t="s">
        <v>235</v>
      </c>
      <c r="Y186" s="7"/>
      <c r="Z186" s="7"/>
      <c r="AA186" s="7"/>
      <c r="AB186" s="7"/>
      <c r="AC186" s="7"/>
    </row>
    <row r="187" customFormat="false" ht="15" hidden="false" customHeight="false" outlineLevel="0" collapsed="false">
      <c r="A187" s="5" t="s">
        <v>1390</v>
      </c>
      <c r="B187" s="5" t="s">
        <v>40</v>
      </c>
      <c r="C187" s="5" t="s">
        <v>371</v>
      </c>
      <c r="D187" s="5" t="s">
        <v>372</v>
      </c>
      <c r="E187" s="5" t="s">
        <v>43</v>
      </c>
      <c r="F187" s="5" t="s">
        <v>373</v>
      </c>
      <c r="G187" s="5"/>
      <c r="H187" s="5" t="s">
        <v>374</v>
      </c>
      <c r="I187" s="12" t="s">
        <v>1071</v>
      </c>
      <c r="J187" s="5" t="s">
        <v>1387</v>
      </c>
      <c r="K187" s="5" t="n">
        <f aca="false">COUNTIF(Probe_Pairs!$B:$B,A187)</f>
        <v>6</v>
      </c>
      <c r="L187" s="5" t="n">
        <f aca="false">COUNTIFS(Probe_Pairs!$B:$B,A187,Probe_Pairs!$S:$S,"Both halves")</f>
        <v>6</v>
      </c>
      <c r="M187" s="5" t="s">
        <v>923</v>
      </c>
      <c r="N187" s="5" t="s">
        <v>371</v>
      </c>
      <c r="O187" s="5" t="s">
        <v>1389</v>
      </c>
      <c r="P187" s="5" t="s">
        <v>376</v>
      </c>
      <c r="Q187" s="5" t="s">
        <v>68</v>
      </c>
      <c r="R187" s="5" t="s">
        <v>373</v>
      </c>
      <c r="S187" s="5" t="n">
        <f aca="false">IF(R187="","",COUNTIFS(Probe_Pairs!$B:$B,A187,Probe_Pairs!$X:$X,"Both halves"))</f>
        <v>3</v>
      </c>
      <c r="T187" s="5" t="str">
        <f aca="false">IF(R187="","",IF(S187*2&gt;=K187,"High","Low"))</f>
        <v>High</v>
      </c>
      <c r="U187" s="5" t="s">
        <v>377</v>
      </c>
      <c r="V187" s="5" t="s">
        <v>377</v>
      </c>
      <c r="W187" s="5" t="s">
        <v>378</v>
      </c>
      <c r="X187" s="5"/>
      <c r="Y187" s="7"/>
      <c r="Z187" s="7"/>
      <c r="AA187" s="7"/>
      <c r="AB187" s="7"/>
      <c r="AC187" s="7"/>
    </row>
    <row r="188" customFormat="false" ht="15" hidden="false" customHeight="false" outlineLevel="0" collapsed="false">
      <c r="A188" s="5" t="s">
        <v>1391</v>
      </c>
      <c r="B188" s="5" t="s">
        <v>40</v>
      </c>
      <c r="C188" s="5" t="s">
        <v>1392</v>
      </c>
      <c r="D188" s="5" t="s">
        <v>1393</v>
      </c>
      <c r="E188" s="5" t="s">
        <v>1394</v>
      </c>
      <c r="F188" s="5" t="s">
        <v>1395</v>
      </c>
      <c r="G188" s="5" t="s">
        <v>1396</v>
      </c>
      <c r="H188" s="5" t="s">
        <v>1397</v>
      </c>
      <c r="I188" s="6" t="s">
        <v>45</v>
      </c>
      <c r="J188" s="5" t="s">
        <v>46</v>
      </c>
      <c r="K188" s="5" t="n">
        <f aca="false">COUNTIF(Probe_Pairs!$B:$B,A188)</f>
        <v>6</v>
      </c>
      <c r="L188" s="5" t="n">
        <f aca="false">COUNTIFS(Probe_Pairs!$B:$B,A188,Probe_Pairs!$S:$S,"Both halves")</f>
        <v>6</v>
      </c>
      <c r="M188" s="5"/>
      <c r="N188" s="5" t="s">
        <v>1392</v>
      </c>
      <c r="O188" s="5" t="s">
        <v>1398</v>
      </c>
      <c r="P188" s="5" t="s">
        <v>1399</v>
      </c>
      <c r="Q188" s="5" t="s">
        <v>49</v>
      </c>
      <c r="R188" s="5"/>
      <c r="S188" s="5" t="str">
        <f aca="false">IF(R188="","",COUNTIFS(Probe_Pairs!$B:$B,A188,Probe_Pairs!$X:$X,"Both halves"))</f>
        <v/>
      </c>
      <c r="T188" s="5" t="str">
        <f aca="false">IF(R188="","",IF(S188*2&gt;=K188,"High","Low"))</f>
        <v/>
      </c>
      <c r="U188" s="5"/>
      <c r="V188" s="5"/>
      <c r="W188" s="5"/>
      <c r="X188" s="5"/>
      <c r="Y188" s="7"/>
      <c r="Z188" s="7"/>
      <c r="AA188" s="7"/>
      <c r="AB188" s="7"/>
      <c r="AC188" s="7"/>
    </row>
    <row r="189" customFormat="false" ht="15" hidden="false" customHeight="false" outlineLevel="0" collapsed="false">
      <c r="A189" s="5" t="s">
        <v>1400</v>
      </c>
      <c r="B189" s="5" t="s">
        <v>40</v>
      </c>
      <c r="C189" s="5" t="s">
        <v>1401</v>
      </c>
      <c r="D189" s="5" t="s">
        <v>1402</v>
      </c>
      <c r="E189" s="5" t="s">
        <v>1394</v>
      </c>
      <c r="F189" s="5" t="s">
        <v>1403</v>
      </c>
      <c r="G189" s="5" t="s">
        <v>1404</v>
      </c>
      <c r="H189" s="5"/>
      <c r="I189" s="6" t="s">
        <v>45</v>
      </c>
      <c r="J189" s="5" t="s">
        <v>46</v>
      </c>
      <c r="K189" s="5" t="n">
        <f aca="false">COUNTIF(Probe_Pairs!$B:$B,A189)</f>
        <v>8</v>
      </c>
      <c r="L189" s="5" t="n">
        <f aca="false">COUNTIFS(Probe_Pairs!$B:$B,A189,Probe_Pairs!$S:$S,"Both halves")</f>
        <v>8</v>
      </c>
      <c r="M189" s="5"/>
      <c r="N189" s="5" t="s">
        <v>1401</v>
      </c>
      <c r="O189" s="5" t="s">
        <v>1398</v>
      </c>
      <c r="P189" s="5" t="s">
        <v>1405</v>
      </c>
      <c r="Q189" s="5" t="s">
        <v>49</v>
      </c>
      <c r="R189" s="5"/>
      <c r="S189" s="5" t="str">
        <f aca="false">IF(R189="","",COUNTIFS(Probe_Pairs!$B:$B,A189,Probe_Pairs!$X:$X,"Both halves"))</f>
        <v/>
      </c>
      <c r="T189" s="5" t="str">
        <f aca="false">IF(R189="","",IF(S189*2&gt;=K189,"High","Low"))</f>
        <v/>
      </c>
      <c r="U189" s="5"/>
      <c r="V189" s="5"/>
      <c r="W189" s="5"/>
      <c r="X189" s="5"/>
      <c r="Y189" s="7"/>
      <c r="Z189" s="7"/>
      <c r="AA189" s="7"/>
      <c r="AB189" s="7"/>
      <c r="AC189" s="7"/>
    </row>
    <row r="190" customFormat="false" ht="15" hidden="false" customHeight="false" outlineLevel="0" collapsed="false">
      <c r="A190" s="5" t="s">
        <v>1406</v>
      </c>
      <c r="B190" s="5" t="s">
        <v>40</v>
      </c>
      <c r="C190" s="5" t="s">
        <v>1407</v>
      </c>
      <c r="D190" s="5" t="s">
        <v>1408</v>
      </c>
      <c r="E190" s="5" t="s">
        <v>1394</v>
      </c>
      <c r="F190" s="5" t="s">
        <v>1409</v>
      </c>
      <c r="G190" s="5" t="s">
        <v>1410</v>
      </c>
      <c r="H190" s="5"/>
      <c r="I190" s="6" t="s">
        <v>45</v>
      </c>
      <c r="J190" s="5" t="s">
        <v>46</v>
      </c>
      <c r="K190" s="5" t="n">
        <f aca="false">COUNTIF(Probe_Pairs!$B:$B,A190)</f>
        <v>8</v>
      </c>
      <c r="L190" s="5" t="n">
        <f aca="false">COUNTIFS(Probe_Pairs!$B:$B,A190,Probe_Pairs!$S:$S,"Both halves")</f>
        <v>8</v>
      </c>
      <c r="M190" s="5"/>
      <c r="N190" s="5" t="s">
        <v>1407</v>
      </c>
      <c r="O190" s="5" t="s">
        <v>1398</v>
      </c>
      <c r="P190" s="5" t="s">
        <v>1411</v>
      </c>
      <c r="Q190" s="5" t="s">
        <v>49</v>
      </c>
      <c r="R190" s="5"/>
      <c r="S190" s="5" t="str">
        <f aca="false">IF(R190="","",COUNTIFS(Probe_Pairs!$B:$B,A190,Probe_Pairs!$X:$X,"Both halves"))</f>
        <v/>
      </c>
      <c r="T190" s="5" t="str">
        <f aca="false">IF(R190="","",IF(S190*2&gt;=K190,"High","Low"))</f>
        <v/>
      </c>
      <c r="U190" s="5"/>
      <c r="V190" s="5"/>
      <c r="W190" s="5"/>
      <c r="X190" s="5"/>
      <c r="Y190" s="7"/>
      <c r="Z190" s="7"/>
      <c r="AA190" s="7"/>
      <c r="AB190" s="7"/>
      <c r="AC190" s="7"/>
    </row>
    <row r="191" customFormat="false" ht="15" hidden="false" customHeight="false" outlineLevel="0" collapsed="false">
      <c r="A191" s="5" t="s">
        <v>1412</v>
      </c>
      <c r="B191" s="5" t="s">
        <v>40</v>
      </c>
      <c r="C191" s="5" t="s">
        <v>1413</v>
      </c>
      <c r="D191" s="5" t="s">
        <v>1414</v>
      </c>
      <c r="E191" s="5" t="s">
        <v>1394</v>
      </c>
      <c r="F191" s="5" t="s">
        <v>1415</v>
      </c>
      <c r="G191" s="5" t="s">
        <v>1416</v>
      </c>
      <c r="H191" s="5" t="s">
        <v>1417</v>
      </c>
      <c r="I191" s="6" t="s">
        <v>45</v>
      </c>
      <c r="J191" s="5" t="s">
        <v>46</v>
      </c>
      <c r="K191" s="5" t="n">
        <f aca="false">COUNTIF(Probe_Pairs!$B:$B,A191)</f>
        <v>6</v>
      </c>
      <c r="L191" s="5" t="n">
        <f aca="false">COUNTIFS(Probe_Pairs!$B:$B,A191,Probe_Pairs!$S:$S,"Both halves")</f>
        <v>6</v>
      </c>
      <c r="M191" s="5"/>
      <c r="N191" s="5" t="s">
        <v>1413</v>
      </c>
      <c r="O191" s="5" t="s">
        <v>1398</v>
      </c>
      <c r="P191" s="5" t="s">
        <v>1418</v>
      </c>
      <c r="Q191" s="5" t="s">
        <v>49</v>
      </c>
      <c r="R191" s="5"/>
      <c r="S191" s="5" t="str">
        <f aca="false">IF(R191="","",COUNTIFS(Probe_Pairs!$B:$B,A191,Probe_Pairs!$X:$X,"Both halves"))</f>
        <v/>
      </c>
      <c r="T191" s="5" t="str">
        <f aca="false">IF(R191="","",IF(S191*2&gt;=K191,"High","Low"))</f>
        <v/>
      </c>
      <c r="U191" s="5"/>
      <c r="V191" s="5"/>
      <c r="W191" s="5"/>
      <c r="X191" s="5"/>
      <c r="Y191" s="7"/>
      <c r="Z191" s="7"/>
      <c r="AA191" s="7"/>
      <c r="AB191" s="7"/>
      <c r="AC191" s="7"/>
    </row>
    <row r="192" customFormat="false" ht="15" hidden="false" customHeight="false" outlineLevel="0" collapsed="false">
      <c r="A192" s="5" t="s">
        <v>1419</v>
      </c>
      <c r="B192" s="5" t="s">
        <v>40</v>
      </c>
      <c r="C192" s="5" t="s">
        <v>1420</v>
      </c>
      <c r="D192" s="5" t="s">
        <v>1421</v>
      </c>
      <c r="E192" s="5" t="s">
        <v>1394</v>
      </c>
      <c r="F192" s="5" t="s">
        <v>1422</v>
      </c>
      <c r="G192" s="5" t="s">
        <v>1423</v>
      </c>
      <c r="H192" s="5" t="s">
        <v>1424</v>
      </c>
      <c r="I192" s="6" t="s">
        <v>45</v>
      </c>
      <c r="J192" s="5" t="s">
        <v>46</v>
      </c>
      <c r="K192" s="5" t="n">
        <f aca="false">COUNTIF(Probe_Pairs!$B:$B,A192)</f>
        <v>8</v>
      </c>
      <c r="L192" s="5" t="n">
        <f aca="false">COUNTIFS(Probe_Pairs!$B:$B,A192,Probe_Pairs!$S:$S,"Both halves")</f>
        <v>8</v>
      </c>
      <c r="M192" s="5"/>
      <c r="N192" s="5" t="s">
        <v>1420</v>
      </c>
      <c r="O192" s="5" t="s">
        <v>1398</v>
      </c>
      <c r="P192" s="5" t="s">
        <v>1425</v>
      </c>
      <c r="Q192" s="5" t="s">
        <v>49</v>
      </c>
      <c r="R192" s="5"/>
      <c r="S192" s="5" t="str">
        <f aca="false">IF(R192="","",COUNTIFS(Probe_Pairs!$B:$B,A192,Probe_Pairs!$X:$X,"Both halves"))</f>
        <v/>
      </c>
      <c r="T192" s="5" t="str">
        <f aca="false">IF(R192="","",IF(S192*2&gt;=K192,"High","Low"))</f>
        <v/>
      </c>
      <c r="U192" s="5"/>
      <c r="V192" s="5"/>
      <c r="W192" s="5"/>
      <c r="X192" s="5"/>
      <c r="Y192" s="7"/>
      <c r="Z192" s="7"/>
      <c r="AA192" s="7"/>
      <c r="AB192" s="7"/>
      <c r="AC192" s="7"/>
    </row>
    <row r="193" customFormat="false" ht="15" hidden="false" customHeight="false" outlineLevel="0" collapsed="false">
      <c r="A193" s="5" t="s">
        <v>1426</v>
      </c>
      <c r="B193" s="5" t="s">
        <v>40</v>
      </c>
      <c r="C193" s="5" t="s">
        <v>1427</v>
      </c>
      <c r="D193" s="5" t="s">
        <v>1428</v>
      </c>
      <c r="E193" s="5" t="s">
        <v>1394</v>
      </c>
      <c r="F193" s="5" t="s">
        <v>1429</v>
      </c>
      <c r="G193" s="5" t="s">
        <v>1430</v>
      </c>
      <c r="H193" s="5" t="s">
        <v>1431</v>
      </c>
      <c r="I193" s="6" t="s">
        <v>45</v>
      </c>
      <c r="J193" s="5" t="s">
        <v>46</v>
      </c>
      <c r="K193" s="5" t="n">
        <f aca="false">COUNTIF(Probe_Pairs!$B:$B,A193)</f>
        <v>12</v>
      </c>
      <c r="L193" s="5" t="n">
        <f aca="false">COUNTIFS(Probe_Pairs!$B:$B,A193,Probe_Pairs!$S:$S,"Both halves")</f>
        <v>12</v>
      </c>
      <c r="M193" s="5"/>
      <c r="N193" s="5" t="s">
        <v>1427</v>
      </c>
      <c r="O193" s="5" t="s">
        <v>1432</v>
      </c>
      <c r="P193" s="5" t="s">
        <v>1433</v>
      </c>
      <c r="Q193" s="5" t="s">
        <v>49</v>
      </c>
      <c r="R193" s="5"/>
      <c r="S193" s="5" t="str">
        <f aca="false">IF(R193="","",COUNTIFS(Probe_Pairs!$B:$B,A193,Probe_Pairs!$X:$X,"Both halves"))</f>
        <v/>
      </c>
      <c r="T193" s="5" t="str">
        <f aca="false">IF(R193="","",IF(S193*2&gt;=K193,"High","Low"))</f>
        <v/>
      </c>
      <c r="U193" s="5"/>
      <c r="V193" s="5"/>
      <c r="W193" s="5"/>
      <c r="X193" s="5"/>
      <c r="Y193" s="7"/>
      <c r="Z193" s="7"/>
      <c r="AA193" s="7"/>
      <c r="AB193" s="7"/>
      <c r="AC193" s="7"/>
    </row>
    <row r="194" customFormat="false" ht="15" hidden="false" customHeight="false" outlineLevel="0" collapsed="false">
      <c r="A194" s="5" t="s">
        <v>1434</v>
      </c>
      <c r="B194" s="5" t="s">
        <v>40</v>
      </c>
      <c r="C194" s="5" t="s">
        <v>1435</v>
      </c>
      <c r="D194" s="5" t="s">
        <v>1436</v>
      </c>
      <c r="E194" s="5" t="s">
        <v>1394</v>
      </c>
      <c r="F194" s="5" t="s">
        <v>1437</v>
      </c>
      <c r="G194" s="5" t="s">
        <v>1438</v>
      </c>
      <c r="H194" s="5" t="s">
        <v>1439</v>
      </c>
      <c r="I194" s="6" t="s">
        <v>45</v>
      </c>
      <c r="J194" s="5" t="s">
        <v>46</v>
      </c>
      <c r="K194" s="5" t="n">
        <f aca="false">COUNTIF(Probe_Pairs!$B:$B,A194)</f>
        <v>8</v>
      </c>
      <c r="L194" s="5" t="n">
        <f aca="false">COUNTIFS(Probe_Pairs!$B:$B,A194,Probe_Pairs!$S:$S,"Both halves")</f>
        <v>8</v>
      </c>
      <c r="M194" s="5"/>
      <c r="N194" s="5" t="s">
        <v>1435</v>
      </c>
      <c r="O194" s="5" t="s">
        <v>1398</v>
      </c>
      <c r="P194" s="5" t="s">
        <v>1440</v>
      </c>
      <c r="Q194" s="5" t="s">
        <v>49</v>
      </c>
      <c r="R194" s="5"/>
      <c r="S194" s="5" t="str">
        <f aca="false">IF(R194="","",COUNTIFS(Probe_Pairs!$B:$B,A194,Probe_Pairs!$X:$X,"Both halves"))</f>
        <v/>
      </c>
      <c r="T194" s="5" t="str">
        <f aca="false">IF(R194="","",IF(S194*2&gt;=K194,"High","Low"))</f>
        <v/>
      </c>
      <c r="U194" s="5"/>
      <c r="V194" s="5"/>
      <c r="W194" s="5"/>
      <c r="X194" s="5"/>
      <c r="Y194" s="7"/>
      <c r="Z194" s="7"/>
      <c r="AA194" s="7"/>
      <c r="AB194" s="7"/>
      <c r="AC194" s="7"/>
    </row>
    <row r="195" customFormat="false" ht="15" hidden="false" customHeight="false" outlineLevel="0" collapsed="false">
      <c r="A195" s="5" t="s">
        <v>1441</v>
      </c>
      <c r="B195" s="5" t="s">
        <v>40</v>
      </c>
      <c r="C195" s="5" t="s">
        <v>1442</v>
      </c>
      <c r="D195" s="5" t="s">
        <v>1443</v>
      </c>
      <c r="E195" s="5" t="s">
        <v>1394</v>
      </c>
      <c r="F195" s="5" t="s">
        <v>1444</v>
      </c>
      <c r="G195" s="5" t="s">
        <v>1445</v>
      </c>
      <c r="H195" s="5" t="s">
        <v>1446</v>
      </c>
      <c r="I195" s="9" t="s">
        <v>66</v>
      </c>
      <c r="J195" s="5" t="s">
        <v>587</v>
      </c>
      <c r="K195" s="5" t="n">
        <f aca="false">COUNTIF(Probe_Pairs!$B:$B,A195)</f>
        <v>6</v>
      </c>
      <c r="L195" s="5" t="n">
        <f aca="false">COUNTIFS(Probe_Pairs!$B:$B,A195,Probe_Pairs!$S:$S,"Both halves")</f>
        <v>6</v>
      </c>
      <c r="M195" s="5"/>
      <c r="N195" s="5" t="s">
        <v>1442</v>
      </c>
      <c r="O195" s="5" t="s">
        <v>1398</v>
      </c>
      <c r="P195" s="5" t="s">
        <v>1447</v>
      </c>
      <c r="Q195" s="5" t="s">
        <v>49</v>
      </c>
      <c r="R195" s="5"/>
      <c r="S195" s="5" t="str">
        <f aca="false">IF(R195="","",COUNTIFS(Probe_Pairs!$B:$B,A195,Probe_Pairs!$X:$X,"Both halves"))</f>
        <v/>
      </c>
      <c r="T195" s="5" t="str">
        <f aca="false">IF(R195="","",IF(S195*2&gt;=K195,"High","Low"))</f>
        <v/>
      </c>
      <c r="U195" s="5"/>
      <c r="V195" s="5"/>
      <c r="W195" s="5"/>
      <c r="X195" s="5"/>
      <c r="Y195" s="7"/>
      <c r="Z195" s="7"/>
      <c r="AA195" s="7"/>
      <c r="AB195" s="7"/>
      <c r="AC195" s="7"/>
    </row>
    <row r="196" customFormat="false" ht="15" hidden="false" customHeight="false" outlineLevel="0" collapsed="false">
      <c r="A196" s="5" t="s">
        <v>1448</v>
      </c>
      <c r="B196" s="5" t="s">
        <v>40</v>
      </c>
      <c r="C196" s="5" t="s">
        <v>1449</v>
      </c>
      <c r="D196" s="5" t="s">
        <v>1450</v>
      </c>
      <c r="E196" s="5" t="s">
        <v>1394</v>
      </c>
      <c r="F196" s="5" t="s">
        <v>1451</v>
      </c>
      <c r="G196" s="5" t="s">
        <v>1452</v>
      </c>
      <c r="H196" s="5"/>
      <c r="I196" s="9" t="s">
        <v>66</v>
      </c>
      <c r="J196" s="5" t="s">
        <v>587</v>
      </c>
      <c r="K196" s="5" t="n">
        <f aca="false">COUNTIF(Probe_Pairs!$B:$B,A196)</f>
        <v>8</v>
      </c>
      <c r="L196" s="5" t="n">
        <f aca="false">COUNTIFS(Probe_Pairs!$B:$B,A196,Probe_Pairs!$S:$S,"Both halves")</f>
        <v>8</v>
      </c>
      <c r="M196" s="5"/>
      <c r="N196" s="5" t="s">
        <v>1449</v>
      </c>
      <c r="O196" s="5" t="s">
        <v>1398</v>
      </c>
      <c r="P196" s="5" t="s">
        <v>1453</v>
      </c>
      <c r="Q196" s="5" t="s">
        <v>49</v>
      </c>
      <c r="R196" s="5"/>
      <c r="S196" s="5" t="str">
        <f aca="false">IF(R196="","",COUNTIFS(Probe_Pairs!$B:$B,A196,Probe_Pairs!$X:$X,"Both halves"))</f>
        <v/>
      </c>
      <c r="T196" s="5" t="str">
        <f aca="false">IF(R196="","",IF(S196*2&gt;=K196,"High","Low"))</f>
        <v/>
      </c>
      <c r="U196" s="5"/>
      <c r="V196" s="5"/>
      <c r="W196" s="5"/>
      <c r="X196" s="5"/>
      <c r="Y196" s="7"/>
      <c r="Z196" s="7"/>
      <c r="AA196" s="7"/>
      <c r="AB196" s="7"/>
      <c r="AC196" s="7"/>
    </row>
    <row r="197" customFormat="false" ht="15" hidden="false" customHeight="false" outlineLevel="0" collapsed="false">
      <c r="A197" s="5" t="s">
        <v>1454</v>
      </c>
      <c r="B197" s="5" t="s">
        <v>40</v>
      </c>
      <c r="C197" s="5" t="s">
        <v>1455</v>
      </c>
      <c r="D197" s="5" t="s">
        <v>1456</v>
      </c>
      <c r="E197" s="5" t="s">
        <v>1394</v>
      </c>
      <c r="F197" s="5" t="s">
        <v>1457</v>
      </c>
      <c r="G197" s="5" t="s">
        <v>1458</v>
      </c>
      <c r="H197" s="5"/>
      <c r="I197" s="9" t="s">
        <v>66</v>
      </c>
      <c r="J197" s="5" t="s">
        <v>587</v>
      </c>
      <c r="K197" s="5" t="n">
        <f aca="false">COUNTIF(Probe_Pairs!$B:$B,A197)</f>
        <v>8</v>
      </c>
      <c r="L197" s="5" t="n">
        <f aca="false">COUNTIFS(Probe_Pairs!$B:$B,A197,Probe_Pairs!$S:$S,"Both halves")</f>
        <v>8</v>
      </c>
      <c r="M197" s="5"/>
      <c r="N197" s="5" t="s">
        <v>1455</v>
      </c>
      <c r="O197" s="5" t="s">
        <v>1398</v>
      </c>
      <c r="P197" s="5" t="s">
        <v>1459</v>
      </c>
      <c r="Q197" s="5" t="s">
        <v>49</v>
      </c>
      <c r="R197" s="5"/>
      <c r="S197" s="5" t="str">
        <f aca="false">IF(R197="","",COUNTIFS(Probe_Pairs!$B:$B,A197,Probe_Pairs!$X:$X,"Both halves"))</f>
        <v/>
      </c>
      <c r="T197" s="5" t="str">
        <f aca="false">IF(R197="","",IF(S197*2&gt;=K197,"High","Low"))</f>
        <v/>
      </c>
      <c r="U197" s="5"/>
      <c r="V197" s="5"/>
      <c r="W197" s="5"/>
      <c r="X197" s="5"/>
      <c r="Y197" s="7"/>
      <c r="Z197" s="7"/>
      <c r="AA197" s="7"/>
      <c r="AB197" s="7"/>
      <c r="AC197" s="7"/>
    </row>
    <row r="198" customFormat="false" ht="15" hidden="false" customHeight="false" outlineLevel="0" collapsed="false">
      <c r="A198" s="5" t="s">
        <v>1460</v>
      </c>
      <c r="B198" s="5" t="s">
        <v>40</v>
      </c>
      <c r="C198" s="5" t="s">
        <v>1461</v>
      </c>
      <c r="D198" s="5" t="s">
        <v>1462</v>
      </c>
      <c r="E198" s="5" t="s">
        <v>1394</v>
      </c>
      <c r="F198" s="5" t="s">
        <v>1463</v>
      </c>
      <c r="G198" s="5" t="s">
        <v>1464</v>
      </c>
      <c r="H198" s="5"/>
      <c r="I198" s="9" t="s">
        <v>66</v>
      </c>
      <c r="J198" s="5" t="s">
        <v>587</v>
      </c>
      <c r="K198" s="5" t="n">
        <f aca="false">COUNTIF(Probe_Pairs!$B:$B,A198)</f>
        <v>8</v>
      </c>
      <c r="L198" s="5" t="n">
        <f aca="false">COUNTIFS(Probe_Pairs!$B:$B,A198,Probe_Pairs!$S:$S,"Both halves")</f>
        <v>8</v>
      </c>
      <c r="M198" s="5"/>
      <c r="N198" s="5" t="s">
        <v>1465</v>
      </c>
      <c r="O198" s="5" t="s">
        <v>1398</v>
      </c>
      <c r="P198" s="5" t="s">
        <v>1466</v>
      </c>
      <c r="Q198" s="5" t="s">
        <v>49</v>
      </c>
      <c r="R198" s="5"/>
      <c r="S198" s="5" t="str">
        <f aca="false">IF(R198="","",COUNTIFS(Probe_Pairs!$B:$B,A198,Probe_Pairs!$X:$X,"Both halves"))</f>
        <v/>
      </c>
      <c r="T198" s="5" t="str">
        <f aca="false">IF(R198="","",IF(S198*2&gt;=K198,"High","Low"))</f>
        <v/>
      </c>
      <c r="U198" s="5"/>
      <c r="V198" s="5"/>
      <c r="W198" s="5"/>
      <c r="X198" s="5"/>
      <c r="Y198" s="7"/>
      <c r="Z198" s="7"/>
      <c r="AA198" s="7"/>
      <c r="AB198" s="7"/>
      <c r="AC198" s="7"/>
    </row>
    <row r="199" customFormat="false" ht="15" hidden="false" customHeight="false" outlineLevel="0" collapsed="false">
      <c r="A199" s="5" t="s">
        <v>1467</v>
      </c>
      <c r="B199" s="5" t="s">
        <v>40</v>
      </c>
      <c r="C199" s="5" t="s">
        <v>1468</v>
      </c>
      <c r="D199" s="5" t="s">
        <v>1469</v>
      </c>
      <c r="E199" s="5" t="s">
        <v>1394</v>
      </c>
      <c r="F199" s="5" t="s">
        <v>1470</v>
      </c>
      <c r="G199" s="5" t="s">
        <v>1471</v>
      </c>
      <c r="H199" s="5" t="s">
        <v>1472</v>
      </c>
      <c r="I199" s="9" t="s">
        <v>66</v>
      </c>
      <c r="J199" s="5" t="s">
        <v>587</v>
      </c>
      <c r="K199" s="5" t="n">
        <f aca="false">COUNTIF(Probe_Pairs!$B:$B,A199)</f>
        <v>6</v>
      </c>
      <c r="L199" s="5" t="n">
        <f aca="false">COUNTIFS(Probe_Pairs!$B:$B,A199,Probe_Pairs!$S:$S,"Both halves")</f>
        <v>6</v>
      </c>
      <c r="M199" s="5"/>
      <c r="N199" s="5" t="s">
        <v>1468</v>
      </c>
      <c r="O199" s="5" t="s">
        <v>1398</v>
      </c>
      <c r="P199" s="5" t="s">
        <v>1473</v>
      </c>
      <c r="Q199" s="5" t="s">
        <v>49</v>
      </c>
      <c r="R199" s="5"/>
      <c r="S199" s="5" t="str">
        <f aca="false">IF(R199="","",COUNTIFS(Probe_Pairs!$B:$B,A199,Probe_Pairs!$X:$X,"Both halves"))</f>
        <v/>
      </c>
      <c r="T199" s="5" t="str">
        <f aca="false">IF(R199="","",IF(S199*2&gt;=K199,"High","Low"))</f>
        <v/>
      </c>
      <c r="U199" s="5"/>
      <c r="V199" s="5"/>
      <c r="W199" s="5"/>
      <c r="X199" s="5"/>
      <c r="Y199" s="7"/>
      <c r="Z199" s="7"/>
      <c r="AA199" s="7"/>
      <c r="AB199" s="7"/>
      <c r="AC199" s="7"/>
    </row>
    <row r="200" customFormat="false" ht="15" hidden="false" customHeight="false" outlineLevel="0" collapsed="false">
      <c r="A200" s="5" t="s">
        <v>1474</v>
      </c>
      <c r="B200" s="5" t="s">
        <v>40</v>
      </c>
      <c r="C200" s="5" t="s">
        <v>1475</v>
      </c>
      <c r="D200" s="5" t="s">
        <v>1476</v>
      </c>
      <c r="E200" s="5" t="s">
        <v>1394</v>
      </c>
      <c r="F200" s="5" t="s">
        <v>1477</v>
      </c>
      <c r="G200" s="5" t="s">
        <v>1478</v>
      </c>
      <c r="H200" s="5" t="s">
        <v>1479</v>
      </c>
      <c r="I200" s="9" t="s">
        <v>66</v>
      </c>
      <c r="J200" s="5" t="s">
        <v>587</v>
      </c>
      <c r="K200" s="5" t="n">
        <f aca="false">COUNTIF(Probe_Pairs!$B:$B,A200)</f>
        <v>8</v>
      </c>
      <c r="L200" s="5" t="n">
        <f aca="false">COUNTIFS(Probe_Pairs!$B:$B,A200,Probe_Pairs!$S:$S,"Both halves")</f>
        <v>8</v>
      </c>
      <c r="M200" s="5"/>
      <c r="N200" s="5" t="s">
        <v>1475</v>
      </c>
      <c r="O200" s="5" t="s">
        <v>1398</v>
      </c>
      <c r="P200" s="5" t="s">
        <v>1480</v>
      </c>
      <c r="Q200" s="5" t="s">
        <v>49</v>
      </c>
      <c r="R200" s="5"/>
      <c r="S200" s="5" t="str">
        <f aca="false">IF(R200="","",COUNTIFS(Probe_Pairs!$B:$B,A200,Probe_Pairs!$X:$X,"Both halves"))</f>
        <v/>
      </c>
      <c r="T200" s="5" t="str">
        <f aca="false">IF(R200="","",IF(S200*2&gt;=K200,"High","Low"))</f>
        <v/>
      </c>
      <c r="U200" s="5"/>
      <c r="V200" s="5"/>
      <c r="W200" s="5"/>
      <c r="X200" s="5"/>
      <c r="Y200" s="7"/>
      <c r="Z200" s="7"/>
      <c r="AA200" s="7"/>
      <c r="AB200" s="7"/>
      <c r="AC200" s="7"/>
    </row>
    <row r="201" customFormat="false" ht="15" hidden="false" customHeight="false" outlineLevel="0" collapsed="false">
      <c r="A201" s="5" t="s">
        <v>1481</v>
      </c>
      <c r="B201" s="5" t="s">
        <v>40</v>
      </c>
      <c r="C201" s="5" t="s">
        <v>1482</v>
      </c>
      <c r="D201" s="5" t="s">
        <v>1483</v>
      </c>
      <c r="E201" s="5" t="s">
        <v>1394</v>
      </c>
      <c r="F201" s="5" t="s">
        <v>1484</v>
      </c>
      <c r="G201" s="5" t="s">
        <v>1485</v>
      </c>
      <c r="H201" s="5" t="s">
        <v>1486</v>
      </c>
      <c r="I201" s="9" t="s">
        <v>66</v>
      </c>
      <c r="J201" s="5" t="s">
        <v>587</v>
      </c>
      <c r="K201" s="5" t="n">
        <f aca="false">COUNTIF(Probe_Pairs!$B:$B,A201)</f>
        <v>8</v>
      </c>
      <c r="L201" s="5" t="n">
        <f aca="false">COUNTIFS(Probe_Pairs!$B:$B,A201,Probe_Pairs!$S:$S,"Both halves")</f>
        <v>8</v>
      </c>
      <c r="M201" s="5" t="s">
        <v>137</v>
      </c>
      <c r="N201" s="5" t="s">
        <v>1482</v>
      </c>
      <c r="O201" s="5" t="s">
        <v>1398</v>
      </c>
      <c r="P201" s="5" t="s">
        <v>1487</v>
      </c>
      <c r="Q201" s="5" t="s">
        <v>49</v>
      </c>
      <c r="R201" s="5"/>
      <c r="S201" s="5" t="str">
        <f aca="false">IF(R201="","",COUNTIFS(Probe_Pairs!$B:$B,A201,Probe_Pairs!$X:$X,"Both halves"))</f>
        <v/>
      </c>
      <c r="T201" s="5" t="str">
        <f aca="false">IF(R201="","",IF(S201*2&gt;=K201,"High","Low"))</f>
        <v/>
      </c>
      <c r="U201" s="5"/>
      <c r="V201" s="5"/>
      <c r="W201" s="5"/>
      <c r="X201" s="5"/>
      <c r="Y201" s="7"/>
      <c r="Z201" s="7"/>
      <c r="AA201" s="7"/>
      <c r="AB201" s="7"/>
      <c r="AC201" s="7"/>
    </row>
    <row r="202" customFormat="false" ht="15" hidden="false" customHeight="false" outlineLevel="0" collapsed="false">
      <c r="A202" s="5" t="s">
        <v>1488</v>
      </c>
      <c r="B202" s="5" t="s">
        <v>40</v>
      </c>
      <c r="C202" s="5" t="s">
        <v>1489</v>
      </c>
      <c r="D202" s="5" t="s">
        <v>1489</v>
      </c>
      <c r="E202" s="5" t="s">
        <v>1394</v>
      </c>
      <c r="F202" s="5"/>
      <c r="G202" s="5" t="s">
        <v>1490</v>
      </c>
      <c r="H202" s="5"/>
      <c r="I202" s="9" t="s">
        <v>66</v>
      </c>
      <c r="J202" s="5" t="s">
        <v>587</v>
      </c>
      <c r="K202" s="5" t="n">
        <f aca="false">COUNTIF(Probe_Pairs!$B:$B,A202)</f>
        <v>8</v>
      </c>
      <c r="L202" s="5" t="n">
        <f aca="false">COUNTIFS(Probe_Pairs!$B:$B,A202,Probe_Pairs!$S:$S,"Both halves")</f>
        <v>8</v>
      </c>
      <c r="M202" s="5"/>
      <c r="N202" s="5" t="s">
        <v>1489</v>
      </c>
      <c r="O202" s="5" t="s">
        <v>1398</v>
      </c>
      <c r="P202" s="5" t="s">
        <v>1491</v>
      </c>
      <c r="Q202" s="5"/>
      <c r="R202" s="5"/>
      <c r="S202" s="5" t="str">
        <f aca="false">IF(R202="","",COUNTIFS(Probe_Pairs!$B:$B,A202,Probe_Pairs!$X:$X,"Both halves"))</f>
        <v/>
      </c>
      <c r="T202" s="5" t="str">
        <f aca="false">IF(R202="","",IF(S202*2&gt;=K202,"High","Low"))</f>
        <v/>
      </c>
      <c r="U202" s="5"/>
      <c r="V202" s="5"/>
      <c r="W202" s="5"/>
      <c r="X202" s="5"/>
      <c r="Y202" s="7"/>
      <c r="Z202" s="7"/>
      <c r="AA202" s="7"/>
      <c r="AB202" s="7"/>
      <c r="AC202" s="7"/>
    </row>
    <row r="203" customFormat="false" ht="15" hidden="false" customHeight="false" outlineLevel="0" collapsed="false">
      <c r="A203" s="5" t="s">
        <v>1492</v>
      </c>
      <c r="B203" s="5" t="s">
        <v>40</v>
      </c>
      <c r="C203" s="5" t="s">
        <v>1493</v>
      </c>
      <c r="D203" s="5" t="s">
        <v>1494</v>
      </c>
      <c r="E203" s="5" t="s">
        <v>1394</v>
      </c>
      <c r="F203" s="5" t="s">
        <v>1495</v>
      </c>
      <c r="G203" s="5" t="s">
        <v>1496</v>
      </c>
      <c r="H203" s="5"/>
      <c r="I203" s="9" t="s">
        <v>66</v>
      </c>
      <c r="J203" s="5" t="s">
        <v>587</v>
      </c>
      <c r="K203" s="5" t="n">
        <f aca="false">COUNTIF(Probe_Pairs!$B:$B,A203)</f>
        <v>22</v>
      </c>
      <c r="L203" s="5" t="n">
        <f aca="false">COUNTIFS(Probe_Pairs!$B:$B,A203,Probe_Pairs!$S:$S,"Both halves")</f>
        <v>22</v>
      </c>
      <c r="M203" s="5"/>
      <c r="N203" s="5" t="s">
        <v>1497</v>
      </c>
      <c r="O203" s="5" t="s">
        <v>1432</v>
      </c>
      <c r="P203" s="5" t="s">
        <v>1498</v>
      </c>
      <c r="Q203" s="5" t="s">
        <v>49</v>
      </c>
      <c r="R203" s="5"/>
      <c r="S203" s="5" t="str">
        <f aca="false">IF(R203="","",COUNTIFS(Probe_Pairs!$B:$B,A203,Probe_Pairs!$X:$X,"Both halves"))</f>
        <v/>
      </c>
      <c r="T203" s="5" t="str">
        <f aca="false">IF(R203="","",IF(S203*2&gt;=K203,"High","Low"))</f>
        <v/>
      </c>
      <c r="U203" s="5"/>
      <c r="V203" s="5"/>
      <c r="W203" s="5"/>
      <c r="X203" s="5"/>
      <c r="Y203" s="7"/>
      <c r="Z203" s="7"/>
      <c r="AA203" s="7"/>
      <c r="AB203" s="7"/>
      <c r="AC203" s="7"/>
    </row>
    <row r="204" customFormat="false" ht="15" hidden="false" customHeight="false" outlineLevel="0" collapsed="false">
      <c r="A204" s="5" t="s">
        <v>1499</v>
      </c>
      <c r="B204" s="5" t="s">
        <v>40</v>
      </c>
      <c r="C204" s="5" t="s">
        <v>1500</v>
      </c>
      <c r="D204" s="5" t="s">
        <v>1501</v>
      </c>
      <c r="E204" s="5" t="s">
        <v>1394</v>
      </c>
      <c r="F204" s="5" t="s">
        <v>1502</v>
      </c>
      <c r="G204" s="5" t="s">
        <v>1503</v>
      </c>
      <c r="H204" s="5"/>
      <c r="I204" s="9" t="s">
        <v>66</v>
      </c>
      <c r="J204" s="5" t="s">
        <v>587</v>
      </c>
      <c r="K204" s="5" t="n">
        <f aca="false">COUNTIF(Probe_Pairs!$B:$B,A204)</f>
        <v>8</v>
      </c>
      <c r="L204" s="5" t="n">
        <f aca="false">COUNTIFS(Probe_Pairs!$B:$B,A204,Probe_Pairs!$S:$S,"Both halves")</f>
        <v>8</v>
      </c>
      <c r="M204" s="5" t="s">
        <v>137</v>
      </c>
      <c r="N204" s="5" t="s">
        <v>1504</v>
      </c>
      <c r="O204" s="5" t="s">
        <v>1398</v>
      </c>
      <c r="P204" s="5" t="s">
        <v>1505</v>
      </c>
      <c r="Q204" s="5" t="s">
        <v>49</v>
      </c>
      <c r="R204" s="5"/>
      <c r="S204" s="5" t="str">
        <f aca="false">IF(R204="","",COUNTIFS(Probe_Pairs!$B:$B,A204,Probe_Pairs!$X:$X,"Both halves"))</f>
        <v/>
      </c>
      <c r="T204" s="5" t="str">
        <f aca="false">IF(R204="","",IF(S204*2&gt;=K204,"High","Low"))</f>
        <v/>
      </c>
      <c r="U204" s="5"/>
      <c r="V204" s="5"/>
      <c r="W204" s="5"/>
      <c r="X204" s="5"/>
      <c r="Y204" s="7"/>
      <c r="Z204" s="7"/>
      <c r="AA204" s="7"/>
      <c r="AB204" s="7"/>
      <c r="AC204" s="7"/>
    </row>
    <row r="205" customFormat="false" ht="15" hidden="false" customHeight="false" outlineLevel="0" collapsed="false">
      <c r="A205" s="5" t="s">
        <v>1506</v>
      </c>
      <c r="B205" s="5" t="s">
        <v>40</v>
      </c>
      <c r="C205" s="5" t="s">
        <v>1507</v>
      </c>
      <c r="D205" s="5" t="s">
        <v>1508</v>
      </c>
      <c r="E205" s="5" t="s">
        <v>1394</v>
      </c>
      <c r="F205" s="5" t="s">
        <v>1509</v>
      </c>
      <c r="G205" s="5" t="s">
        <v>1510</v>
      </c>
      <c r="H205" s="5"/>
      <c r="I205" s="10" t="s">
        <v>137</v>
      </c>
      <c r="J205" s="5" t="s">
        <v>1053</v>
      </c>
      <c r="K205" s="5" t="n">
        <f aca="false">COUNTIF(Probe_Pairs!$B:$B,A205)</f>
        <v>6</v>
      </c>
      <c r="L205" s="5" t="n">
        <f aca="false">COUNTIFS(Probe_Pairs!$B:$B,A205,Probe_Pairs!$S:$S,"Both halves")</f>
        <v>6</v>
      </c>
      <c r="M205" s="5"/>
      <c r="N205" s="5" t="s">
        <v>1507</v>
      </c>
      <c r="O205" s="5" t="s">
        <v>1398</v>
      </c>
      <c r="P205" s="5" t="s">
        <v>1511</v>
      </c>
      <c r="Q205" s="5" t="s">
        <v>49</v>
      </c>
      <c r="R205" s="5"/>
      <c r="S205" s="5" t="str">
        <f aca="false">IF(R205="","",COUNTIFS(Probe_Pairs!$B:$B,A205,Probe_Pairs!$X:$X,"Both halves"))</f>
        <v/>
      </c>
      <c r="T205" s="5" t="str">
        <f aca="false">IF(R205="","",IF(S205*2&gt;=K205,"High","Low"))</f>
        <v/>
      </c>
      <c r="U205" s="5"/>
      <c r="V205" s="5"/>
      <c r="W205" s="5"/>
      <c r="X205" s="5"/>
      <c r="Y205" s="7"/>
      <c r="Z205" s="7"/>
      <c r="AA205" s="7"/>
      <c r="AB205" s="7"/>
      <c r="AC205" s="7"/>
    </row>
    <row r="206" customFormat="false" ht="15" hidden="false" customHeight="false" outlineLevel="0" collapsed="false">
      <c r="A206" s="5" t="s">
        <v>1512</v>
      </c>
      <c r="B206" s="5" t="s">
        <v>40</v>
      </c>
      <c r="C206" s="5" t="s">
        <v>1513</v>
      </c>
      <c r="D206" s="5" t="s">
        <v>1514</v>
      </c>
      <c r="E206" s="5" t="s">
        <v>1394</v>
      </c>
      <c r="F206" s="5"/>
      <c r="G206" s="5" t="s">
        <v>1515</v>
      </c>
      <c r="H206" s="5"/>
      <c r="I206" s="10" t="s">
        <v>137</v>
      </c>
      <c r="J206" s="5" t="s">
        <v>1053</v>
      </c>
      <c r="K206" s="5" t="n">
        <f aca="false">COUNTIF(Probe_Pairs!$B:$B,A206)</f>
        <v>8</v>
      </c>
      <c r="L206" s="5" t="n">
        <f aca="false">COUNTIFS(Probe_Pairs!$B:$B,A206,Probe_Pairs!$S:$S,"Both halves")</f>
        <v>8</v>
      </c>
      <c r="M206" s="5"/>
      <c r="N206" s="5" t="s">
        <v>1513</v>
      </c>
      <c r="O206" s="5" t="s">
        <v>1398</v>
      </c>
      <c r="P206" s="5" t="s">
        <v>1516</v>
      </c>
      <c r="Q206" s="5"/>
      <c r="R206" s="5"/>
      <c r="S206" s="5" t="str">
        <f aca="false">IF(R206="","",COUNTIFS(Probe_Pairs!$B:$B,A206,Probe_Pairs!$X:$X,"Both halves"))</f>
        <v/>
      </c>
      <c r="T206" s="5" t="str">
        <f aca="false">IF(R206="","",IF(S206*2&gt;=K206,"High","Low"))</f>
        <v/>
      </c>
      <c r="U206" s="5"/>
      <c r="V206" s="5"/>
      <c r="W206" s="5"/>
      <c r="X206" s="5"/>
      <c r="Y206" s="7"/>
      <c r="Z206" s="7"/>
      <c r="AA206" s="7"/>
      <c r="AB206" s="7"/>
      <c r="AC206" s="7"/>
    </row>
    <row r="207" customFormat="false" ht="15" hidden="false" customHeight="false" outlineLevel="0" collapsed="false">
      <c r="A207" s="5" t="s">
        <v>1517</v>
      </c>
      <c r="B207" s="5" t="s">
        <v>40</v>
      </c>
      <c r="C207" s="5" t="s">
        <v>1518</v>
      </c>
      <c r="D207" s="5" t="s">
        <v>1519</v>
      </c>
      <c r="E207" s="5" t="s">
        <v>1394</v>
      </c>
      <c r="F207" s="5" t="s">
        <v>1520</v>
      </c>
      <c r="G207" s="5" t="s">
        <v>1521</v>
      </c>
      <c r="H207" s="5"/>
      <c r="I207" s="10" t="s">
        <v>137</v>
      </c>
      <c r="J207" s="5" t="s">
        <v>1053</v>
      </c>
      <c r="K207" s="5" t="n">
        <f aca="false">COUNTIF(Probe_Pairs!$B:$B,A207)</f>
        <v>6</v>
      </c>
      <c r="L207" s="5" t="n">
        <f aca="false">COUNTIFS(Probe_Pairs!$B:$B,A207,Probe_Pairs!$S:$S,"Both halves")</f>
        <v>6</v>
      </c>
      <c r="M207" s="5"/>
      <c r="N207" s="5" t="s">
        <v>1518</v>
      </c>
      <c r="O207" s="5" t="s">
        <v>1398</v>
      </c>
      <c r="P207" s="5" t="s">
        <v>1522</v>
      </c>
      <c r="Q207" s="5" t="s">
        <v>49</v>
      </c>
      <c r="R207" s="5"/>
      <c r="S207" s="5" t="str">
        <f aca="false">IF(R207="","",COUNTIFS(Probe_Pairs!$B:$B,A207,Probe_Pairs!$X:$X,"Both halves"))</f>
        <v/>
      </c>
      <c r="T207" s="5" t="str">
        <f aca="false">IF(R207="","",IF(S207*2&gt;=K207,"High","Low"))</f>
        <v/>
      </c>
      <c r="U207" s="5"/>
      <c r="V207" s="5"/>
      <c r="W207" s="5"/>
      <c r="X207" s="5"/>
      <c r="Y207" s="7"/>
      <c r="Z207" s="7"/>
      <c r="AA207" s="7"/>
      <c r="AB207" s="7"/>
      <c r="AC207" s="7"/>
    </row>
    <row r="208" customFormat="false" ht="15" hidden="false" customHeight="false" outlineLevel="0" collapsed="false">
      <c r="A208" s="5" t="s">
        <v>1523</v>
      </c>
      <c r="B208" s="5" t="s">
        <v>40</v>
      </c>
      <c r="C208" s="5" t="s">
        <v>1482</v>
      </c>
      <c r="D208" s="5" t="s">
        <v>1483</v>
      </c>
      <c r="E208" s="5" t="s">
        <v>1394</v>
      </c>
      <c r="F208" s="5" t="s">
        <v>1484</v>
      </c>
      <c r="G208" s="5" t="s">
        <v>1485</v>
      </c>
      <c r="H208" s="5" t="s">
        <v>1486</v>
      </c>
      <c r="I208" s="10" t="s">
        <v>137</v>
      </c>
      <c r="J208" s="5" t="s">
        <v>1053</v>
      </c>
      <c r="K208" s="5" t="n">
        <f aca="false">COUNTIF(Probe_Pairs!$B:$B,A208)</f>
        <v>8</v>
      </c>
      <c r="L208" s="5" t="n">
        <f aca="false">COUNTIFS(Probe_Pairs!$B:$B,A208,Probe_Pairs!$S:$S,"Both halves")</f>
        <v>8</v>
      </c>
      <c r="M208" s="5" t="s">
        <v>66</v>
      </c>
      <c r="N208" s="5" t="s">
        <v>1482</v>
      </c>
      <c r="O208" s="5" t="s">
        <v>1398</v>
      </c>
      <c r="P208" s="5" t="s">
        <v>1487</v>
      </c>
      <c r="Q208" s="5" t="s">
        <v>49</v>
      </c>
      <c r="R208" s="5"/>
      <c r="S208" s="5" t="str">
        <f aca="false">IF(R208="","",COUNTIFS(Probe_Pairs!$B:$B,A208,Probe_Pairs!$X:$X,"Both halves"))</f>
        <v/>
      </c>
      <c r="T208" s="5" t="str">
        <f aca="false">IF(R208="","",IF(S208*2&gt;=K208,"High","Low"))</f>
        <v/>
      </c>
      <c r="U208" s="5"/>
      <c r="V208" s="5"/>
      <c r="W208" s="5"/>
      <c r="X208" s="5"/>
      <c r="Y208" s="7"/>
      <c r="Z208" s="7"/>
      <c r="AA208" s="7"/>
      <c r="AB208" s="7"/>
      <c r="AC208" s="7"/>
    </row>
    <row r="209" customFormat="false" ht="15" hidden="false" customHeight="false" outlineLevel="0" collapsed="false">
      <c r="A209" s="5" t="s">
        <v>1524</v>
      </c>
      <c r="B209" s="5" t="s">
        <v>40</v>
      </c>
      <c r="C209" s="5" t="s">
        <v>1525</v>
      </c>
      <c r="D209" s="5" t="s">
        <v>1526</v>
      </c>
      <c r="E209" s="5" t="s">
        <v>1394</v>
      </c>
      <c r="F209" s="5" t="s">
        <v>1527</v>
      </c>
      <c r="G209" s="5" t="s">
        <v>1528</v>
      </c>
      <c r="H209" s="5"/>
      <c r="I209" s="10" t="s">
        <v>137</v>
      </c>
      <c r="J209" s="5" t="s">
        <v>1053</v>
      </c>
      <c r="K209" s="5" t="n">
        <f aca="false">COUNTIF(Probe_Pairs!$B:$B,A209)</f>
        <v>8</v>
      </c>
      <c r="L209" s="5" t="n">
        <f aca="false">COUNTIFS(Probe_Pairs!$B:$B,A209,Probe_Pairs!$S:$S,"Both halves")</f>
        <v>8</v>
      </c>
      <c r="M209" s="5"/>
      <c r="N209" s="5" t="s">
        <v>1525</v>
      </c>
      <c r="O209" s="5" t="s">
        <v>1398</v>
      </c>
      <c r="P209" s="5" t="s">
        <v>1529</v>
      </c>
      <c r="Q209" s="5" t="s">
        <v>49</v>
      </c>
      <c r="R209" s="5"/>
      <c r="S209" s="5" t="str">
        <f aca="false">IF(R209="","",COUNTIFS(Probe_Pairs!$B:$B,A209,Probe_Pairs!$X:$X,"Both halves"))</f>
        <v/>
      </c>
      <c r="T209" s="5" t="str">
        <f aca="false">IF(R209="","",IF(S209*2&gt;=K209,"High","Low"))</f>
        <v/>
      </c>
      <c r="U209" s="5"/>
      <c r="V209" s="5"/>
      <c r="W209" s="5"/>
      <c r="X209" s="5"/>
      <c r="Y209" s="7"/>
      <c r="Z209" s="7"/>
      <c r="AA209" s="7"/>
      <c r="AB209" s="7"/>
      <c r="AC209" s="7"/>
    </row>
    <row r="210" customFormat="false" ht="15" hidden="false" customHeight="false" outlineLevel="0" collapsed="false">
      <c r="A210" s="5" t="s">
        <v>1530</v>
      </c>
      <c r="B210" s="5" t="s">
        <v>40</v>
      </c>
      <c r="C210" s="5" t="s">
        <v>1531</v>
      </c>
      <c r="D210" s="5" t="s">
        <v>1532</v>
      </c>
      <c r="E210" s="5" t="s">
        <v>1394</v>
      </c>
      <c r="F210" s="5"/>
      <c r="G210" s="5" t="s">
        <v>1533</v>
      </c>
      <c r="H210" s="5"/>
      <c r="I210" s="10" t="s">
        <v>137</v>
      </c>
      <c r="J210" s="5" t="s">
        <v>1053</v>
      </c>
      <c r="K210" s="5" t="n">
        <f aca="false">COUNTIF(Probe_Pairs!$B:$B,A210)</f>
        <v>6</v>
      </c>
      <c r="L210" s="5" t="n">
        <f aca="false">COUNTIFS(Probe_Pairs!$B:$B,A210,Probe_Pairs!$S:$S,"Both halves")</f>
        <v>6</v>
      </c>
      <c r="M210" s="5"/>
      <c r="N210" s="5" t="s">
        <v>1531</v>
      </c>
      <c r="O210" s="5" t="s">
        <v>1398</v>
      </c>
      <c r="P210" s="5" t="s">
        <v>1534</v>
      </c>
      <c r="Q210" s="5"/>
      <c r="R210" s="5"/>
      <c r="S210" s="5" t="str">
        <f aca="false">IF(R210="","",COUNTIFS(Probe_Pairs!$B:$B,A210,Probe_Pairs!$X:$X,"Both halves"))</f>
        <v/>
      </c>
      <c r="T210" s="5" t="str">
        <f aca="false">IF(R210="","",IF(S210*2&gt;=K210,"High","Low"))</f>
        <v/>
      </c>
      <c r="U210" s="5"/>
      <c r="V210" s="5"/>
      <c r="W210" s="5"/>
      <c r="X210" s="5"/>
      <c r="Y210" s="7"/>
      <c r="Z210" s="7"/>
      <c r="AA210" s="7"/>
      <c r="AB210" s="7"/>
      <c r="AC210" s="7"/>
    </row>
    <row r="211" customFormat="false" ht="15" hidden="false" customHeight="false" outlineLevel="0" collapsed="false">
      <c r="A211" s="5" t="s">
        <v>1535</v>
      </c>
      <c r="B211" s="5" t="s">
        <v>40</v>
      </c>
      <c r="C211" s="5" t="s">
        <v>1500</v>
      </c>
      <c r="D211" s="5" t="s">
        <v>1501</v>
      </c>
      <c r="E211" s="5" t="s">
        <v>1394</v>
      </c>
      <c r="F211" s="5" t="s">
        <v>1502</v>
      </c>
      <c r="G211" s="5" t="s">
        <v>1503</v>
      </c>
      <c r="H211" s="5"/>
      <c r="I211" s="10" t="s">
        <v>137</v>
      </c>
      <c r="J211" s="5" t="s">
        <v>1053</v>
      </c>
      <c r="K211" s="5" t="n">
        <f aca="false">COUNTIF(Probe_Pairs!$B:$B,A211)</f>
        <v>14</v>
      </c>
      <c r="L211" s="5" t="n">
        <f aca="false">COUNTIFS(Probe_Pairs!$B:$B,A211,Probe_Pairs!$S:$S,"Both halves")</f>
        <v>14</v>
      </c>
      <c r="M211" s="5" t="s">
        <v>66</v>
      </c>
      <c r="N211" s="5" t="s">
        <v>1427</v>
      </c>
      <c r="O211" s="5" t="s">
        <v>1432</v>
      </c>
      <c r="P211" s="5" t="s">
        <v>1505</v>
      </c>
      <c r="Q211" s="5" t="s">
        <v>49</v>
      </c>
      <c r="R211" s="5"/>
      <c r="S211" s="5" t="str">
        <f aca="false">IF(R211="","",COUNTIFS(Probe_Pairs!$B:$B,A211,Probe_Pairs!$X:$X,"Both halves"))</f>
        <v/>
      </c>
      <c r="T211" s="5" t="str">
        <f aca="false">IF(R211="","",IF(S211*2&gt;=K211,"High","Low"))</f>
        <v/>
      </c>
      <c r="U211" s="5"/>
      <c r="V211" s="5"/>
      <c r="W211" s="5"/>
      <c r="X211" s="5"/>
      <c r="Y211" s="7"/>
      <c r="Z211" s="7"/>
      <c r="AA211" s="7"/>
      <c r="AB211" s="7"/>
      <c r="AC211" s="7"/>
    </row>
    <row r="212" customFormat="false" ht="15" hidden="false" customHeight="false" outlineLevel="0" collapsed="false">
      <c r="A212" s="5" t="s">
        <v>1536</v>
      </c>
      <c r="B212" s="5" t="s">
        <v>40</v>
      </c>
      <c r="C212" s="5" t="s">
        <v>1537</v>
      </c>
      <c r="D212" s="5" t="s">
        <v>1538</v>
      </c>
      <c r="E212" s="5" t="s">
        <v>1394</v>
      </c>
      <c r="F212" s="5" t="s">
        <v>1539</v>
      </c>
      <c r="G212" s="5" t="s">
        <v>1540</v>
      </c>
      <c r="H212" s="5"/>
      <c r="I212" s="10" t="s">
        <v>137</v>
      </c>
      <c r="J212" s="5" t="s">
        <v>1053</v>
      </c>
      <c r="K212" s="5" t="n">
        <f aca="false">COUNTIF(Probe_Pairs!$B:$B,A212)</f>
        <v>8</v>
      </c>
      <c r="L212" s="5" t="n">
        <f aca="false">COUNTIFS(Probe_Pairs!$B:$B,A212,Probe_Pairs!$S:$S,"Both halves")</f>
        <v>8</v>
      </c>
      <c r="M212" s="5"/>
      <c r="N212" s="5" t="s">
        <v>1541</v>
      </c>
      <c r="O212" s="5" t="s">
        <v>1398</v>
      </c>
      <c r="P212" s="5" t="s">
        <v>1542</v>
      </c>
      <c r="Q212" s="5" t="s">
        <v>49</v>
      </c>
      <c r="R212" s="5"/>
      <c r="S212" s="5" t="str">
        <f aca="false">IF(R212="","",COUNTIFS(Probe_Pairs!$B:$B,A212,Probe_Pairs!$X:$X,"Both halves"))</f>
        <v/>
      </c>
      <c r="T212" s="5" t="str">
        <f aca="false">IF(R212="","",IF(S212*2&gt;=K212,"High","Low"))</f>
        <v/>
      </c>
      <c r="U212" s="5"/>
      <c r="V212" s="5"/>
      <c r="W212" s="5"/>
      <c r="X212" s="5"/>
      <c r="Y212" s="7"/>
      <c r="Z212" s="7"/>
      <c r="AA212" s="7"/>
      <c r="AB212" s="7"/>
      <c r="AC212" s="7"/>
    </row>
    <row r="213" customFormat="false" ht="15" hidden="false" customHeight="false" outlineLevel="0" collapsed="false">
      <c r="A213" s="5" t="s">
        <v>1543</v>
      </c>
      <c r="B213" s="5" t="s">
        <v>40</v>
      </c>
      <c r="C213" s="5" t="s">
        <v>1544</v>
      </c>
      <c r="D213" s="5"/>
      <c r="E213" s="5" t="s">
        <v>1545</v>
      </c>
      <c r="F213" s="5"/>
      <c r="G213" s="5"/>
      <c r="H213" s="5"/>
      <c r="I213" s="6" t="s">
        <v>45</v>
      </c>
      <c r="J213" s="5" t="s">
        <v>46</v>
      </c>
      <c r="K213" s="5" t="n">
        <f aca="false">COUNTIF(Probe_Pairs!$B:$B,A213)</f>
        <v>6</v>
      </c>
      <c r="L213" s="5" t="n">
        <f aca="false">COUNTIFS(Probe_Pairs!$B:$B,A213,Probe_Pairs!$S:$S,"Both halves")</f>
        <v>0</v>
      </c>
      <c r="M213" s="5"/>
      <c r="N213" s="5" t="s">
        <v>1544</v>
      </c>
      <c r="O213" s="5" t="s">
        <v>1546</v>
      </c>
      <c r="P213" s="5"/>
      <c r="Q213" s="5"/>
      <c r="R213" s="5"/>
      <c r="S213" s="5" t="str">
        <f aca="false">IF(R213="","",COUNTIFS(Probe_Pairs!$B:$B,A213,Probe_Pairs!$X:$X,"Both halves"))</f>
        <v/>
      </c>
      <c r="T213" s="5" t="str">
        <f aca="false">IF(R213="","",IF(S213*2&gt;=K213,"High","Low"))</f>
        <v/>
      </c>
      <c r="U213" s="5"/>
      <c r="V213" s="5"/>
      <c r="W213" s="5"/>
      <c r="X213" s="5"/>
      <c r="Y213" s="7"/>
      <c r="Z213" s="7"/>
      <c r="AA213" s="7"/>
      <c r="AB213" s="7"/>
      <c r="AC213" s="7"/>
    </row>
    <row r="214" customFormat="false" ht="15" hidden="false" customHeight="false" outlineLevel="0" collapsed="false">
      <c r="A214" s="5" t="s">
        <v>1547</v>
      </c>
      <c r="B214" s="5" t="s">
        <v>40</v>
      </c>
      <c r="C214" s="5" t="s">
        <v>1548</v>
      </c>
      <c r="D214" s="5"/>
      <c r="E214" s="5" t="s">
        <v>1545</v>
      </c>
      <c r="F214" s="5"/>
      <c r="G214" s="5"/>
      <c r="H214" s="5"/>
      <c r="I214" s="6" t="s">
        <v>45</v>
      </c>
      <c r="J214" s="5" t="s">
        <v>46</v>
      </c>
      <c r="K214" s="5" t="n">
        <f aca="false">COUNTIF(Probe_Pairs!$B:$B,A214)</f>
        <v>6</v>
      </c>
      <c r="L214" s="5" t="n">
        <f aca="false">COUNTIFS(Probe_Pairs!$B:$B,A214,Probe_Pairs!$S:$S,"Both halves")</f>
        <v>0</v>
      </c>
      <c r="M214" s="5"/>
      <c r="N214" s="5" t="s">
        <v>1548</v>
      </c>
      <c r="O214" s="5" t="s">
        <v>1549</v>
      </c>
      <c r="P214" s="5"/>
      <c r="Q214" s="5"/>
      <c r="R214" s="5"/>
      <c r="S214" s="5" t="str">
        <f aca="false">IF(R214="","",COUNTIFS(Probe_Pairs!$B:$B,A214,Probe_Pairs!$X:$X,"Both halves"))</f>
        <v/>
      </c>
      <c r="T214" s="5" t="str">
        <f aca="false">IF(R214="","",IF(S214*2&gt;=K214,"High","Low"))</f>
        <v/>
      </c>
      <c r="U214" s="5"/>
      <c r="V214" s="5"/>
      <c r="W214" s="5"/>
      <c r="X214" s="5"/>
      <c r="Y214" s="7"/>
      <c r="Z214" s="7"/>
      <c r="AA214" s="7"/>
      <c r="AB214" s="7"/>
      <c r="AC214" s="7"/>
    </row>
    <row r="215" customFormat="false" ht="15" hidden="false" customHeight="false" outlineLevel="0" collapsed="false">
      <c r="A215" s="5" t="s">
        <v>1550</v>
      </c>
      <c r="B215" s="5" t="s">
        <v>40</v>
      </c>
      <c r="C215" s="5" t="s">
        <v>1551</v>
      </c>
      <c r="D215" s="5"/>
      <c r="E215" s="5" t="s">
        <v>1545</v>
      </c>
      <c r="F215" s="5"/>
      <c r="G215" s="5"/>
      <c r="H215" s="5"/>
      <c r="I215" s="6" t="s">
        <v>45</v>
      </c>
      <c r="J215" s="5" t="s">
        <v>46</v>
      </c>
      <c r="K215" s="5" t="n">
        <f aca="false">COUNTIF(Probe_Pairs!$B:$B,A215)</f>
        <v>6</v>
      </c>
      <c r="L215" s="5" t="n">
        <f aca="false">COUNTIFS(Probe_Pairs!$B:$B,A215,Probe_Pairs!$S:$S,"Both halves")</f>
        <v>0</v>
      </c>
      <c r="M215" s="5"/>
      <c r="N215" s="5" t="s">
        <v>1551</v>
      </c>
      <c r="O215" s="5" t="s">
        <v>1549</v>
      </c>
      <c r="P215" s="5"/>
      <c r="Q215" s="5"/>
      <c r="R215" s="5"/>
      <c r="S215" s="5" t="str">
        <f aca="false">IF(R215="","",COUNTIFS(Probe_Pairs!$B:$B,A215,Probe_Pairs!$X:$X,"Both halves"))</f>
        <v/>
      </c>
      <c r="T215" s="5" t="str">
        <f aca="false">IF(R215="","",IF(S215*2&gt;=K215,"High","Low"))</f>
        <v/>
      </c>
      <c r="U215" s="5"/>
      <c r="V215" s="5"/>
      <c r="W215" s="5"/>
      <c r="X215" s="5"/>
      <c r="Y215" s="7"/>
      <c r="Z215" s="7"/>
      <c r="AA215" s="7"/>
      <c r="AB215" s="7"/>
      <c r="AC215" s="7"/>
    </row>
    <row r="216" customFormat="false" ht="15" hidden="false" customHeight="false" outlineLevel="0" collapsed="false">
      <c r="A216" s="5" t="s">
        <v>1552</v>
      </c>
      <c r="B216" s="5" t="s">
        <v>40</v>
      </c>
      <c r="C216" s="5" t="s">
        <v>1553</v>
      </c>
      <c r="D216" s="5"/>
      <c r="E216" s="5" t="s">
        <v>1545</v>
      </c>
      <c r="F216" s="5"/>
      <c r="G216" s="5"/>
      <c r="H216" s="5"/>
      <c r="I216" s="6" t="s">
        <v>45</v>
      </c>
      <c r="J216" s="5" t="s">
        <v>46</v>
      </c>
      <c r="K216" s="5" t="n">
        <f aca="false">COUNTIF(Probe_Pairs!$B:$B,A216)</f>
        <v>6</v>
      </c>
      <c r="L216" s="5" t="n">
        <f aca="false">COUNTIFS(Probe_Pairs!$B:$B,A216,Probe_Pairs!$S:$S,"Both halves")</f>
        <v>0</v>
      </c>
      <c r="M216" s="5"/>
      <c r="N216" s="5" t="s">
        <v>1553</v>
      </c>
      <c r="O216" s="5" t="s">
        <v>1546</v>
      </c>
      <c r="P216" s="5"/>
      <c r="Q216" s="5"/>
      <c r="R216" s="5"/>
      <c r="S216" s="5" t="str">
        <f aca="false">IF(R216="","",COUNTIFS(Probe_Pairs!$B:$B,A216,Probe_Pairs!$X:$X,"Both halves"))</f>
        <v/>
      </c>
      <c r="T216" s="5" t="str">
        <f aca="false">IF(R216="","",IF(S216*2&gt;=K216,"High","Low"))</f>
        <v/>
      </c>
      <c r="U216" s="5"/>
      <c r="V216" s="5"/>
      <c r="W216" s="5"/>
      <c r="X216" s="5"/>
      <c r="Y216" s="7"/>
      <c r="Z216" s="7"/>
      <c r="AA216" s="7"/>
      <c r="AB216" s="7"/>
      <c r="AC216" s="7"/>
    </row>
    <row r="217" customFormat="false" ht="15" hidden="false" customHeight="false" outlineLevel="0" collapsed="false">
      <c r="A217" s="5" t="s">
        <v>1554</v>
      </c>
      <c r="B217" s="5" t="s">
        <v>40</v>
      </c>
      <c r="C217" s="5" t="s">
        <v>1555</v>
      </c>
      <c r="D217" s="5"/>
      <c r="E217" s="5" t="s">
        <v>1545</v>
      </c>
      <c r="F217" s="5"/>
      <c r="G217" s="5"/>
      <c r="H217" s="5"/>
      <c r="I217" s="6" t="s">
        <v>45</v>
      </c>
      <c r="J217" s="5" t="s">
        <v>46</v>
      </c>
      <c r="K217" s="5" t="n">
        <f aca="false">COUNTIF(Probe_Pairs!$B:$B,A217)</f>
        <v>8</v>
      </c>
      <c r="L217" s="5" t="n">
        <f aca="false">COUNTIFS(Probe_Pairs!$B:$B,A217,Probe_Pairs!$S:$S,"Both halves")</f>
        <v>0</v>
      </c>
      <c r="M217" s="5"/>
      <c r="N217" s="5" t="s">
        <v>1555</v>
      </c>
      <c r="O217" s="5" t="s">
        <v>1556</v>
      </c>
      <c r="P217" s="5"/>
      <c r="Q217" s="5"/>
      <c r="R217" s="5"/>
      <c r="S217" s="5" t="str">
        <f aca="false">IF(R217="","",COUNTIFS(Probe_Pairs!$B:$B,A217,Probe_Pairs!$X:$X,"Both halves"))</f>
        <v/>
      </c>
      <c r="T217" s="5" t="str">
        <f aca="false">IF(R217="","",IF(S217*2&gt;=K217,"High","Low"))</f>
        <v/>
      </c>
      <c r="U217" s="5"/>
      <c r="V217" s="5"/>
      <c r="W217" s="5"/>
      <c r="X217" s="5"/>
      <c r="Y217" s="7"/>
      <c r="Z217" s="7"/>
      <c r="AA217" s="7"/>
      <c r="AB217" s="7"/>
      <c r="AC217" s="7"/>
    </row>
    <row r="218" customFormat="false" ht="15" hidden="false" customHeight="false" outlineLevel="0" collapsed="false">
      <c r="A218" s="5" t="s">
        <v>1557</v>
      </c>
      <c r="B218" s="5" t="s">
        <v>40</v>
      </c>
      <c r="C218" s="5" t="s">
        <v>1558</v>
      </c>
      <c r="D218" s="5"/>
      <c r="E218" s="5" t="s">
        <v>1545</v>
      </c>
      <c r="F218" s="5"/>
      <c r="G218" s="5"/>
      <c r="H218" s="5"/>
      <c r="I218" s="6" t="s">
        <v>45</v>
      </c>
      <c r="J218" s="5" t="s">
        <v>46</v>
      </c>
      <c r="K218" s="5" t="n">
        <f aca="false">COUNTIF(Probe_Pairs!$B:$B,A218)</f>
        <v>6</v>
      </c>
      <c r="L218" s="5" t="n">
        <f aca="false">COUNTIFS(Probe_Pairs!$B:$B,A218,Probe_Pairs!$S:$S,"Both halves")</f>
        <v>0</v>
      </c>
      <c r="M218" s="5"/>
      <c r="N218" s="5" t="s">
        <v>1558</v>
      </c>
      <c r="O218" s="5" t="s">
        <v>1549</v>
      </c>
      <c r="P218" s="5"/>
      <c r="Q218" s="5"/>
      <c r="R218" s="5"/>
      <c r="S218" s="5" t="str">
        <f aca="false">IF(R218="","",COUNTIFS(Probe_Pairs!$B:$B,A218,Probe_Pairs!$X:$X,"Both halves"))</f>
        <v/>
      </c>
      <c r="T218" s="5" t="str">
        <f aca="false">IF(R218="","",IF(S218*2&gt;=K218,"High","Low"))</f>
        <v/>
      </c>
      <c r="U218" s="5"/>
      <c r="V218" s="5"/>
      <c r="W218" s="5"/>
      <c r="X218" s="5"/>
      <c r="Y218" s="7"/>
      <c r="Z218" s="7"/>
      <c r="AA218" s="7"/>
      <c r="AB218" s="7"/>
      <c r="AC218" s="7"/>
    </row>
    <row r="219" customFormat="false" ht="15" hidden="false" customHeight="false" outlineLevel="0" collapsed="false">
      <c r="A219" s="5" t="s">
        <v>1559</v>
      </c>
      <c r="B219" s="5" t="s">
        <v>40</v>
      </c>
      <c r="C219" s="5" t="s">
        <v>1560</v>
      </c>
      <c r="D219" s="5"/>
      <c r="E219" s="5" t="s">
        <v>1545</v>
      </c>
      <c r="F219" s="5"/>
      <c r="G219" s="5"/>
      <c r="H219" s="5"/>
      <c r="I219" s="6" t="s">
        <v>45</v>
      </c>
      <c r="J219" s="5" t="s">
        <v>46</v>
      </c>
      <c r="K219" s="5" t="n">
        <f aca="false">COUNTIF(Probe_Pairs!$B:$B,A219)</f>
        <v>6</v>
      </c>
      <c r="L219" s="5" t="n">
        <f aca="false">COUNTIFS(Probe_Pairs!$B:$B,A219,Probe_Pairs!$S:$S,"Both halves")</f>
        <v>0</v>
      </c>
      <c r="M219" s="5"/>
      <c r="N219" s="5" t="s">
        <v>1560</v>
      </c>
      <c r="O219" s="5" t="s">
        <v>1546</v>
      </c>
      <c r="P219" s="5"/>
      <c r="Q219" s="5"/>
      <c r="R219" s="5"/>
      <c r="S219" s="5" t="str">
        <f aca="false">IF(R219="","",COUNTIFS(Probe_Pairs!$B:$B,A219,Probe_Pairs!$X:$X,"Both halves"))</f>
        <v/>
      </c>
      <c r="T219" s="5" t="str">
        <f aca="false">IF(R219="","",IF(S219*2&gt;=K219,"High","Low"))</f>
        <v/>
      </c>
      <c r="U219" s="5"/>
      <c r="V219" s="5"/>
      <c r="W219" s="5"/>
      <c r="X219" s="5"/>
      <c r="Y219" s="7"/>
      <c r="Z219" s="7"/>
      <c r="AA219" s="7"/>
      <c r="AB219" s="7"/>
      <c r="AC219" s="7"/>
    </row>
    <row r="220" customFormat="false" ht="15" hidden="false" customHeight="false" outlineLevel="0" collapsed="false">
      <c r="A220" s="5" t="s">
        <v>1561</v>
      </c>
      <c r="B220" s="5" t="s">
        <v>40</v>
      </c>
      <c r="C220" s="5" t="s">
        <v>1562</v>
      </c>
      <c r="D220" s="5"/>
      <c r="E220" s="5" t="s">
        <v>1545</v>
      </c>
      <c r="F220" s="5"/>
      <c r="G220" s="5"/>
      <c r="H220" s="5"/>
      <c r="I220" s="6" t="s">
        <v>45</v>
      </c>
      <c r="J220" s="5" t="s">
        <v>46</v>
      </c>
      <c r="K220" s="5" t="n">
        <f aca="false">COUNTIF(Probe_Pairs!$B:$B,A220)</f>
        <v>6</v>
      </c>
      <c r="L220" s="5" t="n">
        <f aca="false">COUNTIFS(Probe_Pairs!$B:$B,A220,Probe_Pairs!$S:$S,"Both halves")</f>
        <v>0</v>
      </c>
      <c r="M220" s="5"/>
      <c r="N220" s="5" t="s">
        <v>1562</v>
      </c>
      <c r="O220" s="5" t="s">
        <v>1549</v>
      </c>
      <c r="P220" s="5"/>
      <c r="Q220" s="5"/>
      <c r="R220" s="5"/>
      <c r="S220" s="5" t="str">
        <f aca="false">IF(R220="","",COUNTIFS(Probe_Pairs!$B:$B,A220,Probe_Pairs!$X:$X,"Both halves"))</f>
        <v/>
      </c>
      <c r="T220" s="5" t="str">
        <f aca="false">IF(R220="","",IF(S220*2&gt;=K220,"High","Low"))</f>
        <v/>
      </c>
      <c r="U220" s="5"/>
      <c r="V220" s="5"/>
      <c r="W220" s="5"/>
      <c r="X220" s="5"/>
      <c r="Y220" s="7"/>
      <c r="Z220" s="7"/>
      <c r="AA220" s="7"/>
      <c r="AB220" s="7"/>
      <c r="AC220" s="7"/>
    </row>
    <row r="221" customFormat="false" ht="15" hidden="false" customHeight="false" outlineLevel="0" collapsed="false">
      <c r="A221" s="5" t="s">
        <v>1563</v>
      </c>
      <c r="B221" s="5" t="s">
        <v>40</v>
      </c>
      <c r="C221" s="5" t="s">
        <v>1564</v>
      </c>
      <c r="D221" s="5"/>
      <c r="E221" s="5" t="s">
        <v>1545</v>
      </c>
      <c r="F221" s="5"/>
      <c r="G221" s="5"/>
      <c r="H221" s="5"/>
      <c r="I221" s="6" t="s">
        <v>45</v>
      </c>
      <c r="J221" s="5" t="s">
        <v>46</v>
      </c>
      <c r="K221" s="5" t="n">
        <f aca="false">COUNTIF(Probe_Pairs!$B:$B,A221)</f>
        <v>6</v>
      </c>
      <c r="L221" s="5" t="n">
        <f aca="false">COUNTIFS(Probe_Pairs!$B:$B,A221,Probe_Pairs!$S:$S,"Both halves")</f>
        <v>0</v>
      </c>
      <c r="M221" s="5"/>
      <c r="N221" s="5" t="s">
        <v>1564</v>
      </c>
      <c r="O221" s="5" t="s">
        <v>1549</v>
      </c>
      <c r="P221" s="5"/>
      <c r="Q221" s="5"/>
      <c r="R221" s="5"/>
      <c r="S221" s="5" t="str">
        <f aca="false">IF(R221="","",COUNTIFS(Probe_Pairs!$B:$B,A221,Probe_Pairs!$X:$X,"Both halves"))</f>
        <v/>
      </c>
      <c r="T221" s="5" t="str">
        <f aca="false">IF(R221="","",IF(S221*2&gt;=K221,"High","Low"))</f>
        <v/>
      </c>
      <c r="U221" s="5"/>
      <c r="V221" s="5"/>
      <c r="W221" s="5"/>
      <c r="X221" s="5"/>
      <c r="Y221" s="7"/>
      <c r="Z221" s="7"/>
      <c r="AA221" s="7"/>
      <c r="AB221" s="7"/>
      <c r="AC221" s="7"/>
    </row>
    <row r="222" customFormat="false" ht="15" hidden="false" customHeight="false" outlineLevel="0" collapsed="false">
      <c r="A222" s="5" t="s">
        <v>1565</v>
      </c>
      <c r="B222" s="5" t="s">
        <v>40</v>
      </c>
      <c r="C222" s="5" t="s">
        <v>1566</v>
      </c>
      <c r="D222" s="5"/>
      <c r="E222" s="5" t="s">
        <v>1545</v>
      </c>
      <c r="F222" s="5"/>
      <c r="G222" s="5"/>
      <c r="H222" s="5"/>
      <c r="I222" s="6" t="s">
        <v>45</v>
      </c>
      <c r="J222" s="5" t="s">
        <v>46</v>
      </c>
      <c r="K222" s="5" t="n">
        <f aca="false">COUNTIF(Probe_Pairs!$B:$B,A222)</f>
        <v>6</v>
      </c>
      <c r="L222" s="5" t="n">
        <f aca="false">COUNTIFS(Probe_Pairs!$B:$B,A222,Probe_Pairs!$S:$S,"Both halves")</f>
        <v>0</v>
      </c>
      <c r="M222" s="5"/>
      <c r="N222" s="5" t="s">
        <v>1566</v>
      </c>
      <c r="O222" s="5" t="s">
        <v>1549</v>
      </c>
      <c r="P222" s="5"/>
      <c r="Q222" s="5"/>
      <c r="R222" s="5"/>
      <c r="S222" s="5" t="str">
        <f aca="false">IF(R222="","",COUNTIFS(Probe_Pairs!$B:$B,A222,Probe_Pairs!$X:$X,"Both halves"))</f>
        <v/>
      </c>
      <c r="T222" s="5" t="str">
        <f aca="false">IF(R222="","",IF(S222*2&gt;=K222,"High","Low"))</f>
        <v/>
      </c>
      <c r="U222" s="5"/>
      <c r="V222" s="5"/>
      <c r="W222" s="5"/>
      <c r="X222" s="5"/>
      <c r="Y222" s="7"/>
      <c r="Z222" s="7"/>
      <c r="AA222" s="7"/>
      <c r="AB222" s="7"/>
      <c r="AC222" s="7"/>
    </row>
    <row r="223" customFormat="false" ht="15" hidden="false" customHeight="false" outlineLevel="0" collapsed="false">
      <c r="A223" s="5" t="s">
        <v>1567</v>
      </c>
      <c r="B223" s="5" t="s">
        <v>40</v>
      </c>
      <c r="C223" s="5" t="s">
        <v>1568</v>
      </c>
      <c r="D223" s="5"/>
      <c r="E223" s="5" t="s">
        <v>1545</v>
      </c>
      <c r="F223" s="5"/>
      <c r="G223" s="5"/>
      <c r="H223" s="5"/>
      <c r="I223" s="6" t="s">
        <v>45</v>
      </c>
      <c r="J223" s="5" t="s">
        <v>46</v>
      </c>
      <c r="K223" s="5" t="n">
        <f aca="false">COUNTIF(Probe_Pairs!$B:$B,A223)</f>
        <v>6</v>
      </c>
      <c r="L223" s="5" t="n">
        <f aca="false">COUNTIFS(Probe_Pairs!$B:$B,A223,Probe_Pairs!$S:$S,"Both halves")</f>
        <v>0</v>
      </c>
      <c r="M223" s="5"/>
      <c r="N223" s="5" t="s">
        <v>1568</v>
      </c>
      <c r="O223" s="5" t="s">
        <v>1546</v>
      </c>
      <c r="P223" s="5"/>
      <c r="Q223" s="5"/>
      <c r="R223" s="5"/>
      <c r="S223" s="5" t="str">
        <f aca="false">IF(R223="","",COUNTIFS(Probe_Pairs!$B:$B,A223,Probe_Pairs!$X:$X,"Both halves"))</f>
        <v/>
      </c>
      <c r="T223" s="5" t="str">
        <f aca="false">IF(R223="","",IF(S223*2&gt;=K223,"High","Low"))</f>
        <v/>
      </c>
      <c r="U223" s="5"/>
      <c r="V223" s="5"/>
      <c r="W223" s="5"/>
      <c r="X223" s="5"/>
      <c r="Y223" s="7"/>
      <c r="Z223" s="7"/>
      <c r="AA223" s="7"/>
      <c r="AB223" s="7"/>
      <c r="AC223" s="7"/>
    </row>
    <row r="224" customFormat="false" ht="15" hidden="false" customHeight="false" outlineLevel="0" collapsed="false">
      <c r="A224" s="5" t="s">
        <v>1569</v>
      </c>
      <c r="B224" s="5" t="s">
        <v>40</v>
      </c>
      <c r="C224" s="5" t="s">
        <v>1570</v>
      </c>
      <c r="D224" s="5"/>
      <c r="E224" s="5" t="s">
        <v>1545</v>
      </c>
      <c r="F224" s="5"/>
      <c r="G224" s="5"/>
      <c r="H224" s="5"/>
      <c r="I224" s="6" t="s">
        <v>45</v>
      </c>
      <c r="J224" s="5" t="s">
        <v>46</v>
      </c>
      <c r="K224" s="5" t="n">
        <f aca="false">COUNTIF(Probe_Pairs!$B:$B,A224)</f>
        <v>6</v>
      </c>
      <c r="L224" s="5" t="n">
        <f aca="false">COUNTIFS(Probe_Pairs!$B:$B,A224,Probe_Pairs!$S:$S,"Both halves")</f>
        <v>0</v>
      </c>
      <c r="M224" s="5"/>
      <c r="N224" s="5" t="s">
        <v>1570</v>
      </c>
      <c r="O224" s="5" t="s">
        <v>1549</v>
      </c>
      <c r="P224" s="5"/>
      <c r="Q224" s="5"/>
      <c r="R224" s="5"/>
      <c r="S224" s="5" t="str">
        <f aca="false">IF(R224="","",COUNTIFS(Probe_Pairs!$B:$B,A224,Probe_Pairs!$X:$X,"Both halves"))</f>
        <v/>
      </c>
      <c r="T224" s="5" t="str">
        <f aca="false">IF(R224="","",IF(S224*2&gt;=K224,"High","Low"))</f>
        <v/>
      </c>
      <c r="U224" s="5"/>
      <c r="V224" s="5"/>
      <c r="W224" s="5"/>
      <c r="X224" s="5"/>
      <c r="Y224" s="7"/>
      <c r="Z224" s="7"/>
      <c r="AA224" s="7"/>
      <c r="AB224" s="7"/>
      <c r="AC224" s="7"/>
    </row>
    <row r="225" customFormat="false" ht="15" hidden="false" customHeight="false" outlineLevel="0" collapsed="false">
      <c r="A225" s="5" t="s">
        <v>1571</v>
      </c>
      <c r="B225" s="5" t="s">
        <v>40</v>
      </c>
      <c r="C225" s="5" t="s">
        <v>1572</v>
      </c>
      <c r="D225" s="5"/>
      <c r="E225" s="5" t="s">
        <v>1545</v>
      </c>
      <c r="F225" s="5"/>
      <c r="G225" s="5"/>
      <c r="H225" s="5"/>
      <c r="I225" s="6" t="s">
        <v>45</v>
      </c>
      <c r="J225" s="5" t="s">
        <v>46</v>
      </c>
      <c r="K225" s="5" t="n">
        <f aca="false">COUNTIF(Probe_Pairs!$B:$B,A225)</f>
        <v>4</v>
      </c>
      <c r="L225" s="5" t="n">
        <f aca="false">COUNTIFS(Probe_Pairs!$B:$B,A225,Probe_Pairs!$S:$S,"Both halves")</f>
        <v>0</v>
      </c>
      <c r="M225" s="5"/>
      <c r="N225" s="5" t="s">
        <v>1572</v>
      </c>
      <c r="O225" s="5" t="s">
        <v>1546</v>
      </c>
      <c r="P225" s="5"/>
      <c r="Q225" s="5"/>
      <c r="R225" s="5"/>
      <c r="S225" s="5" t="str">
        <f aca="false">IF(R225="","",COUNTIFS(Probe_Pairs!$B:$B,A225,Probe_Pairs!$X:$X,"Both halves"))</f>
        <v/>
      </c>
      <c r="T225" s="5" t="str">
        <f aca="false">IF(R225="","",IF(S225*2&gt;=K225,"High","Low"))</f>
        <v/>
      </c>
      <c r="U225" s="5"/>
      <c r="V225" s="5"/>
      <c r="W225" s="5"/>
      <c r="X225" s="5"/>
      <c r="Y225" s="7"/>
      <c r="Z225" s="7"/>
      <c r="AA225" s="7"/>
      <c r="AB225" s="7"/>
      <c r="AC225" s="7"/>
    </row>
    <row r="226" customFormat="false" ht="15" hidden="false" customHeight="false" outlineLevel="0" collapsed="false">
      <c r="A226" s="5" t="s">
        <v>1573</v>
      </c>
      <c r="B226" s="5" t="s">
        <v>40</v>
      </c>
      <c r="C226" s="5" t="s">
        <v>1574</v>
      </c>
      <c r="D226" s="5"/>
      <c r="E226" s="5" t="s">
        <v>1545</v>
      </c>
      <c r="F226" s="5"/>
      <c r="G226" s="5"/>
      <c r="H226" s="5"/>
      <c r="I226" s="6" t="s">
        <v>45</v>
      </c>
      <c r="J226" s="5" t="s">
        <v>46</v>
      </c>
      <c r="K226" s="5" t="n">
        <f aca="false">COUNTIF(Probe_Pairs!$B:$B,A226)</f>
        <v>6</v>
      </c>
      <c r="L226" s="5" t="n">
        <f aca="false">COUNTIFS(Probe_Pairs!$B:$B,A226,Probe_Pairs!$S:$S,"Both halves")</f>
        <v>0</v>
      </c>
      <c r="M226" s="5"/>
      <c r="N226" s="5" t="s">
        <v>1574</v>
      </c>
      <c r="O226" s="5" t="s">
        <v>1546</v>
      </c>
      <c r="P226" s="5"/>
      <c r="Q226" s="5"/>
      <c r="R226" s="5"/>
      <c r="S226" s="5" t="str">
        <f aca="false">IF(R226="","",COUNTIFS(Probe_Pairs!$B:$B,A226,Probe_Pairs!$X:$X,"Both halves"))</f>
        <v/>
      </c>
      <c r="T226" s="5" t="str">
        <f aca="false">IF(R226="","",IF(S226*2&gt;=K226,"High","Low"))</f>
        <v/>
      </c>
      <c r="U226" s="5"/>
      <c r="V226" s="5"/>
      <c r="W226" s="5"/>
      <c r="X226" s="5"/>
      <c r="Y226" s="7"/>
      <c r="Z226" s="7"/>
      <c r="AA226" s="7"/>
      <c r="AB226" s="7"/>
      <c r="AC226" s="7"/>
    </row>
    <row r="227" customFormat="false" ht="15" hidden="false" customHeight="false" outlineLevel="0" collapsed="false">
      <c r="A227" s="5" t="s">
        <v>1575</v>
      </c>
      <c r="B227" s="5" t="s">
        <v>40</v>
      </c>
      <c r="C227" s="5" t="s">
        <v>1576</v>
      </c>
      <c r="D227" s="5"/>
      <c r="E227" s="5" t="s">
        <v>1545</v>
      </c>
      <c r="F227" s="5"/>
      <c r="G227" s="5"/>
      <c r="H227" s="5"/>
      <c r="I227" s="6" t="s">
        <v>45</v>
      </c>
      <c r="J227" s="5" t="s">
        <v>46</v>
      </c>
      <c r="K227" s="5" t="n">
        <f aca="false">COUNTIF(Probe_Pairs!$B:$B,A227)</f>
        <v>8</v>
      </c>
      <c r="L227" s="5" t="n">
        <f aca="false">COUNTIFS(Probe_Pairs!$B:$B,A227,Probe_Pairs!$S:$S,"Both halves")</f>
        <v>0</v>
      </c>
      <c r="M227" s="5"/>
      <c r="N227" s="5" t="s">
        <v>1577</v>
      </c>
      <c r="O227" s="5" t="s">
        <v>1578</v>
      </c>
      <c r="P227" s="5"/>
      <c r="Q227" s="5"/>
      <c r="R227" s="5"/>
      <c r="S227" s="5" t="str">
        <f aca="false">IF(R227="","",COUNTIFS(Probe_Pairs!$B:$B,A227,Probe_Pairs!$X:$X,"Both halves"))</f>
        <v/>
      </c>
      <c r="T227" s="5" t="str">
        <f aca="false">IF(R227="","",IF(S227*2&gt;=K227,"High","Low"))</f>
        <v/>
      </c>
      <c r="U227" s="5"/>
      <c r="V227" s="5"/>
      <c r="W227" s="5"/>
      <c r="X227" s="5"/>
      <c r="Y227" s="7"/>
      <c r="Z227" s="7"/>
      <c r="AA227" s="7"/>
      <c r="AB227" s="7"/>
      <c r="AC227" s="7"/>
    </row>
    <row r="228" customFormat="false" ht="15" hidden="false" customHeight="false" outlineLevel="0" collapsed="false">
      <c r="A228" s="5" t="s">
        <v>1579</v>
      </c>
      <c r="B228" s="5" t="s">
        <v>40</v>
      </c>
      <c r="C228" s="5" t="s">
        <v>1580</v>
      </c>
      <c r="D228" s="5"/>
      <c r="E228" s="5" t="s">
        <v>1545</v>
      </c>
      <c r="F228" s="5"/>
      <c r="G228" s="5"/>
      <c r="H228" s="5"/>
      <c r="I228" s="9" t="s">
        <v>66</v>
      </c>
      <c r="J228" s="5" t="s">
        <v>587</v>
      </c>
      <c r="K228" s="5" t="n">
        <f aca="false">COUNTIF(Probe_Pairs!$B:$B,A228)</f>
        <v>6</v>
      </c>
      <c r="L228" s="5" t="n">
        <f aca="false">COUNTIFS(Probe_Pairs!$B:$B,A228,Probe_Pairs!$S:$S,"Both halves")</f>
        <v>0</v>
      </c>
      <c r="M228" s="5"/>
      <c r="N228" s="5" t="s">
        <v>1580</v>
      </c>
      <c r="O228" s="5" t="s">
        <v>1549</v>
      </c>
      <c r="P228" s="5"/>
      <c r="Q228" s="5"/>
      <c r="R228" s="5"/>
      <c r="S228" s="5" t="str">
        <f aca="false">IF(R228="","",COUNTIFS(Probe_Pairs!$B:$B,A228,Probe_Pairs!$X:$X,"Both halves"))</f>
        <v/>
      </c>
      <c r="T228" s="5" t="str">
        <f aca="false">IF(R228="","",IF(S228*2&gt;=K228,"High","Low"))</f>
        <v/>
      </c>
      <c r="U228" s="5"/>
      <c r="V228" s="5"/>
      <c r="W228" s="5"/>
      <c r="X228" s="5"/>
      <c r="Y228" s="7"/>
      <c r="Z228" s="7"/>
      <c r="AA228" s="7"/>
      <c r="AB228" s="7"/>
      <c r="AC228" s="7"/>
    </row>
    <row r="229" customFormat="false" ht="15" hidden="false" customHeight="false" outlineLevel="0" collapsed="false">
      <c r="A229" s="5" t="s">
        <v>1581</v>
      </c>
      <c r="B229" s="5" t="s">
        <v>40</v>
      </c>
      <c r="C229" s="5" t="s">
        <v>1582</v>
      </c>
      <c r="D229" s="5"/>
      <c r="E229" s="5" t="s">
        <v>1545</v>
      </c>
      <c r="F229" s="5"/>
      <c r="G229" s="5"/>
      <c r="H229" s="5"/>
      <c r="I229" s="9" t="s">
        <v>66</v>
      </c>
      <c r="J229" s="5" t="s">
        <v>587</v>
      </c>
      <c r="K229" s="5" t="n">
        <f aca="false">COUNTIF(Probe_Pairs!$B:$B,A229)</f>
        <v>6</v>
      </c>
      <c r="L229" s="5" t="n">
        <f aca="false">COUNTIFS(Probe_Pairs!$B:$B,A229,Probe_Pairs!$S:$S,"Both halves")</f>
        <v>0</v>
      </c>
      <c r="M229" s="5"/>
      <c r="N229" s="5" t="s">
        <v>1582</v>
      </c>
      <c r="O229" s="5" t="s">
        <v>1546</v>
      </c>
      <c r="P229" s="5"/>
      <c r="Q229" s="5"/>
      <c r="R229" s="5"/>
      <c r="S229" s="5" t="str">
        <f aca="false">IF(R229="","",COUNTIFS(Probe_Pairs!$B:$B,A229,Probe_Pairs!$X:$X,"Both halves"))</f>
        <v/>
      </c>
      <c r="T229" s="5" t="str">
        <f aca="false">IF(R229="","",IF(S229*2&gt;=K229,"High","Low"))</f>
        <v/>
      </c>
      <c r="U229" s="5"/>
      <c r="V229" s="5"/>
      <c r="W229" s="5"/>
      <c r="X229" s="5"/>
      <c r="Y229" s="7"/>
      <c r="Z229" s="7"/>
      <c r="AA229" s="7"/>
      <c r="AB229" s="7"/>
      <c r="AC229" s="7"/>
    </row>
    <row r="230" customFormat="false" ht="15" hidden="false" customHeight="false" outlineLevel="0" collapsed="false">
      <c r="A230" s="5" t="s">
        <v>1583</v>
      </c>
      <c r="B230" s="5" t="s">
        <v>40</v>
      </c>
      <c r="C230" s="5" t="s">
        <v>1584</v>
      </c>
      <c r="D230" s="5"/>
      <c r="E230" s="5" t="s">
        <v>1545</v>
      </c>
      <c r="F230" s="5"/>
      <c r="G230" s="5"/>
      <c r="H230" s="5"/>
      <c r="I230" s="9" t="s">
        <v>66</v>
      </c>
      <c r="J230" s="5" t="s">
        <v>587</v>
      </c>
      <c r="K230" s="5" t="n">
        <f aca="false">COUNTIF(Probe_Pairs!$B:$B,A230)</f>
        <v>6</v>
      </c>
      <c r="L230" s="5" t="n">
        <f aca="false">COUNTIFS(Probe_Pairs!$B:$B,A230,Probe_Pairs!$S:$S,"Both halves")</f>
        <v>0</v>
      </c>
      <c r="M230" s="5"/>
      <c r="N230" s="5" t="s">
        <v>1584</v>
      </c>
      <c r="O230" s="5" t="s">
        <v>1549</v>
      </c>
      <c r="P230" s="5"/>
      <c r="Q230" s="5"/>
      <c r="R230" s="5"/>
      <c r="S230" s="5" t="str">
        <f aca="false">IF(R230="","",COUNTIFS(Probe_Pairs!$B:$B,A230,Probe_Pairs!$X:$X,"Both halves"))</f>
        <v/>
      </c>
      <c r="T230" s="5" t="str">
        <f aca="false">IF(R230="","",IF(S230*2&gt;=K230,"High","Low"))</f>
        <v/>
      </c>
      <c r="U230" s="5"/>
      <c r="V230" s="5"/>
      <c r="W230" s="5"/>
      <c r="X230" s="5"/>
      <c r="Y230" s="7"/>
      <c r="Z230" s="7"/>
      <c r="AA230" s="7"/>
      <c r="AB230" s="7"/>
      <c r="AC230" s="7"/>
    </row>
    <row r="231" customFormat="false" ht="15" hidden="false" customHeight="false" outlineLevel="0" collapsed="false">
      <c r="A231" s="5" t="s">
        <v>1585</v>
      </c>
      <c r="B231" s="5" t="s">
        <v>40</v>
      </c>
      <c r="C231" s="5" t="s">
        <v>1586</v>
      </c>
      <c r="D231" s="5"/>
      <c r="E231" s="5" t="s">
        <v>1545</v>
      </c>
      <c r="F231" s="5"/>
      <c r="G231" s="5"/>
      <c r="H231" s="5"/>
      <c r="I231" s="9" t="s">
        <v>66</v>
      </c>
      <c r="J231" s="5" t="s">
        <v>587</v>
      </c>
      <c r="K231" s="5" t="n">
        <f aca="false">COUNTIF(Probe_Pairs!$B:$B,A231)</f>
        <v>6</v>
      </c>
      <c r="L231" s="5" t="n">
        <f aca="false">COUNTIFS(Probe_Pairs!$B:$B,A231,Probe_Pairs!$S:$S,"Both halves")</f>
        <v>0</v>
      </c>
      <c r="M231" s="5"/>
      <c r="N231" s="5" t="s">
        <v>1586</v>
      </c>
      <c r="O231" s="5" t="s">
        <v>1546</v>
      </c>
      <c r="P231" s="5"/>
      <c r="Q231" s="5"/>
      <c r="R231" s="5"/>
      <c r="S231" s="5" t="str">
        <f aca="false">IF(R231="","",COUNTIFS(Probe_Pairs!$B:$B,A231,Probe_Pairs!$X:$X,"Both halves"))</f>
        <v/>
      </c>
      <c r="T231" s="5" t="str">
        <f aca="false">IF(R231="","",IF(S231*2&gt;=K231,"High","Low"))</f>
        <v/>
      </c>
      <c r="U231" s="5"/>
      <c r="V231" s="5"/>
      <c r="W231" s="5"/>
      <c r="X231" s="5"/>
      <c r="Y231" s="7"/>
      <c r="Z231" s="7"/>
      <c r="AA231" s="7"/>
      <c r="AB231" s="7"/>
      <c r="AC231" s="7"/>
    </row>
    <row r="232" customFormat="false" ht="15" hidden="false" customHeight="false" outlineLevel="0" collapsed="false">
      <c r="A232" s="5" t="s">
        <v>1587</v>
      </c>
      <c r="B232" s="5" t="s">
        <v>40</v>
      </c>
      <c r="C232" s="5" t="s">
        <v>1588</v>
      </c>
      <c r="D232" s="5"/>
      <c r="E232" s="5" t="s">
        <v>1545</v>
      </c>
      <c r="F232" s="5"/>
      <c r="G232" s="5"/>
      <c r="H232" s="5"/>
      <c r="I232" s="9" t="s">
        <v>66</v>
      </c>
      <c r="J232" s="5" t="s">
        <v>587</v>
      </c>
      <c r="K232" s="5" t="n">
        <f aca="false">COUNTIF(Probe_Pairs!$B:$B,A232)</f>
        <v>8</v>
      </c>
      <c r="L232" s="5" t="n">
        <f aca="false">COUNTIFS(Probe_Pairs!$B:$B,A232,Probe_Pairs!$S:$S,"Both halves")</f>
        <v>0</v>
      </c>
      <c r="M232" s="5"/>
      <c r="N232" s="5" t="s">
        <v>1589</v>
      </c>
      <c r="O232" s="5" t="s">
        <v>1556</v>
      </c>
      <c r="P232" s="5"/>
      <c r="Q232" s="5"/>
      <c r="R232" s="5"/>
      <c r="S232" s="5" t="str">
        <f aca="false">IF(R232="","",COUNTIFS(Probe_Pairs!$B:$B,A232,Probe_Pairs!$X:$X,"Both halves"))</f>
        <v/>
      </c>
      <c r="T232" s="5" t="str">
        <f aca="false">IF(R232="","",IF(S232*2&gt;=K232,"High","Low"))</f>
        <v/>
      </c>
      <c r="U232" s="5"/>
      <c r="V232" s="5"/>
      <c r="W232" s="5"/>
      <c r="X232" s="5"/>
      <c r="Y232" s="7"/>
      <c r="Z232" s="7"/>
      <c r="AA232" s="7"/>
      <c r="AB232" s="7"/>
      <c r="AC232" s="7"/>
    </row>
    <row r="233" customFormat="false" ht="15" hidden="false" customHeight="false" outlineLevel="0" collapsed="false">
      <c r="A233" s="5" t="s">
        <v>1590</v>
      </c>
      <c r="B233" s="5" t="s">
        <v>40</v>
      </c>
      <c r="C233" s="5" t="s">
        <v>1420</v>
      </c>
      <c r="D233" s="5"/>
      <c r="E233" s="5" t="s">
        <v>1545</v>
      </c>
      <c r="F233" s="5"/>
      <c r="G233" s="5"/>
      <c r="H233" s="5"/>
      <c r="I233" s="9" t="s">
        <v>66</v>
      </c>
      <c r="J233" s="5" t="s">
        <v>587</v>
      </c>
      <c r="K233" s="5" t="n">
        <f aca="false">COUNTIF(Probe_Pairs!$B:$B,A233)</f>
        <v>6</v>
      </c>
      <c r="L233" s="5" t="n">
        <f aca="false">COUNTIFS(Probe_Pairs!$B:$B,A233,Probe_Pairs!$S:$S,"Both halves")</f>
        <v>0</v>
      </c>
      <c r="M233" s="5"/>
      <c r="N233" s="5" t="s">
        <v>1420</v>
      </c>
      <c r="O233" s="5" t="s">
        <v>1546</v>
      </c>
      <c r="P233" s="5"/>
      <c r="Q233" s="5"/>
      <c r="R233" s="5"/>
      <c r="S233" s="5" t="str">
        <f aca="false">IF(R233="","",COUNTIFS(Probe_Pairs!$B:$B,A233,Probe_Pairs!$X:$X,"Both halves"))</f>
        <v/>
      </c>
      <c r="T233" s="5" t="str">
        <f aca="false">IF(R233="","",IF(S233*2&gt;=K233,"High","Low"))</f>
        <v/>
      </c>
      <c r="U233" s="5"/>
      <c r="V233" s="5"/>
      <c r="W233" s="5"/>
      <c r="X233" s="5"/>
      <c r="Y233" s="7"/>
      <c r="Z233" s="7"/>
      <c r="AA233" s="7"/>
      <c r="AB233" s="7"/>
      <c r="AC233" s="7"/>
    </row>
    <row r="234" customFormat="false" ht="15" hidden="false" customHeight="false" outlineLevel="0" collapsed="false">
      <c r="A234" s="5" t="s">
        <v>1591</v>
      </c>
      <c r="B234" s="5" t="s">
        <v>40</v>
      </c>
      <c r="C234" s="5" t="s">
        <v>1592</v>
      </c>
      <c r="D234" s="5"/>
      <c r="E234" s="5" t="s">
        <v>1545</v>
      </c>
      <c r="F234" s="5"/>
      <c r="G234" s="5"/>
      <c r="H234" s="5"/>
      <c r="I234" s="9" t="s">
        <v>66</v>
      </c>
      <c r="J234" s="5" t="s">
        <v>587</v>
      </c>
      <c r="K234" s="5" t="n">
        <f aca="false">COUNTIF(Probe_Pairs!$B:$B,A234)</f>
        <v>6</v>
      </c>
      <c r="L234" s="5" t="n">
        <f aca="false">COUNTIFS(Probe_Pairs!$B:$B,A234,Probe_Pairs!$S:$S,"Both halves")</f>
        <v>0</v>
      </c>
      <c r="M234" s="5"/>
      <c r="N234" s="5" t="s">
        <v>1592</v>
      </c>
      <c r="O234" s="5" t="s">
        <v>1549</v>
      </c>
      <c r="P234" s="5"/>
      <c r="Q234" s="5"/>
      <c r="R234" s="5"/>
      <c r="S234" s="5" t="str">
        <f aca="false">IF(R234="","",COUNTIFS(Probe_Pairs!$B:$B,A234,Probe_Pairs!$X:$X,"Both halves"))</f>
        <v/>
      </c>
      <c r="T234" s="5" t="str">
        <f aca="false">IF(R234="","",IF(S234*2&gt;=K234,"High","Low"))</f>
        <v/>
      </c>
      <c r="U234" s="5"/>
      <c r="V234" s="5"/>
      <c r="W234" s="5"/>
      <c r="X234" s="5"/>
      <c r="Y234" s="7"/>
      <c r="Z234" s="7"/>
      <c r="AA234" s="7"/>
      <c r="AB234" s="7"/>
      <c r="AC234" s="7"/>
    </row>
    <row r="235" customFormat="false" ht="15" hidden="false" customHeight="false" outlineLevel="0" collapsed="false">
      <c r="A235" s="5" t="s">
        <v>1593</v>
      </c>
      <c r="B235" s="5" t="s">
        <v>40</v>
      </c>
      <c r="C235" s="5" t="s">
        <v>1594</v>
      </c>
      <c r="D235" s="5"/>
      <c r="E235" s="5" t="s">
        <v>1545</v>
      </c>
      <c r="F235" s="5"/>
      <c r="G235" s="5"/>
      <c r="H235" s="5"/>
      <c r="I235" s="9" t="s">
        <v>66</v>
      </c>
      <c r="J235" s="5" t="s">
        <v>587</v>
      </c>
      <c r="K235" s="5" t="n">
        <f aca="false">COUNTIF(Probe_Pairs!$B:$B,A235)</f>
        <v>6</v>
      </c>
      <c r="L235" s="5" t="n">
        <f aca="false">COUNTIFS(Probe_Pairs!$B:$B,A235,Probe_Pairs!$S:$S,"Both halves")</f>
        <v>0</v>
      </c>
      <c r="M235" s="5"/>
      <c r="N235" s="5" t="s">
        <v>1594</v>
      </c>
      <c r="O235" s="5" t="s">
        <v>1546</v>
      </c>
      <c r="P235" s="5"/>
      <c r="Q235" s="5"/>
      <c r="R235" s="5"/>
      <c r="S235" s="5" t="str">
        <f aca="false">IF(R235="","",COUNTIFS(Probe_Pairs!$B:$B,A235,Probe_Pairs!$X:$X,"Both halves"))</f>
        <v/>
      </c>
      <c r="T235" s="5" t="str">
        <f aca="false">IF(R235="","",IF(S235*2&gt;=K235,"High","Low"))</f>
        <v/>
      </c>
      <c r="U235" s="5"/>
      <c r="V235" s="5"/>
      <c r="W235" s="5"/>
      <c r="X235" s="5"/>
      <c r="Y235" s="7"/>
      <c r="Z235" s="7"/>
      <c r="AA235" s="7"/>
      <c r="AB235" s="7"/>
      <c r="AC235" s="7"/>
    </row>
    <row r="236" customFormat="false" ht="15" hidden="false" customHeight="false" outlineLevel="0" collapsed="false">
      <c r="A236" s="5" t="s">
        <v>1595</v>
      </c>
      <c r="B236" s="5" t="s">
        <v>40</v>
      </c>
      <c r="C236" s="5" t="s">
        <v>1596</v>
      </c>
      <c r="D236" s="5"/>
      <c r="E236" s="5" t="s">
        <v>1545</v>
      </c>
      <c r="F236" s="5"/>
      <c r="G236" s="5"/>
      <c r="H236" s="5"/>
      <c r="I236" s="9" t="s">
        <v>66</v>
      </c>
      <c r="J236" s="5" t="s">
        <v>587</v>
      </c>
      <c r="K236" s="5" t="n">
        <f aca="false">COUNTIF(Probe_Pairs!$B:$B,A236)</f>
        <v>6</v>
      </c>
      <c r="L236" s="5" t="n">
        <f aca="false">COUNTIFS(Probe_Pairs!$B:$B,A236,Probe_Pairs!$S:$S,"Both halves")</f>
        <v>0</v>
      </c>
      <c r="M236" s="5"/>
      <c r="N236" s="5" t="s">
        <v>1596</v>
      </c>
      <c r="O236" s="5" t="s">
        <v>1549</v>
      </c>
      <c r="P236" s="5"/>
      <c r="Q236" s="5"/>
      <c r="R236" s="5"/>
      <c r="S236" s="5" t="str">
        <f aca="false">IF(R236="","",COUNTIFS(Probe_Pairs!$B:$B,A236,Probe_Pairs!$X:$X,"Both halves"))</f>
        <v/>
      </c>
      <c r="T236" s="5" t="str">
        <f aca="false">IF(R236="","",IF(S236*2&gt;=K236,"High","Low"))</f>
        <v/>
      </c>
      <c r="U236" s="5"/>
      <c r="V236" s="5"/>
      <c r="W236" s="5"/>
      <c r="X236" s="5"/>
      <c r="Y236" s="7"/>
      <c r="Z236" s="7"/>
      <c r="AA236" s="7"/>
      <c r="AB236" s="7"/>
      <c r="AC236" s="7"/>
    </row>
    <row r="237" customFormat="false" ht="15" hidden="false" customHeight="false" outlineLevel="0" collapsed="false">
      <c r="A237" s="5" t="s">
        <v>1597</v>
      </c>
      <c r="B237" s="5" t="s">
        <v>40</v>
      </c>
      <c r="C237" s="5" t="s">
        <v>1598</v>
      </c>
      <c r="D237" s="5"/>
      <c r="E237" s="5" t="s">
        <v>1545</v>
      </c>
      <c r="F237" s="5"/>
      <c r="G237" s="5"/>
      <c r="H237" s="5"/>
      <c r="I237" s="9" t="s">
        <v>66</v>
      </c>
      <c r="J237" s="5" t="s">
        <v>587</v>
      </c>
      <c r="K237" s="5" t="n">
        <f aca="false">COUNTIF(Probe_Pairs!$B:$B,A237)</f>
        <v>6</v>
      </c>
      <c r="L237" s="5" t="n">
        <f aca="false">COUNTIFS(Probe_Pairs!$B:$B,A237,Probe_Pairs!$S:$S,"Both halves")</f>
        <v>0</v>
      </c>
      <c r="M237" s="5"/>
      <c r="N237" s="5" t="s">
        <v>1599</v>
      </c>
      <c r="O237" s="5" t="s">
        <v>1549</v>
      </c>
      <c r="P237" s="5"/>
      <c r="Q237" s="5"/>
      <c r="R237" s="5"/>
      <c r="S237" s="5" t="str">
        <f aca="false">IF(R237="","",COUNTIFS(Probe_Pairs!$B:$B,A237,Probe_Pairs!$X:$X,"Both halves"))</f>
        <v/>
      </c>
      <c r="T237" s="5" t="str">
        <f aca="false">IF(R237="","",IF(S237*2&gt;=K237,"High","Low"))</f>
        <v/>
      </c>
      <c r="U237" s="5"/>
      <c r="V237" s="5"/>
      <c r="W237" s="5"/>
      <c r="X237" s="5"/>
      <c r="Y237" s="7"/>
      <c r="Z237" s="7"/>
      <c r="AA237" s="7"/>
      <c r="AB237" s="7"/>
      <c r="AC237" s="7"/>
    </row>
    <row r="238" customFormat="false" ht="15" hidden="false" customHeight="false" outlineLevel="0" collapsed="false">
      <c r="A238" s="5" t="s">
        <v>1600</v>
      </c>
      <c r="B238" s="5" t="s">
        <v>40</v>
      </c>
      <c r="C238" s="5" t="s">
        <v>1601</v>
      </c>
      <c r="D238" s="5"/>
      <c r="E238" s="5" t="s">
        <v>1545</v>
      </c>
      <c r="F238" s="5"/>
      <c r="G238" s="5"/>
      <c r="H238" s="5"/>
      <c r="I238" s="9" t="s">
        <v>66</v>
      </c>
      <c r="J238" s="5" t="s">
        <v>587</v>
      </c>
      <c r="K238" s="5" t="n">
        <f aca="false">COUNTIF(Probe_Pairs!$B:$B,A238)</f>
        <v>6</v>
      </c>
      <c r="L238" s="5" t="n">
        <f aca="false">COUNTIFS(Probe_Pairs!$B:$B,A238,Probe_Pairs!$S:$S,"Both halves")</f>
        <v>0</v>
      </c>
      <c r="M238" s="5"/>
      <c r="N238" s="5" t="s">
        <v>1601</v>
      </c>
      <c r="O238" s="5" t="s">
        <v>1549</v>
      </c>
      <c r="P238" s="5"/>
      <c r="Q238" s="5"/>
      <c r="R238" s="5"/>
      <c r="S238" s="5" t="str">
        <f aca="false">IF(R238="","",COUNTIFS(Probe_Pairs!$B:$B,A238,Probe_Pairs!$X:$X,"Both halves"))</f>
        <v/>
      </c>
      <c r="T238" s="5" t="str">
        <f aca="false">IF(R238="","",IF(S238*2&gt;=K238,"High","Low"))</f>
        <v/>
      </c>
      <c r="U238" s="5"/>
      <c r="V238" s="5"/>
      <c r="W238" s="5"/>
      <c r="X238" s="5"/>
      <c r="Y238" s="7"/>
      <c r="Z238" s="7"/>
      <c r="AA238" s="7"/>
      <c r="AB238" s="7"/>
      <c r="AC238" s="7"/>
    </row>
    <row r="239" customFormat="false" ht="15" hidden="false" customHeight="false" outlineLevel="0" collapsed="false">
      <c r="A239" s="5" t="s">
        <v>1602</v>
      </c>
      <c r="B239" s="5" t="s">
        <v>40</v>
      </c>
      <c r="C239" s="5" t="s">
        <v>1603</v>
      </c>
      <c r="D239" s="5"/>
      <c r="E239" s="5" t="s">
        <v>1545</v>
      </c>
      <c r="F239" s="5"/>
      <c r="G239" s="5"/>
      <c r="H239" s="5"/>
      <c r="I239" s="9" t="s">
        <v>66</v>
      </c>
      <c r="J239" s="5" t="s">
        <v>587</v>
      </c>
      <c r="K239" s="5" t="n">
        <f aca="false">COUNTIF(Probe_Pairs!$B:$B,A239)</f>
        <v>6</v>
      </c>
      <c r="L239" s="5" t="n">
        <f aca="false">COUNTIFS(Probe_Pairs!$B:$B,A239,Probe_Pairs!$S:$S,"Both halves")</f>
        <v>0</v>
      </c>
      <c r="M239" s="5"/>
      <c r="N239" s="5" t="s">
        <v>1603</v>
      </c>
      <c r="O239" s="5" t="s">
        <v>1546</v>
      </c>
      <c r="P239" s="5"/>
      <c r="Q239" s="5"/>
      <c r="R239" s="5"/>
      <c r="S239" s="5" t="str">
        <f aca="false">IF(R239="","",COUNTIFS(Probe_Pairs!$B:$B,A239,Probe_Pairs!$X:$X,"Both halves"))</f>
        <v/>
      </c>
      <c r="T239" s="5" t="str">
        <f aca="false">IF(R239="","",IF(S239*2&gt;=K239,"High","Low"))</f>
        <v/>
      </c>
      <c r="U239" s="5"/>
      <c r="V239" s="5"/>
      <c r="W239" s="5"/>
      <c r="X239" s="5"/>
      <c r="Y239" s="7"/>
      <c r="Z239" s="7"/>
      <c r="AA239" s="7"/>
      <c r="AB239" s="7"/>
      <c r="AC239" s="7"/>
    </row>
    <row r="240" customFormat="false" ht="15" hidden="false" customHeight="false" outlineLevel="0" collapsed="false">
      <c r="A240" s="5" t="s">
        <v>1604</v>
      </c>
      <c r="B240" s="5" t="s">
        <v>40</v>
      </c>
      <c r="C240" s="5" t="s">
        <v>1605</v>
      </c>
      <c r="D240" s="5"/>
      <c r="E240" s="5" t="s">
        <v>1545</v>
      </c>
      <c r="F240" s="5"/>
      <c r="G240" s="5"/>
      <c r="H240" s="5"/>
      <c r="I240" s="9" t="s">
        <v>66</v>
      </c>
      <c r="J240" s="5" t="s">
        <v>587</v>
      </c>
      <c r="K240" s="5" t="n">
        <f aca="false">COUNTIF(Probe_Pairs!$B:$B,A240)</f>
        <v>6</v>
      </c>
      <c r="L240" s="5" t="n">
        <f aca="false">COUNTIFS(Probe_Pairs!$B:$B,A240,Probe_Pairs!$S:$S,"Both halves")</f>
        <v>0</v>
      </c>
      <c r="M240" s="5"/>
      <c r="N240" s="5" t="s">
        <v>1606</v>
      </c>
      <c r="O240" s="5" t="s">
        <v>1549</v>
      </c>
      <c r="P240" s="5"/>
      <c r="Q240" s="5"/>
      <c r="R240" s="5"/>
      <c r="S240" s="5" t="str">
        <f aca="false">IF(R240="","",COUNTIFS(Probe_Pairs!$B:$B,A240,Probe_Pairs!$X:$X,"Both halves"))</f>
        <v/>
      </c>
      <c r="T240" s="5" t="str">
        <f aca="false">IF(R240="","",IF(S240*2&gt;=K240,"High","Low"))</f>
        <v/>
      </c>
      <c r="U240" s="5"/>
      <c r="V240" s="5"/>
      <c r="W240" s="5"/>
      <c r="X240" s="8" t="s">
        <v>235</v>
      </c>
      <c r="Y240" s="7"/>
      <c r="Z240" s="7"/>
      <c r="AA240" s="7"/>
      <c r="AB240" s="7"/>
      <c r="AC240" s="7"/>
    </row>
    <row r="241" customFormat="false" ht="15" hidden="false" customHeight="false" outlineLevel="0" collapsed="false">
      <c r="A241" s="5" t="s">
        <v>1607</v>
      </c>
      <c r="B241" s="5" t="s">
        <v>40</v>
      </c>
      <c r="C241" s="5" t="s">
        <v>1608</v>
      </c>
      <c r="D241" s="5"/>
      <c r="E241" s="5" t="s">
        <v>1545</v>
      </c>
      <c r="F241" s="5"/>
      <c r="G241" s="5"/>
      <c r="H241" s="5"/>
      <c r="I241" s="9" t="s">
        <v>66</v>
      </c>
      <c r="J241" s="5" t="s">
        <v>587</v>
      </c>
      <c r="K241" s="5" t="n">
        <f aca="false">COUNTIF(Probe_Pairs!$B:$B,A241)</f>
        <v>6</v>
      </c>
      <c r="L241" s="5" t="n">
        <f aca="false">COUNTIFS(Probe_Pairs!$B:$B,A241,Probe_Pairs!$S:$S,"Both halves")</f>
        <v>0</v>
      </c>
      <c r="M241" s="5"/>
      <c r="N241" s="5" t="s">
        <v>1608</v>
      </c>
      <c r="O241" s="5" t="s">
        <v>1546</v>
      </c>
      <c r="P241" s="5"/>
      <c r="Q241" s="5"/>
      <c r="R241" s="5"/>
      <c r="S241" s="5" t="str">
        <f aca="false">IF(R241="","",COUNTIFS(Probe_Pairs!$B:$B,A241,Probe_Pairs!$X:$X,"Both halves"))</f>
        <v/>
      </c>
      <c r="T241" s="5" t="str">
        <f aca="false">IF(R241="","",IF(S241*2&gt;=K241,"High","Low"))</f>
        <v/>
      </c>
      <c r="U241" s="5"/>
      <c r="V241" s="5"/>
      <c r="W241" s="5"/>
      <c r="X241" s="5"/>
      <c r="Y241" s="7"/>
      <c r="Z241" s="7"/>
      <c r="AA241" s="7"/>
      <c r="AB241" s="7"/>
      <c r="AC241" s="7"/>
    </row>
    <row r="242" customFormat="false" ht="15" hidden="false" customHeight="false" outlineLevel="0" collapsed="false">
      <c r="A242" s="5" t="s">
        <v>1609</v>
      </c>
      <c r="B242" s="5" t="s">
        <v>40</v>
      </c>
      <c r="C242" s="5" t="s">
        <v>1610</v>
      </c>
      <c r="D242" s="5"/>
      <c r="E242" s="5" t="s">
        <v>1545</v>
      </c>
      <c r="F242" s="5"/>
      <c r="G242" s="5"/>
      <c r="H242" s="5"/>
      <c r="I242" s="9" t="s">
        <v>66</v>
      </c>
      <c r="J242" s="5" t="s">
        <v>587</v>
      </c>
      <c r="K242" s="5" t="n">
        <f aca="false">COUNTIF(Probe_Pairs!$B:$B,A242)</f>
        <v>8</v>
      </c>
      <c r="L242" s="5" t="n">
        <f aca="false">COUNTIFS(Probe_Pairs!$B:$B,A242,Probe_Pairs!$S:$S,"Both halves")</f>
        <v>0</v>
      </c>
      <c r="M242" s="5"/>
      <c r="N242" s="5" t="s">
        <v>1610</v>
      </c>
      <c r="O242" s="5" t="s">
        <v>1556</v>
      </c>
      <c r="P242" s="5"/>
      <c r="Q242" s="5"/>
      <c r="R242" s="5"/>
      <c r="S242" s="5" t="str">
        <f aca="false">IF(R242="","",COUNTIFS(Probe_Pairs!$B:$B,A242,Probe_Pairs!$X:$X,"Both halves"))</f>
        <v/>
      </c>
      <c r="T242" s="5" t="str">
        <f aca="false">IF(R242="","",IF(S242*2&gt;=K242,"High","Low"))</f>
        <v/>
      </c>
      <c r="U242" s="5"/>
      <c r="V242" s="5"/>
      <c r="W242" s="5"/>
      <c r="X242" s="5"/>
      <c r="Y242" s="7"/>
      <c r="Z242" s="7"/>
      <c r="AA242" s="7"/>
      <c r="AB242" s="7"/>
      <c r="AC242" s="7"/>
    </row>
    <row r="243" customFormat="false" ht="15" hidden="false" customHeight="false" outlineLevel="0" collapsed="false">
      <c r="A243" s="5" t="s">
        <v>1611</v>
      </c>
      <c r="B243" s="5" t="s">
        <v>40</v>
      </c>
      <c r="C243" s="5" t="s">
        <v>1612</v>
      </c>
      <c r="D243" s="5"/>
      <c r="E243" s="5" t="s">
        <v>1545</v>
      </c>
      <c r="F243" s="5"/>
      <c r="G243" s="5"/>
      <c r="H243" s="5"/>
      <c r="I243" s="9" t="s">
        <v>66</v>
      </c>
      <c r="J243" s="5" t="s">
        <v>587</v>
      </c>
      <c r="K243" s="5" t="n">
        <f aca="false">COUNTIF(Probe_Pairs!$B:$B,A243)</f>
        <v>6</v>
      </c>
      <c r="L243" s="5" t="n">
        <f aca="false">COUNTIFS(Probe_Pairs!$B:$B,A243,Probe_Pairs!$S:$S,"Both halves")</f>
        <v>0</v>
      </c>
      <c r="M243" s="5"/>
      <c r="N243" s="5" t="s">
        <v>1612</v>
      </c>
      <c r="O243" s="5" t="s">
        <v>1546</v>
      </c>
      <c r="P243" s="5"/>
      <c r="Q243" s="5"/>
      <c r="R243" s="5"/>
      <c r="S243" s="5" t="str">
        <f aca="false">IF(R243="","",COUNTIFS(Probe_Pairs!$B:$B,A243,Probe_Pairs!$X:$X,"Both halves"))</f>
        <v/>
      </c>
      <c r="T243" s="5" t="str">
        <f aca="false">IF(R243="","",IF(S243*2&gt;=K243,"High","Low"))</f>
        <v/>
      </c>
      <c r="U243" s="5"/>
      <c r="V243" s="5"/>
      <c r="W243" s="5"/>
      <c r="X243" s="5"/>
      <c r="Y243" s="7"/>
      <c r="Z243" s="7"/>
      <c r="AA243" s="7"/>
      <c r="AB243" s="7"/>
      <c r="AC243" s="7"/>
    </row>
    <row r="244" customFormat="false" ht="15" hidden="false" customHeight="false" outlineLevel="0" collapsed="false">
      <c r="A244" s="5" t="s">
        <v>1613</v>
      </c>
      <c r="B244" s="5" t="s">
        <v>40</v>
      </c>
      <c r="C244" s="5" t="s">
        <v>1614</v>
      </c>
      <c r="D244" s="5"/>
      <c r="E244" s="5" t="s">
        <v>1545</v>
      </c>
      <c r="F244" s="5"/>
      <c r="G244" s="5"/>
      <c r="H244" s="5"/>
      <c r="I244" s="10" t="s">
        <v>137</v>
      </c>
      <c r="J244" s="5" t="s">
        <v>1053</v>
      </c>
      <c r="K244" s="5" t="n">
        <f aca="false">COUNTIF(Probe_Pairs!$B:$B,A244)</f>
        <v>6</v>
      </c>
      <c r="L244" s="5" t="n">
        <f aca="false">COUNTIFS(Probe_Pairs!$B:$B,A244,Probe_Pairs!$S:$S,"Both halves")</f>
        <v>0</v>
      </c>
      <c r="M244" s="5"/>
      <c r="N244" s="5" t="s">
        <v>1614</v>
      </c>
      <c r="O244" s="5" t="s">
        <v>1546</v>
      </c>
      <c r="P244" s="5"/>
      <c r="Q244" s="5"/>
      <c r="R244" s="5"/>
      <c r="S244" s="5" t="str">
        <f aca="false">IF(R244="","",COUNTIFS(Probe_Pairs!$B:$B,A244,Probe_Pairs!$X:$X,"Both halves"))</f>
        <v/>
      </c>
      <c r="T244" s="5" t="str">
        <f aca="false">IF(R244="","",IF(S244*2&gt;=K244,"High","Low"))</f>
        <v/>
      </c>
      <c r="U244" s="5"/>
      <c r="V244" s="5"/>
      <c r="W244" s="5"/>
      <c r="X244" s="5"/>
      <c r="Y244" s="7"/>
      <c r="Z244" s="7"/>
      <c r="AA244" s="7"/>
      <c r="AB244" s="7"/>
      <c r="AC244" s="7"/>
    </row>
    <row r="245" customFormat="false" ht="15" hidden="false" customHeight="false" outlineLevel="0" collapsed="false">
      <c r="A245" s="5" t="s">
        <v>1615</v>
      </c>
      <c r="B245" s="5" t="s">
        <v>40</v>
      </c>
      <c r="C245" s="5" t="s">
        <v>1616</v>
      </c>
      <c r="D245" s="5"/>
      <c r="E245" s="5" t="s">
        <v>1545</v>
      </c>
      <c r="F245" s="5"/>
      <c r="G245" s="5"/>
      <c r="H245" s="5"/>
      <c r="I245" s="10" t="s">
        <v>137</v>
      </c>
      <c r="J245" s="5" t="s">
        <v>1053</v>
      </c>
      <c r="K245" s="5" t="n">
        <f aca="false">COUNTIF(Probe_Pairs!$B:$B,A245)</f>
        <v>6</v>
      </c>
      <c r="L245" s="5" t="n">
        <f aca="false">COUNTIFS(Probe_Pairs!$B:$B,A245,Probe_Pairs!$S:$S,"Both halves")</f>
        <v>0</v>
      </c>
      <c r="M245" s="5"/>
      <c r="N245" s="5" t="s">
        <v>1616</v>
      </c>
      <c r="O245" s="5" t="s">
        <v>1549</v>
      </c>
      <c r="P245" s="5"/>
      <c r="Q245" s="5"/>
      <c r="R245" s="5"/>
      <c r="S245" s="5" t="str">
        <f aca="false">IF(R245="","",COUNTIFS(Probe_Pairs!$B:$B,A245,Probe_Pairs!$X:$X,"Both halves"))</f>
        <v/>
      </c>
      <c r="T245" s="5" t="str">
        <f aca="false">IF(R245="","",IF(S245*2&gt;=K245,"High","Low"))</f>
        <v/>
      </c>
      <c r="U245" s="5"/>
      <c r="V245" s="5"/>
      <c r="W245" s="5"/>
      <c r="X245" s="5"/>
      <c r="Y245" s="7"/>
      <c r="Z245" s="7"/>
      <c r="AA245" s="7"/>
      <c r="AB245" s="7"/>
      <c r="AC245" s="7"/>
    </row>
    <row r="246" customFormat="false" ht="15" hidden="false" customHeight="false" outlineLevel="0" collapsed="false">
      <c r="A246" s="5" t="s">
        <v>1617</v>
      </c>
      <c r="B246" s="5" t="s">
        <v>40</v>
      </c>
      <c r="C246" s="5" t="s">
        <v>1618</v>
      </c>
      <c r="D246" s="5"/>
      <c r="E246" s="5" t="s">
        <v>1545</v>
      </c>
      <c r="F246" s="5"/>
      <c r="G246" s="5"/>
      <c r="H246" s="5"/>
      <c r="I246" s="10" t="s">
        <v>137</v>
      </c>
      <c r="J246" s="5" t="s">
        <v>1053</v>
      </c>
      <c r="K246" s="5" t="n">
        <f aca="false">COUNTIF(Probe_Pairs!$B:$B,A246)</f>
        <v>6</v>
      </c>
      <c r="L246" s="5" t="n">
        <f aca="false">COUNTIFS(Probe_Pairs!$B:$B,A246,Probe_Pairs!$S:$S,"Both halves")</f>
        <v>0</v>
      </c>
      <c r="M246" s="5"/>
      <c r="N246" s="5" t="s">
        <v>1618</v>
      </c>
      <c r="O246" s="5" t="s">
        <v>1546</v>
      </c>
      <c r="P246" s="5"/>
      <c r="Q246" s="5"/>
      <c r="R246" s="5"/>
      <c r="S246" s="5" t="str">
        <f aca="false">IF(R246="","",COUNTIFS(Probe_Pairs!$B:$B,A246,Probe_Pairs!$X:$X,"Both halves"))</f>
        <v/>
      </c>
      <c r="T246" s="5" t="str">
        <f aca="false">IF(R246="","",IF(S246*2&gt;=K246,"High","Low"))</f>
        <v/>
      </c>
      <c r="U246" s="5"/>
      <c r="V246" s="5"/>
      <c r="W246" s="5"/>
      <c r="X246" s="5"/>
      <c r="Y246" s="7"/>
      <c r="Z246" s="7"/>
      <c r="AA246" s="7"/>
      <c r="AB246" s="7"/>
      <c r="AC246" s="7"/>
    </row>
    <row r="247" customFormat="false" ht="15" hidden="false" customHeight="false" outlineLevel="0" collapsed="false">
      <c r="A247" s="5" t="s">
        <v>1619</v>
      </c>
      <c r="B247" s="5" t="s">
        <v>40</v>
      </c>
      <c r="C247" s="5" t="s">
        <v>1620</v>
      </c>
      <c r="D247" s="5"/>
      <c r="E247" s="5" t="s">
        <v>1545</v>
      </c>
      <c r="F247" s="5"/>
      <c r="G247" s="5"/>
      <c r="H247" s="5"/>
      <c r="I247" s="10" t="s">
        <v>137</v>
      </c>
      <c r="J247" s="5" t="s">
        <v>1053</v>
      </c>
      <c r="K247" s="5" t="n">
        <f aca="false">COUNTIF(Probe_Pairs!$B:$B,A247)</f>
        <v>6</v>
      </c>
      <c r="L247" s="5" t="n">
        <f aca="false">COUNTIFS(Probe_Pairs!$B:$B,A247,Probe_Pairs!$S:$S,"Both halves")</f>
        <v>0</v>
      </c>
      <c r="M247" s="5"/>
      <c r="N247" s="5" t="s">
        <v>1620</v>
      </c>
      <c r="O247" s="5" t="s">
        <v>1549</v>
      </c>
      <c r="P247" s="5"/>
      <c r="Q247" s="5"/>
      <c r="R247" s="5"/>
      <c r="S247" s="5" t="str">
        <f aca="false">IF(R247="","",COUNTIFS(Probe_Pairs!$B:$B,A247,Probe_Pairs!$X:$X,"Both halves"))</f>
        <v/>
      </c>
      <c r="T247" s="5" t="str">
        <f aca="false">IF(R247="","",IF(S247*2&gt;=K247,"High","Low"))</f>
        <v/>
      </c>
      <c r="U247" s="5"/>
      <c r="V247" s="5"/>
      <c r="W247" s="5"/>
      <c r="X247" s="5"/>
      <c r="Y247" s="7"/>
      <c r="Z247" s="7"/>
      <c r="AA247" s="7"/>
      <c r="AB247" s="7"/>
      <c r="AC247" s="7"/>
    </row>
    <row r="248" customFormat="false" ht="15" hidden="false" customHeight="false" outlineLevel="0" collapsed="false">
      <c r="A248" s="5" t="s">
        <v>1621</v>
      </c>
      <c r="B248" s="5" t="s">
        <v>40</v>
      </c>
      <c r="C248" s="5" t="s">
        <v>1622</v>
      </c>
      <c r="D248" s="5"/>
      <c r="E248" s="5" t="s">
        <v>1545</v>
      </c>
      <c r="F248" s="5"/>
      <c r="G248" s="5"/>
      <c r="H248" s="5"/>
      <c r="I248" s="10" t="s">
        <v>137</v>
      </c>
      <c r="J248" s="5" t="s">
        <v>1053</v>
      </c>
      <c r="K248" s="5" t="n">
        <f aca="false">COUNTIF(Probe_Pairs!$B:$B,A248)</f>
        <v>6</v>
      </c>
      <c r="L248" s="5" t="n">
        <f aca="false">COUNTIFS(Probe_Pairs!$B:$B,A248,Probe_Pairs!$S:$S,"Both halves")</f>
        <v>0</v>
      </c>
      <c r="M248" s="5"/>
      <c r="N248" s="5" t="s">
        <v>1622</v>
      </c>
      <c r="O248" s="5" t="s">
        <v>1549</v>
      </c>
      <c r="P248" s="5"/>
      <c r="Q248" s="5"/>
      <c r="R248" s="5"/>
      <c r="S248" s="5" t="str">
        <f aca="false">IF(R248="","",COUNTIFS(Probe_Pairs!$B:$B,A248,Probe_Pairs!$X:$X,"Both halves"))</f>
        <v/>
      </c>
      <c r="T248" s="5" t="str">
        <f aca="false">IF(R248="","",IF(S248*2&gt;=K248,"High","Low"))</f>
        <v/>
      </c>
      <c r="U248" s="5"/>
      <c r="V248" s="5"/>
      <c r="W248" s="5"/>
      <c r="X248" s="5"/>
      <c r="Y248" s="7"/>
      <c r="Z248" s="7"/>
      <c r="AA248" s="7"/>
      <c r="AB248" s="7"/>
      <c r="AC248" s="7"/>
    </row>
    <row r="249" customFormat="false" ht="15" hidden="false" customHeight="false" outlineLevel="0" collapsed="false">
      <c r="A249" s="5" t="s">
        <v>1623</v>
      </c>
      <c r="B249" s="5" t="s">
        <v>40</v>
      </c>
      <c r="C249" s="5" t="s">
        <v>1624</v>
      </c>
      <c r="D249" s="5"/>
      <c r="E249" s="5" t="s">
        <v>1545</v>
      </c>
      <c r="F249" s="5"/>
      <c r="G249" s="5"/>
      <c r="H249" s="5"/>
      <c r="I249" s="10" t="s">
        <v>137</v>
      </c>
      <c r="J249" s="5" t="s">
        <v>1053</v>
      </c>
      <c r="K249" s="5" t="n">
        <f aca="false">COUNTIF(Probe_Pairs!$B:$B,A249)</f>
        <v>6</v>
      </c>
      <c r="L249" s="5" t="n">
        <f aca="false">COUNTIFS(Probe_Pairs!$B:$B,A249,Probe_Pairs!$S:$S,"Both halves")</f>
        <v>0</v>
      </c>
      <c r="M249" s="5"/>
      <c r="N249" s="5" t="s">
        <v>1624</v>
      </c>
      <c r="O249" s="5" t="s">
        <v>1546</v>
      </c>
      <c r="P249" s="5"/>
      <c r="Q249" s="5"/>
      <c r="R249" s="5"/>
      <c r="S249" s="5" t="str">
        <f aca="false">IF(R249="","",COUNTIFS(Probe_Pairs!$B:$B,A249,Probe_Pairs!$X:$X,"Both halves"))</f>
        <v/>
      </c>
      <c r="T249" s="5" t="str">
        <f aca="false">IF(R249="","",IF(S249*2&gt;=K249,"High","Low"))</f>
        <v/>
      </c>
      <c r="U249" s="5"/>
      <c r="V249" s="5"/>
      <c r="W249" s="5"/>
      <c r="X249" s="5"/>
      <c r="Y249" s="7"/>
      <c r="Z249" s="7"/>
      <c r="AA249" s="7"/>
      <c r="AB249" s="7"/>
      <c r="AC249" s="7"/>
    </row>
    <row r="250" customFormat="false" ht="15" hidden="false" customHeight="false" outlineLevel="0" collapsed="false">
      <c r="A250" s="5" t="s">
        <v>1625</v>
      </c>
      <c r="B250" s="5" t="s">
        <v>40</v>
      </c>
      <c r="C250" s="5" t="s">
        <v>1626</v>
      </c>
      <c r="D250" s="5"/>
      <c r="E250" s="5" t="s">
        <v>1545</v>
      </c>
      <c r="F250" s="5"/>
      <c r="G250" s="5"/>
      <c r="H250" s="5"/>
      <c r="I250" s="10" t="s">
        <v>137</v>
      </c>
      <c r="J250" s="5" t="s">
        <v>1053</v>
      </c>
      <c r="K250" s="5" t="n">
        <f aca="false">COUNTIF(Probe_Pairs!$B:$B,A250)</f>
        <v>6</v>
      </c>
      <c r="L250" s="5" t="n">
        <f aca="false">COUNTIFS(Probe_Pairs!$B:$B,A250,Probe_Pairs!$S:$S,"Both halves")</f>
        <v>0</v>
      </c>
      <c r="M250" s="5"/>
      <c r="N250" s="5" t="s">
        <v>1626</v>
      </c>
      <c r="O250" s="5" t="s">
        <v>1549</v>
      </c>
      <c r="P250" s="5"/>
      <c r="Q250" s="5"/>
      <c r="R250" s="5"/>
      <c r="S250" s="5" t="str">
        <f aca="false">IF(R250="","",COUNTIFS(Probe_Pairs!$B:$B,A250,Probe_Pairs!$X:$X,"Both halves"))</f>
        <v/>
      </c>
      <c r="T250" s="5" t="str">
        <f aca="false">IF(R250="","",IF(S250*2&gt;=K250,"High","Low"))</f>
        <v/>
      </c>
      <c r="U250" s="5"/>
      <c r="V250" s="5"/>
      <c r="W250" s="5"/>
      <c r="X250" s="5"/>
      <c r="Y250" s="7"/>
      <c r="Z250" s="7"/>
      <c r="AA250" s="7"/>
      <c r="AB250" s="7"/>
      <c r="AC250" s="7"/>
    </row>
    <row r="251" customFormat="false" ht="15" hidden="false" customHeight="false" outlineLevel="0" collapsed="false">
      <c r="A251" s="5" t="s">
        <v>1627</v>
      </c>
      <c r="B251" s="5" t="s">
        <v>40</v>
      </c>
      <c r="C251" s="5" t="s">
        <v>1628</v>
      </c>
      <c r="D251" s="5"/>
      <c r="E251" s="5" t="s">
        <v>1545</v>
      </c>
      <c r="F251" s="5"/>
      <c r="G251" s="5"/>
      <c r="H251" s="5"/>
      <c r="I251" s="10" t="s">
        <v>137</v>
      </c>
      <c r="J251" s="5" t="s">
        <v>1053</v>
      </c>
      <c r="K251" s="5" t="n">
        <f aca="false">COUNTIF(Probe_Pairs!$B:$B,A251)</f>
        <v>6</v>
      </c>
      <c r="L251" s="5" t="n">
        <f aca="false">COUNTIFS(Probe_Pairs!$B:$B,A251,Probe_Pairs!$S:$S,"Both halves")</f>
        <v>0</v>
      </c>
      <c r="M251" s="5"/>
      <c r="N251" s="5" t="s">
        <v>1628</v>
      </c>
      <c r="O251" s="5" t="s">
        <v>1549</v>
      </c>
      <c r="P251" s="5"/>
      <c r="Q251" s="5"/>
      <c r="R251" s="5"/>
      <c r="S251" s="5" t="str">
        <f aca="false">IF(R251="","",COUNTIFS(Probe_Pairs!$B:$B,A251,Probe_Pairs!$X:$X,"Both halves"))</f>
        <v/>
      </c>
      <c r="T251" s="5" t="str">
        <f aca="false">IF(R251="","",IF(S251*2&gt;=K251,"High","Low"))</f>
        <v/>
      </c>
      <c r="U251" s="5"/>
      <c r="V251" s="5"/>
      <c r="W251" s="5"/>
      <c r="X251" s="5"/>
      <c r="Y251" s="7"/>
      <c r="Z251" s="7"/>
      <c r="AA251" s="7"/>
      <c r="AB251" s="7"/>
      <c r="AC251" s="7"/>
    </row>
    <row r="252" customFormat="false" ht="15" hidden="false" customHeight="false" outlineLevel="0" collapsed="false">
      <c r="A252" s="5" t="s">
        <v>1629</v>
      </c>
      <c r="B252" s="5" t="s">
        <v>40</v>
      </c>
      <c r="C252" s="5" t="s">
        <v>1630</v>
      </c>
      <c r="D252" s="5"/>
      <c r="E252" s="5" t="s">
        <v>1545</v>
      </c>
      <c r="F252" s="5"/>
      <c r="G252" s="5"/>
      <c r="H252" s="5"/>
      <c r="I252" s="10" t="s">
        <v>137</v>
      </c>
      <c r="J252" s="5" t="s">
        <v>1053</v>
      </c>
      <c r="K252" s="5" t="n">
        <f aca="false">COUNTIF(Probe_Pairs!$B:$B,A252)</f>
        <v>8</v>
      </c>
      <c r="L252" s="5" t="n">
        <f aca="false">COUNTIFS(Probe_Pairs!$B:$B,A252,Probe_Pairs!$S:$S,"Both halves")</f>
        <v>0</v>
      </c>
      <c r="M252" s="5"/>
      <c r="N252" s="5" t="s">
        <v>1630</v>
      </c>
      <c r="O252" s="5" t="s">
        <v>1556</v>
      </c>
      <c r="P252" s="5"/>
      <c r="Q252" s="5"/>
      <c r="R252" s="5"/>
      <c r="S252" s="5" t="str">
        <f aca="false">IF(R252="","",COUNTIFS(Probe_Pairs!$B:$B,A252,Probe_Pairs!$X:$X,"Both halves"))</f>
        <v/>
      </c>
      <c r="T252" s="5" t="str">
        <f aca="false">IF(R252="","",IF(S252*2&gt;=K252,"High","Low"))</f>
        <v/>
      </c>
      <c r="U252" s="5"/>
      <c r="V252" s="5"/>
      <c r="W252" s="5"/>
      <c r="X252" s="5"/>
      <c r="Y252" s="7"/>
      <c r="Z252" s="7"/>
      <c r="AA252" s="7"/>
      <c r="AB252" s="7"/>
      <c r="AC252" s="7"/>
    </row>
    <row r="253" customFormat="false" ht="15" hidden="false" customHeight="false" outlineLevel="0" collapsed="false">
      <c r="A253" s="5" t="s">
        <v>1631</v>
      </c>
      <c r="B253" s="5" t="s">
        <v>40</v>
      </c>
      <c r="C253" s="5" t="s">
        <v>1632</v>
      </c>
      <c r="D253" s="5"/>
      <c r="E253" s="5" t="s">
        <v>1545</v>
      </c>
      <c r="F253" s="5"/>
      <c r="G253" s="5"/>
      <c r="H253" s="5"/>
      <c r="I253" s="10" t="s">
        <v>137</v>
      </c>
      <c r="J253" s="5" t="s">
        <v>1053</v>
      </c>
      <c r="K253" s="5" t="n">
        <f aca="false">COUNTIF(Probe_Pairs!$B:$B,A253)</f>
        <v>6</v>
      </c>
      <c r="L253" s="5" t="n">
        <f aca="false">COUNTIFS(Probe_Pairs!$B:$B,A253,Probe_Pairs!$S:$S,"Both halves")</f>
        <v>0</v>
      </c>
      <c r="M253" s="5"/>
      <c r="N253" s="5" t="s">
        <v>1632</v>
      </c>
      <c r="O253" s="5" t="s">
        <v>1549</v>
      </c>
      <c r="P253" s="5"/>
      <c r="Q253" s="5"/>
      <c r="R253" s="5"/>
      <c r="S253" s="5" t="str">
        <f aca="false">IF(R253="","",COUNTIFS(Probe_Pairs!$B:$B,A253,Probe_Pairs!$X:$X,"Both halves"))</f>
        <v/>
      </c>
      <c r="T253" s="5" t="str">
        <f aca="false">IF(R253="","",IF(S253*2&gt;=K253,"High","Low"))</f>
        <v/>
      </c>
      <c r="U253" s="5"/>
      <c r="V253" s="5"/>
      <c r="W253" s="5"/>
      <c r="X253" s="5"/>
      <c r="Y253" s="7"/>
      <c r="Z253" s="7"/>
      <c r="AA253" s="7"/>
      <c r="AB253" s="7"/>
      <c r="AC253" s="7"/>
    </row>
    <row r="254" customFormat="false" ht="15" hidden="false" customHeight="false" outlineLevel="0" collapsed="false">
      <c r="A254" s="5" t="s">
        <v>1633</v>
      </c>
      <c r="B254" s="5" t="s">
        <v>40</v>
      </c>
      <c r="C254" s="5" t="s">
        <v>1634</v>
      </c>
      <c r="D254" s="5"/>
      <c r="E254" s="5" t="s">
        <v>1545</v>
      </c>
      <c r="F254" s="5"/>
      <c r="G254" s="5"/>
      <c r="H254" s="5"/>
      <c r="I254" s="10" t="s">
        <v>137</v>
      </c>
      <c r="J254" s="5" t="s">
        <v>1053</v>
      </c>
      <c r="K254" s="5" t="n">
        <f aca="false">COUNTIF(Probe_Pairs!$B:$B,A254)</f>
        <v>6</v>
      </c>
      <c r="L254" s="5" t="n">
        <f aca="false">COUNTIFS(Probe_Pairs!$B:$B,A254,Probe_Pairs!$S:$S,"Both halves")</f>
        <v>0</v>
      </c>
      <c r="M254" s="5"/>
      <c r="N254" s="5" t="s">
        <v>1634</v>
      </c>
      <c r="O254" s="5" t="s">
        <v>1549</v>
      </c>
      <c r="P254" s="5"/>
      <c r="Q254" s="5"/>
      <c r="R254" s="5"/>
      <c r="S254" s="5" t="str">
        <f aca="false">IF(R254="","",COUNTIFS(Probe_Pairs!$B:$B,A254,Probe_Pairs!$X:$X,"Both halves"))</f>
        <v/>
      </c>
      <c r="T254" s="5" t="str">
        <f aca="false">IF(R254="","",IF(S254*2&gt;=K254,"High","Low"))</f>
        <v/>
      </c>
      <c r="U254" s="5"/>
      <c r="V254" s="5"/>
      <c r="W254" s="5"/>
      <c r="X254" s="5"/>
      <c r="Y254" s="7"/>
      <c r="Z254" s="7"/>
      <c r="AA254" s="7"/>
      <c r="AB254" s="7"/>
      <c r="AC254" s="7"/>
    </row>
    <row r="255" customFormat="false" ht="15" hidden="false" customHeight="false" outlineLevel="0" collapsed="false">
      <c r="A255" s="5" t="s">
        <v>1635</v>
      </c>
      <c r="B255" s="5" t="s">
        <v>40</v>
      </c>
      <c r="C255" s="5" t="s">
        <v>1636</v>
      </c>
      <c r="D255" s="5"/>
      <c r="E255" s="5" t="s">
        <v>1545</v>
      </c>
      <c r="F255" s="5"/>
      <c r="G255" s="5"/>
      <c r="H255" s="5"/>
      <c r="I255" s="10" t="s">
        <v>137</v>
      </c>
      <c r="J255" s="5" t="s">
        <v>1053</v>
      </c>
      <c r="K255" s="5" t="n">
        <f aca="false">COUNTIF(Probe_Pairs!$B:$B,A255)</f>
        <v>6</v>
      </c>
      <c r="L255" s="5" t="n">
        <f aca="false">COUNTIFS(Probe_Pairs!$B:$B,A255,Probe_Pairs!$S:$S,"Both halves")</f>
        <v>0</v>
      </c>
      <c r="M255" s="5"/>
      <c r="N255" s="5" t="s">
        <v>1637</v>
      </c>
      <c r="O255" s="5" t="s">
        <v>1549</v>
      </c>
      <c r="P255" s="5"/>
      <c r="Q255" s="5"/>
      <c r="R255" s="5"/>
      <c r="S255" s="5" t="str">
        <f aca="false">IF(R255="","",COUNTIFS(Probe_Pairs!$B:$B,A255,Probe_Pairs!$X:$X,"Both halves"))</f>
        <v/>
      </c>
      <c r="T255" s="5" t="str">
        <f aca="false">IF(R255="","",IF(S255*2&gt;=K255,"High","Low"))</f>
        <v/>
      </c>
      <c r="U255" s="5"/>
      <c r="V255" s="5"/>
      <c r="W255" s="5"/>
      <c r="X255" s="5"/>
      <c r="Y255" s="7"/>
      <c r="Z255" s="7"/>
      <c r="AA255" s="7"/>
      <c r="AB255" s="7"/>
      <c r="AC255" s="7"/>
    </row>
    <row r="256" customFormat="false" ht="15" hidden="false" customHeight="false" outlineLevel="0" collapsed="false">
      <c r="A256" s="5" t="s">
        <v>1638</v>
      </c>
      <c r="B256" s="5" t="s">
        <v>40</v>
      </c>
      <c r="C256" s="5" t="s">
        <v>1639</v>
      </c>
      <c r="D256" s="5"/>
      <c r="E256" s="5" t="s">
        <v>1545</v>
      </c>
      <c r="F256" s="5"/>
      <c r="G256" s="5"/>
      <c r="H256" s="5"/>
      <c r="I256" s="10" t="s">
        <v>137</v>
      </c>
      <c r="J256" s="5" t="s">
        <v>1053</v>
      </c>
      <c r="K256" s="5" t="n">
        <f aca="false">COUNTIF(Probe_Pairs!$B:$B,A256)</f>
        <v>6</v>
      </c>
      <c r="L256" s="5" t="n">
        <f aca="false">COUNTIFS(Probe_Pairs!$B:$B,A256,Probe_Pairs!$S:$S,"Both halves")</f>
        <v>0</v>
      </c>
      <c r="M256" s="5"/>
      <c r="N256" s="5" t="s">
        <v>1639</v>
      </c>
      <c r="O256" s="5" t="s">
        <v>1546</v>
      </c>
      <c r="P256" s="5"/>
      <c r="Q256" s="5"/>
      <c r="R256" s="5"/>
      <c r="S256" s="5" t="str">
        <f aca="false">IF(R256="","",COUNTIFS(Probe_Pairs!$B:$B,A256,Probe_Pairs!$X:$X,"Both halves"))</f>
        <v/>
      </c>
      <c r="T256" s="5" t="str">
        <f aca="false">IF(R256="","",IF(S256*2&gt;=K256,"High","Low"))</f>
        <v/>
      </c>
      <c r="U256" s="5"/>
      <c r="V256" s="5"/>
      <c r="W256" s="5"/>
      <c r="X256" s="5"/>
      <c r="Y256" s="7"/>
      <c r="Z256" s="7"/>
      <c r="AA256" s="7"/>
      <c r="AB256" s="7"/>
      <c r="AC256" s="7"/>
    </row>
    <row r="257" customFormat="false" ht="15" hidden="false" customHeight="false" outlineLevel="0" collapsed="false">
      <c r="A257" s="5" t="s">
        <v>1640</v>
      </c>
      <c r="B257" s="5" t="s">
        <v>40</v>
      </c>
      <c r="C257" s="5" t="s">
        <v>1641</v>
      </c>
      <c r="D257" s="5"/>
      <c r="E257" s="5" t="s">
        <v>1545</v>
      </c>
      <c r="F257" s="5"/>
      <c r="G257" s="5"/>
      <c r="H257" s="5"/>
      <c r="I257" s="10" t="s">
        <v>137</v>
      </c>
      <c r="J257" s="5" t="s">
        <v>1053</v>
      </c>
      <c r="K257" s="5" t="n">
        <f aca="false">COUNTIF(Probe_Pairs!$B:$B,A257)</f>
        <v>6</v>
      </c>
      <c r="L257" s="5" t="n">
        <f aca="false">COUNTIFS(Probe_Pairs!$B:$B,A257,Probe_Pairs!$S:$S,"Both halves")</f>
        <v>0</v>
      </c>
      <c r="M257" s="5"/>
      <c r="N257" s="5" t="s">
        <v>1641</v>
      </c>
      <c r="O257" s="5" t="s">
        <v>1546</v>
      </c>
      <c r="P257" s="5"/>
      <c r="Q257" s="5"/>
      <c r="R257" s="5"/>
      <c r="S257" s="5" t="str">
        <f aca="false">IF(R257="","",COUNTIFS(Probe_Pairs!$B:$B,A257,Probe_Pairs!$X:$X,"Both halves"))</f>
        <v/>
      </c>
      <c r="T257" s="5" t="str">
        <f aca="false">IF(R257="","",IF(S257*2&gt;=K257,"High","Low"))</f>
        <v/>
      </c>
      <c r="U257" s="5"/>
      <c r="V257" s="5"/>
      <c r="W257" s="5"/>
      <c r="X257" s="5"/>
      <c r="Y257" s="7"/>
      <c r="Z257" s="7"/>
      <c r="AA257" s="7"/>
      <c r="AB257" s="7"/>
      <c r="AC257" s="7"/>
    </row>
    <row r="258" customFormat="false" ht="15" hidden="false" customHeight="false" outlineLevel="0" collapsed="false">
      <c r="A258" s="5" t="s">
        <v>1642</v>
      </c>
      <c r="B258" s="5" t="s">
        <v>40</v>
      </c>
      <c r="C258" s="5" t="s">
        <v>1643</v>
      </c>
      <c r="D258" s="5"/>
      <c r="E258" s="5" t="s">
        <v>1545</v>
      </c>
      <c r="F258" s="5"/>
      <c r="G258" s="5"/>
      <c r="H258" s="5"/>
      <c r="I258" s="10" t="s">
        <v>137</v>
      </c>
      <c r="J258" s="5" t="s">
        <v>1053</v>
      </c>
      <c r="K258" s="5" t="n">
        <f aca="false">COUNTIF(Probe_Pairs!$B:$B,A258)</f>
        <v>6</v>
      </c>
      <c r="L258" s="5" t="n">
        <f aca="false">COUNTIFS(Probe_Pairs!$B:$B,A258,Probe_Pairs!$S:$S,"Both halves")</f>
        <v>0</v>
      </c>
      <c r="M258" s="5"/>
      <c r="N258" s="5" t="s">
        <v>1643</v>
      </c>
      <c r="O258" s="5" t="s">
        <v>1546</v>
      </c>
      <c r="P258" s="5"/>
      <c r="Q258" s="5"/>
      <c r="R258" s="5"/>
      <c r="S258" s="5" t="str">
        <f aca="false">IF(R258="","",COUNTIFS(Probe_Pairs!$B:$B,A258,Probe_Pairs!$X:$X,"Both halves"))</f>
        <v/>
      </c>
      <c r="T258" s="5" t="str">
        <f aca="false">IF(R258="","",IF(S258*2&gt;=K258,"High","Low"))</f>
        <v/>
      </c>
      <c r="U258" s="5"/>
      <c r="V258" s="5"/>
      <c r="W258" s="5"/>
      <c r="X258" s="5"/>
      <c r="Y258" s="7"/>
      <c r="Z258" s="7"/>
      <c r="AA258" s="7"/>
      <c r="AB258" s="7"/>
      <c r="AC258" s="7"/>
    </row>
    <row r="259" customFormat="false" ht="15" hidden="false" customHeight="false" outlineLevel="0" collapsed="false">
      <c r="A259" s="5" t="s">
        <v>1644</v>
      </c>
      <c r="B259" s="5" t="s">
        <v>40</v>
      </c>
      <c r="C259" s="5" t="s">
        <v>1645</v>
      </c>
      <c r="D259" s="5"/>
      <c r="E259" s="5" t="s">
        <v>1545</v>
      </c>
      <c r="F259" s="5"/>
      <c r="G259" s="5"/>
      <c r="H259" s="5"/>
      <c r="I259" s="10" t="s">
        <v>137</v>
      </c>
      <c r="J259" s="5" t="s">
        <v>1053</v>
      </c>
      <c r="K259" s="5" t="n">
        <f aca="false">COUNTIF(Probe_Pairs!$B:$B,A259)</f>
        <v>5</v>
      </c>
      <c r="L259" s="5" t="n">
        <f aca="false">COUNTIFS(Probe_Pairs!$B:$B,A259,Probe_Pairs!$S:$S,"Both halves")</f>
        <v>0</v>
      </c>
      <c r="M259" s="5"/>
      <c r="N259" s="5" t="s">
        <v>1645</v>
      </c>
      <c r="O259" s="5" t="s">
        <v>1546</v>
      </c>
      <c r="P259" s="5"/>
      <c r="Q259" s="5"/>
      <c r="R259" s="5"/>
      <c r="S259" s="5" t="str">
        <f aca="false">IF(R259="","",COUNTIFS(Probe_Pairs!$B:$B,A259,Probe_Pairs!$X:$X,"Both halves"))</f>
        <v/>
      </c>
      <c r="T259" s="5" t="str">
        <f aca="false">IF(R259="","",IF(S259*2&gt;=K259,"High","Low"))</f>
        <v/>
      </c>
      <c r="U259" s="5"/>
      <c r="V259" s="5"/>
      <c r="W259" s="5"/>
      <c r="X259" s="5"/>
      <c r="Y259" s="7"/>
      <c r="Z259" s="7"/>
      <c r="AA259" s="7"/>
      <c r="AB259" s="7"/>
      <c r="AC259" s="7"/>
    </row>
  </sheetData>
  <autoFilter ref="A1:AC259"/>
  <dataValidations count="1">
    <dataValidation allowBlank="true" errorStyle="stop" operator="between" showDropDown="false" showErrorMessage="false" showInputMessage="false" sqref="Y2:Y1259" type="list">
      <formula1>"Designed,Ordered,In stock,Validated,Failed,Retired"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8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4" min="4" style="0" width="9"/>
    <col collapsed="false" customWidth="true" hidden="false" outlineLevel="0" max="5" min="5" style="0" width="6"/>
    <col collapsed="false" customWidth="true" hidden="false" outlineLevel="0" max="6" min="6" style="0" width="26"/>
    <col collapsed="false" customWidth="true" hidden="false" outlineLevel="0" max="7" min="7" style="0" width="52"/>
    <col collapsed="false" customWidth="true" hidden="false" outlineLevel="0" max="8" min="8" style="0" width="26"/>
    <col collapsed="false" customWidth="true" hidden="false" outlineLevel="0" max="9" min="9" style="0" width="52"/>
    <col collapsed="false" customWidth="true" hidden="false" outlineLevel="0" max="11" min="10" style="0" width="26"/>
    <col collapsed="false" customWidth="true" hidden="false" outlineLevel="0" max="13" min="12" style="0" width="30"/>
    <col collapsed="false" customWidth="true" hidden="false" outlineLevel="0" max="17" min="14" style="0" width="8"/>
    <col collapsed="false" customWidth="true" hidden="false" outlineLevel="0" max="18" min="18" style="0" width="9"/>
    <col collapsed="false" customWidth="true" hidden="false" outlineLevel="0" max="19" min="19" style="0" width="12"/>
    <col collapsed="false" customWidth="true" hidden="false" outlineLevel="0" max="20" min="20" style="0" width="10"/>
    <col collapsed="false" customWidth="true" hidden="false" outlineLevel="0" max="21" min="21" style="0" width="15"/>
    <col collapsed="false" customWidth="true" hidden="false" outlineLevel="0" max="22" min="22" style="0" width="34"/>
    <col collapsed="false" customWidth="true" hidden="false" outlineLevel="0" max="23" min="23" style="0" width="30"/>
    <col collapsed="false" customWidth="true" hidden="false" outlineLevel="0" max="24" min="24" style="0" width="14"/>
    <col collapsed="false" customWidth="true" hidden="false" outlineLevel="0" max="25" min="25" style="0" width="40"/>
  </cols>
  <sheetData>
    <row r="1" customFormat="false" ht="31.5" hidden="false" customHeight="true" outlineLevel="0" collapsed="false">
      <c r="A1" s="3" t="s">
        <v>1646</v>
      </c>
      <c r="B1" s="3" t="s">
        <v>10</v>
      </c>
      <c r="C1" s="3" t="s">
        <v>1647</v>
      </c>
      <c r="D1" s="3" t="s">
        <v>18</v>
      </c>
      <c r="E1" s="3" t="s">
        <v>1648</v>
      </c>
      <c r="F1" s="3" t="s">
        <v>1649</v>
      </c>
      <c r="G1" s="3" t="s">
        <v>1650</v>
      </c>
      <c r="H1" s="3" t="s">
        <v>1651</v>
      </c>
      <c r="I1" s="3" t="s">
        <v>1652</v>
      </c>
      <c r="J1" s="3" t="s">
        <v>1653</v>
      </c>
      <c r="K1" s="3" t="s">
        <v>1654</v>
      </c>
      <c r="L1" s="3" t="s">
        <v>1655</v>
      </c>
      <c r="M1" s="3" t="s">
        <v>1656</v>
      </c>
      <c r="N1" s="3" t="s">
        <v>1657</v>
      </c>
      <c r="O1" s="3" t="s">
        <v>1658</v>
      </c>
      <c r="P1" s="3" t="s">
        <v>1659</v>
      </c>
      <c r="Q1" s="3" t="s">
        <v>1660</v>
      </c>
      <c r="R1" s="3" t="s">
        <v>1661</v>
      </c>
      <c r="S1" s="3" t="s">
        <v>1662</v>
      </c>
      <c r="T1" s="3" t="s">
        <v>1663</v>
      </c>
      <c r="U1" s="3" t="s">
        <v>1664</v>
      </c>
      <c r="V1" s="3" t="s">
        <v>24</v>
      </c>
      <c r="W1" s="3" t="s">
        <v>1665</v>
      </c>
      <c r="X1" s="3" t="s">
        <v>1666</v>
      </c>
      <c r="Y1" s="3" t="s">
        <v>1667</v>
      </c>
    </row>
    <row r="2" customFormat="false" ht="15" hidden="false" customHeight="false" outlineLevel="0" collapsed="false">
      <c r="A2" s="5" t="s">
        <v>1668</v>
      </c>
      <c r="B2" s="5" t="s">
        <v>39</v>
      </c>
      <c r="C2" s="5" t="s">
        <v>41</v>
      </c>
      <c r="D2" s="6" t="s">
        <v>45</v>
      </c>
      <c r="E2" s="5" t="n">
        <v>1</v>
      </c>
      <c r="F2" s="5" t="s">
        <v>1669</v>
      </c>
      <c r="G2" s="13" t="s">
        <v>1670</v>
      </c>
      <c r="H2" s="5" t="s">
        <v>1671</v>
      </c>
      <c r="I2" s="13" t="s">
        <v>1672</v>
      </c>
      <c r="J2" s="5" t="s">
        <v>1673</v>
      </c>
      <c r="K2" s="5" t="s">
        <v>1674</v>
      </c>
      <c r="L2" s="13" t="s">
        <v>1675</v>
      </c>
      <c r="M2" s="13" t="s">
        <v>1676</v>
      </c>
      <c r="N2" s="5" t="n">
        <f aca="false">LEN(L2)</f>
        <v>25</v>
      </c>
      <c r="O2" s="5" t="n">
        <f aca="false">LEN(M2)</f>
        <v>25</v>
      </c>
      <c r="P2" s="14" t="n">
        <f aca="false">IF(N2=0,"",(N2-LEN(SUBSTITUTE(SUBSTITUTE(L2,"G",""),"C","")))/N2)</f>
        <v>0.32</v>
      </c>
      <c r="Q2" s="14" t="n">
        <f aca="false">IF(O2=0,"",(O2-LEN(SUBSTITUTE(SUBSTITUTE(M2,"G",""),"C","")))/O2)</f>
        <v>0.24</v>
      </c>
      <c r="R2" s="5" t="s">
        <v>48</v>
      </c>
      <c r="S2" s="15" t="s">
        <v>1677</v>
      </c>
      <c r="T2" s="5" t="n">
        <v>210</v>
      </c>
      <c r="U2" s="5" t="s">
        <v>1678</v>
      </c>
      <c r="V2" s="5" t="s">
        <v>47</v>
      </c>
      <c r="W2" s="5"/>
      <c r="X2" s="15" t="s">
        <v>1677</v>
      </c>
      <c r="Y2" s="5"/>
    </row>
    <row r="3" customFormat="false" ht="15" hidden="false" customHeight="false" outlineLevel="0" collapsed="false">
      <c r="A3" s="5" t="s">
        <v>1679</v>
      </c>
      <c r="B3" s="5" t="s">
        <v>39</v>
      </c>
      <c r="C3" s="5" t="s">
        <v>41</v>
      </c>
      <c r="D3" s="6" t="s">
        <v>45</v>
      </c>
      <c r="E3" s="5" t="n">
        <v>2</v>
      </c>
      <c r="F3" s="5" t="s">
        <v>1680</v>
      </c>
      <c r="G3" s="13" t="s">
        <v>1681</v>
      </c>
      <c r="H3" s="5" t="s">
        <v>1682</v>
      </c>
      <c r="I3" s="13" t="s">
        <v>1683</v>
      </c>
      <c r="J3" s="5" t="s">
        <v>1684</v>
      </c>
      <c r="K3" s="5" t="s">
        <v>1685</v>
      </c>
      <c r="L3" s="13" t="s">
        <v>1686</v>
      </c>
      <c r="M3" s="13" t="s">
        <v>1687</v>
      </c>
      <c r="N3" s="5" t="n">
        <f aca="false">LEN(L3)</f>
        <v>25</v>
      </c>
      <c r="O3" s="5" t="n">
        <f aca="false">LEN(M3)</f>
        <v>25</v>
      </c>
      <c r="P3" s="14" t="n">
        <f aca="false">IF(N3=0,"",(N3-LEN(SUBSTITUTE(SUBSTITUTE(L3,"G",""),"C","")))/N3)</f>
        <v>0.44</v>
      </c>
      <c r="Q3" s="14" t="n">
        <f aca="false">IF(O3=0,"",(O3-LEN(SUBSTITUTE(SUBSTITUTE(M3,"G",""),"C","")))/O3)</f>
        <v>0.28</v>
      </c>
      <c r="R3" s="5" t="s">
        <v>48</v>
      </c>
      <c r="S3" s="15" t="s">
        <v>1677</v>
      </c>
      <c r="T3" s="5" t="n">
        <v>277</v>
      </c>
      <c r="U3" s="5" t="s">
        <v>1678</v>
      </c>
      <c r="V3" s="5" t="s">
        <v>47</v>
      </c>
      <c r="W3" s="5"/>
      <c r="X3" s="15" t="s">
        <v>1677</v>
      </c>
      <c r="Y3" s="5"/>
    </row>
    <row r="4" customFormat="false" ht="15" hidden="false" customHeight="false" outlineLevel="0" collapsed="false">
      <c r="A4" s="5" t="s">
        <v>1688</v>
      </c>
      <c r="B4" s="5" t="s">
        <v>39</v>
      </c>
      <c r="C4" s="5" t="s">
        <v>41</v>
      </c>
      <c r="D4" s="6" t="s">
        <v>45</v>
      </c>
      <c r="E4" s="5" t="n">
        <v>3</v>
      </c>
      <c r="F4" s="5" t="s">
        <v>1689</v>
      </c>
      <c r="G4" s="13" t="s">
        <v>1690</v>
      </c>
      <c r="H4" s="5" t="s">
        <v>1691</v>
      </c>
      <c r="I4" s="13" t="s">
        <v>1692</v>
      </c>
      <c r="J4" s="5" t="s">
        <v>1693</v>
      </c>
      <c r="K4" s="5" t="s">
        <v>1694</v>
      </c>
      <c r="L4" s="13" t="s">
        <v>1695</v>
      </c>
      <c r="M4" s="13" t="s">
        <v>1696</v>
      </c>
      <c r="N4" s="5" t="n">
        <f aca="false">LEN(L4)</f>
        <v>25</v>
      </c>
      <c r="O4" s="5" t="n">
        <f aca="false">LEN(M4)</f>
        <v>25</v>
      </c>
      <c r="P4" s="14" t="n">
        <f aca="false">IF(N4=0,"",(N4-LEN(SUBSTITUTE(SUBSTITUTE(L4,"G",""),"C","")))/N4)</f>
        <v>0.36</v>
      </c>
      <c r="Q4" s="14" t="n">
        <f aca="false">IF(O4=0,"",(O4-LEN(SUBSTITUTE(SUBSTITUTE(M4,"G",""),"C","")))/O4)</f>
        <v>0.32</v>
      </c>
      <c r="R4" s="5" t="s">
        <v>48</v>
      </c>
      <c r="S4" s="15" t="s">
        <v>1677</v>
      </c>
      <c r="T4" s="5" t="n">
        <v>345</v>
      </c>
      <c r="U4" s="5" t="s">
        <v>1678</v>
      </c>
      <c r="V4" s="5" t="s">
        <v>47</v>
      </c>
      <c r="W4" s="5"/>
      <c r="X4" s="15" t="s">
        <v>1677</v>
      </c>
      <c r="Y4" s="5"/>
    </row>
    <row r="5" customFormat="false" ht="15" hidden="false" customHeight="false" outlineLevel="0" collapsed="false">
      <c r="A5" s="5" t="s">
        <v>1697</v>
      </c>
      <c r="B5" s="5" t="s">
        <v>39</v>
      </c>
      <c r="C5" s="5" t="s">
        <v>41</v>
      </c>
      <c r="D5" s="6" t="s">
        <v>45</v>
      </c>
      <c r="E5" s="5" t="n">
        <v>4</v>
      </c>
      <c r="F5" s="5" t="s">
        <v>1698</v>
      </c>
      <c r="G5" s="13" t="s">
        <v>1699</v>
      </c>
      <c r="H5" s="5" t="s">
        <v>1700</v>
      </c>
      <c r="I5" s="13" t="s">
        <v>1701</v>
      </c>
      <c r="J5" s="5" t="s">
        <v>1702</v>
      </c>
      <c r="K5" s="5" t="s">
        <v>1703</v>
      </c>
      <c r="L5" s="13" t="s">
        <v>1704</v>
      </c>
      <c r="M5" s="13" t="s">
        <v>1705</v>
      </c>
      <c r="N5" s="5" t="n">
        <f aca="false">LEN(L5)</f>
        <v>25</v>
      </c>
      <c r="O5" s="5" t="n">
        <f aca="false">LEN(M5)</f>
        <v>25</v>
      </c>
      <c r="P5" s="14" t="n">
        <f aca="false">IF(N5=0,"",(N5-LEN(SUBSTITUTE(SUBSTITUTE(L5,"G",""),"C","")))/N5)</f>
        <v>0.36</v>
      </c>
      <c r="Q5" s="14" t="n">
        <f aca="false">IF(O5=0,"",(O5-LEN(SUBSTITUTE(SUBSTITUTE(M5,"G",""),"C","")))/O5)</f>
        <v>0.16</v>
      </c>
      <c r="R5" s="5" t="s">
        <v>48</v>
      </c>
      <c r="S5" s="15" t="s">
        <v>1677</v>
      </c>
      <c r="T5" s="5" t="n">
        <v>413</v>
      </c>
      <c r="U5" s="5" t="s">
        <v>1678</v>
      </c>
      <c r="V5" s="5" t="s">
        <v>47</v>
      </c>
      <c r="W5" s="5"/>
      <c r="X5" s="15" t="s">
        <v>1677</v>
      </c>
      <c r="Y5" s="5"/>
    </row>
    <row r="6" customFormat="false" ht="15" hidden="false" customHeight="false" outlineLevel="0" collapsed="false">
      <c r="A6" s="5" t="s">
        <v>1706</v>
      </c>
      <c r="B6" s="5" t="s">
        <v>39</v>
      </c>
      <c r="C6" s="5" t="s">
        <v>41</v>
      </c>
      <c r="D6" s="6" t="s">
        <v>45</v>
      </c>
      <c r="E6" s="5" t="n">
        <v>5</v>
      </c>
      <c r="F6" s="5" t="s">
        <v>1707</v>
      </c>
      <c r="G6" s="13" t="s">
        <v>1708</v>
      </c>
      <c r="H6" s="5" t="s">
        <v>1709</v>
      </c>
      <c r="I6" s="13" t="s">
        <v>1710</v>
      </c>
      <c r="J6" s="5" t="s">
        <v>1711</v>
      </c>
      <c r="K6" s="5" t="s">
        <v>1712</v>
      </c>
      <c r="L6" s="13" t="s">
        <v>1713</v>
      </c>
      <c r="M6" s="13" t="s">
        <v>1714</v>
      </c>
      <c r="N6" s="5" t="n">
        <f aca="false">LEN(L6)</f>
        <v>25</v>
      </c>
      <c r="O6" s="5" t="n">
        <f aca="false">LEN(M6)</f>
        <v>25</v>
      </c>
      <c r="P6" s="14" t="n">
        <f aca="false">IF(N6=0,"",(N6-LEN(SUBSTITUTE(SUBSTITUTE(L6,"G",""),"C","")))/N6)</f>
        <v>0.36</v>
      </c>
      <c r="Q6" s="14" t="n">
        <f aca="false">IF(O6=0,"",(O6-LEN(SUBSTITUTE(SUBSTITUTE(M6,"G",""),"C","")))/O6)</f>
        <v>0.2</v>
      </c>
      <c r="R6" s="5" t="s">
        <v>48</v>
      </c>
      <c r="S6" s="15" t="s">
        <v>1677</v>
      </c>
      <c r="T6" s="5" t="n">
        <v>481</v>
      </c>
      <c r="U6" s="5" t="s">
        <v>1678</v>
      </c>
      <c r="V6" s="5" t="s">
        <v>47</v>
      </c>
      <c r="W6" s="5"/>
      <c r="X6" s="15" t="s">
        <v>1677</v>
      </c>
      <c r="Y6" s="5"/>
    </row>
    <row r="7" customFormat="false" ht="15" hidden="false" customHeight="false" outlineLevel="0" collapsed="false">
      <c r="A7" s="5" t="s">
        <v>1715</v>
      </c>
      <c r="B7" s="5" t="s">
        <v>39</v>
      </c>
      <c r="C7" s="5" t="s">
        <v>41</v>
      </c>
      <c r="D7" s="6" t="s">
        <v>45</v>
      </c>
      <c r="E7" s="5" t="n">
        <v>6</v>
      </c>
      <c r="F7" s="5" t="s">
        <v>1716</v>
      </c>
      <c r="G7" s="13" t="s">
        <v>1717</v>
      </c>
      <c r="H7" s="5" t="s">
        <v>1718</v>
      </c>
      <c r="I7" s="13" t="s">
        <v>1719</v>
      </c>
      <c r="J7" s="5" t="s">
        <v>1720</v>
      </c>
      <c r="K7" s="5" t="s">
        <v>1721</v>
      </c>
      <c r="L7" s="13" t="s">
        <v>1722</v>
      </c>
      <c r="M7" s="13" t="s">
        <v>1723</v>
      </c>
      <c r="N7" s="5" t="n">
        <f aca="false">LEN(L7)</f>
        <v>25</v>
      </c>
      <c r="O7" s="5" t="n">
        <f aca="false">LEN(M7)</f>
        <v>25</v>
      </c>
      <c r="P7" s="14" t="n">
        <f aca="false">IF(N7=0,"",(N7-LEN(SUBSTITUTE(SUBSTITUTE(L7,"G",""),"C","")))/N7)</f>
        <v>0.4</v>
      </c>
      <c r="Q7" s="14" t="n">
        <f aca="false">IF(O7=0,"",(O7-LEN(SUBSTITUTE(SUBSTITUTE(M7,"G",""),"C","")))/O7)</f>
        <v>0.16</v>
      </c>
      <c r="R7" s="5" t="s">
        <v>48</v>
      </c>
      <c r="S7" s="15" t="s">
        <v>1677</v>
      </c>
      <c r="T7" s="5" t="n">
        <v>550</v>
      </c>
      <c r="U7" s="5" t="s">
        <v>1678</v>
      </c>
      <c r="V7" s="5" t="s">
        <v>47</v>
      </c>
      <c r="W7" s="5"/>
      <c r="X7" s="15" t="s">
        <v>1677</v>
      </c>
      <c r="Y7" s="5"/>
    </row>
    <row r="8" customFormat="false" ht="15" hidden="false" customHeight="false" outlineLevel="0" collapsed="false">
      <c r="A8" s="5" t="s">
        <v>1724</v>
      </c>
      <c r="B8" s="5" t="s">
        <v>52</v>
      </c>
      <c r="C8" s="5" t="s">
        <v>53</v>
      </c>
      <c r="D8" s="6" t="s">
        <v>45</v>
      </c>
      <c r="E8" s="5" t="n">
        <v>1</v>
      </c>
      <c r="F8" s="5" t="s">
        <v>1725</v>
      </c>
      <c r="G8" s="13" t="s">
        <v>1726</v>
      </c>
      <c r="H8" s="5" t="s">
        <v>1727</v>
      </c>
      <c r="I8" s="13" t="s">
        <v>1728</v>
      </c>
      <c r="J8" s="5" t="s">
        <v>1729</v>
      </c>
      <c r="K8" s="5" t="s">
        <v>1730</v>
      </c>
      <c r="L8" s="13" t="s">
        <v>1731</v>
      </c>
      <c r="M8" s="13" t="s">
        <v>1732</v>
      </c>
      <c r="N8" s="5" t="n">
        <f aca="false">LEN(L8)</f>
        <v>25</v>
      </c>
      <c r="O8" s="5" t="n">
        <f aca="false">LEN(M8)</f>
        <v>25</v>
      </c>
      <c r="P8" s="14" t="n">
        <f aca="false">IF(N8=0,"",(N8-LEN(SUBSTITUTE(SUBSTITUTE(L8,"G",""),"C","")))/N8)</f>
        <v>0.52</v>
      </c>
      <c r="Q8" s="14" t="n">
        <f aca="false">IF(O8=0,"",(O8-LEN(SUBSTITUTE(SUBSTITUTE(M8,"G",""),"C","")))/O8)</f>
        <v>0.52</v>
      </c>
      <c r="R8" s="5" t="s">
        <v>57</v>
      </c>
      <c r="S8" s="15" t="s">
        <v>1677</v>
      </c>
      <c r="T8" s="5" t="n">
        <v>6</v>
      </c>
      <c r="U8" s="5" t="s">
        <v>1678</v>
      </c>
      <c r="V8" s="5" t="s">
        <v>47</v>
      </c>
      <c r="W8" s="5"/>
      <c r="X8" s="15" t="s">
        <v>1677</v>
      </c>
      <c r="Y8" s="5"/>
    </row>
    <row r="9" customFormat="false" ht="15" hidden="false" customHeight="false" outlineLevel="0" collapsed="false">
      <c r="A9" s="5" t="s">
        <v>1733</v>
      </c>
      <c r="B9" s="5" t="s">
        <v>52</v>
      </c>
      <c r="C9" s="5" t="s">
        <v>53</v>
      </c>
      <c r="D9" s="6" t="s">
        <v>45</v>
      </c>
      <c r="E9" s="5" t="n">
        <v>2</v>
      </c>
      <c r="F9" s="5" t="s">
        <v>1734</v>
      </c>
      <c r="G9" s="13" t="s">
        <v>1735</v>
      </c>
      <c r="H9" s="5" t="s">
        <v>1736</v>
      </c>
      <c r="I9" s="13" t="s">
        <v>1737</v>
      </c>
      <c r="J9" s="5" t="s">
        <v>1738</v>
      </c>
      <c r="K9" s="5" t="s">
        <v>1739</v>
      </c>
      <c r="L9" s="13" t="s">
        <v>1740</v>
      </c>
      <c r="M9" s="13" t="s">
        <v>1741</v>
      </c>
      <c r="N9" s="5" t="n">
        <f aca="false">LEN(L9)</f>
        <v>25</v>
      </c>
      <c r="O9" s="5" t="n">
        <f aca="false">LEN(M9)</f>
        <v>25</v>
      </c>
      <c r="P9" s="14" t="n">
        <f aca="false">IF(N9=0,"",(N9-LEN(SUBSTITUTE(SUBSTITUTE(L9,"G",""),"C","")))/N9)</f>
        <v>0.52</v>
      </c>
      <c r="Q9" s="14" t="n">
        <f aca="false">IF(O9=0,"",(O9-LEN(SUBSTITUTE(SUBSTITUTE(M9,"G",""),"C","")))/O9)</f>
        <v>0.52</v>
      </c>
      <c r="R9" s="5" t="s">
        <v>57</v>
      </c>
      <c r="S9" s="15" t="s">
        <v>1677</v>
      </c>
      <c r="T9" s="5" t="n">
        <v>76</v>
      </c>
      <c r="U9" s="5" t="s">
        <v>1678</v>
      </c>
      <c r="V9" s="5" t="s">
        <v>47</v>
      </c>
      <c r="W9" s="5"/>
      <c r="X9" s="15" t="s">
        <v>1677</v>
      </c>
      <c r="Y9" s="5"/>
    </row>
    <row r="10" customFormat="false" ht="15" hidden="false" customHeight="false" outlineLevel="0" collapsed="false">
      <c r="A10" s="5" t="s">
        <v>1742</v>
      </c>
      <c r="B10" s="5" t="s">
        <v>52</v>
      </c>
      <c r="C10" s="5" t="s">
        <v>53</v>
      </c>
      <c r="D10" s="6" t="s">
        <v>45</v>
      </c>
      <c r="E10" s="5" t="n">
        <v>3</v>
      </c>
      <c r="F10" s="5" t="s">
        <v>1743</v>
      </c>
      <c r="G10" s="13" t="s">
        <v>1744</v>
      </c>
      <c r="H10" s="5" t="s">
        <v>1745</v>
      </c>
      <c r="I10" s="13" t="s">
        <v>1746</v>
      </c>
      <c r="J10" s="5" t="s">
        <v>1747</v>
      </c>
      <c r="K10" s="5" t="s">
        <v>1748</v>
      </c>
      <c r="L10" s="13" t="s">
        <v>1749</v>
      </c>
      <c r="M10" s="13" t="s">
        <v>1750</v>
      </c>
      <c r="N10" s="5" t="n">
        <f aca="false">LEN(L10)</f>
        <v>25</v>
      </c>
      <c r="O10" s="5" t="n">
        <f aca="false">LEN(M10)</f>
        <v>25</v>
      </c>
      <c r="P10" s="14" t="n">
        <f aca="false">IF(N10=0,"",(N10-LEN(SUBSTITUTE(SUBSTITUTE(L10,"G",""),"C","")))/N10)</f>
        <v>0.8</v>
      </c>
      <c r="Q10" s="14" t="n">
        <f aca="false">IF(O10=0,"",(O10-LEN(SUBSTITUTE(SUBSTITUTE(M10,"G",""),"C","")))/O10)</f>
        <v>0.72</v>
      </c>
      <c r="R10" s="5" t="s">
        <v>57</v>
      </c>
      <c r="S10" s="15" t="s">
        <v>1677</v>
      </c>
      <c r="T10" s="5" t="n">
        <v>356</v>
      </c>
      <c r="U10" s="5" t="s">
        <v>1678</v>
      </c>
      <c r="V10" s="5" t="s">
        <v>47</v>
      </c>
      <c r="W10" s="5"/>
      <c r="X10" s="15" t="s">
        <v>1677</v>
      </c>
      <c r="Y10" s="5"/>
    </row>
    <row r="11" customFormat="false" ht="15" hidden="false" customHeight="false" outlineLevel="0" collapsed="false">
      <c r="A11" s="5" t="s">
        <v>1751</v>
      </c>
      <c r="B11" s="5" t="s">
        <v>52</v>
      </c>
      <c r="C11" s="5" t="s">
        <v>53</v>
      </c>
      <c r="D11" s="6" t="s">
        <v>45</v>
      </c>
      <c r="E11" s="5" t="n">
        <v>4</v>
      </c>
      <c r="F11" s="5" t="s">
        <v>1752</v>
      </c>
      <c r="G11" s="13" t="s">
        <v>1753</v>
      </c>
      <c r="H11" s="5" t="s">
        <v>1754</v>
      </c>
      <c r="I11" s="13" t="s">
        <v>1755</v>
      </c>
      <c r="J11" s="5" t="s">
        <v>1756</v>
      </c>
      <c r="K11" s="5" t="s">
        <v>1757</v>
      </c>
      <c r="L11" s="13" t="s">
        <v>1758</v>
      </c>
      <c r="M11" s="13" t="s">
        <v>1759</v>
      </c>
      <c r="N11" s="5" t="n">
        <f aca="false">LEN(L11)</f>
        <v>25</v>
      </c>
      <c r="O11" s="5" t="n">
        <f aca="false">LEN(M11)</f>
        <v>25</v>
      </c>
      <c r="P11" s="14" t="n">
        <f aca="false">IF(N11=0,"",(N11-LEN(SUBSTITUTE(SUBSTITUTE(L11,"G",""),"C","")))/N11)</f>
        <v>0.6</v>
      </c>
      <c r="Q11" s="14" t="n">
        <f aca="false">IF(O11=0,"",(O11-LEN(SUBSTITUTE(SUBSTITUTE(M11,"G",""),"C","")))/O11)</f>
        <v>0.68</v>
      </c>
      <c r="R11" s="5" t="s">
        <v>57</v>
      </c>
      <c r="S11" s="15" t="s">
        <v>1677</v>
      </c>
      <c r="T11" s="5" t="n">
        <v>566</v>
      </c>
      <c r="U11" s="5" t="s">
        <v>1678</v>
      </c>
      <c r="V11" s="5" t="s">
        <v>47</v>
      </c>
      <c r="W11" s="5"/>
      <c r="X11" s="15" t="s">
        <v>1677</v>
      </c>
      <c r="Y11" s="5"/>
    </row>
    <row r="12" customFormat="false" ht="15" hidden="false" customHeight="false" outlineLevel="0" collapsed="false">
      <c r="A12" s="5" t="s">
        <v>1760</v>
      </c>
      <c r="B12" s="5" t="s">
        <v>61</v>
      </c>
      <c r="C12" s="5" t="s">
        <v>62</v>
      </c>
      <c r="D12" s="6" t="s">
        <v>45</v>
      </c>
      <c r="E12" s="5" t="n">
        <v>1</v>
      </c>
      <c r="F12" s="5" t="s">
        <v>1761</v>
      </c>
      <c r="G12" s="13" t="s">
        <v>1762</v>
      </c>
      <c r="H12" s="5" t="s">
        <v>1763</v>
      </c>
      <c r="I12" s="13" t="s">
        <v>1764</v>
      </c>
      <c r="J12" s="5" t="s">
        <v>1765</v>
      </c>
      <c r="K12" s="5" t="s">
        <v>1766</v>
      </c>
      <c r="L12" s="13" t="s">
        <v>1767</v>
      </c>
      <c r="M12" s="13" t="s">
        <v>1768</v>
      </c>
      <c r="N12" s="5" t="n">
        <f aca="false">LEN(L12)</f>
        <v>25</v>
      </c>
      <c r="O12" s="5" t="n">
        <f aca="false">LEN(M12)</f>
        <v>25</v>
      </c>
      <c r="P12" s="14" t="n">
        <f aca="false">IF(N12=0,"",(N12-LEN(SUBSTITUTE(SUBSTITUTE(L12,"G",""),"C","")))/N12)</f>
        <v>0.48</v>
      </c>
      <c r="Q12" s="14" t="n">
        <f aca="false">IF(O12=0,"",(O12-LEN(SUBSTITUTE(SUBSTITUTE(M12,"G",""),"C","")))/O12)</f>
        <v>0.44</v>
      </c>
      <c r="R12" s="5" t="s">
        <v>67</v>
      </c>
      <c r="S12" s="15" t="s">
        <v>1677</v>
      </c>
      <c r="T12" s="5" t="n">
        <v>6</v>
      </c>
      <c r="U12" s="5" t="s">
        <v>1678</v>
      </c>
      <c r="V12" s="5" t="s">
        <v>47</v>
      </c>
      <c r="W12" s="5"/>
      <c r="X12" s="8" t="s">
        <v>1769</v>
      </c>
      <c r="Y12" s="5"/>
    </row>
    <row r="13" customFormat="false" ht="15" hidden="false" customHeight="false" outlineLevel="0" collapsed="false">
      <c r="A13" s="5" t="s">
        <v>1770</v>
      </c>
      <c r="B13" s="5" t="s">
        <v>61</v>
      </c>
      <c r="C13" s="5" t="s">
        <v>62</v>
      </c>
      <c r="D13" s="6" t="s">
        <v>45</v>
      </c>
      <c r="E13" s="5" t="n">
        <v>2</v>
      </c>
      <c r="F13" s="5" t="s">
        <v>1771</v>
      </c>
      <c r="G13" s="13" t="s">
        <v>1772</v>
      </c>
      <c r="H13" s="5" t="s">
        <v>1773</v>
      </c>
      <c r="I13" s="13" t="s">
        <v>1774</v>
      </c>
      <c r="J13" s="5" t="s">
        <v>1775</v>
      </c>
      <c r="K13" s="5" t="s">
        <v>1776</v>
      </c>
      <c r="L13" s="13" t="s">
        <v>1777</v>
      </c>
      <c r="M13" s="13" t="s">
        <v>1778</v>
      </c>
      <c r="N13" s="5" t="n">
        <f aca="false">LEN(L13)</f>
        <v>25</v>
      </c>
      <c r="O13" s="5" t="n">
        <f aca="false">LEN(M13)</f>
        <v>25</v>
      </c>
      <c r="P13" s="14" t="n">
        <f aca="false">IF(N13=0,"",(N13-LEN(SUBSTITUTE(SUBSTITUTE(L13,"G",""),"C","")))/N13)</f>
        <v>0.6</v>
      </c>
      <c r="Q13" s="14" t="n">
        <f aca="false">IF(O13=0,"",(O13-LEN(SUBSTITUTE(SUBSTITUTE(M13,"G",""),"C","")))/O13)</f>
        <v>0.68</v>
      </c>
      <c r="R13" s="5" t="s">
        <v>67</v>
      </c>
      <c r="S13" s="15" t="s">
        <v>1677</v>
      </c>
      <c r="T13" s="5" t="n">
        <v>76</v>
      </c>
      <c r="U13" s="5" t="s">
        <v>1678</v>
      </c>
      <c r="V13" s="5" t="s">
        <v>47</v>
      </c>
      <c r="W13" s="5"/>
      <c r="X13" s="15" t="s">
        <v>1677</v>
      </c>
      <c r="Y13" s="5"/>
    </row>
    <row r="14" customFormat="false" ht="15" hidden="false" customHeight="false" outlineLevel="0" collapsed="false">
      <c r="A14" s="5" t="s">
        <v>1779</v>
      </c>
      <c r="B14" s="5" t="s">
        <v>61</v>
      </c>
      <c r="C14" s="5" t="s">
        <v>62</v>
      </c>
      <c r="D14" s="6" t="s">
        <v>45</v>
      </c>
      <c r="E14" s="5" t="n">
        <v>3</v>
      </c>
      <c r="F14" s="5" t="s">
        <v>1780</v>
      </c>
      <c r="G14" s="13" t="s">
        <v>1781</v>
      </c>
      <c r="H14" s="5" t="s">
        <v>1782</v>
      </c>
      <c r="I14" s="13" t="s">
        <v>1783</v>
      </c>
      <c r="J14" s="5" t="s">
        <v>1784</v>
      </c>
      <c r="K14" s="5" t="s">
        <v>1785</v>
      </c>
      <c r="L14" s="13" t="s">
        <v>1786</v>
      </c>
      <c r="M14" s="13" t="s">
        <v>1787</v>
      </c>
      <c r="N14" s="5" t="n">
        <f aca="false">LEN(L14)</f>
        <v>25</v>
      </c>
      <c r="O14" s="5" t="n">
        <f aca="false">LEN(M14)</f>
        <v>25</v>
      </c>
      <c r="P14" s="14" t="n">
        <f aca="false">IF(N14=0,"",(N14-LEN(SUBSTITUTE(SUBSTITUTE(L14,"G",""),"C","")))/N14)</f>
        <v>0.64</v>
      </c>
      <c r="Q14" s="14" t="n">
        <f aca="false">IF(O14=0,"",(O14-LEN(SUBSTITUTE(SUBSTITUTE(M14,"G",""),"C","")))/O14)</f>
        <v>0.28</v>
      </c>
      <c r="R14" s="5" t="s">
        <v>67</v>
      </c>
      <c r="S14" s="15" t="s">
        <v>1677</v>
      </c>
      <c r="T14" s="5" t="n">
        <v>146</v>
      </c>
      <c r="U14" s="5" t="s">
        <v>1678</v>
      </c>
      <c r="V14" s="5" t="s">
        <v>47</v>
      </c>
      <c r="W14" s="5"/>
      <c r="X14" s="15" t="s">
        <v>1677</v>
      </c>
      <c r="Y14" s="5"/>
    </row>
    <row r="15" customFormat="false" ht="15" hidden="false" customHeight="false" outlineLevel="0" collapsed="false">
      <c r="A15" s="5" t="s">
        <v>1788</v>
      </c>
      <c r="B15" s="5" t="s">
        <v>72</v>
      </c>
      <c r="C15" s="5" t="s">
        <v>73</v>
      </c>
      <c r="D15" s="6" t="s">
        <v>45</v>
      </c>
      <c r="E15" s="5" t="n">
        <v>1</v>
      </c>
      <c r="F15" s="5" t="s">
        <v>1789</v>
      </c>
      <c r="G15" s="13" t="s">
        <v>1790</v>
      </c>
      <c r="H15" s="5" t="s">
        <v>1791</v>
      </c>
      <c r="I15" s="13" t="s">
        <v>1792</v>
      </c>
      <c r="J15" s="5" t="s">
        <v>1793</v>
      </c>
      <c r="K15" s="5" t="s">
        <v>1794</v>
      </c>
      <c r="L15" s="13" t="s">
        <v>1795</v>
      </c>
      <c r="M15" s="13" t="s">
        <v>1796</v>
      </c>
      <c r="N15" s="5" t="n">
        <f aca="false">LEN(L15)</f>
        <v>25</v>
      </c>
      <c r="O15" s="5" t="n">
        <f aca="false">LEN(M15)</f>
        <v>25</v>
      </c>
      <c r="P15" s="14" t="n">
        <f aca="false">IF(N15=0,"",(N15-LEN(SUBSTITUTE(SUBSTITUTE(L15,"G",""),"C","")))/N15)</f>
        <v>0.88</v>
      </c>
      <c r="Q15" s="14" t="n">
        <f aca="false">IF(O15=0,"",(O15-LEN(SUBSTITUTE(SUBSTITUTE(M15,"G",""),"C","")))/O15)</f>
        <v>0.76</v>
      </c>
      <c r="R15" s="5" t="s">
        <v>77</v>
      </c>
      <c r="S15" s="15" t="s">
        <v>1677</v>
      </c>
      <c r="T15" s="5" t="n">
        <v>146</v>
      </c>
      <c r="U15" s="5" t="s">
        <v>1678</v>
      </c>
      <c r="V15" s="5" t="s">
        <v>47</v>
      </c>
      <c r="W15" s="5"/>
      <c r="X15" s="15" t="s">
        <v>1677</v>
      </c>
      <c r="Y15" s="5"/>
    </row>
    <row r="16" customFormat="false" ht="15" hidden="false" customHeight="false" outlineLevel="0" collapsed="false">
      <c r="A16" s="5" t="s">
        <v>1797</v>
      </c>
      <c r="B16" s="5" t="s">
        <v>72</v>
      </c>
      <c r="C16" s="5" t="s">
        <v>73</v>
      </c>
      <c r="D16" s="6" t="s">
        <v>45</v>
      </c>
      <c r="E16" s="5" t="n">
        <v>2</v>
      </c>
      <c r="F16" s="5" t="s">
        <v>1798</v>
      </c>
      <c r="G16" s="13" t="s">
        <v>1799</v>
      </c>
      <c r="H16" s="5" t="s">
        <v>1800</v>
      </c>
      <c r="I16" s="13" t="s">
        <v>1801</v>
      </c>
      <c r="J16" s="5" t="s">
        <v>1802</v>
      </c>
      <c r="K16" s="5" t="s">
        <v>1803</v>
      </c>
      <c r="L16" s="13" t="s">
        <v>1804</v>
      </c>
      <c r="M16" s="13" t="s">
        <v>1805</v>
      </c>
      <c r="N16" s="5" t="n">
        <f aca="false">LEN(L16)</f>
        <v>25</v>
      </c>
      <c r="O16" s="5" t="n">
        <f aca="false">LEN(M16)</f>
        <v>25</v>
      </c>
      <c r="P16" s="14" t="n">
        <f aca="false">IF(N16=0,"",(N16-LEN(SUBSTITUTE(SUBSTITUTE(L16,"G",""),"C","")))/N16)</f>
        <v>0.84</v>
      </c>
      <c r="Q16" s="14" t="n">
        <f aca="false">IF(O16=0,"",(O16-LEN(SUBSTITUTE(SUBSTITUTE(M16,"G",""),"C","")))/O16)</f>
        <v>0.72</v>
      </c>
      <c r="R16" s="5" t="s">
        <v>77</v>
      </c>
      <c r="S16" s="15" t="s">
        <v>1677</v>
      </c>
      <c r="T16" s="5" t="n">
        <v>216</v>
      </c>
      <c r="U16" s="5" t="s">
        <v>1678</v>
      </c>
      <c r="V16" s="5" t="s">
        <v>47</v>
      </c>
      <c r="W16" s="5"/>
      <c r="X16" s="15" t="s">
        <v>1677</v>
      </c>
      <c r="Y16" s="5"/>
    </row>
    <row r="17" customFormat="false" ht="15" hidden="false" customHeight="false" outlineLevel="0" collapsed="false">
      <c r="A17" s="5" t="s">
        <v>1806</v>
      </c>
      <c r="B17" s="5" t="s">
        <v>72</v>
      </c>
      <c r="C17" s="5" t="s">
        <v>73</v>
      </c>
      <c r="D17" s="6" t="s">
        <v>45</v>
      </c>
      <c r="E17" s="5" t="n">
        <v>3</v>
      </c>
      <c r="F17" s="5" t="s">
        <v>1807</v>
      </c>
      <c r="G17" s="13" t="s">
        <v>1808</v>
      </c>
      <c r="H17" s="5" t="s">
        <v>1809</v>
      </c>
      <c r="I17" s="13" t="s">
        <v>1810</v>
      </c>
      <c r="J17" s="5" t="s">
        <v>1811</v>
      </c>
      <c r="K17" s="5" t="s">
        <v>1812</v>
      </c>
      <c r="L17" s="13" t="s">
        <v>1813</v>
      </c>
      <c r="M17" s="13" t="s">
        <v>1814</v>
      </c>
      <c r="N17" s="5" t="n">
        <f aca="false">LEN(L17)</f>
        <v>25</v>
      </c>
      <c r="O17" s="5" t="n">
        <f aca="false">LEN(M17)</f>
        <v>25</v>
      </c>
      <c r="P17" s="14" t="n">
        <f aca="false">IF(N17=0,"",(N17-LEN(SUBSTITUTE(SUBSTITUTE(L17,"G",""),"C","")))/N17)</f>
        <v>0.64</v>
      </c>
      <c r="Q17" s="14" t="n">
        <f aca="false">IF(O17=0,"",(O17-LEN(SUBSTITUTE(SUBSTITUTE(M17,"G",""),"C","")))/O17)</f>
        <v>0.76</v>
      </c>
      <c r="R17" s="5" t="s">
        <v>77</v>
      </c>
      <c r="S17" s="15" t="s">
        <v>1677</v>
      </c>
      <c r="T17" s="5" t="n">
        <v>286</v>
      </c>
      <c r="U17" s="5" t="s">
        <v>1678</v>
      </c>
      <c r="V17" s="5" t="s">
        <v>47</v>
      </c>
      <c r="W17" s="5"/>
      <c r="X17" s="15" t="s">
        <v>1677</v>
      </c>
      <c r="Y17" s="5"/>
    </row>
    <row r="18" customFormat="false" ht="15" hidden="false" customHeight="false" outlineLevel="0" collapsed="false">
      <c r="A18" s="5" t="s">
        <v>1815</v>
      </c>
      <c r="B18" s="5" t="s">
        <v>72</v>
      </c>
      <c r="C18" s="5" t="s">
        <v>73</v>
      </c>
      <c r="D18" s="6" t="s">
        <v>45</v>
      </c>
      <c r="E18" s="5" t="n">
        <v>4</v>
      </c>
      <c r="F18" s="5" t="s">
        <v>1816</v>
      </c>
      <c r="G18" s="13" t="s">
        <v>1817</v>
      </c>
      <c r="H18" s="5" t="s">
        <v>1818</v>
      </c>
      <c r="I18" s="13" t="s">
        <v>1819</v>
      </c>
      <c r="J18" s="5" t="s">
        <v>1820</v>
      </c>
      <c r="K18" s="5" t="s">
        <v>1821</v>
      </c>
      <c r="L18" s="13" t="s">
        <v>1822</v>
      </c>
      <c r="M18" s="13" t="s">
        <v>1823</v>
      </c>
      <c r="N18" s="5" t="n">
        <f aca="false">LEN(L18)</f>
        <v>25</v>
      </c>
      <c r="O18" s="5" t="n">
        <f aca="false">LEN(M18)</f>
        <v>25</v>
      </c>
      <c r="P18" s="14" t="n">
        <f aca="false">IF(N18=0,"",(N18-LEN(SUBSTITUTE(SUBSTITUTE(L18,"G",""),"C","")))/N18)</f>
        <v>0.64</v>
      </c>
      <c r="Q18" s="14" t="n">
        <f aca="false">IF(O18=0,"",(O18-LEN(SUBSTITUTE(SUBSTITUTE(M18,"G",""),"C","")))/O18)</f>
        <v>0.6</v>
      </c>
      <c r="R18" s="5" t="s">
        <v>77</v>
      </c>
      <c r="S18" s="15" t="s">
        <v>1677</v>
      </c>
      <c r="T18" s="5" t="n">
        <v>356</v>
      </c>
      <c r="U18" s="5" t="s">
        <v>1678</v>
      </c>
      <c r="V18" s="5" t="s">
        <v>47</v>
      </c>
      <c r="W18" s="5"/>
      <c r="X18" s="15" t="s">
        <v>1677</v>
      </c>
      <c r="Y18" s="5"/>
    </row>
    <row r="19" customFormat="false" ht="15" hidden="false" customHeight="false" outlineLevel="0" collapsed="false">
      <c r="A19" s="5" t="s">
        <v>1824</v>
      </c>
      <c r="B19" s="5" t="s">
        <v>72</v>
      </c>
      <c r="C19" s="5" t="s">
        <v>73</v>
      </c>
      <c r="D19" s="6" t="s">
        <v>45</v>
      </c>
      <c r="E19" s="5" t="n">
        <v>5</v>
      </c>
      <c r="F19" s="5" t="s">
        <v>1825</v>
      </c>
      <c r="G19" s="13" t="s">
        <v>1826</v>
      </c>
      <c r="H19" s="5" t="s">
        <v>1827</v>
      </c>
      <c r="I19" s="13" t="s">
        <v>1828</v>
      </c>
      <c r="J19" s="5" t="s">
        <v>1829</v>
      </c>
      <c r="K19" s="5" t="s">
        <v>1830</v>
      </c>
      <c r="L19" s="13" t="s">
        <v>1831</v>
      </c>
      <c r="M19" s="13" t="s">
        <v>1832</v>
      </c>
      <c r="N19" s="5" t="n">
        <f aca="false">LEN(L19)</f>
        <v>25</v>
      </c>
      <c r="O19" s="5" t="n">
        <f aca="false">LEN(M19)</f>
        <v>25</v>
      </c>
      <c r="P19" s="14" t="n">
        <f aca="false">IF(N19=0,"",(N19-LEN(SUBSTITUTE(SUBSTITUTE(L19,"G",""),"C","")))/N19)</f>
        <v>0.56</v>
      </c>
      <c r="Q19" s="14" t="n">
        <f aca="false">IF(O19=0,"",(O19-LEN(SUBSTITUTE(SUBSTITUTE(M19,"G",""),"C","")))/O19)</f>
        <v>0.52</v>
      </c>
      <c r="R19" s="5" t="s">
        <v>77</v>
      </c>
      <c r="S19" s="15" t="s">
        <v>1677</v>
      </c>
      <c r="T19" s="5" t="n">
        <v>426</v>
      </c>
      <c r="U19" s="5" t="s">
        <v>1678</v>
      </c>
      <c r="V19" s="5" t="s">
        <v>47</v>
      </c>
      <c r="W19" s="5"/>
      <c r="X19" s="15" t="s">
        <v>1677</v>
      </c>
      <c r="Y19" s="5"/>
    </row>
    <row r="20" customFormat="false" ht="15" hidden="false" customHeight="false" outlineLevel="0" collapsed="false">
      <c r="A20" s="5" t="s">
        <v>1833</v>
      </c>
      <c r="B20" s="5" t="s">
        <v>72</v>
      </c>
      <c r="C20" s="5" t="s">
        <v>73</v>
      </c>
      <c r="D20" s="6" t="s">
        <v>45</v>
      </c>
      <c r="E20" s="5" t="n">
        <v>6</v>
      </c>
      <c r="F20" s="5" t="s">
        <v>1834</v>
      </c>
      <c r="G20" s="13" t="s">
        <v>1835</v>
      </c>
      <c r="H20" s="5" t="s">
        <v>1836</v>
      </c>
      <c r="I20" s="13" t="s">
        <v>1837</v>
      </c>
      <c r="J20" s="5" t="s">
        <v>1838</v>
      </c>
      <c r="K20" s="5" t="s">
        <v>1839</v>
      </c>
      <c r="L20" s="13" t="s">
        <v>1840</v>
      </c>
      <c r="M20" s="13" t="s">
        <v>1841</v>
      </c>
      <c r="N20" s="5" t="n">
        <f aca="false">LEN(L20)</f>
        <v>25</v>
      </c>
      <c r="O20" s="5" t="n">
        <f aca="false">LEN(M20)</f>
        <v>25</v>
      </c>
      <c r="P20" s="14" t="n">
        <f aca="false">IF(N20=0,"",(N20-LEN(SUBSTITUTE(SUBSTITUTE(L20,"G",""),"C","")))/N20)</f>
        <v>0.68</v>
      </c>
      <c r="Q20" s="14" t="n">
        <f aca="false">IF(O20=0,"",(O20-LEN(SUBSTITUTE(SUBSTITUTE(M20,"G",""),"C","")))/O20)</f>
        <v>0.68</v>
      </c>
      <c r="R20" s="5" t="s">
        <v>77</v>
      </c>
      <c r="S20" s="15" t="s">
        <v>1677</v>
      </c>
      <c r="T20" s="5" t="n">
        <v>496</v>
      </c>
      <c r="U20" s="5" t="s">
        <v>1678</v>
      </c>
      <c r="V20" s="5" t="s">
        <v>47</v>
      </c>
      <c r="W20" s="5"/>
      <c r="X20" s="15" t="s">
        <v>1677</v>
      </c>
      <c r="Y20" s="5"/>
    </row>
    <row r="21" customFormat="false" ht="15" hidden="false" customHeight="false" outlineLevel="0" collapsed="false">
      <c r="A21" s="5" t="s">
        <v>1842</v>
      </c>
      <c r="B21" s="5" t="s">
        <v>80</v>
      </c>
      <c r="C21" s="5" t="s">
        <v>81</v>
      </c>
      <c r="D21" s="6" t="s">
        <v>45</v>
      </c>
      <c r="E21" s="5" t="n">
        <v>1</v>
      </c>
      <c r="F21" s="5" t="s">
        <v>1843</v>
      </c>
      <c r="G21" s="13" t="s">
        <v>1844</v>
      </c>
      <c r="H21" s="5" t="s">
        <v>1845</v>
      </c>
      <c r="I21" s="13" t="s">
        <v>1846</v>
      </c>
      <c r="J21" s="5" t="s">
        <v>1847</v>
      </c>
      <c r="K21" s="5" t="s">
        <v>1848</v>
      </c>
      <c r="L21" s="13" t="s">
        <v>1849</v>
      </c>
      <c r="M21" s="13" t="s">
        <v>1850</v>
      </c>
      <c r="N21" s="5" t="n">
        <f aca="false">LEN(L21)</f>
        <v>25</v>
      </c>
      <c r="O21" s="5" t="n">
        <f aca="false">LEN(M21)</f>
        <v>25</v>
      </c>
      <c r="P21" s="14" t="n">
        <f aca="false">IF(N21=0,"",(N21-LEN(SUBSTITUTE(SUBSTITUTE(L21,"G",""),"C","")))/N21)</f>
        <v>0.44</v>
      </c>
      <c r="Q21" s="14" t="n">
        <f aca="false">IF(O21=0,"",(O21-LEN(SUBSTITUTE(SUBSTITUTE(M21,"G",""),"C","")))/O21)</f>
        <v>0.72</v>
      </c>
      <c r="R21" s="5" t="s">
        <v>84</v>
      </c>
      <c r="S21" s="15" t="s">
        <v>1677</v>
      </c>
      <c r="T21" s="5" t="n">
        <v>9</v>
      </c>
      <c r="U21" s="5" t="s">
        <v>1678</v>
      </c>
      <c r="V21" s="5" t="s">
        <v>47</v>
      </c>
      <c r="W21" s="5"/>
      <c r="X21" s="15" t="s">
        <v>1677</v>
      </c>
      <c r="Y21" s="5"/>
    </row>
    <row r="22" customFormat="false" ht="15" hidden="false" customHeight="false" outlineLevel="0" collapsed="false">
      <c r="A22" s="5" t="s">
        <v>1851</v>
      </c>
      <c r="B22" s="5" t="s">
        <v>80</v>
      </c>
      <c r="C22" s="5" t="s">
        <v>81</v>
      </c>
      <c r="D22" s="6" t="s">
        <v>45</v>
      </c>
      <c r="E22" s="5" t="n">
        <v>2</v>
      </c>
      <c r="F22" s="5" t="s">
        <v>1852</v>
      </c>
      <c r="G22" s="13" t="s">
        <v>1853</v>
      </c>
      <c r="H22" s="5" t="s">
        <v>1854</v>
      </c>
      <c r="I22" s="13" t="s">
        <v>1855</v>
      </c>
      <c r="J22" s="5" t="s">
        <v>1856</v>
      </c>
      <c r="K22" s="5" t="s">
        <v>1857</v>
      </c>
      <c r="L22" s="13" t="s">
        <v>1858</v>
      </c>
      <c r="M22" s="13" t="s">
        <v>1859</v>
      </c>
      <c r="N22" s="5" t="n">
        <f aca="false">LEN(L22)</f>
        <v>25</v>
      </c>
      <c r="O22" s="5" t="n">
        <f aca="false">LEN(M22)</f>
        <v>25</v>
      </c>
      <c r="P22" s="14" t="n">
        <f aca="false">IF(N22=0,"",(N22-LEN(SUBSTITUTE(SUBSTITUTE(L22,"G",""),"C","")))/N22)</f>
        <v>0.56</v>
      </c>
      <c r="Q22" s="14" t="n">
        <f aca="false">IF(O22=0,"",(O22-LEN(SUBSTITUTE(SUBSTITUTE(M22,"G",""),"C","")))/O22)</f>
        <v>0.52</v>
      </c>
      <c r="R22" s="5" t="s">
        <v>84</v>
      </c>
      <c r="S22" s="15" t="s">
        <v>1677</v>
      </c>
      <c r="T22" s="5" t="n">
        <v>76</v>
      </c>
      <c r="U22" s="5" t="s">
        <v>1678</v>
      </c>
      <c r="V22" s="5" t="s">
        <v>47</v>
      </c>
      <c r="W22" s="5"/>
      <c r="X22" s="15" t="s">
        <v>1677</v>
      </c>
      <c r="Y22" s="5"/>
    </row>
    <row r="23" customFormat="false" ht="15" hidden="false" customHeight="false" outlineLevel="0" collapsed="false">
      <c r="A23" s="5" t="s">
        <v>1860</v>
      </c>
      <c r="B23" s="5" t="s">
        <v>80</v>
      </c>
      <c r="C23" s="5" t="s">
        <v>81</v>
      </c>
      <c r="D23" s="6" t="s">
        <v>45</v>
      </c>
      <c r="E23" s="5" t="n">
        <v>3</v>
      </c>
      <c r="F23" s="5" t="s">
        <v>1861</v>
      </c>
      <c r="G23" s="13" t="s">
        <v>1862</v>
      </c>
      <c r="H23" s="5" t="s">
        <v>1863</v>
      </c>
      <c r="I23" s="13" t="s">
        <v>1864</v>
      </c>
      <c r="J23" s="5" t="s">
        <v>1865</v>
      </c>
      <c r="K23" s="5" t="s">
        <v>1866</v>
      </c>
      <c r="L23" s="13" t="s">
        <v>1867</v>
      </c>
      <c r="M23" s="13" t="s">
        <v>1868</v>
      </c>
      <c r="N23" s="5" t="n">
        <f aca="false">LEN(L23)</f>
        <v>25</v>
      </c>
      <c r="O23" s="5" t="n">
        <f aca="false">LEN(M23)</f>
        <v>25</v>
      </c>
      <c r="P23" s="14" t="n">
        <f aca="false">IF(N23=0,"",(N23-LEN(SUBSTITUTE(SUBSTITUTE(L23,"G",""),"C","")))/N23)</f>
        <v>0.56</v>
      </c>
      <c r="Q23" s="14" t="n">
        <f aca="false">IF(O23=0,"",(O23-LEN(SUBSTITUTE(SUBSTITUTE(M23,"G",""),"C","")))/O23)</f>
        <v>0.44</v>
      </c>
      <c r="R23" s="5" t="s">
        <v>84</v>
      </c>
      <c r="S23" s="15" t="s">
        <v>1677</v>
      </c>
      <c r="T23" s="5" t="n">
        <v>141</v>
      </c>
      <c r="U23" s="5" t="s">
        <v>1678</v>
      </c>
      <c r="V23" s="5" t="s">
        <v>47</v>
      </c>
      <c r="W23" s="5"/>
      <c r="X23" s="15" t="s">
        <v>1677</v>
      </c>
      <c r="Y23" s="5"/>
    </row>
    <row r="24" customFormat="false" ht="15" hidden="false" customHeight="false" outlineLevel="0" collapsed="false">
      <c r="A24" s="5" t="s">
        <v>1869</v>
      </c>
      <c r="B24" s="5" t="s">
        <v>80</v>
      </c>
      <c r="C24" s="5" t="s">
        <v>81</v>
      </c>
      <c r="D24" s="6" t="s">
        <v>45</v>
      </c>
      <c r="E24" s="5" t="n">
        <v>4</v>
      </c>
      <c r="F24" s="5" t="s">
        <v>1870</v>
      </c>
      <c r="G24" s="13" t="s">
        <v>1871</v>
      </c>
      <c r="H24" s="5" t="s">
        <v>1872</v>
      </c>
      <c r="I24" s="13" t="s">
        <v>1873</v>
      </c>
      <c r="J24" s="5" t="s">
        <v>1874</v>
      </c>
      <c r="K24" s="5" t="s">
        <v>1875</v>
      </c>
      <c r="L24" s="13" t="s">
        <v>1876</v>
      </c>
      <c r="M24" s="13" t="s">
        <v>1877</v>
      </c>
      <c r="N24" s="5" t="n">
        <f aca="false">LEN(L24)</f>
        <v>25</v>
      </c>
      <c r="O24" s="5" t="n">
        <f aca="false">LEN(M24)</f>
        <v>25</v>
      </c>
      <c r="P24" s="14" t="n">
        <f aca="false">IF(N24=0,"",(N24-LEN(SUBSTITUTE(SUBSTITUTE(L24,"G",""),"C","")))/N24)</f>
        <v>0.44</v>
      </c>
      <c r="Q24" s="14" t="n">
        <f aca="false">IF(O24=0,"",(O24-LEN(SUBSTITUTE(SUBSTITUTE(M24,"G",""),"C","")))/O24)</f>
        <v>0.44</v>
      </c>
      <c r="R24" s="5" t="s">
        <v>84</v>
      </c>
      <c r="S24" s="15" t="s">
        <v>1677</v>
      </c>
      <c r="T24" s="5" t="n">
        <v>207</v>
      </c>
      <c r="U24" s="5" t="s">
        <v>1678</v>
      </c>
      <c r="V24" s="5" t="s">
        <v>47</v>
      </c>
      <c r="W24" s="5"/>
      <c r="X24" s="8" t="s">
        <v>1769</v>
      </c>
      <c r="Y24" s="5"/>
    </row>
    <row r="25" customFormat="false" ht="15" hidden="false" customHeight="false" outlineLevel="0" collapsed="false">
      <c r="A25" s="5" t="s">
        <v>1878</v>
      </c>
      <c r="B25" s="5" t="s">
        <v>80</v>
      </c>
      <c r="C25" s="5" t="s">
        <v>81</v>
      </c>
      <c r="D25" s="6" t="s">
        <v>45</v>
      </c>
      <c r="E25" s="5" t="n">
        <v>5</v>
      </c>
      <c r="F25" s="5" t="s">
        <v>1879</v>
      </c>
      <c r="G25" s="13" t="s">
        <v>1880</v>
      </c>
      <c r="H25" s="5" t="s">
        <v>1881</v>
      </c>
      <c r="I25" s="13" t="s">
        <v>1882</v>
      </c>
      <c r="J25" s="5" t="s">
        <v>1883</v>
      </c>
      <c r="K25" s="5" t="s">
        <v>1884</v>
      </c>
      <c r="L25" s="13" t="s">
        <v>1885</v>
      </c>
      <c r="M25" s="13" t="s">
        <v>1886</v>
      </c>
      <c r="N25" s="5" t="n">
        <f aca="false">LEN(L25)</f>
        <v>25</v>
      </c>
      <c r="O25" s="5" t="n">
        <f aca="false">LEN(M25)</f>
        <v>25</v>
      </c>
      <c r="P25" s="14" t="n">
        <f aca="false">IF(N25=0,"",(N25-LEN(SUBSTITUTE(SUBSTITUTE(L25,"G",""),"C","")))/N25)</f>
        <v>0.52</v>
      </c>
      <c r="Q25" s="14" t="n">
        <f aca="false">IF(O25=0,"",(O25-LEN(SUBSTITUTE(SUBSTITUTE(M25,"G",""),"C","")))/O25)</f>
        <v>0.64</v>
      </c>
      <c r="R25" s="5" t="s">
        <v>84</v>
      </c>
      <c r="S25" s="15" t="s">
        <v>1677</v>
      </c>
      <c r="T25" s="5" t="n">
        <v>272</v>
      </c>
      <c r="U25" s="5" t="s">
        <v>1678</v>
      </c>
      <c r="V25" s="5" t="s">
        <v>47</v>
      </c>
      <c r="W25" s="5"/>
      <c r="X25" s="15" t="s">
        <v>1677</v>
      </c>
      <c r="Y25" s="5"/>
    </row>
    <row r="26" customFormat="false" ht="15" hidden="false" customHeight="false" outlineLevel="0" collapsed="false">
      <c r="A26" s="5" t="s">
        <v>1887</v>
      </c>
      <c r="B26" s="5" t="s">
        <v>80</v>
      </c>
      <c r="C26" s="5" t="s">
        <v>81</v>
      </c>
      <c r="D26" s="6" t="s">
        <v>45</v>
      </c>
      <c r="E26" s="5" t="n">
        <v>6</v>
      </c>
      <c r="F26" s="5" t="s">
        <v>1888</v>
      </c>
      <c r="G26" s="13" t="s">
        <v>1889</v>
      </c>
      <c r="H26" s="5" t="s">
        <v>1890</v>
      </c>
      <c r="I26" s="13" t="s">
        <v>1891</v>
      </c>
      <c r="J26" s="5" t="s">
        <v>1892</v>
      </c>
      <c r="K26" s="5" t="s">
        <v>1893</v>
      </c>
      <c r="L26" s="13" t="s">
        <v>1894</v>
      </c>
      <c r="M26" s="13" t="s">
        <v>1895</v>
      </c>
      <c r="N26" s="5" t="n">
        <f aca="false">LEN(L26)</f>
        <v>25</v>
      </c>
      <c r="O26" s="5" t="n">
        <f aca="false">LEN(M26)</f>
        <v>25</v>
      </c>
      <c r="P26" s="14" t="n">
        <f aca="false">IF(N26=0,"",(N26-LEN(SUBSTITUTE(SUBSTITUTE(L26,"G",""),"C","")))/N26)</f>
        <v>0.48</v>
      </c>
      <c r="Q26" s="14" t="n">
        <f aca="false">IF(O26=0,"",(O26-LEN(SUBSTITUTE(SUBSTITUTE(M26,"G",""),"C","")))/O26)</f>
        <v>0.52</v>
      </c>
      <c r="R26" s="5" t="s">
        <v>84</v>
      </c>
      <c r="S26" s="15" t="s">
        <v>1677</v>
      </c>
      <c r="T26" s="5" t="n">
        <v>338</v>
      </c>
      <c r="U26" s="5" t="s">
        <v>1678</v>
      </c>
      <c r="V26" s="5" t="s">
        <v>47</v>
      </c>
      <c r="W26" s="5"/>
      <c r="X26" s="8" t="s">
        <v>1769</v>
      </c>
      <c r="Y26" s="5"/>
    </row>
    <row r="27" customFormat="false" ht="15" hidden="false" customHeight="false" outlineLevel="0" collapsed="false">
      <c r="A27" s="5" t="s">
        <v>1896</v>
      </c>
      <c r="B27" s="5" t="s">
        <v>80</v>
      </c>
      <c r="C27" s="5" t="s">
        <v>81</v>
      </c>
      <c r="D27" s="6" t="s">
        <v>45</v>
      </c>
      <c r="E27" s="5" t="n">
        <v>7</v>
      </c>
      <c r="F27" s="5" t="s">
        <v>1897</v>
      </c>
      <c r="G27" s="13" t="s">
        <v>1898</v>
      </c>
      <c r="H27" s="5" t="s">
        <v>1899</v>
      </c>
      <c r="I27" s="13" t="s">
        <v>1900</v>
      </c>
      <c r="J27" s="5" t="s">
        <v>1901</v>
      </c>
      <c r="K27" s="5" t="s">
        <v>1902</v>
      </c>
      <c r="L27" s="13" t="s">
        <v>1903</v>
      </c>
      <c r="M27" s="13" t="s">
        <v>1904</v>
      </c>
      <c r="N27" s="5" t="n">
        <f aca="false">LEN(L27)</f>
        <v>25</v>
      </c>
      <c r="O27" s="5" t="n">
        <f aca="false">LEN(M27)</f>
        <v>25</v>
      </c>
      <c r="P27" s="14" t="n">
        <f aca="false">IF(N27=0,"",(N27-LEN(SUBSTITUTE(SUBSTITUTE(L27,"G",""),"C","")))/N27)</f>
        <v>0.64</v>
      </c>
      <c r="Q27" s="14" t="n">
        <f aca="false">IF(O27=0,"",(O27-LEN(SUBSTITUTE(SUBSTITUTE(M27,"G",""),"C","")))/O27)</f>
        <v>0.52</v>
      </c>
      <c r="R27" s="5" t="s">
        <v>84</v>
      </c>
      <c r="S27" s="15" t="s">
        <v>1677</v>
      </c>
      <c r="T27" s="5" t="n">
        <v>473</v>
      </c>
      <c r="U27" s="5" t="s">
        <v>1678</v>
      </c>
      <c r="V27" s="5" t="s">
        <v>47</v>
      </c>
      <c r="W27" s="5"/>
      <c r="X27" s="15" t="s">
        <v>1677</v>
      </c>
      <c r="Y27" s="5"/>
    </row>
    <row r="28" customFormat="false" ht="15" hidden="false" customHeight="false" outlineLevel="0" collapsed="false">
      <c r="A28" s="5" t="s">
        <v>1905</v>
      </c>
      <c r="B28" s="5" t="s">
        <v>80</v>
      </c>
      <c r="C28" s="5" t="s">
        <v>81</v>
      </c>
      <c r="D28" s="6" t="s">
        <v>45</v>
      </c>
      <c r="E28" s="5" t="n">
        <v>8</v>
      </c>
      <c r="F28" s="5" t="s">
        <v>1906</v>
      </c>
      <c r="G28" s="13" t="s">
        <v>1907</v>
      </c>
      <c r="H28" s="5" t="s">
        <v>1908</v>
      </c>
      <c r="I28" s="13" t="s">
        <v>1909</v>
      </c>
      <c r="J28" s="5" t="s">
        <v>1910</v>
      </c>
      <c r="K28" s="5" t="s">
        <v>1911</v>
      </c>
      <c r="L28" s="13" t="s">
        <v>1912</v>
      </c>
      <c r="M28" s="13" t="s">
        <v>1913</v>
      </c>
      <c r="N28" s="5" t="n">
        <f aca="false">LEN(L28)</f>
        <v>25</v>
      </c>
      <c r="O28" s="5" t="n">
        <f aca="false">LEN(M28)</f>
        <v>25</v>
      </c>
      <c r="P28" s="14" t="n">
        <f aca="false">IF(N28=0,"",(N28-LEN(SUBSTITUTE(SUBSTITUTE(L28,"G",""),"C","")))/N28)</f>
        <v>0.48</v>
      </c>
      <c r="Q28" s="14" t="n">
        <f aca="false">IF(O28=0,"",(O28-LEN(SUBSTITUTE(SUBSTITUTE(M28,"G",""),"C","")))/O28)</f>
        <v>0.44</v>
      </c>
      <c r="R28" s="5" t="s">
        <v>84</v>
      </c>
      <c r="S28" s="15" t="s">
        <v>1677</v>
      </c>
      <c r="T28" s="5" t="n">
        <v>543</v>
      </c>
      <c r="U28" s="5" t="s">
        <v>1678</v>
      </c>
      <c r="V28" s="5" t="s">
        <v>47</v>
      </c>
      <c r="W28" s="5"/>
      <c r="X28" s="8" t="s">
        <v>1914</v>
      </c>
      <c r="Y28" s="5"/>
    </row>
    <row r="29" customFormat="false" ht="15" hidden="false" customHeight="false" outlineLevel="0" collapsed="false">
      <c r="A29" s="5" t="s">
        <v>1915</v>
      </c>
      <c r="B29" s="5" t="s">
        <v>80</v>
      </c>
      <c r="C29" s="5" t="s">
        <v>81</v>
      </c>
      <c r="D29" s="6" t="s">
        <v>45</v>
      </c>
      <c r="E29" s="5" t="n">
        <v>9</v>
      </c>
      <c r="F29" s="5" t="s">
        <v>1916</v>
      </c>
      <c r="G29" s="13" t="s">
        <v>1917</v>
      </c>
      <c r="H29" s="5" t="s">
        <v>1918</v>
      </c>
      <c r="I29" s="13" t="s">
        <v>1919</v>
      </c>
      <c r="J29" s="5" t="s">
        <v>1920</v>
      </c>
      <c r="K29" s="5" t="s">
        <v>1921</v>
      </c>
      <c r="L29" s="13" t="s">
        <v>1922</v>
      </c>
      <c r="M29" s="13" t="s">
        <v>1923</v>
      </c>
      <c r="N29" s="5" t="n">
        <f aca="false">LEN(L29)</f>
        <v>25</v>
      </c>
      <c r="O29" s="5" t="n">
        <f aca="false">LEN(M29)</f>
        <v>25</v>
      </c>
      <c r="P29" s="14" t="n">
        <f aca="false">IF(N29=0,"",(N29-LEN(SUBSTITUTE(SUBSTITUTE(L29,"G",""),"C","")))/N29)</f>
        <v>0.6</v>
      </c>
      <c r="Q29" s="14" t="n">
        <f aca="false">IF(O29=0,"",(O29-LEN(SUBSTITUTE(SUBSTITUTE(M29,"G",""),"C","")))/O29)</f>
        <v>0.56</v>
      </c>
      <c r="R29" s="5" t="s">
        <v>84</v>
      </c>
      <c r="S29" s="15" t="s">
        <v>1677</v>
      </c>
      <c r="T29" s="5" t="n">
        <v>611</v>
      </c>
      <c r="U29" s="5" t="s">
        <v>1678</v>
      </c>
      <c r="V29" s="5" t="s">
        <v>47</v>
      </c>
      <c r="W29" s="5"/>
      <c r="X29" s="15" t="s">
        <v>1677</v>
      </c>
      <c r="Y29" s="5"/>
    </row>
    <row r="30" customFormat="false" ht="15" hidden="false" customHeight="false" outlineLevel="0" collapsed="false">
      <c r="A30" s="5" t="s">
        <v>1924</v>
      </c>
      <c r="B30" s="5" t="s">
        <v>80</v>
      </c>
      <c r="C30" s="5" t="s">
        <v>81</v>
      </c>
      <c r="D30" s="6" t="s">
        <v>45</v>
      </c>
      <c r="E30" s="5" t="n">
        <v>10</v>
      </c>
      <c r="F30" s="5" t="s">
        <v>1925</v>
      </c>
      <c r="G30" s="13" t="s">
        <v>1926</v>
      </c>
      <c r="H30" s="5" t="s">
        <v>1927</v>
      </c>
      <c r="I30" s="13" t="s">
        <v>1928</v>
      </c>
      <c r="J30" s="5" t="s">
        <v>1929</v>
      </c>
      <c r="K30" s="5" t="s">
        <v>1930</v>
      </c>
      <c r="L30" s="13" t="s">
        <v>1931</v>
      </c>
      <c r="M30" s="13" t="s">
        <v>1932</v>
      </c>
      <c r="N30" s="5" t="n">
        <f aca="false">LEN(L30)</f>
        <v>25</v>
      </c>
      <c r="O30" s="5" t="n">
        <f aca="false">LEN(M30)</f>
        <v>25</v>
      </c>
      <c r="P30" s="14" t="n">
        <f aca="false">IF(N30=0,"",(N30-LEN(SUBSTITUTE(SUBSTITUTE(L30,"G",""),"C","")))/N30)</f>
        <v>0.48</v>
      </c>
      <c r="Q30" s="14" t="n">
        <f aca="false">IF(O30=0,"",(O30-LEN(SUBSTITUTE(SUBSTITUTE(M30,"G",""),"C","")))/O30)</f>
        <v>0.4</v>
      </c>
      <c r="R30" s="5" t="s">
        <v>84</v>
      </c>
      <c r="S30" s="15" t="s">
        <v>1677</v>
      </c>
      <c r="T30" s="5" t="n">
        <v>678</v>
      </c>
      <c r="U30" s="5" t="s">
        <v>1678</v>
      </c>
      <c r="V30" s="5" t="s">
        <v>47</v>
      </c>
      <c r="W30" s="5"/>
      <c r="X30" s="8" t="s">
        <v>1914</v>
      </c>
      <c r="Y30" s="5"/>
    </row>
    <row r="31" customFormat="false" ht="15" hidden="false" customHeight="false" outlineLevel="0" collapsed="false">
      <c r="A31" s="5" t="s">
        <v>1933</v>
      </c>
      <c r="B31" s="5" t="s">
        <v>87</v>
      </c>
      <c r="C31" s="5" t="s">
        <v>88</v>
      </c>
      <c r="D31" s="6" t="s">
        <v>45</v>
      </c>
      <c r="E31" s="5" t="n">
        <v>1</v>
      </c>
      <c r="F31" s="5" t="s">
        <v>1934</v>
      </c>
      <c r="G31" s="13" t="s">
        <v>1935</v>
      </c>
      <c r="H31" s="5" t="s">
        <v>1936</v>
      </c>
      <c r="I31" s="13" t="s">
        <v>1937</v>
      </c>
      <c r="J31" s="5" t="s">
        <v>1938</v>
      </c>
      <c r="K31" s="5" t="s">
        <v>1939</v>
      </c>
      <c r="L31" s="13" t="s">
        <v>1940</v>
      </c>
      <c r="M31" s="13" t="s">
        <v>1941</v>
      </c>
      <c r="N31" s="5" t="n">
        <f aca="false">LEN(L31)</f>
        <v>25</v>
      </c>
      <c r="O31" s="5" t="n">
        <f aca="false">LEN(M31)</f>
        <v>25</v>
      </c>
      <c r="P31" s="14" t="n">
        <f aca="false">IF(N31=0,"",(N31-LEN(SUBSTITUTE(SUBSTITUTE(L31,"G",""),"C","")))/N31)</f>
        <v>0.48</v>
      </c>
      <c r="Q31" s="14" t="n">
        <f aca="false">IF(O31=0,"",(O31-LEN(SUBSTITUTE(SUBSTITUTE(M31,"G",""),"C","")))/O31)</f>
        <v>0.44</v>
      </c>
      <c r="R31" s="5" t="s">
        <v>91</v>
      </c>
      <c r="S31" s="15" t="s">
        <v>1677</v>
      </c>
      <c r="T31" s="5" t="n">
        <v>179</v>
      </c>
      <c r="U31" s="5" t="s">
        <v>1678</v>
      </c>
      <c r="V31" s="5" t="s">
        <v>47</v>
      </c>
      <c r="W31" s="5"/>
      <c r="X31" s="15" t="s">
        <v>1677</v>
      </c>
      <c r="Y31" s="5"/>
    </row>
    <row r="32" customFormat="false" ht="15" hidden="false" customHeight="false" outlineLevel="0" collapsed="false">
      <c r="A32" s="5" t="s">
        <v>1942</v>
      </c>
      <c r="B32" s="5" t="s">
        <v>87</v>
      </c>
      <c r="C32" s="5" t="s">
        <v>88</v>
      </c>
      <c r="D32" s="6" t="s">
        <v>45</v>
      </c>
      <c r="E32" s="5" t="n">
        <v>2</v>
      </c>
      <c r="F32" s="5" t="s">
        <v>1943</v>
      </c>
      <c r="G32" s="13" t="s">
        <v>1944</v>
      </c>
      <c r="H32" s="5" t="s">
        <v>1945</v>
      </c>
      <c r="I32" s="13" t="s">
        <v>1946</v>
      </c>
      <c r="J32" s="5" t="s">
        <v>1947</v>
      </c>
      <c r="K32" s="5" t="s">
        <v>1948</v>
      </c>
      <c r="L32" s="13" t="s">
        <v>1949</v>
      </c>
      <c r="M32" s="13" t="s">
        <v>1950</v>
      </c>
      <c r="N32" s="5" t="n">
        <f aca="false">LEN(L32)</f>
        <v>25</v>
      </c>
      <c r="O32" s="5" t="n">
        <f aca="false">LEN(M32)</f>
        <v>25</v>
      </c>
      <c r="P32" s="14" t="n">
        <f aca="false">IF(N32=0,"",(N32-LEN(SUBSTITUTE(SUBSTITUTE(L32,"G",""),"C","")))/N32)</f>
        <v>0.64</v>
      </c>
      <c r="Q32" s="14" t="n">
        <f aca="false">IF(O32=0,"",(O32-LEN(SUBSTITUTE(SUBSTITUTE(M32,"G",""),"C","")))/O32)</f>
        <v>0.56</v>
      </c>
      <c r="R32" s="5" t="s">
        <v>91</v>
      </c>
      <c r="S32" s="15" t="s">
        <v>1677</v>
      </c>
      <c r="T32" s="5" t="n">
        <v>299</v>
      </c>
      <c r="U32" s="5" t="s">
        <v>1678</v>
      </c>
      <c r="V32" s="5" t="s">
        <v>47</v>
      </c>
      <c r="W32" s="5"/>
      <c r="X32" s="8" t="s">
        <v>1769</v>
      </c>
      <c r="Y32" s="5"/>
    </row>
    <row r="33" customFormat="false" ht="15" hidden="false" customHeight="false" outlineLevel="0" collapsed="false">
      <c r="A33" s="5" t="s">
        <v>1951</v>
      </c>
      <c r="B33" s="5" t="s">
        <v>87</v>
      </c>
      <c r="C33" s="5" t="s">
        <v>88</v>
      </c>
      <c r="D33" s="6" t="s">
        <v>45</v>
      </c>
      <c r="E33" s="5" t="n">
        <v>3</v>
      </c>
      <c r="F33" s="5" t="s">
        <v>1952</v>
      </c>
      <c r="G33" s="13" t="s">
        <v>1953</v>
      </c>
      <c r="H33" s="5" t="s">
        <v>1954</v>
      </c>
      <c r="I33" s="13" t="s">
        <v>1955</v>
      </c>
      <c r="J33" s="5" t="s">
        <v>1956</v>
      </c>
      <c r="K33" s="5" t="s">
        <v>1957</v>
      </c>
      <c r="L33" s="13" t="s">
        <v>1958</v>
      </c>
      <c r="M33" s="13" t="s">
        <v>1959</v>
      </c>
      <c r="N33" s="5" t="n">
        <f aca="false">LEN(L33)</f>
        <v>25</v>
      </c>
      <c r="O33" s="5" t="n">
        <f aca="false">LEN(M33)</f>
        <v>25</v>
      </c>
      <c r="P33" s="14" t="n">
        <f aca="false">IF(N33=0,"",(N33-LEN(SUBSTITUTE(SUBSTITUTE(L33,"G",""),"C","")))/N33)</f>
        <v>0.36</v>
      </c>
      <c r="Q33" s="14" t="n">
        <f aca="false">IF(O33=0,"",(O33-LEN(SUBSTITUTE(SUBSTITUTE(M33,"G",""),"C","")))/O33)</f>
        <v>0.24</v>
      </c>
      <c r="R33" s="5" t="s">
        <v>91</v>
      </c>
      <c r="S33" s="15" t="s">
        <v>1677</v>
      </c>
      <c r="T33" s="5" t="n">
        <v>419</v>
      </c>
      <c r="U33" s="5" t="s">
        <v>1678</v>
      </c>
      <c r="V33" s="5" t="s">
        <v>47</v>
      </c>
      <c r="W33" s="5"/>
      <c r="X33" s="15" t="s">
        <v>1677</v>
      </c>
      <c r="Y33" s="5"/>
    </row>
    <row r="34" customFormat="false" ht="15" hidden="false" customHeight="false" outlineLevel="0" collapsed="false">
      <c r="A34" s="5" t="s">
        <v>1960</v>
      </c>
      <c r="B34" s="5" t="s">
        <v>87</v>
      </c>
      <c r="C34" s="5" t="s">
        <v>88</v>
      </c>
      <c r="D34" s="6" t="s">
        <v>45</v>
      </c>
      <c r="E34" s="5" t="n">
        <v>4</v>
      </c>
      <c r="F34" s="5" t="s">
        <v>1961</v>
      </c>
      <c r="G34" s="13" t="s">
        <v>1962</v>
      </c>
      <c r="H34" s="5" t="s">
        <v>1963</v>
      </c>
      <c r="I34" s="13" t="s">
        <v>1964</v>
      </c>
      <c r="J34" s="5" t="s">
        <v>1965</v>
      </c>
      <c r="K34" s="5" t="s">
        <v>1966</v>
      </c>
      <c r="L34" s="13" t="s">
        <v>1967</v>
      </c>
      <c r="M34" s="13" t="s">
        <v>1968</v>
      </c>
      <c r="N34" s="5" t="n">
        <f aca="false">LEN(L34)</f>
        <v>25</v>
      </c>
      <c r="O34" s="5" t="n">
        <f aca="false">LEN(M34)</f>
        <v>25</v>
      </c>
      <c r="P34" s="14" t="n">
        <f aca="false">IF(N34=0,"",(N34-LEN(SUBSTITUTE(SUBSTITUTE(L34,"G",""),"C","")))/N34)</f>
        <v>0.52</v>
      </c>
      <c r="Q34" s="14" t="n">
        <f aca="false">IF(O34=0,"",(O34-LEN(SUBSTITUTE(SUBSTITUTE(M34,"G",""),"C","")))/O34)</f>
        <v>0.56</v>
      </c>
      <c r="R34" s="5" t="s">
        <v>91</v>
      </c>
      <c r="S34" s="15" t="s">
        <v>1677</v>
      </c>
      <c r="T34" s="5" t="n">
        <v>538</v>
      </c>
      <c r="U34" s="5" t="s">
        <v>1678</v>
      </c>
      <c r="V34" s="5" t="s">
        <v>47</v>
      </c>
      <c r="W34" s="5"/>
      <c r="X34" s="8" t="s">
        <v>1914</v>
      </c>
      <c r="Y34" s="5"/>
    </row>
    <row r="35" customFormat="false" ht="15" hidden="false" customHeight="false" outlineLevel="0" collapsed="false">
      <c r="A35" s="5" t="s">
        <v>1969</v>
      </c>
      <c r="B35" s="5" t="s">
        <v>87</v>
      </c>
      <c r="C35" s="5" t="s">
        <v>88</v>
      </c>
      <c r="D35" s="6" t="s">
        <v>45</v>
      </c>
      <c r="E35" s="5" t="n">
        <v>5</v>
      </c>
      <c r="F35" s="5" t="s">
        <v>1970</v>
      </c>
      <c r="G35" s="13" t="s">
        <v>1971</v>
      </c>
      <c r="H35" s="5" t="s">
        <v>1972</v>
      </c>
      <c r="I35" s="13" t="s">
        <v>1973</v>
      </c>
      <c r="J35" s="5" t="s">
        <v>1974</v>
      </c>
      <c r="K35" s="5" t="s">
        <v>1975</v>
      </c>
      <c r="L35" s="13" t="s">
        <v>1976</v>
      </c>
      <c r="M35" s="13" t="s">
        <v>1977</v>
      </c>
      <c r="N35" s="5" t="n">
        <f aca="false">LEN(L35)</f>
        <v>25</v>
      </c>
      <c r="O35" s="5" t="n">
        <f aca="false">LEN(M35)</f>
        <v>25</v>
      </c>
      <c r="P35" s="14" t="n">
        <f aca="false">IF(N35=0,"",(N35-LEN(SUBSTITUTE(SUBSTITUTE(L35,"G",""),"C","")))/N35)</f>
        <v>0.56</v>
      </c>
      <c r="Q35" s="14" t="n">
        <f aca="false">IF(O35=0,"",(O35-LEN(SUBSTITUTE(SUBSTITUTE(M35,"G",""),"C","")))/O35)</f>
        <v>0.52</v>
      </c>
      <c r="R35" s="5" t="s">
        <v>91</v>
      </c>
      <c r="S35" s="15" t="s">
        <v>1677</v>
      </c>
      <c r="T35" s="5" t="n">
        <v>657</v>
      </c>
      <c r="U35" s="5" t="s">
        <v>1678</v>
      </c>
      <c r="V35" s="5" t="s">
        <v>47</v>
      </c>
      <c r="W35" s="5"/>
      <c r="X35" s="15" t="s">
        <v>1677</v>
      </c>
      <c r="Y35" s="5"/>
    </row>
    <row r="36" customFormat="false" ht="15" hidden="false" customHeight="false" outlineLevel="0" collapsed="false">
      <c r="A36" s="5" t="s">
        <v>1978</v>
      </c>
      <c r="B36" s="5" t="s">
        <v>87</v>
      </c>
      <c r="C36" s="5" t="s">
        <v>88</v>
      </c>
      <c r="D36" s="6" t="s">
        <v>45</v>
      </c>
      <c r="E36" s="5" t="n">
        <v>6</v>
      </c>
      <c r="F36" s="5" t="s">
        <v>1979</v>
      </c>
      <c r="G36" s="13" t="s">
        <v>1980</v>
      </c>
      <c r="H36" s="5" t="s">
        <v>1981</v>
      </c>
      <c r="I36" s="13" t="s">
        <v>1982</v>
      </c>
      <c r="J36" s="5" t="s">
        <v>1983</v>
      </c>
      <c r="K36" s="5" t="s">
        <v>1984</v>
      </c>
      <c r="L36" s="13" t="s">
        <v>1985</v>
      </c>
      <c r="M36" s="13" t="s">
        <v>1986</v>
      </c>
      <c r="N36" s="5" t="n">
        <f aca="false">LEN(L36)</f>
        <v>25</v>
      </c>
      <c r="O36" s="5" t="n">
        <f aca="false">LEN(M36)</f>
        <v>25</v>
      </c>
      <c r="P36" s="14" t="n">
        <f aca="false">IF(N36=0,"",(N36-LEN(SUBSTITUTE(SUBSTITUTE(L36,"G",""),"C","")))/N36)</f>
        <v>0.44</v>
      </c>
      <c r="Q36" s="14" t="n">
        <f aca="false">IF(O36=0,"",(O36-LEN(SUBSTITUTE(SUBSTITUTE(M36,"G",""),"C","")))/O36)</f>
        <v>0.4</v>
      </c>
      <c r="R36" s="5" t="s">
        <v>91</v>
      </c>
      <c r="S36" s="15" t="s">
        <v>1677</v>
      </c>
      <c r="T36" s="5" t="n">
        <v>778</v>
      </c>
      <c r="U36" s="5" t="s">
        <v>1678</v>
      </c>
      <c r="V36" s="5" t="s">
        <v>47</v>
      </c>
      <c r="W36" s="5"/>
      <c r="X36" s="15" t="s">
        <v>1677</v>
      </c>
      <c r="Y36" s="5"/>
    </row>
    <row r="37" customFormat="false" ht="15" hidden="false" customHeight="false" outlineLevel="0" collapsed="false">
      <c r="A37" s="5" t="s">
        <v>1987</v>
      </c>
      <c r="B37" s="5" t="s">
        <v>87</v>
      </c>
      <c r="C37" s="5" t="s">
        <v>88</v>
      </c>
      <c r="D37" s="6" t="s">
        <v>45</v>
      </c>
      <c r="E37" s="5" t="n">
        <v>7</v>
      </c>
      <c r="F37" s="5" t="s">
        <v>1988</v>
      </c>
      <c r="G37" s="13" t="s">
        <v>1989</v>
      </c>
      <c r="H37" s="5" t="s">
        <v>1990</v>
      </c>
      <c r="I37" s="13" t="s">
        <v>1991</v>
      </c>
      <c r="J37" s="5" t="s">
        <v>1992</v>
      </c>
      <c r="K37" s="5" t="s">
        <v>1993</v>
      </c>
      <c r="L37" s="13" t="s">
        <v>1994</v>
      </c>
      <c r="M37" s="13" t="s">
        <v>1995</v>
      </c>
      <c r="N37" s="5" t="n">
        <f aca="false">LEN(L37)</f>
        <v>25</v>
      </c>
      <c r="O37" s="5" t="n">
        <f aca="false">LEN(M37)</f>
        <v>25</v>
      </c>
      <c r="P37" s="14" t="n">
        <f aca="false">IF(N37=0,"",(N37-LEN(SUBSTITUTE(SUBSTITUTE(L37,"G",""),"C","")))/N37)</f>
        <v>0.44</v>
      </c>
      <c r="Q37" s="14" t="n">
        <f aca="false">IF(O37=0,"",(O37-LEN(SUBSTITUTE(SUBSTITUTE(M37,"G",""),"C","")))/O37)</f>
        <v>0.48</v>
      </c>
      <c r="R37" s="5" t="s">
        <v>91</v>
      </c>
      <c r="S37" s="15" t="s">
        <v>1677</v>
      </c>
      <c r="T37" s="5" t="n">
        <v>899</v>
      </c>
      <c r="U37" s="5" t="s">
        <v>1678</v>
      </c>
      <c r="V37" s="5" t="s">
        <v>47</v>
      </c>
      <c r="W37" s="5"/>
      <c r="X37" s="15" t="s">
        <v>1677</v>
      </c>
      <c r="Y37" s="5"/>
    </row>
    <row r="38" customFormat="false" ht="15" hidden="false" customHeight="false" outlineLevel="0" collapsed="false">
      <c r="A38" s="5" t="s">
        <v>1996</v>
      </c>
      <c r="B38" s="5" t="s">
        <v>95</v>
      </c>
      <c r="C38" s="5" t="s">
        <v>96</v>
      </c>
      <c r="D38" s="6" t="s">
        <v>45</v>
      </c>
      <c r="E38" s="5" t="n">
        <v>1</v>
      </c>
      <c r="F38" s="5" t="s">
        <v>1997</v>
      </c>
      <c r="G38" s="13" t="s">
        <v>1998</v>
      </c>
      <c r="H38" s="5" t="s">
        <v>1999</v>
      </c>
      <c r="I38" s="13" t="s">
        <v>2000</v>
      </c>
      <c r="J38" s="5" t="s">
        <v>2001</v>
      </c>
      <c r="K38" s="5" t="s">
        <v>2002</v>
      </c>
      <c r="L38" s="13" t="s">
        <v>2003</v>
      </c>
      <c r="M38" s="13" t="s">
        <v>2004</v>
      </c>
      <c r="N38" s="5" t="n">
        <f aca="false">LEN(L38)</f>
        <v>25</v>
      </c>
      <c r="O38" s="5" t="n">
        <f aca="false">LEN(M38)</f>
        <v>25</v>
      </c>
      <c r="P38" s="14" t="n">
        <f aca="false">IF(N38=0,"",(N38-LEN(SUBSTITUTE(SUBSTITUTE(L38,"G",""),"C","")))/N38)</f>
        <v>0.76</v>
      </c>
      <c r="Q38" s="14" t="n">
        <f aca="false">IF(O38=0,"",(O38-LEN(SUBSTITUTE(SUBSTITUTE(M38,"G",""),"C","")))/O38)</f>
        <v>0.84</v>
      </c>
      <c r="R38" s="5" t="s">
        <v>100</v>
      </c>
      <c r="S38" s="15" t="s">
        <v>1677</v>
      </c>
      <c r="T38" s="5" t="n">
        <v>6</v>
      </c>
      <c r="U38" s="5" t="s">
        <v>1678</v>
      </c>
      <c r="V38" s="5" t="s">
        <v>47</v>
      </c>
      <c r="W38" s="5"/>
      <c r="X38" s="15" t="s">
        <v>1677</v>
      </c>
      <c r="Y38" s="5"/>
    </row>
    <row r="39" customFormat="false" ht="15" hidden="false" customHeight="false" outlineLevel="0" collapsed="false">
      <c r="A39" s="5" t="s">
        <v>2005</v>
      </c>
      <c r="B39" s="5" t="s">
        <v>95</v>
      </c>
      <c r="C39" s="5" t="s">
        <v>96</v>
      </c>
      <c r="D39" s="6" t="s">
        <v>45</v>
      </c>
      <c r="E39" s="5" t="n">
        <v>2</v>
      </c>
      <c r="F39" s="5" t="s">
        <v>2006</v>
      </c>
      <c r="G39" s="13" t="s">
        <v>2007</v>
      </c>
      <c r="H39" s="5" t="s">
        <v>2008</v>
      </c>
      <c r="I39" s="13" t="s">
        <v>2009</v>
      </c>
      <c r="J39" s="5" t="s">
        <v>2010</v>
      </c>
      <c r="K39" s="5" t="s">
        <v>2011</v>
      </c>
      <c r="L39" s="13" t="s">
        <v>2012</v>
      </c>
      <c r="M39" s="13" t="s">
        <v>2013</v>
      </c>
      <c r="N39" s="5" t="n">
        <f aca="false">LEN(L39)</f>
        <v>25</v>
      </c>
      <c r="O39" s="5" t="n">
        <f aca="false">LEN(M39)</f>
        <v>25</v>
      </c>
      <c r="P39" s="14" t="n">
        <f aca="false">IF(N39=0,"",(N39-LEN(SUBSTITUTE(SUBSTITUTE(L39,"G",""),"C","")))/N39)</f>
        <v>0.56</v>
      </c>
      <c r="Q39" s="14" t="n">
        <f aca="false">IF(O39=0,"",(O39-LEN(SUBSTITUTE(SUBSTITUTE(M39,"G",""),"C","")))/O39)</f>
        <v>0.68</v>
      </c>
      <c r="R39" s="5" t="s">
        <v>100</v>
      </c>
      <c r="S39" s="15" t="s">
        <v>1677</v>
      </c>
      <c r="T39" s="5" t="n">
        <v>76</v>
      </c>
      <c r="U39" s="5" t="s">
        <v>1678</v>
      </c>
      <c r="V39" s="5" t="s">
        <v>47</v>
      </c>
      <c r="W39" s="5"/>
      <c r="X39" s="15" t="s">
        <v>1677</v>
      </c>
      <c r="Y39" s="5"/>
    </row>
    <row r="40" customFormat="false" ht="15" hidden="false" customHeight="false" outlineLevel="0" collapsed="false">
      <c r="A40" s="5" t="s">
        <v>2014</v>
      </c>
      <c r="B40" s="5" t="s">
        <v>95</v>
      </c>
      <c r="C40" s="5" t="s">
        <v>96</v>
      </c>
      <c r="D40" s="6" t="s">
        <v>45</v>
      </c>
      <c r="E40" s="5" t="n">
        <v>3</v>
      </c>
      <c r="F40" s="5" t="s">
        <v>2015</v>
      </c>
      <c r="G40" s="13" t="s">
        <v>2016</v>
      </c>
      <c r="H40" s="5" t="s">
        <v>2017</v>
      </c>
      <c r="I40" s="13" t="s">
        <v>2018</v>
      </c>
      <c r="J40" s="5" t="s">
        <v>2019</v>
      </c>
      <c r="K40" s="5" t="s">
        <v>2020</v>
      </c>
      <c r="L40" s="13" t="s">
        <v>2021</v>
      </c>
      <c r="M40" s="13" t="s">
        <v>2022</v>
      </c>
      <c r="N40" s="5" t="n">
        <f aca="false">LEN(L40)</f>
        <v>25</v>
      </c>
      <c r="O40" s="5" t="n">
        <f aca="false">LEN(M40)</f>
        <v>25</v>
      </c>
      <c r="P40" s="14" t="n">
        <f aca="false">IF(N40=0,"",(N40-LEN(SUBSTITUTE(SUBSTITUTE(L40,"G",""),"C","")))/N40)</f>
        <v>0.76</v>
      </c>
      <c r="Q40" s="14" t="n">
        <f aca="false">IF(O40=0,"",(O40-LEN(SUBSTITUTE(SUBSTITUTE(M40,"G",""),"C","")))/O40)</f>
        <v>0.64</v>
      </c>
      <c r="R40" s="5" t="s">
        <v>100</v>
      </c>
      <c r="S40" s="15" t="s">
        <v>1677</v>
      </c>
      <c r="T40" s="5" t="n">
        <v>146</v>
      </c>
      <c r="U40" s="5" t="s">
        <v>1678</v>
      </c>
      <c r="V40" s="5" t="s">
        <v>47</v>
      </c>
      <c r="W40" s="5"/>
      <c r="X40" s="15" t="s">
        <v>1677</v>
      </c>
      <c r="Y40" s="5"/>
    </row>
    <row r="41" customFormat="false" ht="15" hidden="false" customHeight="false" outlineLevel="0" collapsed="false">
      <c r="A41" s="5" t="s">
        <v>2023</v>
      </c>
      <c r="B41" s="5" t="s">
        <v>95</v>
      </c>
      <c r="C41" s="5" t="s">
        <v>96</v>
      </c>
      <c r="D41" s="6" t="s">
        <v>45</v>
      </c>
      <c r="E41" s="5" t="n">
        <v>4</v>
      </c>
      <c r="F41" s="5" t="s">
        <v>2024</v>
      </c>
      <c r="G41" s="13" t="s">
        <v>2025</v>
      </c>
      <c r="H41" s="5" t="s">
        <v>2026</v>
      </c>
      <c r="I41" s="13" t="s">
        <v>2027</v>
      </c>
      <c r="J41" s="5" t="s">
        <v>2028</v>
      </c>
      <c r="K41" s="5" t="s">
        <v>2029</v>
      </c>
      <c r="L41" s="13" t="s">
        <v>2030</v>
      </c>
      <c r="M41" s="13" t="s">
        <v>2031</v>
      </c>
      <c r="N41" s="5" t="n">
        <f aca="false">LEN(L41)</f>
        <v>25</v>
      </c>
      <c r="O41" s="5" t="n">
        <f aca="false">LEN(M41)</f>
        <v>25</v>
      </c>
      <c r="P41" s="14" t="n">
        <f aca="false">IF(N41=0,"",(N41-LEN(SUBSTITUTE(SUBSTITUTE(L41,"G",""),"C","")))/N41)</f>
        <v>0.56</v>
      </c>
      <c r="Q41" s="14" t="n">
        <f aca="false">IF(O41=0,"",(O41-LEN(SUBSTITUTE(SUBSTITUTE(M41,"G",""),"C","")))/O41)</f>
        <v>0.64</v>
      </c>
      <c r="R41" s="5" t="s">
        <v>100</v>
      </c>
      <c r="S41" s="15" t="s">
        <v>1677</v>
      </c>
      <c r="T41" s="5" t="n">
        <v>216</v>
      </c>
      <c r="U41" s="5" t="s">
        <v>1678</v>
      </c>
      <c r="V41" s="5" t="s">
        <v>47</v>
      </c>
      <c r="W41" s="5"/>
      <c r="X41" s="15" t="s">
        <v>1677</v>
      </c>
      <c r="Y41" s="5"/>
    </row>
    <row r="42" customFormat="false" ht="15" hidden="false" customHeight="false" outlineLevel="0" collapsed="false">
      <c r="A42" s="5" t="s">
        <v>2032</v>
      </c>
      <c r="B42" s="5" t="s">
        <v>95</v>
      </c>
      <c r="C42" s="5" t="s">
        <v>96</v>
      </c>
      <c r="D42" s="6" t="s">
        <v>45</v>
      </c>
      <c r="E42" s="5" t="n">
        <v>5</v>
      </c>
      <c r="F42" s="5" t="s">
        <v>2033</v>
      </c>
      <c r="G42" s="13" t="s">
        <v>2034</v>
      </c>
      <c r="H42" s="5" t="s">
        <v>2035</v>
      </c>
      <c r="I42" s="13" t="s">
        <v>2036</v>
      </c>
      <c r="J42" s="5" t="s">
        <v>2037</v>
      </c>
      <c r="K42" s="5" t="s">
        <v>2038</v>
      </c>
      <c r="L42" s="13" t="s">
        <v>2039</v>
      </c>
      <c r="M42" s="13" t="s">
        <v>2040</v>
      </c>
      <c r="N42" s="5" t="n">
        <f aca="false">LEN(L42)</f>
        <v>25</v>
      </c>
      <c r="O42" s="5" t="n">
        <f aca="false">LEN(M42)</f>
        <v>25</v>
      </c>
      <c r="P42" s="14" t="n">
        <f aca="false">IF(N42=0,"",(N42-LEN(SUBSTITUTE(SUBSTITUTE(L42,"G",""),"C","")))/N42)</f>
        <v>0.6</v>
      </c>
      <c r="Q42" s="14" t="n">
        <f aca="false">IF(O42=0,"",(O42-LEN(SUBSTITUTE(SUBSTITUTE(M42,"G",""),"C","")))/O42)</f>
        <v>0.64</v>
      </c>
      <c r="R42" s="5" t="s">
        <v>100</v>
      </c>
      <c r="S42" s="15" t="s">
        <v>1677</v>
      </c>
      <c r="T42" s="5" t="n">
        <v>286</v>
      </c>
      <c r="U42" s="5" t="s">
        <v>1678</v>
      </c>
      <c r="V42" s="5" t="s">
        <v>47</v>
      </c>
      <c r="W42" s="5"/>
      <c r="X42" s="15" t="s">
        <v>1677</v>
      </c>
      <c r="Y42" s="5"/>
    </row>
    <row r="43" customFormat="false" ht="15" hidden="false" customHeight="false" outlineLevel="0" collapsed="false">
      <c r="A43" s="5" t="s">
        <v>2041</v>
      </c>
      <c r="B43" s="5" t="s">
        <v>95</v>
      </c>
      <c r="C43" s="5" t="s">
        <v>96</v>
      </c>
      <c r="D43" s="6" t="s">
        <v>45</v>
      </c>
      <c r="E43" s="5" t="n">
        <v>6</v>
      </c>
      <c r="F43" s="5" t="s">
        <v>2042</v>
      </c>
      <c r="G43" s="13" t="s">
        <v>2043</v>
      </c>
      <c r="H43" s="5" t="s">
        <v>2044</v>
      </c>
      <c r="I43" s="13" t="s">
        <v>2045</v>
      </c>
      <c r="J43" s="5" t="s">
        <v>2046</v>
      </c>
      <c r="K43" s="5" t="s">
        <v>2047</v>
      </c>
      <c r="L43" s="13" t="s">
        <v>2048</v>
      </c>
      <c r="M43" s="13" t="s">
        <v>2049</v>
      </c>
      <c r="N43" s="5" t="n">
        <f aca="false">LEN(L43)</f>
        <v>25</v>
      </c>
      <c r="O43" s="5" t="n">
        <f aca="false">LEN(M43)</f>
        <v>25</v>
      </c>
      <c r="P43" s="14" t="n">
        <f aca="false">IF(N43=0,"",(N43-LEN(SUBSTITUTE(SUBSTITUTE(L43,"G",""),"C","")))/N43)</f>
        <v>0.6</v>
      </c>
      <c r="Q43" s="14" t="n">
        <f aca="false">IF(O43=0,"",(O43-LEN(SUBSTITUTE(SUBSTITUTE(M43,"G",""),"C","")))/O43)</f>
        <v>0.76</v>
      </c>
      <c r="R43" s="5" t="s">
        <v>100</v>
      </c>
      <c r="S43" s="15" t="s">
        <v>1677</v>
      </c>
      <c r="T43" s="5" t="n">
        <v>356</v>
      </c>
      <c r="U43" s="5" t="s">
        <v>1678</v>
      </c>
      <c r="V43" s="5" t="s">
        <v>47</v>
      </c>
      <c r="W43" s="5"/>
      <c r="X43" s="15" t="s">
        <v>1677</v>
      </c>
      <c r="Y43" s="5"/>
    </row>
    <row r="44" customFormat="false" ht="15" hidden="false" customHeight="false" outlineLevel="0" collapsed="false">
      <c r="A44" s="5" t="s">
        <v>2050</v>
      </c>
      <c r="B44" s="5" t="s">
        <v>104</v>
      </c>
      <c r="C44" s="5" t="s">
        <v>105</v>
      </c>
      <c r="D44" s="6" t="s">
        <v>45</v>
      </c>
      <c r="E44" s="5" t="n">
        <v>1</v>
      </c>
      <c r="F44" s="5" t="s">
        <v>2051</v>
      </c>
      <c r="G44" s="13" t="s">
        <v>2052</v>
      </c>
      <c r="H44" s="5" t="s">
        <v>2053</v>
      </c>
      <c r="I44" s="13" t="s">
        <v>2054</v>
      </c>
      <c r="J44" s="5" t="s">
        <v>2055</v>
      </c>
      <c r="K44" s="5" t="s">
        <v>2056</v>
      </c>
      <c r="L44" s="13" t="s">
        <v>2057</v>
      </c>
      <c r="M44" s="13" t="s">
        <v>2058</v>
      </c>
      <c r="N44" s="5" t="n">
        <f aca="false">LEN(L44)</f>
        <v>25</v>
      </c>
      <c r="O44" s="5" t="n">
        <f aca="false">LEN(M44)</f>
        <v>25</v>
      </c>
      <c r="P44" s="14" t="n">
        <f aca="false">IF(N44=0,"",(N44-LEN(SUBSTITUTE(SUBSTITUTE(L44,"G",""),"C","")))/N44)</f>
        <v>0.56</v>
      </c>
      <c r="Q44" s="14" t="n">
        <f aca="false">IF(O44=0,"",(O44-LEN(SUBSTITUTE(SUBSTITUTE(M44,"G",""),"C","")))/O44)</f>
        <v>0.76</v>
      </c>
      <c r="R44" s="5" t="s">
        <v>109</v>
      </c>
      <c r="S44" s="15" t="s">
        <v>1677</v>
      </c>
      <c r="T44" s="5" t="n">
        <v>76</v>
      </c>
      <c r="U44" s="5" t="s">
        <v>1678</v>
      </c>
      <c r="V44" s="5" t="s">
        <v>47</v>
      </c>
      <c r="W44" s="5"/>
      <c r="X44" s="15" t="s">
        <v>1677</v>
      </c>
      <c r="Y44" s="5"/>
    </row>
    <row r="45" customFormat="false" ht="15" hidden="false" customHeight="false" outlineLevel="0" collapsed="false">
      <c r="A45" s="5" t="s">
        <v>2059</v>
      </c>
      <c r="B45" s="5" t="s">
        <v>104</v>
      </c>
      <c r="C45" s="5" t="s">
        <v>105</v>
      </c>
      <c r="D45" s="6" t="s">
        <v>45</v>
      </c>
      <c r="E45" s="5" t="n">
        <v>2</v>
      </c>
      <c r="F45" s="5" t="s">
        <v>2060</v>
      </c>
      <c r="G45" s="13" t="s">
        <v>2061</v>
      </c>
      <c r="H45" s="5" t="s">
        <v>2062</v>
      </c>
      <c r="I45" s="13" t="s">
        <v>2063</v>
      </c>
      <c r="J45" s="5" t="s">
        <v>2064</v>
      </c>
      <c r="K45" s="5" t="s">
        <v>2065</v>
      </c>
      <c r="L45" s="13" t="s">
        <v>2066</v>
      </c>
      <c r="M45" s="13" t="s">
        <v>2067</v>
      </c>
      <c r="N45" s="5" t="n">
        <f aca="false">LEN(L45)</f>
        <v>25</v>
      </c>
      <c r="O45" s="5" t="n">
        <f aca="false">LEN(M45)</f>
        <v>25</v>
      </c>
      <c r="P45" s="14" t="n">
        <f aca="false">IF(N45=0,"",(N45-LEN(SUBSTITUTE(SUBSTITUTE(L45,"G",""),"C","")))/N45)</f>
        <v>0.68</v>
      </c>
      <c r="Q45" s="14" t="n">
        <f aca="false">IF(O45=0,"",(O45-LEN(SUBSTITUTE(SUBSTITUTE(M45,"G",""),"C","")))/O45)</f>
        <v>0.6</v>
      </c>
      <c r="R45" s="5" t="s">
        <v>109</v>
      </c>
      <c r="S45" s="15" t="s">
        <v>1677</v>
      </c>
      <c r="T45" s="5" t="n">
        <v>146</v>
      </c>
      <c r="U45" s="5" t="s">
        <v>1678</v>
      </c>
      <c r="V45" s="5" t="s">
        <v>47</v>
      </c>
      <c r="W45" s="5"/>
      <c r="X45" s="15" t="s">
        <v>1677</v>
      </c>
      <c r="Y45" s="5"/>
    </row>
    <row r="46" customFormat="false" ht="15" hidden="false" customHeight="false" outlineLevel="0" collapsed="false">
      <c r="A46" s="5" t="s">
        <v>2068</v>
      </c>
      <c r="B46" s="5" t="s">
        <v>104</v>
      </c>
      <c r="C46" s="5" t="s">
        <v>105</v>
      </c>
      <c r="D46" s="6" t="s">
        <v>45</v>
      </c>
      <c r="E46" s="5" t="n">
        <v>3</v>
      </c>
      <c r="F46" s="5" t="s">
        <v>2069</v>
      </c>
      <c r="G46" s="13" t="s">
        <v>2070</v>
      </c>
      <c r="H46" s="5" t="s">
        <v>2071</v>
      </c>
      <c r="I46" s="13" t="s">
        <v>2072</v>
      </c>
      <c r="J46" s="5" t="s">
        <v>2073</v>
      </c>
      <c r="K46" s="5" t="s">
        <v>2074</v>
      </c>
      <c r="L46" s="13" t="s">
        <v>2075</v>
      </c>
      <c r="M46" s="13" t="s">
        <v>2076</v>
      </c>
      <c r="N46" s="5" t="n">
        <f aca="false">LEN(L46)</f>
        <v>25</v>
      </c>
      <c r="O46" s="5" t="n">
        <f aca="false">LEN(M46)</f>
        <v>25</v>
      </c>
      <c r="P46" s="14" t="n">
        <f aca="false">IF(N46=0,"",(N46-LEN(SUBSTITUTE(SUBSTITUTE(L46,"G",""),"C","")))/N46)</f>
        <v>0.84</v>
      </c>
      <c r="Q46" s="14" t="n">
        <f aca="false">IF(O46=0,"",(O46-LEN(SUBSTITUTE(SUBSTITUTE(M46,"G",""),"C","")))/O46)</f>
        <v>0.92</v>
      </c>
      <c r="R46" s="5" t="s">
        <v>109</v>
      </c>
      <c r="S46" s="15" t="s">
        <v>1677</v>
      </c>
      <c r="T46" s="5" t="n">
        <v>216</v>
      </c>
      <c r="U46" s="5" t="s">
        <v>1678</v>
      </c>
      <c r="V46" s="5" t="s">
        <v>47</v>
      </c>
      <c r="W46" s="5"/>
      <c r="X46" s="15" t="s">
        <v>1677</v>
      </c>
      <c r="Y46" s="5"/>
    </row>
    <row r="47" customFormat="false" ht="15" hidden="false" customHeight="false" outlineLevel="0" collapsed="false">
      <c r="A47" s="5" t="s">
        <v>2077</v>
      </c>
      <c r="B47" s="5" t="s">
        <v>104</v>
      </c>
      <c r="C47" s="5" t="s">
        <v>105</v>
      </c>
      <c r="D47" s="6" t="s">
        <v>45</v>
      </c>
      <c r="E47" s="5" t="n">
        <v>4</v>
      </c>
      <c r="F47" s="5" t="s">
        <v>2078</v>
      </c>
      <c r="G47" s="13" t="s">
        <v>2079</v>
      </c>
      <c r="H47" s="5" t="s">
        <v>2080</v>
      </c>
      <c r="I47" s="13" t="s">
        <v>2081</v>
      </c>
      <c r="J47" s="5" t="s">
        <v>2082</v>
      </c>
      <c r="K47" s="5" t="s">
        <v>2083</v>
      </c>
      <c r="L47" s="13" t="s">
        <v>2084</v>
      </c>
      <c r="M47" s="13" t="s">
        <v>2085</v>
      </c>
      <c r="N47" s="5" t="n">
        <f aca="false">LEN(L47)</f>
        <v>25</v>
      </c>
      <c r="O47" s="5" t="n">
        <f aca="false">LEN(M47)</f>
        <v>25</v>
      </c>
      <c r="P47" s="14" t="n">
        <f aca="false">IF(N47=0,"",(N47-LEN(SUBSTITUTE(SUBSTITUTE(L47,"G",""),"C","")))/N47)</f>
        <v>0.8</v>
      </c>
      <c r="Q47" s="14" t="n">
        <f aca="false">IF(O47=0,"",(O47-LEN(SUBSTITUTE(SUBSTITUTE(M47,"G",""),"C","")))/O47)</f>
        <v>0.96</v>
      </c>
      <c r="R47" s="5" t="s">
        <v>109</v>
      </c>
      <c r="S47" s="15" t="s">
        <v>1677</v>
      </c>
      <c r="T47" s="5" t="n">
        <v>286</v>
      </c>
      <c r="U47" s="5" t="s">
        <v>1678</v>
      </c>
      <c r="V47" s="5" t="s">
        <v>47</v>
      </c>
      <c r="W47" s="5"/>
      <c r="X47" s="15" t="s">
        <v>1677</v>
      </c>
      <c r="Y47" s="5"/>
    </row>
    <row r="48" customFormat="false" ht="15" hidden="false" customHeight="false" outlineLevel="0" collapsed="false">
      <c r="A48" s="5" t="s">
        <v>2086</v>
      </c>
      <c r="B48" s="5" t="s">
        <v>104</v>
      </c>
      <c r="C48" s="5" t="s">
        <v>105</v>
      </c>
      <c r="D48" s="6" t="s">
        <v>45</v>
      </c>
      <c r="E48" s="5" t="n">
        <v>5</v>
      </c>
      <c r="F48" s="5" t="s">
        <v>2087</v>
      </c>
      <c r="G48" s="13" t="s">
        <v>2088</v>
      </c>
      <c r="H48" s="5" t="s">
        <v>2089</v>
      </c>
      <c r="I48" s="13" t="s">
        <v>2090</v>
      </c>
      <c r="J48" s="5" t="s">
        <v>2091</v>
      </c>
      <c r="K48" s="5" t="s">
        <v>2092</v>
      </c>
      <c r="L48" s="13" t="s">
        <v>2093</v>
      </c>
      <c r="M48" s="13" t="s">
        <v>2094</v>
      </c>
      <c r="N48" s="5" t="n">
        <f aca="false">LEN(L48)</f>
        <v>25</v>
      </c>
      <c r="O48" s="5" t="n">
        <f aca="false">LEN(M48)</f>
        <v>25</v>
      </c>
      <c r="P48" s="14" t="n">
        <f aca="false">IF(N48=0,"",(N48-LEN(SUBSTITUTE(SUBSTITUTE(L48,"G",""),"C","")))/N48)</f>
        <v>0.84</v>
      </c>
      <c r="Q48" s="14" t="n">
        <f aca="false">IF(O48=0,"",(O48-LEN(SUBSTITUTE(SUBSTITUTE(M48,"G",""),"C","")))/O48)</f>
        <v>0.72</v>
      </c>
      <c r="R48" s="5" t="s">
        <v>109</v>
      </c>
      <c r="S48" s="15" t="s">
        <v>1677</v>
      </c>
      <c r="T48" s="5" t="n">
        <v>356</v>
      </c>
      <c r="U48" s="5" t="s">
        <v>1678</v>
      </c>
      <c r="V48" s="5" t="s">
        <v>47</v>
      </c>
      <c r="W48" s="5"/>
      <c r="X48" s="15" t="s">
        <v>1677</v>
      </c>
      <c r="Y48" s="5"/>
    </row>
    <row r="49" customFormat="false" ht="15" hidden="false" customHeight="false" outlineLevel="0" collapsed="false">
      <c r="A49" s="5" t="s">
        <v>2095</v>
      </c>
      <c r="B49" s="5" t="s">
        <v>104</v>
      </c>
      <c r="C49" s="5" t="s">
        <v>105</v>
      </c>
      <c r="D49" s="6" t="s">
        <v>45</v>
      </c>
      <c r="E49" s="5" t="n">
        <v>6</v>
      </c>
      <c r="F49" s="5" t="s">
        <v>2096</v>
      </c>
      <c r="G49" s="13" t="s">
        <v>2097</v>
      </c>
      <c r="H49" s="5" t="s">
        <v>2098</v>
      </c>
      <c r="I49" s="13" t="s">
        <v>2099</v>
      </c>
      <c r="J49" s="5" t="s">
        <v>2100</v>
      </c>
      <c r="K49" s="5" t="s">
        <v>2101</v>
      </c>
      <c r="L49" s="13" t="s">
        <v>2102</v>
      </c>
      <c r="M49" s="13" t="s">
        <v>2103</v>
      </c>
      <c r="N49" s="5" t="n">
        <f aca="false">LEN(L49)</f>
        <v>25</v>
      </c>
      <c r="O49" s="5" t="n">
        <f aca="false">LEN(M49)</f>
        <v>25</v>
      </c>
      <c r="P49" s="14" t="n">
        <f aca="false">IF(N49=0,"",(N49-LEN(SUBSTITUTE(SUBSTITUTE(L49,"G",""),"C","")))/N49)</f>
        <v>0.92</v>
      </c>
      <c r="Q49" s="14" t="n">
        <f aca="false">IF(O49=0,"",(O49-LEN(SUBSTITUTE(SUBSTITUTE(M49,"G",""),"C","")))/O49)</f>
        <v>0.76</v>
      </c>
      <c r="R49" s="5" t="s">
        <v>109</v>
      </c>
      <c r="S49" s="15" t="s">
        <v>1677</v>
      </c>
      <c r="T49" s="5" t="n">
        <v>426</v>
      </c>
      <c r="U49" s="5" t="s">
        <v>1678</v>
      </c>
      <c r="V49" s="5" t="s">
        <v>47</v>
      </c>
      <c r="W49" s="5"/>
      <c r="X49" s="15" t="s">
        <v>1677</v>
      </c>
      <c r="Y49" s="5"/>
    </row>
    <row r="50" customFormat="false" ht="15" hidden="false" customHeight="false" outlineLevel="0" collapsed="false">
      <c r="A50" s="5" t="s">
        <v>2104</v>
      </c>
      <c r="B50" s="5" t="s">
        <v>104</v>
      </c>
      <c r="C50" s="5" t="s">
        <v>105</v>
      </c>
      <c r="D50" s="6" t="s">
        <v>45</v>
      </c>
      <c r="E50" s="5" t="n">
        <v>7</v>
      </c>
      <c r="F50" s="5" t="s">
        <v>2105</v>
      </c>
      <c r="G50" s="13" t="s">
        <v>2106</v>
      </c>
      <c r="H50" s="5" t="s">
        <v>2107</v>
      </c>
      <c r="I50" s="13" t="s">
        <v>2108</v>
      </c>
      <c r="J50" s="5" t="s">
        <v>2109</v>
      </c>
      <c r="K50" s="5" t="s">
        <v>2110</v>
      </c>
      <c r="L50" s="13" t="s">
        <v>2111</v>
      </c>
      <c r="M50" s="13" t="s">
        <v>2112</v>
      </c>
      <c r="N50" s="5" t="n">
        <f aca="false">LEN(L50)</f>
        <v>25</v>
      </c>
      <c r="O50" s="5" t="n">
        <f aca="false">LEN(M50)</f>
        <v>25</v>
      </c>
      <c r="P50" s="14" t="n">
        <f aca="false">IF(N50=0,"",(N50-LEN(SUBSTITUTE(SUBSTITUTE(L50,"G",""),"C","")))/N50)</f>
        <v>0.72</v>
      </c>
      <c r="Q50" s="14" t="n">
        <f aca="false">IF(O50=0,"",(O50-LEN(SUBSTITUTE(SUBSTITUTE(M50,"G",""),"C","")))/O50)</f>
        <v>0.92</v>
      </c>
      <c r="R50" s="5" t="s">
        <v>109</v>
      </c>
      <c r="S50" s="15" t="s">
        <v>1677</v>
      </c>
      <c r="T50" s="5" t="n">
        <v>496</v>
      </c>
      <c r="U50" s="5" t="s">
        <v>1678</v>
      </c>
      <c r="V50" s="5" t="s">
        <v>47</v>
      </c>
      <c r="W50" s="5"/>
      <c r="X50" s="15" t="s">
        <v>1677</v>
      </c>
      <c r="Y50" s="5"/>
    </row>
    <row r="51" customFormat="false" ht="15" hidden="false" customHeight="false" outlineLevel="0" collapsed="false">
      <c r="A51" s="5" t="s">
        <v>2113</v>
      </c>
      <c r="B51" s="5" t="s">
        <v>104</v>
      </c>
      <c r="C51" s="5" t="s">
        <v>105</v>
      </c>
      <c r="D51" s="6" t="s">
        <v>45</v>
      </c>
      <c r="E51" s="5" t="n">
        <v>8</v>
      </c>
      <c r="F51" s="5" t="s">
        <v>2114</v>
      </c>
      <c r="G51" s="13" t="s">
        <v>2115</v>
      </c>
      <c r="H51" s="5" t="s">
        <v>2116</v>
      </c>
      <c r="I51" s="13" t="s">
        <v>2117</v>
      </c>
      <c r="J51" s="5" t="s">
        <v>2118</v>
      </c>
      <c r="K51" s="5" t="s">
        <v>2119</v>
      </c>
      <c r="L51" s="13" t="s">
        <v>2120</v>
      </c>
      <c r="M51" s="13" t="s">
        <v>2121</v>
      </c>
      <c r="N51" s="5" t="n">
        <f aca="false">LEN(L51)</f>
        <v>25</v>
      </c>
      <c r="O51" s="5" t="n">
        <f aca="false">LEN(M51)</f>
        <v>25</v>
      </c>
      <c r="P51" s="14" t="n">
        <f aca="false">IF(N51=0,"",(N51-LEN(SUBSTITUTE(SUBSTITUTE(L51,"G",""),"C","")))/N51)</f>
        <v>0.8</v>
      </c>
      <c r="Q51" s="14" t="n">
        <f aca="false">IF(O51=0,"",(O51-LEN(SUBSTITUTE(SUBSTITUTE(M51,"G",""),"C","")))/O51)</f>
        <v>0.84</v>
      </c>
      <c r="R51" s="5" t="s">
        <v>109</v>
      </c>
      <c r="S51" s="15" t="s">
        <v>1677</v>
      </c>
      <c r="T51" s="5" t="n">
        <v>566</v>
      </c>
      <c r="U51" s="5" t="s">
        <v>1678</v>
      </c>
      <c r="V51" s="5" t="s">
        <v>47</v>
      </c>
      <c r="W51" s="5"/>
      <c r="X51" s="15" t="s">
        <v>1677</v>
      </c>
      <c r="Y51" s="5"/>
    </row>
    <row r="52" customFormat="false" ht="15" hidden="false" customHeight="false" outlineLevel="0" collapsed="false">
      <c r="A52" s="5" t="s">
        <v>2122</v>
      </c>
      <c r="B52" s="5" t="s">
        <v>113</v>
      </c>
      <c r="C52" s="5" t="s">
        <v>114</v>
      </c>
      <c r="D52" s="6" t="s">
        <v>45</v>
      </c>
      <c r="E52" s="5" t="n">
        <v>1</v>
      </c>
      <c r="F52" s="5" t="s">
        <v>2123</v>
      </c>
      <c r="G52" s="13" t="s">
        <v>2124</v>
      </c>
      <c r="H52" s="5" t="s">
        <v>2125</v>
      </c>
      <c r="I52" s="13" t="s">
        <v>2126</v>
      </c>
      <c r="J52" s="5" t="s">
        <v>2127</v>
      </c>
      <c r="K52" s="5" t="s">
        <v>2128</v>
      </c>
      <c r="L52" s="13" t="s">
        <v>2129</v>
      </c>
      <c r="M52" s="13" t="s">
        <v>2130</v>
      </c>
      <c r="N52" s="5" t="n">
        <f aca="false">LEN(L52)</f>
        <v>25</v>
      </c>
      <c r="O52" s="5" t="n">
        <f aca="false">LEN(M52)</f>
        <v>25</v>
      </c>
      <c r="P52" s="14" t="n">
        <f aca="false">IF(N52=0,"",(N52-LEN(SUBSTITUTE(SUBSTITUTE(L52,"G",""),"C","")))/N52)</f>
        <v>0.52</v>
      </c>
      <c r="Q52" s="14" t="n">
        <f aca="false">IF(O52=0,"",(O52-LEN(SUBSTITUTE(SUBSTITUTE(M52,"G",""),"C","")))/O52)</f>
        <v>0.72</v>
      </c>
      <c r="R52" s="5" t="s">
        <v>118</v>
      </c>
      <c r="S52" s="15" t="s">
        <v>1677</v>
      </c>
      <c r="T52" s="5" t="n">
        <v>77</v>
      </c>
      <c r="U52" s="5" t="s">
        <v>1678</v>
      </c>
      <c r="V52" s="5" t="s">
        <v>47</v>
      </c>
      <c r="W52" s="5"/>
      <c r="X52" s="8" t="s">
        <v>2131</v>
      </c>
      <c r="Y52" s="5"/>
    </row>
    <row r="53" customFormat="false" ht="15" hidden="false" customHeight="false" outlineLevel="0" collapsed="false">
      <c r="A53" s="5" t="s">
        <v>2132</v>
      </c>
      <c r="B53" s="5" t="s">
        <v>113</v>
      </c>
      <c r="C53" s="5" t="s">
        <v>114</v>
      </c>
      <c r="D53" s="6" t="s">
        <v>45</v>
      </c>
      <c r="E53" s="5" t="n">
        <v>2</v>
      </c>
      <c r="F53" s="5" t="s">
        <v>2133</v>
      </c>
      <c r="G53" s="13" t="s">
        <v>2134</v>
      </c>
      <c r="H53" s="5" t="s">
        <v>2135</v>
      </c>
      <c r="I53" s="13" t="s">
        <v>2136</v>
      </c>
      <c r="J53" s="5" t="s">
        <v>2137</v>
      </c>
      <c r="K53" s="5" t="s">
        <v>2138</v>
      </c>
      <c r="L53" s="13" t="s">
        <v>2139</v>
      </c>
      <c r="M53" s="13" t="s">
        <v>2140</v>
      </c>
      <c r="N53" s="5" t="n">
        <f aca="false">LEN(L53)</f>
        <v>25</v>
      </c>
      <c r="O53" s="5" t="n">
        <f aca="false">LEN(M53)</f>
        <v>25</v>
      </c>
      <c r="P53" s="14" t="n">
        <f aca="false">IF(N53=0,"",(N53-LEN(SUBSTITUTE(SUBSTITUTE(L53,"G",""),"C","")))/N53)</f>
        <v>0.76</v>
      </c>
      <c r="Q53" s="14" t="n">
        <f aca="false">IF(O53=0,"",(O53-LEN(SUBSTITUTE(SUBSTITUTE(M53,"G",""),"C","")))/O53)</f>
        <v>0.6</v>
      </c>
      <c r="R53" s="5" t="s">
        <v>118</v>
      </c>
      <c r="S53" s="15" t="s">
        <v>1677</v>
      </c>
      <c r="T53" s="5" t="n">
        <v>217</v>
      </c>
      <c r="U53" s="5" t="s">
        <v>1678</v>
      </c>
      <c r="V53" s="5" t="s">
        <v>47</v>
      </c>
      <c r="W53" s="5"/>
      <c r="X53" s="15" t="s">
        <v>1677</v>
      </c>
      <c r="Y53" s="5"/>
    </row>
    <row r="54" customFormat="false" ht="15" hidden="false" customHeight="false" outlineLevel="0" collapsed="false">
      <c r="A54" s="5" t="s">
        <v>2141</v>
      </c>
      <c r="B54" s="5" t="s">
        <v>113</v>
      </c>
      <c r="C54" s="5" t="s">
        <v>114</v>
      </c>
      <c r="D54" s="6" t="s">
        <v>45</v>
      </c>
      <c r="E54" s="5" t="n">
        <v>3</v>
      </c>
      <c r="F54" s="5" t="s">
        <v>2142</v>
      </c>
      <c r="G54" s="13" t="s">
        <v>2143</v>
      </c>
      <c r="H54" s="5" t="s">
        <v>2144</v>
      </c>
      <c r="I54" s="13" t="s">
        <v>2145</v>
      </c>
      <c r="J54" s="5" t="s">
        <v>2146</v>
      </c>
      <c r="K54" s="5" t="s">
        <v>2147</v>
      </c>
      <c r="L54" s="13" t="s">
        <v>2148</v>
      </c>
      <c r="M54" s="13" t="s">
        <v>2149</v>
      </c>
      <c r="N54" s="5" t="n">
        <f aca="false">LEN(L54)</f>
        <v>25</v>
      </c>
      <c r="O54" s="5" t="n">
        <f aca="false">LEN(M54)</f>
        <v>25</v>
      </c>
      <c r="P54" s="14" t="n">
        <f aca="false">IF(N54=0,"",(N54-LEN(SUBSTITUTE(SUBSTITUTE(L54,"G",""),"C","")))/N54)</f>
        <v>0.4</v>
      </c>
      <c r="Q54" s="14" t="n">
        <f aca="false">IF(O54=0,"",(O54-LEN(SUBSTITUTE(SUBSTITUTE(M54,"G",""),"C","")))/O54)</f>
        <v>0.44</v>
      </c>
      <c r="R54" s="5" t="s">
        <v>118</v>
      </c>
      <c r="S54" s="15" t="s">
        <v>1677</v>
      </c>
      <c r="T54" s="5" t="n">
        <v>358</v>
      </c>
      <c r="U54" s="5" t="s">
        <v>1678</v>
      </c>
      <c r="V54" s="5" t="s">
        <v>47</v>
      </c>
      <c r="W54" s="5"/>
      <c r="X54" s="15" t="s">
        <v>1677</v>
      </c>
      <c r="Y54" s="5"/>
    </row>
    <row r="55" customFormat="false" ht="15" hidden="false" customHeight="false" outlineLevel="0" collapsed="false">
      <c r="A55" s="5" t="s">
        <v>2150</v>
      </c>
      <c r="B55" s="5" t="s">
        <v>113</v>
      </c>
      <c r="C55" s="5" t="s">
        <v>114</v>
      </c>
      <c r="D55" s="6" t="s">
        <v>45</v>
      </c>
      <c r="E55" s="5" t="n">
        <v>4</v>
      </c>
      <c r="F55" s="5" t="s">
        <v>2151</v>
      </c>
      <c r="G55" s="13" t="s">
        <v>2152</v>
      </c>
      <c r="H55" s="5" t="s">
        <v>2153</v>
      </c>
      <c r="I55" s="13" t="s">
        <v>2154</v>
      </c>
      <c r="J55" s="5" t="s">
        <v>2155</v>
      </c>
      <c r="K55" s="5" t="s">
        <v>2156</v>
      </c>
      <c r="L55" s="13" t="s">
        <v>2157</v>
      </c>
      <c r="M55" s="13" t="s">
        <v>2158</v>
      </c>
      <c r="N55" s="5" t="n">
        <f aca="false">LEN(L55)</f>
        <v>25</v>
      </c>
      <c r="O55" s="5" t="n">
        <f aca="false">LEN(M55)</f>
        <v>25</v>
      </c>
      <c r="P55" s="14" t="n">
        <f aca="false">IF(N55=0,"",(N55-LEN(SUBSTITUTE(SUBSTITUTE(L55,"G",""),"C","")))/N55)</f>
        <v>0.72</v>
      </c>
      <c r="Q55" s="14" t="n">
        <f aca="false">IF(O55=0,"",(O55-LEN(SUBSTITUTE(SUBSTITUTE(M55,"G",""),"C","")))/O55)</f>
        <v>0.72</v>
      </c>
      <c r="R55" s="5" t="s">
        <v>118</v>
      </c>
      <c r="S55" s="15" t="s">
        <v>1677</v>
      </c>
      <c r="T55" s="5" t="n">
        <v>499</v>
      </c>
      <c r="U55" s="5" t="s">
        <v>1678</v>
      </c>
      <c r="V55" s="5" t="s">
        <v>47</v>
      </c>
      <c r="W55" s="5"/>
      <c r="X55" s="15" t="s">
        <v>1677</v>
      </c>
      <c r="Y55" s="5"/>
    </row>
    <row r="56" customFormat="false" ht="15" hidden="false" customHeight="false" outlineLevel="0" collapsed="false">
      <c r="A56" s="5" t="s">
        <v>2159</v>
      </c>
      <c r="B56" s="5" t="s">
        <v>113</v>
      </c>
      <c r="C56" s="5" t="s">
        <v>114</v>
      </c>
      <c r="D56" s="6" t="s">
        <v>45</v>
      </c>
      <c r="E56" s="5" t="n">
        <v>5</v>
      </c>
      <c r="F56" s="5" t="s">
        <v>2160</v>
      </c>
      <c r="G56" s="13" t="s">
        <v>2161</v>
      </c>
      <c r="H56" s="5" t="s">
        <v>2162</v>
      </c>
      <c r="I56" s="13" t="s">
        <v>2163</v>
      </c>
      <c r="J56" s="5" t="s">
        <v>2164</v>
      </c>
      <c r="K56" s="5" t="s">
        <v>2165</v>
      </c>
      <c r="L56" s="13" t="s">
        <v>2166</v>
      </c>
      <c r="M56" s="13" t="s">
        <v>2167</v>
      </c>
      <c r="N56" s="5" t="n">
        <f aca="false">LEN(L56)</f>
        <v>25</v>
      </c>
      <c r="O56" s="5" t="n">
        <f aca="false">LEN(M56)</f>
        <v>25</v>
      </c>
      <c r="P56" s="14" t="n">
        <f aca="false">IF(N56=0,"",(N56-LEN(SUBSTITUTE(SUBSTITUTE(L56,"G",""),"C","")))/N56)</f>
        <v>0.8</v>
      </c>
      <c r="Q56" s="14" t="n">
        <f aca="false">IF(O56=0,"",(O56-LEN(SUBSTITUTE(SUBSTITUTE(M56,"G",""),"C","")))/O56)</f>
        <v>0.84</v>
      </c>
      <c r="R56" s="5" t="s">
        <v>118</v>
      </c>
      <c r="S56" s="15" t="s">
        <v>1677</v>
      </c>
      <c r="T56" s="5" t="n">
        <v>639</v>
      </c>
      <c r="U56" s="5" t="s">
        <v>1678</v>
      </c>
      <c r="V56" s="5" t="s">
        <v>47</v>
      </c>
      <c r="W56" s="5"/>
      <c r="X56" s="15" t="s">
        <v>1677</v>
      </c>
      <c r="Y56" s="5"/>
    </row>
    <row r="57" customFormat="false" ht="15" hidden="false" customHeight="false" outlineLevel="0" collapsed="false">
      <c r="A57" s="5" t="s">
        <v>2168</v>
      </c>
      <c r="B57" s="5" t="s">
        <v>113</v>
      </c>
      <c r="C57" s="5" t="s">
        <v>114</v>
      </c>
      <c r="D57" s="6" t="s">
        <v>45</v>
      </c>
      <c r="E57" s="5" t="n">
        <v>6</v>
      </c>
      <c r="F57" s="5" t="s">
        <v>2169</v>
      </c>
      <c r="G57" s="13" t="s">
        <v>2170</v>
      </c>
      <c r="H57" s="5" t="s">
        <v>2171</v>
      </c>
      <c r="I57" s="13" t="s">
        <v>2172</v>
      </c>
      <c r="J57" s="5" t="s">
        <v>2173</v>
      </c>
      <c r="K57" s="5" t="s">
        <v>2174</v>
      </c>
      <c r="L57" s="13" t="s">
        <v>2175</v>
      </c>
      <c r="M57" s="13" t="s">
        <v>2176</v>
      </c>
      <c r="N57" s="5" t="n">
        <f aca="false">LEN(L57)</f>
        <v>25</v>
      </c>
      <c r="O57" s="5" t="n">
        <f aca="false">LEN(M57)</f>
        <v>25</v>
      </c>
      <c r="P57" s="14" t="n">
        <f aca="false">IF(N57=0,"",(N57-LEN(SUBSTITUTE(SUBSTITUTE(L57,"G",""),"C","")))/N57)</f>
        <v>0.68</v>
      </c>
      <c r="Q57" s="14" t="n">
        <f aca="false">IF(O57=0,"",(O57-LEN(SUBSTITUTE(SUBSTITUTE(M57,"G",""),"C","")))/O57)</f>
        <v>0.84</v>
      </c>
      <c r="R57" s="5" t="s">
        <v>118</v>
      </c>
      <c r="S57" s="15" t="s">
        <v>1677</v>
      </c>
      <c r="T57" s="5" t="n">
        <v>779</v>
      </c>
      <c r="U57" s="5" t="s">
        <v>1678</v>
      </c>
      <c r="V57" s="5" t="s">
        <v>47</v>
      </c>
      <c r="W57" s="5"/>
      <c r="X57" s="15" t="s">
        <v>1677</v>
      </c>
      <c r="Y57" s="5"/>
    </row>
    <row r="58" customFormat="false" ht="15" hidden="false" customHeight="false" outlineLevel="0" collapsed="false">
      <c r="A58" s="5" t="s">
        <v>2177</v>
      </c>
      <c r="B58" s="5" t="s">
        <v>113</v>
      </c>
      <c r="C58" s="5" t="s">
        <v>114</v>
      </c>
      <c r="D58" s="6" t="s">
        <v>45</v>
      </c>
      <c r="E58" s="5" t="n">
        <v>7</v>
      </c>
      <c r="F58" s="5" t="s">
        <v>2178</v>
      </c>
      <c r="G58" s="13" t="s">
        <v>2179</v>
      </c>
      <c r="H58" s="5" t="s">
        <v>2180</v>
      </c>
      <c r="I58" s="13" t="s">
        <v>2181</v>
      </c>
      <c r="J58" s="5" t="s">
        <v>2182</v>
      </c>
      <c r="K58" s="5" t="s">
        <v>2183</v>
      </c>
      <c r="L58" s="13" t="s">
        <v>2184</v>
      </c>
      <c r="M58" s="13" t="s">
        <v>2185</v>
      </c>
      <c r="N58" s="5" t="n">
        <f aca="false">LEN(L58)</f>
        <v>25</v>
      </c>
      <c r="O58" s="5" t="n">
        <f aca="false">LEN(M58)</f>
        <v>25</v>
      </c>
      <c r="P58" s="14" t="n">
        <f aca="false">IF(N58=0,"",(N58-LEN(SUBSTITUTE(SUBSTITUTE(L58,"G",""),"C","")))/N58)</f>
        <v>0.52</v>
      </c>
      <c r="Q58" s="14" t="n">
        <f aca="false">IF(O58=0,"",(O58-LEN(SUBSTITUTE(SUBSTITUTE(M58,"G",""),"C","")))/O58)</f>
        <v>0.48</v>
      </c>
      <c r="R58" s="5" t="s">
        <v>118</v>
      </c>
      <c r="S58" s="15" t="s">
        <v>1677</v>
      </c>
      <c r="T58" s="5" t="n">
        <v>919</v>
      </c>
      <c r="U58" s="5" t="s">
        <v>1678</v>
      </c>
      <c r="V58" s="5" t="s">
        <v>47</v>
      </c>
      <c r="W58" s="5"/>
      <c r="X58" s="15" t="s">
        <v>1677</v>
      </c>
      <c r="Y58" s="5"/>
    </row>
    <row r="59" customFormat="false" ht="15" hidden="false" customHeight="false" outlineLevel="0" collapsed="false">
      <c r="A59" s="5" t="s">
        <v>2186</v>
      </c>
      <c r="B59" s="5" t="s">
        <v>122</v>
      </c>
      <c r="C59" s="5" t="s">
        <v>123</v>
      </c>
      <c r="D59" s="6" t="s">
        <v>45</v>
      </c>
      <c r="E59" s="5" t="n">
        <v>1</v>
      </c>
      <c r="F59" s="5" t="s">
        <v>2187</v>
      </c>
      <c r="G59" s="13" t="s">
        <v>2188</v>
      </c>
      <c r="H59" s="5" t="s">
        <v>2189</v>
      </c>
      <c r="I59" s="13" t="s">
        <v>2190</v>
      </c>
      <c r="J59" s="5" t="s">
        <v>2191</v>
      </c>
      <c r="K59" s="5" t="s">
        <v>2192</v>
      </c>
      <c r="L59" s="13" t="s">
        <v>2193</v>
      </c>
      <c r="M59" s="13" t="s">
        <v>2194</v>
      </c>
      <c r="N59" s="5" t="n">
        <f aca="false">LEN(L59)</f>
        <v>25</v>
      </c>
      <c r="O59" s="5" t="n">
        <f aca="false">LEN(M59)</f>
        <v>25</v>
      </c>
      <c r="P59" s="14" t="n">
        <f aca="false">IF(N59=0,"",(N59-LEN(SUBSTITUTE(SUBSTITUTE(L59,"G",""),"C","")))/N59)</f>
        <v>0.32</v>
      </c>
      <c r="Q59" s="14" t="n">
        <f aca="false">IF(O59=0,"",(O59-LEN(SUBSTITUTE(SUBSTITUTE(M59,"G",""),"C","")))/O59)</f>
        <v>0.64</v>
      </c>
      <c r="R59" s="5" t="s">
        <v>128</v>
      </c>
      <c r="S59" s="15" t="s">
        <v>1677</v>
      </c>
      <c r="T59" s="5" t="n">
        <v>76</v>
      </c>
      <c r="U59" s="5" t="s">
        <v>1678</v>
      </c>
      <c r="V59" s="5" t="s">
        <v>47</v>
      </c>
      <c r="W59" s="5"/>
      <c r="X59" s="15" t="s">
        <v>1677</v>
      </c>
      <c r="Y59" s="5"/>
    </row>
    <row r="60" customFormat="false" ht="15" hidden="false" customHeight="false" outlineLevel="0" collapsed="false">
      <c r="A60" s="5" t="s">
        <v>2195</v>
      </c>
      <c r="B60" s="5" t="s">
        <v>122</v>
      </c>
      <c r="C60" s="5" t="s">
        <v>123</v>
      </c>
      <c r="D60" s="6" t="s">
        <v>45</v>
      </c>
      <c r="E60" s="5" t="n">
        <v>2</v>
      </c>
      <c r="F60" s="5" t="s">
        <v>2196</v>
      </c>
      <c r="G60" s="13" t="s">
        <v>2197</v>
      </c>
      <c r="H60" s="5" t="s">
        <v>2198</v>
      </c>
      <c r="I60" s="13" t="s">
        <v>2199</v>
      </c>
      <c r="J60" s="5" t="s">
        <v>2200</v>
      </c>
      <c r="K60" s="5" t="s">
        <v>2201</v>
      </c>
      <c r="L60" s="13" t="s">
        <v>2202</v>
      </c>
      <c r="M60" s="13" t="s">
        <v>2203</v>
      </c>
      <c r="N60" s="5" t="n">
        <f aca="false">LEN(L60)</f>
        <v>25</v>
      </c>
      <c r="O60" s="5" t="n">
        <f aca="false">LEN(M60)</f>
        <v>25</v>
      </c>
      <c r="P60" s="14" t="n">
        <f aca="false">IF(N60=0,"",(N60-LEN(SUBSTITUTE(SUBSTITUTE(L60,"G",""),"C","")))/N60)</f>
        <v>0.48</v>
      </c>
      <c r="Q60" s="14" t="n">
        <f aca="false">IF(O60=0,"",(O60-LEN(SUBSTITUTE(SUBSTITUTE(M60,"G",""),"C","")))/O60)</f>
        <v>0.28</v>
      </c>
      <c r="R60" s="5" t="s">
        <v>128</v>
      </c>
      <c r="S60" s="15" t="s">
        <v>1677</v>
      </c>
      <c r="T60" s="5" t="n">
        <v>142</v>
      </c>
      <c r="U60" s="5" t="s">
        <v>1678</v>
      </c>
      <c r="V60" s="5" t="s">
        <v>47</v>
      </c>
      <c r="W60" s="5"/>
      <c r="X60" s="15" t="s">
        <v>1677</v>
      </c>
      <c r="Y60" s="5"/>
    </row>
    <row r="61" customFormat="false" ht="15" hidden="false" customHeight="false" outlineLevel="0" collapsed="false">
      <c r="A61" s="5" t="s">
        <v>2204</v>
      </c>
      <c r="B61" s="5" t="s">
        <v>122</v>
      </c>
      <c r="C61" s="5" t="s">
        <v>123</v>
      </c>
      <c r="D61" s="6" t="s">
        <v>45</v>
      </c>
      <c r="E61" s="5" t="n">
        <v>3</v>
      </c>
      <c r="F61" s="5" t="s">
        <v>2205</v>
      </c>
      <c r="G61" s="13" t="s">
        <v>2206</v>
      </c>
      <c r="H61" s="5" t="s">
        <v>2207</v>
      </c>
      <c r="I61" s="13" t="s">
        <v>2208</v>
      </c>
      <c r="J61" s="5" t="s">
        <v>2209</v>
      </c>
      <c r="K61" s="5" t="s">
        <v>2210</v>
      </c>
      <c r="L61" s="13" t="s">
        <v>2211</v>
      </c>
      <c r="M61" s="13" t="s">
        <v>2212</v>
      </c>
      <c r="N61" s="5" t="n">
        <f aca="false">LEN(L61)</f>
        <v>25</v>
      </c>
      <c r="O61" s="5" t="n">
        <f aca="false">LEN(M61)</f>
        <v>25</v>
      </c>
      <c r="P61" s="14" t="n">
        <f aca="false">IF(N61=0,"",(N61-LEN(SUBSTITUTE(SUBSTITUTE(L61,"G",""),"C","")))/N61)</f>
        <v>0.44</v>
      </c>
      <c r="Q61" s="14" t="n">
        <f aca="false">IF(O61=0,"",(O61-LEN(SUBSTITUTE(SUBSTITUTE(M61,"G",""),"C","")))/O61)</f>
        <v>0.56</v>
      </c>
      <c r="R61" s="5" t="s">
        <v>128</v>
      </c>
      <c r="S61" s="15" t="s">
        <v>1677</v>
      </c>
      <c r="T61" s="5" t="n">
        <v>274</v>
      </c>
      <c r="U61" s="5" t="s">
        <v>1678</v>
      </c>
      <c r="V61" s="5" t="s">
        <v>47</v>
      </c>
      <c r="W61" s="5"/>
      <c r="X61" s="15" t="s">
        <v>1677</v>
      </c>
      <c r="Y61" s="5"/>
    </row>
    <row r="62" customFormat="false" ht="15" hidden="false" customHeight="false" outlineLevel="0" collapsed="false">
      <c r="A62" s="5" t="s">
        <v>2213</v>
      </c>
      <c r="B62" s="5" t="s">
        <v>122</v>
      </c>
      <c r="C62" s="5" t="s">
        <v>123</v>
      </c>
      <c r="D62" s="6" t="s">
        <v>45</v>
      </c>
      <c r="E62" s="5" t="n">
        <v>4</v>
      </c>
      <c r="F62" s="5" t="s">
        <v>2214</v>
      </c>
      <c r="G62" s="13" t="s">
        <v>2215</v>
      </c>
      <c r="H62" s="5" t="s">
        <v>2216</v>
      </c>
      <c r="I62" s="13" t="s">
        <v>2217</v>
      </c>
      <c r="J62" s="5" t="s">
        <v>2218</v>
      </c>
      <c r="K62" s="5" t="s">
        <v>2219</v>
      </c>
      <c r="L62" s="13" t="s">
        <v>2220</v>
      </c>
      <c r="M62" s="13" t="s">
        <v>2221</v>
      </c>
      <c r="N62" s="5" t="n">
        <f aca="false">LEN(L62)</f>
        <v>25</v>
      </c>
      <c r="O62" s="5" t="n">
        <f aca="false">LEN(M62)</f>
        <v>25</v>
      </c>
      <c r="P62" s="14" t="n">
        <f aca="false">IF(N62=0,"",(N62-LEN(SUBSTITUTE(SUBSTITUTE(L62,"G",""),"C","")))/N62)</f>
        <v>0.56</v>
      </c>
      <c r="Q62" s="14" t="n">
        <f aca="false">IF(O62=0,"",(O62-LEN(SUBSTITUTE(SUBSTITUTE(M62,"G",""),"C","")))/O62)</f>
        <v>0.4</v>
      </c>
      <c r="R62" s="5" t="s">
        <v>128</v>
      </c>
      <c r="S62" s="15" t="s">
        <v>1677</v>
      </c>
      <c r="T62" s="5" t="n">
        <v>341</v>
      </c>
      <c r="U62" s="5" t="s">
        <v>1678</v>
      </c>
      <c r="V62" s="5" t="s">
        <v>47</v>
      </c>
      <c r="W62" s="5"/>
      <c r="X62" s="15" t="s">
        <v>1677</v>
      </c>
      <c r="Y62" s="5"/>
    </row>
    <row r="63" customFormat="false" ht="15" hidden="false" customHeight="false" outlineLevel="0" collapsed="false">
      <c r="A63" s="5" t="s">
        <v>2222</v>
      </c>
      <c r="B63" s="5" t="s">
        <v>122</v>
      </c>
      <c r="C63" s="5" t="s">
        <v>123</v>
      </c>
      <c r="D63" s="6" t="s">
        <v>45</v>
      </c>
      <c r="E63" s="5" t="n">
        <v>5</v>
      </c>
      <c r="F63" s="5" t="s">
        <v>2223</v>
      </c>
      <c r="G63" s="13" t="s">
        <v>2224</v>
      </c>
      <c r="H63" s="5" t="s">
        <v>2225</v>
      </c>
      <c r="I63" s="13" t="s">
        <v>2226</v>
      </c>
      <c r="J63" s="5" t="s">
        <v>2227</v>
      </c>
      <c r="K63" s="5" t="s">
        <v>2228</v>
      </c>
      <c r="L63" s="13" t="s">
        <v>2229</v>
      </c>
      <c r="M63" s="13" t="s">
        <v>2230</v>
      </c>
      <c r="N63" s="5" t="n">
        <f aca="false">LEN(L63)</f>
        <v>25</v>
      </c>
      <c r="O63" s="5" t="n">
        <f aca="false">LEN(M63)</f>
        <v>25</v>
      </c>
      <c r="P63" s="14" t="n">
        <f aca="false">IF(N63=0,"",(N63-LEN(SUBSTITUTE(SUBSTITUTE(L63,"G",""),"C","")))/N63)</f>
        <v>0.32</v>
      </c>
      <c r="Q63" s="14" t="n">
        <f aca="false">IF(O63=0,"",(O63-LEN(SUBSTITUTE(SUBSTITUTE(M63,"G",""),"C","")))/O63)</f>
        <v>0.36</v>
      </c>
      <c r="R63" s="5" t="s">
        <v>128</v>
      </c>
      <c r="S63" s="15" t="s">
        <v>1677</v>
      </c>
      <c r="T63" s="5" t="n">
        <v>473</v>
      </c>
      <c r="U63" s="5" t="s">
        <v>1678</v>
      </c>
      <c r="V63" s="5" t="s">
        <v>47</v>
      </c>
      <c r="W63" s="5"/>
      <c r="X63" s="15" t="s">
        <v>1677</v>
      </c>
      <c r="Y63" s="5"/>
    </row>
    <row r="64" customFormat="false" ht="15" hidden="false" customHeight="false" outlineLevel="0" collapsed="false">
      <c r="A64" s="5" t="s">
        <v>2231</v>
      </c>
      <c r="B64" s="5" t="s">
        <v>122</v>
      </c>
      <c r="C64" s="5" t="s">
        <v>123</v>
      </c>
      <c r="D64" s="6" t="s">
        <v>45</v>
      </c>
      <c r="E64" s="5" t="n">
        <v>6</v>
      </c>
      <c r="F64" s="5" t="s">
        <v>2232</v>
      </c>
      <c r="G64" s="13" t="s">
        <v>2233</v>
      </c>
      <c r="H64" s="5" t="s">
        <v>2234</v>
      </c>
      <c r="I64" s="13" t="s">
        <v>2235</v>
      </c>
      <c r="J64" s="5" t="s">
        <v>2236</v>
      </c>
      <c r="K64" s="5" t="s">
        <v>2237</v>
      </c>
      <c r="L64" s="13" t="s">
        <v>2238</v>
      </c>
      <c r="M64" s="13" t="s">
        <v>2239</v>
      </c>
      <c r="N64" s="5" t="n">
        <f aca="false">LEN(L64)</f>
        <v>25</v>
      </c>
      <c r="O64" s="5" t="n">
        <f aca="false">LEN(M64)</f>
        <v>25</v>
      </c>
      <c r="P64" s="14" t="n">
        <f aca="false">IF(N64=0,"",(N64-LEN(SUBSTITUTE(SUBSTITUTE(L64,"G",""),"C","")))/N64)</f>
        <v>0.48</v>
      </c>
      <c r="Q64" s="14" t="n">
        <f aca="false">IF(O64=0,"",(O64-LEN(SUBSTITUTE(SUBSTITUTE(M64,"G",""),"C","")))/O64)</f>
        <v>0.44</v>
      </c>
      <c r="R64" s="5" t="s">
        <v>128</v>
      </c>
      <c r="S64" s="15" t="s">
        <v>1677</v>
      </c>
      <c r="T64" s="5" t="n">
        <v>540</v>
      </c>
      <c r="U64" s="5" t="s">
        <v>1678</v>
      </c>
      <c r="V64" s="5" t="s">
        <v>47</v>
      </c>
      <c r="W64" s="5"/>
      <c r="X64" s="15" t="s">
        <v>1677</v>
      </c>
      <c r="Y64" s="5"/>
    </row>
    <row r="65" customFormat="false" ht="15" hidden="false" customHeight="false" outlineLevel="0" collapsed="false">
      <c r="A65" s="5" t="s">
        <v>2240</v>
      </c>
      <c r="B65" s="5" t="s">
        <v>122</v>
      </c>
      <c r="C65" s="5" t="s">
        <v>123</v>
      </c>
      <c r="D65" s="6" t="s">
        <v>45</v>
      </c>
      <c r="E65" s="5" t="n">
        <v>7</v>
      </c>
      <c r="F65" s="5" t="s">
        <v>2241</v>
      </c>
      <c r="G65" s="13" t="s">
        <v>2242</v>
      </c>
      <c r="H65" s="5" t="s">
        <v>2243</v>
      </c>
      <c r="I65" s="13" t="s">
        <v>2244</v>
      </c>
      <c r="J65" s="5" t="s">
        <v>2245</v>
      </c>
      <c r="K65" s="5" t="s">
        <v>2246</v>
      </c>
      <c r="L65" s="13" t="s">
        <v>2247</v>
      </c>
      <c r="M65" s="13" t="s">
        <v>2248</v>
      </c>
      <c r="N65" s="5" t="n">
        <f aca="false">LEN(L65)</f>
        <v>25</v>
      </c>
      <c r="O65" s="5" t="n">
        <f aca="false">LEN(M65)</f>
        <v>25</v>
      </c>
      <c r="P65" s="14" t="n">
        <f aca="false">IF(N65=0,"",(N65-LEN(SUBSTITUTE(SUBSTITUTE(L65,"G",""),"C","")))/N65)</f>
        <v>0.44</v>
      </c>
      <c r="Q65" s="14" t="n">
        <f aca="false">IF(O65=0,"",(O65-LEN(SUBSTITUTE(SUBSTITUTE(M65,"G",""),"C","")))/O65)</f>
        <v>0.32</v>
      </c>
      <c r="R65" s="5" t="s">
        <v>128</v>
      </c>
      <c r="S65" s="15" t="s">
        <v>1677</v>
      </c>
      <c r="T65" s="5" t="n">
        <v>673</v>
      </c>
      <c r="U65" s="5" t="s">
        <v>1678</v>
      </c>
      <c r="V65" s="5" t="s">
        <v>47</v>
      </c>
      <c r="W65" s="5"/>
      <c r="X65" s="8" t="s">
        <v>2131</v>
      </c>
      <c r="Y65" s="5"/>
    </row>
    <row r="66" customFormat="false" ht="15" hidden="false" customHeight="false" outlineLevel="0" collapsed="false">
      <c r="A66" s="5" t="s">
        <v>2249</v>
      </c>
      <c r="B66" s="5" t="s">
        <v>122</v>
      </c>
      <c r="C66" s="5" t="s">
        <v>123</v>
      </c>
      <c r="D66" s="6" t="s">
        <v>45</v>
      </c>
      <c r="E66" s="5" t="n">
        <v>8</v>
      </c>
      <c r="F66" s="5" t="s">
        <v>2250</v>
      </c>
      <c r="G66" s="13" t="s">
        <v>2251</v>
      </c>
      <c r="H66" s="5" t="s">
        <v>2252</v>
      </c>
      <c r="I66" s="13" t="s">
        <v>2253</v>
      </c>
      <c r="J66" s="5" t="s">
        <v>2254</v>
      </c>
      <c r="K66" s="5" t="s">
        <v>2255</v>
      </c>
      <c r="L66" s="13" t="s">
        <v>2256</v>
      </c>
      <c r="M66" s="13" t="s">
        <v>2257</v>
      </c>
      <c r="N66" s="5" t="n">
        <f aca="false">LEN(L66)</f>
        <v>25</v>
      </c>
      <c r="O66" s="5" t="n">
        <f aca="false">LEN(M66)</f>
        <v>25</v>
      </c>
      <c r="P66" s="14" t="n">
        <f aca="false">IF(N66=0,"",(N66-LEN(SUBSTITUTE(SUBSTITUTE(L66,"G",""),"C","")))/N66)</f>
        <v>0.52</v>
      </c>
      <c r="Q66" s="14" t="n">
        <f aca="false">IF(O66=0,"",(O66-LEN(SUBSTITUTE(SUBSTITUTE(M66,"G",""),"C","")))/O66)</f>
        <v>0.44</v>
      </c>
      <c r="R66" s="5" t="s">
        <v>128</v>
      </c>
      <c r="S66" s="15" t="s">
        <v>1677</v>
      </c>
      <c r="T66" s="5" t="n">
        <v>740</v>
      </c>
      <c r="U66" s="5" t="s">
        <v>1678</v>
      </c>
      <c r="V66" s="5" t="s">
        <v>47</v>
      </c>
      <c r="W66" s="5"/>
      <c r="X66" s="8" t="s">
        <v>1769</v>
      </c>
      <c r="Y66" s="5"/>
    </row>
    <row r="67" customFormat="false" ht="15" hidden="false" customHeight="false" outlineLevel="0" collapsed="false">
      <c r="A67" s="5" t="s">
        <v>2258</v>
      </c>
      <c r="B67" s="5" t="s">
        <v>132</v>
      </c>
      <c r="C67" s="5" t="s">
        <v>133</v>
      </c>
      <c r="D67" s="6" t="s">
        <v>45</v>
      </c>
      <c r="E67" s="5" t="n">
        <v>1</v>
      </c>
      <c r="F67" s="5" t="s">
        <v>2259</v>
      </c>
      <c r="G67" s="13" t="s">
        <v>2260</v>
      </c>
      <c r="H67" s="5" t="s">
        <v>2261</v>
      </c>
      <c r="I67" s="13" t="s">
        <v>2262</v>
      </c>
      <c r="J67" s="5" t="s">
        <v>2263</v>
      </c>
      <c r="K67" s="5" t="s">
        <v>2264</v>
      </c>
      <c r="L67" s="13" t="s">
        <v>2265</v>
      </c>
      <c r="M67" s="13" t="s">
        <v>2266</v>
      </c>
      <c r="N67" s="5" t="n">
        <f aca="false">LEN(L67)</f>
        <v>25</v>
      </c>
      <c r="O67" s="5" t="n">
        <f aca="false">LEN(M67)</f>
        <v>25</v>
      </c>
      <c r="P67" s="14" t="n">
        <f aca="false">IF(N67=0,"",(N67-LEN(SUBSTITUTE(SUBSTITUTE(L67,"G",""),"C","")))/N67)</f>
        <v>0.48</v>
      </c>
      <c r="Q67" s="14" t="n">
        <f aca="false">IF(O67=0,"",(O67-LEN(SUBSTITUTE(SUBSTITUTE(M67,"G",""),"C","")))/O67)</f>
        <v>0.48</v>
      </c>
      <c r="R67" s="5" t="s">
        <v>138</v>
      </c>
      <c r="S67" s="15" t="s">
        <v>1677</v>
      </c>
      <c r="T67" s="5" t="n">
        <v>6</v>
      </c>
      <c r="U67" s="5" t="s">
        <v>1678</v>
      </c>
      <c r="V67" s="5" t="s">
        <v>47</v>
      </c>
      <c r="W67" s="5"/>
      <c r="X67" s="15" t="s">
        <v>1677</v>
      </c>
      <c r="Y67" s="5"/>
    </row>
    <row r="68" customFormat="false" ht="15" hidden="false" customHeight="false" outlineLevel="0" collapsed="false">
      <c r="A68" s="5" t="s">
        <v>2267</v>
      </c>
      <c r="B68" s="5" t="s">
        <v>132</v>
      </c>
      <c r="C68" s="5" t="s">
        <v>133</v>
      </c>
      <c r="D68" s="6" t="s">
        <v>45</v>
      </c>
      <c r="E68" s="5" t="n">
        <v>2</v>
      </c>
      <c r="F68" s="5" t="s">
        <v>2268</v>
      </c>
      <c r="G68" s="13" t="s">
        <v>2269</v>
      </c>
      <c r="H68" s="5" t="s">
        <v>2270</v>
      </c>
      <c r="I68" s="13" t="s">
        <v>2271</v>
      </c>
      <c r="J68" s="5" t="s">
        <v>2272</v>
      </c>
      <c r="K68" s="5" t="s">
        <v>2273</v>
      </c>
      <c r="L68" s="13" t="s">
        <v>2274</v>
      </c>
      <c r="M68" s="13" t="s">
        <v>2275</v>
      </c>
      <c r="N68" s="5" t="n">
        <f aca="false">LEN(L68)</f>
        <v>25</v>
      </c>
      <c r="O68" s="5" t="n">
        <f aca="false">LEN(M68)</f>
        <v>25</v>
      </c>
      <c r="P68" s="14" t="n">
        <f aca="false">IF(N68=0,"",(N68-LEN(SUBSTITUTE(SUBSTITUTE(L68,"G",""),"C","")))/N68)</f>
        <v>0.8</v>
      </c>
      <c r="Q68" s="14" t="n">
        <f aca="false">IF(O68=0,"",(O68-LEN(SUBSTITUTE(SUBSTITUTE(M68,"G",""),"C","")))/O68)</f>
        <v>0.68</v>
      </c>
      <c r="R68" s="5" t="s">
        <v>138</v>
      </c>
      <c r="S68" s="15" t="s">
        <v>1677</v>
      </c>
      <c r="T68" s="5" t="n">
        <v>76</v>
      </c>
      <c r="U68" s="5" t="s">
        <v>1678</v>
      </c>
      <c r="V68" s="5" t="s">
        <v>47</v>
      </c>
      <c r="W68" s="5"/>
      <c r="X68" s="15" t="s">
        <v>1677</v>
      </c>
      <c r="Y68" s="5"/>
    </row>
    <row r="69" customFormat="false" ht="15" hidden="false" customHeight="false" outlineLevel="0" collapsed="false">
      <c r="A69" s="5" t="s">
        <v>2276</v>
      </c>
      <c r="B69" s="5" t="s">
        <v>132</v>
      </c>
      <c r="C69" s="5" t="s">
        <v>133</v>
      </c>
      <c r="D69" s="6" t="s">
        <v>45</v>
      </c>
      <c r="E69" s="5" t="n">
        <v>3</v>
      </c>
      <c r="F69" s="5" t="s">
        <v>2277</v>
      </c>
      <c r="G69" s="13" t="s">
        <v>2278</v>
      </c>
      <c r="H69" s="5" t="s">
        <v>2279</v>
      </c>
      <c r="I69" s="13" t="s">
        <v>2280</v>
      </c>
      <c r="J69" s="5" t="s">
        <v>2281</v>
      </c>
      <c r="K69" s="5" t="s">
        <v>2282</v>
      </c>
      <c r="L69" s="13" t="s">
        <v>2283</v>
      </c>
      <c r="M69" s="13" t="s">
        <v>2284</v>
      </c>
      <c r="N69" s="5" t="n">
        <f aca="false">LEN(L69)</f>
        <v>25</v>
      </c>
      <c r="O69" s="5" t="n">
        <f aca="false">LEN(M69)</f>
        <v>25</v>
      </c>
      <c r="P69" s="14" t="n">
        <f aca="false">IF(N69=0,"",(N69-LEN(SUBSTITUTE(SUBSTITUTE(L69,"G",""),"C","")))/N69)</f>
        <v>0.6</v>
      </c>
      <c r="Q69" s="14" t="n">
        <f aca="false">IF(O69=0,"",(O69-LEN(SUBSTITUTE(SUBSTITUTE(M69,"G",""),"C","")))/O69)</f>
        <v>0.68</v>
      </c>
      <c r="R69" s="5" t="s">
        <v>138</v>
      </c>
      <c r="S69" s="15" t="s">
        <v>1677</v>
      </c>
      <c r="T69" s="5" t="n">
        <v>146</v>
      </c>
      <c r="U69" s="5" t="s">
        <v>1678</v>
      </c>
      <c r="V69" s="5" t="s">
        <v>47</v>
      </c>
      <c r="W69" s="5"/>
      <c r="X69" s="15" t="s">
        <v>1677</v>
      </c>
      <c r="Y69" s="5"/>
    </row>
    <row r="70" customFormat="false" ht="15" hidden="false" customHeight="false" outlineLevel="0" collapsed="false">
      <c r="A70" s="5" t="s">
        <v>2285</v>
      </c>
      <c r="B70" s="5" t="s">
        <v>142</v>
      </c>
      <c r="C70" s="5" t="s">
        <v>143</v>
      </c>
      <c r="D70" s="6" t="s">
        <v>45</v>
      </c>
      <c r="E70" s="5" t="n">
        <v>1</v>
      </c>
      <c r="F70" s="5" t="s">
        <v>2286</v>
      </c>
      <c r="G70" s="13" t="s">
        <v>2287</v>
      </c>
      <c r="H70" s="5" t="s">
        <v>2288</v>
      </c>
      <c r="I70" s="13" t="s">
        <v>2289</v>
      </c>
      <c r="J70" s="5" t="s">
        <v>2290</v>
      </c>
      <c r="K70" s="5" t="s">
        <v>2291</v>
      </c>
      <c r="L70" s="13" t="s">
        <v>2292</v>
      </c>
      <c r="M70" s="13" t="s">
        <v>2293</v>
      </c>
      <c r="N70" s="5" t="n">
        <f aca="false">LEN(L70)</f>
        <v>25</v>
      </c>
      <c r="O70" s="5" t="n">
        <f aca="false">LEN(M70)</f>
        <v>25</v>
      </c>
      <c r="P70" s="14" t="n">
        <f aca="false">IF(N70=0,"",(N70-LEN(SUBSTITUTE(SUBSTITUTE(L70,"G",""),"C","")))/N70)</f>
        <v>0.76</v>
      </c>
      <c r="Q70" s="14" t="n">
        <f aca="false">IF(O70=0,"",(O70-LEN(SUBSTITUTE(SUBSTITUTE(M70,"G",""),"C","")))/O70)</f>
        <v>0.64</v>
      </c>
      <c r="R70" s="5" t="s">
        <v>146</v>
      </c>
      <c r="S70" s="15" t="s">
        <v>1677</v>
      </c>
      <c r="T70" s="5" t="n">
        <v>6</v>
      </c>
      <c r="U70" s="5" t="s">
        <v>1678</v>
      </c>
      <c r="V70" s="5" t="s">
        <v>47</v>
      </c>
      <c r="W70" s="5"/>
      <c r="X70" s="15" t="s">
        <v>1677</v>
      </c>
      <c r="Y70" s="5"/>
    </row>
    <row r="71" customFormat="false" ht="15" hidden="false" customHeight="false" outlineLevel="0" collapsed="false">
      <c r="A71" s="5" t="s">
        <v>2294</v>
      </c>
      <c r="B71" s="5" t="s">
        <v>142</v>
      </c>
      <c r="C71" s="5" t="s">
        <v>143</v>
      </c>
      <c r="D71" s="6" t="s">
        <v>45</v>
      </c>
      <c r="E71" s="5" t="n">
        <v>2</v>
      </c>
      <c r="F71" s="5" t="s">
        <v>2295</v>
      </c>
      <c r="G71" s="13" t="s">
        <v>2296</v>
      </c>
      <c r="H71" s="5" t="s">
        <v>2297</v>
      </c>
      <c r="I71" s="13" t="s">
        <v>2298</v>
      </c>
      <c r="J71" s="5" t="s">
        <v>2299</v>
      </c>
      <c r="K71" s="5" t="s">
        <v>2300</v>
      </c>
      <c r="L71" s="13" t="s">
        <v>2301</v>
      </c>
      <c r="M71" s="13" t="s">
        <v>2302</v>
      </c>
      <c r="N71" s="5" t="n">
        <f aca="false">LEN(L71)</f>
        <v>25</v>
      </c>
      <c r="O71" s="5" t="n">
        <f aca="false">LEN(M71)</f>
        <v>25</v>
      </c>
      <c r="P71" s="14" t="n">
        <f aca="false">IF(N71=0,"",(N71-LEN(SUBSTITUTE(SUBSTITUTE(L71,"G",""),"C","")))/N71)</f>
        <v>0.32</v>
      </c>
      <c r="Q71" s="14" t="n">
        <f aca="false">IF(O71=0,"",(O71-LEN(SUBSTITUTE(SUBSTITUTE(M71,"G",""),"C","")))/O71)</f>
        <v>0.48</v>
      </c>
      <c r="R71" s="5" t="s">
        <v>146</v>
      </c>
      <c r="S71" s="15" t="s">
        <v>1677</v>
      </c>
      <c r="T71" s="5" t="n">
        <v>76</v>
      </c>
      <c r="U71" s="5" t="s">
        <v>1678</v>
      </c>
      <c r="V71" s="5" t="s">
        <v>47</v>
      </c>
      <c r="W71" s="5"/>
      <c r="X71" s="15" t="s">
        <v>1677</v>
      </c>
      <c r="Y71" s="5"/>
    </row>
    <row r="72" customFormat="false" ht="15" hidden="false" customHeight="false" outlineLevel="0" collapsed="false">
      <c r="A72" s="5" t="s">
        <v>2303</v>
      </c>
      <c r="B72" s="5" t="s">
        <v>142</v>
      </c>
      <c r="C72" s="5" t="s">
        <v>143</v>
      </c>
      <c r="D72" s="6" t="s">
        <v>45</v>
      </c>
      <c r="E72" s="5" t="n">
        <v>3</v>
      </c>
      <c r="F72" s="5" t="s">
        <v>2304</v>
      </c>
      <c r="G72" s="13" t="s">
        <v>2305</v>
      </c>
      <c r="H72" s="5" t="s">
        <v>2306</v>
      </c>
      <c r="I72" s="13" t="s">
        <v>2307</v>
      </c>
      <c r="J72" s="5" t="s">
        <v>2308</v>
      </c>
      <c r="K72" s="5" t="s">
        <v>2309</v>
      </c>
      <c r="L72" s="13" t="s">
        <v>2310</v>
      </c>
      <c r="M72" s="13" t="s">
        <v>2311</v>
      </c>
      <c r="N72" s="5" t="n">
        <f aca="false">LEN(L72)</f>
        <v>25</v>
      </c>
      <c r="O72" s="5" t="n">
        <f aca="false">LEN(M72)</f>
        <v>25</v>
      </c>
      <c r="P72" s="14" t="n">
        <f aca="false">IF(N72=0,"",(N72-LEN(SUBSTITUTE(SUBSTITUTE(L72,"G",""),"C","")))/N72)</f>
        <v>0.68</v>
      </c>
      <c r="Q72" s="14" t="n">
        <f aca="false">IF(O72=0,"",(O72-LEN(SUBSTITUTE(SUBSTITUTE(M72,"G",""),"C","")))/O72)</f>
        <v>0.44</v>
      </c>
      <c r="R72" s="5" t="s">
        <v>146</v>
      </c>
      <c r="S72" s="15" t="s">
        <v>1677</v>
      </c>
      <c r="T72" s="5" t="n">
        <v>146</v>
      </c>
      <c r="U72" s="5" t="s">
        <v>1678</v>
      </c>
      <c r="V72" s="5" t="s">
        <v>47</v>
      </c>
      <c r="W72" s="5"/>
      <c r="X72" s="15" t="s">
        <v>1677</v>
      </c>
      <c r="Y72" s="5"/>
    </row>
    <row r="73" customFormat="false" ht="15" hidden="false" customHeight="false" outlineLevel="0" collapsed="false">
      <c r="A73" s="5" t="s">
        <v>2312</v>
      </c>
      <c r="B73" s="5" t="s">
        <v>142</v>
      </c>
      <c r="C73" s="5" t="s">
        <v>143</v>
      </c>
      <c r="D73" s="6" t="s">
        <v>45</v>
      </c>
      <c r="E73" s="5" t="n">
        <v>4</v>
      </c>
      <c r="F73" s="5" t="s">
        <v>2313</v>
      </c>
      <c r="G73" s="13" t="s">
        <v>2314</v>
      </c>
      <c r="H73" s="5" t="s">
        <v>2315</v>
      </c>
      <c r="I73" s="13" t="s">
        <v>2316</v>
      </c>
      <c r="J73" s="5" t="s">
        <v>2317</v>
      </c>
      <c r="K73" s="5" t="s">
        <v>2318</v>
      </c>
      <c r="L73" s="13" t="s">
        <v>2319</v>
      </c>
      <c r="M73" s="13" t="s">
        <v>2320</v>
      </c>
      <c r="N73" s="5" t="n">
        <f aca="false">LEN(L73)</f>
        <v>25</v>
      </c>
      <c r="O73" s="5" t="n">
        <f aca="false">LEN(M73)</f>
        <v>25</v>
      </c>
      <c r="P73" s="14" t="n">
        <f aca="false">IF(N73=0,"",(N73-LEN(SUBSTITUTE(SUBSTITUTE(L73,"G",""),"C","")))/N73)</f>
        <v>0.56</v>
      </c>
      <c r="Q73" s="14" t="n">
        <f aca="false">IF(O73=0,"",(O73-LEN(SUBSTITUTE(SUBSTITUTE(M73,"G",""),"C","")))/O73)</f>
        <v>0.56</v>
      </c>
      <c r="R73" s="5" t="s">
        <v>146</v>
      </c>
      <c r="S73" s="15" t="s">
        <v>1677</v>
      </c>
      <c r="T73" s="5" t="n">
        <v>216</v>
      </c>
      <c r="U73" s="5" t="s">
        <v>1678</v>
      </c>
      <c r="V73" s="5" t="s">
        <v>47</v>
      </c>
      <c r="W73" s="5"/>
      <c r="X73" s="15" t="s">
        <v>1677</v>
      </c>
      <c r="Y73" s="5"/>
    </row>
    <row r="74" customFormat="false" ht="15" hidden="false" customHeight="false" outlineLevel="0" collapsed="false">
      <c r="A74" s="5" t="s">
        <v>2321</v>
      </c>
      <c r="B74" s="5" t="s">
        <v>142</v>
      </c>
      <c r="C74" s="5" t="s">
        <v>143</v>
      </c>
      <c r="D74" s="6" t="s">
        <v>45</v>
      </c>
      <c r="E74" s="5" t="n">
        <v>5</v>
      </c>
      <c r="F74" s="5" t="s">
        <v>2322</v>
      </c>
      <c r="G74" s="13" t="s">
        <v>2323</v>
      </c>
      <c r="H74" s="5" t="s">
        <v>2324</v>
      </c>
      <c r="I74" s="13" t="s">
        <v>2325</v>
      </c>
      <c r="J74" s="5" t="s">
        <v>2326</v>
      </c>
      <c r="K74" s="5" t="s">
        <v>2327</v>
      </c>
      <c r="L74" s="13" t="s">
        <v>2328</v>
      </c>
      <c r="M74" s="13" t="s">
        <v>2329</v>
      </c>
      <c r="N74" s="5" t="n">
        <f aca="false">LEN(L74)</f>
        <v>25</v>
      </c>
      <c r="O74" s="5" t="n">
        <f aca="false">LEN(M74)</f>
        <v>25</v>
      </c>
      <c r="P74" s="14" t="n">
        <f aca="false">IF(N74=0,"",(N74-LEN(SUBSTITUTE(SUBSTITUTE(L74,"G",""),"C","")))/N74)</f>
        <v>0.44</v>
      </c>
      <c r="Q74" s="14" t="n">
        <f aca="false">IF(O74=0,"",(O74-LEN(SUBSTITUTE(SUBSTITUTE(M74,"G",""),"C","")))/O74)</f>
        <v>0.48</v>
      </c>
      <c r="R74" s="5" t="s">
        <v>146</v>
      </c>
      <c r="S74" s="15" t="s">
        <v>1677</v>
      </c>
      <c r="T74" s="5" t="n">
        <v>286</v>
      </c>
      <c r="U74" s="5" t="s">
        <v>1678</v>
      </c>
      <c r="V74" s="5" t="s">
        <v>47</v>
      </c>
      <c r="W74" s="5"/>
      <c r="X74" s="15" t="s">
        <v>1677</v>
      </c>
      <c r="Y74" s="5"/>
    </row>
    <row r="75" customFormat="false" ht="15" hidden="false" customHeight="false" outlineLevel="0" collapsed="false">
      <c r="A75" s="5" t="s">
        <v>2330</v>
      </c>
      <c r="B75" s="5" t="s">
        <v>142</v>
      </c>
      <c r="C75" s="5" t="s">
        <v>143</v>
      </c>
      <c r="D75" s="6" t="s">
        <v>45</v>
      </c>
      <c r="E75" s="5" t="n">
        <v>6</v>
      </c>
      <c r="F75" s="5" t="s">
        <v>2331</v>
      </c>
      <c r="G75" s="13" t="s">
        <v>2332</v>
      </c>
      <c r="H75" s="5" t="s">
        <v>2333</v>
      </c>
      <c r="I75" s="13" t="s">
        <v>2334</v>
      </c>
      <c r="J75" s="5" t="s">
        <v>2335</v>
      </c>
      <c r="K75" s="5" t="s">
        <v>2336</v>
      </c>
      <c r="L75" s="13" t="s">
        <v>2337</v>
      </c>
      <c r="M75" s="13" t="s">
        <v>2338</v>
      </c>
      <c r="N75" s="5" t="n">
        <f aca="false">LEN(L75)</f>
        <v>25</v>
      </c>
      <c r="O75" s="5" t="n">
        <f aca="false">LEN(M75)</f>
        <v>25</v>
      </c>
      <c r="P75" s="14" t="n">
        <f aca="false">IF(N75=0,"",(N75-LEN(SUBSTITUTE(SUBSTITUTE(L75,"G",""),"C","")))/N75)</f>
        <v>0.52</v>
      </c>
      <c r="Q75" s="14" t="n">
        <f aca="false">IF(O75=0,"",(O75-LEN(SUBSTITUTE(SUBSTITUTE(M75,"G",""),"C","")))/O75)</f>
        <v>0.4</v>
      </c>
      <c r="R75" s="5" t="s">
        <v>146</v>
      </c>
      <c r="S75" s="15" t="s">
        <v>1677</v>
      </c>
      <c r="T75" s="5" t="n">
        <v>356</v>
      </c>
      <c r="U75" s="5" t="s">
        <v>1678</v>
      </c>
      <c r="V75" s="5" t="s">
        <v>47</v>
      </c>
      <c r="W75" s="5"/>
      <c r="X75" s="15" t="s">
        <v>1677</v>
      </c>
      <c r="Y75" s="5"/>
    </row>
    <row r="76" customFormat="false" ht="15" hidden="false" customHeight="false" outlineLevel="0" collapsed="false">
      <c r="A76" s="5" t="s">
        <v>2339</v>
      </c>
      <c r="B76" s="5" t="s">
        <v>149</v>
      </c>
      <c r="C76" s="5" t="s">
        <v>150</v>
      </c>
      <c r="D76" s="6" t="s">
        <v>45</v>
      </c>
      <c r="E76" s="5" t="n">
        <v>1</v>
      </c>
      <c r="F76" s="5" t="s">
        <v>2340</v>
      </c>
      <c r="G76" s="13" t="s">
        <v>2341</v>
      </c>
      <c r="H76" s="5" t="s">
        <v>2342</v>
      </c>
      <c r="I76" s="13" t="s">
        <v>2343</v>
      </c>
      <c r="J76" s="5" t="s">
        <v>2344</v>
      </c>
      <c r="K76" s="5" t="s">
        <v>2345</v>
      </c>
      <c r="L76" s="13" t="s">
        <v>2346</v>
      </c>
      <c r="M76" s="13" t="s">
        <v>2347</v>
      </c>
      <c r="N76" s="5" t="n">
        <f aca="false">LEN(L76)</f>
        <v>25</v>
      </c>
      <c r="O76" s="5" t="n">
        <f aca="false">LEN(M76)</f>
        <v>25</v>
      </c>
      <c r="P76" s="14" t="n">
        <f aca="false">IF(N76=0,"",(N76-LEN(SUBSTITUTE(SUBSTITUTE(L76,"G",""),"C","")))/N76)</f>
        <v>0.36</v>
      </c>
      <c r="Q76" s="14" t="n">
        <f aca="false">IF(O76=0,"",(O76-LEN(SUBSTITUTE(SUBSTITUTE(M76,"G",""),"C","")))/O76)</f>
        <v>0.36</v>
      </c>
      <c r="R76" s="5" t="s">
        <v>155</v>
      </c>
      <c r="S76" s="15" t="s">
        <v>1677</v>
      </c>
      <c r="T76" s="5" t="n">
        <v>146</v>
      </c>
      <c r="U76" s="5" t="s">
        <v>1678</v>
      </c>
      <c r="V76" s="5" t="s">
        <v>154</v>
      </c>
      <c r="W76" s="5"/>
      <c r="X76" s="15" t="s">
        <v>1677</v>
      </c>
      <c r="Y76" s="5"/>
    </row>
    <row r="77" customFormat="false" ht="15" hidden="false" customHeight="false" outlineLevel="0" collapsed="false">
      <c r="A77" s="5" t="s">
        <v>2348</v>
      </c>
      <c r="B77" s="5" t="s">
        <v>149</v>
      </c>
      <c r="C77" s="5" t="s">
        <v>150</v>
      </c>
      <c r="D77" s="6" t="s">
        <v>45</v>
      </c>
      <c r="E77" s="5" t="n">
        <v>2</v>
      </c>
      <c r="F77" s="5" t="s">
        <v>2349</v>
      </c>
      <c r="G77" s="13" t="s">
        <v>2350</v>
      </c>
      <c r="H77" s="5" t="s">
        <v>2351</v>
      </c>
      <c r="I77" s="13" t="s">
        <v>2352</v>
      </c>
      <c r="J77" s="5" t="s">
        <v>2353</v>
      </c>
      <c r="K77" s="5" t="s">
        <v>2354</v>
      </c>
      <c r="L77" s="13" t="s">
        <v>2355</v>
      </c>
      <c r="M77" s="13" t="s">
        <v>2356</v>
      </c>
      <c r="N77" s="5" t="n">
        <f aca="false">LEN(L77)</f>
        <v>25</v>
      </c>
      <c r="O77" s="5" t="n">
        <f aca="false">LEN(M77)</f>
        <v>25</v>
      </c>
      <c r="P77" s="14" t="n">
        <f aca="false">IF(N77=0,"",(N77-LEN(SUBSTITUTE(SUBSTITUTE(L77,"G",""),"C","")))/N77)</f>
        <v>0.4</v>
      </c>
      <c r="Q77" s="14" t="n">
        <f aca="false">IF(O77=0,"",(O77-LEN(SUBSTITUTE(SUBSTITUTE(M77,"G",""),"C","")))/O77)</f>
        <v>0.44</v>
      </c>
      <c r="R77" s="5" t="s">
        <v>155</v>
      </c>
      <c r="S77" s="15" t="s">
        <v>1677</v>
      </c>
      <c r="T77" s="5" t="n">
        <v>216</v>
      </c>
      <c r="U77" s="5" t="s">
        <v>1678</v>
      </c>
      <c r="V77" s="5" t="s">
        <v>154</v>
      </c>
      <c r="W77" s="5"/>
      <c r="X77" s="15" t="s">
        <v>1677</v>
      </c>
      <c r="Y77" s="5"/>
    </row>
    <row r="78" customFormat="false" ht="15" hidden="false" customHeight="false" outlineLevel="0" collapsed="false">
      <c r="A78" s="5" t="s">
        <v>2357</v>
      </c>
      <c r="B78" s="5" t="s">
        <v>149</v>
      </c>
      <c r="C78" s="5" t="s">
        <v>150</v>
      </c>
      <c r="D78" s="6" t="s">
        <v>45</v>
      </c>
      <c r="E78" s="5" t="n">
        <v>3</v>
      </c>
      <c r="F78" s="5" t="s">
        <v>2358</v>
      </c>
      <c r="G78" s="13" t="s">
        <v>2359</v>
      </c>
      <c r="H78" s="5" t="s">
        <v>2360</v>
      </c>
      <c r="I78" s="13" t="s">
        <v>2361</v>
      </c>
      <c r="J78" s="5" t="s">
        <v>2362</v>
      </c>
      <c r="K78" s="5" t="s">
        <v>2363</v>
      </c>
      <c r="L78" s="13" t="s">
        <v>2364</v>
      </c>
      <c r="M78" s="13" t="s">
        <v>2365</v>
      </c>
      <c r="N78" s="5" t="n">
        <f aca="false">LEN(L78)</f>
        <v>25</v>
      </c>
      <c r="O78" s="5" t="n">
        <f aca="false">LEN(M78)</f>
        <v>25</v>
      </c>
      <c r="P78" s="14" t="n">
        <f aca="false">IF(N78=0,"",(N78-LEN(SUBSTITUTE(SUBSTITUTE(L78,"G",""),"C","")))/N78)</f>
        <v>0.4</v>
      </c>
      <c r="Q78" s="14" t="n">
        <f aca="false">IF(O78=0,"",(O78-LEN(SUBSTITUTE(SUBSTITUTE(M78,"G",""),"C","")))/O78)</f>
        <v>0.6</v>
      </c>
      <c r="R78" s="5" t="s">
        <v>155</v>
      </c>
      <c r="S78" s="15" t="s">
        <v>1677</v>
      </c>
      <c r="T78" s="5" t="n">
        <v>286</v>
      </c>
      <c r="U78" s="5" t="s">
        <v>1678</v>
      </c>
      <c r="V78" s="5" t="s">
        <v>154</v>
      </c>
      <c r="W78" s="5"/>
      <c r="X78" s="15" t="s">
        <v>1677</v>
      </c>
      <c r="Y78" s="5"/>
    </row>
    <row r="79" customFormat="false" ht="15" hidden="false" customHeight="false" outlineLevel="0" collapsed="false">
      <c r="A79" s="5" t="s">
        <v>2366</v>
      </c>
      <c r="B79" s="5" t="s">
        <v>149</v>
      </c>
      <c r="C79" s="5" t="s">
        <v>150</v>
      </c>
      <c r="D79" s="6" t="s">
        <v>45</v>
      </c>
      <c r="E79" s="5" t="n">
        <v>4</v>
      </c>
      <c r="F79" s="5" t="s">
        <v>2367</v>
      </c>
      <c r="G79" s="13" t="s">
        <v>2368</v>
      </c>
      <c r="H79" s="5" t="s">
        <v>2369</v>
      </c>
      <c r="I79" s="13" t="s">
        <v>2370</v>
      </c>
      <c r="J79" s="5" t="s">
        <v>2371</v>
      </c>
      <c r="K79" s="5" t="s">
        <v>2372</v>
      </c>
      <c r="L79" s="13" t="s">
        <v>2373</v>
      </c>
      <c r="M79" s="13" t="s">
        <v>2374</v>
      </c>
      <c r="N79" s="5" t="n">
        <f aca="false">LEN(L79)</f>
        <v>25</v>
      </c>
      <c r="O79" s="5" t="n">
        <f aca="false">LEN(M79)</f>
        <v>25</v>
      </c>
      <c r="P79" s="14" t="n">
        <f aca="false">IF(N79=0,"",(N79-LEN(SUBSTITUTE(SUBSTITUTE(L79,"G",""),"C","")))/N79)</f>
        <v>0.44</v>
      </c>
      <c r="Q79" s="14" t="n">
        <f aca="false">IF(O79=0,"",(O79-LEN(SUBSTITUTE(SUBSTITUTE(M79,"G",""),"C","")))/O79)</f>
        <v>0.36</v>
      </c>
      <c r="R79" s="5" t="s">
        <v>155</v>
      </c>
      <c r="S79" s="15" t="s">
        <v>1677</v>
      </c>
      <c r="T79" s="5" t="n">
        <v>356</v>
      </c>
      <c r="U79" s="5" t="s">
        <v>1678</v>
      </c>
      <c r="V79" s="5" t="s">
        <v>154</v>
      </c>
      <c r="W79" s="5"/>
      <c r="X79" s="15" t="s">
        <v>1677</v>
      </c>
      <c r="Y79" s="5"/>
    </row>
    <row r="80" customFormat="false" ht="15" hidden="false" customHeight="false" outlineLevel="0" collapsed="false">
      <c r="A80" s="5" t="s">
        <v>2375</v>
      </c>
      <c r="B80" s="5" t="s">
        <v>149</v>
      </c>
      <c r="C80" s="5" t="s">
        <v>150</v>
      </c>
      <c r="D80" s="6" t="s">
        <v>45</v>
      </c>
      <c r="E80" s="5" t="n">
        <v>5</v>
      </c>
      <c r="F80" s="5" t="s">
        <v>2376</v>
      </c>
      <c r="G80" s="13" t="s">
        <v>2377</v>
      </c>
      <c r="H80" s="5" t="s">
        <v>2378</v>
      </c>
      <c r="I80" s="13" t="s">
        <v>2379</v>
      </c>
      <c r="J80" s="5" t="s">
        <v>2380</v>
      </c>
      <c r="K80" s="5" t="s">
        <v>2381</v>
      </c>
      <c r="L80" s="13" t="s">
        <v>2382</v>
      </c>
      <c r="M80" s="13" t="s">
        <v>2383</v>
      </c>
      <c r="N80" s="5" t="n">
        <f aca="false">LEN(L80)</f>
        <v>25</v>
      </c>
      <c r="O80" s="5" t="n">
        <f aca="false">LEN(M80)</f>
        <v>25</v>
      </c>
      <c r="P80" s="14" t="n">
        <f aca="false">IF(N80=0,"",(N80-LEN(SUBSTITUTE(SUBSTITUTE(L80,"G",""),"C","")))/N80)</f>
        <v>0.52</v>
      </c>
      <c r="Q80" s="14" t="n">
        <f aca="false">IF(O80=0,"",(O80-LEN(SUBSTITUTE(SUBSTITUTE(M80,"G",""),"C","")))/O80)</f>
        <v>0.36</v>
      </c>
      <c r="R80" s="5" t="s">
        <v>155</v>
      </c>
      <c r="S80" s="15" t="s">
        <v>1677</v>
      </c>
      <c r="T80" s="5" t="n">
        <v>426</v>
      </c>
      <c r="U80" s="5" t="s">
        <v>1678</v>
      </c>
      <c r="V80" s="5" t="s">
        <v>154</v>
      </c>
      <c r="W80" s="5"/>
      <c r="X80" s="15" t="s">
        <v>1677</v>
      </c>
      <c r="Y80" s="5"/>
    </row>
    <row r="81" customFormat="false" ht="15" hidden="false" customHeight="false" outlineLevel="0" collapsed="false">
      <c r="A81" s="5" t="s">
        <v>2384</v>
      </c>
      <c r="B81" s="5" t="s">
        <v>149</v>
      </c>
      <c r="C81" s="5" t="s">
        <v>150</v>
      </c>
      <c r="D81" s="6" t="s">
        <v>45</v>
      </c>
      <c r="E81" s="5" t="n">
        <v>6</v>
      </c>
      <c r="F81" s="5" t="s">
        <v>2385</v>
      </c>
      <c r="G81" s="13" t="s">
        <v>2386</v>
      </c>
      <c r="H81" s="5" t="s">
        <v>2387</v>
      </c>
      <c r="I81" s="13" t="s">
        <v>2388</v>
      </c>
      <c r="J81" s="5" t="s">
        <v>2389</v>
      </c>
      <c r="K81" s="5" t="s">
        <v>2390</v>
      </c>
      <c r="L81" s="13" t="s">
        <v>2391</v>
      </c>
      <c r="M81" s="13" t="s">
        <v>2392</v>
      </c>
      <c r="N81" s="5" t="n">
        <f aca="false">LEN(L81)</f>
        <v>25</v>
      </c>
      <c r="O81" s="5" t="n">
        <f aca="false">LEN(M81)</f>
        <v>25</v>
      </c>
      <c r="P81" s="14" t="n">
        <f aca="false">IF(N81=0,"",(N81-LEN(SUBSTITUTE(SUBSTITUTE(L81,"G",""),"C","")))/N81)</f>
        <v>0.52</v>
      </c>
      <c r="Q81" s="14" t="n">
        <f aca="false">IF(O81=0,"",(O81-LEN(SUBSTITUTE(SUBSTITUTE(M81,"G",""),"C","")))/O81)</f>
        <v>0.36</v>
      </c>
      <c r="R81" s="5" t="s">
        <v>155</v>
      </c>
      <c r="S81" s="15" t="s">
        <v>1677</v>
      </c>
      <c r="T81" s="5" t="n">
        <v>496</v>
      </c>
      <c r="U81" s="5" t="s">
        <v>1678</v>
      </c>
      <c r="V81" s="5" t="s">
        <v>154</v>
      </c>
      <c r="W81" s="5"/>
      <c r="X81" s="15" t="s">
        <v>1677</v>
      </c>
      <c r="Y81" s="5"/>
    </row>
    <row r="82" customFormat="false" ht="15" hidden="false" customHeight="false" outlineLevel="0" collapsed="false">
      <c r="A82" s="5" t="s">
        <v>2393</v>
      </c>
      <c r="B82" s="5" t="s">
        <v>149</v>
      </c>
      <c r="C82" s="5" t="s">
        <v>150</v>
      </c>
      <c r="D82" s="6" t="s">
        <v>45</v>
      </c>
      <c r="E82" s="5" t="n">
        <v>7</v>
      </c>
      <c r="F82" s="5" t="s">
        <v>2394</v>
      </c>
      <c r="G82" s="13" t="s">
        <v>2395</v>
      </c>
      <c r="H82" s="5" t="s">
        <v>2396</v>
      </c>
      <c r="I82" s="13" t="s">
        <v>2397</v>
      </c>
      <c r="J82" s="5" t="s">
        <v>2398</v>
      </c>
      <c r="K82" s="5" t="s">
        <v>2399</v>
      </c>
      <c r="L82" s="13" t="s">
        <v>2400</v>
      </c>
      <c r="M82" s="13" t="s">
        <v>2401</v>
      </c>
      <c r="N82" s="5" t="n">
        <f aca="false">LEN(L82)</f>
        <v>25</v>
      </c>
      <c r="O82" s="5" t="n">
        <f aca="false">LEN(M82)</f>
        <v>25</v>
      </c>
      <c r="P82" s="14" t="n">
        <f aca="false">IF(N82=0,"",(N82-LEN(SUBSTITUTE(SUBSTITUTE(L82,"G",""),"C","")))/N82)</f>
        <v>0.56</v>
      </c>
      <c r="Q82" s="14" t="n">
        <f aca="false">IF(O82=0,"",(O82-LEN(SUBSTITUTE(SUBSTITUTE(M82,"G",""),"C","")))/O82)</f>
        <v>0.52</v>
      </c>
      <c r="R82" s="5" t="s">
        <v>155</v>
      </c>
      <c r="S82" s="15" t="s">
        <v>1677</v>
      </c>
      <c r="T82" s="5" t="n">
        <v>566</v>
      </c>
      <c r="U82" s="5" t="s">
        <v>1678</v>
      </c>
      <c r="V82" s="5" t="s">
        <v>154</v>
      </c>
      <c r="W82" s="5"/>
      <c r="X82" s="15" t="s">
        <v>1677</v>
      </c>
      <c r="Y82" s="5"/>
    </row>
    <row r="83" customFormat="false" ht="15" hidden="false" customHeight="false" outlineLevel="0" collapsed="false">
      <c r="A83" s="5" t="s">
        <v>2402</v>
      </c>
      <c r="B83" s="5" t="s">
        <v>149</v>
      </c>
      <c r="C83" s="5" t="s">
        <v>150</v>
      </c>
      <c r="D83" s="6" t="s">
        <v>45</v>
      </c>
      <c r="E83" s="5" t="n">
        <v>8</v>
      </c>
      <c r="F83" s="5" t="s">
        <v>2403</v>
      </c>
      <c r="G83" s="13" t="s">
        <v>2404</v>
      </c>
      <c r="H83" s="5" t="s">
        <v>2405</v>
      </c>
      <c r="I83" s="13" t="s">
        <v>2406</v>
      </c>
      <c r="J83" s="5" t="s">
        <v>2407</v>
      </c>
      <c r="K83" s="5" t="s">
        <v>2408</v>
      </c>
      <c r="L83" s="13" t="s">
        <v>2409</v>
      </c>
      <c r="M83" s="13" t="s">
        <v>2410</v>
      </c>
      <c r="N83" s="5" t="n">
        <f aca="false">LEN(L83)</f>
        <v>25</v>
      </c>
      <c r="O83" s="5" t="n">
        <f aca="false">LEN(M83)</f>
        <v>25</v>
      </c>
      <c r="P83" s="14" t="n">
        <f aca="false">IF(N83=0,"",(N83-LEN(SUBSTITUTE(SUBSTITUTE(L83,"G",""),"C","")))/N83)</f>
        <v>0.32</v>
      </c>
      <c r="Q83" s="14" t="n">
        <f aca="false">IF(O83=0,"",(O83-LEN(SUBSTITUTE(SUBSTITUTE(M83,"G",""),"C","")))/O83)</f>
        <v>0.44</v>
      </c>
      <c r="R83" s="5" t="s">
        <v>155</v>
      </c>
      <c r="S83" s="15" t="s">
        <v>1677</v>
      </c>
      <c r="T83" s="5" t="n">
        <v>636</v>
      </c>
      <c r="U83" s="5" t="s">
        <v>1678</v>
      </c>
      <c r="V83" s="5" t="s">
        <v>154</v>
      </c>
      <c r="W83" s="5"/>
      <c r="X83" s="15" t="s">
        <v>1677</v>
      </c>
      <c r="Y83" s="5"/>
    </row>
    <row r="84" customFormat="false" ht="15" hidden="false" customHeight="false" outlineLevel="0" collapsed="false">
      <c r="A84" s="5" t="s">
        <v>2411</v>
      </c>
      <c r="B84" s="5" t="s">
        <v>158</v>
      </c>
      <c r="C84" s="5" t="s">
        <v>159</v>
      </c>
      <c r="D84" s="6" t="s">
        <v>45</v>
      </c>
      <c r="E84" s="5" t="n">
        <v>1</v>
      </c>
      <c r="F84" s="5" t="s">
        <v>2412</v>
      </c>
      <c r="G84" s="13" t="s">
        <v>2413</v>
      </c>
      <c r="H84" s="5" t="s">
        <v>2414</v>
      </c>
      <c r="I84" s="13" t="s">
        <v>2415</v>
      </c>
      <c r="J84" s="5" t="s">
        <v>2416</v>
      </c>
      <c r="K84" s="5" t="s">
        <v>2417</v>
      </c>
      <c r="L84" s="13" t="s">
        <v>2418</v>
      </c>
      <c r="M84" s="13" t="s">
        <v>2419</v>
      </c>
      <c r="N84" s="5" t="n">
        <f aca="false">LEN(L84)</f>
        <v>25</v>
      </c>
      <c r="O84" s="5" t="n">
        <f aca="false">LEN(M84)</f>
        <v>25</v>
      </c>
      <c r="P84" s="14" t="n">
        <f aca="false">IF(N84=0,"",(N84-LEN(SUBSTITUTE(SUBSTITUTE(L84,"G",""),"C","")))/N84)</f>
        <v>0.68</v>
      </c>
      <c r="Q84" s="14" t="n">
        <f aca="false">IF(O84=0,"",(O84-LEN(SUBSTITUTE(SUBSTITUTE(M84,"G",""),"C","")))/O84)</f>
        <v>0.76</v>
      </c>
      <c r="R84" s="5" t="s">
        <v>164</v>
      </c>
      <c r="S84" s="15" t="s">
        <v>1677</v>
      </c>
      <c r="T84" s="5" t="n">
        <v>12</v>
      </c>
      <c r="U84" s="5" t="s">
        <v>1678</v>
      </c>
      <c r="V84" s="5" t="s">
        <v>47</v>
      </c>
      <c r="W84" s="5"/>
      <c r="X84" s="8" t="s">
        <v>1769</v>
      </c>
      <c r="Y84" s="5"/>
    </row>
    <row r="85" customFormat="false" ht="15" hidden="false" customHeight="false" outlineLevel="0" collapsed="false">
      <c r="A85" s="5" t="s">
        <v>2420</v>
      </c>
      <c r="B85" s="5" t="s">
        <v>158</v>
      </c>
      <c r="C85" s="5" t="s">
        <v>159</v>
      </c>
      <c r="D85" s="6" t="s">
        <v>45</v>
      </c>
      <c r="E85" s="5" t="n">
        <v>2</v>
      </c>
      <c r="F85" s="5" t="s">
        <v>2421</v>
      </c>
      <c r="G85" s="13" t="s">
        <v>2422</v>
      </c>
      <c r="H85" s="5" t="s">
        <v>2423</v>
      </c>
      <c r="I85" s="13" t="s">
        <v>2424</v>
      </c>
      <c r="J85" s="5" t="s">
        <v>2425</v>
      </c>
      <c r="K85" s="5" t="s">
        <v>2426</v>
      </c>
      <c r="L85" s="13" t="s">
        <v>2427</v>
      </c>
      <c r="M85" s="13" t="s">
        <v>2428</v>
      </c>
      <c r="N85" s="5" t="n">
        <f aca="false">LEN(L85)</f>
        <v>25</v>
      </c>
      <c r="O85" s="5" t="n">
        <f aca="false">LEN(M85)</f>
        <v>25</v>
      </c>
      <c r="P85" s="14" t="n">
        <f aca="false">IF(N85=0,"",(N85-LEN(SUBSTITUTE(SUBSTITUTE(L85,"G",""),"C","")))/N85)</f>
        <v>0.68</v>
      </c>
      <c r="Q85" s="14" t="n">
        <f aca="false">IF(O85=0,"",(O85-LEN(SUBSTITUTE(SUBSTITUTE(M85,"G",""),"C","")))/O85)</f>
        <v>0.68</v>
      </c>
      <c r="R85" s="5" t="s">
        <v>164</v>
      </c>
      <c r="S85" s="15" t="s">
        <v>1677</v>
      </c>
      <c r="T85" s="5" t="n">
        <v>73</v>
      </c>
      <c r="U85" s="5" t="s">
        <v>1678</v>
      </c>
      <c r="V85" s="5" t="s">
        <v>47</v>
      </c>
      <c r="W85" s="5"/>
      <c r="X85" s="8" t="s">
        <v>1914</v>
      </c>
      <c r="Y85" s="5"/>
    </row>
    <row r="86" customFormat="false" ht="15" hidden="false" customHeight="false" outlineLevel="0" collapsed="false">
      <c r="A86" s="5" t="s">
        <v>2429</v>
      </c>
      <c r="B86" s="5" t="s">
        <v>158</v>
      </c>
      <c r="C86" s="5" t="s">
        <v>159</v>
      </c>
      <c r="D86" s="6" t="s">
        <v>45</v>
      </c>
      <c r="E86" s="5" t="n">
        <v>3</v>
      </c>
      <c r="F86" s="5" t="s">
        <v>2430</v>
      </c>
      <c r="G86" s="13" t="s">
        <v>2431</v>
      </c>
      <c r="H86" s="5" t="s">
        <v>2432</v>
      </c>
      <c r="I86" s="13" t="s">
        <v>2433</v>
      </c>
      <c r="J86" s="5" t="s">
        <v>2434</v>
      </c>
      <c r="K86" s="5" t="s">
        <v>2435</v>
      </c>
      <c r="L86" s="13" t="s">
        <v>2436</v>
      </c>
      <c r="M86" s="13" t="s">
        <v>2437</v>
      </c>
      <c r="N86" s="5" t="n">
        <f aca="false">LEN(L86)</f>
        <v>25</v>
      </c>
      <c r="O86" s="5" t="n">
        <f aca="false">LEN(M86)</f>
        <v>25</v>
      </c>
      <c r="P86" s="14" t="n">
        <f aca="false">IF(N86=0,"",(N86-LEN(SUBSTITUTE(SUBSTITUTE(L86,"G",""),"C","")))/N86)</f>
        <v>0.72</v>
      </c>
      <c r="Q86" s="14" t="n">
        <f aca="false">IF(O86=0,"",(O86-LEN(SUBSTITUTE(SUBSTITUTE(M86,"G",""),"C","")))/O86)</f>
        <v>0.8</v>
      </c>
      <c r="R86" s="5" t="s">
        <v>164</v>
      </c>
      <c r="S86" s="15" t="s">
        <v>1677</v>
      </c>
      <c r="T86" s="5" t="n">
        <v>133</v>
      </c>
      <c r="U86" s="5" t="s">
        <v>1678</v>
      </c>
      <c r="V86" s="5" t="s">
        <v>47</v>
      </c>
      <c r="W86" s="5"/>
      <c r="X86" s="8" t="s">
        <v>1914</v>
      </c>
      <c r="Y86" s="5"/>
    </row>
    <row r="87" customFormat="false" ht="15" hidden="false" customHeight="false" outlineLevel="0" collapsed="false">
      <c r="A87" s="5" t="s">
        <v>2438</v>
      </c>
      <c r="B87" s="5" t="s">
        <v>158</v>
      </c>
      <c r="C87" s="5" t="s">
        <v>159</v>
      </c>
      <c r="D87" s="6" t="s">
        <v>45</v>
      </c>
      <c r="E87" s="5" t="n">
        <v>4</v>
      </c>
      <c r="F87" s="5" t="s">
        <v>2439</v>
      </c>
      <c r="G87" s="13" t="s">
        <v>2440</v>
      </c>
      <c r="H87" s="5" t="s">
        <v>2441</v>
      </c>
      <c r="I87" s="13" t="s">
        <v>2442</v>
      </c>
      <c r="J87" s="5" t="s">
        <v>2443</v>
      </c>
      <c r="K87" s="5" t="s">
        <v>2444</v>
      </c>
      <c r="L87" s="13" t="s">
        <v>2445</v>
      </c>
      <c r="M87" s="13" t="s">
        <v>2446</v>
      </c>
      <c r="N87" s="5" t="n">
        <f aca="false">LEN(L87)</f>
        <v>25</v>
      </c>
      <c r="O87" s="5" t="n">
        <f aca="false">LEN(M87)</f>
        <v>25</v>
      </c>
      <c r="P87" s="14" t="n">
        <f aca="false">IF(N87=0,"",(N87-LEN(SUBSTITUTE(SUBSTITUTE(L87,"G",""),"C","")))/N87)</f>
        <v>0.72</v>
      </c>
      <c r="Q87" s="14" t="n">
        <f aca="false">IF(O87=0,"",(O87-LEN(SUBSTITUTE(SUBSTITUTE(M87,"G",""),"C","")))/O87)</f>
        <v>0.56</v>
      </c>
      <c r="R87" s="5" t="s">
        <v>164</v>
      </c>
      <c r="S87" s="15" t="s">
        <v>1677</v>
      </c>
      <c r="T87" s="5" t="n">
        <v>195</v>
      </c>
      <c r="U87" s="5" t="s">
        <v>1678</v>
      </c>
      <c r="V87" s="5" t="s">
        <v>47</v>
      </c>
      <c r="W87" s="5"/>
      <c r="X87" s="15" t="s">
        <v>1677</v>
      </c>
      <c r="Y87" s="5"/>
    </row>
    <row r="88" customFormat="false" ht="15" hidden="false" customHeight="false" outlineLevel="0" collapsed="false">
      <c r="A88" s="5" t="s">
        <v>2447</v>
      </c>
      <c r="B88" s="5" t="s">
        <v>158</v>
      </c>
      <c r="C88" s="5" t="s">
        <v>159</v>
      </c>
      <c r="D88" s="6" t="s">
        <v>45</v>
      </c>
      <c r="E88" s="5" t="n">
        <v>5</v>
      </c>
      <c r="F88" s="5" t="s">
        <v>2448</v>
      </c>
      <c r="G88" s="13" t="s">
        <v>2449</v>
      </c>
      <c r="H88" s="5" t="s">
        <v>2450</v>
      </c>
      <c r="I88" s="13" t="s">
        <v>2451</v>
      </c>
      <c r="J88" s="5" t="s">
        <v>2452</v>
      </c>
      <c r="K88" s="5" t="s">
        <v>2453</v>
      </c>
      <c r="L88" s="13" t="s">
        <v>2454</v>
      </c>
      <c r="M88" s="13" t="s">
        <v>2455</v>
      </c>
      <c r="N88" s="5" t="n">
        <f aca="false">LEN(L88)</f>
        <v>25</v>
      </c>
      <c r="O88" s="5" t="n">
        <f aca="false">LEN(M88)</f>
        <v>25</v>
      </c>
      <c r="P88" s="14" t="n">
        <f aca="false">IF(N88=0,"",(N88-LEN(SUBSTITUTE(SUBSTITUTE(L88,"G",""),"C","")))/N88)</f>
        <v>0.68</v>
      </c>
      <c r="Q88" s="14" t="n">
        <f aca="false">IF(O88=0,"",(O88-LEN(SUBSTITUTE(SUBSTITUTE(M88,"G",""),"C","")))/O88)</f>
        <v>0.68</v>
      </c>
      <c r="R88" s="5" t="s">
        <v>164</v>
      </c>
      <c r="S88" s="15" t="s">
        <v>1677</v>
      </c>
      <c r="T88" s="5" t="n">
        <v>339</v>
      </c>
      <c r="U88" s="5" t="s">
        <v>1678</v>
      </c>
      <c r="V88" s="5" t="s">
        <v>47</v>
      </c>
      <c r="W88" s="5"/>
      <c r="X88" s="15" t="s">
        <v>1677</v>
      </c>
      <c r="Y88" s="5"/>
    </row>
    <row r="89" customFormat="false" ht="15" hidden="false" customHeight="false" outlineLevel="0" collapsed="false">
      <c r="A89" s="5" t="s">
        <v>2456</v>
      </c>
      <c r="B89" s="5" t="s">
        <v>158</v>
      </c>
      <c r="C89" s="5" t="s">
        <v>159</v>
      </c>
      <c r="D89" s="6" t="s">
        <v>45</v>
      </c>
      <c r="E89" s="5" t="n">
        <v>6</v>
      </c>
      <c r="F89" s="5" t="s">
        <v>2457</v>
      </c>
      <c r="G89" s="13" t="s">
        <v>2458</v>
      </c>
      <c r="H89" s="5" t="s">
        <v>2459</v>
      </c>
      <c r="I89" s="13" t="s">
        <v>2460</v>
      </c>
      <c r="J89" s="5" t="s">
        <v>2461</v>
      </c>
      <c r="K89" s="5" t="s">
        <v>2462</v>
      </c>
      <c r="L89" s="13" t="s">
        <v>2463</v>
      </c>
      <c r="M89" s="13" t="s">
        <v>2464</v>
      </c>
      <c r="N89" s="5" t="n">
        <f aca="false">LEN(L89)</f>
        <v>25</v>
      </c>
      <c r="O89" s="5" t="n">
        <f aca="false">LEN(M89)</f>
        <v>25</v>
      </c>
      <c r="P89" s="14" t="n">
        <f aca="false">IF(N89=0,"",(N89-LEN(SUBSTITUTE(SUBSTITUTE(L89,"G",""),"C","")))/N89)</f>
        <v>0.84</v>
      </c>
      <c r="Q89" s="14" t="n">
        <f aca="false">IF(O89=0,"",(O89-LEN(SUBSTITUTE(SUBSTITUTE(M89,"G",""),"C","")))/O89)</f>
        <v>0.72</v>
      </c>
      <c r="R89" s="5" t="s">
        <v>164</v>
      </c>
      <c r="S89" s="15" t="s">
        <v>1677</v>
      </c>
      <c r="T89" s="5" t="n">
        <v>401</v>
      </c>
      <c r="U89" s="5" t="s">
        <v>1678</v>
      </c>
      <c r="V89" s="5" t="s">
        <v>47</v>
      </c>
      <c r="W89" s="5"/>
      <c r="X89" s="15" t="s">
        <v>1677</v>
      </c>
      <c r="Y89" s="5"/>
    </row>
    <row r="90" customFormat="false" ht="15" hidden="false" customHeight="false" outlineLevel="0" collapsed="false">
      <c r="A90" s="5" t="s">
        <v>2465</v>
      </c>
      <c r="B90" s="5" t="s">
        <v>158</v>
      </c>
      <c r="C90" s="5" t="s">
        <v>159</v>
      </c>
      <c r="D90" s="6" t="s">
        <v>45</v>
      </c>
      <c r="E90" s="5" t="n">
        <v>7</v>
      </c>
      <c r="F90" s="5" t="s">
        <v>2466</v>
      </c>
      <c r="G90" s="13" t="s">
        <v>2467</v>
      </c>
      <c r="H90" s="5" t="s">
        <v>2468</v>
      </c>
      <c r="I90" s="13" t="s">
        <v>2469</v>
      </c>
      <c r="J90" s="5" t="s">
        <v>2470</v>
      </c>
      <c r="K90" s="5" t="s">
        <v>2471</v>
      </c>
      <c r="L90" s="13" t="s">
        <v>2472</v>
      </c>
      <c r="M90" s="13" t="s">
        <v>2473</v>
      </c>
      <c r="N90" s="5" t="n">
        <f aca="false">LEN(L90)</f>
        <v>25</v>
      </c>
      <c r="O90" s="5" t="n">
        <f aca="false">LEN(M90)</f>
        <v>25</v>
      </c>
      <c r="P90" s="14" t="n">
        <f aca="false">IF(N90=0,"",(N90-LEN(SUBSTITUTE(SUBSTITUTE(L90,"G",""),"C","")))/N90)</f>
        <v>0.68</v>
      </c>
      <c r="Q90" s="14" t="n">
        <f aca="false">IF(O90=0,"",(O90-LEN(SUBSTITUTE(SUBSTITUTE(M90,"G",""),"C","")))/O90)</f>
        <v>0.72</v>
      </c>
      <c r="R90" s="5" t="s">
        <v>164</v>
      </c>
      <c r="S90" s="15" t="s">
        <v>1677</v>
      </c>
      <c r="T90" s="5" t="n">
        <v>529</v>
      </c>
      <c r="U90" s="5" t="s">
        <v>1678</v>
      </c>
      <c r="V90" s="5" t="s">
        <v>47</v>
      </c>
      <c r="W90" s="5"/>
      <c r="X90" s="15" t="s">
        <v>1677</v>
      </c>
      <c r="Y90" s="5"/>
    </row>
    <row r="91" customFormat="false" ht="15" hidden="false" customHeight="false" outlineLevel="0" collapsed="false">
      <c r="A91" s="5" t="s">
        <v>2474</v>
      </c>
      <c r="B91" s="5" t="s">
        <v>158</v>
      </c>
      <c r="C91" s="5" t="s">
        <v>159</v>
      </c>
      <c r="D91" s="6" t="s">
        <v>45</v>
      </c>
      <c r="E91" s="5" t="n">
        <v>8</v>
      </c>
      <c r="F91" s="5" t="s">
        <v>2475</v>
      </c>
      <c r="G91" s="13" t="s">
        <v>2476</v>
      </c>
      <c r="H91" s="5" t="s">
        <v>2477</v>
      </c>
      <c r="I91" s="13" t="s">
        <v>2478</v>
      </c>
      <c r="J91" s="5" t="s">
        <v>2479</v>
      </c>
      <c r="K91" s="5" t="s">
        <v>2480</v>
      </c>
      <c r="L91" s="13" t="s">
        <v>2481</v>
      </c>
      <c r="M91" s="13" t="s">
        <v>2482</v>
      </c>
      <c r="N91" s="5" t="n">
        <f aca="false">LEN(L91)</f>
        <v>25</v>
      </c>
      <c r="O91" s="5" t="n">
        <f aca="false">LEN(M91)</f>
        <v>25</v>
      </c>
      <c r="P91" s="14" t="n">
        <f aca="false">IF(N91=0,"",(N91-LEN(SUBSTITUTE(SUBSTITUTE(L91,"G",""),"C","")))/N91)</f>
        <v>0.68</v>
      </c>
      <c r="Q91" s="14" t="n">
        <f aca="false">IF(O91=0,"",(O91-LEN(SUBSTITUTE(SUBSTITUTE(M91,"G",""),"C","")))/O91)</f>
        <v>0.76</v>
      </c>
      <c r="R91" s="5" t="s">
        <v>164</v>
      </c>
      <c r="S91" s="15" t="s">
        <v>1677</v>
      </c>
      <c r="T91" s="5" t="n">
        <v>592</v>
      </c>
      <c r="U91" s="5" t="s">
        <v>1678</v>
      </c>
      <c r="V91" s="5" t="s">
        <v>47</v>
      </c>
      <c r="W91" s="5"/>
      <c r="X91" s="15" t="s">
        <v>1677</v>
      </c>
      <c r="Y91" s="5"/>
    </row>
    <row r="92" customFormat="false" ht="15" hidden="false" customHeight="false" outlineLevel="0" collapsed="false">
      <c r="A92" s="5" t="s">
        <v>2483</v>
      </c>
      <c r="B92" s="5" t="s">
        <v>158</v>
      </c>
      <c r="C92" s="5" t="s">
        <v>159</v>
      </c>
      <c r="D92" s="6" t="s">
        <v>45</v>
      </c>
      <c r="E92" s="5" t="n">
        <v>9</v>
      </c>
      <c r="F92" s="5" t="s">
        <v>2484</v>
      </c>
      <c r="G92" s="13" t="s">
        <v>2485</v>
      </c>
      <c r="H92" s="5" t="s">
        <v>2486</v>
      </c>
      <c r="I92" s="13" t="s">
        <v>2487</v>
      </c>
      <c r="J92" s="5" t="s">
        <v>2488</v>
      </c>
      <c r="K92" s="5" t="s">
        <v>2489</v>
      </c>
      <c r="L92" s="13" t="s">
        <v>2490</v>
      </c>
      <c r="M92" s="13" t="s">
        <v>2491</v>
      </c>
      <c r="N92" s="5" t="n">
        <f aca="false">LEN(L92)</f>
        <v>25</v>
      </c>
      <c r="O92" s="5" t="n">
        <f aca="false">LEN(M92)</f>
        <v>25</v>
      </c>
      <c r="P92" s="14" t="n">
        <f aca="false">IF(N92=0,"",(N92-LEN(SUBSTITUTE(SUBSTITUTE(L92,"G",""),"C","")))/N92)</f>
        <v>0.52</v>
      </c>
      <c r="Q92" s="14" t="n">
        <f aca="false">IF(O92=0,"",(O92-LEN(SUBSTITUTE(SUBSTITUTE(M92,"G",""),"C","")))/O92)</f>
        <v>0.76</v>
      </c>
      <c r="R92" s="5" t="s">
        <v>164</v>
      </c>
      <c r="S92" s="15" t="s">
        <v>1677</v>
      </c>
      <c r="T92" s="5" t="n">
        <v>658</v>
      </c>
      <c r="U92" s="5" t="s">
        <v>1678</v>
      </c>
      <c r="V92" s="5" t="s">
        <v>47</v>
      </c>
      <c r="W92" s="5"/>
      <c r="X92" s="15" t="s">
        <v>1677</v>
      </c>
      <c r="Y92" s="5"/>
    </row>
    <row r="93" customFormat="false" ht="15" hidden="false" customHeight="false" outlineLevel="0" collapsed="false">
      <c r="A93" s="5" t="s">
        <v>2492</v>
      </c>
      <c r="B93" s="5" t="s">
        <v>158</v>
      </c>
      <c r="C93" s="5" t="s">
        <v>159</v>
      </c>
      <c r="D93" s="6" t="s">
        <v>45</v>
      </c>
      <c r="E93" s="5" t="n">
        <v>10</v>
      </c>
      <c r="F93" s="5" t="s">
        <v>2493</v>
      </c>
      <c r="G93" s="13" t="s">
        <v>2494</v>
      </c>
      <c r="H93" s="5" t="s">
        <v>2495</v>
      </c>
      <c r="I93" s="13" t="s">
        <v>2496</v>
      </c>
      <c r="J93" s="5" t="s">
        <v>2497</v>
      </c>
      <c r="K93" s="5" t="s">
        <v>2498</v>
      </c>
      <c r="L93" s="13" t="s">
        <v>2499</v>
      </c>
      <c r="M93" s="13" t="s">
        <v>2500</v>
      </c>
      <c r="N93" s="5" t="n">
        <f aca="false">LEN(L93)</f>
        <v>25</v>
      </c>
      <c r="O93" s="5" t="n">
        <f aca="false">LEN(M93)</f>
        <v>25</v>
      </c>
      <c r="P93" s="14" t="n">
        <f aca="false">IF(N93=0,"",(N93-LEN(SUBSTITUTE(SUBSTITUTE(L93,"G",""),"C","")))/N93)</f>
        <v>0.24</v>
      </c>
      <c r="Q93" s="14" t="n">
        <f aca="false">IF(O93=0,"",(O93-LEN(SUBSTITUTE(SUBSTITUTE(M93,"G",""),"C","")))/O93)</f>
        <v>0.48</v>
      </c>
      <c r="R93" s="5" t="s">
        <v>164</v>
      </c>
      <c r="S93" s="15" t="s">
        <v>1677</v>
      </c>
      <c r="T93" s="5" t="n">
        <v>724</v>
      </c>
      <c r="U93" s="5" t="s">
        <v>1678</v>
      </c>
      <c r="V93" s="5" t="s">
        <v>47</v>
      </c>
      <c r="W93" s="5"/>
      <c r="X93" s="15" t="s">
        <v>1677</v>
      </c>
      <c r="Y93" s="5"/>
    </row>
    <row r="94" customFormat="false" ht="15" hidden="false" customHeight="false" outlineLevel="0" collapsed="false">
      <c r="A94" s="5" t="s">
        <v>2501</v>
      </c>
      <c r="B94" s="5" t="s">
        <v>167</v>
      </c>
      <c r="C94" s="5" t="s">
        <v>168</v>
      </c>
      <c r="D94" s="6" t="s">
        <v>45</v>
      </c>
      <c r="E94" s="5" t="n">
        <v>1</v>
      </c>
      <c r="F94" s="5" t="s">
        <v>2502</v>
      </c>
      <c r="G94" s="13" t="s">
        <v>2503</v>
      </c>
      <c r="H94" s="5" t="s">
        <v>2504</v>
      </c>
      <c r="I94" s="13" t="s">
        <v>2505</v>
      </c>
      <c r="J94" s="5" t="s">
        <v>2506</v>
      </c>
      <c r="K94" s="5" t="s">
        <v>2506</v>
      </c>
      <c r="L94" s="13" t="s">
        <v>2507</v>
      </c>
      <c r="M94" s="13" t="s">
        <v>2508</v>
      </c>
      <c r="N94" s="5" t="n">
        <f aca="false">LEN(L94)</f>
        <v>25</v>
      </c>
      <c r="O94" s="5" t="n">
        <f aca="false">LEN(M94)</f>
        <v>25</v>
      </c>
      <c r="P94" s="14" t="n">
        <f aca="false">IF(N94=0,"",(N94-LEN(SUBSTITUTE(SUBSTITUTE(L94,"G",""),"C","")))/N94)</f>
        <v>0.52</v>
      </c>
      <c r="Q94" s="14" t="n">
        <f aca="false">IF(O94=0,"",(O94-LEN(SUBSTITUTE(SUBSTITUTE(M94,"G",""),"C","")))/O94)</f>
        <v>0.8</v>
      </c>
      <c r="R94" s="5" t="s">
        <v>172</v>
      </c>
      <c r="S94" s="15" t="s">
        <v>1677</v>
      </c>
      <c r="T94" s="5" t="n">
        <v>1327</v>
      </c>
      <c r="U94" s="5" t="s">
        <v>1678</v>
      </c>
      <c r="V94" s="5" t="s">
        <v>171</v>
      </c>
      <c r="W94" s="5" t="s">
        <v>171</v>
      </c>
      <c r="X94" s="15" t="s">
        <v>1677</v>
      </c>
      <c r="Y94" s="5"/>
    </row>
    <row r="95" customFormat="false" ht="15" hidden="false" customHeight="false" outlineLevel="0" collapsed="false">
      <c r="A95" s="5" t="s">
        <v>2509</v>
      </c>
      <c r="B95" s="5" t="s">
        <v>167</v>
      </c>
      <c r="C95" s="5" t="s">
        <v>168</v>
      </c>
      <c r="D95" s="6" t="s">
        <v>45</v>
      </c>
      <c r="E95" s="5" t="n">
        <v>2</v>
      </c>
      <c r="F95" s="5" t="s">
        <v>2510</v>
      </c>
      <c r="G95" s="13" t="s">
        <v>2511</v>
      </c>
      <c r="H95" s="5" t="s">
        <v>2512</v>
      </c>
      <c r="I95" s="13" t="s">
        <v>2513</v>
      </c>
      <c r="J95" s="5" t="s">
        <v>2506</v>
      </c>
      <c r="K95" s="5" t="s">
        <v>2506</v>
      </c>
      <c r="L95" s="13" t="s">
        <v>2514</v>
      </c>
      <c r="M95" s="13" t="s">
        <v>2515</v>
      </c>
      <c r="N95" s="5" t="n">
        <f aca="false">LEN(L95)</f>
        <v>25</v>
      </c>
      <c r="O95" s="5" t="n">
        <f aca="false">LEN(M95)</f>
        <v>25</v>
      </c>
      <c r="P95" s="14" t="n">
        <f aca="false">IF(N95=0,"",(N95-LEN(SUBSTITUTE(SUBSTITUTE(L95,"G",""),"C","")))/N95)</f>
        <v>0.44</v>
      </c>
      <c r="Q95" s="14" t="n">
        <f aca="false">IF(O95=0,"",(O95-LEN(SUBSTITUTE(SUBSTITUTE(M95,"G",""),"C","")))/O95)</f>
        <v>0.52</v>
      </c>
      <c r="R95" s="5" t="s">
        <v>172</v>
      </c>
      <c r="S95" s="15" t="s">
        <v>1677</v>
      </c>
      <c r="T95" s="5" t="n">
        <v>1407</v>
      </c>
      <c r="U95" s="5" t="s">
        <v>1678</v>
      </c>
      <c r="V95" s="5" t="s">
        <v>171</v>
      </c>
      <c r="W95" s="5" t="s">
        <v>171</v>
      </c>
      <c r="X95" s="15" t="s">
        <v>1677</v>
      </c>
      <c r="Y95" s="5"/>
    </row>
    <row r="96" customFormat="false" ht="15" hidden="false" customHeight="false" outlineLevel="0" collapsed="false">
      <c r="A96" s="5" t="s">
        <v>2516</v>
      </c>
      <c r="B96" s="5" t="s">
        <v>167</v>
      </c>
      <c r="C96" s="5" t="s">
        <v>168</v>
      </c>
      <c r="D96" s="6" t="s">
        <v>45</v>
      </c>
      <c r="E96" s="5" t="n">
        <v>3</v>
      </c>
      <c r="F96" s="5" t="s">
        <v>2517</v>
      </c>
      <c r="G96" s="13" t="s">
        <v>2518</v>
      </c>
      <c r="H96" s="5" t="s">
        <v>2519</v>
      </c>
      <c r="I96" s="13" t="s">
        <v>2520</v>
      </c>
      <c r="J96" s="5" t="s">
        <v>2506</v>
      </c>
      <c r="K96" s="5" t="s">
        <v>2506</v>
      </c>
      <c r="L96" s="13" t="s">
        <v>2521</v>
      </c>
      <c r="M96" s="13" t="s">
        <v>2522</v>
      </c>
      <c r="N96" s="5" t="n">
        <f aca="false">LEN(L96)</f>
        <v>25</v>
      </c>
      <c r="O96" s="5" t="n">
        <f aca="false">LEN(M96)</f>
        <v>25</v>
      </c>
      <c r="P96" s="14" t="n">
        <f aca="false">IF(N96=0,"",(N96-LEN(SUBSTITUTE(SUBSTITUTE(L96,"G",""),"C","")))/N96)</f>
        <v>0.64</v>
      </c>
      <c r="Q96" s="14" t="n">
        <f aca="false">IF(O96=0,"",(O96-LEN(SUBSTITUTE(SUBSTITUTE(M96,"G",""),"C","")))/O96)</f>
        <v>0.44</v>
      </c>
      <c r="R96" s="5" t="s">
        <v>172</v>
      </c>
      <c r="S96" s="15" t="s">
        <v>1677</v>
      </c>
      <c r="T96" s="5" t="n">
        <v>1487</v>
      </c>
      <c r="U96" s="5" t="s">
        <v>1678</v>
      </c>
      <c r="V96" s="5" t="s">
        <v>171</v>
      </c>
      <c r="W96" s="5" t="s">
        <v>171</v>
      </c>
      <c r="X96" s="15" t="s">
        <v>1677</v>
      </c>
      <c r="Y96" s="5"/>
    </row>
    <row r="97" customFormat="false" ht="15" hidden="false" customHeight="false" outlineLevel="0" collapsed="false">
      <c r="A97" s="5" t="s">
        <v>2523</v>
      </c>
      <c r="B97" s="5" t="s">
        <v>167</v>
      </c>
      <c r="C97" s="5" t="s">
        <v>168</v>
      </c>
      <c r="D97" s="6" t="s">
        <v>45</v>
      </c>
      <c r="E97" s="5" t="n">
        <v>4</v>
      </c>
      <c r="F97" s="5" t="s">
        <v>2524</v>
      </c>
      <c r="G97" s="13" t="s">
        <v>2525</v>
      </c>
      <c r="H97" s="5" t="s">
        <v>2526</v>
      </c>
      <c r="I97" s="13" t="s">
        <v>2527</v>
      </c>
      <c r="J97" s="5" t="s">
        <v>2506</v>
      </c>
      <c r="K97" s="5" t="s">
        <v>2506</v>
      </c>
      <c r="L97" s="13" t="s">
        <v>2528</v>
      </c>
      <c r="M97" s="13" t="s">
        <v>2529</v>
      </c>
      <c r="N97" s="5" t="n">
        <f aca="false">LEN(L97)</f>
        <v>25</v>
      </c>
      <c r="O97" s="5" t="n">
        <f aca="false">LEN(M97)</f>
        <v>25</v>
      </c>
      <c r="P97" s="14" t="n">
        <f aca="false">IF(N97=0,"",(N97-LEN(SUBSTITUTE(SUBSTITUTE(L97,"G",""),"C","")))/N97)</f>
        <v>0.68</v>
      </c>
      <c r="Q97" s="14" t="n">
        <f aca="false">IF(O97=0,"",(O97-LEN(SUBSTITUTE(SUBSTITUTE(M97,"G",""),"C","")))/O97)</f>
        <v>0.4</v>
      </c>
      <c r="R97" s="5" t="s">
        <v>172</v>
      </c>
      <c r="S97" s="15" t="s">
        <v>1677</v>
      </c>
      <c r="T97" s="5" t="n">
        <v>1567</v>
      </c>
      <c r="U97" s="5" t="s">
        <v>1678</v>
      </c>
      <c r="V97" s="5" t="s">
        <v>171</v>
      </c>
      <c r="W97" s="5" t="s">
        <v>171</v>
      </c>
      <c r="X97" s="15" t="s">
        <v>1677</v>
      </c>
      <c r="Y97" s="5"/>
    </row>
    <row r="98" customFormat="false" ht="15" hidden="false" customHeight="false" outlineLevel="0" collapsed="false">
      <c r="A98" s="5" t="s">
        <v>2530</v>
      </c>
      <c r="B98" s="5" t="s">
        <v>167</v>
      </c>
      <c r="C98" s="5" t="s">
        <v>168</v>
      </c>
      <c r="D98" s="6" t="s">
        <v>45</v>
      </c>
      <c r="E98" s="5" t="n">
        <v>5</v>
      </c>
      <c r="F98" s="5" t="s">
        <v>2531</v>
      </c>
      <c r="G98" s="13" t="s">
        <v>2532</v>
      </c>
      <c r="H98" s="5" t="s">
        <v>2533</v>
      </c>
      <c r="I98" s="13" t="s">
        <v>2534</v>
      </c>
      <c r="J98" s="5" t="s">
        <v>2506</v>
      </c>
      <c r="K98" s="5" t="s">
        <v>2506</v>
      </c>
      <c r="L98" s="13" t="s">
        <v>2535</v>
      </c>
      <c r="M98" s="13" t="s">
        <v>2536</v>
      </c>
      <c r="N98" s="5" t="n">
        <f aca="false">LEN(L98)</f>
        <v>25</v>
      </c>
      <c r="O98" s="5" t="n">
        <f aca="false">LEN(M98)</f>
        <v>25</v>
      </c>
      <c r="P98" s="14" t="n">
        <f aca="false">IF(N98=0,"",(N98-LEN(SUBSTITUTE(SUBSTITUTE(L98,"G",""),"C","")))/N98)</f>
        <v>0.56</v>
      </c>
      <c r="Q98" s="14" t="n">
        <f aca="false">IF(O98=0,"",(O98-LEN(SUBSTITUTE(SUBSTITUTE(M98,"G",""),"C","")))/O98)</f>
        <v>0.52</v>
      </c>
      <c r="R98" s="5" t="s">
        <v>172</v>
      </c>
      <c r="S98" s="15" t="s">
        <v>1677</v>
      </c>
      <c r="T98" s="5" t="n">
        <v>1647</v>
      </c>
      <c r="U98" s="5" t="s">
        <v>1678</v>
      </c>
      <c r="V98" s="5" t="s">
        <v>171</v>
      </c>
      <c r="W98" s="5" t="s">
        <v>171</v>
      </c>
      <c r="X98" s="15" t="s">
        <v>1677</v>
      </c>
      <c r="Y98" s="5"/>
    </row>
    <row r="99" customFormat="false" ht="15" hidden="false" customHeight="false" outlineLevel="0" collapsed="false">
      <c r="A99" s="5" t="s">
        <v>2537</v>
      </c>
      <c r="B99" s="5" t="s">
        <v>167</v>
      </c>
      <c r="C99" s="5" t="s">
        <v>168</v>
      </c>
      <c r="D99" s="6" t="s">
        <v>45</v>
      </c>
      <c r="E99" s="5" t="n">
        <v>6</v>
      </c>
      <c r="F99" s="5" t="s">
        <v>2538</v>
      </c>
      <c r="G99" s="13" t="s">
        <v>2539</v>
      </c>
      <c r="H99" s="5" t="s">
        <v>2540</v>
      </c>
      <c r="I99" s="13" t="s">
        <v>2541</v>
      </c>
      <c r="J99" s="5" t="s">
        <v>2506</v>
      </c>
      <c r="K99" s="5" t="s">
        <v>2506</v>
      </c>
      <c r="L99" s="13" t="s">
        <v>2542</v>
      </c>
      <c r="M99" s="13" t="s">
        <v>2543</v>
      </c>
      <c r="N99" s="5" t="n">
        <f aca="false">LEN(L99)</f>
        <v>25</v>
      </c>
      <c r="O99" s="5" t="n">
        <f aca="false">LEN(M99)</f>
        <v>25</v>
      </c>
      <c r="P99" s="14" t="n">
        <f aca="false">IF(N99=0,"",(N99-LEN(SUBSTITUTE(SUBSTITUTE(L99,"G",""),"C","")))/N99)</f>
        <v>0.56</v>
      </c>
      <c r="Q99" s="14" t="n">
        <f aca="false">IF(O99=0,"",(O99-LEN(SUBSTITUTE(SUBSTITUTE(M99,"G",""),"C","")))/O99)</f>
        <v>0.72</v>
      </c>
      <c r="R99" s="5" t="s">
        <v>172</v>
      </c>
      <c r="S99" s="15" t="s">
        <v>1677</v>
      </c>
      <c r="T99" s="5" t="n">
        <v>1727</v>
      </c>
      <c r="U99" s="5" t="s">
        <v>1678</v>
      </c>
      <c r="V99" s="5" t="s">
        <v>171</v>
      </c>
      <c r="W99" s="5" t="s">
        <v>171</v>
      </c>
      <c r="X99" s="15" t="s">
        <v>1677</v>
      </c>
      <c r="Y99" s="5"/>
    </row>
    <row r="100" customFormat="false" ht="15" hidden="false" customHeight="false" outlineLevel="0" collapsed="false">
      <c r="A100" s="5" t="s">
        <v>2544</v>
      </c>
      <c r="B100" s="5" t="s">
        <v>167</v>
      </c>
      <c r="C100" s="5" t="s">
        <v>168</v>
      </c>
      <c r="D100" s="6" t="s">
        <v>45</v>
      </c>
      <c r="E100" s="5" t="n">
        <v>7</v>
      </c>
      <c r="F100" s="5" t="s">
        <v>2545</v>
      </c>
      <c r="G100" s="13" t="s">
        <v>2546</v>
      </c>
      <c r="H100" s="5" t="s">
        <v>2547</v>
      </c>
      <c r="I100" s="13" t="s">
        <v>2548</v>
      </c>
      <c r="J100" s="5" t="s">
        <v>2506</v>
      </c>
      <c r="K100" s="5" t="s">
        <v>2506</v>
      </c>
      <c r="L100" s="13" t="s">
        <v>2549</v>
      </c>
      <c r="M100" s="13" t="s">
        <v>2550</v>
      </c>
      <c r="N100" s="5" t="n">
        <f aca="false">LEN(L100)</f>
        <v>25</v>
      </c>
      <c r="O100" s="5" t="n">
        <f aca="false">LEN(M100)</f>
        <v>25</v>
      </c>
      <c r="P100" s="14" t="n">
        <f aca="false">IF(N100=0,"",(N100-LEN(SUBSTITUTE(SUBSTITUTE(L100,"G",""),"C","")))/N100)</f>
        <v>0.56</v>
      </c>
      <c r="Q100" s="14" t="n">
        <f aca="false">IF(O100=0,"",(O100-LEN(SUBSTITUTE(SUBSTITUTE(M100,"G",""),"C","")))/O100)</f>
        <v>0.44</v>
      </c>
      <c r="R100" s="5" t="s">
        <v>172</v>
      </c>
      <c r="S100" s="15" t="s">
        <v>1677</v>
      </c>
      <c r="T100" s="5" t="n">
        <v>1807</v>
      </c>
      <c r="U100" s="5" t="s">
        <v>1678</v>
      </c>
      <c r="V100" s="5" t="s">
        <v>171</v>
      </c>
      <c r="W100" s="5" t="s">
        <v>171</v>
      </c>
      <c r="X100" s="15" t="s">
        <v>1677</v>
      </c>
      <c r="Y100" s="5"/>
    </row>
    <row r="101" customFormat="false" ht="15" hidden="false" customHeight="false" outlineLevel="0" collapsed="false">
      <c r="A101" s="5" t="s">
        <v>2551</v>
      </c>
      <c r="B101" s="5" t="s">
        <v>167</v>
      </c>
      <c r="C101" s="5" t="s">
        <v>168</v>
      </c>
      <c r="D101" s="6" t="s">
        <v>45</v>
      </c>
      <c r="E101" s="5" t="n">
        <v>8</v>
      </c>
      <c r="F101" s="5" t="s">
        <v>2552</v>
      </c>
      <c r="G101" s="13" t="s">
        <v>2553</v>
      </c>
      <c r="H101" s="5" t="s">
        <v>2554</v>
      </c>
      <c r="I101" s="13" t="s">
        <v>2555</v>
      </c>
      <c r="J101" s="5" t="s">
        <v>2506</v>
      </c>
      <c r="K101" s="5" t="s">
        <v>2506</v>
      </c>
      <c r="L101" s="13" t="s">
        <v>2556</v>
      </c>
      <c r="M101" s="13" t="s">
        <v>2557</v>
      </c>
      <c r="N101" s="5" t="n">
        <f aca="false">LEN(L101)</f>
        <v>25</v>
      </c>
      <c r="O101" s="5" t="n">
        <f aca="false">LEN(M101)</f>
        <v>25</v>
      </c>
      <c r="P101" s="14" t="n">
        <f aca="false">IF(N101=0,"",(N101-LEN(SUBSTITUTE(SUBSTITUTE(L101,"G",""),"C","")))/N101)</f>
        <v>0.6</v>
      </c>
      <c r="Q101" s="14" t="n">
        <f aca="false">IF(O101=0,"",(O101-LEN(SUBSTITUTE(SUBSTITUTE(M101,"G",""),"C","")))/O101)</f>
        <v>0.4</v>
      </c>
      <c r="R101" s="5" t="s">
        <v>172</v>
      </c>
      <c r="S101" s="15" t="s">
        <v>1677</v>
      </c>
      <c r="T101" s="5" t="n">
        <v>1887</v>
      </c>
      <c r="U101" s="5" t="s">
        <v>1678</v>
      </c>
      <c r="V101" s="5" t="s">
        <v>171</v>
      </c>
      <c r="W101" s="5" t="s">
        <v>171</v>
      </c>
      <c r="X101" s="15" t="s">
        <v>1677</v>
      </c>
      <c r="Y101" s="5"/>
    </row>
    <row r="102" customFormat="false" ht="15" hidden="false" customHeight="false" outlineLevel="0" collapsed="false">
      <c r="A102" s="5" t="s">
        <v>2558</v>
      </c>
      <c r="B102" s="5" t="s">
        <v>167</v>
      </c>
      <c r="C102" s="5" t="s">
        <v>168</v>
      </c>
      <c r="D102" s="6" t="s">
        <v>45</v>
      </c>
      <c r="E102" s="5" t="n">
        <v>9</v>
      </c>
      <c r="F102" s="5" t="s">
        <v>2559</v>
      </c>
      <c r="G102" s="13" t="s">
        <v>2560</v>
      </c>
      <c r="H102" s="5" t="s">
        <v>2561</v>
      </c>
      <c r="I102" s="13" t="s">
        <v>2562</v>
      </c>
      <c r="J102" s="5" t="s">
        <v>2506</v>
      </c>
      <c r="K102" s="5" t="s">
        <v>2506</v>
      </c>
      <c r="L102" s="13" t="s">
        <v>2563</v>
      </c>
      <c r="M102" s="13" t="s">
        <v>2564</v>
      </c>
      <c r="N102" s="5" t="n">
        <f aca="false">LEN(L102)</f>
        <v>25</v>
      </c>
      <c r="O102" s="5" t="n">
        <f aca="false">LEN(M102)</f>
        <v>25</v>
      </c>
      <c r="P102" s="14" t="n">
        <f aca="false">IF(N102=0,"",(N102-LEN(SUBSTITUTE(SUBSTITUTE(L102,"G",""),"C","")))/N102)</f>
        <v>0.56</v>
      </c>
      <c r="Q102" s="14" t="n">
        <f aca="false">IF(O102=0,"",(O102-LEN(SUBSTITUTE(SUBSTITUTE(M102,"G",""),"C","")))/O102)</f>
        <v>0.52</v>
      </c>
      <c r="R102" s="5" t="s">
        <v>172</v>
      </c>
      <c r="S102" s="15" t="s">
        <v>1677</v>
      </c>
      <c r="T102" s="5" t="n">
        <v>1967</v>
      </c>
      <c r="U102" s="5" t="s">
        <v>1678</v>
      </c>
      <c r="V102" s="5" t="s">
        <v>171</v>
      </c>
      <c r="W102" s="5" t="s">
        <v>171</v>
      </c>
      <c r="X102" s="15" t="s">
        <v>1677</v>
      </c>
      <c r="Y102" s="5"/>
    </row>
    <row r="103" customFormat="false" ht="15" hidden="false" customHeight="false" outlineLevel="0" collapsed="false">
      <c r="A103" s="5" t="s">
        <v>2565</v>
      </c>
      <c r="B103" s="5" t="s">
        <v>167</v>
      </c>
      <c r="C103" s="5" t="s">
        <v>168</v>
      </c>
      <c r="D103" s="6" t="s">
        <v>45</v>
      </c>
      <c r="E103" s="5" t="n">
        <v>10</v>
      </c>
      <c r="F103" s="5" t="s">
        <v>2566</v>
      </c>
      <c r="G103" s="13" t="s">
        <v>2567</v>
      </c>
      <c r="H103" s="5" t="s">
        <v>2568</v>
      </c>
      <c r="I103" s="13" t="s">
        <v>2569</v>
      </c>
      <c r="J103" s="5" t="s">
        <v>2506</v>
      </c>
      <c r="K103" s="5" t="s">
        <v>2506</v>
      </c>
      <c r="L103" s="13" t="s">
        <v>2570</v>
      </c>
      <c r="M103" s="13" t="s">
        <v>2571</v>
      </c>
      <c r="N103" s="5" t="n">
        <f aca="false">LEN(L103)</f>
        <v>25</v>
      </c>
      <c r="O103" s="5" t="n">
        <f aca="false">LEN(M103)</f>
        <v>25</v>
      </c>
      <c r="P103" s="14" t="n">
        <f aca="false">IF(N103=0,"",(N103-LEN(SUBSTITUTE(SUBSTITUTE(L103,"G",""),"C","")))/N103)</f>
        <v>0.4</v>
      </c>
      <c r="Q103" s="14" t="n">
        <f aca="false">IF(O103=0,"",(O103-LEN(SUBSTITUTE(SUBSTITUTE(M103,"G",""),"C","")))/O103)</f>
        <v>0.44</v>
      </c>
      <c r="R103" s="5" t="s">
        <v>172</v>
      </c>
      <c r="S103" s="15" t="s">
        <v>1677</v>
      </c>
      <c r="T103" s="5" t="n">
        <v>2047</v>
      </c>
      <c r="U103" s="5" t="s">
        <v>1678</v>
      </c>
      <c r="V103" s="5" t="s">
        <v>171</v>
      </c>
      <c r="W103" s="5" t="s">
        <v>171</v>
      </c>
      <c r="X103" s="15" t="s">
        <v>1677</v>
      </c>
      <c r="Y103" s="5"/>
    </row>
    <row r="104" customFormat="false" ht="15" hidden="false" customHeight="false" outlineLevel="0" collapsed="false">
      <c r="A104" s="5" t="s">
        <v>2572</v>
      </c>
      <c r="B104" s="5" t="s">
        <v>175</v>
      </c>
      <c r="C104" s="5" t="s">
        <v>176</v>
      </c>
      <c r="D104" s="6" t="s">
        <v>45</v>
      </c>
      <c r="E104" s="5" t="n">
        <v>1</v>
      </c>
      <c r="F104" s="5" t="s">
        <v>2573</v>
      </c>
      <c r="G104" s="13" t="s">
        <v>2574</v>
      </c>
      <c r="H104" s="5" t="s">
        <v>2575</v>
      </c>
      <c r="I104" s="13" t="s">
        <v>2576</v>
      </c>
      <c r="J104" s="5" t="s">
        <v>2577</v>
      </c>
      <c r="K104" s="5" t="s">
        <v>2578</v>
      </c>
      <c r="L104" s="13" t="s">
        <v>2579</v>
      </c>
      <c r="M104" s="13" t="s">
        <v>2580</v>
      </c>
      <c r="N104" s="5" t="n">
        <f aca="false">LEN(L104)</f>
        <v>25</v>
      </c>
      <c r="O104" s="5" t="n">
        <f aca="false">LEN(M104)</f>
        <v>25</v>
      </c>
      <c r="P104" s="14" t="n">
        <f aca="false">IF(N104=0,"",(N104-LEN(SUBSTITUTE(SUBSTITUTE(L104,"G",""),"C","")))/N104)</f>
        <v>0.52</v>
      </c>
      <c r="Q104" s="14" t="n">
        <f aca="false">IF(O104=0,"",(O104-LEN(SUBSTITUTE(SUBSTITUTE(M104,"G",""),"C","")))/O104)</f>
        <v>0.44</v>
      </c>
      <c r="R104" s="5" t="s">
        <v>180</v>
      </c>
      <c r="S104" s="15" t="s">
        <v>1677</v>
      </c>
      <c r="T104" s="5" t="n">
        <v>146</v>
      </c>
      <c r="U104" s="5" t="s">
        <v>1678</v>
      </c>
      <c r="V104" s="5" t="s">
        <v>47</v>
      </c>
      <c r="W104" s="5"/>
      <c r="X104" s="15" t="s">
        <v>1677</v>
      </c>
      <c r="Y104" s="5"/>
    </row>
    <row r="105" customFormat="false" ht="15" hidden="false" customHeight="false" outlineLevel="0" collapsed="false">
      <c r="A105" s="5" t="s">
        <v>2581</v>
      </c>
      <c r="B105" s="5" t="s">
        <v>175</v>
      </c>
      <c r="C105" s="5" t="s">
        <v>176</v>
      </c>
      <c r="D105" s="6" t="s">
        <v>45</v>
      </c>
      <c r="E105" s="5" t="n">
        <v>2</v>
      </c>
      <c r="F105" s="5" t="s">
        <v>2582</v>
      </c>
      <c r="G105" s="13" t="s">
        <v>2583</v>
      </c>
      <c r="H105" s="5" t="s">
        <v>2584</v>
      </c>
      <c r="I105" s="13" t="s">
        <v>2585</v>
      </c>
      <c r="J105" s="5" t="s">
        <v>2586</v>
      </c>
      <c r="K105" s="5" t="s">
        <v>2587</v>
      </c>
      <c r="L105" s="13" t="s">
        <v>2588</v>
      </c>
      <c r="M105" s="13" t="s">
        <v>2589</v>
      </c>
      <c r="N105" s="5" t="n">
        <f aca="false">LEN(L105)</f>
        <v>25</v>
      </c>
      <c r="O105" s="5" t="n">
        <f aca="false">LEN(M105)</f>
        <v>25</v>
      </c>
      <c r="P105" s="14" t="n">
        <f aca="false">IF(N105=0,"",(N105-LEN(SUBSTITUTE(SUBSTITUTE(L105,"G",""),"C","")))/N105)</f>
        <v>0.36</v>
      </c>
      <c r="Q105" s="14" t="n">
        <f aca="false">IF(O105=0,"",(O105-LEN(SUBSTITUTE(SUBSTITUTE(M105,"G",""),"C","")))/O105)</f>
        <v>0.28</v>
      </c>
      <c r="R105" s="5" t="s">
        <v>180</v>
      </c>
      <c r="S105" s="15" t="s">
        <v>1677</v>
      </c>
      <c r="T105" s="5" t="n">
        <v>216</v>
      </c>
      <c r="U105" s="5" t="s">
        <v>1678</v>
      </c>
      <c r="V105" s="5" t="s">
        <v>47</v>
      </c>
      <c r="W105" s="5"/>
      <c r="X105" s="15" t="s">
        <v>1677</v>
      </c>
      <c r="Y105" s="5"/>
    </row>
    <row r="106" customFormat="false" ht="15" hidden="false" customHeight="false" outlineLevel="0" collapsed="false">
      <c r="A106" s="5" t="s">
        <v>2590</v>
      </c>
      <c r="B106" s="5" t="s">
        <v>175</v>
      </c>
      <c r="C106" s="5" t="s">
        <v>176</v>
      </c>
      <c r="D106" s="6" t="s">
        <v>45</v>
      </c>
      <c r="E106" s="5" t="n">
        <v>3</v>
      </c>
      <c r="F106" s="5" t="s">
        <v>2591</v>
      </c>
      <c r="G106" s="13" t="s">
        <v>2592</v>
      </c>
      <c r="H106" s="5" t="s">
        <v>2593</v>
      </c>
      <c r="I106" s="13" t="s">
        <v>2594</v>
      </c>
      <c r="J106" s="5" t="s">
        <v>2595</v>
      </c>
      <c r="K106" s="5" t="s">
        <v>2596</v>
      </c>
      <c r="L106" s="13" t="s">
        <v>2597</v>
      </c>
      <c r="M106" s="13" t="s">
        <v>2598</v>
      </c>
      <c r="N106" s="5" t="n">
        <f aca="false">LEN(L106)</f>
        <v>25</v>
      </c>
      <c r="O106" s="5" t="n">
        <f aca="false">LEN(M106)</f>
        <v>25</v>
      </c>
      <c r="P106" s="14" t="n">
        <f aca="false">IF(N106=0,"",(N106-LEN(SUBSTITUTE(SUBSTITUTE(L106,"G",""),"C","")))/N106)</f>
        <v>0.44</v>
      </c>
      <c r="Q106" s="14" t="n">
        <f aca="false">IF(O106=0,"",(O106-LEN(SUBSTITUTE(SUBSTITUTE(M106,"G",""),"C","")))/O106)</f>
        <v>0.36</v>
      </c>
      <c r="R106" s="5" t="s">
        <v>180</v>
      </c>
      <c r="S106" s="15" t="s">
        <v>1677</v>
      </c>
      <c r="T106" s="5" t="n">
        <v>286</v>
      </c>
      <c r="U106" s="5" t="s">
        <v>1678</v>
      </c>
      <c r="V106" s="5" t="s">
        <v>47</v>
      </c>
      <c r="W106" s="5"/>
      <c r="X106" s="15" t="s">
        <v>1677</v>
      </c>
      <c r="Y106" s="5"/>
    </row>
    <row r="107" customFormat="false" ht="15" hidden="false" customHeight="false" outlineLevel="0" collapsed="false">
      <c r="A107" s="5" t="s">
        <v>2599</v>
      </c>
      <c r="B107" s="5" t="s">
        <v>175</v>
      </c>
      <c r="C107" s="5" t="s">
        <v>176</v>
      </c>
      <c r="D107" s="6" t="s">
        <v>45</v>
      </c>
      <c r="E107" s="5" t="n">
        <v>4</v>
      </c>
      <c r="F107" s="5" t="s">
        <v>2600</v>
      </c>
      <c r="G107" s="13" t="s">
        <v>2601</v>
      </c>
      <c r="H107" s="5" t="s">
        <v>2602</v>
      </c>
      <c r="I107" s="13" t="s">
        <v>2603</v>
      </c>
      <c r="J107" s="5" t="s">
        <v>2604</v>
      </c>
      <c r="K107" s="5" t="s">
        <v>2605</v>
      </c>
      <c r="L107" s="13" t="s">
        <v>2606</v>
      </c>
      <c r="M107" s="13" t="s">
        <v>2607</v>
      </c>
      <c r="N107" s="5" t="n">
        <f aca="false">LEN(L107)</f>
        <v>25</v>
      </c>
      <c r="O107" s="5" t="n">
        <f aca="false">LEN(M107)</f>
        <v>25</v>
      </c>
      <c r="P107" s="14" t="n">
        <f aca="false">IF(N107=0,"",(N107-LEN(SUBSTITUTE(SUBSTITUTE(L107,"G",""),"C","")))/N107)</f>
        <v>0.32</v>
      </c>
      <c r="Q107" s="14" t="n">
        <f aca="false">IF(O107=0,"",(O107-LEN(SUBSTITUTE(SUBSTITUTE(M107,"G",""),"C","")))/O107)</f>
        <v>0.36</v>
      </c>
      <c r="R107" s="5" t="s">
        <v>180</v>
      </c>
      <c r="S107" s="15" t="s">
        <v>1677</v>
      </c>
      <c r="T107" s="5" t="n">
        <v>356</v>
      </c>
      <c r="U107" s="5" t="s">
        <v>1678</v>
      </c>
      <c r="V107" s="5" t="s">
        <v>47</v>
      </c>
      <c r="W107" s="5"/>
      <c r="X107" s="15" t="s">
        <v>1677</v>
      </c>
      <c r="Y107" s="5"/>
    </row>
    <row r="108" customFormat="false" ht="15" hidden="false" customHeight="false" outlineLevel="0" collapsed="false">
      <c r="A108" s="5" t="s">
        <v>2608</v>
      </c>
      <c r="B108" s="5" t="s">
        <v>175</v>
      </c>
      <c r="C108" s="5" t="s">
        <v>176</v>
      </c>
      <c r="D108" s="6" t="s">
        <v>45</v>
      </c>
      <c r="E108" s="5" t="n">
        <v>5</v>
      </c>
      <c r="F108" s="5" t="s">
        <v>2609</v>
      </c>
      <c r="G108" s="13" t="s">
        <v>2610</v>
      </c>
      <c r="H108" s="5" t="s">
        <v>2611</v>
      </c>
      <c r="I108" s="13" t="s">
        <v>2612</v>
      </c>
      <c r="J108" s="5" t="s">
        <v>2613</v>
      </c>
      <c r="K108" s="5" t="s">
        <v>2614</v>
      </c>
      <c r="L108" s="13" t="s">
        <v>2615</v>
      </c>
      <c r="M108" s="13" t="s">
        <v>2616</v>
      </c>
      <c r="N108" s="5" t="n">
        <f aca="false">LEN(L108)</f>
        <v>25</v>
      </c>
      <c r="O108" s="5" t="n">
        <f aca="false">LEN(M108)</f>
        <v>25</v>
      </c>
      <c r="P108" s="14" t="n">
        <f aca="false">IF(N108=0,"",(N108-LEN(SUBSTITUTE(SUBSTITUTE(L108,"G",""),"C","")))/N108)</f>
        <v>0.56</v>
      </c>
      <c r="Q108" s="14" t="n">
        <f aca="false">IF(O108=0,"",(O108-LEN(SUBSTITUTE(SUBSTITUTE(M108,"G",""),"C","")))/O108)</f>
        <v>0.4</v>
      </c>
      <c r="R108" s="5" t="s">
        <v>180</v>
      </c>
      <c r="S108" s="15" t="s">
        <v>1677</v>
      </c>
      <c r="T108" s="5" t="n">
        <v>426</v>
      </c>
      <c r="U108" s="5" t="s">
        <v>1678</v>
      </c>
      <c r="V108" s="5" t="s">
        <v>47</v>
      </c>
      <c r="W108" s="5"/>
      <c r="X108" s="15" t="s">
        <v>1677</v>
      </c>
      <c r="Y108" s="5"/>
    </row>
    <row r="109" customFormat="false" ht="15" hidden="false" customHeight="false" outlineLevel="0" collapsed="false">
      <c r="A109" s="5" t="s">
        <v>2617</v>
      </c>
      <c r="B109" s="5" t="s">
        <v>175</v>
      </c>
      <c r="C109" s="5" t="s">
        <v>176</v>
      </c>
      <c r="D109" s="6" t="s">
        <v>45</v>
      </c>
      <c r="E109" s="5" t="n">
        <v>6</v>
      </c>
      <c r="F109" s="5" t="s">
        <v>2618</v>
      </c>
      <c r="G109" s="13" t="s">
        <v>2619</v>
      </c>
      <c r="H109" s="5" t="s">
        <v>2620</v>
      </c>
      <c r="I109" s="13" t="s">
        <v>2621</v>
      </c>
      <c r="J109" s="5" t="s">
        <v>2622</v>
      </c>
      <c r="K109" s="5" t="s">
        <v>2623</v>
      </c>
      <c r="L109" s="13" t="s">
        <v>2624</v>
      </c>
      <c r="M109" s="13" t="s">
        <v>2625</v>
      </c>
      <c r="N109" s="5" t="n">
        <f aca="false">LEN(L109)</f>
        <v>25</v>
      </c>
      <c r="O109" s="5" t="n">
        <f aca="false">LEN(M109)</f>
        <v>25</v>
      </c>
      <c r="P109" s="14" t="n">
        <f aca="false">IF(N109=0,"",(N109-LEN(SUBSTITUTE(SUBSTITUTE(L109,"G",""),"C","")))/N109)</f>
        <v>0.56</v>
      </c>
      <c r="Q109" s="14" t="n">
        <f aca="false">IF(O109=0,"",(O109-LEN(SUBSTITUTE(SUBSTITUTE(M109,"G",""),"C","")))/O109)</f>
        <v>0.24</v>
      </c>
      <c r="R109" s="5" t="s">
        <v>180</v>
      </c>
      <c r="S109" s="15" t="s">
        <v>1677</v>
      </c>
      <c r="T109" s="5" t="n">
        <v>496</v>
      </c>
      <c r="U109" s="5" t="s">
        <v>1678</v>
      </c>
      <c r="V109" s="5" t="s">
        <v>47</v>
      </c>
      <c r="W109" s="5"/>
      <c r="X109" s="15" t="s">
        <v>1677</v>
      </c>
      <c r="Y109" s="5"/>
    </row>
    <row r="110" customFormat="false" ht="15" hidden="false" customHeight="false" outlineLevel="0" collapsed="false">
      <c r="A110" s="5" t="s">
        <v>2626</v>
      </c>
      <c r="B110" s="5" t="s">
        <v>183</v>
      </c>
      <c r="C110" s="5" t="s">
        <v>184</v>
      </c>
      <c r="D110" s="6" t="s">
        <v>45</v>
      </c>
      <c r="E110" s="5" t="n">
        <v>1</v>
      </c>
      <c r="F110" s="5" t="s">
        <v>2627</v>
      </c>
      <c r="G110" s="13" t="s">
        <v>2628</v>
      </c>
      <c r="H110" s="5" t="s">
        <v>2629</v>
      </c>
      <c r="I110" s="13" t="s">
        <v>2630</v>
      </c>
      <c r="J110" s="5" t="s">
        <v>2631</v>
      </c>
      <c r="K110" s="5" t="s">
        <v>2632</v>
      </c>
      <c r="L110" s="13" t="s">
        <v>2633</v>
      </c>
      <c r="M110" s="13" t="s">
        <v>2634</v>
      </c>
      <c r="N110" s="5" t="n">
        <f aca="false">LEN(L110)</f>
        <v>25</v>
      </c>
      <c r="O110" s="5" t="n">
        <f aca="false">LEN(M110)</f>
        <v>25</v>
      </c>
      <c r="P110" s="14" t="n">
        <f aca="false">IF(N110=0,"",(N110-LEN(SUBSTITUTE(SUBSTITUTE(L110,"G",""),"C","")))/N110)</f>
        <v>0.44</v>
      </c>
      <c r="Q110" s="14" t="n">
        <f aca="false">IF(O110=0,"",(O110-LEN(SUBSTITUTE(SUBSTITUTE(M110,"G",""),"C","")))/O110)</f>
        <v>0.44</v>
      </c>
      <c r="R110" s="5" t="s">
        <v>188</v>
      </c>
      <c r="S110" s="15" t="s">
        <v>1677</v>
      </c>
      <c r="T110" s="5" t="n">
        <v>216</v>
      </c>
      <c r="U110" s="5" t="s">
        <v>1678</v>
      </c>
      <c r="V110" s="5" t="s">
        <v>47</v>
      </c>
      <c r="W110" s="5"/>
      <c r="X110" s="15" t="s">
        <v>1677</v>
      </c>
      <c r="Y110" s="5"/>
    </row>
    <row r="111" customFormat="false" ht="15" hidden="false" customHeight="false" outlineLevel="0" collapsed="false">
      <c r="A111" s="5" t="s">
        <v>2635</v>
      </c>
      <c r="B111" s="5" t="s">
        <v>183</v>
      </c>
      <c r="C111" s="5" t="s">
        <v>184</v>
      </c>
      <c r="D111" s="6" t="s">
        <v>45</v>
      </c>
      <c r="E111" s="5" t="n">
        <v>2</v>
      </c>
      <c r="F111" s="5" t="s">
        <v>2636</v>
      </c>
      <c r="G111" s="13" t="s">
        <v>2637</v>
      </c>
      <c r="H111" s="5" t="s">
        <v>2638</v>
      </c>
      <c r="I111" s="13" t="s">
        <v>2639</v>
      </c>
      <c r="J111" s="5" t="s">
        <v>2640</v>
      </c>
      <c r="K111" s="5" t="s">
        <v>2641</v>
      </c>
      <c r="L111" s="13" t="s">
        <v>2642</v>
      </c>
      <c r="M111" s="13" t="s">
        <v>2643</v>
      </c>
      <c r="N111" s="5" t="n">
        <f aca="false">LEN(L111)</f>
        <v>25</v>
      </c>
      <c r="O111" s="5" t="n">
        <f aca="false">LEN(M111)</f>
        <v>25</v>
      </c>
      <c r="P111" s="14" t="n">
        <f aca="false">IF(N111=0,"",(N111-LEN(SUBSTITUTE(SUBSTITUTE(L111,"G",""),"C","")))/N111)</f>
        <v>0.64</v>
      </c>
      <c r="Q111" s="14" t="n">
        <f aca="false">IF(O111=0,"",(O111-LEN(SUBSTITUTE(SUBSTITUTE(M111,"G",""),"C","")))/O111)</f>
        <v>0.72</v>
      </c>
      <c r="R111" s="5" t="s">
        <v>188</v>
      </c>
      <c r="S111" s="15" t="s">
        <v>1677</v>
      </c>
      <c r="T111" s="5" t="n">
        <v>286</v>
      </c>
      <c r="U111" s="5" t="s">
        <v>1678</v>
      </c>
      <c r="V111" s="5" t="s">
        <v>47</v>
      </c>
      <c r="W111" s="5"/>
      <c r="X111" s="15" t="s">
        <v>1677</v>
      </c>
      <c r="Y111" s="5"/>
    </row>
    <row r="112" customFormat="false" ht="15" hidden="false" customHeight="false" outlineLevel="0" collapsed="false">
      <c r="A112" s="5" t="s">
        <v>2644</v>
      </c>
      <c r="B112" s="5" t="s">
        <v>183</v>
      </c>
      <c r="C112" s="5" t="s">
        <v>184</v>
      </c>
      <c r="D112" s="6" t="s">
        <v>45</v>
      </c>
      <c r="E112" s="5" t="n">
        <v>3</v>
      </c>
      <c r="F112" s="5" t="s">
        <v>2645</v>
      </c>
      <c r="G112" s="13" t="s">
        <v>2646</v>
      </c>
      <c r="H112" s="5" t="s">
        <v>2647</v>
      </c>
      <c r="I112" s="13" t="s">
        <v>2648</v>
      </c>
      <c r="J112" s="5" t="s">
        <v>2649</v>
      </c>
      <c r="K112" s="5" t="s">
        <v>2650</v>
      </c>
      <c r="L112" s="13" t="s">
        <v>2651</v>
      </c>
      <c r="M112" s="13" t="s">
        <v>2652</v>
      </c>
      <c r="N112" s="5" t="n">
        <f aca="false">LEN(L112)</f>
        <v>25</v>
      </c>
      <c r="O112" s="5" t="n">
        <f aca="false">LEN(M112)</f>
        <v>25</v>
      </c>
      <c r="P112" s="14" t="n">
        <f aca="false">IF(N112=0,"",(N112-LEN(SUBSTITUTE(SUBSTITUTE(L112,"G",""),"C","")))/N112)</f>
        <v>0.6</v>
      </c>
      <c r="Q112" s="14" t="n">
        <f aca="false">IF(O112=0,"",(O112-LEN(SUBSTITUTE(SUBSTITUTE(M112,"G",""),"C","")))/O112)</f>
        <v>0.52</v>
      </c>
      <c r="R112" s="5" t="s">
        <v>188</v>
      </c>
      <c r="S112" s="15" t="s">
        <v>1677</v>
      </c>
      <c r="T112" s="5" t="n">
        <v>356</v>
      </c>
      <c r="U112" s="5" t="s">
        <v>1678</v>
      </c>
      <c r="V112" s="5" t="s">
        <v>47</v>
      </c>
      <c r="W112" s="5"/>
      <c r="X112" s="15" t="s">
        <v>1677</v>
      </c>
      <c r="Y112" s="5"/>
    </row>
    <row r="113" customFormat="false" ht="15" hidden="false" customHeight="false" outlineLevel="0" collapsed="false">
      <c r="A113" s="5" t="s">
        <v>2653</v>
      </c>
      <c r="B113" s="5" t="s">
        <v>183</v>
      </c>
      <c r="C113" s="5" t="s">
        <v>184</v>
      </c>
      <c r="D113" s="6" t="s">
        <v>45</v>
      </c>
      <c r="E113" s="5" t="n">
        <v>4</v>
      </c>
      <c r="F113" s="5" t="s">
        <v>2654</v>
      </c>
      <c r="G113" s="13" t="s">
        <v>2655</v>
      </c>
      <c r="H113" s="5" t="s">
        <v>2656</v>
      </c>
      <c r="I113" s="13" t="s">
        <v>2657</v>
      </c>
      <c r="J113" s="5" t="s">
        <v>2658</v>
      </c>
      <c r="K113" s="5" t="s">
        <v>2659</v>
      </c>
      <c r="L113" s="13" t="s">
        <v>2660</v>
      </c>
      <c r="M113" s="13" t="s">
        <v>2661</v>
      </c>
      <c r="N113" s="5" t="n">
        <f aca="false">LEN(L113)</f>
        <v>25</v>
      </c>
      <c r="O113" s="5" t="n">
        <f aca="false">LEN(M113)</f>
        <v>25</v>
      </c>
      <c r="P113" s="14" t="n">
        <f aca="false">IF(N113=0,"",(N113-LEN(SUBSTITUTE(SUBSTITUTE(L113,"G",""),"C","")))/N113)</f>
        <v>0.48</v>
      </c>
      <c r="Q113" s="14" t="n">
        <f aca="false">IF(O113=0,"",(O113-LEN(SUBSTITUTE(SUBSTITUTE(M113,"G",""),"C","")))/O113)</f>
        <v>0.32</v>
      </c>
      <c r="R113" s="5" t="s">
        <v>188</v>
      </c>
      <c r="S113" s="15" t="s">
        <v>1677</v>
      </c>
      <c r="T113" s="5" t="n">
        <v>426</v>
      </c>
      <c r="U113" s="5" t="s">
        <v>1678</v>
      </c>
      <c r="V113" s="5" t="s">
        <v>47</v>
      </c>
      <c r="W113" s="5"/>
      <c r="X113" s="15" t="s">
        <v>1677</v>
      </c>
      <c r="Y113" s="5"/>
    </row>
    <row r="114" customFormat="false" ht="15" hidden="false" customHeight="false" outlineLevel="0" collapsed="false">
      <c r="A114" s="5" t="s">
        <v>2662</v>
      </c>
      <c r="B114" s="5" t="s">
        <v>183</v>
      </c>
      <c r="C114" s="5" t="s">
        <v>184</v>
      </c>
      <c r="D114" s="6" t="s">
        <v>45</v>
      </c>
      <c r="E114" s="5" t="n">
        <v>5</v>
      </c>
      <c r="F114" s="5" t="s">
        <v>2663</v>
      </c>
      <c r="G114" s="13" t="s">
        <v>2664</v>
      </c>
      <c r="H114" s="5" t="s">
        <v>2665</v>
      </c>
      <c r="I114" s="13" t="s">
        <v>2666</v>
      </c>
      <c r="J114" s="5" t="s">
        <v>2667</v>
      </c>
      <c r="K114" s="5" t="s">
        <v>2668</v>
      </c>
      <c r="L114" s="13" t="s">
        <v>2669</v>
      </c>
      <c r="M114" s="13" t="s">
        <v>2670</v>
      </c>
      <c r="N114" s="5" t="n">
        <f aca="false">LEN(L114)</f>
        <v>25</v>
      </c>
      <c r="O114" s="5" t="n">
        <f aca="false">LEN(M114)</f>
        <v>25</v>
      </c>
      <c r="P114" s="14" t="n">
        <f aca="false">IF(N114=0,"",(N114-LEN(SUBSTITUTE(SUBSTITUTE(L114,"G",""),"C","")))/N114)</f>
        <v>0.56</v>
      </c>
      <c r="Q114" s="14" t="n">
        <f aca="false">IF(O114=0,"",(O114-LEN(SUBSTITUTE(SUBSTITUTE(M114,"G",""),"C","")))/O114)</f>
        <v>0.52</v>
      </c>
      <c r="R114" s="5" t="s">
        <v>188</v>
      </c>
      <c r="S114" s="15" t="s">
        <v>1677</v>
      </c>
      <c r="T114" s="5" t="n">
        <v>496</v>
      </c>
      <c r="U114" s="5" t="s">
        <v>1678</v>
      </c>
      <c r="V114" s="5" t="s">
        <v>47</v>
      </c>
      <c r="W114" s="5"/>
      <c r="X114" s="15" t="s">
        <v>1677</v>
      </c>
      <c r="Y114" s="5"/>
    </row>
    <row r="115" customFormat="false" ht="15" hidden="false" customHeight="false" outlineLevel="0" collapsed="false">
      <c r="A115" s="5" t="s">
        <v>2671</v>
      </c>
      <c r="B115" s="5" t="s">
        <v>183</v>
      </c>
      <c r="C115" s="5" t="s">
        <v>184</v>
      </c>
      <c r="D115" s="6" t="s">
        <v>45</v>
      </c>
      <c r="E115" s="5" t="n">
        <v>6</v>
      </c>
      <c r="F115" s="5" t="s">
        <v>2672</v>
      </c>
      <c r="G115" s="13" t="s">
        <v>2673</v>
      </c>
      <c r="H115" s="5" t="s">
        <v>2674</v>
      </c>
      <c r="I115" s="13" t="s">
        <v>2675</v>
      </c>
      <c r="J115" s="5" t="s">
        <v>2676</v>
      </c>
      <c r="K115" s="5" t="s">
        <v>2677</v>
      </c>
      <c r="L115" s="13" t="s">
        <v>2678</v>
      </c>
      <c r="M115" s="13" t="s">
        <v>2679</v>
      </c>
      <c r="N115" s="5" t="n">
        <f aca="false">LEN(L115)</f>
        <v>25</v>
      </c>
      <c r="O115" s="5" t="n">
        <f aca="false">LEN(M115)</f>
        <v>25</v>
      </c>
      <c r="P115" s="14" t="n">
        <f aca="false">IF(N115=0,"",(N115-LEN(SUBSTITUTE(SUBSTITUTE(L115,"G",""),"C","")))/N115)</f>
        <v>0.48</v>
      </c>
      <c r="Q115" s="14" t="n">
        <f aca="false">IF(O115=0,"",(O115-LEN(SUBSTITUTE(SUBSTITUTE(M115,"G",""),"C","")))/O115)</f>
        <v>0.68</v>
      </c>
      <c r="R115" s="5" t="s">
        <v>188</v>
      </c>
      <c r="S115" s="15" t="s">
        <v>1677</v>
      </c>
      <c r="T115" s="5" t="n">
        <v>566</v>
      </c>
      <c r="U115" s="5" t="s">
        <v>1678</v>
      </c>
      <c r="V115" s="5" t="s">
        <v>47</v>
      </c>
      <c r="W115" s="5"/>
      <c r="X115" s="15" t="s">
        <v>1677</v>
      </c>
      <c r="Y115" s="5"/>
    </row>
    <row r="116" customFormat="false" ht="15" hidden="false" customHeight="false" outlineLevel="0" collapsed="false">
      <c r="A116" s="5" t="s">
        <v>2680</v>
      </c>
      <c r="B116" s="5" t="s">
        <v>191</v>
      </c>
      <c r="C116" s="5" t="s">
        <v>192</v>
      </c>
      <c r="D116" s="6" t="s">
        <v>45</v>
      </c>
      <c r="E116" s="5" t="n">
        <v>1</v>
      </c>
      <c r="F116" s="5" t="s">
        <v>2681</v>
      </c>
      <c r="G116" s="13" t="s">
        <v>2682</v>
      </c>
      <c r="H116" s="5" t="s">
        <v>2683</v>
      </c>
      <c r="I116" s="13" t="s">
        <v>2684</v>
      </c>
      <c r="J116" s="5" t="s">
        <v>2685</v>
      </c>
      <c r="K116" s="5" t="s">
        <v>2686</v>
      </c>
      <c r="L116" s="13" t="s">
        <v>2687</v>
      </c>
      <c r="M116" s="13" t="s">
        <v>2688</v>
      </c>
      <c r="N116" s="5" t="n">
        <f aca="false">LEN(L116)</f>
        <v>25</v>
      </c>
      <c r="O116" s="5" t="n">
        <f aca="false">LEN(M116)</f>
        <v>25</v>
      </c>
      <c r="P116" s="14" t="n">
        <f aca="false">IF(N116=0,"",(N116-LEN(SUBSTITUTE(SUBSTITUTE(L116,"G",""),"C","")))/N116)</f>
        <v>0.64</v>
      </c>
      <c r="Q116" s="14" t="n">
        <f aca="false">IF(O116=0,"",(O116-LEN(SUBSTITUTE(SUBSTITUTE(M116,"G",""),"C","")))/O116)</f>
        <v>0.76</v>
      </c>
      <c r="R116" s="5" t="s">
        <v>195</v>
      </c>
      <c r="S116" s="15" t="s">
        <v>1677</v>
      </c>
      <c r="T116" s="5" t="n">
        <v>6</v>
      </c>
      <c r="U116" s="5" t="s">
        <v>1678</v>
      </c>
      <c r="V116" s="5" t="s">
        <v>47</v>
      </c>
      <c r="W116" s="5"/>
      <c r="X116" s="15" t="s">
        <v>1677</v>
      </c>
      <c r="Y116" s="5"/>
    </row>
    <row r="117" customFormat="false" ht="15" hidden="false" customHeight="false" outlineLevel="0" collapsed="false">
      <c r="A117" s="5" t="s">
        <v>2689</v>
      </c>
      <c r="B117" s="5" t="s">
        <v>191</v>
      </c>
      <c r="C117" s="5" t="s">
        <v>192</v>
      </c>
      <c r="D117" s="6" t="s">
        <v>45</v>
      </c>
      <c r="E117" s="5" t="n">
        <v>2</v>
      </c>
      <c r="F117" s="5" t="s">
        <v>2690</v>
      </c>
      <c r="G117" s="13" t="s">
        <v>2691</v>
      </c>
      <c r="H117" s="5" t="s">
        <v>2692</v>
      </c>
      <c r="I117" s="13" t="s">
        <v>2693</v>
      </c>
      <c r="J117" s="5" t="s">
        <v>2694</v>
      </c>
      <c r="K117" s="5" t="s">
        <v>2695</v>
      </c>
      <c r="L117" s="13" t="s">
        <v>2696</v>
      </c>
      <c r="M117" s="13" t="s">
        <v>2697</v>
      </c>
      <c r="N117" s="5" t="n">
        <f aca="false">LEN(L117)</f>
        <v>25</v>
      </c>
      <c r="O117" s="5" t="n">
        <f aca="false">LEN(M117)</f>
        <v>25</v>
      </c>
      <c r="P117" s="14" t="n">
        <f aca="false">IF(N117=0,"",(N117-LEN(SUBSTITUTE(SUBSTITUTE(L117,"G",""),"C","")))/N117)</f>
        <v>0.4</v>
      </c>
      <c r="Q117" s="14" t="n">
        <f aca="false">IF(O117=0,"",(O117-LEN(SUBSTITUTE(SUBSTITUTE(M117,"G",""),"C","")))/O117)</f>
        <v>0.44</v>
      </c>
      <c r="R117" s="5" t="s">
        <v>195</v>
      </c>
      <c r="S117" s="15" t="s">
        <v>1677</v>
      </c>
      <c r="T117" s="5" t="n">
        <v>72</v>
      </c>
      <c r="U117" s="5" t="s">
        <v>1678</v>
      </c>
      <c r="V117" s="5" t="s">
        <v>47</v>
      </c>
      <c r="W117" s="5"/>
      <c r="X117" s="8" t="s">
        <v>1769</v>
      </c>
      <c r="Y117" s="5"/>
    </row>
    <row r="118" customFormat="false" ht="15" hidden="false" customHeight="false" outlineLevel="0" collapsed="false">
      <c r="A118" s="5" t="s">
        <v>2698</v>
      </c>
      <c r="B118" s="5" t="s">
        <v>191</v>
      </c>
      <c r="C118" s="5" t="s">
        <v>192</v>
      </c>
      <c r="D118" s="6" t="s">
        <v>45</v>
      </c>
      <c r="E118" s="5" t="n">
        <v>3</v>
      </c>
      <c r="F118" s="5" t="s">
        <v>2699</v>
      </c>
      <c r="G118" s="13" t="s">
        <v>2700</v>
      </c>
      <c r="H118" s="5" t="s">
        <v>2701</v>
      </c>
      <c r="I118" s="13" t="s">
        <v>2702</v>
      </c>
      <c r="J118" s="5" t="s">
        <v>2703</v>
      </c>
      <c r="K118" s="5" t="s">
        <v>2704</v>
      </c>
      <c r="L118" s="13" t="s">
        <v>2705</v>
      </c>
      <c r="M118" s="13" t="s">
        <v>2706</v>
      </c>
      <c r="N118" s="5" t="n">
        <f aca="false">LEN(L118)</f>
        <v>25</v>
      </c>
      <c r="O118" s="5" t="n">
        <f aca="false">LEN(M118)</f>
        <v>25</v>
      </c>
      <c r="P118" s="14" t="n">
        <f aca="false">IF(N118=0,"",(N118-LEN(SUBSTITUTE(SUBSTITUTE(L118,"G",""),"C","")))/N118)</f>
        <v>0.52</v>
      </c>
      <c r="Q118" s="14" t="n">
        <f aca="false">IF(O118=0,"",(O118-LEN(SUBSTITUTE(SUBSTITUTE(M118,"G",""),"C","")))/O118)</f>
        <v>0.48</v>
      </c>
      <c r="R118" s="5" t="s">
        <v>195</v>
      </c>
      <c r="S118" s="15" t="s">
        <v>1677</v>
      </c>
      <c r="T118" s="5" t="n">
        <v>138</v>
      </c>
      <c r="U118" s="5" t="s">
        <v>1678</v>
      </c>
      <c r="V118" s="5" t="s">
        <v>47</v>
      </c>
      <c r="W118" s="5"/>
      <c r="X118" s="8" t="s">
        <v>1914</v>
      </c>
      <c r="Y118" s="5"/>
    </row>
    <row r="119" customFormat="false" ht="15" hidden="false" customHeight="false" outlineLevel="0" collapsed="false">
      <c r="A119" s="5" t="s">
        <v>2707</v>
      </c>
      <c r="B119" s="5" t="s">
        <v>191</v>
      </c>
      <c r="C119" s="5" t="s">
        <v>192</v>
      </c>
      <c r="D119" s="6" t="s">
        <v>45</v>
      </c>
      <c r="E119" s="5" t="n">
        <v>4</v>
      </c>
      <c r="F119" s="5" t="s">
        <v>2708</v>
      </c>
      <c r="G119" s="13" t="s">
        <v>2709</v>
      </c>
      <c r="H119" s="5" t="s">
        <v>2710</v>
      </c>
      <c r="I119" s="13" t="s">
        <v>2711</v>
      </c>
      <c r="J119" s="5" t="s">
        <v>2712</v>
      </c>
      <c r="K119" s="5" t="s">
        <v>2713</v>
      </c>
      <c r="L119" s="13" t="s">
        <v>2714</v>
      </c>
      <c r="M119" s="13" t="s">
        <v>2715</v>
      </c>
      <c r="N119" s="5" t="n">
        <f aca="false">LEN(L119)</f>
        <v>25</v>
      </c>
      <c r="O119" s="5" t="n">
        <f aca="false">LEN(M119)</f>
        <v>25</v>
      </c>
      <c r="P119" s="14" t="n">
        <f aca="false">IF(N119=0,"",(N119-LEN(SUBSTITUTE(SUBSTITUTE(L119,"G",""),"C","")))/N119)</f>
        <v>0.44</v>
      </c>
      <c r="Q119" s="14" t="n">
        <f aca="false">IF(O119=0,"",(O119-LEN(SUBSTITUTE(SUBSTITUTE(M119,"G",""),"C","")))/O119)</f>
        <v>0.52</v>
      </c>
      <c r="R119" s="5" t="s">
        <v>195</v>
      </c>
      <c r="S119" s="15" t="s">
        <v>1677</v>
      </c>
      <c r="T119" s="5" t="n">
        <v>205</v>
      </c>
      <c r="U119" s="5" t="s">
        <v>1678</v>
      </c>
      <c r="V119" s="5" t="s">
        <v>47</v>
      </c>
      <c r="W119" s="5"/>
      <c r="X119" s="15" t="s">
        <v>1677</v>
      </c>
      <c r="Y119" s="5"/>
    </row>
    <row r="120" customFormat="false" ht="15" hidden="false" customHeight="false" outlineLevel="0" collapsed="false">
      <c r="A120" s="5" t="s">
        <v>2716</v>
      </c>
      <c r="B120" s="5" t="s">
        <v>191</v>
      </c>
      <c r="C120" s="5" t="s">
        <v>192</v>
      </c>
      <c r="D120" s="6" t="s">
        <v>45</v>
      </c>
      <c r="E120" s="5" t="n">
        <v>5</v>
      </c>
      <c r="F120" s="5" t="s">
        <v>2717</v>
      </c>
      <c r="G120" s="13" t="s">
        <v>2718</v>
      </c>
      <c r="H120" s="5" t="s">
        <v>2719</v>
      </c>
      <c r="I120" s="13" t="s">
        <v>2720</v>
      </c>
      <c r="J120" s="5" t="s">
        <v>2721</v>
      </c>
      <c r="K120" s="5" t="s">
        <v>2722</v>
      </c>
      <c r="L120" s="13" t="s">
        <v>2723</v>
      </c>
      <c r="M120" s="13" t="s">
        <v>2724</v>
      </c>
      <c r="N120" s="5" t="n">
        <f aca="false">LEN(L120)</f>
        <v>25</v>
      </c>
      <c r="O120" s="5" t="n">
        <f aca="false">LEN(M120)</f>
        <v>25</v>
      </c>
      <c r="P120" s="14" t="n">
        <f aca="false">IF(N120=0,"",(N120-LEN(SUBSTITUTE(SUBSTITUTE(L120,"G",""),"C","")))/N120)</f>
        <v>0.44</v>
      </c>
      <c r="Q120" s="14" t="n">
        <f aca="false">IF(O120=0,"",(O120-LEN(SUBSTITUTE(SUBSTITUTE(M120,"G",""),"C","")))/O120)</f>
        <v>0.32</v>
      </c>
      <c r="R120" s="5" t="s">
        <v>195</v>
      </c>
      <c r="S120" s="15" t="s">
        <v>1677</v>
      </c>
      <c r="T120" s="5" t="n">
        <v>272</v>
      </c>
      <c r="U120" s="5" t="s">
        <v>1678</v>
      </c>
      <c r="V120" s="5" t="s">
        <v>47</v>
      </c>
      <c r="W120" s="5"/>
      <c r="X120" s="15" t="s">
        <v>1677</v>
      </c>
      <c r="Y120" s="5"/>
    </row>
    <row r="121" customFormat="false" ht="15" hidden="false" customHeight="false" outlineLevel="0" collapsed="false">
      <c r="A121" s="5" t="s">
        <v>2725</v>
      </c>
      <c r="B121" s="5" t="s">
        <v>191</v>
      </c>
      <c r="C121" s="5" t="s">
        <v>192</v>
      </c>
      <c r="D121" s="6" t="s">
        <v>45</v>
      </c>
      <c r="E121" s="5" t="n">
        <v>6</v>
      </c>
      <c r="F121" s="5" t="s">
        <v>2726</v>
      </c>
      <c r="G121" s="13" t="s">
        <v>2727</v>
      </c>
      <c r="H121" s="5" t="s">
        <v>2728</v>
      </c>
      <c r="I121" s="13" t="s">
        <v>2729</v>
      </c>
      <c r="J121" s="5" t="s">
        <v>2730</v>
      </c>
      <c r="K121" s="5" t="s">
        <v>2731</v>
      </c>
      <c r="L121" s="13" t="s">
        <v>2732</v>
      </c>
      <c r="M121" s="13" t="s">
        <v>2733</v>
      </c>
      <c r="N121" s="5" t="n">
        <f aca="false">LEN(L121)</f>
        <v>25</v>
      </c>
      <c r="O121" s="5" t="n">
        <f aca="false">LEN(M121)</f>
        <v>25</v>
      </c>
      <c r="P121" s="14" t="n">
        <f aca="false">IF(N121=0,"",(N121-LEN(SUBSTITUTE(SUBSTITUTE(L121,"G",""),"C","")))/N121)</f>
        <v>0.52</v>
      </c>
      <c r="Q121" s="14" t="n">
        <f aca="false">IF(O121=0,"",(O121-LEN(SUBSTITUTE(SUBSTITUTE(M121,"G",""),"C","")))/O121)</f>
        <v>0.4</v>
      </c>
      <c r="R121" s="5" t="s">
        <v>195</v>
      </c>
      <c r="S121" s="15" t="s">
        <v>1677</v>
      </c>
      <c r="T121" s="5" t="n">
        <v>338</v>
      </c>
      <c r="U121" s="5" t="s">
        <v>1678</v>
      </c>
      <c r="V121" s="5" t="s">
        <v>47</v>
      </c>
      <c r="W121" s="5"/>
      <c r="X121" s="8" t="s">
        <v>1914</v>
      </c>
      <c r="Y121" s="5"/>
    </row>
    <row r="122" customFormat="false" ht="15" hidden="false" customHeight="false" outlineLevel="0" collapsed="false">
      <c r="A122" s="5" t="s">
        <v>2734</v>
      </c>
      <c r="B122" s="5" t="s">
        <v>191</v>
      </c>
      <c r="C122" s="5" t="s">
        <v>192</v>
      </c>
      <c r="D122" s="6" t="s">
        <v>45</v>
      </c>
      <c r="E122" s="5" t="n">
        <v>7</v>
      </c>
      <c r="F122" s="5" t="s">
        <v>2735</v>
      </c>
      <c r="G122" s="13" t="s">
        <v>2736</v>
      </c>
      <c r="H122" s="5" t="s">
        <v>2737</v>
      </c>
      <c r="I122" s="13" t="s">
        <v>2738</v>
      </c>
      <c r="J122" s="5" t="s">
        <v>2739</v>
      </c>
      <c r="K122" s="5" t="s">
        <v>2740</v>
      </c>
      <c r="L122" s="13" t="s">
        <v>2741</v>
      </c>
      <c r="M122" s="13" t="s">
        <v>2742</v>
      </c>
      <c r="N122" s="5" t="n">
        <f aca="false">LEN(L122)</f>
        <v>25</v>
      </c>
      <c r="O122" s="5" t="n">
        <f aca="false">LEN(M122)</f>
        <v>25</v>
      </c>
      <c r="P122" s="14" t="n">
        <f aca="false">IF(N122=0,"",(N122-LEN(SUBSTITUTE(SUBSTITUTE(L122,"G",""),"C","")))/N122)</f>
        <v>0.24</v>
      </c>
      <c r="Q122" s="14" t="n">
        <f aca="false">IF(O122=0,"",(O122-LEN(SUBSTITUTE(SUBSTITUTE(M122,"G",""),"C","")))/O122)</f>
        <v>0.6</v>
      </c>
      <c r="R122" s="5" t="s">
        <v>195</v>
      </c>
      <c r="S122" s="15" t="s">
        <v>1677</v>
      </c>
      <c r="T122" s="5" t="n">
        <v>406</v>
      </c>
      <c r="U122" s="5" t="s">
        <v>1678</v>
      </c>
      <c r="V122" s="5" t="s">
        <v>47</v>
      </c>
      <c r="W122" s="5"/>
      <c r="X122" s="8" t="s">
        <v>1914</v>
      </c>
      <c r="Y122" s="5"/>
    </row>
    <row r="123" customFormat="false" ht="15" hidden="false" customHeight="false" outlineLevel="0" collapsed="false">
      <c r="A123" s="5" t="s">
        <v>2743</v>
      </c>
      <c r="B123" s="5" t="s">
        <v>191</v>
      </c>
      <c r="C123" s="5" t="s">
        <v>192</v>
      </c>
      <c r="D123" s="6" t="s">
        <v>45</v>
      </c>
      <c r="E123" s="5" t="n">
        <v>8</v>
      </c>
      <c r="F123" s="5" t="s">
        <v>2744</v>
      </c>
      <c r="G123" s="13" t="s">
        <v>2745</v>
      </c>
      <c r="H123" s="5" t="s">
        <v>2746</v>
      </c>
      <c r="I123" s="13" t="s">
        <v>2747</v>
      </c>
      <c r="J123" s="5" t="s">
        <v>2748</v>
      </c>
      <c r="K123" s="5" t="s">
        <v>2749</v>
      </c>
      <c r="L123" s="13" t="s">
        <v>2750</v>
      </c>
      <c r="M123" s="13" t="s">
        <v>2751</v>
      </c>
      <c r="N123" s="5" t="n">
        <f aca="false">LEN(L123)</f>
        <v>25</v>
      </c>
      <c r="O123" s="5" t="n">
        <f aca="false">LEN(M123)</f>
        <v>25</v>
      </c>
      <c r="P123" s="14" t="n">
        <f aca="false">IF(N123=0,"",(N123-LEN(SUBSTITUTE(SUBSTITUTE(L123,"G",""),"C","")))/N123)</f>
        <v>0.44</v>
      </c>
      <c r="Q123" s="14" t="n">
        <f aca="false">IF(O123=0,"",(O123-LEN(SUBSTITUTE(SUBSTITUTE(M123,"G",""),"C","")))/O123)</f>
        <v>0.4</v>
      </c>
      <c r="R123" s="5" t="s">
        <v>195</v>
      </c>
      <c r="S123" s="15" t="s">
        <v>1677</v>
      </c>
      <c r="T123" s="5" t="n">
        <v>472</v>
      </c>
      <c r="U123" s="5" t="s">
        <v>1678</v>
      </c>
      <c r="V123" s="5" t="s">
        <v>47</v>
      </c>
      <c r="W123" s="5"/>
      <c r="X123" s="15" t="s">
        <v>1677</v>
      </c>
      <c r="Y123" s="5"/>
    </row>
    <row r="124" customFormat="false" ht="15" hidden="false" customHeight="false" outlineLevel="0" collapsed="false">
      <c r="A124" s="5" t="s">
        <v>2752</v>
      </c>
      <c r="B124" s="5" t="s">
        <v>191</v>
      </c>
      <c r="C124" s="5" t="s">
        <v>192</v>
      </c>
      <c r="D124" s="6" t="s">
        <v>45</v>
      </c>
      <c r="E124" s="5" t="n">
        <v>9</v>
      </c>
      <c r="F124" s="5" t="s">
        <v>2753</v>
      </c>
      <c r="G124" s="13" t="s">
        <v>2754</v>
      </c>
      <c r="H124" s="5" t="s">
        <v>2755</v>
      </c>
      <c r="I124" s="13" t="s">
        <v>2756</v>
      </c>
      <c r="J124" s="5" t="s">
        <v>2757</v>
      </c>
      <c r="K124" s="5" t="s">
        <v>2758</v>
      </c>
      <c r="L124" s="13" t="s">
        <v>2759</v>
      </c>
      <c r="M124" s="13" t="s">
        <v>2760</v>
      </c>
      <c r="N124" s="5" t="n">
        <f aca="false">LEN(L124)</f>
        <v>25</v>
      </c>
      <c r="O124" s="5" t="n">
        <f aca="false">LEN(M124)</f>
        <v>25</v>
      </c>
      <c r="P124" s="14" t="n">
        <f aca="false">IF(N124=0,"",(N124-LEN(SUBSTITUTE(SUBSTITUTE(L124,"G",""),"C","")))/N124)</f>
        <v>0.4</v>
      </c>
      <c r="Q124" s="14" t="n">
        <f aca="false">IF(O124=0,"",(O124-LEN(SUBSTITUTE(SUBSTITUTE(M124,"G",""),"C","")))/O124)</f>
        <v>0.6</v>
      </c>
      <c r="R124" s="5" t="s">
        <v>195</v>
      </c>
      <c r="S124" s="15" t="s">
        <v>1677</v>
      </c>
      <c r="T124" s="5" t="n">
        <v>539</v>
      </c>
      <c r="U124" s="5" t="s">
        <v>1678</v>
      </c>
      <c r="V124" s="5" t="s">
        <v>47</v>
      </c>
      <c r="W124" s="5"/>
      <c r="X124" s="15" t="s">
        <v>1677</v>
      </c>
      <c r="Y124" s="5"/>
    </row>
    <row r="125" customFormat="false" ht="15" hidden="false" customHeight="false" outlineLevel="0" collapsed="false">
      <c r="A125" s="5" t="s">
        <v>2761</v>
      </c>
      <c r="B125" s="5" t="s">
        <v>199</v>
      </c>
      <c r="C125" s="5" t="s">
        <v>200</v>
      </c>
      <c r="D125" s="6" t="s">
        <v>45</v>
      </c>
      <c r="E125" s="5" t="n">
        <v>1</v>
      </c>
      <c r="F125" s="5" t="s">
        <v>2762</v>
      </c>
      <c r="G125" s="13" t="s">
        <v>2763</v>
      </c>
      <c r="H125" s="5" t="s">
        <v>2764</v>
      </c>
      <c r="I125" s="13" t="s">
        <v>2765</v>
      </c>
      <c r="J125" s="5" t="s">
        <v>2766</v>
      </c>
      <c r="K125" s="5" t="s">
        <v>2767</v>
      </c>
      <c r="L125" s="13" t="s">
        <v>2768</v>
      </c>
      <c r="M125" s="13" t="s">
        <v>2769</v>
      </c>
      <c r="N125" s="5" t="n">
        <f aca="false">LEN(L125)</f>
        <v>25</v>
      </c>
      <c r="O125" s="5" t="n">
        <f aca="false">LEN(M125)</f>
        <v>25</v>
      </c>
      <c r="P125" s="14" t="n">
        <f aca="false">IF(N125=0,"",(N125-LEN(SUBSTITUTE(SUBSTITUTE(L125,"G",""),"C","")))/N125)</f>
        <v>0.72</v>
      </c>
      <c r="Q125" s="14" t="n">
        <f aca="false">IF(O125=0,"",(O125-LEN(SUBSTITUTE(SUBSTITUTE(M125,"G",""),"C","")))/O125)</f>
        <v>0.8</v>
      </c>
      <c r="R125" s="5" t="s">
        <v>204</v>
      </c>
      <c r="S125" s="15" t="s">
        <v>1677</v>
      </c>
      <c r="T125" s="5" t="n">
        <v>6</v>
      </c>
      <c r="U125" s="5" t="s">
        <v>1678</v>
      </c>
      <c r="V125" s="5" t="s">
        <v>47</v>
      </c>
      <c r="W125" s="5"/>
      <c r="X125" s="15" t="s">
        <v>1677</v>
      </c>
      <c r="Y125" s="5"/>
    </row>
    <row r="126" customFormat="false" ht="15" hidden="false" customHeight="false" outlineLevel="0" collapsed="false">
      <c r="A126" s="5" t="s">
        <v>2770</v>
      </c>
      <c r="B126" s="5" t="s">
        <v>199</v>
      </c>
      <c r="C126" s="5" t="s">
        <v>200</v>
      </c>
      <c r="D126" s="6" t="s">
        <v>45</v>
      </c>
      <c r="E126" s="5" t="n">
        <v>2</v>
      </c>
      <c r="F126" s="5" t="s">
        <v>2771</v>
      </c>
      <c r="G126" s="13" t="s">
        <v>2772</v>
      </c>
      <c r="H126" s="5" t="s">
        <v>2773</v>
      </c>
      <c r="I126" s="13" t="s">
        <v>2774</v>
      </c>
      <c r="J126" s="5" t="s">
        <v>2775</v>
      </c>
      <c r="K126" s="5" t="s">
        <v>2776</v>
      </c>
      <c r="L126" s="13" t="s">
        <v>2777</v>
      </c>
      <c r="M126" s="13" t="s">
        <v>2778</v>
      </c>
      <c r="N126" s="5" t="n">
        <f aca="false">LEN(L126)</f>
        <v>25</v>
      </c>
      <c r="O126" s="5" t="n">
        <f aca="false">LEN(M126)</f>
        <v>25</v>
      </c>
      <c r="P126" s="14" t="n">
        <f aca="false">IF(N126=0,"",(N126-LEN(SUBSTITUTE(SUBSTITUTE(L126,"G",""),"C","")))/N126)</f>
        <v>0.64</v>
      </c>
      <c r="Q126" s="14" t="n">
        <f aca="false">IF(O126=0,"",(O126-LEN(SUBSTITUTE(SUBSTITUTE(M126,"G",""),"C","")))/O126)</f>
        <v>0.52</v>
      </c>
      <c r="R126" s="5" t="s">
        <v>204</v>
      </c>
      <c r="S126" s="15" t="s">
        <v>1677</v>
      </c>
      <c r="T126" s="5" t="n">
        <v>76</v>
      </c>
      <c r="U126" s="5" t="s">
        <v>1678</v>
      </c>
      <c r="V126" s="5" t="s">
        <v>47</v>
      </c>
      <c r="W126" s="5"/>
      <c r="X126" s="15" t="s">
        <v>1677</v>
      </c>
      <c r="Y126" s="5"/>
    </row>
    <row r="127" customFormat="false" ht="15" hidden="false" customHeight="false" outlineLevel="0" collapsed="false">
      <c r="A127" s="5" t="s">
        <v>2779</v>
      </c>
      <c r="B127" s="5" t="s">
        <v>199</v>
      </c>
      <c r="C127" s="5" t="s">
        <v>200</v>
      </c>
      <c r="D127" s="6" t="s">
        <v>45</v>
      </c>
      <c r="E127" s="5" t="n">
        <v>3</v>
      </c>
      <c r="F127" s="5" t="s">
        <v>2780</v>
      </c>
      <c r="G127" s="13" t="s">
        <v>2781</v>
      </c>
      <c r="H127" s="5" t="s">
        <v>2782</v>
      </c>
      <c r="I127" s="13" t="s">
        <v>2783</v>
      </c>
      <c r="J127" s="5" t="s">
        <v>2784</v>
      </c>
      <c r="K127" s="5" t="s">
        <v>2785</v>
      </c>
      <c r="L127" s="13" t="s">
        <v>2786</v>
      </c>
      <c r="M127" s="13" t="s">
        <v>2787</v>
      </c>
      <c r="N127" s="5" t="n">
        <f aca="false">LEN(L127)</f>
        <v>25</v>
      </c>
      <c r="O127" s="5" t="n">
        <f aca="false">LEN(M127)</f>
        <v>25</v>
      </c>
      <c r="P127" s="14" t="n">
        <f aca="false">IF(N127=0,"",(N127-LEN(SUBSTITUTE(SUBSTITUTE(L127,"G",""),"C","")))/N127)</f>
        <v>0.52</v>
      </c>
      <c r="Q127" s="14" t="n">
        <f aca="false">IF(O127=0,"",(O127-LEN(SUBSTITUTE(SUBSTITUTE(M127,"G",""),"C","")))/O127)</f>
        <v>0.56</v>
      </c>
      <c r="R127" s="5" t="s">
        <v>204</v>
      </c>
      <c r="S127" s="15" t="s">
        <v>1677</v>
      </c>
      <c r="T127" s="5" t="n">
        <v>146</v>
      </c>
      <c r="U127" s="5" t="s">
        <v>1678</v>
      </c>
      <c r="V127" s="5" t="s">
        <v>47</v>
      </c>
      <c r="W127" s="5"/>
      <c r="X127" s="15" t="s">
        <v>1677</v>
      </c>
      <c r="Y127" s="5"/>
    </row>
    <row r="128" customFormat="false" ht="15" hidden="false" customHeight="false" outlineLevel="0" collapsed="false">
      <c r="A128" s="5" t="s">
        <v>2788</v>
      </c>
      <c r="B128" s="5" t="s">
        <v>199</v>
      </c>
      <c r="C128" s="5" t="s">
        <v>200</v>
      </c>
      <c r="D128" s="6" t="s">
        <v>45</v>
      </c>
      <c r="E128" s="5" t="n">
        <v>4</v>
      </c>
      <c r="F128" s="5" t="s">
        <v>2789</v>
      </c>
      <c r="G128" s="13" t="s">
        <v>2790</v>
      </c>
      <c r="H128" s="5" t="s">
        <v>2791</v>
      </c>
      <c r="I128" s="13" t="s">
        <v>2792</v>
      </c>
      <c r="J128" s="5" t="s">
        <v>2793</v>
      </c>
      <c r="K128" s="5" t="s">
        <v>2794</v>
      </c>
      <c r="L128" s="13" t="s">
        <v>2795</v>
      </c>
      <c r="M128" s="13" t="s">
        <v>2796</v>
      </c>
      <c r="N128" s="5" t="n">
        <f aca="false">LEN(L128)</f>
        <v>25</v>
      </c>
      <c r="O128" s="5" t="n">
        <f aca="false">LEN(M128)</f>
        <v>25</v>
      </c>
      <c r="P128" s="14" t="n">
        <f aca="false">IF(N128=0,"",(N128-LEN(SUBSTITUTE(SUBSTITUTE(L128,"G",""),"C","")))/N128)</f>
        <v>0.44</v>
      </c>
      <c r="Q128" s="14" t="n">
        <f aca="false">IF(O128=0,"",(O128-LEN(SUBSTITUTE(SUBSTITUTE(M128,"G",""),"C","")))/O128)</f>
        <v>0.6</v>
      </c>
      <c r="R128" s="5" t="s">
        <v>204</v>
      </c>
      <c r="S128" s="15" t="s">
        <v>1677</v>
      </c>
      <c r="T128" s="5" t="n">
        <v>216</v>
      </c>
      <c r="U128" s="5" t="s">
        <v>1678</v>
      </c>
      <c r="V128" s="5" t="s">
        <v>47</v>
      </c>
      <c r="W128" s="5"/>
      <c r="X128" s="15" t="s">
        <v>1677</v>
      </c>
      <c r="Y128" s="5"/>
    </row>
    <row r="129" customFormat="false" ht="15" hidden="false" customHeight="false" outlineLevel="0" collapsed="false">
      <c r="A129" s="5" t="s">
        <v>2797</v>
      </c>
      <c r="B129" s="5" t="s">
        <v>199</v>
      </c>
      <c r="C129" s="5" t="s">
        <v>200</v>
      </c>
      <c r="D129" s="6" t="s">
        <v>45</v>
      </c>
      <c r="E129" s="5" t="n">
        <v>5</v>
      </c>
      <c r="F129" s="5" t="s">
        <v>2798</v>
      </c>
      <c r="G129" s="13" t="s">
        <v>2799</v>
      </c>
      <c r="H129" s="5" t="s">
        <v>2800</v>
      </c>
      <c r="I129" s="13" t="s">
        <v>2801</v>
      </c>
      <c r="J129" s="5" t="s">
        <v>2802</v>
      </c>
      <c r="K129" s="5" t="s">
        <v>2803</v>
      </c>
      <c r="L129" s="13" t="s">
        <v>2804</v>
      </c>
      <c r="M129" s="13" t="s">
        <v>2805</v>
      </c>
      <c r="N129" s="5" t="n">
        <f aca="false">LEN(L129)</f>
        <v>25</v>
      </c>
      <c r="O129" s="5" t="n">
        <f aca="false">LEN(M129)</f>
        <v>25</v>
      </c>
      <c r="P129" s="14" t="n">
        <f aca="false">IF(N129=0,"",(N129-LEN(SUBSTITUTE(SUBSTITUTE(L129,"G",""),"C","")))/N129)</f>
        <v>0.44</v>
      </c>
      <c r="Q129" s="14" t="n">
        <f aca="false">IF(O129=0,"",(O129-LEN(SUBSTITUTE(SUBSTITUTE(M129,"G",""),"C","")))/O129)</f>
        <v>0.52</v>
      </c>
      <c r="R129" s="5" t="s">
        <v>204</v>
      </c>
      <c r="S129" s="15" t="s">
        <v>1677</v>
      </c>
      <c r="T129" s="5" t="n">
        <v>286</v>
      </c>
      <c r="U129" s="5" t="s">
        <v>1678</v>
      </c>
      <c r="V129" s="5" t="s">
        <v>47</v>
      </c>
      <c r="W129" s="5"/>
      <c r="X129" s="15" t="s">
        <v>1677</v>
      </c>
      <c r="Y129" s="5"/>
    </row>
    <row r="130" customFormat="false" ht="15" hidden="false" customHeight="false" outlineLevel="0" collapsed="false">
      <c r="A130" s="5" t="s">
        <v>2806</v>
      </c>
      <c r="B130" s="5" t="s">
        <v>199</v>
      </c>
      <c r="C130" s="5" t="s">
        <v>200</v>
      </c>
      <c r="D130" s="6" t="s">
        <v>45</v>
      </c>
      <c r="E130" s="5" t="n">
        <v>6</v>
      </c>
      <c r="F130" s="5" t="s">
        <v>2807</v>
      </c>
      <c r="G130" s="13" t="s">
        <v>2808</v>
      </c>
      <c r="H130" s="5" t="s">
        <v>2809</v>
      </c>
      <c r="I130" s="13" t="s">
        <v>2810</v>
      </c>
      <c r="J130" s="5" t="s">
        <v>2811</v>
      </c>
      <c r="K130" s="5" t="s">
        <v>2812</v>
      </c>
      <c r="L130" s="13" t="s">
        <v>2813</v>
      </c>
      <c r="M130" s="13" t="s">
        <v>2814</v>
      </c>
      <c r="N130" s="5" t="n">
        <f aca="false">LEN(L130)</f>
        <v>25</v>
      </c>
      <c r="O130" s="5" t="n">
        <f aca="false">LEN(M130)</f>
        <v>25</v>
      </c>
      <c r="P130" s="14" t="n">
        <f aca="false">IF(N130=0,"",(N130-LEN(SUBSTITUTE(SUBSTITUTE(L130,"G",""),"C","")))/N130)</f>
        <v>0.52</v>
      </c>
      <c r="Q130" s="14" t="n">
        <f aca="false">IF(O130=0,"",(O130-LEN(SUBSTITUTE(SUBSTITUTE(M130,"G",""),"C","")))/O130)</f>
        <v>0.56</v>
      </c>
      <c r="R130" s="5" t="s">
        <v>204</v>
      </c>
      <c r="S130" s="15" t="s">
        <v>1677</v>
      </c>
      <c r="T130" s="5" t="n">
        <v>356</v>
      </c>
      <c r="U130" s="5" t="s">
        <v>1678</v>
      </c>
      <c r="V130" s="5" t="s">
        <v>47</v>
      </c>
      <c r="W130" s="5"/>
      <c r="X130" s="15" t="s">
        <v>1677</v>
      </c>
      <c r="Y130" s="5"/>
    </row>
    <row r="131" customFormat="false" ht="15" hidden="false" customHeight="false" outlineLevel="0" collapsed="false">
      <c r="A131" s="5" t="s">
        <v>2815</v>
      </c>
      <c r="B131" s="5" t="s">
        <v>206</v>
      </c>
      <c r="C131" s="5" t="s">
        <v>207</v>
      </c>
      <c r="D131" s="6" t="s">
        <v>45</v>
      </c>
      <c r="E131" s="5" t="n">
        <v>1</v>
      </c>
      <c r="F131" s="5" t="s">
        <v>2816</v>
      </c>
      <c r="G131" s="13" t="s">
        <v>2817</v>
      </c>
      <c r="H131" s="5" t="s">
        <v>2818</v>
      </c>
      <c r="I131" s="13" t="s">
        <v>2819</v>
      </c>
      <c r="J131" s="5" t="s">
        <v>2820</v>
      </c>
      <c r="K131" s="5" t="s">
        <v>2821</v>
      </c>
      <c r="L131" s="13" t="s">
        <v>2822</v>
      </c>
      <c r="M131" s="13" t="s">
        <v>2823</v>
      </c>
      <c r="N131" s="5" t="n">
        <f aca="false">LEN(L131)</f>
        <v>25</v>
      </c>
      <c r="O131" s="5" t="n">
        <f aca="false">LEN(M131)</f>
        <v>25</v>
      </c>
      <c r="P131" s="14" t="n">
        <f aca="false">IF(N131=0,"",(N131-LEN(SUBSTITUTE(SUBSTITUTE(L131,"G",""),"C","")))/N131)</f>
        <v>0.32</v>
      </c>
      <c r="Q131" s="14" t="n">
        <f aca="false">IF(O131=0,"",(O131-LEN(SUBSTITUTE(SUBSTITUTE(M131,"G",""),"C","")))/O131)</f>
        <v>0.32</v>
      </c>
      <c r="R131" s="5" t="s">
        <v>210</v>
      </c>
      <c r="S131" s="15" t="s">
        <v>1677</v>
      </c>
      <c r="T131" s="5" t="n">
        <v>10</v>
      </c>
      <c r="U131" s="5" t="s">
        <v>1678</v>
      </c>
      <c r="V131" s="5" t="s">
        <v>47</v>
      </c>
      <c r="W131" s="5"/>
      <c r="X131" s="8" t="s">
        <v>1914</v>
      </c>
      <c r="Y131" s="5"/>
    </row>
    <row r="132" customFormat="false" ht="15" hidden="false" customHeight="false" outlineLevel="0" collapsed="false">
      <c r="A132" s="5" t="s">
        <v>2824</v>
      </c>
      <c r="B132" s="5" t="s">
        <v>206</v>
      </c>
      <c r="C132" s="5" t="s">
        <v>207</v>
      </c>
      <c r="D132" s="6" t="s">
        <v>45</v>
      </c>
      <c r="E132" s="5" t="n">
        <v>2</v>
      </c>
      <c r="F132" s="5" t="s">
        <v>2825</v>
      </c>
      <c r="G132" s="13" t="s">
        <v>2826</v>
      </c>
      <c r="H132" s="5" t="s">
        <v>2827</v>
      </c>
      <c r="I132" s="13" t="s">
        <v>2828</v>
      </c>
      <c r="J132" s="5" t="s">
        <v>2829</v>
      </c>
      <c r="K132" s="5" t="s">
        <v>2830</v>
      </c>
      <c r="L132" s="13" t="s">
        <v>2831</v>
      </c>
      <c r="M132" s="13" t="s">
        <v>2832</v>
      </c>
      <c r="N132" s="5" t="n">
        <f aca="false">LEN(L132)</f>
        <v>25</v>
      </c>
      <c r="O132" s="5" t="n">
        <f aca="false">LEN(M132)</f>
        <v>25</v>
      </c>
      <c r="P132" s="14" t="n">
        <f aca="false">IF(N132=0,"",(N132-LEN(SUBSTITUTE(SUBSTITUTE(L132,"G",""),"C","")))/N132)</f>
        <v>0.56</v>
      </c>
      <c r="Q132" s="14" t="n">
        <f aca="false">IF(O132=0,"",(O132-LEN(SUBSTITUTE(SUBSTITUTE(M132,"G",""),"C","")))/O132)</f>
        <v>0.32</v>
      </c>
      <c r="R132" s="5" t="s">
        <v>210</v>
      </c>
      <c r="S132" s="15" t="s">
        <v>1677</v>
      </c>
      <c r="T132" s="5" t="n">
        <v>75</v>
      </c>
      <c r="U132" s="5" t="s">
        <v>1678</v>
      </c>
      <c r="V132" s="5" t="s">
        <v>47</v>
      </c>
      <c r="W132" s="5"/>
      <c r="X132" s="15" t="s">
        <v>1677</v>
      </c>
      <c r="Y132" s="5"/>
    </row>
    <row r="133" customFormat="false" ht="15" hidden="false" customHeight="false" outlineLevel="0" collapsed="false">
      <c r="A133" s="5" t="s">
        <v>2833</v>
      </c>
      <c r="B133" s="5" t="s">
        <v>206</v>
      </c>
      <c r="C133" s="5" t="s">
        <v>207</v>
      </c>
      <c r="D133" s="6" t="s">
        <v>45</v>
      </c>
      <c r="E133" s="5" t="n">
        <v>3</v>
      </c>
      <c r="F133" s="5" t="s">
        <v>2834</v>
      </c>
      <c r="G133" s="13" t="s">
        <v>2835</v>
      </c>
      <c r="H133" s="5" t="s">
        <v>2836</v>
      </c>
      <c r="I133" s="13" t="s">
        <v>2837</v>
      </c>
      <c r="J133" s="5" t="s">
        <v>2838</v>
      </c>
      <c r="K133" s="5" t="s">
        <v>2839</v>
      </c>
      <c r="L133" s="13" t="s">
        <v>2840</v>
      </c>
      <c r="M133" s="13" t="s">
        <v>2841</v>
      </c>
      <c r="N133" s="5" t="n">
        <f aca="false">LEN(L133)</f>
        <v>25</v>
      </c>
      <c r="O133" s="5" t="n">
        <f aca="false">LEN(M133)</f>
        <v>25</v>
      </c>
      <c r="P133" s="14" t="n">
        <f aca="false">IF(N133=0,"",(N133-LEN(SUBSTITUTE(SUBSTITUTE(L133,"G",""),"C","")))/N133)</f>
        <v>0.4</v>
      </c>
      <c r="Q133" s="14" t="n">
        <f aca="false">IF(O133=0,"",(O133-LEN(SUBSTITUTE(SUBSTITUTE(M133,"G",""),"C","")))/O133)</f>
        <v>0.28</v>
      </c>
      <c r="R133" s="5" t="s">
        <v>210</v>
      </c>
      <c r="S133" s="15" t="s">
        <v>1677</v>
      </c>
      <c r="T133" s="5" t="n">
        <v>141</v>
      </c>
      <c r="U133" s="5" t="s">
        <v>1678</v>
      </c>
      <c r="V133" s="5" t="s">
        <v>47</v>
      </c>
      <c r="W133" s="5"/>
      <c r="X133" s="15" t="s">
        <v>1677</v>
      </c>
      <c r="Y133" s="5"/>
    </row>
    <row r="134" customFormat="false" ht="15" hidden="false" customHeight="false" outlineLevel="0" collapsed="false">
      <c r="A134" s="5" t="s">
        <v>2842</v>
      </c>
      <c r="B134" s="5" t="s">
        <v>206</v>
      </c>
      <c r="C134" s="5" t="s">
        <v>207</v>
      </c>
      <c r="D134" s="6" t="s">
        <v>45</v>
      </c>
      <c r="E134" s="5" t="n">
        <v>4</v>
      </c>
      <c r="F134" s="5" t="s">
        <v>2843</v>
      </c>
      <c r="G134" s="13" t="s">
        <v>2844</v>
      </c>
      <c r="H134" s="5" t="s">
        <v>2845</v>
      </c>
      <c r="I134" s="13" t="s">
        <v>2846</v>
      </c>
      <c r="J134" s="5" t="s">
        <v>2847</v>
      </c>
      <c r="K134" s="5" t="s">
        <v>2848</v>
      </c>
      <c r="L134" s="13" t="s">
        <v>2849</v>
      </c>
      <c r="M134" s="13" t="s">
        <v>2850</v>
      </c>
      <c r="N134" s="5" t="n">
        <f aca="false">LEN(L134)</f>
        <v>25</v>
      </c>
      <c r="O134" s="5" t="n">
        <f aca="false">LEN(M134)</f>
        <v>25</v>
      </c>
      <c r="P134" s="14" t="n">
        <f aca="false">IF(N134=0,"",(N134-LEN(SUBSTITUTE(SUBSTITUTE(L134,"G",""),"C","")))/N134)</f>
        <v>0.32</v>
      </c>
      <c r="Q134" s="14" t="n">
        <f aca="false">IF(O134=0,"",(O134-LEN(SUBSTITUTE(SUBSTITUTE(M134,"G",""),"C","")))/O134)</f>
        <v>0.56</v>
      </c>
      <c r="R134" s="5" t="s">
        <v>210</v>
      </c>
      <c r="S134" s="15" t="s">
        <v>1677</v>
      </c>
      <c r="T134" s="5" t="n">
        <v>207</v>
      </c>
      <c r="U134" s="5" t="s">
        <v>1678</v>
      </c>
      <c r="V134" s="5" t="s">
        <v>47</v>
      </c>
      <c r="W134" s="5"/>
      <c r="X134" s="8" t="s">
        <v>1769</v>
      </c>
      <c r="Y134" s="5"/>
    </row>
    <row r="135" customFormat="false" ht="15" hidden="false" customHeight="false" outlineLevel="0" collapsed="false">
      <c r="A135" s="5" t="s">
        <v>2851</v>
      </c>
      <c r="B135" s="5" t="s">
        <v>206</v>
      </c>
      <c r="C135" s="5" t="s">
        <v>207</v>
      </c>
      <c r="D135" s="6" t="s">
        <v>45</v>
      </c>
      <c r="E135" s="5" t="n">
        <v>5</v>
      </c>
      <c r="F135" s="5" t="s">
        <v>2852</v>
      </c>
      <c r="G135" s="13" t="s">
        <v>2853</v>
      </c>
      <c r="H135" s="5" t="s">
        <v>2854</v>
      </c>
      <c r="I135" s="13" t="s">
        <v>2855</v>
      </c>
      <c r="J135" s="5" t="s">
        <v>2856</v>
      </c>
      <c r="K135" s="5" t="s">
        <v>2857</v>
      </c>
      <c r="L135" s="13" t="s">
        <v>2858</v>
      </c>
      <c r="M135" s="13" t="s">
        <v>2859</v>
      </c>
      <c r="N135" s="5" t="n">
        <f aca="false">LEN(L135)</f>
        <v>25</v>
      </c>
      <c r="O135" s="5" t="n">
        <f aca="false">LEN(M135)</f>
        <v>25</v>
      </c>
      <c r="P135" s="14" t="n">
        <f aca="false">IF(N135=0,"",(N135-LEN(SUBSTITUTE(SUBSTITUTE(L135,"G",""),"C","")))/N135)</f>
        <v>0.56</v>
      </c>
      <c r="Q135" s="14" t="n">
        <f aca="false">IF(O135=0,"",(O135-LEN(SUBSTITUTE(SUBSTITUTE(M135,"G",""),"C","")))/O135)</f>
        <v>0.52</v>
      </c>
      <c r="R135" s="5" t="s">
        <v>210</v>
      </c>
      <c r="S135" s="15" t="s">
        <v>1677</v>
      </c>
      <c r="T135" s="5" t="n">
        <v>273</v>
      </c>
      <c r="U135" s="5" t="s">
        <v>1678</v>
      </c>
      <c r="V135" s="5" t="s">
        <v>47</v>
      </c>
      <c r="W135" s="5"/>
      <c r="X135" s="15" t="s">
        <v>1677</v>
      </c>
      <c r="Y135" s="5"/>
    </row>
    <row r="136" customFormat="false" ht="15" hidden="false" customHeight="false" outlineLevel="0" collapsed="false">
      <c r="A136" s="5" t="s">
        <v>2860</v>
      </c>
      <c r="B136" s="5" t="s">
        <v>206</v>
      </c>
      <c r="C136" s="5" t="s">
        <v>207</v>
      </c>
      <c r="D136" s="6" t="s">
        <v>45</v>
      </c>
      <c r="E136" s="5" t="n">
        <v>6</v>
      </c>
      <c r="F136" s="5" t="s">
        <v>2861</v>
      </c>
      <c r="G136" s="13" t="s">
        <v>2862</v>
      </c>
      <c r="H136" s="5" t="s">
        <v>2863</v>
      </c>
      <c r="I136" s="13" t="s">
        <v>2864</v>
      </c>
      <c r="J136" s="5" t="s">
        <v>2865</v>
      </c>
      <c r="K136" s="5" t="s">
        <v>2866</v>
      </c>
      <c r="L136" s="13" t="s">
        <v>2867</v>
      </c>
      <c r="M136" s="13" t="s">
        <v>2868</v>
      </c>
      <c r="N136" s="5" t="n">
        <f aca="false">LEN(L136)</f>
        <v>25</v>
      </c>
      <c r="O136" s="5" t="n">
        <f aca="false">LEN(M136)</f>
        <v>25</v>
      </c>
      <c r="P136" s="14" t="n">
        <f aca="false">IF(N136=0,"",(N136-LEN(SUBSTITUTE(SUBSTITUTE(L136,"G",""),"C","")))/N136)</f>
        <v>0.48</v>
      </c>
      <c r="Q136" s="14" t="n">
        <f aca="false">IF(O136=0,"",(O136-LEN(SUBSTITUTE(SUBSTITUTE(M136,"G",""),"C","")))/O136)</f>
        <v>0.36</v>
      </c>
      <c r="R136" s="5" t="s">
        <v>210</v>
      </c>
      <c r="S136" s="15" t="s">
        <v>1677</v>
      </c>
      <c r="T136" s="5" t="n">
        <v>406</v>
      </c>
      <c r="U136" s="5" t="s">
        <v>1678</v>
      </c>
      <c r="V136" s="5" t="s">
        <v>47</v>
      </c>
      <c r="W136" s="5"/>
      <c r="X136" s="8" t="s">
        <v>1769</v>
      </c>
      <c r="Y136" s="5"/>
    </row>
    <row r="137" customFormat="false" ht="15" hidden="false" customHeight="false" outlineLevel="0" collapsed="false">
      <c r="A137" s="5" t="s">
        <v>2869</v>
      </c>
      <c r="B137" s="5" t="s">
        <v>214</v>
      </c>
      <c r="C137" s="5" t="s">
        <v>215</v>
      </c>
      <c r="D137" s="6" t="s">
        <v>45</v>
      </c>
      <c r="E137" s="5" t="n">
        <v>1</v>
      </c>
      <c r="F137" s="5" t="s">
        <v>2870</v>
      </c>
      <c r="G137" s="13" t="s">
        <v>2871</v>
      </c>
      <c r="H137" s="5" t="s">
        <v>2872</v>
      </c>
      <c r="I137" s="13" t="s">
        <v>2873</v>
      </c>
      <c r="J137" s="5" t="s">
        <v>2874</v>
      </c>
      <c r="K137" s="5" t="s">
        <v>2875</v>
      </c>
      <c r="L137" s="13" t="s">
        <v>2876</v>
      </c>
      <c r="M137" s="13" t="s">
        <v>2877</v>
      </c>
      <c r="N137" s="5" t="n">
        <f aca="false">LEN(L137)</f>
        <v>25</v>
      </c>
      <c r="O137" s="5" t="n">
        <f aca="false">LEN(M137)</f>
        <v>25</v>
      </c>
      <c r="P137" s="14" t="n">
        <f aca="false">IF(N137=0,"",(N137-LEN(SUBSTITUTE(SUBSTITUTE(L137,"G",""),"C","")))/N137)</f>
        <v>0.48</v>
      </c>
      <c r="Q137" s="14" t="n">
        <f aca="false">IF(O137=0,"",(O137-LEN(SUBSTITUTE(SUBSTITUTE(M137,"G",""),"C","")))/O137)</f>
        <v>0.24</v>
      </c>
      <c r="R137" s="5" t="s">
        <v>219</v>
      </c>
      <c r="S137" s="15" t="s">
        <v>1677</v>
      </c>
      <c r="T137" s="5" t="n">
        <v>146</v>
      </c>
      <c r="U137" s="5" t="s">
        <v>1678</v>
      </c>
      <c r="V137" s="5" t="s">
        <v>47</v>
      </c>
      <c r="W137" s="5"/>
      <c r="X137" s="15" t="s">
        <v>1677</v>
      </c>
      <c r="Y137" s="5"/>
    </row>
    <row r="138" customFormat="false" ht="15" hidden="false" customHeight="false" outlineLevel="0" collapsed="false">
      <c r="A138" s="5" t="s">
        <v>2878</v>
      </c>
      <c r="B138" s="5" t="s">
        <v>214</v>
      </c>
      <c r="C138" s="5" t="s">
        <v>215</v>
      </c>
      <c r="D138" s="6" t="s">
        <v>45</v>
      </c>
      <c r="E138" s="5" t="n">
        <v>2</v>
      </c>
      <c r="F138" s="5" t="s">
        <v>2879</v>
      </c>
      <c r="G138" s="13" t="s">
        <v>2880</v>
      </c>
      <c r="H138" s="5" t="s">
        <v>2881</v>
      </c>
      <c r="I138" s="13" t="s">
        <v>2882</v>
      </c>
      <c r="J138" s="5" t="s">
        <v>2883</v>
      </c>
      <c r="K138" s="5" t="s">
        <v>2884</v>
      </c>
      <c r="L138" s="13" t="s">
        <v>2885</v>
      </c>
      <c r="M138" s="13" t="s">
        <v>2886</v>
      </c>
      <c r="N138" s="5" t="n">
        <f aca="false">LEN(L138)</f>
        <v>25</v>
      </c>
      <c r="O138" s="5" t="n">
        <f aca="false">LEN(M138)</f>
        <v>25</v>
      </c>
      <c r="P138" s="14" t="n">
        <f aca="false">IF(N138=0,"",(N138-LEN(SUBSTITUTE(SUBSTITUTE(L138,"G",""),"C","")))/N138)</f>
        <v>0.32</v>
      </c>
      <c r="Q138" s="14" t="n">
        <f aca="false">IF(O138=0,"",(O138-LEN(SUBSTITUTE(SUBSTITUTE(M138,"G",""),"C","")))/O138)</f>
        <v>0.28</v>
      </c>
      <c r="R138" s="5" t="s">
        <v>219</v>
      </c>
      <c r="S138" s="15" t="s">
        <v>1677</v>
      </c>
      <c r="T138" s="5" t="n">
        <v>216</v>
      </c>
      <c r="U138" s="5" t="s">
        <v>1678</v>
      </c>
      <c r="V138" s="5" t="s">
        <v>47</v>
      </c>
      <c r="W138" s="5"/>
      <c r="X138" s="15" t="s">
        <v>1677</v>
      </c>
      <c r="Y138" s="5"/>
    </row>
    <row r="139" customFormat="false" ht="15" hidden="false" customHeight="false" outlineLevel="0" collapsed="false">
      <c r="A139" s="5" t="s">
        <v>2887</v>
      </c>
      <c r="B139" s="5" t="s">
        <v>214</v>
      </c>
      <c r="C139" s="5" t="s">
        <v>215</v>
      </c>
      <c r="D139" s="6" t="s">
        <v>45</v>
      </c>
      <c r="E139" s="5" t="n">
        <v>3</v>
      </c>
      <c r="F139" s="5" t="s">
        <v>2888</v>
      </c>
      <c r="G139" s="13" t="s">
        <v>2889</v>
      </c>
      <c r="H139" s="5" t="s">
        <v>2890</v>
      </c>
      <c r="I139" s="13" t="s">
        <v>2891</v>
      </c>
      <c r="J139" s="5" t="s">
        <v>2892</v>
      </c>
      <c r="K139" s="5" t="s">
        <v>2893</v>
      </c>
      <c r="L139" s="13" t="s">
        <v>2894</v>
      </c>
      <c r="M139" s="13" t="s">
        <v>2895</v>
      </c>
      <c r="N139" s="5" t="n">
        <f aca="false">LEN(L139)</f>
        <v>25</v>
      </c>
      <c r="O139" s="5" t="n">
        <f aca="false">LEN(M139)</f>
        <v>25</v>
      </c>
      <c r="P139" s="14" t="n">
        <f aca="false">IF(N139=0,"",(N139-LEN(SUBSTITUTE(SUBSTITUTE(L139,"G",""),"C","")))/N139)</f>
        <v>0.36</v>
      </c>
      <c r="Q139" s="14" t="n">
        <f aca="false">IF(O139=0,"",(O139-LEN(SUBSTITUTE(SUBSTITUTE(M139,"G",""),"C","")))/O139)</f>
        <v>0.2</v>
      </c>
      <c r="R139" s="5" t="s">
        <v>219</v>
      </c>
      <c r="S139" s="15" t="s">
        <v>1677</v>
      </c>
      <c r="T139" s="5" t="n">
        <v>286</v>
      </c>
      <c r="U139" s="5" t="s">
        <v>1678</v>
      </c>
      <c r="V139" s="5" t="s">
        <v>47</v>
      </c>
      <c r="W139" s="5"/>
      <c r="X139" s="15" t="s">
        <v>1677</v>
      </c>
      <c r="Y139" s="5"/>
    </row>
    <row r="140" customFormat="false" ht="15" hidden="false" customHeight="false" outlineLevel="0" collapsed="false">
      <c r="A140" s="5" t="s">
        <v>2896</v>
      </c>
      <c r="B140" s="5" t="s">
        <v>214</v>
      </c>
      <c r="C140" s="5" t="s">
        <v>215</v>
      </c>
      <c r="D140" s="6" t="s">
        <v>45</v>
      </c>
      <c r="E140" s="5" t="n">
        <v>4</v>
      </c>
      <c r="F140" s="5" t="s">
        <v>2897</v>
      </c>
      <c r="G140" s="13" t="s">
        <v>2898</v>
      </c>
      <c r="H140" s="5" t="s">
        <v>2899</v>
      </c>
      <c r="I140" s="13" t="s">
        <v>2900</v>
      </c>
      <c r="J140" s="5" t="s">
        <v>2901</v>
      </c>
      <c r="K140" s="5" t="s">
        <v>2902</v>
      </c>
      <c r="L140" s="13" t="s">
        <v>2903</v>
      </c>
      <c r="M140" s="13" t="s">
        <v>2904</v>
      </c>
      <c r="N140" s="5" t="n">
        <f aca="false">LEN(L140)</f>
        <v>25</v>
      </c>
      <c r="O140" s="5" t="n">
        <f aca="false">LEN(M140)</f>
        <v>25</v>
      </c>
      <c r="P140" s="14" t="n">
        <f aca="false">IF(N140=0,"",(N140-LEN(SUBSTITUTE(SUBSTITUTE(L140,"G",""),"C","")))/N140)</f>
        <v>0.48</v>
      </c>
      <c r="Q140" s="14" t="n">
        <f aca="false">IF(O140=0,"",(O140-LEN(SUBSTITUTE(SUBSTITUTE(M140,"G",""),"C","")))/O140)</f>
        <v>0.44</v>
      </c>
      <c r="R140" s="5" t="s">
        <v>219</v>
      </c>
      <c r="S140" s="15" t="s">
        <v>1677</v>
      </c>
      <c r="T140" s="5" t="n">
        <v>356</v>
      </c>
      <c r="U140" s="5" t="s">
        <v>1678</v>
      </c>
      <c r="V140" s="5" t="s">
        <v>47</v>
      </c>
      <c r="W140" s="5"/>
      <c r="X140" s="15" t="s">
        <v>1677</v>
      </c>
      <c r="Y140" s="5"/>
    </row>
    <row r="141" customFormat="false" ht="15" hidden="false" customHeight="false" outlineLevel="0" collapsed="false">
      <c r="A141" s="5" t="s">
        <v>2905</v>
      </c>
      <c r="B141" s="5" t="s">
        <v>214</v>
      </c>
      <c r="C141" s="5" t="s">
        <v>215</v>
      </c>
      <c r="D141" s="6" t="s">
        <v>45</v>
      </c>
      <c r="E141" s="5" t="n">
        <v>5</v>
      </c>
      <c r="F141" s="5" t="s">
        <v>2906</v>
      </c>
      <c r="G141" s="13" t="s">
        <v>2907</v>
      </c>
      <c r="H141" s="5" t="s">
        <v>2908</v>
      </c>
      <c r="I141" s="13" t="s">
        <v>2909</v>
      </c>
      <c r="J141" s="5" t="s">
        <v>2910</v>
      </c>
      <c r="K141" s="5" t="s">
        <v>2911</v>
      </c>
      <c r="L141" s="13" t="s">
        <v>2912</v>
      </c>
      <c r="M141" s="13" t="s">
        <v>2913</v>
      </c>
      <c r="N141" s="5" t="n">
        <f aca="false">LEN(L141)</f>
        <v>25</v>
      </c>
      <c r="O141" s="5" t="n">
        <f aca="false">LEN(M141)</f>
        <v>25</v>
      </c>
      <c r="P141" s="14" t="n">
        <f aca="false">IF(N141=0,"",(N141-LEN(SUBSTITUTE(SUBSTITUTE(L141,"G",""),"C","")))/N141)</f>
        <v>0.48</v>
      </c>
      <c r="Q141" s="14" t="n">
        <f aca="false">IF(O141=0,"",(O141-LEN(SUBSTITUTE(SUBSTITUTE(M141,"G",""),"C","")))/O141)</f>
        <v>0.28</v>
      </c>
      <c r="R141" s="5" t="s">
        <v>219</v>
      </c>
      <c r="S141" s="15" t="s">
        <v>1677</v>
      </c>
      <c r="T141" s="5" t="n">
        <v>426</v>
      </c>
      <c r="U141" s="5" t="s">
        <v>1678</v>
      </c>
      <c r="V141" s="5" t="s">
        <v>47</v>
      </c>
      <c r="W141" s="5"/>
      <c r="X141" s="15" t="s">
        <v>1677</v>
      </c>
      <c r="Y141" s="5"/>
    </row>
    <row r="142" customFormat="false" ht="15" hidden="false" customHeight="false" outlineLevel="0" collapsed="false">
      <c r="A142" s="5" t="s">
        <v>2914</v>
      </c>
      <c r="B142" s="5" t="s">
        <v>214</v>
      </c>
      <c r="C142" s="5" t="s">
        <v>215</v>
      </c>
      <c r="D142" s="6" t="s">
        <v>45</v>
      </c>
      <c r="E142" s="5" t="n">
        <v>6</v>
      </c>
      <c r="F142" s="5" t="s">
        <v>2915</v>
      </c>
      <c r="G142" s="13" t="s">
        <v>2916</v>
      </c>
      <c r="H142" s="5" t="s">
        <v>2917</v>
      </c>
      <c r="I142" s="13" t="s">
        <v>2918</v>
      </c>
      <c r="J142" s="5" t="s">
        <v>2919</v>
      </c>
      <c r="K142" s="5" t="s">
        <v>2920</v>
      </c>
      <c r="L142" s="13" t="s">
        <v>2921</v>
      </c>
      <c r="M142" s="13" t="s">
        <v>2922</v>
      </c>
      <c r="N142" s="5" t="n">
        <f aca="false">LEN(L142)</f>
        <v>25</v>
      </c>
      <c r="O142" s="5" t="n">
        <f aca="false">LEN(M142)</f>
        <v>25</v>
      </c>
      <c r="P142" s="14" t="n">
        <f aca="false">IF(N142=0,"",(N142-LEN(SUBSTITUTE(SUBSTITUTE(L142,"G",""),"C","")))/N142)</f>
        <v>0.44</v>
      </c>
      <c r="Q142" s="14" t="n">
        <f aca="false">IF(O142=0,"",(O142-LEN(SUBSTITUTE(SUBSTITUTE(M142,"G",""),"C","")))/O142)</f>
        <v>0.32</v>
      </c>
      <c r="R142" s="5" t="s">
        <v>219</v>
      </c>
      <c r="S142" s="15" t="s">
        <v>1677</v>
      </c>
      <c r="T142" s="5" t="n">
        <v>496</v>
      </c>
      <c r="U142" s="5" t="s">
        <v>1678</v>
      </c>
      <c r="V142" s="5" t="s">
        <v>47</v>
      </c>
      <c r="W142" s="5"/>
      <c r="X142" s="15" t="s">
        <v>1677</v>
      </c>
      <c r="Y142" s="5"/>
    </row>
    <row r="143" customFormat="false" ht="15" hidden="false" customHeight="false" outlineLevel="0" collapsed="false">
      <c r="A143" s="5" t="s">
        <v>2923</v>
      </c>
      <c r="B143" s="5" t="s">
        <v>222</v>
      </c>
      <c r="C143" s="5" t="s">
        <v>223</v>
      </c>
      <c r="D143" s="6" t="s">
        <v>45</v>
      </c>
      <c r="E143" s="5" t="n">
        <v>1</v>
      </c>
      <c r="F143" s="5" t="s">
        <v>2924</v>
      </c>
      <c r="G143" s="13" t="s">
        <v>2925</v>
      </c>
      <c r="H143" s="5" t="s">
        <v>2926</v>
      </c>
      <c r="I143" s="13" t="s">
        <v>2927</v>
      </c>
      <c r="J143" s="5" t="s">
        <v>2928</v>
      </c>
      <c r="K143" s="5" t="s">
        <v>2929</v>
      </c>
      <c r="L143" s="13" t="s">
        <v>2930</v>
      </c>
      <c r="M143" s="13" t="s">
        <v>2931</v>
      </c>
      <c r="N143" s="5" t="n">
        <f aca="false">LEN(L143)</f>
        <v>25</v>
      </c>
      <c r="O143" s="5" t="n">
        <f aca="false">LEN(M143)</f>
        <v>25</v>
      </c>
      <c r="P143" s="14" t="n">
        <f aca="false">IF(N143=0,"",(N143-LEN(SUBSTITUTE(SUBSTITUTE(L143,"G",""),"C","")))/N143)</f>
        <v>0.84</v>
      </c>
      <c r="Q143" s="14" t="n">
        <f aca="false">IF(O143=0,"",(O143-LEN(SUBSTITUTE(SUBSTITUTE(M143,"G",""),"C","")))/O143)</f>
        <v>0.48</v>
      </c>
      <c r="R143" s="5" t="s">
        <v>227</v>
      </c>
      <c r="S143" s="15" t="s">
        <v>1677</v>
      </c>
      <c r="T143" s="5" t="n">
        <v>76</v>
      </c>
      <c r="U143" s="5" t="s">
        <v>1678</v>
      </c>
      <c r="V143" s="5" t="s">
        <v>47</v>
      </c>
      <c r="W143" s="5"/>
      <c r="X143" s="15" t="s">
        <v>1677</v>
      </c>
      <c r="Y143" s="5"/>
    </row>
    <row r="144" customFormat="false" ht="15" hidden="false" customHeight="false" outlineLevel="0" collapsed="false">
      <c r="A144" s="5" t="s">
        <v>2932</v>
      </c>
      <c r="B144" s="5" t="s">
        <v>222</v>
      </c>
      <c r="C144" s="5" t="s">
        <v>223</v>
      </c>
      <c r="D144" s="6" t="s">
        <v>45</v>
      </c>
      <c r="E144" s="5" t="n">
        <v>2</v>
      </c>
      <c r="F144" s="5" t="s">
        <v>2933</v>
      </c>
      <c r="G144" s="13" t="s">
        <v>2934</v>
      </c>
      <c r="H144" s="5" t="s">
        <v>2935</v>
      </c>
      <c r="I144" s="13" t="s">
        <v>2936</v>
      </c>
      <c r="J144" s="5" t="s">
        <v>2937</v>
      </c>
      <c r="K144" s="5" t="s">
        <v>2938</v>
      </c>
      <c r="L144" s="13" t="s">
        <v>2939</v>
      </c>
      <c r="M144" s="13" t="s">
        <v>2940</v>
      </c>
      <c r="N144" s="5" t="n">
        <f aca="false">LEN(L144)</f>
        <v>25</v>
      </c>
      <c r="O144" s="5" t="n">
        <f aca="false">LEN(M144)</f>
        <v>25</v>
      </c>
      <c r="P144" s="14" t="n">
        <f aca="false">IF(N144=0,"",(N144-LEN(SUBSTITUTE(SUBSTITUTE(L144,"G",""),"C","")))/N144)</f>
        <v>0.64</v>
      </c>
      <c r="Q144" s="14" t="n">
        <f aca="false">IF(O144=0,"",(O144-LEN(SUBSTITUTE(SUBSTITUTE(M144,"G",""),"C","")))/O144)</f>
        <v>0.6</v>
      </c>
      <c r="R144" s="5" t="s">
        <v>227</v>
      </c>
      <c r="S144" s="15" t="s">
        <v>1677</v>
      </c>
      <c r="T144" s="5" t="n">
        <v>146</v>
      </c>
      <c r="U144" s="5" t="s">
        <v>1678</v>
      </c>
      <c r="V144" s="5" t="s">
        <v>47</v>
      </c>
      <c r="W144" s="5"/>
      <c r="X144" s="15" t="s">
        <v>1677</v>
      </c>
      <c r="Y144" s="5"/>
    </row>
    <row r="145" customFormat="false" ht="15" hidden="false" customHeight="false" outlineLevel="0" collapsed="false">
      <c r="A145" s="5" t="s">
        <v>2941</v>
      </c>
      <c r="B145" s="5" t="s">
        <v>222</v>
      </c>
      <c r="C145" s="5" t="s">
        <v>223</v>
      </c>
      <c r="D145" s="6" t="s">
        <v>45</v>
      </c>
      <c r="E145" s="5" t="n">
        <v>3</v>
      </c>
      <c r="F145" s="5" t="s">
        <v>2942</v>
      </c>
      <c r="G145" s="13" t="s">
        <v>2943</v>
      </c>
      <c r="H145" s="5" t="s">
        <v>2944</v>
      </c>
      <c r="I145" s="13" t="s">
        <v>2945</v>
      </c>
      <c r="J145" s="5" t="s">
        <v>2946</v>
      </c>
      <c r="K145" s="5" t="s">
        <v>2947</v>
      </c>
      <c r="L145" s="13" t="s">
        <v>2948</v>
      </c>
      <c r="M145" s="13" t="s">
        <v>2949</v>
      </c>
      <c r="N145" s="5" t="n">
        <f aca="false">LEN(L145)</f>
        <v>25</v>
      </c>
      <c r="O145" s="5" t="n">
        <f aca="false">LEN(M145)</f>
        <v>25</v>
      </c>
      <c r="P145" s="14" t="n">
        <f aca="false">IF(N145=0,"",(N145-LEN(SUBSTITUTE(SUBSTITUTE(L145,"G",""),"C","")))/N145)</f>
        <v>0.44</v>
      </c>
      <c r="Q145" s="14" t="n">
        <f aca="false">IF(O145=0,"",(O145-LEN(SUBSTITUTE(SUBSTITUTE(M145,"G",""),"C","")))/O145)</f>
        <v>0.44</v>
      </c>
      <c r="R145" s="5" t="s">
        <v>227</v>
      </c>
      <c r="S145" s="15" t="s">
        <v>1677</v>
      </c>
      <c r="T145" s="5" t="n">
        <v>216</v>
      </c>
      <c r="U145" s="5" t="s">
        <v>1678</v>
      </c>
      <c r="V145" s="5" t="s">
        <v>47</v>
      </c>
      <c r="W145" s="5"/>
      <c r="X145" s="15" t="s">
        <v>1677</v>
      </c>
      <c r="Y145" s="5"/>
    </row>
    <row r="146" customFormat="false" ht="15" hidden="false" customHeight="false" outlineLevel="0" collapsed="false">
      <c r="A146" s="5" t="s">
        <v>2950</v>
      </c>
      <c r="B146" s="5" t="s">
        <v>222</v>
      </c>
      <c r="C146" s="5" t="s">
        <v>223</v>
      </c>
      <c r="D146" s="6" t="s">
        <v>45</v>
      </c>
      <c r="E146" s="5" t="n">
        <v>4</v>
      </c>
      <c r="F146" s="5" t="s">
        <v>2951</v>
      </c>
      <c r="G146" s="13" t="s">
        <v>2952</v>
      </c>
      <c r="H146" s="5" t="s">
        <v>2953</v>
      </c>
      <c r="I146" s="13" t="s">
        <v>2954</v>
      </c>
      <c r="J146" s="5" t="s">
        <v>2955</v>
      </c>
      <c r="K146" s="5" t="s">
        <v>2956</v>
      </c>
      <c r="L146" s="13" t="s">
        <v>2957</v>
      </c>
      <c r="M146" s="13" t="s">
        <v>2958</v>
      </c>
      <c r="N146" s="5" t="n">
        <f aca="false">LEN(L146)</f>
        <v>25</v>
      </c>
      <c r="O146" s="5" t="n">
        <f aca="false">LEN(M146)</f>
        <v>25</v>
      </c>
      <c r="P146" s="14" t="n">
        <f aca="false">IF(N146=0,"",(N146-LEN(SUBSTITUTE(SUBSTITUTE(L146,"G",""),"C","")))/N146)</f>
        <v>0.6</v>
      </c>
      <c r="Q146" s="14" t="n">
        <f aca="false">IF(O146=0,"",(O146-LEN(SUBSTITUTE(SUBSTITUTE(M146,"G",""),"C","")))/O146)</f>
        <v>0.56</v>
      </c>
      <c r="R146" s="5" t="s">
        <v>227</v>
      </c>
      <c r="S146" s="15" t="s">
        <v>1677</v>
      </c>
      <c r="T146" s="5" t="n">
        <v>286</v>
      </c>
      <c r="U146" s="5" t="s">
        <v>1678</v>
      </c>
      <c r="V146" s="5" t="s">
        <v>47</v>
      </c>
      <c r="W146" s="5"/>
      <c r="X146" s="15" t="s">
        <v>1677</v>
      </c>
      <c r="Y146" s="5"/>
    </row>
    <row r="147" customFormat="false" ht="15" hidden="false" customHeight="false" outlineLevel="0" collapsed="false">
      <c r="A147" s="5" t="s">
        <v>2959</v>
      </c>
      <c r="B147" s="5" t="s">
        <v>222</v>
      </c>
      <c r="C147" s="5" t="s">
        <v>223</v>
      </c>
      <c r="D147" s="6" t="s">
        <v>45</v>
      </c>
      <c r="E147" s="5" t="n">
        <v>5</v>
      </c>
      <c r="F147" s="5" t="s">
        <v>2960</v>
      </c>
      <c r="G147" s="13" t="s">
        <v>2961</v>
      </c>
      <c r="H147" s="5" t="s">
        <v>2962</v>
      </c>
      <c r="I147" s="13" t="s">
        <v>2963</v>
      </c>
      <c r="J147" s="5" t="s">
        <v>2964</v>
      </c>
      <c r="K147" s="5" t="s">
        <v>2965</v>
      </c>
      <c r="L147" s="13" t="s">
        <v>2966</v>
      </c>
      <c r="M147" s="13" t="s">
        <v>2967</v>
      </c>
      <c r="N147" s="5" t="n">
        <f aca="false">LEN(L147)</f>
        <v>25</v>
      </c>
      <c r="O147" s="5" t="n">
        <f aca="false">LEN(M147)</f>
        <v>25</v>
      </c>
      <c r="P147" s="14" t="n">
        <f aca="false">IF(N147=0,"",(N147-LEN(SUBSTITUTE(SUBSTITUTE(L147,"G",""),"C","")))/N147)</f>
        <v>0.64</v>
      </c>
      <c r="Q147" s="14" t="n">
        <f aca="false">IF(O147=0,"",(O147-LEN(SUBSTITUTE(SUBSTITUTE(M147,"G",""),"C","")))/O147)</f>
        <v>0.48</v>
      </c>
      <c r="R147" s="5" t="s">
        <v>227</v>
      </c>
      <c r="S147" s="15" t="s">
        <v>1677</v>
      </c>
      <c r="T147" s="5" t="n">
        <v>356</v>
      </c>
      <c r="U147" s="5" t="s">
        <v>1678</v>
      </c>
      <c r="V147" s="5" t="s">
        <v>47</v>
      </c>
      <c r="W147" s="5"/>
      <c r="X147" s="15" t="s">
        <v>1677</v>
      </c>
      <c r="Y147" s="5"/>
    </row>
    <row r="148" customFormat="false" ht="15" hidden="false" customHeight="false" outlineLevel="0" collapsed="false">
      <c r="A148" s="5" t="s">
        <v>2968</v>
      </c>
      <c r="B148" s="5" t="s">
        <v>222</v>
      </c>
      <c r="C148" s="5" t="s">
        <v>223</v>
      </c>
      <c r="D148" s="6" t="s">
        <v>45</v>
      </c>
      <c r="E148" s="5" t="n">
        <v>6</v>
      </c>
      <c r="F148" s="5" t="s">
        <v>2969</v>
      </c>
      <c r="G148" s="13" t="s">
        <v>2970</v>
      </c>
      <c r="H148" s="5" t="s">
        <v>2971</v>
      </c>
      <c r="I148" s="13" t="s">
        <v>2972</v>
      </c>
      <c r="J148" s="5" t="s">
        <v>2973</v>
      </c>
      <c r="K148" s="5" t="s">
        <v>2974</v>
      </c>
      <c r="L148" s="13" t="s">
        <v>2975</v>
      </c>
      <c r="M148" s="13" t="s">
        <v>2976</v>
      </c>
      <c r="N148" s="5" t="n">
        <f aca="false">LEN(L148)</f>
        <v>25</v>
      </c>
      <c r="O148" s="5" t="n">
        <f aca="false">LEN(M148)</f>
        <v>25</v>
      </c>
      <c r="P148" s="14" t="n">
        <f aca="false">IF(N148=0,"",(N148-LEN(SUBSTITUTE(SUBSTITUTE(L148,"G",""),"C","")))/N148)</f>
        <v>0.48</v>
      </c>
      <c r="Q148" s="14" t="n">
        <f aca="false">IF(O148=0,"",(O148-LEN(SUBSTITUTE(SUBSTITUTE(M148,"G",""),"C","")))/O148)</f>
        <v>0.4</v>
      </c>
      <c r="R148" s="5" t="s">
        <v>227</v>
      </c>
      <c r="S148" s="15" t="s">
        <v>1677</v>
      </c>
      <c r="T148" s="5" t="n">
        <v>426</v>
      </c>
      <c r="U148" s="5" t="s">
        <v>1678</v>
      </c>
      <c r="V148" s="5" t="s">
        <v>47</v>
      </c>
      <c r="W148" s="5"/>
      <c r="X148" s="15" t="s">
        <v>1677</v>
      </c>
      <c r="Y148" s="5"/>
    </row>
    <row r="149" customFormat="false" ht="15" hidden="false" customHeight="false" outlineLevel="0" collapsed="false">
      <c r="A149" s="5" t="s">
        <v>2977</v>
      </c>
      <c r="B149" s="5" t="s">
        <v>230</v>
      </c>
      <c r="C149" s="5" t="s">
        <v>231</v>
      </c>
      <c r="D149" s="6" t="s">
        <v>45</v>
      </c>
      <c r="E149" s="5" t="n">
        <v>1</v>
      </c>
      <c r="F149" s="5" t="s">
        <v>2978</v>
      </c>
      <c r="G149" s="13" t="s">
        <v>2979</v>
      </c>
      <c r="H149" s="5" t="s">
        <v>2980</v>
      </c>
      <c r="I149" s="13" t="s">
        <v>2981</v>
      </c>
      <c r="J149" s="5" t="s">
        <v>2982</v>
      </c>
      <c r="K149" s="5" t="s">
        <v>2983</v>
      </c>
      <c r="L149" s="13" t="s">
        <v>2984</v>
      </c>
      <c r="M149" s="13" t="s">
        <v>2985</v>
      </c>
      <c r="N149" s="5" t="n">
        <f aca="false">LEN(L149)</f>
        <v>24</v>
      </c>
      <c r="O149" s="5" t="n">
        <f aca="false">LEN(M149)</f>
        <v>25</v>
      </c>
      <c r="P149" s="14" t="n">
        <f aca="false">IF(N149=0,"",(N149-LEN(SUBSTITUTE(SUBSTITUTE(L149,"G",""),"C","")))/N149)</f>
        <v>0.541666666666667</v>
      </c>
      <c r="Q149" s="14" t="n">
        <f aca="false">IF(O149=0,"",(O149-LEN(SUBSTITUTE(SUBSTITUTE(M149,"G",""),"C","")))/O149)</f>
        <v>0.8</v>
      </c>
      <c r="R149" s="5" t="s">
        <v>234</v>
      </c>
      <c r="S149" s="15" t="s">
        <v>1677</v>
      </c>
      <c r="T149" s="5" t="n">
        <v>67</v>
      </c>
      <c r="U149" s="5" t="s">
        <v>2986</v>
      </c>
      <c r="V149" s="5" t="s">
        <v>47</v>
      </c>
      <c r="W149" s="5"/>
      <c r="X149" s="5"/>
      <c r="Y149" s="8" t="s">
        <v>2987</v>
      </c>
    </row>
    <row r="150" customFormat="false" ht="15" hidden="false" customHeight="false" outlineLevel="0" collapsed="false">
      <c r="A150" s="5" t="s">
        <v>2988</v>
      </c>
      <c r="B150" s="5" t="s">
        <v>230</v>
      </c>
      <c r="C150" s="5" t="s">
        <v>231</v>
      </c>
      <c r="D150" s="6" t="s">
        <v>45</v>
      </c>
      <c r="E150" s="5" t="n">
        <v>2</v>
      </c>
      <c r="F150" s="5" t="s">
        <v>2989</v>
      </c>
      <c r="G150" s="13" t="s">
        <v>2990</v>
      </c>
      <c r="H150" s="5" t="s">
        <v>2991</v>
      </c>
      <c r="I150" s="13" t="s">
        <v>2992</v>
      </c>
      <c r="J150" s="5" t="s">
        <v>2993</v>
      </c>
      <c r="K150" s="5" t="s">
        <v>2994</v>
      </c>
      <c r="L150" s="13" t="s">
        <v>2995</v>
      </c>
      <c r="M150" s="13" t="s">
        <v>2996</v>
      </c>
      <c r="N150" s="5" t="n">
        <f aca="false">LEN(L150)</f>
        <v>25</v>
      </c>
      <c r="O150" s="5" t="n">
        <f aca="false">LEN(M150)</f>
        <v>25</v>
      </c>
      <c r="P150" s="14" t="n">
        <f aca="false">IF(N150=0,"",(N150-LEN(SUBSTITUTE(SUBSTITUTE(L150,"G",""),"C","")))/N150)</f>
        <v>0.52</v>
      </c>
      <c r="Q150" s="14" t="n">
        <f aca="false">IF(O150=0,"",(O150-LEN(SUBSTITUTE(SUBSTITUTE(M150,"G",""),"C","")))/O150)</f>
        <v>0.8</v>
      </c>
      <c r="R150" s="5" t="s">
        <v>234</v>
      </c>
      <c r="S150" s="15" t="s">
        <v>1677</v>
      </c>
      <c r="T150" s="5" t="n">
        <v>125</v>
      </c>
      <c r="U150" s="5" t="s">
        <v>1678</v>
      </c>
      <c r="V150" s="5" t="s">
        <v>47</v>
      </c>
      <c r="W150" s="5"/>
      <c r="X150" s="5"/>
      <c r="Y150" s="5"/>
    </row>
    <row r="151" customFormat="false" ht="15" hidden="false" customHeight="false" outlineLevel="0" collapsed="false">
      <c r="A151" s="5" t="s">
        <v>2997</v>
      </c>
      <c r="B151" s="5" t="s">
        <v>230</v>
      </c>
      <c r="C151" s="5" t="s">
        <v>231</v>
      </c>
      <c r="D151" s="6" t="s">
        <v>45</v>
      </c>
      <c r="E151" s="5" t="n">
        <v>3</v>
      </c>
      <c r="F151" s="5" t="s">
        <v>2998</v>
      </c>
      <c r="G151" s="13" t="s">
        <v>2999</v>
      </c>
      <c r="H151" s="5" t="s">
        <v>3000</v>
      </c>
      <c r="I151" s="13" t="s">
        <v>3001</v>
      </c>
      <c r="J151" s="5" t="s">
        <v>3002</v>
      </c>
      <c r="K151" s="5" t="s">
        <v>3003</v>
      </c>
      <c r="L151" s="13" t="s">
        <v>3004</v>
      </c>
      <c r="M151" s="13" t="s">
        <v>3005</v>
      </c>
      <c r="N151" s="5" t="n">
        <f aca="false">LEN(L151)</f>
        <v>25</v>
      </c>
      <c r="O151" s="5" t="n">
        <f aca="false">LEN(M151)</f>
        <v>25</v>
      </c>
      <c r="P151" s="14" t="n">
        <f aca="false">IF(N151=0,"",(N151-LEN(SUBSTITUTE(SUBSTITUTE(L151,"G",""),"C","")))/N151)</f>
        <v>0.56</v>
      </c>
      <c r="Q151" s="14" t="n">
        <f aca="false">IF(O151=0,"",(O151-LEN(SUBSTITUTE(SUBSTITUTE(M151,"G",""),"C","")))/O151)</f>
        <v>0.6</v>
      </c>
      <c r="R151" s="5" t="s">
        <v>234</v>
      </c>
      <c r="S151" s="15" t="s">
        <v>1677</v>
      </c>
      <c r="T151" s="5" t="n">
        <v>245</v>
      </c>
      <c r="U151" s="5" t="s">
        <v>1678</v>
      </c>
      <c r="V151" s="5" t="s">
        <v>47</v>
      </c>
      <c r="W151" s="5"/>
      <c r="X151" s="5"/>
      <c r="Y151" s="5"/>
    </row>
    <row r="152" customFormat="false" ht="15" hidden="false" customHeight="false" outlineLevel="0" collapsed="false">
      <c r="A152" s="5" t="s">
        <v>3006</v>
      </c>
      <c r="B152" s="5" t="s">
        <v>230</v>
      </c>
      <c r="C152" s="5" t="s">
        <v>231</v>
      </c>
      <c r="D152" s="6" t="s">
        <v>45</v>
      </c>
      <c r="E152" s="5" t="n">
        <v>4</v>
      </c>
      <c r="F152" s="5" t="s">
        <v>3007</v>
      </c>
      <c r="G152" s="13" t="s">
        <v>3008</v>
      </c>
      <c r="H152" s="5" t="s">
        <v>3009</v>
      </c>
      <c r="I152" s="13" t="s">
        <v>3010</v>
      </c>
      <c r="J152" s="5" t="s">
        <v>3011</v>
      </c>
      <c r="K152" s="5" t="s">
        <v>3012</v>
      </c>
      <c r="L152" s="13" t="s">
        <v>3013</v>
      </c>
      <c r="M152" s="13" t="s">
        <v>3014</v>
      </c>
      <c r="N152" s="5" t="n">
        <f aca="false">LEN(L152)</f>
        <v>25</v>
      </c>
      <c r="O152" s="5" t="n">
        <f aca="false">LEN(M152)</f>
        <v>25</v>
      </c>
      <c r="P152" s="14" t="n">
        <f aca="false">IF(N152=0,"",(N152-LEN(SUBSTITUTE(SUBSTITUTE(L152,"G",""),"C","")))/N152)</f>
        <v>0.6</v>
      </c>
      <c r="Q152" s="14" t="n">
        <f aca="false">IF(O152=0,"",(O152-LEN(SUBSTITUTE(SUBSTITUTE(M152,"G",""),"C","")))/O152)</f>
        <v>0.64</v>
      </c>
      <c r="R152" s="5" t="s">
        <v>234</v>
      </c>
      <c r="S152" s="15" t="s">
        <v>1677</v>
      </c>
      <c r="T152" s="5" t="n">
        <v>305</v>
      </c>
      <c r="U152" s="5" t="s">
        <v>1678</v>
      </c>
      <c r="V152" s="5" t="s">
        <v>47</v>
      </c>
      <c r="W152" s="5"/>
      <c r="X152" s="5"/>
      <c r="Y152" s="5"/>
    </row>
    <row r="153" customFormat="false" ht="15" hidden="false" customHeight="false" outlineLevel="0" collapsed="false">
      <c r="A153" s="5" t="s">
        <v>3015</v>
      </c>
      <c r="B153" s="5" t="s">
        <v>230</v>
      </c>
      <c r="C153" s="5" t="s">
        <v>231</v>
      </c>
      <c r="D153" s="6" t="s">
        <v>45</v>
      </c>
      <c r="E153" s="5" t="n">
        <v>5</v>
      </c>
      <c r="F153" s="5" t="s">
        <v>3016</v>
      </c>
      <c r="G153" s="13" t="s">
        <v>3017</v>
      </c>
      <c r="H153" s="5" t="s">
        <v>3018</v>
      </c>
      <c r="I153" s="13" t="s">
        <v>3019</v>
      </c>
      <c r="J153" s="5" t="s">
        <v>3020</v>
      </c>
      <c r="K153" s="5" t="s">
        <v>3021</v>
      </c>
      <c r="L153" s="13" t="s">
        <v>3022</v>
      </c>
      <c r="M153" s="13" t="s">
        <v>3023</v>
      </c>
      <c r="N153" s="5" t="n">
        <f aca="false">LEN(L153)</f>
        <v>25</v>
      </c>
      <c r="O153" s="5" t="n">
        <f aca="false">LEN(M153)</f>
        <v>25</v>
      </c>
      <c r="P153" s="14" t="n">
        <f aca="false">IF(N153=0,"",(N153-LEN(SUBSTITUTE(SUBSTITUTE(L153,"G",""),"C","")))/N153)</f>
        <v>0.44</v>
      </c>
      <c r="Q153" s="14" t="n">
        <f aca="false">IF(O153=0,"",(O153-LEN(SUBSTITUTE(SUBSTITUTE(M153,"G",""),"C","")))/O153)</f>
        <v>0.44</v>
      </c>
      <c r="R153" s="5" t="s">
        <v>234</v>
      </c>
      <c r="S153" s="15" t="s">
        <v>1677</v>
      </c>
      <c r="T153" s="5" t="n">
        <v>425</v>
      </c>
      <c r="U153" s="5" t="s">
        <v>1678</v>
      </c>
      <c r="V153" s="5" t="s">
        <v>47</v>
      </c>
      <c r="W153" s="5"/>
      <c r="X153" s="5"/>
      <c r="Y153" s="5"/>
    </row>
    <row r="154" customFormat="false" ht="15" hidden="false" customHeight="false" outlineLevel="0" collapsed="false">
      <c r="A154" s="5" t="s">
        <v>3024</v>
      </c>
      <c r="B154" s="5" t="s">
        <v>230</v>
      </c>
      <c r="C154" s="5" t="s">
        <v>231</v>
      </c>
      <c r="D154" s="6" t="s">
        <v>45</v>
      </c>
      <c r="E154" s="5" t="n">
        <v>6</v>
      </c>
      <c r="F154" s="5" t="s">
        <v>3025</v>
      </c>
      <c r="G154" s="13" t="s">
        <v>3026</v>
      </c>
      <c r="H154" s="5" t="s">
        <v>3027</v>
      </c>
      <c r="I154" s="13" t="s">
        <v>3028</v>
      </c>
      <c r="J154" s="5" t="s">
        <v>3029</v>
      </c>
      <c r="K154" s="5" t="s">
        <v>3030</v>
      </c>
      <c r="L154" s="13" t="s">
        <v>3031</v>
      </c>
      <c r="M154" s="13" t="s">
        <v>3032</v>
      </c>
      <c r="N154" s="5" t="n">
        <f aca="false">LEN(L154)</f>
        <v>25</v>
      </c>
      <c r="O154" s="5" t="n">
        <f aca="false">LEN(M154)</f>
        <v>25</v>
      </c>
      <c r="P154" s="14" t="n">
        <f aca="false">IF(N154=0,"",(N154-LEN(SUBSTITUTE(SUBSTITUTE(L154,"G",""),"C","")))/N154)</f>
        <v>0.52</v>
      </c>
      <c r="Q154" s="14" t="n">
        <f aca="false">IF(O154=0,"",(O154-LEN(SUBSTITUTE(SUBSTITUTE(M154,"G",""),"C","")))/O154)</f>
        <v>0.68</v>
      </c>
      <c r="R154" s="5" t="s">
        <v>234</v>
      </c>
      <c r="S154" s="15" t="s">
        <v>1677</v>
      </c>
      <c r="T154" s="5" t="n">
        <v>486</v>
      </c>
      <c r="U154" s="5" t="s">
        <v>1678</v>
      </c>
      <c r="V154" s="5" t="s">
        <v>47</v>
      </c>
      <c r="W154" s="5"/>
      <c r="X154" s="5"/>
      <c r="Y154" s="5"/>
    </row>
    <row r="155" customFormat="false" ht="15" hidden="false" customHeight="false" outlineLevel="0" collapsed="false">
      <c r="A155" s="5" t="s">
        <v>3033</v>
      </c>
      <c r="B155" s="5" t="s">
        <v>230</v>
      </c>
      <c r="C155" s="5" t="s">
        <v>231</v>
      </c>
      <c r="D155" s="6" t="s">
        <v>45</v>
      </c>
      <c r="E155" s="5" t="n">
        <v>7</v>
      </c>
      <c r="F155" s="5" t="s">
        <v>3034</v>
      </c>
      <c r="G155" s="13" t="s">
        <v>3035</v>
      </c>
      <c r="H155" s="5" t="s">
        <v>3036</v>
      </c>
      <c r="I155" s="13" t="s">
        <v>3037</v>
      </c>
      <c r="J155" s="5" t="s">
        <v>3038</v>
      </c>
      <c r="K155" s="5" t="s">
        <v>3039</v>
      </c>
      <c r="L155" s="13" t="s">
        <v>3040</v>
      </c>
      <c r="M155" s="13" t="s">
        <v>3041</v>
      </c>
      <c r="N155" s="5" t="n">
        <f aca="false">LEN(L155)</f>
        <v>25</v>
      </c>
      <c r="O155" s="5" t="n">
        <f aca="false">LEN(M155)</f>
        <v>25</v>
      </c>
      <c r="P155" s="14" t="n">
        <f aca="false">IF(N155=0,"",(N155-LEN(SUBSTITUTE(SUBSTITUTE(L155,"G",""),"C","")))/N155)</f>
        <v>0.64</v>
      </c>
      <c r="Q155" s="14" t="n">
        <f aca="false">IF(O155=0,"",(O155-LEN(SUBSTITUTE(SUBSTITUTE(M155,"G",""),"C","")))/O155)</f>
        <v>0.6</v>
      </c>
      <c r="R155" s="5" t="s">
        <v>234</v>
      </c>
      <c r="S155" s="15" t="s">
        <v>1677</v>
      </c>
      <c r="T155" s="5" t="n">
        <v>606</v>
      </c>
      <c r="U155" s="5" t="s">
        <v>1678</v>
      </c>
      <c r="V155" s="5" t="s">
        <v>47</v>
      </c>
      <c r="W155" s="5"/>
      <c r="X155" s="5"/>
      <c r="Y155" s="5"/>
    </row>
    <row r="156" customFormat="false" ht="15" hidden="false" customHeight="false" outlineLevel="0" collapsed="false">
      <c r="A156" s="5" t="s">
        <v>3042</v>
      </c>
      <c r="B156" s="5" t="s">
        <v>230</v>
      </c>
      <c r="C156" s="5" t="s">
        <v>231</v>
      </c>
      <c r="D156" s="6" t="s">
        <v>45</v>
      </c>
      <c r="E156" s="5" t="n">
        <v>8</v>
      </c>
      <c r="F156" s="5" t="s">
        <v>3043</v>
      </c>
      <c r="G156" s="13" t="s">
        <v>3044</v>
      </c>
      <c r="H156" s="5" t="s">
        <v>3045</v>
      </c>
      <c r="I156" s="13" t="s">
        <v>3046</v>
      </c>
      <c r="J156" s="5" t="s">
        <v>3047</v>
      </c>
      <c r="K156" s="5" t="s">
        <v>3048</v>
      </c>
      <c r="L156" s="13" t="s">
        <v>3049</v>
      </c>
      <c r="M156" s="13" t="s">
        <v>3050</v>
      </c>
      <c r="N156" s="5" t="n">
        <f aca="false">LEN(L156)</f>
        <v>25</v>
      </c>
      <c r="O156" s="5" t="n">
        <f aca="false">LEN(M156)</f>
        <v>25</v>
      </c>
      <c r="P156" s="14" t="n">
        <f aca="false">IF(N156=0,"",(N156-LEN(SUBSTITUTE(SUBSTITUTE(L156,"G",""),"C","")))/N156)</f>
        <v>0.72</v>
      </c>
      <c r="Q156" s="14" t="n">
        <f aca="false">IF(O156=0,"",(O156-LEN(SUBSTITUTE(SUBSTITUTE(M156,"G",""),"C","")))/O156)</f>
        <v>0.56</v>
      </c>
      <c r="R156" s="5" t="s">
        <v>234</v>
      </c>
      <c r="S156" s="15" t="s">
        <v>1677</v>
      </c>
      <c r="T156" s="5" t="n">
        <v>666</v>
      </c>
      <c r="U156" s="5" t="s">
        <v>1678</v>
      </c>
      <c r="V156" s="5" t="s">
        <v>47</v>
      </c>
      <c r="W156" s="5"/>
      <c r="X156" s="5"/>
      <c r="Y156" s="5"/>
    </row>
    <row r="157" customFormat="false" ht="15" hidden="false" customHeight="false" outlineLevel="0" collapsed="false">
      <c r="A157" s="5" t="s">
        <v>3051</v>
      </c>
      <c r="B157" s="5" t="s">
        <v>236</v>
      </c>
      <c r="C157" s="5" t="s">
        <v>237</v>
      </c>
      <c r="D157" s="6" t="s">
        <v>45</v>
      </c>
      <c r="E157" s="5" t="n">
        <v>1</v>
      </c>
      <c r="F157" s="5" t="s">
        <v>3052</v>
      </c>
      <c r="G157" s="13" t="s">
        <v>3053</v>
      </c>
      <c r="H157" s="5" t="s">
        <v>3054</v>
      </c>
      <c r="I157" s="13" t="s">
        <v>3055</v>
      </c>
      <c r="J157" s="5" t="s">
        <v>3056</v>
      </c>
      <c r="K157" s="5" t="s">
        <v>3057</v>
      </c>
      <c r="L157" s="13" t="s">
        <v>3058</v>
      </c>
      <c r="M157" s="13" t="s">
        <v>3059</v>
      </c>
      <c r="N157" s="5" t="n">
        <f aca="false">LEN(L157)</f>
        <v>25</v>
      </c>
      <c r="O157" s="5" t="n">
        <f aca="false">LEN(M157)</f>
        <v>25</v>
      </c>
      <c r="P157" s="14" t="n">
        <f aca="false">IF(N157=0,"",(N157-LEN(SUBSTITUTE(SUBSTITUTE(L157,"G",""),"C","")))/N157)</f>
        <v>0.68</v>
      </c>
      <c r="Q157" s="14" t="n">
        <f aca="false">IF(O157=0,"",(O157-LEN(SUBSTITUTE(SUBSTITUTE(M157,"G",""),"C","")))/O157)</f>
        <v>0.68</v>
      </c>
      <c r="R157" s="5" t="s">
        <v>240</v>
      </c>
      <c r="S157" s="15" t="s">
        <v>1677</v>
      </c>
      <c r="T157" s="5" t="n">
        <v>6</v>
      </c>
      <c r="U157" s="5" t="s">
        <v>1678</v>
      </c>
      <c r="V157" s="5" t="s">
        <v>47</v>
      </c>
      <c r="W157" s="5"/>
      <c r="X157" s="15" t="s">
        <v>1677</v>
      </c>
      <c r="Y157" s="5"/>
    </row>
    <row r="158" customFormat="false" ht="15" hidden="false" customHeight="false" outlineLevel="0" collapsed="false">
      <c r="A158" s="5" t="s">
        <v>3060</v>
      </c>
      <c r="B158" s="5" t="s">
        <v>236</v>
      </c>
      <c r="C158" s="5" t="s">
        <v>237</v>
      </c>
      <c r="D158" s="6" t="s">
        <v>45</v>
      </c>
      <c r="E158" s="5" t="n">
        <v>2</v>
      </c>
      <c r="F158" s="5" t="s">
        <v>3061</v>
      </c>
      <c r="G158" s="13" t="s">
        <v>3062</v>
      </c>
      <c r="H158" s="5" t="s">
        <v>3063</v>
      </c>
      <c r="I158" s="13" t="s">
        <v>3064</v>
      </c>
      <c r="J158" s="5" t="s">
        <v>3065</v>
      </c>
      <c r="K158" s="5" t="s">
        <v>3066</v>
      </c>
      <c r="L158" s="13" t="s">
        <v>3067</v>
      </c>
      <c r="M158" s="13" t="s">
        <v>3068</v>
      </c>
      <c r="N158" s="5" t="n">
        <f aca="false">LEN(L158)</f>
        <v>25</v>
      </c>
      <c r="O158" s="5" t="n">
        <f aca="false">LEN(M158)</f>
        <v>25</v>
      </c>
      <c r="P158" s="14" t="n">
        <f aca="false">IF(N158=0,"",(N158-LEN(SUBSTITUTE(SUBSTITUTE(L158,"G",""),"C","")))/N158)</f>
        <v>0.36</v>
      </c>
      <c r="Q158" s="14" t="n">
        <f aca="false">IF(O158=0,"",(O158-LEN(SUBSTITUTE(SUBSTITUTE(M158,"G",""),"C","")))/O158)</f>
        <v>0.2</v>
      </c>
      <c r="R158" s="5" t="s">
        <v>240</v>
      </c>
      <c r="S158" s="15" t="s">
        <v>1677</v>
      </c>
      <c r="T158" s="5" t="n">
        <v>76</v>
      </c>
      <c r="U158" s="5" t="s">
        <v>1678</v>
      </c>
      <c r="V158" s="5" t="s">
        <v>47</v>
      </c>
      <c r="W158" s="5"/>
      <c r="X158" s="15" t="s">
        <v>1677</v>
      </c>
      <c r="Y158" s="5"/>
    </row>
    <row r="159" customFormat="false" ht="15" hidden="false" customHeight="false" outlineLevel="0" collapsed="false">
      <c r="A159" s="5" t="s">
        <v>3069</v>
      </c>
      <c r="B159" s="5" t="s">
        <v>236</v>
      </c>
      <c r="C159" s="5" t="s">
        <v>237</v>
      </c>
      <c r="D159" s="6" t="s">
        <v>45</v>
      </c>
      <c r="E159" s="5" t="n">
        <v>3</v>
      </c>
      <c r="F159" s="5" t="s">
        <v>3070</v>
      </c>
      <c r="G159" s="13" t="s">
        <v>3071</v>
      </c>
      <c r="H159" s="5" t="s">
        <v>3072</v>
      </c>
      <c r="I159" s="13" t="s">
        <v>3073</v>
      </c>
      <c r="J159" s="5" t="s">
        <v>3074</v>
      </c>
      <c r="K159" s="5" t="s">
        <v>3075</v>
      </c>
      <c r="L159" s="13" t="s">
        <v>3076</v>
      </c>
      <c r="M159" s="13" t="s">
        <v>3077</v>
      </c>
      <c r="N159" s="5" t="n">
        <f aca="false">LEN(L159)</f>
        <v>25</v>
      </c>
      <c r="O159" s="5" t="n">
        <f aca="false">LEN(M159)</f>
        <v>25</v>
      </c>
      <c r="P159" s="14" t="n">
        <f aca="false">IF(N159=0,"",(N159-LEN(SUBSTITUTE(SUBSTITUTE(L159,"G",""),"C","")))/N159)</f>
        <v>0.36</v>
      </c>
      <c r="Q159" s="14" t="n">
        <f aca="false">IF(O159=0,"",(O159-LEN(SUBSTITUTE(SUBSTITUTE(M159,"G",""),"C","")))/O159)</f>
        <v>0.32</v>
      </c>
      <c r="R159" s="5" t="s">
        <v>240</v>
      </c>
      <c r="S159" s="15" t="s">
        <v>1677</v>
      </c>
      <c r="T159" s="5" t="n">
        <v>146</v>
      </c>
      <c r="U159" s="5" t="s">
        <v>1678</v>
      </c>
      <c r="V159" s="5" t="s">
        <v>47</v>
      </c>
      <c r="W159" s="5"/>
      <c r="X159" s="15" t="s">
        <v>1677</v>
      </c>
      <c r="Y159" s="5"/>
    </row>
    <row r="160" customFormat="false" ht="15" hidden="false" customHeight="false" outlineLevel="0" collapsed="false">
      <c r="A160" s="5" t="s">
        <v>3078</v>
      </c>
      <c r="B160" s="5" t="s">
        <v>244</v>
      </c>
      <c r="C160" s="5" t="s">
        <v>245</v>
      </c>
      <c r="D160" s="6" t="s">
        <v>45</v>
      </c>
      <c r="E160" s="5" t="n">
        <v>1</v>
      </c>
      <c r="F160" s="5" t="s">
        <v>3079</v>
      </c>
      <c r="G160" s="13" t="s">
        <v>3080</v>
      </c>
      <c r="H160" s="5" t="s">
        <v>3081</v>
      </c>
      <c r="I160" s="13" t="s">
        <v>3082</v>
      </c>
      <c r="J160" s="5" t="s">
        <v>3083</v>
      </c>
      <c r="K160" s="5" t="s">
        <v>3084</v>
      </c>
      <c r="L160" s="13" t="s">
        <v>3085</v>
      </c>
      <c r="M160" s="13" t="s">
        <v>3086</v>
      </c>
      <c r="N160" s="5" t="n">
        <f aca="false">LEN(L160)</f>
        <v>25</v>
      </c>
      <c r="O160" s="5" t="n">
        <f aca="false">LEN(M160)</f>
        <v>25</v>
      </c>
      <c r="P160" s="14" t="n">
        <f aca="false">IF(N160=0,"",(N160-LEN(SUBSTITUTE(SUBSTITUTE(L160,"G",""),"C","")))/N160)</f>
        <v>0.4</v>
      </c>
      <c r="Q160" s="14" t="n">
        <f aca="false">IF(O160=0,"",(O160-LEN(SUBSTITUTE(SUBSTITUTE(M160,"G",""),"C","")))/O160)</f>
        <v>0.32</v>
      </c>
      <c r="R160" s="5" t="s">
        <v>249</v>
      </c>
      <c r="S160" s="15" t="s">
        <v>1677</v>
      </c>
      <c r="T160" s="5" t="n">
        <v>216</v>
      </c>
      <c r="U160" s="5" t="s">
        <v>1678</v>
      </c>
      <c r="V160" s="5" t="s">
        <v>47</v>
      </c>
      <c r="W160" s="5"/>
      <c r="X160" s="15" t="s">
        <v>1677</v>
      </c>
      <c r="Y160" s="5"/>
    </row>
    <row r="161" customFormat="false" ht="15" hidden="false" customHeight="false" outlineLevel="0" collapsed="false">
      <c r="A161" s="5" t="s">
        <v>3087</v>
      </c>
      <c r="B161" s="5" t="s">
        <v>244</v>
      </c>
      <c r="C161" s="5" t="s">
        <v>245</v>
      </c>
      <c r="D161" s="6" t="s">
        <v>45</v>
      </c>
      <c r="E161" s="5" t="n">
        <v>2</v>
      </c>
      <c r="F161" s="5" t="s">
        <v>3088</v>
      </c>
      <c r="G161" s="13" t="s">
        <v>3089</v>
      </c>
      <c r="H161" s="5" t="s">
        <v>3090</v>
      </c>
      <c r="I161" s="13" t="s">
        <v>3091</v>
      </c>
      <c r="J161" s="5" t="s">
        <v>3092</v>
      </c>
      <c r="K161" s="5" t="s">
        <v>3093</v>
      </c>
      <c r="L161" s="13" t="s">
        <v>3094</v>
      </c>
      <c r="M161" s="13" t="s">
        <v>3095</v>
      </c>
      <c r="N161" s="5" t="n">
        <f aca="false">LEN(L161)</f>
        <v>25</v>
      </c>
      <c r="O161" s="5" t="n">
        <f aca="false">LEN(M161)</f>
        <v>25</v>
      </c>
      <c r="P161" s="14" t="n">
        <f aca="false">IF(N161=0,"",(N161-LEN(SUBSTITUTE(SUBSTITUTE(L161,"G",""),"C","")))/N161)</f>
        <v>0.56</v>
      </c>
      <c r="Q161" s="14" t="n">
        <f aca="false">IF(O161=0,"",(O161-LEN(SUBSTITUTE(SUBSTITUTE(M161,"G",""),"C","")))/O161)</f>
        <v>0.56</v>
      </c>
      <c r="R161" s="5" t="s">
        <v>249</v>
      </c>
      <c r="S161" s="15" t="s">
        <v>1677</v>
      </c>
      <c r="T161" s="5" t="n">
        <v>286</v>
      </c>
      <c r="U161" s="5" t="s">
        <v>1678</v>
      </c>
      <c r="V161" s="5" t="s">
        <v>47</v>
      </c>
      <c r="W161" s="5"/>
      <c r="X161" s="15" t="s">
        <v>1677</v>
      </c>
      <c r="Y161" s="5"/>
    </row>
    <row r="162" customFormat="false" ht="15" hidden="false" customHeight="false" outlineLevel="0" collapsed="false">
      <c r="A162" s="5" t="s">
        <v>3096</v>
      </c>
      <c r="B162" s="5" t="s">
        <v>244</v>
      </c>
      <c r="C162" s="5" t="s">
        <v>245</v>
      </c>
      <c r="D162" s="6" t="s">
        <v>45</v>
      </c>
      <c r="E162" s="5" t="n">
        <v>3</v>
      </c>
      <c r="F162" s="5" t="s">
        <v>3097</v>
      </c>
      <c r="G162" s="13" t="s">
        <v>3098</v>
      </c>
      <c r="H162" s="5" t="s">
        <v>3099</v>
      </c>
      <c r="I162" s="13" t="s">
        <v>3100</v>
      </c>
      <c r="J162" s="5" t="s">
        <v>3101</v>
      </c>
      <c r="K162" s="5" t="s">
        <v>3102</v>
      </c>
      <c r="L162" s="13" t="s">
        <v>3103</v>
      </c>
      <c r="M162" s="13" t="s">
        <v>3104</v>
      </c>
      <c r="N162" s="5" t="n">
        <f aca="false">LEN(L162)</f>
        <v>25</v>
      </c>
      <c r="O162" s="5" t="n">
        <f aca="false">LEN(M162)</f>
        <v>25</v>
      </c>
      <c r="P162" s="14" t="n">
        <f aca="false">IF(N162=0,"",(N162-LEN(SUBSTITUTE(SUBSTITUTE(L162,"G",""),"C","")))/N162)</f>
        <v>0.48</v>
      </c>
      <c r="Q162" s="14" t="n">
        <f aca="false">IF(O162=0,"",(O162-LEN(SUBSTITUTE(SUBSTITUTE(M162,"G",""),"C","")))/O162)</f>
        <v>0.48</v>
      </c>
      <c r="R162" s="5" t="s">
        <v>249</v>
      </c>
      <c r="S162" s="15" t="s">
        <v>1677</v>
      </c>
      <c r="T162" s="5" t="n">
        <v>356</v>
      </c>
      <c r="U162" s="5" t="s">
        <v>1678</v>
      </c>
      <c r="V162" s="5" t="s">
        <v>47</v>
      </c>
      <c r="W162" s="5"/>
      <c r="X162" s="15" t="s">
        <v>1677</v>
      </c>
      <c r="Y162" s="5"/>
    </row>
    <row r="163" customFormat="false" ht="15" hidden="false" customHeight="false" outlineLevel="0" collapsed="false">
      <c r="A163" s="5" t="s">
        <v>3105</v>
      </c>
      <c r="B163" s="5" t="s">
        <v>244</v>
      </c>
      <c r="C163" s="5" t="s">
        <v>245</v>
      </c>
      <c r="D163" s="6" t="s">
        <v>45</v>
      </c>
      <c r="E163" s="5" t="n">
        <v>4</v>
      </c>
      <c r="F163" s="5" t="s">
        <v>3106</v>
      </c>
      <c r="G163" s="13" t="s">
        <v>3107</v>
      </c>
      <c r="H163" s="5" t="s">
        <v>3108</v>
      </c>
      <c r="I163" s="13" t="s">
        <v>3109</v>
      </c>
      <c r="J163" s="5" t="s">
        <v>3110</v>
      </c>
      <c r="K163" s="5" t="s">
        <v>3111</v>
      </c>
      <c r="L163" s="13" t="s">
        <v>3112</v>
      </c>
      <c r="M163" s="13" t="s">
        <v>3113</v>
      </c>
      <c r="N163" s="5" t="n">
        <f aca="false">LEN(L163)</f>
        <v>25</v>
      </c>
      <c r="O163" s="5" t="n">
        <f aca="false">LEN(M163)</f>
        <v>25</v>
      </c>
      <c r="P163" s="14" t="n">
        <f aca="false">IF(N163=0,"",(N163-LEN(SUBSTITUTE(SUBSTITUTE(L163,"G",""),"C","")))/N163)</f>
        <v>0.44</v>
      </c>
      <c r="Q163" s="14" t="n">
        <f aca="false">IF(O163=0,"",(O163-LEN(SUBSTITUTE(SUBSTITUTE(M163,"G",""),"C","")))/O163)</f>
        <v>0.4</v>
      </c>
      <c r="R163" s="5" t="s">
        <v>249</v>
      </c>
      <c r="S163" s="15" t="s">
        <v>1677</v>
      </c>
      <c r="T163" s="5" t="n">
        <v>426</v>
      </c>
      <c r="U163" s="5" t="s">
        <v>1678</v>
      </c>
      <c r="V163" s="5" t="s">
        <v>47</v>
      </c>
      <c r="W163" s="5"/>
      <c r="X163" s="15" t="s">
        <v>1677</v>
      </c>
      <c r="Y163" s="5"/>
    </row>
    <row r="164" customFormat="false" ht="15" hidden="false" customHeight="false" outlineLevel="0" collapsed="false">
      <c r="A164" s="5" t="s">
        <v>3114</v>
      </c>
      <c r="B164" s="5" t="s">
        <v>244</v>
      </c>
      <c r="C164" s="5" t="s">
        <v>245</v>
      </c>
      <c r="D164" s="6" t="s">
        <v>45</v>
      </c>
      <c r="E164" s="5" t="n">
        <v>5</v>
      </c>
      <c r="F164" s="5" t="s">
        <v>3115</v>
      </c>
      <c r="G164" s="13" t="s">
        <v>3116</v>
      </c>
      <c r="H164" s="5" t="s">
        <v>3117</v>
      </c>
      <c r="I164" s="13" t="s">
        <v>3118</v>
      </c>
      <c r="J164" s="5" t="s">
        <v>3119</v>
      </c>
      <c r="K164" s="5" t="s">
        <v>3120</v>
      </c>
      <c r="L164" s="13" t="s">
        <v>3121</v>
      </c>
      <c r="M164" s="13" t="s">
        <v>3122</v>
      </c>
      <c r="N164" s="5" t="n">
        <f aca="false">LEN(L164)</f>
        <v>25</v>
      </c>
      <c r="O164" s="5" t="n">
        <f aca="false">LEN(M164)</f>
        <v>25</v>
      </c>
      <c r="P164" s="14" t="n">
        <f aca="false">IF(N164=0,"",(N164-LEN(SUBSTITUTE(SUBSTITUTE(L164,"G",""),"C","")))/N164)</f>
        <v>0.48</v>
      </c>
      <c r="Q164" s="14" t="n">
        <f aca="false">IF(O164=0,"",(O164-LEN(SUBSTITUTE(SUBSTITUTE(M164,"G",""),"C","")))/O164)</f>
        <v>0.36</v>
      </c>
      <c r="R164" s="5" t="s">
        <v>249</v>
      </c>
      <c r="S164" s="15" t="s">
        <v>1677</v>
      </c>
      <c r="T164" s="5" t="n">
        <v>496</v>
      </c>
      <c r="U164" s="5" t="s">
        <v>1678</v>
      </c>
      <c r="V164" s="5" t="s">
        <v>47</v>
      </c>
      <c r="W164" s="5"/>
      <c r="X164" s="15" t="s">
        <v>1677</v>
      </c>
      <c r="Y164" s="5"/>
    </row>
    <row r="165" customFormat="false" ht="15" hidden="false" customHeight="false" outlineLevel="0" collapsed="false">
      <c r="A165" s="5" t="s">
        <v>3123</v>
      </c>
      <c r="B165" s="5" t="s">
        <v>244</v>
      </c>
      <c r="C165" s="5" t="s">
        <v>245</v>
      </c>
      <c r="D165" s="6" t="s">
        <v>45</v>
      </c>
      <c r="E165" s="5" t="n">
        <v>6</v>
      </c>
      <c r="F165" s="5" t="s">
        <v>3124</v>
      </c>
      <c r="G165" s="13" t="s">
        <v>3125</v>
      </c>
      <c r="H165" s="5" t="s">
        <v>3126</v>
      </c>
      <c r="I165" s="13" t="s">
        <v>3127</v>
      </c>
      <c r="J165" s="5" t="s">
        <v>3128</v>
      </c>
      <c r="K165" s="5" t="s">
        <v>3129</v>
      </c>
      <c r="L165" s="13" t="s">
        <v>3130</v>
      </c>
      <c r="M165" s="13" t="s">
        <v>3131</v>
      </c>
      <c r="N165" s="5" t="n">
        <f aca="false">LEN(L165)</f>
        <v>25</v>
      </c>
      <c r="O165" s="5" t="n">
        <f aca="false">LEN(M165)</f>
        <v>25</v>
      </c>
      <c r="P165" s="14" t="n">
        <f aca="false">IF(N165=0,"",(N165-LEN(SUBSTITUTE(SUBSTITUTE(L165,"G",""),"C","")))/N165)</f>
        <v>0.4</v>
      </c>
      <c r="Q165" s="14" t="n">
        <f aca="false">IF(O165=0,"",(O165-LEN(SUBSTITUTE(SUBSTITUTE(M165,"G",""),"C","")))/O165)</f>
        <v>0.2</v>
      </c>
      <c r="R165" s="5" t="s">
        <v>249</v>
      </c>
      <c r="S165" s="15" t="s">
        <v>1677</v>
      </c>
      <c r="T165" s="5" t="n">
        <v>566</v>
      </c>
      <c r="U165" s="5" t="s">
        <v>1678</v>
      </c>
      <c r="V165" s="5" t="s">
        <v>47</v>
      </c>
      <c r="W165" s="5"/>
      <c r="X165" s="15" t="s">
        <v>1677</v>
      </c>
      <c r="Y165" s="5"/>
    </row>
    <row r="166" customFormat="false" ht="15" hidden="false" customHeight="false" outlineLevel="0" collapsed="false">
      <c r="A166" s="5" t="s">
        <v>3132</v>
      </c>
      <c r="B166" s="5" t="s">
        <v>251</v>
      </c>
      <c r="C166" s="5" t="s">
        <v>252</v>
      </c>
      <c r="D166" s="6" t="s">
        <v>45</v>
      </c>
      <c r="E166" s="5" t="n">
        <v>1</v>
      </c>
      <c r="F166" s="5" t="s">
        <v>3133</v>
      </c>
      <c r="G166" s="13" t="s">
        <v>3134</v>
      </c>
      <c r="H166" s="5" t="s">
        <v>3135</v>
      </c>
      <c r="I166" s="13" t="s">
        <v>3136</v>
      </c>
      <c r="J166" s="5" t="s">
        <v>3137</v>
      </c>
      <c r="K166" s="5" t="s">
        <v>3138</v>
      </c>
      <c r="L166" s="13" t="s">
        <v>3139</v>
      </c>
      <c r="M166" s="13" t="s">
        <v>3140</v>
      </c>
      <c r="N166" s="5" t="n">
        <f aca="false">LEN(L166)</f>
        <v>25</v>
      </c>
      <c r="O166" s="5" t="n">
        <f aca="false">LEN(M166)</f>
        <v>25</v>
      </c>
      <c r="P166" s="14" t="n">
        <f aca="false">IF(N166=0,"",(N166-LEN(SUBSTITUTE(SUBSTITUTE(L166,"G",""),"C","")))/N166)</f>
        <v>0.68</v>
      </c>
      <c r="Q166" s="14" t="n">
        <f aca="false">IF(O166=0,"",(O166-LEN(SUBSTITUTE(SUBSTITUTE(M166,"G",""),"C","")))/O166)</f>
        <v>0.68</v>
      </c>
      <c r="R166" s="5" t="s">
        <v>256</v>
      </c>
      <c r="S166" s="15" t="s">
        <v>1677</v>
      </c>
      <c r="T166" s="5" t="n">
        <v>732</v>
      </c>
      <c r="U166" s="5" t="s">
        <v>1678</v>
      </c>
      <c r="V166" s="5" t="s">
        <v>47</v>
      </c>
      <c r="W166" s="5"/>
      <c r="X166" s="15" t="s">
        <v>1677</v>
      </c>
      <c r="Y166" s="5"/>
    </row>
    <row r="167" customFormat="false" ht="15" hidden="false" customHeight="false" outlineLevel="0" collapsed="false">
      <c r="A167" s="5" t="s">
        <v>3141</v>
      </c>
      <c r="B167" s="5" t="s">
        <v>251</v>
      </c>
      <c r="C167" s="5" t="s">
        <v>252</v>
      </c>
      <c r="D167" s="6" t="s">
        <v>45</v>
      </c>
      <c r="E167" s="5" t="n">
        <v>2</v>
      </c>
      <c r="F167" s="5" t="s">
        <v>3142</v>
      </c>
      <c r="G167" s="13" t="s">
        <v>3143</v>
      </c>
      <c r="H167" s="5" t="s">
        <v>3144</v>
      </c>
      <c r="I167" s="13" t="s">
        <v>3145</v>
      </c>
      <c r="J167" s="5" t="s">
        <v>3146</v>
      </c>
      <c r="K167" s="5" t="s">
        <v>3147</v>
      </c>
      <c r="L167" s="13" t="s">
        <v>3148</v>
      </c>
      <c r="M167" s="13" t="s">
        <v>3149</v>
      </c>
      <c r="N167" s="5" t="n">
        <f aca="false">LEN(L167)</f>
        <v>25</v>
      </c>
      <c r="O167" s="5" t="n">
        <f aca="false">LEN(M167)</f>
        <v>25</v>
      </c>
      <c r="P167" s="14" t="n">
        <f aca="false">IF(N167=0,"",(N167-LEN(SUBSTITUTE(SUBSTITUTE(L167,"G",""),"C","")))/N167)</f>
        <v>0.72</v>
      </c>
      <c r="Q167" s="14" t="n">
        <f aca="false">IF(O167=0,"",(O167-LEN(SUBSTITUTE(SUBSTITUTE(M167,"G",""),"C","")))/O167)</f>
        <v>0.52</v>
      </c>
      <c r="R167" s="5" t="s">
        <v>256</v>
      </c>
      <c r="S167" s="15" t="s">
        <v>1677</v>
      </c>
      <c r="T167" s="5" t="n">
        <v>863</v>
      </c>
      <c r="U167" s="5" t="s">
        <v>1678</v>
      </c>
      <c r="V167" s="5" t="s">
        <v>47</v>
      </c>
      <c r="W167" s="5"/>
      <c r="X167" s="15" t="s">
        <v>1677</v>
      </c>
      <c r="Y167" s="5"/>
    </row>
    <row r="168" customFormat="false" ht="15" hidden="false" customHeight="false" outlineLevel="0" collapsed="false">
      <c r="A168" s="5" t="s">
        <v>3150</v>
      </c>
      <c r="B168" s="5" t="s">
        <v>251</v>
      </c>
      <c r="C168" s="5" t="s">
        <v>252</v>
      </c>
      <c r="D168" s="6" t="s">
        <v>45</v>
      </c>
      <c r="E168" s="5" t="n">
        <v>3</v>
      </c>
      <c r="F168" s="5" t="s">
        <v>3151</v>
      </c>
      <c r="G168" s="13" t="s">
        <v>3152</v>
      </c>
      <c r="H168" s="5" t="s">
        <v>3153</v>
      </c>
      <c r="I168" s="13" t="s">
        <v>3154</v>
      </c>
      <c r="J168" s="5" t="s">
        <v>3155</v>
      </c>
      <c r="K168" s="5" t="s">
        <v>3156</v>
      </c>
      <c r="L168" s="13" t="s">
        <v>3157</v>
      </c>
      <c r="M168" s="13" t="s">
        <v>3158</v>
      </c>
      <c r="N168" s="5" t="n">
        <f aca="false">LEN(L168)</f>
        <v>25</v>
      </c>
      <c r="O168" s="5" t="n">
        <f aca="false">LEN(M168)</f>
        <v>25</v>
      </c>
      <c r="P168" s="14" t="n">
        <f aca="false">IF(N168=0,"",(N168-LEN(SUBSTITUTE(SUBSTITUTE(L168,"G",""),"C","")))/N168)</f>
        <v>0.52</v>
      </c>
      <c r="Q168" s="14" t="n">
        <f aca="false">IF(O168=0,"",(O168-LEN(SUBSTITUTE(SUBSTITUTE(M168,"G",""),"C","")))/O168)</f>
        <v>0.48</v>
      </c>
      <c r="R168" s="5" t="s">
        <v>256</v>
      </c>
      <c r="S168" s="15" t="s">
        <v>1677</v>
      </c>
      <c r="T168" s="5" t="n">
        <v>995</v>
      </c>
      <c r="U168" s="5" t="s">
        <v>1678</v>
      </c>
      <c r="V168" s="5" t="s">
        <v>47</v>
      </c>
      <c r="W168" s="5"/>
      <c r="X168" s="15" t="s">
        <v>1677</v>
      </c>
      <c r="Y168" s="5"/>
    </row>
    <row r="169" customFormat="false" ht="15" hidden="false" customHeight="false" outlineLevel="0" collapsed="false">
      <c r="A169" s="5" t="s">
        <v>3159</v>
      </c>
      <c r="B169" s="5" t="s">
        <v>251</v>
      </c>
      <c r="C169" s="5" t="s">
        <v>252</v>
      </c>
      <c r="D169" s="6" t="s">
        <v>45</v>
      </c>
      <c r="E169" s="5" t="n">
        <v>4</v>
      </c>
      <c r="F169" s="5" t="s">
        <v>3160</v>
      </c>
      <c r="G169" s="13" t="s">
        <v>3161</v>
      </c>
      <c r="H169" s="5" t="s">
        <v>3162</v>
      </c>
      <c r="I169" s="13" t="s">
        <v>3163</v>
      </c>
      <c r="J169" s="5" t="s">
        <v>3164</v>
      </c>
      <c r="K169" s="5" t="s">
        <v>3165</v>
      </c>
      <c r="L169" s="13" t="s">
        <v>3166</v>
      </c>
      <c r="M169" s="13" t="s">
        <v>3167</v>
      </c>
      <c r="N169" s="5" t="n">
        <f aca="false">LEN(L169)</f>
        <v>25</v>
      </c>
      <c r="O169" s="5" t="n">
        <f aca="false">LEN(M169)</f>
        <v>25</v>
      </c>
      <c r="P169" s="14" t="n">
        <f aca="false">IF(N169=0,"",(N169-LEN(SUBSTITUTE(SUBSTITUTE(L169,"G",""),"C","")))/N169)</f>
        <v>0.6</v>
      </c>
      <c r="Q169" s="14" t="n">
        <f aca="false">IF(O169=0,"",(O169-LEN(SUBSTITUTE(SUBSTITUTE(M169,"G",""),"C","")))/O169)</f>
        <v>0.88</v>
      </c>
      <c r="R169" s="5" t="s">
        <v>256</v>
      </c>
      <c r="S169" s="8" t="s">
        <v>1769</v>
      </c>
      <c r="T169" s="5" t="n">
        <v>1114</v>
      </c>
      <c r="U169" s="5" t="s">
        <v>2986</v>
      </c>
      <c r="V169" s="5" t="s">
        <v>47</v>
      </c>
      <c r="W169" s="5"/>
      <c r="X169" s="8" t="s">
        <v>1769</v>
      </c>
      <c r="Y169" s="8" t="s">
        <v>3168</v>
      </c>
    </row>
    <row r="170" customFormat="false" ht="15" hidden="false" customHeight="false" outlineLevel="0" collapsed="false">
      <c r="A170" s="5" t="s">
        <v>3169</v>
      </c>
      <c r="B170" s="5" t="s">
        <v>251</v>
      </c>
      <c r="C170" s="5" t="s">
        <v>252</v>
      </c>
      <c r="D170" s="6" t="s">
        <v>45</v>
      </c>
      <c r="E170" s="5" t="n">
        <v>5</v>
      </c>
      <c r="F170" s="5" t="s">
        <v>3170</v>
      </c>
      <c r="G170" s="13" t="s">
        <v>3171</v>
      </c>
      <c r="H170" s="5" t="s">
        <v>3172</v>
      </c>
      <c r="I170" s="13" t="s">
        <v>3173</v>
      </c>
      <c r="J170" s="5" t="s">
        <v>3174</v>
      </c>
      <c r="K170" s="5" t="s">
        <v>3175</v>
      </c>
      <c r="L170" s="13" t="s">
        <v>3176</v>
      </c>
      <c r="M170" s="13" t="s">
        <v>3177</v>
      </c>
      <c r="N170" s="5" t="n">
        <f aca="false">LEN(L170)</f>
        <v>25</v>
      </c>
      <c r="O170" s="5" t="n">
        <f aca="false">LEN(M170)</f>
        <v>25</v>
      </c>
      <c r="P170" s="14" t="n">
        <f aca="false">IF(N170=0,"",(N170-LEN(SUBSTITUTE(SUBSTITUTE(L170,"G",""),"C","")))/N170)</f>
        <v>0.6</v>
      </c>
      <c r="Q170" s="14" t="n">
        <f aca="false">IF(O170=0,"",(O170-LEN(SUBSTITUTE(SUBSTITUTE(M170,"G",""),"C","")))/O170)</f>
        <v>0.68</v>
      </c>
      <c r="R170" s="5" t="s">
        <v>256</v>
      </c>
      <c r="S170" s="15" t="s">
        <v>1677</v>
      </c>
      <c r="T170" s="5" t="n">
        <v>1178</v>
      </c>
      <c r="U170" s="5" t="s">
        <v>1678</v>
      </c>
      <c r="V170" s="5" t="s">
        <v>47</v>
      </c>
      <c r="W170" s="5"/>
      <c r="X170" s="15" t="s">
        <v>1677</v>
      </c>
      <c r="Y170" s="5"/>
    </row>
    <row r="171" customFormat="false" ht="15" hidden="false" customHeight="false" outlineLevel="0" collapsed="false">
      <c r="A171" s="5" t="s">
        <v>3178</v>
      </c>
      <c r="B171" s="5" t="s">
        <v>251</v>
      </c>
      <c r="C171" s="5" t="s">
        <v>252</v>
      </c>
      <c r="D171" s="6" t="s">
        <v>45</v>
      </c>
      <c r="E171" s="5" t="n">
        <v>6</v>
      </c>
      <c r="F171" s="5" t="s">
        <v>3179</v>
      </c>
      <c r="G171" s="13" t="s">
        <v>3180</v>
      </c>
      <c r="H171" s="5" t="s">
        <v>3181</v>
      </c>
      <c r="I171" s="13" t="s">
        <v>3182</v>
      </c>
      <c r="J171" s="5" t="s">
        <v>3183</v>
      </c>
      <c r="K171" s="5" t="s">
        <v>3184</v>
      </c>
      <c r="L171" s="13" t="s">
        <v>3185</v>
      </c>
      <c r="M171" s="13" t="s">
        <v>3186</v>
      </c>
      <c r="N171" s="5" t="n">
        <f aca="false">LEN(L171)</f>
        <v>25</v>
      </c>
      <c r="O171" s="5" t="n">
        <f aca="false">LEN(M171)</f>
        <v>25</v>
      </c>
      <c r="P171" s="14" t="n">
        <f aca="false">IF(N171=0,"",(N171-LEN(SUBSTITUTE(SUBSTITUTE(L171,"G",""),"C","")))/N171)</f>
        <v>0.64</v>
      </c>
      <c r="Q171" s="14" t="n">
        <f aca="false">IF(O171=0,"",(O171-LEN(SUBSTITUTE(SUBSTITUTE(M171,"G",""),"C","")))/O171)</f>
        <v>0.6</v>
      </c>
      <c r="R171" s="5" t="s">
        <v>256</v>
      </c>
      <c r="S171" s="15" t="s">
        <v>1677</v>
      </c>
      <c r="T171" s="5" t="n">
        <v>1240</v>
      </c>
      <c r="U171" s="5" t="s">
        <v>1678</v>
      </c>
      <c r="V171" s="5" t="s">
        <v>47</v>
      </c>
      <c r="W171" s="5"/>
      <c r="X171" s="15" t="s">
        <v>1677</v>
      </c>
      <c r="Y171" s="5"/>
    </row>
    <row r="172" customFormat="false" ht="15" hidden="false" customHeight="false" outlineLevel="0" collapsed="false">
      <c r="A172" s="5" t="s">
        <v>3187</v>
      </c>
      <c r="B172" s="5" t="s">
        <v>260</v>
      </c>
      <c r="C172" s="5" t="s">
        <v>261</v>
      </c>
      <c r="D172" s="6" t="s">
        <v>45</v>
      </c>
      <c r="E172" s="5" t="n">
        <v>1</v>
      </c>
      <c r="F172" s="5" t="s">
        <v>3188</v>
      </c>
      <c r="G172" s="13" t="s">
        <v>3189</v>
      </c>
      <c r="H172" s="5" t="s">
        <v>3190</v>
      </c>
      <c r="I172" s="13" t="s">
        <v>3191</v>
      </c>
      <c r="J172" s="5" t="s">
        <v>3192</v>
      </c>
      <c r="K172" s="5" t="s">
        <v>3193</v>
      </c>
      <c r="L172" s="13" t="s">
        <v>3194</v>
      </c>
      <c r="M172" s="13" t="s">
        <v>3195</v>
      </c>
      <c r="N172" s="5" t="n">
        <f aca="false">LEN(L172)</f>
        <v>25</v>
      </c>
      <c r="O172" s="5" t="n">
        <f aca="false">LEN(M172)</f>
        <v>25</v>
      </c>
      <c r="P172" s="14" t="n">
        <f aca="false">IF(N172=0,"",(N172-LEN(SUBSTITUTE(SUBSTITUTE(L172,"G",""),"C","")))/N172)</f>
        <v>0.6</v>
      </c>
      <c r="Q172" s="14" t="n">
        <f aca="false">IF(O172=0,"",(O172-LEN(SUBSTITUTE(SUBSTITUTE(M172,"G",""),"C","")))/O172)</f>
        <v>0.48</v>
      </c>
      <c r="R172" s="5" t="s">
        <v>264</v>
      </c>
      <c r="S172" s="15" t="s">
        <v>1677</v>
      </c>
      <c r="T172" s="5" t="n">
        <v>10</v>
      </c>
      <c r="U172" s="5" t="s">
        <v>1678</v>
      </c>
      <c r="V172" s="5" t="s">
        <v>47</v>
      </c>
      <c r="W172" s="5"/>
      <c r="X172" s="15" t="s">
        <v>1677</v>
      </c>
      <c r="Y172" s="5"/>
    </row>
    <row r="173" customFormat="false" ht="15" hidden="false" customHeight="false" outlineLevel="0" collapsed="false">
      <c r="A173" s="5" t="s">
        <v>3196</v>
      </c>
      <c r="B173" s="5" t="s">
        <v>260</v>
      </c>
      <c r="C173" s="5" t="s">
        <v>261</v>
      </c>
      <c r="D173" s="6" t="s">
        <v>45</v>
      </c>
      <c r="E173" s="5" t="n">
        <v>2</v>
      </c>
      <c r="F173" s="5" t="s">
        <v>3197</v>
      </c>
      <c r="G173" s="13" t="s">
        <v>3198</v>
      </c>
      <c r="H173" s="5" t="s">
        <v>3199</v>
      </c>
      <c r="I173" s="13" t="s">
        <v>3200</v>
      </c>
      <c r="J173" s="5" t="s">
        <v>3201</v>
      </c>
      <c r="K173" s="5" t="s">
        <v>3202</v>
      </c>
      <c r="L173" s="13" t="s">
        <v>3203</v>
      </c>
      <c r="M173" s="13" t="s">
        <v>3204</v>
      </c>
      <c r="N173" s="5" t="n">
        <f aca="false">LEN(L173)</f>
        <v>25</v>
      </c>
      <c r="O173" s="5" t="n">
        <f aca="false">LEN(M173)</f>
        <v>25</v>
      </c>
      <c r="P173" s="14" t="n">
        <f aca="false">IF(N173=0,"",(N173-LEN(SUBSTITUTE(SUBSTITUTE(L173,"G",""),"C","")))/N173)</f>
        <v>0.4</v>
      </c>
      <c r="Q173" s="14" t="n">
        <f aca="false">IF(O173=0,"",(O173-LEN(SUBSTITUTE(SUBSTITUTE(M173,"G",""),"C","")))/O173)</f>
        <v>0.4</v>
      </c>
      <c r="R173" s="5" t="s">
        <v>264</v>
      </c>
      <c r="S173" s="15" t="s">
        <v>1677</v>
      </c>
      <c r="T173" s="5" t="n">
        <v>75</v>
      </c>
      <c r="U173" s="5" t="s">
        <v>1678</v>
      </c>
      <c r="V173" s="5" t="s">
        <v>47</v>
      </c>
      <c r="W173" s="5"/>
      <c r="X173" s="8" t="s">
        <v>2131</v>
      </c>
      <c r="Y173" s="5"/>
    </row>
    <row r="174" customFormat="false" ht="15" hidden="false" customHeight="false" outlineLevel="0" collapsed="false">
      <c r="A174" s="5" t="s">
        <v>3205</v>
      </c>
      <c r="B174" s="5" t="s">
        <v>260</v>
      </c>
      <c r="C174" s="5" t="s">
        <v>261</v>
      </c>
      <c r="D174" s="6" t="s">
        <v>45</v>
      </c>
      <c r="E174" s="5" t="n">
        <v>3</v>
      </c>
      <c r="F174" s="5" t="s">
        <v>3206</v>
      </c>
      <c r="G174" s="13" t="s">
        <v>3207</v>
      </c>
      <c r="H174" s="5" t="s">
        <v>3208</v>
      </c>
      <c r="I174" s="13" t="s">
        <v>3209</v>
      </c>
      <c r="J174" s="5" t="s">
        <v>3210</v>
      </c>
      <c r="K174" s="5" t="s">
        <v>3211</v>
      </c>
      <c r="L174" s="13" t="s">
        <v>3212</v>
      </c>
      <c r="M174" s="13" t="s">
        <v>3213</v>
      </c>
      <c r="N174" s="5" t="n">
        <f aca="false">LEN(L174)</f>
        <v>25</v>
      </c>
      <c r="O174" s="5" t="n">
        <f aca="false">LEN(M174)</f>
        <v>25</v>
      </c>
      <c r="P174" s="14" t="n">
        <f aca="false">IF(N174=0,"",(N174-LEN(SUBSTITUTE(SUBSTITUTE(L174,"G",""),"C","")))/N174)</f>
        <v>0.44</v>
      </c>
      <c r="Q174" s="14" t="n">
        <f aca="false">IF(O174=0,"",(O174-LEN(SUBSTITUTE(SUBSTITUTE(M174,"G",""),"C","")))/O174)</f>
        <v>0.36</v>
      </c>
      <c r="R174" s="5" t="s">
        <v>264</v>
      </c>
      <c r="S174" s="15" t="s">
        <v>1677</v>
      </c>
      <c r="T174" s="5" t="n">
        <v>142</v>
      </c>
      <c r="U174" s="5" t="s">
        <v>1678</v>
      </c>
      <c r="V174" s="5" t="s">
        <v>47</v>
      </c>
      <c r="W174" s="5"/>
      <c r="X174" s="15" t="s">
        <v>1677</v>
      </c>
      <c r="Y174" s="5"/>
    </row>
    <row r="175" customFormat="false" ht="15" hidden="false" customHeight="false" outlineLevel="0" collapsed="false">
      <c r="A175" s="5" t="s">
        <v>3214</v>
      </c>
      <c r="B175" s="5" t="s">
        <v>260</v>
      </c>
      <c r="C175" s="5" t="s">
        <v>261</v>
      </c>
      <c r="D175" s="6" t="s">
        <v>45</v>
      </c>
      <c r="E175" s="5" t="n">
        <v>4</v>
      </c>
      <c r="F175" s="5" t="s">
        <v>3215</v>
      </c>
      <c r="G175" s="13" t="s">
        <v>3216</v>
      </c>
      <c r="H175" s="5" t="s">
        <v>3217</v>
      </c>
      <c r="I175" s="13" t="s">
        <v>3218</v>
      </c>
      <c r="J175" s="5" t="s">
        <v>3219</v>
      </c>
      <c r="K175" s="5" t="s">
        <v>3220</v>
      </c>
      <c r="L175" s="13" t="s">
        <v>3221</v>
      </c>
      <c r="M175" s="13" t="s">
        <v>3222</v>
      </c>
      <c r="N175" s="5" t="n">
        <f aca="false">LEN(L175)</f>
        <v>25</v>
      </c>
      <c r="O175" s="5" t="n">
        <f aca="false">LEN(M175)</f>
        <v>25</v>
      </c>
      <c r="P175" s="14" t="n">
        <f aca="false">IF(N175=0,"",(N175-LEN(SUBSTITUTE(SUBSTITUTE(L175,"G",""),"C","")))/N175)</f>
        <v>0.4</v>
      </c>
      <c r="Q175" s="14" t="n">
        <f aca="false">IF(O175=0,"",(O175-LEN(SUBSTITUTE(SUBSTITUTE(M175,"G",""),"C","")))/O175)</f>
        <v>0.4</v>
      </c>
      <c r="R175" s="5" t="s">
        <v>264</v>
      </c>
      <c r="S175" s="15" t="s">
        <v>1677</v>
      </c>
      <c r="T175" s="5" t="n">
        <v>208</v>
      </c>
      <c r="U175" s="5" t="s">
        <v>1678</v>
      </c>
      <c r="V175" s="5" t="s">
        <v>47</v>
      </c>
      <c r="W175" s="5"/>
      <c r="X175" s="15" t="s">
        <v>1677</v>
      </c>
      <c r="Y175" s="5"/>
    </row>
    <row r="176" customFormat="false" ht="15" hidden="false" customHeight="false" outlineLevel="0" collapsed="false">
      <c r="A176" s="5" t="s">
        <v>3223</v>
      </c>
      <c r="B176" s="5" t="s">
        <v>260</v>
      </c>
      <c r="C176" s="5" t="s">
        <v>261</v>
      </c>
      <c r="D176" s="6" t="s">
        <v>45</v>
      </c>
      <c r="E176" s="5" t="n">
        <v>5</v>
      </c>
      <c r="F176" s="5" t="s">
        <v>3224</v>
      </c>
      <c r="G176" s="13" t="s">
        <v>3225</v>
      </c>
      <c r="H176" s="5" t="s">
        <v>3226</v>
      </c>
      <c r="I176" s="13" t="s">
        <v>3227</v>
      </c>
      <c r="J176" s="5" t="s">
        <v>3228</v>
      </c>
      <c r="K176" s="5" t="s">
        <v>3229</v>
      </c>
      <c r="L176" s="13" t="s">
        <v>3230</v>
      </c>
      <c r="M176" s="13" t="s">
        <v>3231</v>
      </c>
      <c r="N176" s="5" t="n">
        <f aca="false">LEN(L176)</f>
        <v>25</v>
      </c>
      <c r="O176" s="5" t="n">
        <f aca="false">LEN(M176)</f>
        <v>25</v>
      </c>
      <c r="P176" s="14" t="n">
        <f aca="false">IF(N176=0,"",(N176-LEN(SUBSTITUTE(SUBSTITUTE(L176,"G",""),"C","")))/N176)</f>
        <v>0.36</v>
      </c>
      <c r="Q176" s="14" t="n">
        <f aca="false">IF(O176=0,"",(O176-LEN(SUBSTITUTE(SUBSTITUTE(M176,"G",""),"C","")))/O176)</f>
        <v>0.44</v>
      </c>
      <c r="R176" s="5" t="s">
        <v>264</v>
      </c>
      <c r="S176" s="15" t="s">
        <v>1677</v>
      </c>
      <c r="T176" s="5" t="n">
        <v>274</v>
      </c>
      <c r="U176" s="5" t="s">
        <v>1678</v>
      </c>
      <c r="V176" s="5" t="s">
        <v>47</v>
      </c>
      <c r="W176" s="5"/>
      <c r="X176" s="15" t="s">
        <v>1677</v>
      </c>
      <c r="Y176" s="5"/>
    </row>
    <row r="177" customFormat="false" ht="15" hidden="false" customHeight="false" outlineLevel="0" collapsed="false">
      <c r="A177" s="5" t="s">
        <v>3232</v>
      </c>
      <c r="B177" s="5" t="s">
        <v>260</v>
      </c>
      <c r="C177" s="5" t="s">
        <v>261</v>
      </c>
      <c r="D177" s="6" t="s">
        <v>45</v>
      </c>
      <c r="E177" s="5" t="n">
        <v>6</v>
      </c>
      <c r="F177" s="5" t="s">
        <v>3233</v>
      </c>
      <c r="G177" s="13" t="s">
        <v>3234</v>
      </c>
      <c r="H177" s="5" t="s">
        <v>3235</v>
      </c>
      <c r="I177" s="13" t="s">
        <v>3236</v>
      </c>
      <c r="J177" s="5" t="s">
        <v>3237</v>
      </c>
      <c r="K177" s="5" t="s">
        <v>3238</v>
      </c>
      <c r="L177" s="13" t="s">
        <v>3239</v>
      </c>
      <c r="M177" s="13" t="s">
        <v>3240</v>
      </c>
      <c r="N177" s="5" t="n">
        <f aca="false">LEN(L177)</f>
        <v>25</v>
      </c>
      <c r="O177" s="5" t="n">
        <f aca="false">LEN(M177)</f>
        <v>25</v>
      </c>
      <c r="P177" s="14" t="n">
        <f aca="false">IF(N177=0,"",(N177-LEN(SUBSTITUTE(SUBSTITUTE(L177,"G",""),"C","")))/N177)</f>
        <v>0.36</v>
      </c>
      <c r="Q177" s="14" t="n">
        <f aca="false">IF(O177=0,"",(O177-LEN(SUBSTITUTE(SUBSTITUTE(M177,"G",""),"C","")))/O177)</f>
        <v>0.44</v>
      </c>
      <c r="R177" s="5" t="s">
        <v>264</v>
      </c>
      <c r="S177" s="15" t="s">
        <v>1677</v>
      </c>
      <c r="T177" s="5" t="n">
        <v>340</v>
      </c>
      <c r="U177" s="5" t="s">
        <v>1678</v>
      </c>
      <c r="V177" s="5" t="s">
        <v>47</v>
      </c>
      <c r="W177" s="5"/>
      <c r="X177" s="15" t="s">
        <v>1677</v>
      </c>
      <c r="Y177" s="5"/>
    </row>
    <row r="178" customFormat="false" ht="15" hidden="false" customHeight="false" outlineLevel="0" collapsed="false">
      <c r="A178" s="5" t="s">
        <v>3241</v>
      </c>
      <c r="B178" s="5" t="s">
        <v>260</v>
      </c>
      <c r="C178" s="5" t="s">
        <v>261</v>
      </c>
      <c r="D178" s="6" t="s">
        <v>45</v>
      </c>
      <c r="E178" s="5" t="n">
        <v>7</v>
      </c>
      <c r="F178" s="5" t="s">
        <v>3242</v>
      </c>
      <c r="G178" s="13" t="s">
        <v>3243</v>
      </c>
      <c r="H178" s="5" t="s">
        <v>3244</v>
      </c>
      <c r="I178" s="13" t="s">
        <v>3245</v>
      </c>
      <c r="J178" s="5" t="s">
        <v>3246</v>
      </c>
      <c r="K178" s="5" t="s">
        <v>3247</v>
      </c>
      <c r="L178" s="13" t="s">
        <v>3248</v>
      </c>
      <c r="M178" s="13" t="s">
        <v>3249</v>
      </c>
      <c r="N178" s="5" t="n">
        <f aca="false">LEN(L178)</f>
        <v>25</v>
      </c>
      <c r="O178" s="5" t="n">
        <f aca="false">LEN(M178)</f>
        <v>25</v>
      </c>
      <c r="P178" s="14" t="n">
        <f aca="false">IF(N178=0,"",(N178-LEN(SUBSTITUTE(SUBSTITUTE(L178,"G",""),"C","")))/N178)</f>
        <v>0.36</v>
      </c>
      <c r="Q178" s="14" t="n">
        <f aca="false">IF(O178=0,"",(O178-LEN(SUBSTITUTE(SUBSTITUTE(M178,"G",""),"C","")))/O178)</f>
        <v>0.28</v>
      </c>
      <c r="R178" s="5" t="s">
        <v>264</v>
      </c>
      <c r="S178" s="15" t="s">
        <v>1677</v>
      </c>
      <c r="T178" s="5" t="n">
        <v>408</v>
      </c>
      <c r="U178" s="5" t="s">
        <v>1678</v>
      </c>
      <c r="V178" s="5" t="s">
        <v>47</v>
      </c>
      <c r="W178" s="5"/>
      <c r="X178" s="15" t="s">
        <v>1677</v>
      </c>
      <c r="Y178" s="5"/>
    </row>
    <row r="179" customFormat="false" ht="15" hidden="false" customHeight="false" outlineLevel="0" collapsed="false">
      <c r="A179" s="5" t="s">
        <v>3250</v>
      </c>
      <c r="B179" s="5" t="s">
        <v>260</v>
      </c>
      <c r="C179" s="5" t="s">
        <v>261</v>
      </c>
      <c r="D179" s="6" t="s">
        <v>45</v>
      </c>
      <c r="E179" s="5" t="n">
        <v>8</v>
      </c>
      <c r="F179" s="5" t="s">
        <v>3251</v>
      </c>
      <c r="G179" s="13" t="s">
        <v>3252</v>
      </c>
      <c r="H179" s="5" t="s">
        <v>3253</v>
      </c>
      <c r="I179" s="13" t="s">
        <v>3254</v>
      </c>
      <c r="J179" s="5" t="s">
        <v>3255</v>
      </c>
      <c r="K179" s="5" t="s">
        <v>3256</v>
      </c>
      <c r="L179" s="13" t="s">
        <v>3257</v>
      </c>
      <c r="M179" s="13" t="s">
        <v>3258</v>
      </c>
      <c r="N179" s="5" t="n">
        <f aca="false">LEN(L179)</f>
        <v>25</v>
      </c>
      <c r="O179" s="5" t="n">
        <f aca="false">LEN(M179)</f>
        <v>25</v>
      </c>
      <c r="P179" s="14" t="n">
        <f aca="false">IF(N179=0,"",(N179-LEN(SUBSTITUTE(SUBSTITUTE(L179,"G",""),"C","")))/N179)</f>
        <v>0.4</v>
      </c>
      <c r="Q179" s="14" t="n">
        <f aca="false">IF(O179=0,"",(O179-LEN(SUBSTITUTE(SUBSTITUTE(M179,"G",""),"C","")))/O179)</f>
        <v>0.4</v>
      </c>
      <c r="R179" s="5" t="s">
        <v>264</v>
      </c>
      <c r="S179" s="15" t="s">
        <v>1677</v>
      </c>
      <c r="T179" s="5" t="n">
        <v>476</v>
      </c>
      <c r="U179" s="5" t="s">
        <v>1678</v>
      </c>
      <c r="V179" s="5" t="s">
        <v>47</v>
      </c>
      <c r="W179" s="5"/>
      <c r="X179" s="15" t="s">
        <v>1677</v>
      </c>
      <c r="Y179" s="5"/>
    </row>
    <row r="180" customFormat="false" ht="15" hidden="false" customHeight="false" outlineLevel="0" collapsed="false">
      <c r="A180" s="5" t="s">
        <v>3259</v>
      </c>
      <c r="B180" s="5" t="s">
        <v>260</v>
      </c>
      <c r="C180" s="5" t="s">
        <v>261</v>
      </c>
      <c r="D180" s="6" t="s">
        <v>45</v>
      </c>
      <c r="E180" s="5" t="n">
        <v>9</v>
      </c>
      <c r="F180" s="5" t="s">
        <v>3260</v>
      </c>
      <c r="G180" s="13" t="s">
        <v>3261</v>
      </c>
      <c r="H180" s="5" t="s">
        <v>3262</v>
      </c>
      <c r="I180" s="13" t="s">
        <v>3263</v>
      </c>
      <c r="J180" s="5" t="s">
        <v>3264</v>
      </c>
      <c r="K180" s="5" t="s">
        <v>3265</v>
      </c>
      <c r="L180" s="13" t="s">
        <v>3266</v>
      </c>
      <c r="M180" s="13" t="s">
        <v>3267</v>
      </c>
      <c r="N180" s="5" t="n">
        <f aca="false">LEN(L180)</f>
        <v>25</v>
      </c>
      <c r="O180" s="5" t="n">
        <f aca="false">LEN(M180)</f>
        <v>25</v>
      </c>
      <c r="P180" s="14" t="n">
        <f aca="false">IF(N180=0,"",(N180-LEN(SUBSTITUTE(SUBSTITUTE(L180,"G",""),"C","")))/N180)</f>
        <v>0.4</v>
      </c>
      <c r="Q180" s="14" t="n">
        <f aca="false">IF(O180=0,"",(O180-LEN(SUBSTITUTE(SUBSTITUTE(M180,"G",""),"C","")))/O180)</f>
        <v>0.36</v>
      </c>
      <c r="R180" s="5" t="s">
        <v>264</v>
      </c>
      <c r="S180" s="15" t="s">
        <v>1677</v>
      </c>
      <c r="T180" s="5" t="n">
        <v>543</v>
      </c>
      <c r="U180" s="5" t="s">
        <v>1678</v>
      </c>
      <c r="V180" s="5" t="s">
        <v>47</v>
      </c>
      <c r="W180" s="5"/>
      <c r="X180" s="8" t="s">
        <v>1914</v>
      </c>
      <c r="Y180" s="5"/>
    </row>
    <row r="181" customFormat="false" ht="15" hidden="false" customHeight="false" outlineLevel="0" collapsed="false">
      <c r="A181" s="5" t="s">
        <v>3268</v>
      </c>
      <c r="B181" s="5" t="s">
        <v>260</v>
      </c>
      <c r="C181" s="5" t="s">
        <v>261</v>
      </c>
      <c r="D181" s="6" t="s">
        <v>45</v>
      </c>
      <c r="E181" s="5" t="n">
        <v>10</v>
      </c>
      <c r="F181" s="5" t="s">
        <v>3269</v>
      </c>
      <c r="G181" s="13" t="s">
        <v>3270</v>
      </c>
      <c r="H181" s="5" t="s">
        <v>3271</v>
      </c>
      <c r="I181" s="13" t="s">
        <v>3272</v>
      </c>
      <c r="J181" s="5" t="s">
        <v>3273</v>
      </c>
      <c r="K181" s="5" t="s">
        <v>3274</v>
      </c>
      <c r="L181" s="13" t="s">
        <v>3275</v>
      </c>
      <c r="M181" s="13" t="s">
        <v>3276</v>
      </c>
      <c r="N181" s="5" t="n">
        <f aca="false">LEN(L181)</f>
        <v>25</v>
      </c>
      <c r="O181" s="5" t="n">
        <f aca="false">LEN(M181)</f>
        <v>25</v>
      </c>
      <c r="P181" s="14" t="n">
        <f aca="false">IF(N181=0,"",(N181-LEN(SUBSTITUTE(SUBSTITUTE(L181,"G",""),"C","")))/N181)</f>
        <v>0.28</v>
      </c>
      <c r="Q181" s="14" t="n">
        <f aca="false">IF(O181=0,"",(O181-LEN(SUBSTITUTE(SUBSTITUTE(M181,"G",""),"C","")))/O181)</f>
        <v>0.4</v>
      </c>
      <c r="R181" s="5" t="s">
        <v>264</v>
      </c>
      <c r="S181" s="15" t="s">
        <v>1677</v>
      </c>
      <c r="T181" s="5" t="n">
        <v>610</v>
      </c>
      <c r="U181" s="5" t="s">
        <v>1678</v>
      </c>
      <c r="V181" s="5" t="s">
        <v>47</v>
      </c>
      <c r="W181" s="5"/>
      <c r="X181" s="8" t="s">
        <v>1914</v>
      </c>
      <c r="Y181" s="5"/>
    </row>
    <row r="182" customFormat="false" ht="15" hidden="false" customHeight="false" outlineLevel="0" collapsed="false">
      <c r="A182" s="5" t="s">
        <v>3277</v>
      </c>
      <c r="B182" s="5" t="s">
        <v>268</v>
      </c>
      <c r="C182" s="5" t="s">
        <v>269</v>
      </c>
      <c r="D182" s="6" t="s">
        <v>45</v>
      </c>
      <c r="E182" s="5" t="n">
        <v>1</v>
      </c>
      <c r="F182" s="5" t="s">
        <v>3278</v>
      </c>
      <c r="G182" s="13" t="s">
        <v>3279</v>
      </c>
      <c r="H182" s="5" t="s">
        <v>3280</v>
      </c>
      <c r="I182" s="13" t="s">
        <v>3281</v>
      </c>
      <c r="J182" s="5" t="s">
        <v>3282</v>
      </c>
      <c r="K182" s="5" t="s">
        <v>3283</v>
      </c>
      <c r="L182" s="13" t="s">
        <v>3284</v>
      </c>
      <c r="M182" s="13" t="s">
        <v>3285</v>
      </c>
      <c r="N182" s="5" t="n">
        <f aca="false">LEN(L182)</f>
        <v>25</v>
      </c>
      <c r="O182" s="5" t="n">
        <f aca="false">LEN(M182)</f>
        <v>25</v>
      </c>
      <c r="P182" s="14" t="n">
        <f aca="false">IF(N182=0,"",(N182-LEN(SUBSTITUTE(SUBSTITUTE(L182,"G",""),"C","")))/N182)</f>
        <v>0.44</v>
      </c>
      <c r="Q182" s="14" t="n">
        <f aca="false">IF(O182=0,"",(O182-LEN(SUBSTITUTE(SUBSTITUTE(M182,"G",""),"C","")))/O182)</f>
        <v>0.16</v>
      </c>
      <c r="R182" s="5" t="s">
        <v>271</v>
      </c>
      <c r="S182" s="15" t="s">
        <v>1677</v>
      </c>
      <c r="T182" s="5" t="n">
        <v>3</v>
      </c>
      <c r="U182" s="5" t="s">
        <v>1678</v>
      </c>
      <c r="V182" s="5" t="s">
        <v>47</v>
      </c>
      <c r="W182" s="5"/>
      <c r="X182" s="8" t="s">
        <v>2131</v>
      </c>
      <c r="Y182" s="5"/>
    </row>
    <row r="183" customFormat="false" ht="15" hidden="false" customHeight="false" outlineLevel="0" collapsed="false">
      <c r="A183" s="5" t="s">
        <v>3286</v>
      </c>
      <c r="B183" s="5" t="s">
        <v>268</v>
      </c>
      <c r="C183" s="5" t="s">
        <v>269</v>
      </c>
      <c r="D183" s="6" t="s">
        <v>45</v>
      </c>
      <c r="E183" s="5" t="n">
        <v>2</v>
      </c>
      <c r="F183" s="5" t="s">
        <v>3287</v>
      </c>
      <c r="G183" s="13" t="s">
        <v>3288</v>
      </c>
      <c r="H183" s="5" t="s">
        <v>3289</v>
      </c>
      <c r="I183" s="13" t="s">
        <v>3290</v>
      </c>
      <c r="J183" s="5" t="s">
        <v>3291</v>
      </c>
      <c r="K183" s="5" t="s">
        <v>3292</v>
      </c>
      <c r="L183" s="13" t="s">
        <v>3293</v>
      </c>
      <c r="M183" s="13" t="s">
        <v>3294</v>
      </c>
      <c r="N183" s="5" t="n">
        <f aca="false">LEN(L183)</f>
        <v>25</v>
      </c>
      <c r="O183" s="5" t="n">
        <f aca="false">LEN(M183)</f>
        <v>25</v>
      </c>
      <c r="P183" s="14" t="n">
        <f aca="false">IF(N183=0,"",(N183-LEN(SUBSTITUTE(SUBSTITUTE(L183,"G",""),"C","")))/N183)</f>
        <v>0.24</v>
      </c>
      <c r="Q183" s="14" t="n">
        <f aca="false">IF(O183=0,"",(O183-LEN(SUBSTITUTE(SUBSTITUTE(M183,"G",""),"C","")))/O183)</f>
        <v>0.36</v>
      </c>
      <c r="R183" s="5" t="s">
        <v>271</v>
      </c>
      <c r="S183" s="15" t="s">
        <v>1677</v>
      </c>
      <c r="T183" s="5" t="n">
        <v>60</v>
      </c>
      <c r="U183" s="5" t="s">
        <v>1678</v>
      </c>
      <c r="V183" s="5" t="s">
        <v>47</v>
      </c>
      <c r="W183" s="5"/>
      <c r="X183" s="8" t="s">
        <v>2131</v>
      </c>
      <c r="Y183" s="5"/>
    </row>
    <row r="184" customFormat="false" ht="15" hidden="false" customHeight="false" outlineLevel="0" collapsed="false">
      <c r="A184" s="5" t="s">
        <v>3295</v>
      </c>
      <c r="B184" s="5" t="s">
        <v>268</v>
      </c>
      <c r="C184" s="5" t="s">
        <v>269</v>
      </c>
      <c r="D184" s="6" t="s">
        <v>45</v>
      </c>
      <c r="E184" s="5" t="n">
        <v>3</v>
      </c>
      <c r="F184" s="5" t="s">
        <v>3296</v>
      </c>
      <c r="G184" s="13" t="s">
        <v>3297</v>
      </c>
      <c r="H184" s="5" t="s">
        <v>3298</v>
      </c>
      <c r="I184" s="13" t="s">
        <v>3299</v>
      </c>
      <c r="J184" s="5" t="s">
        <v>3300</v>
      </c>
      <c r="K184" s="5" t="s">
        <v>3301</v>
      </c>
      <c r="L184" s="13" t="s">
        <v>3302</v>
      </c>
      <c r="M184" s="13" t="s">
        <v>3303</v>
      </c>
      <c r="N184" s="5" t="n">
        <f aca="false">LEN(L184)</f>
        <v>25</v>
      </c>
      <c r="O184" s="5" t="n">
        <f aca="false">LEN(M184)</f>
        <v>25</v>
      </c>
      <c r="P184" s="14" t="n">
        <f aca="false">IF(N184=0,"",(N184-LEN(SUBSTITUTE(SUBSTITUTE(L184,"G",""),"C","")))/N184)</f>
        <v>0.28</v>
      </c>
      <c r="Q184" s="14" t="n">
        <f aca="false">IF(O184=0,"",(O184-LEN(SUBSTITUTE(SUBSTITUTE(M184,"G",""),"C","")))/O184)</f>
        <v>0.2</v>
      </c>
      <c r="R184" s="5" t="s">
        <v>271</v>
      </c>
      <c r="S184" s="15" t="s">
        <v>1677</v>
      </c>
      <c r="T184" s="5" t="n">
        <v>118</v>
      </c>
      <c r="U184" s="5" t="s">
        <v>1678</v>
      </c>
      <c r="V184" s="5" t="s">
        <v>47</v>
      </c>
      <c r="W184" s="5"/>
      <c r="X184" s="8" t="s">
        <v>2131</v>
      </c>
      <c r="Y184" s="5"/>
    </row>
    <row r="185" customFormat="false" ht="15" hidden="false" customHeight="false" outlineLevel="0" collapsed="false">
      <c r="A185" s="5" t="s">
        <v>3304</v>
      </c>
      <c r="B185" s="5" t="s">
        <v>272</v>
      </c>
      <c r="C185" s="5" t="s">
        <v>273</v>
      </c>
      <c r="D185" s="6" t="s">
        <v>45</v>
      </c>
      <c r="E185" s="5" t="n">
        <v>1</v>
      </c>
      <c r="F185" s="5" t="s">
        <v>3305</v>
      </c>
      <c r="G185" s="13" t="s">
        <v>3306</v>
      </c>
      <c r="H185" s="5" t="s">
        <v>3307</v>
      </c>
      <c r="I185" s="13" t="s">
        <v>3308</v>
      </c>
      <c r="J185" s="5" t="s">
        <v>3309</v>
      </c>
      <c r="K185" s="5" t="s">
        <v>3310</v>
      </c>
      <c r="L185" s="13" t="s">
        <v>3311</v>
      </c>
      <c r="M185" s="13" t="s">
        <v>3312</v>
      </c>
      <c r="N185" s="5" t="n">
        <f aca="false">LEN(L185)</f>
        <v>25</v>
      </c>
      <c r="O185" s="5" t="n">
        <f aca="false">LEN(M185)</f>
        <v>25</v>
      </c>
      <c r="P185" s="14" t="n">
        <f aca="false">IF(N185=0,"",(N185-LEN(SUBSTITUTE(SUBSTITUTE(L185,"G",""),"C","")))/N185)</f>
        <v>0.48</v>
      </c>
      <c r="Q185" s="14" t="n">
        <f aca="false">IF(O185=0,"",(O185-LEN(SUBSTITUTE(SUBSTITUTE(M185,"G",""),"C","")))/O185)</f>
        <v>0.32</v>
      </c>
      <c r="R185" s="5" t="s">
        <v>277</v>
      </c>
      <c r="S185" s="15" t="s">
        <v>1677</v>
      </c>
      <c r="T185" s="5" t="n">
        <v>76</v>
      </c>
      <c r="U185" s="5" t="s">
        <v>1678</v>
      </c>
      <c r="V185" s="5" t="s">
        <v>47</v>
      </c>
      <c r="W185" s="5"/>
      <c r="X185" s="15" t="s">
        <v>1677</v>
      </c>
      <c r="Y185" s="5"/>
    </row>
    <row r="186" customFormat="false" ht="15" hidden="false" customHeight="false" outlineLevel="0" collapsed="false">
      <c r="A186" s="5" t="s">
        <v>3313</v>
      </c>
      <c r="B186" s="5" t="s">
        <v>272</v>
      </c>
      <c r="C186" s="5" t="s">
        <v>273</v>
      </c>
      <c r="D186" s="6" t="s">
        <v>45</v>
      </c>
      <c r="E186" s="5" t="n">
        <v>2</v>
      </c>
      <c r="F186" s="5" t="s">
        <v>3314</v>
      </c>
      <c r="G186" s="13" t="s">
        <v>3315</v>
      </c>
      <c r="H186" s="5" t="s">
        <v>3316</v>
      </c>
      <c r="I186" s="13" t="s">
        <v>3317</v>
      </c>
      <c r="J186" s="5" t="s">
        <v>3318</v>
      </c>
      <c r="K186" s="5" t="s">
        <v>3319</v>
      </c>
      <c r="L186" s="13" t="s">
        <v>3320</v>
      </c>
      <c r="M186" s="13" t="s">
        <v>3321</v>
      </c>
      <c r="N186" s="5" t="n">
        <f aca="false">LEN(L186)</f>
        <v>25</v>
      </c>
      <c r="O186" s="5" t="n">
        <f aca="false">LEN(M186)</f>
        <v>25</v>
      </c>
      <c r="P186" s="14" t="n">
        <f aca="false">IF(N186=0,"",(N186-LEN(SUBSTITUTE(SUBSTITUTE(L186,"G",""),"C","")))/N186)</f>
        <v>0.4</v>
      </c>
      <c r="Q186" s="14" t="n">
        <f aca="false">IF(O186=0,"",(O186-LEN(SUBSTITUTE(SUBSTITUTE(M186,"G",""),"C","")))/O186)</f>
        <v>0.36</v>
      </c>
      <c r="R186" s="5" t="s">
        <v>277</v>
      </c>
      <c r="S186" s="15" t="s">
        <v>1677</v>
      </c>
      <c r="T186" s="5" t="n">
        <v>146</v>
      </c>
      <c r="U186" s="5" t="s">
        <v>1678</v>
      </c>
      <c r="V186" s="5" t="s">
        <v>47</v>
      </c>
      <c r="W186" s="5"/>
      <c r="X186" s="15" t="s">
        <v>1677</v>
      </c>
      <c r="Y186" s="5"/>
    </row>
    <row r="187" customFormat="false" ht="15" hidden="false" customHeight="false" outlineLevel="0" collapsed="false">
      <c r="A187" s="5" t="s">
        <v>3322</v>
      </c>
      <c r="B187" s="5" t="s">
        <v>272</v>
      </c>
      <c r="C187" s="5" t="s">
        <v>273</v>
      </c>
      <c r="D187" s="6" t="s">
        <v>45</v>
      </c>
      <c r="E187" s="5" t="n">
        <v>3</v>
      </c>
      <c r="F187" s="5" t="s">
        <v>3323</v>
      </c>
      <c r="G187" s="13" t="s">
        <v>3324</v>
      </c>
      <c r="H187" s="5" t="s">
        <v>3325</v>
      </c>
      <c r="I187" s="13" t="s">
        <v>3326</v>
      </c>
      <c r="J187" s="5" t="s">
        <v>3327</v>
      </c>
      <c r="K187" s="5" t="s">
        <v>3328</v>
      </c>
      <c r="L187" s="13" t="s">
        <v>3329</v>
      </c>
      <c r="M187" s="13" t="s">
        <v>3330</v>
      </c>
      <c r="N187" s="5" t="n">
        <f aca="false">LEN(L187)</f>
        <v>25</v>
      </c>
      <c r="O187" s="5" t="n">
        <f aca="false">LEN(M187)</f>
        <v>25</v>
      </c>
      <c r="P187" s="14" t="n">
        <f aca="false">IF(N187=0,"",(N187-LEN(SUBSTITUTE(SUBSTITUTE(L187,"G",""),"C","")))/N187)</f>
        <v>0.32</v>
      </c>
      <c r="Q187" s="14" t="n">
        <f aca="false">IF(O187=0,"",(O187-LEN(SUBSTITUTE(SUBSTITUTE(M187,"G",""),"C","")))/O187)</f>
        <v>0.44</v>
      </c>
      <c r="R187" s="5" t="s">
        <v>277</v>
      </c>
      <c r="S187" s="15" t="s">
        <v>1677</v>
      </c>
      <c r="T187" s="5" t="n">
        <v>216</v>
      </c>
      <c r="U187" s="5" t="s">
        <v>1678</v>
      </c>
      <c r="V187" s="5" t="s">
        <v>47</v>
      </c>
      <c r="W187" s="5"/>
      <c r="X187" s="15" t="s">
        <v>1677</v>
      </c>
      <c r="Y187" s="5"/>
    </row>
    <row r="188" customFormat="false" ht="15" hidden="false" customHeight="false" outlineLevel="0" collapsed="false">
      <c r="A188" s="5" t="s">
        <v>3331</v>
      </c>
      <c r="B188" s="5" t="s">
        <v>272</v>
      </c>
      <c r="C188" s="5" t="s">
        <v>273</v>
      </c>
      <c r="D188" s="6" t="s">
        <v>45</v>
      </c>
      <c r="E188" s="5" t="n">
        <v>4</v>
      </c>
      <c r="F188" s="5" t="s">
        <v>3332</v>
      </c>
      <c r="G188" s="13" t="s">
        <v>3333</v>
      </c>
      <c r="H188" s="5" t="s">
        <v>3334</v>
      </c>
      <c r="I188" s="13" t="s">
        <v>3335</v>
      </c>
      <c r="J188" s="5" t="s">
        <v>3336</v>
      </c>
      <c r="K188" s="5" t="s">
        <v>3337</v>
      </c>
      <c r="L188" s="13" t="s">
        <v>3338</v>
      </c>
      <c r="M188" s="13" t="s">
        <v>3339</v>
      </c>
      <c r="N188" s="5" t="n">
        <f aca="false">LEN(L188)</f>
        <v>25</v>
      </c>
      <c r="O188" s="5" t="n">
        <f aca="false">LEN(M188)</f>
        <v>25</v>
      </c>
      <c r="P188" s="14" t="n">
        <f aca="false">IF(N188=0,"",(N188-LEN(SUBSTITUTE(SUBSTITUTE(L188,"G",""),"C","")))/N188)</f>
        <v>0.48</v>
      </c>
      <c r="Q188" s="14" t="n">
        <f aca="false">IF(O188=0,"",(O188-LEN(SUBSTITUTE(SUBSTITUTE(M188,"G",""),"C","")))/O188)</f>
        <v>0.48</v>
      </c>
      <c r="R188" s="5" t="s">
        <v>277</v>
      </c>
      <c r="S188" s="15" t="s">
        <v>1677</v>
      </c>
      <c r="T188" s="5" t="n">
        <v>286</v>
      </c>
      <c r="U188" s="5" t="s">
        <v>1678</v>
      </c>
      <c r="V188" s="5" t="s">
        <v>47</v>
      </c>
      <c r="W188" s="5"/>
      <c r="X188" s="15" t="s">
        <v>1677</v>
      </c>
      <c r="Y188" s="5"/>
    </row>
    <row r="189" customFormat="false" ht="15" hidden="false" customHeight="false" outlineLevel="0" collapsed="false">
      <c r="A189" s="5" t="s">
        <v>3340</v>
      </c>
      <c r="B189" s="5" t="s">
        <v>272</v>
      </c>
      <c r="C189" s="5" t="s">
        <v>273</v>
      </c>
      <c r="D189" s="6" t="s">
        <v>45</v>
      </c>
      <c r="E189" s="5" t="n">
        <v>5</v>
      </c>
      <c r="F189" s="5" t="s">
        <v>3341</v>
      </c>
      <c r="G189" s="13" t="s">
        <v>3342</v>
      </c>
      <c r="H189" s="5" t="s">
        <v>3343</v>
      </c>
      <c r="I189" s="13" t="s">
        <v>3344</v>
      </c>
      <c r="J189" s="5" t="s">
        <v>3345</v>
      </c>
      <c r="K189" s="5" t="s">
        <v>3346</v>
      </c>
      <c r="L189" s="13" t="s">
        <v>3347</v>
      </c>
      <c r="M189" s="13" t="s">
        <v>3348</v>
      </c>
      <c r="N189" s="5" t="n">
        <f aca="false">LEN(L189)</f>
        <v>25</v>
      </c>
      <c r="O189" s="5" t="n">
        <f aca="false">LEN(M189)</f>
        <v>25</v>
      </c>
      <c r="P189" s="14" t="n">
        <f aca="false">IF(N189=0,"",(N189-LEN(SUBSTITUTE(SUBSTITUTE(L189,"G",""),"C","")))/N189)</f>
        <v>0.36</v>
      </c>
      <c r="Q189" s="14" t="n">
        <f aca="false">IF(O189=0,"",(O189-LEN(SUBSTITUTE(SUBSTITUTE(M189,"G",""),"C","")))/O189)</f>
        <v>0.32</v>
      </c>
      <c r="R189" s="5" t="s">
        <v>277</v>
      </c>
      <c r="S189" s="15" t="s">
        <v>1677</v>
      </c>
      <c r="T189" s="5" t="n">
        <v>356</v>
      </c>
      <c r="U189" s="5" t="s">
        <v>1678</v>
      </c>
      <c r="V189" s="5" t="s">
        <v>47</v>
      </c>
      <c r="W189" s="5"/>
      <c r="X189" s="15" t="s">
        <v>1677</v>
      </c>
      <c r="Y189" s="5"/>
    </row>
    <row r="190" customFormat="false" ht="15" hidden="false" customHeight="false" outlineLevel="0" collapsed="false">
      <c r="A190" s="5" t="s">
        <v>3349</v>
      </c>
      <c r="B190" s="5" t="s">
        <v>272</v>
      </c>
      <c r="C190" s="5" t="s">
        <v>273</v>
      </c>
      <c r="D190" s="6" t="s">
        <v>45</v>
      </c>
      <c r="E190" s="5" t="n">
        <v>6</v>
      </c>
      <c r="F190" s="5" t="s">
        <v>3350</v>
      </c>
      <c r="G190" s="13" t="s">
        <v>3351</v>
      </c>
      <c r="H190" s="5" t="s">
        <v>3352</v>
      </c>
      <c r="I190" s="13" t="s">
        <v>3353</v>
      </c>
      <c r="J190" s="5" t="s">
        <v>3354</v>
      </c>
      <c r="K190" s="5" t="s">
        <v>3355</v>
      </c>
      <c r="L190" s="13" t="s">
        <v>3356</v>
      </c>
      <c r="M190" s="13" t="s">
        <v>3357</v>
      </c>
      <c r="N190" s="5" t="n">
        <f aca="false">LEN(L190)</f>
        <v>25</v>
      </c>
      <c r="O190" s="5" t="n">
        <f aca="false">LEN(M190)</f>
        <v>25</v>
      </c>
      <c r="P190" s="14" t="n">
        <f aca="false">IF(N190=0,"",(N190-LEN(SUBSTITUTE(SUBSTITUTE(L190,"G",""),"C","")))/N190)</f>
        <v>0.44</v>
      </c>
      <c r="Q190" s="14" t="n">
        <f aca="false">IF(O190=0,"",(O190-LEN(SUBSTITUTE(SUBSTITUTE(M190,"G",""),"C","")))/O190)</f>
        <v>0.16</v>
      </c>
      <c r="R190" s="5" t="s">
        <v>277</v>
      </c>
      <c r="S190" s="15" t="s">
        <v>1677</v>
      </c>
      <c r="T190" s="5" t="n">
        <v>426</v>
      </c>
      <c r="U190" s="5" t="s">
        <v>1678</v>
      </c>
      <c r="V190" s="5" t="s">
        <v>47</v>
      </c>
      <c r="W190" s="5"/>
      <c r="X190" s="15" t="s">
        <v>1677</v>
      </c>
      <c r="Y190" s="5"/>
    </row>
    <row r="191" customFormat="false" ht="15" hidden="false" customHeight="false" outlineLevel="0" collapsed="false">
      <c r="A191" s="5" t="s">
        <v>3358</v>
      </c>
      <c r="B191" s="5" t="s">
        <v>280</v>
      </c>
      <c r="C191" s="5" t="s">
        <v>281</v>
      </c>
      <c r="D191" s="6" t="s">
        <v>45</v>
      </c>
      <c r="E191" s="5" t="n">
        <v>1</v>
      </c>
      <c r="F191" s="5" t="s">
        <v>3359</v>
      </c>
      <c r="G191" s="13" t="s">
        <v>3360</v>
      </c>
      <c r="H191" s="5" t="s">
        <v>3361</v>
      </c>
      <c r="I191" s="13" t="s">
        <v>3362</v>
      </c>
      <c r="J191" s="5" t="s">
        <v>3363</v>
      </c>
      <c r="K191" s="5" t="s">
        <v>3364</v>
      </c>
      <c r="L191" s="13" t="s">
        <v>3365</v>
      </c>
      <c r="M191" s="13" t="s">
        <v>3366</v>
      </c>
      <c r="N191" s="5" t="n">
        <f aca="false">LEN(L191)</f>
        <v>25</v>
      </c>
      <c r="O191" s="5" t="n">
        <f aca="false">LEN(M191)</f>
        <v>25</v>
      </c>
      <c r="P191" s="14" t="n">
        <f aca="false">IF(N191=0,"",(N191-LEN(SUBSTITUTE(SUBSTITUTE(L191,"G",""),"C","")))/N191)</f>
        <v>0.48</v>
      </c>
      <c r="Q191" s="14" t="n">
        <f aca="false">IF(O191=0,"",(O191-LEN(SUBSTITUTE(SUBSTITUTE(M191,"G",""),"C","")))/O191)</f>
        <v>0.6</v>
      </c>
      <c r="R191" s="5" t="s">
        <v>285</v>
      </c>
      <c r="S191" s="15" t="s">
        <v>1677</v>
      </c>
      <c r="T191" s="5" t="n">
        <v>9</v>
      </c>
      <c r="U191" s="5" t="s">
        <v>1678</v>
      </c>
      <c r="V191" s="5" t="s">
        <v>47</v>
      </c>
      <c r="W191" s="5"/>
      <c r="X191" s="8" t="s">
        <v>1914</v>
      </c>
      <c r="Y191" s="5"/>
    </row>
    <row r="192" customFormat="false" ht="15" hidden="false" customHeight="false" outlineLevel="0" collapsed="false">
      <c r="A192" s="5" t="s">
        <v>3367</v>
      </c>
      <c r="B192" s="5" t="s">
        <v>280</v>
      </c>
      <c r="C192" s="5" t="s">
        <v>281</v>
      </c>
      <c r="D192" s="6" t="s">
        <v>45</v>
      </c>
      <c r="E192" s="5" t="n">
        <v>2</v>
      </c>
      <c r="F192" s="5" t="s">
        <v>3368</v>
      </c>
      <c r="G192" s="13" t="s">
        <v>3369</v>
      </c>
      <c r="H192" s="5" t="s">
        <v>3370</v>
      </c>
      <c r="I192" s="13" t="s">
        <v>3371</v>
      </c>
      <c r="J192" s="5" t="s">
        <v>3372</v>
      </c>
      <c r="K192" s="5" t="s">
        <v>3373</v>
      </c>
      <c r="L192" s="13" t="s">
        <v>3374</v>
      </c>
      <c r="M192" s="13" t="s">
        <v>3375</v>
      </c>
      <c r="N192" s="5" t="n">
        <f aca="false">LEN(L192)</f>
        <v>25</v>
      </c>
      <c r="O192" s="5" t="n">
        <f aca="false">LEN(M192)</f>
        <v>25</v>
      </c>
      <c r="P192" s="14" t="n">
        <f aca="false">IF(N192=0,"",(N192-LEN(SUBSTITUTE(SUBSTITUTE(L192,"G",""),"C","")))/N192)</f>
        <v>0.48</v>
      </c>
      <c r="Q192" s="14" t="n">
        <f aca="false">IF(O192=0,"",(O192-LEN(SUBSTITUTE(SUBSTITUTE(M192,"G",""),"C","")))/O192)</f>
        <v>0.52</v>
      </c>
      <c r="R192" s="5" t="s">
        <v>285</v>
      </c>
      <c r="S192" s="15" t="s">
        <v>1677</v>
      </c>
      <c r="T192" s="5" t="n">
        <v>75</v>
      </c>
      <c r="U192" s="5" t="s">
        <v>1678</v>
      </c>
      <c r="V192" s="5" t="s">
        <v>47</v>
      </c>
      <c r="W192" s="5"/>
      <c r="X192" s="8" t="s">
        <v>1769</v>
      </c>
      <c r="Y192" s="5"/>
    </row>
    <row r="193" customFormat="false" ht="15" hidden="false" customHeight="false" outlineLevel="0" collapsed="false">
      <c r="A193" s="5" t="s">
        <v>3376</v>
      </c>
      <c r="B193" s="5" t="s">
        <v>280</v>
      </c>
      <c r="C193" s="5" t="s">
        <v>281</v>
      </c>
      <c r="D193" s="6" t="s">
        <v>45</v>
      </c>
      <c r="E193" s="5" t="n">
        <v>3</v>
      </c>
      <c r="F193" s="5" t="s">
        <v>3377</v>
      </c>
      <c r="G193" s="13" t="s">
        <v>3378</v>
      </c>
      <c r="H193" s="5" t="s">
        <v>3379</v>
      </c>
      <c r="I193" s="13" t="s">
        <v>3380</v>
      </c>
      <c r="J193" s="5" t="s">
        <v>3381</v>
      </c>
      <c r="K193" s="5" t="s">
        <v>3382</v>
      </c>
      <c r="L193" s="13" t="s">
        <v>3383</v>
      </c>
      <c r="M193" s="13" t="s">
        <v>3384</v>
      </c>
      <c r="N193" s="5" t="n">
        <f aca="false">LEN(L193)</f>
        <v>25</v>
      </c>
      <c r="O193" s="5" t="n">
        <f aca="false">LEN(M193)</f>
        <v>25</v>
      </c>
      <c r="P193" s="14" t="n">
        <f aca="false">IF(N193=0,"",(N193-LEN(SUBSTITUTE(SUBSTITUTE(L193,"G",""),"C","")))/N193)</f>
        <v>0.56</v>
      </c>
      <c r="Q193" s="14" t="n">
        <f aca="false">IF(O193=0,"",(O193-LEN(SUBSTITUTE(SUBSTITUTE(M193,"G",""),"C","")))/O193)</f>
        <v>0.56</v>
      </c>
      <c r="R193" s="5" t="s">
        <v>285</v>
      </c>
      <c r="S193" s="15" t="s">
        <v>1677</v>
      </c>
      <c r="T193" s="5" t="n">
        <v>207</v>
      </c>
      <c r="U193" s="5" t="s">
        <v>1678</v>
      </c>
      <c r="V193" s="5" t="s">
        <v>47</v>
      </c>
      <c r="W193" s="5"/>
      <c r="X193" s="8" t="s">
        <v>1769</v>
      </c>
      <c r="Y193" s="5"/>
    </row>
    <row r="194" customFormat="false" ht="15" hidden="false" customHeight="false" outlineLevel="0" collapsed="false">
      <c r="A194" s="5" t="s">
        <v>3385</v>
      </c>
      <c r="B194" s="5" t="s">
        <v>280</v>
      </c>
      <c r="C194" s="5" t="s">
        <v>281</v>
      </c>
      <c r="D194" s="6" t="s">
        <v>45</v>
      </c>
      <c r="E194" s="5" t="n">
        <v>4</v>
      </c>
      <c r="F194" s="5" t="s">
        <v>3386</v>
      </c>
      <c r="G194" s="13" t="s">
        <v>3387</v>
      </c>
      <c r="H194" s="5" t="s">
        <v>3388</v>
      </c>
      <c r="I194" s="13" t="s">
        <v>3389</v>
      </c>
      <c r="J194" s="5" t="s">
        <v>3390</v>
      </c>
      <c r="K194" s="5" t="s">
        <v>3391</v>
      </c>
      <c r="L194" s="13" t="s">
        <v>3392</v>
      </c>
      <c r="M194" s="13" t="s">
        <v>3393</v>
      </c>
      <c r="N194" s="5" t="n">
        <f aca="false">LEN(L194)</f>
        <v>25</v>
      </c>
      <c r="O194" s="5" t="n">
        <f aca="false">LEN(M194)</f>
        <v>25</v>
      </c>
      <c r="P194" s="14" t="n">
        <f aca="false">IF(N194=0,"",(N194-LEN(SUBSTITUTE(SUBSTITUTE(L194,"G",""),"C","")))/N194)</f>
        <v>0.68</v>
      </c>
      <c r="Q194" s="14" t="n">
        <f aca="false">IF(O194=0,"",(O194-LEN(SUBSTITUTE(SUBSTITUTE(M194,"G",""),"C","")))/O194)</f>
        <v>0.64</v>
      </c>
      <c r="R194" s="5" t="s">
        <v>285</v>
      </c>
      <c r="S194" s="15" t="s">
        <v>1677</v>
      </c>
      <c r="T194" s="5" t="n">
        <v>273</v>
      </c>
      <c r="U194" s="5" t="s">
        <v>1678</v>
      </c>
      <c r="V194" s="5" t="s">
        <v>47</v>
      </c>
      <c r="W194" s="5"/>
      <c r="X194" s="8" t="s">
        <v>1769</v>
      </c>
      <c r="Y194" s="5"/>
    </row>
    <row r="195" customFormat="false" ht="15" hidden="false" customHeight="false" outlineLevel="0" collapsed="false">
      <c r="A195" s="5" t="s">
        <v>3394</v>
      </c>
      <c r="B195" s="5" t="s">
        <v>280</v>
      </c>
      <c r="C195" s="5" t="s">
        <v>281</v>
      </c>
      <c r="D195" s="6" t="s">
        <v>45</v>
      </c>
      <c r="E195" s="5" t="n">
        <v>5</v>
      </c>
      <c r="F195" s="5" t="s">
        <v>3395</v>
      </c>
      <c r="G195" s="13" t="s">
        <v>3396</v>
      </c>
      <c r="H195" s="5" t="s">
        <v>3397</v>
      </c>
      <c r="I195" s="13" t="s">
        <v>3398</v>
      </c>
      <c r="J195" s="5" t="s">
        <v>3399</v>
      </c>
      <c r="K195" s="5" t="s">
        <v>3400</v>
      </c>
      <c r="L195" s="13" t="s">
        <v>3401</v>
      </c>
      <c r="M195" s="13" t="s">
        <v>3402</v>
      </c>
      <c r="N195" s="5" t="n">
        <f aca="false">LEN(L195)</f>
        <v>25</v>
      </c>
      <c r="O195" s="5" t="n">
        <f aca="false">LEN(M195)</f>
        <v>25</v>
      </c>
      <c r="P195" s="14" t="n">
        <f aca="false">IF(N195=0,"",(N195-LEN(SUBSTITUTE(SUBSTITUTE(L195,"G",""),"C","")))/N195)</f>
        <v>0.52</v>
      </c>
      <c r="Q195" s="14" t="n">
        <f aca="false">IF(O195=0,"",(O195-LEN(SUBSTITUTE(SUBSTITUTE(M195,"G",""),"C","")))/O195)</f>
        <v>0.64</v>
      </c>
      <c r="R195" s="5" t="s">
        <v>285</v>
      </c>
      <c r="S195" s="15" t="s">
        <v>1677</v>
      </c>
      <c r="T195" s="5" t="n">
        <v>406</v>
      </c>
      <c r="U195" s="5" t="s">
        <v>1678</v>
      </c>
      <c r="V195" s="5" t="s">
        <v>47</v>
      </c>
      <c r="W195" s="5"/>
      <c r="X195" s="15" t="s">
        <v>1677</v>
      </c>
      <c r="Y195" s="5"/>
    </row>
    <row r="196" customFormat="false" ht="15" hidden="false" customHeight="false" outlineLevel="0" collapsed="false">
      <c r="A196" s="5" t="s">
        <v>3403</v>
      </c>
      <c r="B196" s="5" t="s">
        <v>280</v>
      </c>
      <c r="C196" s="5" t="s">
        <v>281</v>
      </c>
      <c r="D196" s="6" t="s">
        <v>45</v>
      </c>
      <c r="E196" s="5" t="n">
        <v>6</v>
      </c>
      <c r="F196" s="5" t="s">
        <v>3404</v>
      </c>
      <c r="G196" s="13" t="s">
        <v>3405</v>
      </c>
      <c r="H196" s="5" t="s">
        <v>3406</v>
      </c>
      <c r="I196" s="13" t="s">
        <v>3407</v>
      </c>
      <c r="J196" s="5" t="s">
        <v>3408</v>
      </c>
      <c r="K196" s="5" t="s">
        <v>3409</v>
      </c>
      <c r="L196" s="13" t="s">
        <v>3410</v>
      </c>
      <c r="M196" s="13" t="s">
        <v>3411</v>
      </c>
      <c r="N196" s="5" t="n">
        <f aca="false">LEN(L196)</f>
        <v>25</v>
      </c>
      <c r="O196" s="5" t="n">
        <f aca="false">LEN(M196)</f>
        <v>25</v>
      </c>
      <c r="P196" s="14" t="n">
        <f aca="false">IF(N196=0,"",(N196-LEN(SUBSTITUTE(SUBSTITUTE(L196,"G",""),"C","")))/N196)</f>
        <v>0.4</v>
      </c>
      <c r="Q196" s="14" t="n">
        <f aca="false">IF(O196=0,"",(O196-LEN(SUBSTITUTE(SUBSTITUTE(M196,"G",""),"C","")))/O196)</f>
        <v>0.48</v>
      </c>
      <c r="R196" s="5" t="s">
        <v>285</v>
      </c>
      <c r="S196" s="15" t="s">
        <v>1677</v>
      </c>
      <c r="T196" s="5" t="n">
        <v>473</v>
      </c>
      <c r="U196" s="5" t="s">
        <v>1678</v>
      </c>
      <c r="V196" s="5" t="s">
        <v>47</v>
      </c>
      <c r="W196" s="5"/>
      <c r="X196" s="8" t="s">
        <v>2131</v>
      </c>
      <c r="Y196" s="5"/>
    </row>
    <row r="197" customFormat="false" ht="15" hidden="false" customHeight="false" outlineLevel="0" collapsed="false">
      <c r="A197" s="5" t="s">
        <v>3412</v>
      </c>
      <c r="B197" s="5" t="s">
        <v>280</v>
      </c>
      <c r="C197" s="5" t="s">
        <v>281</v>
      </c>
      <c r="D197" s="6" t="s">
        <v>45</v>
      </c>
      <c r="E197" s="5" t="n">
        <v>7</v>
      </c>
      <c r="F197" s="5" t="s">
        <v>3413</v>
      </c>
      <c r="G197" s="13" t="s">
        <v>3414</v>
      </c>
      <c r="H197" s="5" t="s">
        <v>3415</v>
      </c>
      <c r="I197" s="13" t="s">
        <v>3416</v>
      </c>
      <c r="J197" s="5" t="s">
        <v>3417</v>
      </c>
      <c r="K197" s="5" t="s">
        <v>3418</v>
      </c>
      <c r="L197" s="13" t="s">
        <v>3419</v>
      </c>
      <c r="M197" s="13" t="s">
        <v>3420</v>
      </c>
      <c r="N197" s="5" t="n">
        <f aca="false">LEN(L197)</f>
        <v>25</v>
      </c>
      <c r="O197" s="5" t="n">
        <f aca="false">LEN(M197)</f>
        <v>25</v>
      </c>
      <c r="P197" s="14" t="n">
        <f aca="false">IF(N197=0,"",(N197-LEN(SUBSTITUTE(SUBSTITUTE(L197,"G",""),"C","")))/N197)</f>
        <v>0.64</v>
      </c>
      <c r="Q197" s="14" t="n">
        <f aca="false">IF(O197=0,"",(O197-LEN(SUBSTITUTE(SUBSTITUTE(M197,"G",""),"C","")))/O197)</f>
        <v>0.44</v>
      </c>
      <c r="R197" s="5" t="s">
        <v>285</v>
      </c>
      <c r="S197" s="15" t="s">
        <v>1677</v>
      </c>
      <c r="T197" s="5" t="n">
        <v>608</v>
      </c>
      <c r="U197" s="5" t="s">
        <v>1678</v>
      </c>
      <c r="V197" s="5" t="s">
        <v>47</v>
      </c>
      <c r="W197" s="5"/>
      <c r="X197" s="15" t="s">
        <v>1677</v>
      </c>
      <c r="Y197" s="5"/>
    </row>
    <row r="198" customFormat="false" ht="15" hidden="false" customHeight="false" outlineLevel="0" collapsed="false">
      <c r="A198" s="5" t="s">
        <v>3421</v>
      </c>
      <c r="B198" s="5" t="s">
        <v>280</v>
      </c>
      <c r="C198" s="5" t="s">
        <v>281</v>
      </c>
      <c r="D198" s="6" t="s">
        <v>45</v>
      </c>
      <c r="E198" s="5" t="n">
        <v>8</v>
      </c>
      <c r="F198" s="5" t="s">
        <v>3422</v>
      </c>
      <c r="G198" s="13" t="s">
        <v>3423</v>
      </c>
      <c r="H198" s="5" t="s">
        <v>3424</v>
      </c>
      <c r="I198" s="13" t="s">
        <v>3425</v>
      </c>
      <c r="J198" s="5" t="s">
        <v>3426</v>
      </c>
      <c r="K198" s="5" t="s">
        <v>3427</v>
      </c>
      <c r="L198" s="13" t="s">
        <v>3428</v>
      </c>
      <c r="M198" s="13" t="s">
        <v>3429</v>
      </c>
      <c r="N198" s="5" t="n">
        <f aca="false">LEN(L198)</f>
        <v>25</v>
      </c>
      <c r="O198" s="5" t="n">
        <f aca="false">LEN(M198)</f>
        <v>25</v>
      </c>
      <c r="P198" s="14" t="n">
        <f aca="false">IF(N198=0,"",(N198-LEN(SUBSTITUTE(SUBSTITUTE(L198,"G",""),"C","")))/N198)</f>
        <v>0.48</v>
      </c>
      <c r="Q198" s="14" t="n">
        <f aca="false">IF(O198=0,"",(O198-LEN(SUBSTITUTE(SUBSTITUTE(M198,"G",""),"C","")))/O198)</f>
        <v>0.48</v>
      </c>
      <c r="R198" s="5" t="s">
        <v>285</v>
      </c>
      <c r="S198" s="15" t="s">
        <v>1677</v>
      </c>
      <c r="T198" s="5" t="n">
        <v>676</v>
      </c>
      <c r="U198" s="5" t="s">
        <v>1678</v>
      </c>
      <c r="V198" s="5" t="s">
        <v>47</v>
      </c>
      <c r="W198" s="5"/>
      <c r="X198" s="15" t="s">
        <v>1677</v>
      </c>
      <c r="Y198" s="5"/>
    </row>
    <row r="199" customFormat="false" ht="15" hidden="false" customHeight="false" outlineLevel="0" collapsed="false">
      <c r="A199" s="5" t="s">
        <v>3430</v>
      </c>
      <c r="B199" s="5" t="s">
        <v>290</v>
      </c>
      <c r="C199" s="5" t="s">
        <v>291</v>
      </c>
      <c r="D199" s="6" t="s">
        <v>45</v>
      </c>
      <c r="E199" s="5" t="n">
        <v>1</v>
      </c>
      <c r="F199" s="5" t="s">
        <v>3431</v>
      </c>
      <c r="G199" s="13" t="s">
        <v>3432</v>
      </c>
      <c r="H199" s="5" t="s">
        <v>3433</v>
      </c>
      <c r="I199" s="13" t="s">
        <v>3434</v>
      </c>
      <c r="J199" s="5" t="s">
        <v>3435</v>
      </c>
      <c r="K199" s="5" t="s">
        <v>3436</v>
      </c>
      <c r="L199" s="13" t="s">
        <v>3437</v>
      </c>
      <c r="M199" s="13" t="s">
        <v>3438</v>
      </c>
      <c r="N199" s="5" t="n">
        <f aca="false">LEN(L199)</f>
        <v>25</v>
      </c>
      <c r="O199" s="5" t="n">
        <f aca="false">LEN(M199)</f>
        <v>25</v>
      </c>
      <c r="P199" s="14" t="n">
        <f aca="false">IF(N199=0,"",(N199-LEN(SUBSTITUTE(SUBSTITUTE(L199,"G",""),"C","")))/N199)</f>
        <v>0.48</v>
      </c>
      <c r="Q199" s="14" t="n">
        <f aca="false">IF(O199=0,"",(O199-LEN(SUBSTITUTE(SUBSTITUTE(M199,"G",""),"C","")))/O199)</f>
        <v>0.36</v>
      </c>
      <c r="R199" s="5" t="s">
        <v>294</v>
      </c>
      <c r="S199" s="15" t="s">
        <v>1677</v>
      </c>
      <c r="T199" s="5" t="n">
        <v>73</v>
      </c>
      <c r="U199" s="5" t="s">
        <v>1678</v>
      </c>
      <c r="V199" s="5" t="s">
        <v>47</v>
      </c>
      <c r="W199" s="5"/>
      <c r="X199" s="8" t="s">
        <v>2131</v>
      </c>
      <c r="Y199" s="5"/>
    </row>
    <row r="200" customFormat="false" ht="15" hidden="false" customHeight="false" outlineLevel="0" collapsed="false">
      <c r="A200" s="5" t="s">
        <v>3439</v>
      </c>
      <c r="B200" s="5" t="s">
        <v>290</v>
      </c>
      <c r="C200" s="5" t="s">
        <v>291</v>
      </c>
      <c r="D200" s="6" t="s">
        <v>45</v>
      </c>
      <c r="E200" s="5" t="n">
        <v>2</v>
      </c>
      <c r="F200" s="5" t="s">
        <v>3440</v>
      </c>
      <c r="G200" s="13" t="s">
        <v>3441</v>
      </c>
      <c r="H200" s="5" t="s">
        <v>3442</v>
      </c>
      <c r="I200" s="13" t="s">
        <v>3443</v>
      </c>
      <c r="J200" s="5" t="s">
        <v>3444</v>
      </c>
      <c r="K200" s="5" t="s">
        <v>3445</v>
      </c>
      <c r="L200" s="13" t="s">
        <v>3446</v>
      </c>
      <c r="M200" s="13" t="s">
        <v>3447</v>
      </c>
      <c r="N200" s="5" t="n">
        <f aca="false">LEN(L200)</f>
        <v>25</v>
      </c>
      <c r="O200" s="5" t="n">
        <f aca="false">LEN(M200)</f>
        <v>25</v>
      </c>
      <c r="P200" s="14" t="n">
        <f aca="false">IF(N200=0,"",(N200-LEN(SUBSTITUTE(SUBSTITUTE(L200,"G",""),"C","")))/N200)</f>
        <v>0.52</v>
      </c>
      <c r="Q200" s="14" t="n">
        <f aca="false">IF(O200=0,"",(O200-LEN(SUBSTITUTE(SUBSTITUTE(M200,"G",""),"C","")))/O200)</f>
        <v>0.28</v>
      </c>
      <c r="R200" s="5" t="s">
        <v>294</v>
      </c>
      <c r="S200" s="15" t="s">
        <v>1677</v>
      </c>
      <c r="T200" s="5" t="n">
        <v>141</v>
      </c>
      <c r="U200" s="5" t="s">
        <v>1678</v>
      </c>
      <c r="V200" s="5" t="s">
        <v>47</v>
      </c>
      <c r="W200" s="5"/>
      <c r="X200" s="8" t="s">
        <v>2131</v>
      </c>
      <c r="Y200" s="5"/>
    </row>
    <row r="201" customFormat="false" ht="15" hidden="false" customHeight="false" outlineLevel="0" collapsed="false">
      <c r="A201" s="5" t="s">
        <v>3448</v>
      </c>
      <c r="B201" s="5" t="s">
        <v>290</v>
      </c>
      <c r="C201" s="5" t="s">
        <v>291</v>
      </c>
      <c r="D201" s="6" t="s">
        <v>45</v>
      </c>
      <c r="E201" s="5" t="n">
        <v>3</v>
      </c>
      <c r="F201" s="5" t="s">
        <v>3449</v>
      </c>
      <c r="G201" s="13" t="s">
        <v>3450</v>
      </c>
      <c r="H201" s="5" t="s">
        <v>3451</v>
      </c>
      <c r="I201" s="13" t="s">
        <v>3452</v>
      </c>
      <c r="J201" s="5" t="s">
        <v>3453</v>
      </c>
      <c r="K201" s="5" t="s">
        <v>3454</v>
      </c>
      <c r="L201" s="13" t="s">
        <v>3455</v>
      </c>
      <c r="M201" s="13" t="s">
        <v>3456</v>
      </c>
      <c r="N201" s="5" t="n">
        <f aca="false">LEN(L201)</f>
        <v>26</v>
      </c>
      <c r="O201" s="5" t="n">
        <f aca="false">LEN(M201)</f>
        <v>26</v>
      </c>
      <c r="P201" s="14" t="n">
        <f aca="false">IF(N201=0,"",(N201-LEN(SUBSTITUTE(SUBSTITUTE(L201,"G",""),"C","")))/N201)</f>
        <v>0.5</v>
      </c>
      <c r="Q201" s="14" t="n">
        <f aca="false">IF(O201=0,"",(O201-LEN(SUBSTITUTE(SUBSTITUTE(M201,"G",""),"C","")))/O201)</f>
        <v>0.5</v>
      </c>
      <c r="R201" s="5" t="s">
        <v>294</v>
      </c>
      <c r="S201" s="15" t="s">
        <v>1677</v>
      </c>
      <c r="T201" s="5" t="n">
        <v>208</v>
      </c>
      <c r="U201" s="5" t="s">
        <v>2986</v>
      </c>
      <c r="V201" s="5" t="s">
        <v>47</v>
      </c>
      <c r="W201" s="5"/>
      <c r="X201" s="8" t="s">
        <v>2131</v>
      </c>
      <c r="Y201" s="8" t="s">
        <v>3457</v>
      </c>
    </row>
    <row r="202" customFormat="false" ht="15" hidden="false" customHeight="false" outlineLevel="0" collapsed="false">
      <c r="A202" s="5" t="s">
        <v>3458</v>
      </c>
      <c r="B202" s="5" t="s">
        <v>290</v>
      </c>
      <c r="C202" s="5" t="s">
        <v>291</v>
      </c>
      <c r="D202" s="6" t="s">
        <v>45</v>
      </c>
      <c r="E202" s="5" t="n">
        <v>4</v>
      </c>
      <c r="F202" s="5" t="s">
        <v>3459</v>
      </c>
      <c r="G202" s="13" t="s">
        <v>3460</v>
      </c>
      <c r="H202" s="5" t="s">
        <v>3461</v>
      </c>
      <c r="I202" s="13" t="s">
        <v>3462</v>
      </c>
      <c r="J202" s="5" t="s">
        <v>3463</v>
      </c>
      <c r="K202" s="5" t="s">
        <v>3464</v>
      </c>
      <c r="L202" s="13" t="s">
        <v>3465</v>
      </c>
      <c r="M202" s="13" t="s">
        <v>3466</v>
      </c>
      <c r="N202" s="5" t="n">
        <f aca="false">LEN(L202)</f>
        <v>25</v>
      </c>
      <c r="O202" s="5" t="n">
        <f aca="false">LEN(M202)</f>
        <v>25</v>
      </c>
      <c r="P202" s="14" t="n">
        <f aca="false">IF(N202=0,"",(N202-LEN(SUBSTITUTE(SUBSTITUTE(L202,"G",""),"C","")))/N202)</f>
        <v>0.44</v>
      </c>
      <c r="Q202" s="14" t="n">
        <f aca="false">IF(O202=0,"",(O202-LEN(SUBSTITUTE(SUBSTITUTE(M202,"G",""),"C","")))/O202)</f>
        <v>0.44</v>
      </c>
      <c r="R202" s="5" t="s">
        <v>294</v>
      </c>
      <c r="S202" s="15" t="s">
        <v>1677</v>
      </c>
      <c r="T202" s="5" t="n">
        <v>276</v>
      </c>
      <c r="U202" s="5" t="s">
        <v>1678</v>
      </c>
      <c r="V202" s="5" t="s">
        <v>47</v>
      </c>
      <c r="W202" s="5"/>
      <c r="X202" s="8" t="s">
        <v>2131</v>
      </c>
      <c r="Y202" s="5"/>
    </row>
    <row r="203" customFormat="false" ht="15" hidden="false" customHeight="false" outlineLevel="0" collapsed="false">
      <c r="A203" s="5" t="s">
        <v>3467</v>
      </c>
      <c r="B203" s="5" t="s">
        <v>290</v>
      </c>
      <c r="C203" s="5" t="s">
        <v>291</v>
      </c>
      <c r="D203" s="6" t="s">
        <v>45</v>
      </c>
      <c r="E203" s="5" t="n">
        <v>5</v>
      </c>
      <c r="F203" s="5" t="s">
        <v>3468</v>
      </c>
      <c r="G203" s="13" t="s">
        <v>3469</v>
      </c>
      <c r="H203" s="5" t="s">
        <v>3470</v>
      </c>
      <c r="I203" s="13" t="s">
        <v>3471</v>
      </c>
      <c r="J203" s="5" t="s">
        <v>3472</v>
      </c>
      <c r="K203" s="5" t="s">
        <v>3473</v>
      </c>
      <c r="L203" s="13" t="s">
        <v>3474</v>
      </c>
      <c r="M203" s="13" t="s">
        <v>3475</v>
      </c>
      <c r="N203" s="5" t="n">
        <f aca="false">LEN(L203)</f>
        <v>25</v>
      </c>
      <c r="O203" s="5" t="n">
        <f aca="false">LEN(M203)</f>
        <v>25</v>
      </c>
      <c r="P203" s="14" t="n">
        <f aca="false">IF(N203=0,"",(N203-LEN(SUBSTITUTE(SUBSTITUTE(L203,"G",""),"C","")))/N203)</f>
        <v>0.56</v>
      </c>
      <c r="Q203" s="14" t="n">
        <f aca="false">IF(O203=0,"",(O203-LEN(SUBSTITUTE(SUBSTITUTE(M203,"G",""),"C","")))/O203)</f>
        <v>0.48</v>
      </c>
      <c r="R203" s="5" t="s">
        <v>294</v>
      </c>
      <c r="S203" s="15" t="s">
        <v>1677</v>
      </c>
      <c r="T203" s="5" t="n">
        <v>410</v>
      </c>
      <c r="U203" s="5" t="s">
        <v>1678</v>
      </c>
      <c r="V203" s="5" t="s">
        <v>47</v>
      </c>
      <c r="W203" s="5"/>
      <c r="X203" s="15" t="s">
        <v>1677</v>
      </c>
      <c r="Y203" s="5"/>
    </row>
    <row r="204" customFormat="false" ht="15" hidden="false" customHeight="false" outlineLevel="0" collapsed="false">
      <c r="A204" s="5" t="s">
        <v>3476</v>
      </c>
      <c r="B204" s="5" t="s">
        <v>290</v>
      </c>
      <c r="C204" s="5" t="s">
        <v>291</v>
      </c>
      <c r="D204" s="6" t="s">
        <v>45</v>
      </c>
      <c r="E204" s="5" t="n">
        <v>6</v>
      </c>
      <c r="F204" s="5" t="s">
        <v>3477</v>
      </c>
      <c r="G204" s="13" t="s">
        <v>3478</v>
      </c>
      <c r="H204" s="5" t="s">
        <v>3479</v>
      </c>
      <c r="I204" s="13" t="s">
        <v>3480</v>
      </c>
      <c r="J204" s="5" t="s">
        <v>3481</v>
      </c>
      <c r="K204" s="5" t="s">
        <v>3482</v>
      </c>
      <c r="L204" s="13" t="s">
        <v>3483</v>
      </c>
      <c r="M204" s="13" t="s">
        <v>3484</v>
      </c>
      <c r="N204" s="5" t="n">
        <f aca="false">LEN(L204)</f>
        <v>25</v>
      </c>
      <c r="O204" s="5" t="n">
        <f aca="false">LEN(M204)</f>
        <v>25</v>
      </c>
      <c r="P204" s="14" t="n">
        <f aca="false">IF(N204=0,"",(N204-LEN(SUBSTITUTE(SUBSTITUTE(L204,"G",""),"C","")))/N204)</f>
        <v>0.56</v>
      </c>
      <c r="Q204" s="14" t="n">
        <f aca="false">IF(O204=0,"",(O204-LEN(SUBSTITUTE(SUBSTITUTE(M204,"G",""),"C","")))/O204)</f>
        <v>0.52</v>
      </c>
      <c r="R204" s="5" t="s">
        <v>294</v>
      </c>
      <c r="S204" s="15" t="s">
        <v>1677</v>
      </c>
      <c r="T204" s="5" t="n">
        <v>476</v>
      </c>
      <c r="U204" s="5" t="s">
        <v>1678</v>
      </c>
      <c r="V204" s="5" t="s">
        <v>47</v>
      </c>
      <c r="W204" s="5"/>
      <c r="X204" s="15" t="s">
        <v>1677</v>
      </c>
      <c r="Y204" s="5"/>
    </row>
    <row r="205" customFormat="false" ht="15" hidden="false" customHeight="false" outlineLevel="0" collapsed="false">
      <c r="A205" s="5" t="s">
        <v>3485</v>
      </c>
      <c r="B205" s="5" t="s">
        <v>290</v>
      </c>
      <c r="C205" s="5" t="s">
        <v>291</v>
      </c>
      <c r="D205" s="6" t="s">
        <v>45</v>
      </c>
      <c r="E205" s="5" t="n">
        <v>7</v>
      </c>
      <c r="F205" s="5" t="s">
        <v>3486</v>
      </c>
      <c r="G205" s="13" t="s">
        <v>3487</v>
      </c>
      <c r="H205" s="5" t="s">
        <v>3488</v>
      </c>
      <c r="I205" s="13" t="s">
        <v>3489</v>
      </c>
      <c r="J205" s="5" t="s">
        <v>3490</v>
      </c>
      <c r="K205" s="5" t="s">
        <v>3491</v>
      </c>
      <c r="L205" s="13" t="s">
        <v>3492</v>
      </c>
      <c r="M205" s="13" t="s">
        <v>3493</v>
      </c>
      <c r="N205" s="5" t="n">
        <f aca="false">LEN(L205)</f>
        <v>25</v>
      </c>
      <c r="O205" s="5" t="n">
        <f aca="false">LEN(M205)</f>
        <v>25</v>
      </c>
      <c r="P205" s="14" t="n">
        <f aca="false">IF(N205=0,"",(N205-LEN(SUBSTITUTE(SUBSTITUTE(L205,"G",""),"C","")))/N205)</f>
        <v>0.64</v>
      </c>
      <c r="Q205" s="14" t="n">
        <f aca="false">IF(O205=0,"",(O205-LEN(SUBSTITUTE(SUBSTITUTE(M205,"G",""),"C","")))/O205)</f>
        <v>0.56</v>
      </c>
      <c r="R205" s="5" t="s">
        <v>294</v>
      </c>
      <c r="S205" s="15" t="s">
        <v>1677</v>
      </c>
      <c r="T205" s="5" t="n">
        <v>609</v>
      </c>
      <c r="U205" s="5" t="s">
        <v>1678</v>
      </c>
      <c r="V205" s="5" t="s">
        <v>47</v>
      </c>
      <c r="W205" s="5"/>
      <c r="X205" s="15" t="s">
        <v>1677</v>
      </c>
      <c r="Y205" s="5"/>
    </row>
    <row r="206" customFormat="false" ht="15" hidden="false" customHeight="false" outlineLevel="0" collapsed="false">
      <c r="A206" s="5" t="s">
        <v>3494</v>
      </c>
      <c r="B206" s="5" t="s">
        <v>290</v>
      </c>
      <c r="C206" s="5" t="s">
        <v>291</v>
      </c>
      <c r="D206" s="6" t="s">
        <v>45</v>
      </c>
      <c r="E206" s="5" t="n">
        <v>8</v>
      </c>
      <c r="F206" s="5" t="s">
        <v>3495</v>
      </c>
      <c r="G206" s="13" t="s">
        <v>3496</v>
      </c>
      <c r="H206" s="5" t="s">
        <v>3497</v>
      </c>
      <c r="I206" s="13" t="s">
        <v>3498</v>
      </c>
      <c r="J206" s="5" t="s">
        <v>3499</v>
      </c>
      <c r="K206" s="5" t="s">
        <v>3500</v>
      </c>
      <c r="L206" s="13" t="s">
        <v>3501</v>
      </c>
      <c r="M206" s="13" t="s">
        <v>3502</v>
      </c>
      <c r="N206" s="5" t="n">
        <f aca="false">LEN(L206)</f>
        <v>25</v>
      </c>
      <c r="O206" s="5" t="n">
        <f aca="false">LEN(M206)</f>
        <v>25</v>
      </c>
      <c r="P206" s="14" t="n">
        <f aca="false">IF(N206=0,"",(N206-LEN(SUBSTITUTE(SUBSTITUTE(L206,"G",""),"C","")))/N206)</f>
        <v>0.48</v>
      </c>
      <c r="Q206" s="14" t="n">
        <f aca="false">IF(O206=0,"",(O206-LEN(SUBSTITUTE(SUBSTITUTE(M206,"G",""),"C","")))/O206)</f>
        <v>0.56</v>
      </c>
      <c r="R206" s="5" t="s">
        <v>294</v>
      </c>
      <c r="S206" s="15" t="s">
        <v>1677</v>
      </c>
      <c r="T206" s="5" t="n">
        <v>677</v>
      </c>
      <c r="U206" s="5" t="s">
        <v>1678</v>
      </c>
      <c r="V206" s="5" t="s">
        <v>47</v>
      </c>
      <c r="W206" s="5"/>
      <c r="X206" s="15" t="s">
        <v>1677</v>
      </c>
      <c r="Y206" s="5"/>
    </row>
    <row r="207" customFormat="false" ht="15" hidden="false" customHeight="false" outlineLevel="0" collapsed="false">
      <c r="A207" s="5" t="s">
        <v>3503</v>
      </c>
      <c r="B207" s="5" t="s">
        <v>290</v>
      </c>
      <c r="C207" s="5" t="s">
        <v>291</v>
      </c>
      <c r="D207" s="6" t="s">
        <v>45</v>
      </c>
      <c r="E207" s="5" t="n">
        <v>9</v>
      </c>
      <c r="F207" s="5" t="s">
        <v>3504</v>
      </c>
      <c r="G207" s="13" t="s">
        <v>3505</v>
      </c>
      <c r="H207" s="5" t="s">
        <v>3506</v>
      </c>
      <c r="I207" s="13" t="s">
        <v>3507</v>
      </c>
      <c r="J207" s="5" t="s">
        <v>3508</v>
      </c>
      <c r="K207" s="5" t="s">
        <v>3509</v>
      </c>
      <c r="L207" s="13" t="s">
        <v>3510</v>
      </c>
      <c r="M207" s="13" t="s">
        <v>3511</v>
      </c>
      <c r="N207" s="5" t="n">
        <f aca="false">LEN(L207)</f>
        <v>25</v>
      </c>
      <c r="O207" s="5" t="n">
        <f aca="false">LEN(M207)</f>
        <v>25</v>
      </c>
      <c r="P207" s="14" t="n">
        <f aca="false">IF(N207=0,"",(N207-LEN(SUBSTITUTE(SUBSTITUTE(L207,"G",""),"C","")))/N207)</f>
        <v>0.68</v>
      </c>
      <c r="Q207" s="14" t="n">
        <f aca="false">IF(O207=0,"",(O207-LEN(SUBSTITUTE(SUBSTITUTE(M207,"G",""),"C","")))/O207)</f>
        <v>0.48</v>
      </c>
      <c r="R207" s="5" t="s">
        <v>294</v>
      </c>
      <c r="S207" s="15" t="s">
        <v>1677</v>
      </c>
      <c r="T207" s="5" t="n">
        <v>811</v>
      </c>
      <c r="U207" s="5" t="s">
        <v>1678</v>
      </c>
      <c r="V207" s="5" t="s">
        <v>47</v>
      </c>
      <c r="W207" s="5"/>
      <c r="X207" s="15" t="s">
        <v>1677</v>
      </c>
      <c r="Y207" s="5"/>
    </row>
    <row r="208" customFormat="false" ht="15" hidden="false" customHeight="false" outlineLevel="0" collapsed="false">
      <c r="A208" s="5" t="s">
        <v>3512</v>
      </c>
      <c r="B208" s="5" t="s">
        <v>290</v>
      </c>
      <c r="C208" s="5" t="s">
        <v>291</v>
      </c>
      <c r="D208" s="6" t="s">
        <v>45</v>
      </c>
      <c r="E208" s="5" t="n">
        <v>10</v>
      </c>
      <c r="F208" s="5" t="s">
        <v>3513</v>
      </c>
      <c r="G208" s="13" t="s">
        <v>3514</v>
      </c>
      <c r="H208" s="5" t="s">
        <v>3515</v>
      </c>
      <c r="I208" s="13" t="s">
        <v>3516</v>
      </c>
      <c r="J208" s="5" t="s">
        <v>3517</v>
      </c>
      <c r="K208" s="5" t="s">
        <v>3518</v>
      </c>
      <c r="L208" s="13" t="s">
        <v>3519</v>
      </c>
      <c r="M208" s="13" t="s">
        <v>3520</v>
      </c>
      <c r="N208" s="5" t="n">
        <f aca="false">LEN(L208)</f>
        <v>25</v>
      </c>
      <c r="O208" s="5" t="n">
        <f aca="false">LEN(M208)</f>
        <v>25</v>
      </c>
      <c r="P208" s="14" t="n">
        <f aca="false">IF(N208=0,"",(N208-LEN(SUBSTITUTE(SUBSTITUTE(L208,"G",""),"C","")))/N208)</f>
        <v>0.56</v>
      </c>
      <c r="Q208" s="14" t="n">
        <f aca="false">IF(O208=0,"",(O208-LEN(SUBSTITUTE(SUBSTITUTE(M208,"G",""),"C","")))/O208)</f>
        <v>0.68</v>
      </c>
      <c r="R208" s="5" t="s">
        <v>294</v>
      </c>
      <c r="S208" s="15" t="s">
        <v>1677</v>
      </c>
      <c r="T208" s="5" t="n">
        <v>880</v>
      </c>
      <c r="U208" s="5" t="s">
        <v>1678</v>
      </c>
      <c r="V208" s="5" t="s">
        <v>47</v>
      </c>
      <c r="W208" s="5"/>
      <c r="X208" s="15" t="s">
        <v>1677</v>
      </c>
      <c r="Y208" s="5"/>
    </row>
    <row r="209" customFormat="false" ht="15" hidden="false" customHeight="false" outlineLevel="0" collapsed="false">
      <c r="A209" s="5" t="s">
        <v>3521</v>
      </c>
      <c r="B209" s="5" t="s">
        <v>297</v>
      </c>
      <c r="C209" s="5" t="s">
        <v>298</v>
      </c>
      <c r="D209" s="6" t="s">
        <v>45</v>
      </c>
      <c r="E209" s="5" t="n">
        <v>1</v>
      </c>
      <c r="F209" s="5" t="s">
        <v>3522</v>
      </c>
      <c r="G209" s="13" t="s">
        <v>3523</v>
      </c>
      <c r="H209" s="5" t="s">
        <v>3524</v>
      </c>
      <c r="I209" s="13" t="s">
        <v>3525</v>
      </c>
      <c r="J209" s="5" t="s">
        <v>3526</v>
      </c>
      <c r="K209" s="5" t="s">
        <v>3527</v>
      </c>
      <c r="L209" s="13" t="s">
        <v>3528</v>
      </c>
      <c r="M209" s="13" t="s">
        <v>3529</v>
      </c>
      <c r="N209" s="5" t="n">
        <f aca="false">LEN(L209)</f>
        <v>25</v>
      </c>
      <c r="O209" s="5" t="n">
        <f aca="false">LEN(M209)</f>
        <v>25</v>
      </c>
      <c r="P209" s="14" t="n">
        <f aca="false">IF(N209=0,"",(N209-LEN(SUBSTITUTE(SUBSTITUTE(L209,"G",""),"C","")))/N209)</f>
        <v>0.6</v>
      </c>
      <c r="Q209" s="14" t="n">
        <f aca="false">IF(O209=0,"",(O209-LEN(SUBSTITUTE(SUBSTITUTE(M209,"G",""),"C","")))/O209)</f>
        <v>0.64</v>
      </c>
      <c r="R209" s="5" t="s">
        <v>302</v>
      </c>
      <c r="S209" s="15" t="s">
        <v>1677</v>
      </c>
      <c r="T209" s="5" t="n">
        <v>146</v>
      </c>
      <c r="U209" s="5" t="s">
        <v>1678</v>
      </c>
      <c r="V209" s="5" t="s">
        <v>47</v>
      </c>
      <c r="W209" s="5"/>
      <c r="X209" s="15" t="s">
        <v>1677</v>
      </c>
      <c r="Y209" s="5"/>
    </row>
    <row r="210" customFormat="false" ht="15" hidden="false" customHeight="false" outlineLevel="0" collapsed="false">
      <c r="A210" s="5" t="s">
        <v>3530</v>
      </c>
      <c r="B210" s="5" t="s">
        <v>297</v>
      </c>
      <c r="C210" s="5" t="s">
        <v>298</v>
      </c>
      <c r="D210" s="6" t="s">
        <v>45</v>
      </c>
      <c r="E210" s="5" t="n">
        <v>2</v>
      </c>
      <c r="F210" s="5" t="s">
        <v>3531</v>
      </c>
      <c r="G210" s="13" t="s">
        <v>3532</v>
      </c>
      <c r="H210" s="5" t="s">
        <v>3533</v>
      </c>
      <c r="I210" s="13" t="s">
        <v>3534</v>
      </c>
      <c r="J210" s="5" t="s">
        <v>3535</v>
      </c>
      <c r="K210" s="5" t="s">
        <v>3536</v>
      </c>
      <c r="L210" s="13" t="s">
        <v>3537</v>
      </c>
      <c r="M210" s="13" t="s">
        <v>3538</v>
      </c>
      <c r="N210" s="5" t="n">
        <f aca="false">LEN(L210)</f>
        <v>25</v>
      </c>
      <c r="O210" s="5" t="n">
        <f aca="false">LEN(M210)</f>
        <v>25</v>
      </c>
      <c r="P210" s="14" t="n">
        <f aca="false">IF(N210=0,"",(N210-LEN(SUBSTITUTE(SUBSTITUTE(L210,"G",""),"C","")))/N210)</f>
        <v>0.48</v>
      </c>
      <c r="Q210" s="14" t="n">
        <f aca="false">IF(O210=0,"",(O210-LEN(SUBSTITUTE(SUBSTITUTE(M210,"G",""),"C","")))/O210)</f>
        <v>0.56</v>
      </c>
      <c r="R210" s="5" t="s">
        <v>302</v>
      </c>
      <c r="S210" s="15" t="s">
        <v>1677</v>
      </c>
      <c r="T210" s="5" t="n">
        <v>216</v>
      </c>
      <c r="U210" s="5" t="s">
        <v>1678</v>
      </c>
      <c r="V210" s="5" t="s">
        <v>47</v>
      </c>
      <c r="W210" s="5"/>
      <c r="X210" s="15" t="s">
        <v>1677</v>
      </c>
      <c r="Y210" s="5"/>
    </row>
    <row r="211" customFormat="false" ht="15" hidden="false" customHeight="false" outlineLevel="0" collapsed="false">
      <c r="A211" s="5" t="s">
        <v>3539</v>
      </c>
      <c r="B211" s="5" t="s">
        <v>297</v>
      </c>
      <c r="C211" s="5" t="s">
        <v>298</v>
      </c>
      <c r="D211" s="6" t="s">
        <v>45</v>
      </c>
      <c r="E211" s="5" t="n">
        <v>3</v>
      </c>
      <c r="F211" s="5" t="s">
        <v>3540</v>
      </c>
      <c r="G211" s="13" t="s">
        <v>3541</v>
      </c>
      <c r="H211" s="5" t="s">
        <v>3542</v>
      </c>
      <c r="I211" s="13" t="s">
        <v>3543</v>
      </c>
      <c r="J211" s="5" t="s">
        <v>3544</v>
      </c>
      <c r="K211" s="5" t="s">
        <v>3545</v>
      </c>
      <c r="L211" s="13" t="s">
        <v>3546</v>
      </c>
      <c r="M211" s="13" t="s">
        <v>3547</v>
      </c>
      <c r="N211" s="5" t="n">
        <f aca="false">LEN(L211)</f>
        <v>25</v>
      </c>
      <c r="O211" s="5" t="n">
        <f aca="false">LEN(M211)</f>
        <v>25</v>
      </c>
      <c r="P211" s="14" t="n">
        <f aca="false">IF(N211=0,"",(N211-LEN(SUBSTITUTE(SUBSTITUTE(L211,"G",""),"C","")))/N211)</f>
        <v>0.48</v>
      </c>
      <c r="Q211" s="14" t="n">
        <f aca="false">IF(O211=0,"",(O211-LEN(SUBSTITUTE(SUBSTITUTE(M211,"G",""),"C","")))/O211)</f>
        <v>0.6</v>
      </c>
      <c r="R211" s="5" t="s">
        <v>302</v>
      </c>
      <c r="S211" s="15" t="s">
        <v>1677</v>
      </c>
      <c r="T211" s="5" t="n">
        <v>286</v>
      </c>
      <c r="U211" s="5" t="s">
        <v>1678</v>
      </c>
      <c r="V211" s="5" t="s">
        <v>47</v>
      </c>
      <c r="W211" s="5"/>
      <c r="X211" s="15" t="s">
        <v>1677</v>
      </c>
      <c r="Y211" s="5"/>
    </row>
    <row r="212" customFormat="false" ht="15" hidden="false" customHeight="false" outlineLevel="0" collapsed="false">
      <c r="A212" s="5" t="s">
        <v>3548</v>
      </c>
      <c r="B212" s="5" t="s">
        <v>297</v>
      </c>
      <c r="C212" s="5" t="s">
        <v>298</v>
      </c>
      <c r="D212" s="6" t="s">
        <v>45</v>
      </c>
      <c r="E212" s="5" t="n">
        <v>4</v>
      </c>
      <c r="F212" s="5" t="s">
        <v>3549</v>
      </c>
      <c r="G212" s="13" t="s">
        <v>3550</v>
      </c>
      <c r="H212" s="5" t="s">
        <v>3551</v>
      </c>
      <c r="I212" s="13" t="s">
        <v>3552</v>
      </c>
      <c r="J212" s="5" t="s">
        <v>3553</v>
      </c>
      <c r="K212" s="5" t="s">
        <v>3554</v>
      </c>
      <c r="L212" s="13" t="s">
        <v>3555</v>
      </c>
      <c r="M212" s="13" t="s">
        <v>3556</v>
      </c>
      <c r="N212" s="5" t="n">
        <f aca="false">LEN(L212)</f>
        <v>25</v>
      </c>
      <c r="O212" s="5" t="n">
        <f aca="false">LEN(M212)</f>
        <v>25</v>
      </c>
      <c r="P212" s="14" t="n">
        <f aca="false">IF(N212=0,"",(N212-LEN(SUBSTITUTE(SUBSTITUTE(L212,"G",""),"C","")))/N212)</f>
        <v>0.48</v>
      </c>
      <c r="Q212" s="14" t="n">
        <f aca="false">IF(O212=0,"",(O212-LEN(SUBSTITUTE(SUBSTITUTE(M212,"G",""),"C","")))/O212)</f>
        <v>0.48</v>
      </c>
      <c r="R212" s="5" t="s">
        <v>302</v>
      </c>
      <c r="S212" s="15" t="s">
        <v>1677</v>
      </c>
      <c r="T212" s="5" t="n">
        <v>356</v>
      </c>
      <c r="U212" s="5" t="s">
        <v>1678</v>
      </c>
      <c r="V212" s="5" t="s">
        <v>47</v>
      </c>
      <c r="W212" s="5"/>
      <c r="X212" s="15" t="s">
        <v>1677</v>
      </c>
      <c r="Y212" s="5"/>
    </row>
    <row r="213" customFormat="false" ht="15" hidden="false" customHeight="false" outlineLevel="0" collapsed="false">
      <c r="A213" s="5" t="s">
        <v>3557</v>
      </c>
      <c r="B213" s="5" t="s">
        <v>297</v>
      </c>
      <c r="C213" s="5" t="s">
        <v>298</v>
      </c>
      <c r="D213" s="6" t="s">
        <v>45</v>
      </c>
      <c r="E213" s="5" t="n">
        <v>5</v>
      </c>
      <c r="F213" s="5" t="s">
        <v>3558</v>
      </c>
      <c r="G213" s="13" t="s">
        <v>3559</v>
      </c>
      <c r="H213" s="5" t="s">
        <v>3560</v>
      </c>
      <c r="I213" s="13" t="s">
        <v>3561</v>
      </c>
      <c r="J213" s="5" t="s">
        <v>3562</v>
      </c>
      <c r="K213" s="5" t="s">
        <v>3563</v>
      </c>
      <c r="L213" s="13" t="s">
        <v>3564</v>
      </c>
      <c r="M213" s="13" t="s">
        <v>3565</v>
      </c>
      <c r="N213" s="5" t="n">
        <f aca="false">LEN(L213)</f>
        <v>25</v>
      </c>
      <c r="O213" s="5" t="n">
        <f aca="false">LEN(M213)</f>
        <v>25</v>
      </c>
      <c r="P213" s="14" t="n">
        <f aca="false">IF(N213=0,"",(N213-LEN(SUBSTITUTE(SUBSTITUTE(L213,"G",""),"C","")))/N213)</f>
        <v>0.52</v>
      </c>
      <c r="Q213" s="14" t="n">
        <f aca="false">IF(O213=0,"",(O213-LEN(SUBSTITUTE(SUBSTITUTE(M213,"G",""),"C","")))/O213)</f>
        <v>0.44</v>
      </c>
      <c r="R213" s="5" t="s">
        <v>302</v>
      </c>
      <c r="S213" s="15" t="s">
        <v>1677</v>
      </c>
      <c r="T213" s="5" t="n">
        <v>426</v>
      </c>
      <c r="U213" s="5" t="s">
        <v>1678</v>
      </c>
      <c r="V213" s="5" t="s">
        <v>47</v>
      </c>
      <c r="W213" s="5"/>
      <c r="X213" s="15" t="s">
        <v>1677</v>
      </c>
      <c r="Y213" s="5"/>
    </row>
    <row r="214" customFormat="false" ht="15" hidden="false" customHeight="false" outlineLevel="0" collapsed="false">
      <c r="A214" s="5" t="s">
        <v>3566</v>
      </c>
      <c r="B214" s="5" t="s">
        <v>297</v>
      </c>
      <c r="C214" s="5" t="s">
        <v>298</v>
      </c>
      <c r="D214" s="6" t="s">
        <v>45</v>
      </c>
      <c r="E214" s="5" t="n">
        <v>6</v>
      </c>
      <c r="F214" s="5" t="s">
        <v>3567</v>
      </c>
      <c r="G214" s="13" t="s">
        <v>3568</v>
      </c>
      <c r="H214" s="5" t="s">
        <v>3569</v>
      </c>
      <c r="I214" s="13" t="s">
        <v>3570</v>
      </c>
      <c r="J214" s="5" t="s">
        <v>3571</v>
      </c>
      <c r="K214" s="5" t="s">
        <v>3572</v>
      </c>
      <c r="L214" s="13" t="s">
        <v>3573</v>
      </c>
      <c r="M214" s="13" t="s">
        <v>3574</v>
      </c>
      <c r="N214" s="5" t="n">
        <f aca="false">LEN(L214)</f>
        <v>25</v>
      </c>
      <c r="O214" s="5" t="n">
        <f aca="false">LEN(M214)</f>
        <v>25</v>
      </c>
      <c r="P214" s="14" t="n">
        <f aca="false">IF(N214=0,"",(N214-LEN(SUBSTITUTE(SUBSTITUTE(L214,"G",""),"C","")))/N214)</f>
        <v>0.68</v>
      </c>
      <c r="Q214" s="14" t="n">
        <f aca="false">IF(O214=0,"",(O214-LEN(SUBSTITUTE(SUBSTITUTE(M214,"G",""),"C","")))/O214)</f>
        <v>0.64</v>
      </c>
      <c r="R214" s="5" t="s">
        <v>302</v>
      </c>
      <c r="S214" s="15" t="s">
        <v>1677</v>
      </c>
      <c r="T214" s="5" t="n">
        <v>496</v>
      </c>
      <c r="U214" s="5" t="s">
        <v>1678</v>
      </c>
      <c r="V214" s="5" t="s">
        <v>47</v>
      </c>
      <c r="W214" s="5"/>
      <c r="X214" s="15" t="s">
        <v>1677</v>
      </c>
      <c r="Y214" s="5"/>
    </row>
    <row r="215" customFormat="false" ht="15" hidden="false" customHeight="false" outlineLevel="0" collapsed="false">
      <c r="A215" s="5" t="s">
        <v>3575</v>
      </c>
      <c r="B215" s="5" t="s">
        <v>304</v>
      </c>
      <c r="C215" s="5" t="s">
        <v>305</v>
      </c>
      <c r="D215" s="6" t="s">
        <v>45</v>
      </c>
      <c r="E215" s="5" t="n">
        <v>1</v>
      </c>
      <c r="F215" s="5" t="s">
        <v>3576</v>
      </c>
      <c r="G215" s="13" t="s">
        <v>3577</v>
      </c>
      <c r="H215" s="5" t="s">
        <v>3578</v>
      </c>
      <c r="I215" s="13" t="s">
        <v>3579</v>
      </c>
      <c r="J215" s="5" t="s">
        <v>3580</v>
      </c>
      <c r="K215" s="5" t="s">
        <v>3581</v>
      </c>
      <c r="L215" s="13" t="s">
        <v>3582</v>
      </c>
      <c r="M215" s="13" t="s">
        <v>3583</v>
      </c>
      <c r="N215" s="5" t="n">
        <f aca="false">LEN(L215)</f>
        <v>25</v>
      </c>
      <c r="O215" s="5" t="n">
        <f aca="false">LEN(M215)</f>
        <v>25</v>
      </c>
      <c r="P215" s="14" t="n">
        <f aca="false">IF(N215=0,"",(N215-LEN(SUBSTITUTE(SUBSTITUTE(L215,"G",""),"C","")))/N215)</f>
        <v>0.72</v>
      </c>
      <c r="Q215" s="14" t="n">
        <f aca="false">IF(O215=0,"",(O215-LEN(SUBSTITUTE(SUBSTITUTE(M215,"G",""),"C","")))/O215)</f>
        <v>0.6</v>
      </c>
      <c r="R215" s="5" t="s">
        <v>309</v>
      </c>
      <c r="S215" s="15" t="s">
        <v>1677</v>
      </c>
      <c r="T215" s="5" t="n">
        <v>146</v>
      </c>
      <c r="U215" s="5" t="s">
        <v>1678</v>
      </c>
      <c r="V215" s="5" t="s">
        <v>47</v>
      </c>
      <c r="W215" s="5"/>
      <c r="X215" s="15" t="s">
        <v>1677</v>
      </c>
      <c r="Y215" s="5"/>
    </row>
    <row r="216" customFormat="false" ht="15" hidden="false" customHeight="false" outlineLevel="0" collapsed="false">
      <c r="A216" s="5" t="s">
        <v>3584</v>
      </c>
      <c r="B216" s="5" t="s">
        <v>304</v>
      </c>
      <c r="C216" s="5" t="s">
        <v>305</v>
      </c>
      <c r="D216" s="6" t="s">
        <v>45</v>
      </c>
      <c r="E216" s="5" t="n">
        <v>2</v>
      </c>
      <c r="F216" s="5" t="s">
        <v>3585</v>
      </c>
      <c r="G216" s="13" t="s">
        <v>3586</v>
      </c>
      <c r="H216" s="5" t="s">
        <v>3587</v>
      </c>
      <c r="I216" s="13" t="s">
        <v>3588</v>
      </c>
      <c r="J216" s="5" t="s">
        <v>3589</v>
      </c>
      <c r="K216" s="5" t="s">
        <v>3590</v>
      </c>
      <c r="L216" s="13" t="s">
        <v>3591</v>
      </c>
      <c r="M216" s="13" t="s">
        <v>3592</v>
      </c>
      <c r="N216" s="5" t="n">
        <f aca="false">LEN(L216)</f>
        <v>25</v>
      </c>
      <c r="O216" s="5" t="n">
        <f aca="false">LEN(M216)</f>
        <v>25</v>
      </c>
      <c r="P216" s="14" t="n">
        <f aca="false">IF(N216=0,"",(N216-LEN(SUBSTITUTE(SUBSTITUTE(L216,"G",""),"C","")))/N216)</f>
        <v>0.32</v>
      </c>
      <c r="Q216" s="14" t="n">
        <f aca="false">IF(O216=0,"",(O216-LEN(SUBSTITUTE(SUBSTITUTE(M216,"G",""),"C","")))/O216)</f>
        <v>0.48</v>
      </c>
      <c r="R216" s="5" t="s">
        <v>309</v>
      </c>
      <c r="S216" s="15" t="s">
        <v>1677</v>
      </c>
      <c r="T216" s="5" t="n">
        <v>216</v>
      </c>
      <c r="U216" s="5" t="s">
        <v>1678</v>
      </c>
      <c r="V216" s="5" t="s">
        <v>47</v>
      </c>
      <c r="W216" s="5"/>
      <c r="X216" s="15" t="s">
        <v>1677</v>
      </c>
      <c r="Y216" s="5"/>
    </row>
    <row r="217" customFormat="false" ht="15" hidden="false" customHeight="false" outlineLevel="0" collapsed="false">
      <c r="A217" s="5" t="s">
        <v>3593</v>
      </c>
      <c r="B217" s="5" t="s">
        <v>304</v>
      </c>
      <c r="C217" s="5" t="s">
        <v>305</v>
      </c>
      <c r="D217" s="6" t="s">
        <v>45</v>
      </c>
      <c r="E217" s="5" t="n">
        <v>3</v>
      </c>
      <c r="F217" s="5" t="s">
        <v>3594</v>
      </c>
      <c r="G217" s="13" t="s">
        <v>3595</v>
      </c>
      <c r="H217" s="5" t="s">
        <v>3596</v>
      </c>
      <c r="I217" s="13" t="s">
        <v>3597</v>
      </c>
      <c r="J217" s="5" t="s">
        <v>3598</v>
      </c>
      <c r="K217" s="5" t="s">
        <v>3599</v>
      </c>
      <c r="L217" s="13" t="s">
        <v>3600</v>
      </c>
      <c r="M217" s="13" t="s">
        <v>3601</v>
      </c>
      <c r="N217" s="5" t="n">
        <f aca="false">LEN(L217)</f>
        <v>25</v>
      </c>
      <c r="O217" s="5" t="n">
        <f aca="false">LEN(M217)</f>
        <v>25</v>
      </c>
      <c r="P217" s="14" t="n">
        <f aca="false">IF(N217=0,"",(N217-LEN(SUBSTITUTE(SUBSTITUTE(L217,"G",""),"C","")))/N217)</f>
        <v>0.48</v>
      </c>
      <c r="Q217" s="14" t="n">
        <f aca="false">IF(O217=0,"",(O217-LEN(SUBSTITUTE(SUBSTITUTE(M217,"G",""),"C","")))/O217)</f>
        <v>0.44</v>
      </c>
      <c r="R217" s="5" t="s">
        <v>309</v>
      </c>
      <c r="S217" s="15" t="s">
        <v>1677</v>
      </c>
      <c r="T217" s="5" t="n">
        <v>286</v>
      </c>
      <c r="U217" s="5" t="s">
        <v>1678</v>
      </c>
      <c r="V217" s="5" t="s">
        <v>47</v>
      </c>
      <c r="W217" s="5"/>
      <c r="X217" s="15" t="s">
        <v>1677</v>
      </c>
      <c r="Y217" s="5"/>
    </row>
    <row r="218" customFormat="false" ht="15" hidden="false" customHeight="false" outlineLevel="0" collapsed="false">
      <c r="A218" s="5" t="s">
        <v>3602</v>
      </c>
      <c r="B218" s="5" t="s">
        <v>304</v>
      </c>
      <c r="C218" s="5" t="s">
        <v>305</v>
      </c>
      <c r="D218" s="6" t="s">
        <v>45</v>
      </c>
      <c r="E218" s="5" t="n">
        <v>4</v>
      </c>
      <c r="F218" s="5" t="s">
        <v>3603</v>
      </c>
      <c r="G218" s="13" t="s">
        <v>3604</v>
      </c>
      <c r="H218" s="5" t="s">
        <v>3605</v>
      </c>
      <c r="I218" s="13" t="s">
        <v>3606</v>
      </c>
      <c r="J218" s="5" t="s">
        <v>3607</v>
      </c>
      <c r="K218" s="5" t="s">
        <v>3608</v>
      </c>
      <c r="L218" s="13" t="s">
        <v>3609</v>
      </c>
      <c r="M218" s="13" t="s">
        <v>3610</v>
      </c>
      <c r="N218" s="5" t="n">
        <f aca="false">LEN(L218)</f>
        <v>25</v>
      </c>
      <c r="O218" s="5" t="n">
        <f aca="false">LEN(M218)</f>
        <v>25</v>
      </c>
      <c r="P218" s="14" t="n">
        <f aca="false">IF(N218=0,"",(N218-LEN(SUBSTITUTE(SUBSTITUTE(L218,"G",""),"C","")))/N218)</f>
        <v>0.56</v>
      </c>
      <c r="Q218" s="14" t="n">
        <f aca="false">IF(O218=0,"",(O218-LEN(SUBSTITUTE(SUBSTITUTE(M218,"G",""),"C","")))/O218)</f>
        <v>0.64</v>
      </c>
      <c r="R218" s="5" t="s">
        <v>309</v>
      </c>
      <c r="S218" s="15" t="s">
        <v>1677</v>
      </c>
      <c r="T218" s="5" t="n">
        <v>356</v>
      </c>
      <c r="U218" s="5" t="s">
        <v>1678</v>
      </c>
      <c r="V218" s="5" t="s">
        <v>47</v>
      </c>
      <c r="W218" s="5"/>
      <c r="X218" s="15" t="s">
        <v>1677</v>
      </c>
      <c r="Y218" s="5"/>
    </row>
    <row r="219" customFormat="false" ht="15" hidden="false" customHeight="false" outlineLevel="0" collapsed="false">
      <c r="A219" s="5" t="s">
        <v>3611</v>
      </c>
      <c r="B219" s="5" t="s">
        <v>304</v>
      </c>
      <c r="C219" s="5" t="s">
        <v>305</v>
      </c>
      <c r="D219" s="6" t="s">
        <v>45</v>
      </c>
      <c r="E219" s="5" t="n">
        <v>5</v>
      </c>
      <c r="F219" s="5" t="s">
        <v>3612</v>
      </c>
      <c r="G219" s="13" t="s">
        <v>3613</v>
      </c>
      <c r="H219" s="5" t="s">
        <v>3614</v>
      </c>
      <c r="I219" s="13" t="s">
        <v>3615</v>
      </c>
      <c r="J219" s="5" t="s">
        <v>3616</v>
      </c>
      <c r="K219" s="5" t="s">
        <v>3617</v>
      </c>
      <c r="L219" s="13" t="s">
        <v>3618</v>
      </c>
      <c r="M219" s="13" t="s">
        <v>3619</v>
      </c>
      <c r="N219" s="5" t="n">
        <f aca="false">LEN(L219)</f>
        <v>25</v>
      </c>
      <c r="O219" s="5" t="n">
        <f aca="false">LEN(M219)</f>
        <v>25</v>
      </c>
      <c r="P219" s="14" t="n">
        <f aca="false">IF(N219=0,"",(N219-LEN(SUBSTITUTE(SUBSTITUTE(L219,"G",""),"C","")))/N219)</f>
        <v>0.6</v>
      </c>
      <c r="Q219" s="14" t="n">
        <f aca="false">IF(O219=0,"",(O219-LEN(SUBSTITUTE(SUBSTITUTE(M219,"G",""),"C","")))/O219)</f>
        <v>0.8</v>
      </c>
      <c r="R219" s="5" t="s">
        <v>309</v>
      </c>
      <c r="S219" s="15" t="s">
        <v>1677</v>
      </c>
      <c r="T219" s="5" t="n">
        <v>426</v>
      </c>
      <c r="U219" s="5" t="s">
        <v>1678</v>
      </c>
      <c r="V219" s="5" t="s">
        <v>47</v>
      </c>
      <c r="W219" s="5"/>
      <c r="X219" s="15" t="s">
        <v>1677</v>
      </c>
      <c r="Y219" s="5"/>
    </row>
    <row r="220" customFormat="false" ht="15" hidden="false" customHeight="false" outlineLevel="0" collapsed="false">
      <c r="A220" s="5" t="s">
        <v>3620</v>
      </c>
      <c r="B220" s="5" t="s">
        <v>304</v>
      </c>
      <c r="C220" s="5" t="s">
        <v>305</v>
      </c>
      <c r="D220" s="6" t="s">
        <v>45</v>
      </c>
      <c r="E220" s="5" t="n">
        <v>6</v>
      </c>
      <c r="F220" s="5" t="s">
        <v>3621</v>
      </c>
      <c r="G220" s="13" t="s">
        <v>3622</v>
      </c>
      <c r="H220" s="5" t="s">
        <v>3623</v>
      </c>
      <c r="I220" s="13" t="s">
        <v>3624</v>
      </c>
      <c r="J220" s="5" t="s">
        <v>3625</v>
      </c>
      <c r="K220" s="5" t="s">
        <v>3626</v>
      </c>
      <c r="L220" s="13" t="s">
        <v>3627</v>
      </c>
      <c r="M220" s="13" t="s">
        <v>3628</v>
      </c>
      <c r="N220" s="5" t="n">
        <f aca="false">LEN(L220)</f>
        <v>25</v>
      </c>
      <c r="O220" s="5" t="n">
        <f aca="false">LEN(M220)</f>
        <v>25</v>
      </c>
      <c r="P220" s="14" t="n">
        <f aca="false">IF(N220=0,"",(N220-LEN(SUBSTITUTE(SUBSTITUTE(L220,"G",""),"C","")))/N220)</f>
        <v>0.32</v>
      </c>
      <c r="Q220" s="14" t="n">
        <f aca="false">IF(O220=0,"",(O220-LEN(SUBSTITUTE(SUBSTITUTE(M220,"G",""),"C","")))/O220)</f>
        <v>0.56</v>
      </c>
      <c r="R220" s="5" t="s">
        <v>309</v>
      </c>
      <c r="S220" s="15" t="s">
        <v>1677</v>
      </c>
      <c r="T220" s="5" t="n">
        <v>496</v>
      </c>
      <c r="U220" s="5" t="s">
        <v>1678</v>
      </c>
      <c r="V220" s="5" t="s">
        <v>47</v>
      </c>
      <c r="W220" s="5"/>
      <c r="X220" s="15" t="s">
        <v>1677</v>
      </c>
      <c r="Y220" s="5"/>
    </row>
    <row r="221" customFormat="false" ht="15" hidden="false" customHeight="false" outlineLevel="0" collapsed="false">
      <c r="A221" s="5" t="s">
        <v>3629</v>
      </c>
      <c r="B221" s="5" t="s">
        <v>312</v>
      </c>
      <c r="C221" s="5" t="s">
        <v>313</v>
      </c>
      <c r="D221" s="6" t="s">
        <v>45</v>
      </c>
      <c r="E221" s="5" t="n">
        <v>1</v>
      </c>
      <c r="F221" s="5" t="s">
        <v>3630</v>
      </c>
      <c r="G221" s="13" t="s">
        <v>3631</v>
      </c>
      <c r="H221" s="5" t="s">
        <v>3632</v>
      </c>
      <c r="I221" s="13" t="s">
        <v>3633</v>
      </c>
      <c r="J221" s="5" t="s">
        <v>3634</v>
      </c>
      <c r="K221" s="5" t="s">
        <v>3635</v>
      </c>
      <c r="L221" s="13" t="s">
        <v>3636</v>
      </c>
      <c r="M221" s="13" t="s">
        <v>3637</v>
      </c>
      <c r="N221" s="5" t="n">
        <f aca="false">LEN(L221)</f>
        <v>25</v>
      </c>
      <c r="O221" s="5" t="n">
        <f aca="false">LEN(M221)</f>
        <v>25</v>
      </c>
      <c r="P221" s="14" t="n">
        <f aca="false">IF(N221=0,"",(N221-LEN(SUBSTITUTE(SUBSTITUTE(L221,"G",""),"C","")))/N221)</f>
        <v>0.48</v>
      </c>
      <c r="Q221" s="14" t="n">
        <f aca="false">IF(O221=0,"",(O221-LEN(SUBSTITUTE(SUBSTITUTE(M221,"G",""),"C","")))/O221)</f>
        <v>0.56</v>
      </c>
      <c r="R221" s="5" t="s">
        <v>318</v>
      </c>
      <c r="S221" s="15" t="s">
        <v>1677</v>
      </c>
      <c r="T221" s="5" t="n">
        <v>7</v>
      </c>
      <c r="U221" s="5" t="s">
        <v>1678</v>
      </c>
      <c r="V221" s="5" t="s">
        <v>47</v>
      </c>
      <c r="W221" s="5"/>
      <c r="X221" s="15" t="s">
        <v>1677</v>
      </c>
      <c r="Y221" s="5"/>
    </row>
    <row r="222" customFormat="false" ht="15" hidden="false" customHeight="false" outlineLevel="0" collapsed="false">
      <c r="A222" s="5" t="s">
        <v>3638</v>
      </c>
      <c r="B222" s="5" t="s">
        <v>312</v>
      </c>
      <c r="C222" s="5" t="s">
        <v>313</v>
      </c>
      <c r="D222" s="6" t="s">
        <v>45</v>
      </c>
      <c r="E222" s="5" t="n">
        <v>2</v>
      </c>
      <c r="F222" s="5" t="s">
        <v>3639</v>
      </c>
      <c r="G222" s="13" t="s">
        <v>3640</v>
      </c>
      <c r="H222" s="5" t="s">
        <v>3641</v>
      </c>
      <c r="I222" s="13" t="s">
        <v>3642</v>
      </c>
      <c r="J222" s="5" t="s">
        <v>3643</v>
      </c>
      <c r="K222" s="5" t="s">
        <v>3644</v>
      </c>
      <c r="L222" s="13" t="s">
        <v>3645</v>
      </c>
      <c r="M222" s="13" t="s">
        <v>3646</v>
      </c>
      <c r="N222" s="5" t="n">
        <f aca="false">LEN(L222)</f>
        <v>25</v>
      </c>
      <c r="O222" s="5" t="n">
        <f aca="false">LEN(M222)</f>
        <v>25</v>
      </c>
      <c r="P222" s="14" t="n">
        <f aca="false">IF(N222=0,"",(N222-LEN(SUBSTITUTE(SUBSTITUTE(L222,"G",""),"C","")))/N222)</f>
        <v>0.68</v>
      </c>
      <c r="Q222" s="14" t="n">
        <f aca="false">IF(O222=0,"",(O222-LEN(SUBSTITUTE(SUBSTITUTE(M222,"G",""),"C","")))/O222)</f>
        <v>0.64</v>
      </c>
      <c r="R222" s="5" t="s">
        <v>318</v>
      </c>
      <c r="S222" s="15" t="s">
        <v>1677</v>
      </c>
      <c r="T222" s="5" t="n">
        <v>79</v>
      </c>
      <c r="U222" s="5" t="s">
        <v>1678</v>
      </c>
      <c r="V222" s="5" t="s">
        <v>47</v>
      </c>
      <c r="W222" s="5"/>
      <c r="X222" s="15" t="s">
        <v>1677</v>
      </c>
      <c r="Y222" s="5"/>
    </row>
    <row r="223" customFormat="false" ht="15" hidden="false" customHeight="false" outlineLevel="0" collapsed="false">
      <c r="A223" s="5" t="s">
        <v>3647</v>
      </c>
      <c r="B223" s="5" t="s">
        <v>312</v>
      </c>
      <c r="C223" s="5" t="s">
        <v>313</v>
      </c>
      <c r="D223" s="6" t="s">
        <v>45</v>
      </c>
      <c r="E223" s="5" t="n">
        <v>3</v>
      </c>
      <c r="F223" s="5" t="s">
        <v>3648</v>
      </c>
      <c r="G223" s="13" t="s">
        <v>3649</v>
      </c>
      <c r="H223" s="5" t="s">
        <v>3650</v>
      </c>
      <c r="I223" s="13" t="s">
        <v>3651</v>
      </c>
      <c r="J223" s="5" t="s">
        <v>3652</v>
      </c>
      <c r="K223" s="5" t="s">
        <v>3653</v>
      </c>
      <c r="L223" s="13" t="s">
        <v>3654</v>
      </c>
      <c r="M223" s="13" t="s">
        <v>3655</v>
      </c>
      <c r="N223" s="5" t="n">
        <f aca="false">LEN(L223)</f>
        <v>25</v>
      </c>
      <c r="O223" s="5" t="n">
        <f aca="false">LEN(M223)</f>
        <v>25</v>
      </c>
      <c r="P223" s="14" t="n">
        <f aca="false">IF(N223=0,"",(N223-LEN(SUBSTITUTE(SUBSTITUTE(L223,"G",""),"C","")))/N223)</f>
        <v>0.52</v>
      </c>
      <c r="Q223" s="14" t="n">
        <f aca="false">IF(O223=0,"",(O223-LEN(SUBSTITUTE(SUBSTITUTE(M223,"G",""),"C","")))/O223)</f>
        <v>0.44</v>
      </c>
      <c r="R223" s="5" t="s">
        <v>318</v>
      </c>
      <c r="S223" s="15" t="s">
        <v>1677</v>
      </c>
      <c r="T223" s="5" t="n">
        <v>150</v>
      </c>
      <c r="U223" s="5" t="s">
        <v>1678</v>
      </c>
      <c r="V223" s="5" t="s">
        <v>47</v>
      </c>
      <c r="W223" s="5"/>
      <c r="X223" s="15" t="s">
        <v>1677</v>
      </c>
      <c r="Y223" s="5"/>
    </row>
    <row r="224" customFormat="false" ht="15" hidden="false" customHeight="false" outlineLevel="0" collapsed="false">
      <c r="A224" s="5" t="s">
        <v>3656</v>
      </c>
      <c r="B224" s="5" t="s">
        <v>312</v>
      </c>
      <c r="C224" s="5" t="s">
        <v>313</v>
      </c>
      <c r="D224" s="6" t="s">
        <v>45</v>
      </c>
      <c r="E224" s="5" t="n">
        <v>4</v>
      </c>
      <c r="F224" s="5" t="s">
        <v>3657</v>
      </c>
      <c r="G224" s="13" t="s">
        <v>3658</v>
      </c>
      <c r="H224" s="5" t="s">
        <v>3659</v>
      </c>
      <c r="I224" s="13" t="s">
        <v>3660</v>
      </c>
      <c r="J224" s="5" t="s">
        <v>3661</v>
      </c>
      <c r="K224" s="5" t="s">
        <v>3662</v>
      </c>
      <c r="L224" s="13" t="s">
        <v>3663</v>
      </c>
      <c r="M224" s="13" t="s">
        <v>3664</v>
      </c>
      <c r="N224" s="5" t="n">
        <f aca="false">LEN(L224)</f>
        <v>25</v>
      </c>
      <c r="O224" s="5" t="n">
        <f aca="false">LEN(M224)</f>
        <v>25</v>
      </c>
      <c r="P224" s="14" t="n">
        <f aca="false">IF(N224=0,"",(N224-LEN(SUBSTITUTE(SUBSTITUTE(L224,"G",""),"C","")))/N224)</f>
        <v>0.6</v>
      </c>
      <c r="Q224" s="14" t="n">
        <f aca="false">IF(O224=0,"",(O224-LEN(SUBSTITUTE(SUBSTITUTE(M224,"G",""),"C","")))/O224)</f>
        <v>0.76</v>
      </c>
      <c r="R224" s="5" t="s">
        <v>318</v>
      </c>
      <c r="S224" s="15" t="s">
        <v>1677</v>
      </c>
      <c r="T224" s="5" t="n">
        <v>296</v>
      </c>
      <c r="U224" s="5" t="s">
        <v>1678</v>
      </c>
      <c r="V224" s="5" t="s">
        <v>47</v>
      </c>
      <c r="W224" s="5"/>
      <c r="X224" s="15" t="s">
        <v>1677</v>
      </c>
      <c r="Y224" s="5"/>
    </row>
    <row r="225" customFormat="false" ht="15" hidden="false" customHeight="false" outlineLevel="0" collapsed="false">
      <c r="A225" s="5" t="s">
        <v>3665</v>
      </c>
      <c r="B225" s="5" t="s">
        <v>312</v>
      </c>
      <c r="C225" s="5" t="s">
        <v>313</v>
      </c>
      <c r="D225" s="6" t="s">
        <v>45</v>
      </c>
      <c r="E225" s="5" t="n">
        <v>5</v>
      </c>
      <c r="F225" s="5" t="s">
        <v>3666</v>
      </c>
      <c r="G225" s="13" t="s">
        <v>3667</v>
      </c>
      <c r="H225" s="5" t="s">
        <v>3668</v>
      </c>
      <c r="I225" s="13" t="s">
        <v>3669</v>
      </c>
      <c r="J225" s="5" t="s">
        <v>3670</v>
      </c>
      <c r="K225" s="5" t="s">
        <v>3671</v>
      </c>
      <c r="L225" s="13" t="s">
        <v>3672</v>
      </c>
      <c r="M225" s="13" t="s">
        <v>3673</v>
      </c>
      <c r="N225" s="5" t="n">
        <f aca="false">LEN(L225)</f>
        <v>25</v>
      </c>
      <c r="O225" s="5" t="n">
        <f aca="false">LEN(M225)</f>
        <v>25</v>
      </c>
      <c r="P225" s="14" t="n">
        <f aca="false">IF(N225=0,"",(N225-LEN(SUBSTITUTE(SUBSTITUTE(L225,"G",""),"C","")))/N225)</f>
        <v>0.6</v>
      </c>
      <c r="Q225" s="14" t="n">
        <f aca="false">IF(O225=0,"",(O225-LEN(SUBSTITUTE(SUBSTITUTE(M225,"G",""),"C","")))/O225)</f>
        <v>0.6</v>
      </c>
      <c r="R225" s="5" t="s">
        <v>318</v>
      </c>
      <c r="S225" s="15" t="s">
        <v>1677</v>
      </c>
      <c r="T225" s="5" t="n">
        <v>370</v>
      </c>
      <c r="U225" s="5" t="s">
        <v>1678</v>
      </c>
      <c r="V225" s="5" t="s">
        <v>47</v>
      </c>
      <c r="W225" s="5"/>
      <c r="X225" s="15" t="s">
        <v>1677</v>
      </c>
      <c r="Y225" s="5"/>
    </row>
    <row r="226" customFormat="false" ht="15" hidden="false" customHeight="false" outlineLevel="0" collapsed="false">
      <c r="A226" s="5" t="s">
        <v>3674</v>
      </c>
      <c r="B226" s="5" t="s">
        <v>320</v>
      </c>
      <c r="C226" s="5" t="s">
        <v>321</v>
      </c>
      <c r="D226" s="6" t="s">
        <v>45</v>
      </c>
      <c r="E226" s="5" t="n">
        <v>1</v>
      </c>
      <c r="F226" s="5" t="s">
        <v>3675</v>
      </c>
      <c r="G226" s="13" t="s">
        <v>3676</v>
      </c>
      <c r="H226" s="5" t="s">
        <v>3677</v>
      </c>
      <c r="I226" s="13" t="s">
        <v>3678</v>
      </c>
      <c r="J226" s="5" t="s">
        <v>3679</v>
      </c>
      <c r="K226" s="5" t="s">
        <v>3680</v>
      </c>
      <c r="L226" s="13" t="s">
        <v>3681</v>
      </c>
      <c r="M226" s="13" t="s">
        <v>3682</v>
      </c>
      <c r="N226" s="5" t="n">
        <f aca="false">LEN(L226)</f>
        <v>10</v>
      </c>
      <c r="O226" s="5" t="n">
        <f aca="false">LEN(M226)</f>
        <v>10</v>
      </c>
      <c r="P226" s="14" t="n">
        <f aca="false">IF(N226=0,"",(N226-LEN(SUBSTITUTE(SUBSTITUTE(L226,"G",""),"C","")))/N226)</f>
        <v>0.6</v>
      </c>
      <c r="Q226" s="14" t="n">
        <f aca="false">IF(O226=0,"",(O226-LEN(SUBSTITUTE(SUBSTITUTE(M226,"G",""),"C","")))/O226)</f>
        <v>0.7</v>
      </c>
      <c r="R226" s="5" t="s">
        <v>323</v>
      </c>
      <c r="S226" s="15" t="s">
        <v>1677</v>
      </c>
      <c r="T226" s="5" t="n">
        <v>1</v>
      </c>
      <c r="U226" s="5" t="s">
        <v>2986</v>
      </c>
      <c r="V226" s="5" t="s">
        <v>47</v>
      </c>
      <c r="W226" s="5"/>
      <c r="X226" s="8" t="s">
        <v>2131</v>
      </c>
      <c r="Y226" s="8" t="s">
        <v>3683</v>
      </c>
    </row>
    <row r="227" customFormat="false" ht="15" hidden="false" customHeight="false" outlineLevel="0" collapsed="false">
      <c r="A227" s="5" t="s">
        <v>3684</v>
      </c>
      <c r="B227" s="5" t="s">
        <v>324</v>
      </c>
      <c r="C227" s="5" t="s">
        <v>325</v>
      </c>
      <c r="D227" s="6" t="s">
        <v>45</v>
      </c>
      <c r="E227" s="5" t="n">
        <v>1</v>
      </c>
      <c r="F227" s="5" t="s">
        <v>3685</v>
      </c>
      <c r="G227" s="13" t="s">
        <v>3686</v>
      </c>
      <c r="H227" s="5" t="s">
        <v>3687</v>
      </c>
      <c r="I227" s="13" t="s">
        <v>3688</v>
      </c>
      <c r="J227" s="5" t="s">
        <v>3689</v>
      </c>
      <c r="K227" s="5" t="s">
        <v>3690</v>
      </c>
      <c r="L227" s="13" t="s">
        <v>3691</v>
      </c>
      <c r="M227" s="13" t="s">
        <v>3692</v>
      </c>
      <c r="N227" s="5" t="n">
        <f aca="false">LEN(L227)</f>
        <v>25</v>
      </c>
      <c r="O227" s="5" t="n">
        <f aca="false">LEN(M227)</f>
        <v>25</v>
      </c>
      <c r="P227" s="14" t="n">
        <f aca="false">IF(N227=0,"",(N227-LEN(SUBSTITUTE(SUBSTITUTE(L227,"G",""),"C","")))/N227)</f>
        <v>0.68</v>
      </c>
      <c r="Q227" s="14" t="n">
        <f aca="false">IF(O227=0,"",(O227-LEN(SUBSTITUTE(SUBSTITUTE(M227,"G",""),"C","")))/O227)</f>
        <v>0.56</v>
      </c>
      <c r="R227" s="5" t="s">
        <v>329</v>
      </c>
      <c r="S227" s="15" t="s">
        <v>1677</v>
      </c>
      <c r="T227" s="5" t="n">
        <v>566</v>
      </c>
      <c r="U227" s="5" t="s">
        <v>1678</v>
      </c>
      <c r="V227" s="5" t="s">
        <v>47</v>
      </c>
      <c r="W227" s="5"/>
      <c r="X227" s="15" t="s">
        <v>1677</v>
      </c>
      <c r="Y227" s="5"/>
    </row>
    <row r="228" customFormat="false" ht="15" hidden="false" customHeight="false" outlineLevel="0" collapsed="false">
      <c r="A228" s="5" t="s">
        <v>3693</v>
      </c>
      <c r="B228" s="5" t="s">
        <v>324</v>
      </c>
      <c r="C228" s="5" t="s">
        <v>325</v>
      </c>
      <c r="D228" s="6" t="s">
        <v>45</v>
      </c>
      <c r="E228" s="5" t="n">
        <v>2</v>
      </c>
      <c r="F228" s="5" t="s">
        <v>3694</v>
      </c>
      <c r="G228" s="13" t="s">
        <v>3695</v>
      </c>
      <c r="H228" s="5" t="s">
        <v>3696</v>
      </c>
      <c r="I228" s="13" t="s">
        <v>3697</v>
      </c>
      <c r="J228" s="5" t="s">
        <v>3698</v>
      </c>
      <c r="K228" s="5" t="s">
        <v>3699</v>
      </c>
      <c r="L228" s="13" t="s">
        <v>3700</v>
      </c>
      <c r="M228" s="13" t="s">
        <v>3701</v>
      </c>
      <c r="N228" s="5" t="n">
        <f aca="false">LEN(L228)</f>
        <v>25</v>
      </c>
      <c r="O228" s="5" t="n">
        <f aca="false">LEN(M228)</f>
        <v>25</v>
      </c>
      <c r="P228" s="14" t="n">
        <f aca="false">IF(N228=0,"",(N228-LEN(SUBSTITUTE(SUBSTITUTE(L228,"G",""),"C","")))/N228)</f>
        <v>0.56</v>
      </c>
      <c r="Q228" s="14" t="n">
        <f aca="false">IF(O228=0,"",(O228-LEN(SUBSTITUTE(SUBSTITUTE(M228,"G",""),"C","")))/O228)</f>
        <v>0.52</v>
      </c>
      <c r="R228" s="5" t="s">
        <v>329</v>
      </c>
      <c r="S228" s="15" t="s">
        <v>1677</v>
      </c>
      <c r="T228" s="5" t="n">
        <v>636</v>
      </c>
      <c r="U228" s="5" t="s">
        <v>1678</v>
      </c>
      <c r="V228" s="5" t="s">
        <v>47</v>
      </c>
      <c r="W228" s="5"/>
      <c r="X228" s="15" t="s">
        <v>1677</v>
      </c>
      <c r="Y228" s="5"/>
    </row>
    <row r="229" customFormat="false" ht="15" hidden="false" customHeight="false" outlineLevel="0" collapsed="false">
      <c r="A229" s="5" t="s">
        <v>3702</v>
      </c>
      <c r="B229" s="5" t="s">
        <v>324</v>
      </c>
      <c r="C229" s="5" t="s">
        <v>325</v>
      </c>
      <c r="D229" s="6" t="s">
        <v>45</v>
      </c>
      <c r="E229" s="5" t="n">
        <v>3</v>
      </c>
      <c r="F229" s="5" t="s">
        <v>3703</v>
      </c>
      <c r="G229" s="13" t="s">
        <v>3704</v>
      </c>
      <c r="H229" s="5" t="s">
        <v>3705</v>
      </c>
      <c r="I229" s="13" t="s">
        <v>3706</v>
      </c>
      <c r="J229" s="5" t="s">
        <v>3707</v>
      </c>
      <c r="K229" s="5" t="s">
        <v>3708</v>
      </c>
      <c r="L229" s="13" t="s">
        <v>3709</v>
      </c>
      <c r="M229" s="13" t="s">
        <v>3710</v>
      </c>
      <c r="N229" s="5" t="n">
        <f aca="false">LEN(L229)</f>
        <v>25</v>
      </c>
      <c r="O229" s="5" t="n">
        <f aca="false">LEN(M229)</f>
        <v>25</v>
      </c>
      <c r="P229" s="14" t="n">
        <f aca="false">IF(N229=0,"",(N229-LEN(SUBSTITUTE(SUBSTITUTE(L229,"G",""),"C","")))/N229)</f>
        <v>0.68</v>
      </c>
      <c r="Q229" s="14" t="n">
        <f aca="false">IF(O229=0,"",(O229-LEN(SUBSTITUTE(SUBSTITUTE(M229,"G",""),"C","")))/O229)</f>
        <v>0.52</v>
      </c>
      <c r="R229" s="5" t="s">
        <v>329</v>
      </c>
      <c r="S229" s="15" t="s">
        <v>1677</v>
      </c>
      <c r="T229" s="5" t="n">
        <v>706</v>
      </c>
      <c r="U229" s="5" t="s">
        <v>1678</v>
      </c>
      <c r="V229" s="5" t="s">
        <v>47</v>
      </c>
      <c r="W229" s="5"/>
      <c r="X229" s="15" t="s">
        <v>1677</v>
      </c>
      <c r="Y229" s="5"/>
    </row>
    <row r="230" customFormat="false" ht="15" hidden="false" customHeight="false" outlineLevel="0" collapsed="false">
      <c r="A230" s="5" t="s">
        <v>3711</v>
      </c>
      <c r="B230" s="5" t="s">
        <v>324</v>
      </c>
      <c r="C230" s="5" t="s">
        <v>325</v>
      </c>
      <c r="D230" s="6" t="s">
        <v>45</v>
      </c>
      <c r="E230" s="5" t="n">
        <v>4</v>
      </c>
      <c r="F230" s="5" t="s">
        <v>3712</v>
      </c>
      <c r="G230" s="13" t="s">
        <v>3713</v>
      </c>
      <c r="H230" s="5" t="s">
        <v>3714</v>
      </c>
      <c r="I230" s="13" t="s">
        <v>3715</v>
      </c>
      <c r="J230" s="5" t="s">
        <v>3716</v>
      </c>
      <c r="K230" s="5" t="s">
        <v>3717</v>
      </c>
      <c r="L230" s="13" t="s">
        <v>3718</v>
      </c>
      <c r="M230" s="13" t="s">
        <v>3719</v>
      </c>
      <c r="N230" s="5" t="n">
        <f aca="false">LEN(L230)</f>
        <v>25</v>
      </c>
      <c r="O230" s="5" t="n">
        <f aca="false">LEN(M230)</f>
        <v>25</v>
      </c>
      <c r="P230" s="14" t="n">
        <f aca="false">IF(N230=0,"",(N230-LEN(SUBSTITUTE(SUBSTITUTE(L230,"G",""),"C","")))/N230)</f>
        <v>0.48</v>
      </c>
      <c r="Q230" s="14" t="n">
        <f aca="false">IF(O230=0,"",(O230-LEN(SUBSTITUTE(SUBSTITUTE(M230,"G",""),"C","")))/O230)</f>
        <v>0.52</v>
      </c>
      <c r="R230" s="5" t="s">
        <v>329</v>
      </c>
      <c r="S230" s="15" t="s">
        <v>1677</v>
      </c>
      <c r="T230" s="5" t="n">
        <v>776</v>
      </c>
      <c r="U230" s="5" t="s">
        <v>1678</v>
      </c>
      <c r="V230" s="5" t="s">
        <v>47</v>
      </c>
      <c r="W230" s="5"/>
      <c r="X230" s="15" t="s">
        <v>1677</v>
      </c>
      <c r="Y230" s="5"/>
    </row>
    <row r="231" customFormat="false" ht="15" hidden="false" customHeight="false" outlineLevel="0" collapsed="false">
      <c r="A231" s="5" t="s">
        <v>3720</v>
      </c>
      <c r="B231" s="5" t="s">
        <v>324</v>
      </c>
      <c r="C231" s="5" t="s">
        <v>325</v>
      </c>
      <c r="D231" s="6" t="s">
        <v>45</v>
      </c>
      <c r="E231" s="5" t="n">
        <v>5</v>
      </c>
      <c r="F231" s="5" t="s">
        <v>3721</v>
      </c>
      <c r="G231" s="13" t="s">
        <v>3722</v>
      </c>
      <c r="H231" s="5" t="s">
        <v>3723</v>
      </c>
      <c r="I231" s="13" t="s">
        <v>3724</v>
      </c>
      <c r="J231" s="5" t="s">
        <v>3725</v>
      </c>
      <c r="K231" s="5" t="s">
        <v>3726</v>
      </c>
      <c r="L231" s="13" t="s">
        <v>3727</v>
      </c>
      <c r="M231" s="13" t="s">
        <v>3728</v>
      </c>
      <c r="N231" s="5" t="n">
        <f aca="false">LEN(L231)</f>
        <v>25</v>
      </c>
      <c r="O231" s="5" t="n">
        <f aca="false">LEN(M231)</f>
        <v>25</v>
      </c>
      <c r="P231" s="14" t="n">
        <f aca="false">IF(N231=0,"",(N231-LEN(SUBSTITUTE(SUBSTITUTE(L231,"G",""),"C","")))/N231)</f>
        <v>0.72</v>
      </c>
      <c r="Q231" s="14" t="n">
        <f aca="false">IF(O231=0,"",(O231-LEN(SUBSTITUTE(SUBSTITUTE(M231,"G",""),"C","")))/O231)</f>
        <v>0.44</v>
      </c>
      <c r="R231" s="5" t="s">
        <v>329</v>
      </c>
      <c r="S231" s="15" t="s">
        <v>1677</v>
      </c>
      <c r="T231" s="5" t="n">
        <v>846</v>
      </c>
      <c r="U231" s="5" t="s">
        <v>1678</v>
      </c>
      <c r="V231" s="5" t="s">
        <v>47</v>
      </c>
      <c r="W231" s="5"/>
      <c r="X231" s="15" t="s">
        <v>1677</v>
      </c>
      <c r="Y231" s="5"/>
    </row>
    <row r="232" customFormat="false" ht="15" hidden="false" customHeight="false" outlineLevel="0" collapsed="false">
      <c r="A232" s="5" t="s">
        <v>3729</v>
      </c>
      <c r="B232" s="5" t="s">
        <v>324</v>
      </c>
      <c r="C232" s="5" t="s">
        <v>325</v>
      </c>
      <c r="D232" s="6" t="s">
        <v>45</v>
      </c>
      <c r="E232" s="5" t="n">
        <v>6</v>
      </c>
      <c r="F232" s="5" t="s">
        <v>3730</v>
      </c>
      <c r="G232" s="13" t="s">
        <v>3731</v>
      </c>
      <c r="H232" s="5" t="s">
        <v>3732</v>
      </c>
      <c r="I232" s="13" t="s">
        <v>3733</v>
      </c>
      <c r="J232" s="5" t="s">
        <v>3734</v>
      </c>
      <c r="K232" s="5" t="s">
        <v>3735</v>
      </c>
      <c r="L232" s="13" t="s">
        <v>3736</v>
      </c>
      <c r="M232" s="13" t="s">
        <v>3737</v>
      </c>
      <c r="N232" s="5" t="n">
        <f aca="false">LEN(L232)</f>
        <v>25</v>
      </c>
      <c r="O232" s="5" t="n">
        <f aca="false">LEN(M232)</f>
        <v>25</v>
      </c>
      <c r="P232" s="14" t="n">
        <f aca="false">IF(N232=0,"",(N232-LEN(SUBSTITUTE(SUBSTITUTE(L232,"G",""),"C","")))/N232)</f>
        <v>0.48</v>
      </c>
      <c r="Q232" s="14" t="n">
        <f aca="false">IF(O232=0,"",(O232-LEN(SUBSTITUTE(SUBSTITUTE(M232,"G",""),"C","")))/O232)</f>
        <v>0.4</v>
      </c>
      <c r="R232" s="5" t="s">
        <v>329</v>
      </c>
      <c r="S232" s="15" t="s">
        <v>1677</v>
      </c>
      <c r="T232" s="5" t="n">
        <v>916</v>
      </c>
      <c r="U232" s="5" t="s">
        <v>1678</v>
      </c>
      <c r="V232" s="5" t="s">
        <v>47</v>
      </c>
      <c r="W232" s="5"/>
      <c r="X232" s="15" t="s">
        <v>1677</v>
      </c>
      <c r="Y232" s="5"/>
    </row>
    <row r="233" customFormat="false" ht="15" hidden="false" customHeight="false" outlineLevel="0" collapsed="false">
      <c r="A233" s="5" t="s">
        <v>3738</v>
      </c>
      <c r="B233" s="5" t="s">
        <v>332</v>
      </c>
      <c r="C233" s="5" t="s">
        <v>333</v>
      </c>
      <c r="D233" s="6" t="s">
        <v>45</v>
      </c>
      <c r="E233" s="5" t="n">
        <v>1</v>
      </c>
      <c r="F233" s="5" t="s">
        <v>3739</v>
      </c>
      <c r="G233" s="13" t="s">
        <v>3740</v>
      </c>
      <c r="H233" s="5" t="s">
        <v>3741</v>
      </c>
      <c r="I233" s="13" t="s">
        <v>3742</v>
      </c>
      <c r="J233" s="5" t="s">
        <v>3743</v>
      </c>
      <c r="K233" s="5" t="s">
        <v>3744</v>
      </c>
      <c r="L233" s="13" t="s">
        <v>3745</v>
      </c>
      <c r="M233" s="13" t="s">
        <v>3746</v>
      </c>
      <c r="N233" s="5" t="n">
        <f aca="false">LEN(L233)</f>
        <v>25</v>
      </c>
      <c r="O233" s="5" t="n">
        <f aca="false">LEN(M233)</f>
        <v>25</v>
      </c>
      <c r="P233" s="14" t="n">
        <f aca="false">IF(N233=0,"",(N233-LEN(SUBSTITUTE(SUBSTITUTE(L233,"G",""),"C","")))/N233)</f>
        <v>0.4</v>
      </c>
      <c r="Q233" s="14" t="n">
        <f aca="false">IF(O233=0,"",(O233-LEN(SUBSTITUTE(SUBSTITUTE(M233,"G",""),"C","")))/O233)</f>
        <v>0.76</v>
      </c>
      <c r="R233" s="5" t="s">
        <v>337</v>
      </c>
      <c r="S233" s="15" t="s">
        <v>1677</v>
      </c>
      <c r="T233" s="5" t="n">
        <v>51</v>
      </c>
      <c r="U233" s="5" t="s">
        <v>1678</v>
      </c>
      <c r="V233" s="5" t="s">
        <v>154</v>
      </c>
      <c r="W233" s="5"/>
      <c r="X233" s="15" t="s">
        <v>1677</v>
      </c>
      <c r="Y233" s="5"/>
    </row>
    <row r="234" customFormat="false" ht="15" hidden="false" customHeight="false" outlineLevel="0" collapsed="false">
      <c r="A234" s="5" t="s">
        <v>3747</v>
      </c>
      <c r="B234" s="5" t="s">
        <v>332</v>
      </c>
      <c r="C234" s="5" t="s">
        <v>333</v>
      </c>
      <c r="D234" s="6" t="s">
        <v>45</v>
      </c>
      <c r="E234" s="5" t="n">
        <v>2</v>
      </c>
      <c r="F234" s="5" t="s">
        <v>3748</v>
      </c>
      <c r="G234" s="13" t="s">
        <v>3749</v>
      </c>
      <c r="H234" s="5" t="s">
        <v>3750</v>
      </c>
      <c r="I234" s="13" t="s">
        <v>3751</v>
      </c>
      <c r="J234" s="5" t="s">
        <v>3752</v>
      </c>
      <c r="K234" s="5" t="s">
        <v>3753</v>
      </c>
      <c r="L234" s="13" t="s">
        <v>3754</v>
      </c>
      <c r="M234" s="13" t="s">
        <v>3755</v>
      </c>
      <c r="N234" s="5" t="n">
        <f aca="false">LEN(L234)</f>
        <v>25</v>
      </c>
      <c r="O234" s="5" t="n">
        <f aca="false">LEN(M234)</f>
        <v>25</v>
      </c>
      <c r="P234" s="14" t="n">
        <f aca="false">IF(N234=0,"",(N234-LEN(SUBSTITUTE(SUBSTITUTE(L234,"G",""),"C","")))/N234)</f>
        <v>0.8</v>
      </c>
      <c r="Q234" s="14" t="n">
        <f aca="false">IF(O234=0,"",(O234-LEN(SUBSTITUTE(SUBSTITUTE(M234,"G",""),"C","")))/O234)</f>
        <v>0.6</v>
      </c>
      <c r="R234" s="5" t="s">
        <v>337</v>
      </c>
      <c r="S234" s="15" t="s">
        <v>1677</v>
      </c>
      <c r="T234" s="5" t="n">
        <v>121</v>
      </c>
      <c r="U234" s="5" t="s">
        <v>1678</v>
      </c>
      <c r="V234" s="5" t="s">
        <v>154</v>
      </c>
      <c r="W234" s="5"/>
      <c r="X234" s="15" t="s">
        <v>1677</v>
      </c>
      <c r="Y234" s="5"/>
    </row>
    <row r="235" customFormat="false" ht="15" hidden="false" customHeight="false" outlineLevel="0" collapsed="false">
      <c r="A235" s="5" t="s">
        <v>3756</v>
      </c>
      <c r="B235" s="5" t="s">
        <v>332</v>
      </c>
      <c r="C235" s="5" t="s">
        <v>333</v>
      </c>
      <c r="D235" s="6" t="s">
        <v>45</v>
      </c>
      <c r="E235" s="5" t="n">
        <v>3</v>
      </c>
      <c r="F235" s="5" t="s">
        <v>3757</v>
      </c>
      <c r="G235" s="13" t="s">
        <v>3758</v>
      </c>
      <c r="H235" s="5" t="s">
        <v>3759</v>
      </c>
      <c r="I235" s="13" t="s">
        <v>3760</v>
      </c>
      <c r="J235" s="5" t="s">
        <v>3761</v>
      </c>
      <c r="K235" s="5" t="s">
        <v>3762</v>
      </c>
      <c r="L235" s="13" t="s">
        <v>3763</v>
      </c>
      <c r="M235" s="13" t="s">
        <v>3764</v>
      </c>
      <c r="N235" s="5" t="n">
        <f aca="false">LEN(L235)</f>
        <v>25</v>
      </c>
      <c r="O235" s="5" t="n">
        <f aca="false">LEN(M235)</f>
        <v>25</v>
      </c>
      <c r="P235" s="14" t="n">
        <f aca="false">IF(N235=0,"",(N235-LEN(SUBSTITUTE(SUBSTITUTE(L235,"G",""),"C","")))/N235)</f>
        <v>0.72</v>
      </c>
      <c r="Q235" s="14" t="n">
        <f aca="false">IF(O235=0,"",(O235-LEN(SUBSTITUTE(SUBSTITUTE(M235,"G",""),"C","")))/O235)</f>
        <v>0.56</v>
      </c>
      <c r="R235" s="5" t="s">
        <v>337</v>
      </c>
      <c r="S235" s="15" t="s">
        <v>1677</v>
      </c>
      <c r="T235" s="5" t="n">
        <v>191</v>
      </c>
      <c r="U235" s="5" t="s">
        <v>1678</v>
      </c>
      <c r="V235" s="5" t="s">
        <v>154</v>
      </c>
      <c r="W235" s="5"/>
      <c r="X235" s="15" t="s">
        <v>1677</v>
      </c>
      <c r="Y235" s="5"/>
    </row>
    <row r="236" customFormat="false" ht="15" hidden="false" customHeight="false" outlineLevel="0" collapsed="false">
      <c r="A236" s="5" t="s">
        <v>3765</v>
      </c>
      <c r="B236" s="5" t="s">
        <v>332</v>
      </c>
      <c r="C236" s="5" t="s">
        <v>333</v>
      </c>
      <c r="D236" s="6" t="s">
        <v>45</v>
      </c>
      <c r="E236" s="5" t="n">
        <v>4</v>
      </c>
      <c r="F236" s="5" t="s">
        <v>3766</v>
      </c>
      <c r="G236" s="13" t="s">
        <v>3767</v>
      </c>
      <c r="H236" s="5" t="s">
        <v>3768</v>
      </c>
      <c r="I236" s="13" t="s">
        <v>3769</v>
      </c>
      <c r="J236" s="5" t="s">
        <v>3770</v>
      </c>
      <c r="K236" s="5" t="s">
        <v>3771</v>
      </c>
      <c r="L236" s="13" t="s">
        <v>3772</v>
      </c>
      <c r="M236" s="13" t="s">
        <v>3773</v>
      </c>
      <c r="N236" s="5" t="n">
        <f aca="false">LEN(L236)</f>
        <v>25</v>
      </c>
      <c r="O236" s="5" t="n">
        <f aca="false">LEN(M236)</f>
        <v>25</v>
      </c>
      <c r="P236" s="14" t="n">
        <f aca="false">IF(N236=0,"",(N236-LEN(SUBSTITUTE(SUBSTITUTE(L236,"G",""),"C","")))/N236)</f>
        <v>0.56</v>
      </c>
      <c r="Q236" s="14" t="n">
        <f aca="false">IF(O236=0,"",(O236-LEN(SUBSTITUTE(SUBSTITUTE(M236,"G",""),"C","")))/O236)</f>
        <v>0.4</v>
      </c>
      <c r="R236" s="5" t="s">
        <v>337</v>
      </c>
      <c r="S236" s="15" t="s">
        <v>1677</v>
      </c>
      <c r="T236" s="5" t="n">
        <v>262</v>
      </c>
      <c r="U236" s="5" t="s">
        <v>1678</v>
      </c>
      <c r="V236" s="5" t="s">
        <v>154</v>
      </c>
      <c r="W236" s="5"/>
      <c r="X236" s="15" t="s">
        <v>1677</v>
      </c>
      <c r="Y236" s="5"/>
    </row>
    <row r="237" customFormat="false" ht="15" hidden="false" customHeight="false" outlineLevel="0" collapsed="false">
      <c r="A237" s="5" t="s">
        <v>3774</v>
      </c>
      <c r="B237" s="5" t="s">
        <v>332</v>
      </c>
      <c r="C237" s="5" t="s">
        <v>333</v>
      </c>
      <c r="D237" s="6" t="s">
        <v>45</v>
      </c>
      <c r="E237" s="5" t="n">
        <v>5</v>
      </c>
      <c r="F237" s="5" t="s">
        <v>3775</v>
      </c>
      <c r="G237" s="13" t="s">
        <v>3776</v>
      </c>
      <c r="H237" s="5" t="s">
        <v>3777</v>
      </c>
      <c r="I237" s="13" t="s">
        <v>3778</v>
      </c>
      <c r="J237" s="5" t="s">
        <v>3779</v>
      </c>
      <c r="K237" s="5" t="s">
        <v>3780</v>
      </c>
      <c r="L237" s="13" t="s">
        <v>3781</v>
      </c>
      <c r="M237" s="13" t="s">
        <v>3782</v>
      </c>
      <c r="N237" s="5" t="n">
        <f aca="false">LEN(L237)</f>
        <v>25</v>
      </c>
      <c r="O237" s="5" t="n">
        <f aca="false">LEN(M237)</f>
        <v>25</v>
      </c>
      <c r="P237" s="14" t="n">
        <f aca="false">IF(N237=0,"",(N237-LEN(SUBSTITUTE(SUBSTITUTE(L237,"G",""),"C","")))/N237)</f>
        <v>0.68</v>
      </c>
      <c r="Q237" s="14" t="n">
        <f aca="false">IF(O237=0,"",(O237-LEN(SUBSTITUTE(SUBSTITUTE(M237,"G",""),"C","")))/O237)</f>
        <v>0.64</v>
      </c>
      <c r="R237" s="5" t="s">
        <v>337</v>
      </c>
      <c r="S237" s="15" t="s">
        <v>1677</v>
      </c>
      <c r="T237" s="5" t="n">
        <v>332</v>
      </c>
      <c r="U237" s="5" t="s">
        <v>1678</v>
      </c>
      <c r="V237" s="5" t="s">
        <v>154</v>
      </c>
      <c r="W237" s="5"/>
      <c r="X237" s="15" t="s">
        <v>1677</v>
      </c>
      <c r="Y237" s="5"/>
    </row>
    <row r="238" customFormat="false" ht="15" hidden="false" customHeight="false" outlineLevel="0" collapsed="false">
      <c r="A238" s="5" t="s">
        <v>3783</v>
      </c>
      <c r="B238" s="5" t="s">
        <v>332</v>
      </c>
      <c r="C238" s="5" t="s">
        <v>333</v>
      </c>
      <c r="D238" s="6" t="s">
        <v>45</v>
      </c>
      <c r="E238" s="5" t="n">
        <v>6</v>
      </c>
      <c r="F238" s="5" t="s">
        <v>3784</v>
      </c>
      <c r="G238" s="13" t="s">
        <v>3785</v>
      </c>
      <c r="H238" s="5" t="s">
        <v>3786</v>
      </c>
      <c r="I238" s="13" t="s">
        <v>3787</v>
      </c>
      <c r="J238" s="5" t="s">
        <v>3788</v>
      </c>
      <c r="K238" s="5" t="s">
        <v>3789</v>
      </c>
      <c r="L238" s="13" t="s">
        <v>3790</v>
      </c>
      <c r="M238" s="13" t="s">
        <v>3791</v>
      </c>
      <c r="N238" s="5" t="n">
        <f aca="false">LEN(L238)</f>
        <v>25</v>
      </c>
      <c r="O238" s="5" t="n">
        <f aca="false">LEN(M238)</f>
        <v>25</v>
      </c>
      <c r="P238" s="14" t="n">
        <f aca="false">IF(N238=0,"",(N238-LEN(SUBSTITUTE(SUBSTITUTE(L238,"G",""),"C","")))/N238)</f>
        <v>0.6</v>
      </c>
      <c r="Q238" s="14" t="n">
        <f aca="false">IF(O238=0,"",(O238-LEN(SUBSTITUTE(SUBSTITUTE(M238,"G",""),"C","")))/O238)</f>
        <v>0.56</v>
      </c>
      <c r="R238" s="5" t="s">
        <v>337</v>
      </c>
      <c r="S238" s="15" t="s">
        <v>1677</v>
      </c>
      <c r="T238" s="5" t="n">
        <v>402</v>
      </c>
      <c r="U238" s="5" t="s">
        <v>1678</v>
      </c>
      <c r="V238" s="5" t="s">
        <v>154</v>
      </c>
      <c r="W238" s="5"/>
      <c r="X238" s="15" t="s">
        <v>1677</v>
      </c>
      <c r="Y238" s="5"/>
    </row>
    <row r="239" customFormat="false" ht="15" hidden="false" customHeight="false" outlineLevel="0" collapsed="false">
      <c r="A239" s="5" t="s">
        <v>3792</v>
      </c>
      <c r="B239" s="5" t="s">
        <v>332</v>
      </c>
      <c r="C239" s="5" t="s">
        <v>333</v>
      </c>
      <c r="D239" s="6" t="s">
        <v>45</v>
      </c>
      <c r="E239" s="5" t="n">
        <v>7</v>
      </c>
      <c r="F239" s="5" t="s">
        <v>3793</v>
      </c>
      <c r="G239" s="13" t="s">
        <v>3794</v>
      </c>
      <c r="H239" s="5" t="s">
        <v>3795</v>
      </c>
      <c r="I239" s="13" t="s">
        <v>3796</v>
      </c>
      <c r="J239" s="5" t="s">
        <v>3797</v>
      </c>
      <c r="K239" s="5" t="s">
        <v>3798</v>
      </c>
      <c r="L239" s="13" t="s">
        <v>3799</v>
      </c>
      <c r="M239" s="13" t="s">
        <v>3800</v>
      </c>
      <c r="N239" s="5" t="n">
        <f aca="false">LEN(L239)</f>
        <v>25</v>
      </c>
      <c r="O239" s="5" t="n">
        <f aca="false">LEN(M239)</f>
        <v>25</v>
      </c>
      <c r="P239" s="14" t="n">
        <f aca="false">IF(N239=0,"",(N239-LEN(SUBSTITUTE(SUBSTITUTE(L239,"G",""),"C","")))/N239)</f>
        <v>0.48</v>
      </c>
      <c r="Q239" s="14" t="n">
        <f aca="false">IF(O239=0,"",(O239-LEN(SUBSTITUTE(SUBSTITUTE(M239,"G",""),"C","")))/O239)</f>
        <v>0.4</v>
      </c>
      <c r="R239" s="5" t="s">
        <v>337</v>
      </c>
      <c r="S239" s="15" t="s">
        <v>1677</v>
      </c>
      <c r="T239" s="5" t="n">
        <v>472</v>
      </c>
      <c r="U239" s="5" t="s">
        <v>1678</v>
      </c>
      <c r="V239" s="5" t="s">
        <v>154</v>
      </c>
      <c r="W239" s="5"/>
      <c r="X239" s="15" t="s">
        <v>1677</v>
      </c>
      <c r="Y239" s="5"/>
    </row>
    <row r="240" customFormat="false" ht="15" hidden="false" customHeight="false" outlineLevel="0" collapsed="false">
      <c r="A240" s="5" t="s">
        <v>3801</v>
      </c>
      <c r="B240" s="5" t="s">
        <v>332</v>
      </c>
      <c r="C240" s="5" t="s">
        <v>333</v>
      </c>
      <c r="D240" s="6" t="s">
        <v>45</v>
      </c>
      <c r="E240" s="5" t="n">
        <v>8</v>
      </c>
      <c r="F240" s="5" t="s">
        <v>3802</v>
      </c>
      <c r="G240" s="13" t="s">
        <v>3803</v>
      </c>
      <c r="H240" s="5" t="s">
        <v>3804</v>
      </c>
      <c r="I240" s="13" t="s">
        <v>3805</v>
      </c>
      <c r="J240" s="5" t="s">
        <v>3806</v>
      </c>
      <c r="K240" s="5" t="s">
        <v>3807</v>
      </c>
      <c r="L240" s="13" t="s">
        <v>3808</v>
      </c>
      <c r="M240" s="13" t="s">
        <v>3809</v>
      </c>
      <c r="N240" s="5" t="n">
        <f aca="false">LEN(L240)</f>
        <v>25</v>
      </c>
      <c r="O240" s="5" t="n">
        <f aca="false">LEN(M240)</f>
        <v>25</v>
      </c>
      <c r="P240" s="14" t="n">
        <f aca="false">IF(N240=0,"",(N240-LEN(SUBSTITUTE(SUBSTITUTE(L240,"G",""),"C","")))/N240)</f>
        <v>0.44</v>
      </c>
      <c r="Q240" s="14" t="n">
        <f aca="false">IF(O240=0,"",(O240-LEN(SUBSTITUTE(SUBSTITUTE(M240,"G",""),"C","")))/O240)</f>
        <v>0.48</v>
      </c>
      <c r="R240" s="5" t="s">
        <v>337</v>
      </c>
      <c r="S240" s="15" t="s">
        <v>1677</v>
      </c>
      <c r="T240" s="5" t="n">
        <v>542</v>
      </c>
      <c r="U240" s="5" t="s">
        <v>1678</v>
      </c>
      <c r="V240" s="5" t="s">
        <v>154</v>
      </c>
      <c r="W240" s="5"/>
      <c r="X240" s="15" t="s">
        <v>1677</v>
      </c>
      <c r="Y240" s="5"/>
    </row>
    <row r="241" customFormat="false" ht="15" hidden="false" customHeight="false" outlineLevel="0" collapsed="false">
      <c r="A241" s="5" t="s">
        <v>3810</v>
      </c>
      <c r="B241" s="5" t="s">
        <v>332</v>
      </c>
      <c r="C241" s="5" t="s">
        <v>333</v>
      </c>
      <c r="D241" s="6" t="s">
        <v>45</v>
      </c>
      <c r="E241" s="5" t="n">
        <v>9</v>
      </c>
      <c r="F241" s="5" t="s">
        <v>3811</v>
      </c>
      <c r="G241" s="13" t="s">
        <v>3812</v>
      </c>
      <c r="H241" s="5" t="s">
        <v>3813</v>
      </c>
      <c r="I241" s="13" t="s">
        <v>3814</v>
      </c>
      <c r="J241" s="5" t="s">
        <v>3815</v>
      </c>
      <c r="K241" s="5" t="s">
        <v>3816</v>
      </c>
      <c r="L241" s="13" t="s">
        <v>3817</v>
      </c>
      <c r="M241" s="13" t="s">
        <v>3818</v>
      </c>
      <c r="N241" s="5" t="n">
        <f aca="false">LEN(L241)</f>
        <v>25</v>
      </c>
      <c r="O241" s="5" t="n">
        <f aca="false">LEN(M241)</f>
        <v>25</v>
      </c>
      <c r="P241" s="14" t="n">
        <f aca="false">IF(N241=0,"",(N241-LEN(SUBSTITUTE(SUBSTITUTE(L241,"G",""),"C","")))/N241)</f>
        <v>0.4</v>
      </c>
      <c r="Q241" s="14" t="n">
        <f aca="false">IF(O241=0,"",(O241-LEN(SUBSTITUTE(SUBSTITUTE(M241,"G",""),"C","")))/O241)</f>
        <v>0.6</v>
      </c>
      <c r="R241" s="5" t="s">
        <v>337</v>
      </c>
      <c r="S241" s="15" t="s">
        <v>1677</v>
      </c>
      <c r="T241" s="5" t="n">
        <v>613</v>
      </c>
      <c r="U241" s="5" t="s">
        <v>1678</v>
      </c>
      <c r="V241" s="5" t="s">
        <v>154</v>
      </c>
      <c r="W241" s="5"/>
      <c r="X241" s="15" t="s">
        <v>1677</v>
      </c>
      <c r="Y241" s="5"/>
    </row>
    <row r="242" customFormat="false" ht="15" hidden="false" customHeight="false" outlineLevel="0" collapsed="false">
      <c r="A242" s="5" t="s">
        <v>3819</v>
      </c>
      <c r="B242" s="5" t="s">
        <v>332</v>
      </c>
      <c r="C242" s="5" t="s">
        <v>333</v>
      </c>
      <c r="D242" s="6" t="s">
        <v>45</v>
      </c>
      <c r="E242" s="5" t="n">
        <v>10</v>
      </c>
      <c r="F242" s="5" t="s">
        <v>3820</v>
      </c>
      <c r="G242" s="13" t="s">
        <v>3821</v>
      </c>
      <c r="H242" s="5" t="s">
        <v>3822</v>
      </c>
      <c r="I242" s="13" t="s">
        <v>3823</v>
      </c>
      <c r="J242" s="5" t="s">
        <v>3820</v>
      </c>
      <c r="K242" s="5" t="s">
        <v>3822</v>
      </c>
      <c r="L242" s="13" t="s">
        <v>3824</v>
      </c>
      <c r="M242" s="13" t="s">
        <v>3825</v>
      </c>
      <c r="N242" s="5" t="n">
        <f aca="false">LEN(L242)</f>
        <v>25</v>
      </c>
      <c r="O242" s="5" t="n">
        <f aca="false">LEN(M242)</f>
        <v>25</v>
      </c>
      <c r="P242" s="14" t="n">
        <f aca="false">IF(N242=0,"",(N242-LEN(SUBSTITUTE(SUBSTITUTE(L242,"G",""),"C","")))/N242)</f>
        <v>0.72</v>
      </c>
      <c r="Q242" s="14" t="n">
        <f aca="false">IF(O242=0,"",(O242-LEN(SUBSTITUTE(SUBSTITUTE(M242,"G",""),"C","")))/O242)</f>
        <v>0.4</v>
      </c>
      <c r="R242" s="5" t="s">
        <v>337</v>
      </c>
      <c r="S242" s="15" t="s">
        <v>1677</v>
      </c>
      <c r="T242" s="5" t="n">
        <v>683</v>
      </c>
      <c r="U242" s="5" t="s">
        <v>1678</v>
      </c>
      <c r="V242" s="5" t="s">
        <v>154</v>
      </c>
      <c r="W242" s="5"/>
      <c r="X242" s="15" t="s">
        <v>1677</v>
      </c>
      <c r="Y242" s="5"/>
    </row>
    <row r="243" customFormat="false" ht="15" hidden="false" customHeight="false" outlineLevel="0" collapsed="false">
      <c r="A243" s="5" t="s">
        <v>3826</v>
      </c>
      <c r="B243" s="5" t="s">
        <v>340</v>
      </c>
      <c r="C243" s="5" t="s">
        <v>341</v>
      </c>
      <c r="D243" s="6" t="s">
        <v>45</v>
      </c>
      <c r="E243" s="5" t="n">
        <v>1</v>
      </c>
      <c r="F243" s="5" t="s">
        <v>3827</v>
      </c>
      <c r="G243" s="13" t="s">
        <v>3828</v>
      </c>
      <c r="H243" s="5" t="s">
        <v>3829</v>
      </c>
      <c r="I243" s="13" t="s">
        <v>3830</v>
      </c>
      <c r="J243" s="5" t="s">
        <v>3831</v>
      </c>
      <c r="K243" s="5" t="s">
        <v>3832</v>
      </c>
      <c r="L243" s="13" t="s">
        <v>3833</v>
      </c>
      <c r="M243" s="13" t="s">
        <v>3834</v>
      </c>
      <c r="N243" s="5" t="n">
        <f aca="false">LEN(L243)</f>
        <v>25</v>
      </c>
      <c r="O243" s="5" t="n">
        <f aca="false">LEN(M243)</f>
        <v>25</v>
      </c>
      <c r="P243" s="14" t="n">
        <f aca="false">IF(N243=0,"",(N243-LEN(SUBSTITUTE(SUBSTITUTE(L243,"G",""),"C","")))/N243)</f>
        <v>0.52</v>
      </c>
      <c r="Q243" s="14" t="n">
        <f aca="false">IF(O243=0,"",(O243-LEN(SUBSTITUTE(SUBSTITUTE(M243,"G",""),"C","")))/O243)</f>
        <v>0.6</v>
      </c>
      <c r="R243" s="5" t="s">
        <v>345</v>
      </c>
      <c r="S243" s="15" t="s">
        <v>1677</v>
      </c>
      <c r="T243" s="5" t="n">
        <v>216</v>
      </c>
      <c r="U243" s="5" t="s">
        <v>1678</v>
      </c>
      <c r="V243" s="5" t="s">
        <v>47</v>
      </c>
      <c r="W243" s="5"/>
      <c r="X243" s="15" t="s">
        <v>1677</v>
      </c>
      <c r="Y243" s="5"/>
    </row>
    <row r="244" customFormat="false" ht="15" hidden="false" customHeight="false" outlineLevel="0" collapsed="false">
      <c r="A244" s="5" t="s">
        <v>3835</v>
      </c>
      <c r="B244" s="5" t="s">
        <v>340</v>
      </c>
      <c r="C244" s="5" t="s">
        <v>341</v>
      </c>
      <c r="D244" s="6" t="s">
        <v>45</v>
      </c>
      <c r="E244" s="5" t="n">
        <v>2</v>
      </c>
      <c r="F244" s="5" t="s">
        <v>3836</v>
      </c>
      <c r="G244" s="13" t="s">
        <v>3837</v>
      </c>
      <c r="H244" s="5" t="s">
        <v>3838</v>
      </c>
      <c r="I244" s="13" t="s">
        <v>3839</v>
      </c>
      <c r="J244" s="5" t="s">
        <v>3840</v>
      </c>
      <c r="K244" s="5" t="s">
        <v>3841</v>
      </c>
      <c r="L244" s="13" t="s">
        <v>3842</v>
      </c>
      <c r="M244" s="13" t="s">
        <v>3843</v>
      </c>
      <c r="N244" s="5" t="n">
        <f aca="false">LEN(L244)</f>
        <v>25</v>
      </c>
      <c r="O244" s="5" t="n">
        <f aca="false">LEN(M244)</f>
        <v>25</v>
      </c>
      <c r="P244" s="14" t="n">
        <f aca="false">IF(N244=0,"",(N244-LEN(SUBSTITUTE(SUBSTITUTE(L244,"G",""),"C","")))/N244)</f>
        <v>0.48</v>
      </c>
      <c r="Q244" s="14" t="n">
        <f aca="false">IF(O244=0,"",(O244-LEN(SUBSTITUTE(SUBSTITUTE(M244,"G",""),"C","")))/O244)</f>
        <v>0.52</v>
      </c>
      <c r="R244" s="5" t="s">
        <v>345</v>
      </c>
      <c r="S244" s="15" t="s">
        <v>1677</v>
      </c>
      <c r="T244" s="5" t="n">
        <v>286</v>
      </c>
      <c r="U244" s="5" t="s">
        <v>1678</v>
      </c>
      <c r="V244" s="5" t="s">
        <v>47</v>
      </c>
      <c r="W244" s="5"/>
      <c r="X244" s="15" t="s">
        <v>1677</v>
      </c>
      <c r="Y244" s="5"/>
    </row>
    <row r="245" customFormat="false" ht="15" hidden="false" customHeight="false" outlineLevel="0" collapsed="false">
      <c r="A245" s="5" t="s">
        <v>3844</v>
      </c>
      <c r="B245" s="5" t="s">
        <v>340</v>
      </c>
      <c r="C245" s="5" t="s">
        <v>341</v>
      </c>
      <c r="D245" s="6" t="s">
        <v>45</v>
      </c>
      <c r="E245" s="5" t="n">
        <v>3</v>
      </c>
      <c r="F245" s="5" t="s">
        <v>3845</v>
      </c>
      <c r="G245" s="13" t="s">
        <v>3846</v>
      </c>
      <c r="H245" s="5" t="s">
        <v>3847</v>
      </c>
      <c r="I245" s="13" t="s">
        <v>3848</v>
      </c>
      <c r="J245" s="5" t="s">
        <v>3849</v>
      </c>
      <c r="K245" s="5" t="s">
        <v>3850</v>
      </c>
      <c r="L245" s="13" t="s">
        <v>3851</v>
      </c>
      <c r="M245" s="13" t="s">
        <v>3852</v>
      </c>
      <c r="N245" s="5" t="n">
        <f aca="false">LEN(L245)</f>
        <v>25</v>
      </c>
      <c r="O245" s="5" t="n">
        <f aca="false">LEN(M245)</f>
        <v>25</v>
      </c>
      <c r="P245" s="14" t="n">
        <f aca="false">IF(N245=0,"",(N245-LEN(SUBSTITUTE(SUBSTITUTE(L245,"G",""),"C","")))/N245)</f>
        <v>0.4</v>
      </c>
      <c r="Q245" s="14" t="n">
        <f aca="false">IF(O245=0,"",(O245-LEN(SUBSTITUTE(SUBSTITUTE(M245,"G",""),"C","")))/O245)</f>
        <v>0.4</v>
      </c>
      <c r="R245" s="5" t="s">
        <v>345</v>
      </c>
      <c r="S245" s="15" t="s">
        <v>1677</v>
      </c>
      <c r="T245" s="5" t="n">
        <v>356</v>
      </c>
      <c r="U245" s="5" t="s">
        <v>1678</v>
      </c>
      <c r="V245" s="5" t="s">
        <v>47</v>
      </c>
      <c r="W245" s="5"/>
      <c r="X245" s="15" t="s">
        <v>1677</v>
      </c>
      <c r="Y245" s="5"/>
    </row>
    <row r="246" customFormat="false" ht="15" hidden="false" customHeight="false" outlineLevel="0" collapsed="false">
      <c r="A246" s="5" t="s">
        <v>3853</v>
      </c>
      <c r="B246" s="5" t="s">
        <v>340</v>
      </c>
      <c r="C246" s="5" t="s">
        <v>341</v>
      </c>
      <c r="D246" s="6" t="s">
        <v>45</v>
      </c>
      <c r="E246" s="5" t="n">
        <v>4</v>
      </c>
      <c r="F246" s="5" t="s">
        <v>3854</v>
      </c>
      <c r="G246" s="13" t="s">
        <v>3855</v>
      </c>
      <c r="H246" s="5" t="s">
        <v>3856</v>
      </c>
      <c r="I246" s="13" t="s">
        <v>3857</v>
      </c>
      <c r="J246" s="5" t="s">
        <v>3858</v>
      </c>
      <c r="K246" s="5" t="s">
        <v>3859</v>
      </c>
      <c r="L246" s="13" t="s">
        <v>3860</v>
      </c>
      <c r="M246" s="13" t="s">
        <v>3861</v>
      </c>
      <c r="N246" s="5" t="n">
        <f aca="false">LEN(L246)</f>
        <v>25</v>
      </c>
      <c r="O246" s="5" t="n">
        <f aca="false">LEN(M246)</f>
        <v>25</v>
      </c>
      <c r="P246" s="14" t="n">
        <f aca="false">IF(N246=0,"",(N246-LEN(SUBSTITUTE(SUBSTITUTE(L246,"G",""),"C","")))/N246)</f>
        <v>0.16</v>
      </c>
      <c r="Q246" s="14" t="n">
        <f aca="false">IF(O246=0,"",(O246-LEN(SUBSTITUTE(SUBSTITUTE(M246,"G",""),"C","")))/O246)</f>
        <v>0.28</v>
      </c>
      <c r="R246" s="5" t="s">
        <v>345</v>
      </c>
      <c r="S246" s="15" t="s">
        <v>1677</v>
      </c>
      <c r="T246" s="5" t="n">
        <v>426</v>
      </c>
      <c r="U246" s="5" t="s">
        <v>1678</v>
      </c>
      <c r="V246" s="5" t="s">
        <v>47</v>
      </c>
      <c r="W246" s="5"/>
      <c r="X246" s="15" t="s">
        <v>1677</v>
      </c>
      <c r="Y246" s="5"/>
    </row>
    <row r="247" customFormat="false" ht="15" hidden="false" customHeight="false" outlineLevel="0" collapsed="false">
      <c r="A247" s="5" t="s">
        <v>3862</v>
      </c>
      <c r="B247" s="5" t="s">
        <v>340</v>
      </c>
      <c r="C247" s="5" t="s">
        <v>341</v>
      </c>
      <c r="D247" s="6" t="s">
        <v>45</v>
      </c>
      <c r="E247" s="5" t="n">
        <v>5</v>
      </c>
      <c r="F247" s="5" t="s">
        <v>3863</v>
      </c>
      <c r="G247" s="13" t="s">
        <v>3864</v>
      </c>
      <c r="H247" s="5" t="s">
        <v>3865</v>
      </c>
      <c r="I247" s="13" t="s">
        <v>3866</v>
      </c>
      <c r="J247" s="5" t="s">
        <v>3867</v>
      </c>
      <c r="K247" s="5" t="s">
        <v>3868</v>
      </c>
      <c r="L247" s="13" t="s">
        <v>3869</v>
      </c>
      <c r="M247" s="13" t="s">
        <v>3870</v>
      </c>
      <c r="N247" s="5" t="n">
        <f aca="false">LEN(L247)</f>
        <v>25</v>
      </c>
      <c r="O247" s="5" t="n">
        <f aca="false">LEN(M247)</f>
        <v>25</v>
      </c>
      <c r="P247" s="14" t="n">
        <f aca="false">IF(N247=0,"",(N247-LEN(SUBSTITUTE(SUBSTITUTE(L247,"G",""),"C","")))/N247)</f>
        <v>0.48</v>
      </c>
      <c r="Q247" s="14" t="n">
        <f aca="false">IF(O247=0,"",(O247-LEN(SUBSTITUTE(SUBSTITUTE(M247,"G",""),"C","")))/O247)</f>
        <v>0.4</v>
      </c>
      <c r="R247" s="5" t="s">
        <v>345</v>
      </c>
      <c r="S247" s="15" t="s">
        <v>1677</v>
      </c>
      <c r="T247" s="5" t="n">
        <v>496</v>
      </c>
      <c r="U247" s="5" t="s">
        <v>1678</v>
      </c>
      <c r="V247" s="5" t="s">
        <v>47</v>
      </c>
      <c r="W247" s="5"/>
      <c r="X247" s="15" t="s">
        <v>1677</v>
      </c>
      <c r="Y247" s="5"/>
    </row>
    <row r="248" customFormat="false" ht="15" hidden="false" customHeight="false" outlineLevel="0" collapsed="false">
      <c r="A248" s="5" t="s">
        <v>3871</v>
      </c>
      <c r="B248" s="5" t="s">
        <v>340</v>
      </c>
      <c r="C248" s="5" t="s">
        <v>341</v>
      </c>
      <c r="D248" s="6" t="s">
        <v>45</v>
      </c>
      <c r="E248" s="5" t="n">
        <v>6</v>
      </c>
      <c r="F248" s="5" t="s">
        <v>3872</v>
      </c>
      <c r="G248" s="13" t="s">
        <v>3873</v>
      </c>
      <c r="H248" s="5" t="s">
        <v>3874</v>
      </c>
      <c r="I248" s="13" t="s">
        <v>3875</v>
      </c>
      <c r="J248" s="5" t="s">
        <v>3876</v>
      </c>
      <c r="K248" s="5" t="s">
        <v>3877</v>
      </c>
      <c r="L248" s="13" t="s">
        <v>3878</v>
      </c>
      <c r="M248" s="13" t="s">
        <v>3879</v>
      </c>
      <c r="N248" s="5" t="n">
        <f aca="false">LEN(L248)</f>
        <v>25</v>
      </c>
      <c r="O248" s="5" t="n">
        <f aca="false">LEN(M248)</f>
        <v>25</v>
      </c>
      <c r="P248" s="14" t="n">
        <f aca="false">IF(N248=0,"",(N248-LEN(SUBSTITUTE(SUBSTITUTE(L248,"G",""),"C","")))/N248)</f>
        <v>0.44</v>
      </c>
      <c r="Q248" s="14" t="n">
        <f aca="false">IF(O248=0,"",(O248-LEN(SUBSTITUTE(SUBSTITUTE(M248,"G",""),"C","")))/O248)</f>
        <v>0.28</v>
      </c>
      <c r="R248" s="5" t="s">
        <v>345</v>
      </c>
      <c r="S248" s="15" t="s">
        <v>1677</v>
      </c>
      <c r="T248" s="5" t="n">
        <v>566</v>
      </c>
      <c r="U248" s="5" t="s">
        <v>1678</v>
      </c>
      <c r="V248" s="5" t="s">
        <v>47</v>
      </c>
      <c r="W248" s="5"/>
      <c r="X248" s="15" t="s">
        <v>1677</v>
      </c>
      <c r="Y248" s="5"/>
    </row>
    <row r="249" customFormat="false" ht="15" hidden="false" customHeight="false" outlineLevel="0" collapsed="false">
      <c r="A249" s="5" t="s">
        <v>3880</v>
      </c>
      <c r="B249" s="5" t="s">
        <v>348</v>
      </c>
      <c r="C249" s="5" t="s">
        <v>349</v>
      </c>
      <c r="D249" s="6" t="s">
        <v>45</v>
      </c>
      <c r="E249" s="5" t="n">
        <v>1</v>
      </c>
      <c r="F249" s="5" t="s">
        <v>3881</v>
      </c>
      <c r="G249" s="13" t="s">
        <v>3882</v>
      </c>
      <c r="H249" s="5" t="s">
        <v>3883</v>
      </c>
      <c r="I249" s="13" t="s">
        <v>3884</v>
      </c>
      <c r="J249" s="5" t="s">
        <v>3885</v>
      </c>
      <c r="K249" s="5" t="s">
        <v>3886</v>
      </c>
      <c r="L249" s="13" t="s">
        <v>3887</v>
      </c>
      <c r="M249" s="13" t="s">
        <v>3888</v>
      </c>
      <c r="N249" s="5" t="n">
        <f aca="false">LEN(L249)</f>
        <v>25</v>
      </c>
      <c r="O249" s="5" t="n">
        <f aca="false">LEN(M249)</f>
        <v>25</v>
      </c>
      <c r="P249" s="14" t="n">
        <f aca="false">IF(N249=0,"",(N249-LEN(SUBSTITUTE(SUBSTITUTE(L249,"G",""),"C","")))/N249)</f>
        <v>0.48</v>
      </c>
      <c r="Q249" s="14" t="n">
        <f aca="false">IF(O249=0,"",(O249-LEN(SUBSTITUTE(SUBSTITUTE(M249,"G",""),"C","")))/O249)</f>
        <v>0.36</v>
      </c>
      <c r="R249" s="5" t="s">
        <v>352</v>
      </c>
      <c r="S249" s="15" t="s">
        <v>1677</v>
      </c>
      <c r="T249" s="5" t="n">
        <v>6</v>
      </c>
      <c r="U249" s="5" t="s">
        <v>1678</v>
      </c>
      <c r="V249" s="5" t="s">
        <v>47</v>
      </c>
      <c r="W249" s="5"/>
      <c r="X249" s="15" t="s">
        <v>1677</v>
      </c>
      <c r="Y249" s="5"/>
    </row>
    <row r="250" customFormat="false" ht="15" hidden="false" customHeight="false" outlineLevel="0" collapsed="false">
      <c r="A250" s="5" t="s">
        <v>3889</v>
      </c>
      <c r="B250" s="5" t="s">
        <v>348</v>
      </c>
      <c r="C250" s="5" t="s">
        <v>349</v>
      </c>
      <c r="D250" s="6" t="s">
        <v>45</v>
      </c>
      <c r="E250" s="5" t="n">
        <v>2</v>
      </c>
      <c r="F250" s="5" t="s">
        <v>3890</v>
      </c>
      <c r="G250" s="13" t="s">
        <v>3891</v>
      </c>
      <c r="H250" s="5" t="s">
        <v>3892</v>
      </c>
      <c r="I250" s="13" t="s">
        <v>3893</v>
      </c>
      <c r="J250" s="5" t="s">
        <v>3894</v>
      </c>
      <c r="K250" s="5" t="s">
        <v>3895</v>
      </c>
      <c r="L250" s="13" t="s">
        <v>3896</v>
      </c>
      <c r="M250" s="13" t="s">
        <v>3897</v>
      </c>
      <c r="N250" s="5" t="n">
        <f aca="false">LEN(L250)</f>
        <v>25</v>
      </c>
      <c r="O250" s="5" t="n">
        <f aca="false">LEN(M250)</f>
        <v>25</v>
      </c>
      <c r="P250" s="14" t="n">
        <f aca="false">IF(N250=0,"",(N250-LEN(SUBSTITUTE(SUBSTITUTE(L250,"G",""),"C","")))/N250)</f>
        <v>0.56</v>
      </c>
      <c r="Q250" s="14" t="n">
        <f aca="false">IF(O250=0,"",(O250-LEN(SUBSTITUTE(SUBSTITUTE(M250,"G",""),"C","")))/O250)</f>
        <v>0.56</v>
      </c>
      <c r="R250" s="5" t="s">
        <v>352</v>
      </c>
      <c r="S250" s="15" t="s">
        <v>1677</v>
      </c>
      <c r="T250" s="5" t="n">
        <v>76</v>
      </c>
      <c r="U250" s="5" t="s">
        <v>1678</v>
      </c>
      <c r="V250" s="5" t="s">
        <v>47</v>
      </c>
      <c r="W250" s="5"/>
      <c r="X250" s="15" t="s">
        <v>1677</v>
      </c>
      <c r="Y250" s="5"/>
    </row>
    <row r="251" customFormat="false" ht="15" hidden="false" customHeight="false" outlineLevel="0" collapsed="false">
      <c r="A251" s="5" t="s">
        <v>3898</v>
      </c>
      <c r="B251" s="5" t="s">
        <v>348</v>
      </c>
      <c r="C251" s="5" t="s">
        <v>349</v>
      </c>
      <c r="D251" s="6" t="s">
        <v>45</v>
      </c>
      <c r="E251" s="5" t="n">
        <v>3</v>
      </c>
      <c r="F251" s="5" t="s">
        <v>3899</v>
      </c>
      <c r="G251" s="13" t="s">
        <v>3900</v>
      </c>
      <c r="H251" s="5" t="s">
        <v>3901</v>
      </c>
      <c r="I251" s="13" t="s">
        <v>3902</v>
      </c>
      <c r="J251" s="5" t="s">
        <v>3903</v>
      </c>
      <c r="K251" s="5" t="s">
        <v>3904</v>
      </c>
      <c r="L251" s="13" t="s">
        <v>3905</v>
      </c>
      <c r="M251" s="13" t="s">
        <v>3906</v>
      </c>
      <c r="N251" s="5" t="n">
        <f aca="false">LEN(L251)</f>
        <v>25</v>
      </c>
      <c r="O251" s="5" t="n">
        <f aca="false">LEN(M251)</f>
        <v>25</v>
      </c>
      <c r="P251" s="14" t="n">
        <f aca="false">IF(N251=0,"",(N251-LEN(SUBSTITUTE(SUBSTITUTE(L251,"G",""),"C","")))/N251)</f>
        <v>0.56</v>
      </c>
      <c r="Q251" s="14" t="n">
        <f aca="false">IF(O251=0,"",(O251-LEN(SUBSTITUTE(SUBSTITUTE(M251,"G",""),"C","")))/O251)</f>
        <v>0.36</v>
      </c>
      <c r="R251" s="5" t="s">
        <v>352</v>
      </c>
      <c r="S251" s="15" t="s">
        <v>1677</v>
      </c>
      <c r="T251" s="5" t="n">
        <v>146</v>
      </c>
      <c r="U251" s="5" t="s">
        <v>1678</v>
      </c>
      <c r="V251" s="5" t="s">
        <v>47</v>
      </c>
      <c r="W251" s="5"/>
      <c r="X251" s="15" t="s">
        <v>1677</v>
      </c>
      <c r="Y251" s="5"/>
    </row>
    <row r="252" customFormat="false" ht="15" hidden="false" customHeight="false" outlineLevel="0" collapsed="false">
      <c r="A252" s="5" t="s">
        <v>3907</v>
      </c>
      <c r="B252" s="5" t="s">
        <v>348</v>
      </c>
      <c r="C252" s="5" t="s">
        <v>349</v>
      </c>
      <c r="D252" s="6" t="s">
        <v>45</v>
      </c>
      <c r="E252" s="5" t="n">
        <v>4</v>
      </c>
      <c r="F252" s="5" t="s">
        <v>3908</v>
      </c>
      <c r="G252" s="13" t="s">
        <v>3909</v>
      </c>
      <c r="H252" s="5" t="s">
        <v>3910</v>
      </c>
      <c r="I252" s="13" t="s">
        <v>3911</v>
      </c>
      <c r="J252" s="5" t="s">
        <v>3912</v>
      </c>
      <c r="K252" s="5" t="s">
        <v>3913</v>
      </c>
      <c r="L252" s="13" t="s">
        <v>3914</v>
      </c>
      <c r="M252" s="13" t="s">
        <v>3915</v>
      </c>
      <c r="N252" s="5" t="n">
        <f aca="false">LEN(L252)</f>
        <v>25</v>
      </c>
      <c r="O252" s="5" t="n">
        <f aca="false">LEN(M252)</f>
        <v>25</v>
      </c>
      <c r="P252" s="14" t="n">
        <f aca="false">IF(N252=0,"",(N252-LEN(SUBSTITUTE(SUBSTITUTE(L252,"G",""),"C","")))/N252)</f>
        <v>0.6</v>
      </c>
      <c r="Q252" s="14" t="n">
        <f aca="false">IF(O252=0,"",(O252-LEN(SUBSTITUTE(SUBSTITUTE(M252,"G",""),"C","")))/O252)</f>
        <v>0.52</v>
      </c>
      <c r="R252" s="5" t="s">
        <v>352</v>
      </c>
      <c r="S252" s="15" t="s">
        <v>1677</v>
      </c>
      <c r="T252" s="5" t="n">
        <v>216</v>
      </c>
      <c r="U252" s="5" t="s">
        <v>1678</v>
      </c>
      <c r="V252" s="5" t="s">
        <v>47</v>
      </c>
      <c r="W252" s="5"/>
      <c r="X252" s="15" t="s">
        <v>1677</v>
      </c>
      <c r="Y252" s="5"/>
    </row>
    <row r="253" customFormat="false" ht="15" hidden="false" customHeight="false" outlineLevel="0" collapsed="false">
      <c r="A253" s="5" t="s">
        <v>3916</v>
      </c>
      <c r="B253" s="5" t="s">
        <v>348</v>
      </c>
      <c r="C253" s="5" t="s">
        <v>349</v>
      </c>
      <c r="D253" s="6" t="s">
        <v>45</v>
      </c>
      <c r="E253" s="5" t="n">
        <v>5</v>
      </c>
      <c r="F253" s="5" t="s">
        <v>3917</v>
      </c>
      <c r="G253" s="13" t="s">
        <v>3918</v>
      </c>
      <c r="H253" s="5" t="s">
        <v>3919</v>
      </c>
      <c r="I253" s="13" t="s">
        <v>3920</v>
      </c>
      <c r="J253" s="5" t="s">
        <v>3921</v>
      </c>
      <c r="K253" s="5" t="s">
        <v>3922</v>
      </c>
      <c r="L253" s="13" t="s">
        <v>3923</v>
      </c>
      <c r="M253" s="13" t="s">
        <v>3924</v>
      </c>
      <c r="N253" s="5" t="n">
        <f aca="false">LEN(L253)</f>
        <v>25</v>
      </c>
      <c r="O253" s="5" t="n">
        <f aca="false">LEN(M253)</f>
        <v>25</v>
      </c>
      <c r="P253" s="14" t="n">
        <f aca="false">IF(N253=0,"",(N253-LEN(SUBSTITUTE(SUBSTITUTE(L253,"G",""),"C","")))/N253)</f>
        <v>0.92</v>
      </c>
      <c r="Q253" s="14" t="n">
        <f aca="false">IF(O253=0,"",(O253-LEN(SUBSTITUTE(SUBSTITUTE(M253,"G",""),"C","")))/O253)</f>
        <v>0.68</v>
      </c>
      <c r="R253" s="5" t="s">
        <v>352</v>
      </c>
      <c r="S253" s="15" t="s">
        <v>1677</v>
      </c>
      <c r="T253" s="5" t="n">
        <v>286</v>
      </c>
      <c r="U253" s="5" t="s">
        <v>1678</v>
      </c>
      <c r="V253" s="5" t="s">
        <v>47</v>
      </c>
      <c r="W253" s="5"/>
      <c r="X253" s="15" t="s">
        <v>1677</v>
      </c>
      <c r="Y253" s="5"/>
    </row>
    <row r="254" customFormat="false" ht="15" hidden="false" customHeight="false" outlineLevel="0" collapsed="false">
      <c r="A254" s="5" t="s">
        <v>3925</v>
      </c>
      <c r="B254" s="5" t="s">
        <v>348</v>
      </c>
      <c r="C254" s="5" t="s">
        <v>349</v>
      </c>
      <c r="D254" s="6" t="s">
        <v>45</v>
      </c>
      <c r="E254" s="5" t="n">
        <v>6</v>
      </c>
      <c r="F254" s="5" t="s">
        <v>3926</v>
      </c>
      <c r="G254" s="13" t="s">
        <v>3927</v>
      </c>
      <c r="H254" s="5" t="s">
        <v>3928</v>
      </c>
      <c r="I254" s="13" t="s">
        <v>3929</v>
      </c>
      <c r="J254" s="5" t="s">
        <v>3930</v>
      </c>
      <c r="K254" s="5" t="s">
        <v>3931</v>
      </c>
      <c r="L254" s="13" t="s">
        <v>3932</v>
      </c>
      <c r="M254" s="13" t="s">
        <v>3933</v>
      </c>
      <c r="N254" s="5" t="n">
        <f aca="false">LEN(L254)</f>
        <v>25</v>
      </c>
      <c r="O254" s="5" t="n">
        <f aca="false">LEN(M254)</f>
        <v>25</v>
      </c>
      <c r="P254" s="14" t="n">
        <f aca="false">IF(N254=0,"",(N254-LEN(SUBSTITUTE(SUBSTITUTE(L254,"G",""),"C","")))/N254)</f>
        <v>0.6</v>
      </c>
      <c r="Q254" s="14" t="n">
        <f aca="false">IF(O254=0,"",(O254-LEN(SUBSTITUTE(SUBSTITUTE(M254,"G",""),"C","")))/O254)</f>
        <v>0.6</v>
      </c>
      <c r="R254" s="5" t="s">
        <v>352</v>
      </c>
      <c r="S254" s="15" t="s">
        <v>1677</v>
      </c>
      <c r="T254" s="5" t="n">
        <v>356</v>
      </c>
      <c r="U254" s="5" t="s">
        <v>1678</v>
      </c>
      <c r="V254" s="5" t="s">
        <v>47</v>
      </c>
      <c r="W254" s="5"/>
      <c r="X254" s="15" t="s">
        <v>1677</v>
      </c>
      <c r="Y254" s="5"/>
    </row>
    <row r="255" customFormat="false" ht="15" hidden="false" customHeight="false" outlineLevel="0" collapsed="false">
      <c r="A255" s="5" t="s">
        <v>3934</v>
      </c>
      <c r="B255" s="5" t="s">
        <v>355</v>
      </c>
      <c r="C255" s="5" t="s">
        <v>356</v>
      </c>
      <c r="D255" s="6" t="s">
        <v>45</v>
      </c>
      <c r="E255" s="5" t="n">
        <v>1</v>
      </c>
      <c r="F255" s="5" t="s">
        <v>3935</v>
      </c>
      <c r="G255" s="13" t="s">
        <v>3936</v>
      </c>
      <c r="H255" s="5" t="s">
        <v>3937</v>
      </c>
      <c r="I255" s="13" t="s">
        <v>3938</v>
      </c>
      <c r="J255" s="5" t="s">
        <v>3939</v>
      </c>
      <c r="K255" s="5" t="s">
        <v>3940</v>
      </c>
      <c r="L255" s="13" t="s">
        <v>3941</v>
      </c>
      <c r="M255" s="13" t="s">
        <v>3942</v>
      </c>
      <c r="N255" s="5" t="n">
        <f aca="false">LEN(L255)</f>
        <v>25</v>
      </c>
      <c r="O255" s="5" t="n">
        <f aca="false">LEN(M255)</f>
        <v>25</v>
      </c>
      <c r="P255" s="14" t="n">
        <f aca="false">IF(N255=0,"",(N255-LEN(SUBSTITUTE(SUBSTITUTE(L255,"G",""),"C","")))/N255)</f>
        <v>0.36</v>
      </c>
      <c r="Q255" s="14" t="n">
        <f aca="false">IF(O255=0,"",(O255-LEN(SUBSTITUTE(SUBSTITUTE(M255,"G",""),"C","")))/O255)</f>
        <v>0.72</v>
      </c>
      <c r="R255" s="5" t="s">
        <v>359</v>
      </c>
      <c r="S255" s="15" t="s">
        <v>1677</v>
      </c>
      <c r="T255" s="5" t="n">
        <v>6</v>
      </c>
      <c r="U255" s="5" t="s">
        <v>1678</v>
      </c>
      <c r="V255" s="5" t="s">
        <v>47</v>
      </c>
      <c r="W255" s="5"/>
      <c r="X255" s="15" t="s">
        <v>1677</v>
      </c>
      <c r="Y255" s="5"/>
    </row>
    <row r="256" customFormat="false" ht="15" hidden="false" customHeight="false" outlineLevel="0" collapsed="false">
      <c r="A256" s="5" t="s">
        <v>3943</v>
      </c>
      <c r="B256" s="5" t="s">
        <v>355</v>
      </c>
      <c r="C256" s="5" t="s">
        <v>356</v>
      </c>
      <c r="D256" s="6" t="s">
        <v>45</v>
      </c>
      <c r="E256" s="5" t="n">
        <v>2</v>
      </c>
      <c r="F256" s="5" t="s">
        <v>3944</v>
      </c>
      <c r="G256" s="13" t="s">
        <v>3945</v>
      </c>
      <c r="H256" s="5" t="s">
        <v>3946</v>
      </c>
      <c r="I256" s="13" t="s">
        <v>3947</v>
      </c>
      <c r="J256" s="5" t="s">
        <v>3948</v>
      </c>
      <c r="K256" s="5" t="s">
        <v>3949</v>
      </c>
      <c r="L256" s="13" t="s">
        <v>3950</v>
      </c>
      <c r="M256" s="13" t="s">
        <v>3951</v>
      </c>
      <c r="N256" s="5" t="n">
        <f aca="false">LEN(L256)</f>
        <v>25</v>
      </c>
      <c r="O256" s="5" t="n">
        <f aca="false">LEN(M256)</f>
        <v>25</v>
      </c>
      <c r="P256" s="14" t="n">
        <f aca="false">IF(N256=0,"",(N256-LEN(SUBSTITUTE(SUBSTITUTE(L256,"G",""),"C","")))/N256)</f>
        <v>0.44</v>
      </c>
      <c r="Q256" s="14" t="n">
        <f aca="false">IF(O256=0,"",(O256-LEN(SUBSTITUTE(SUBSTITUTE(M256,"G",""),"C","")))/O256)</f>
        <v>0.68</v>
      </c>
      <c r="R256" s="5" t="s">
        <v>359</v>
      </c>
      <c r="S256" s="15" t="s">
        <v>1677</v>
      </c>
      <c r="T256" s="5" t="n">
        <v>76</v>
      </c>
      <c r="U256" s="5" t="s">
        <v>1678</v>
      </c>
      <c r="V256" s="5" t="s">
        <v>47</v>
      </c>
      <c r="W256" s="5"/>
      <c r="X256" s="15" t="s">
        <v>1677</v>
      </c>
      <c r="Y256" s="5"/>
    </row>
    <row r="257" customFormat="false" ht="15" hidden="false" customHeight="false" outlineLevel="0" collapsed="false">
      <c r="A257" s="5" t="s">
        <v>3952</v>
      </c>
      <c r="B257" s="5" t="s">
        <v>355</v>
      </c>
      <c r="C257" s="5" t="s">
        <v>356</v>
      </c>
      <c r="D257" s="6" t="s">
        <v>45</v>
      </c>
      <c r="E257" s="5" t="n">
        <v>3</v>
      </c>
      <c r="F257" s="5" t="s">
        <v>3953</v>
      </c>
      <c r="G257" s="13" t="s">
        <v>3954</v>
      </c>
      <c r="H257" s="5" t="s">
        <v>3955</v>
      </c>
      <c r="I257" s="13" t="s">
        <v>3956</v>
      </c>
      <c r="J257" s="5" t="s">
        <v>3957</v>
      </c>
      <c r="K257" s="5" t="s">
        <v>3958</v>
      </c>
      <c r="L257" s="13" t="s">
        <v>3959</v>
      </c>
      <c r="M257" s="13" t="s">
        <v>3960</v>
      </c>
      <c r="N257" s="5" t="n">
        <f aca="false">LEN(L257)</f>
        <v>25</v>
      </c>
      <c r="O257" s="5" t="n">
        <f aca="false">LEN(M257)</f>
        <v>25</v>
      </c>
      <c r="P257" s="14" t="n">
        <f aca="false">IF(N257=0,"",(N257-LEN(SUBSTITUTE(SUBSTITUTE(L257,"G",""),"C","")))/N257)</f>
        <v>0.68</v>
      </c>
      <c r="Q257" s="14" t="n">
        <f aca="false">IF(O257=0,"",(O257-LEN(SUBSTITUTE(SUBSTITUTE(M257,"G",""),"C","")))/O257)</f>
        <v>0.6</v>
      </c>
      <c r="R257" s="5" t="s">
        <v>359</v>
      </c>
      <c r="S257" s="15" t="s">
        <v>1677</v>
      </c>
      <c r="T257" s="5" t="n">
        <v>146</v>
      </c>
      <c r="U257" s="5" t="s">
        <v>1678</v>
      </c>
      <c r="V257" s="5" t="s">
        <v>47</v>
      </c>
      <c r="W257" s="5"/>
      <c r="X257" s="15" t="s">
        <v>1677</v>
      </c>
      <c r="Y257" s="5"/>
    </row>
    <row r="258" customFormat="false" ht="15" hidden="false" customHeight="false" outlineLevel="0" collapsed="false">
      <c r="A258" s="5" t="s">
        <v>3961</v>
      </c>
      <c r="B258" s="5" t="s">
        <v>355</v>
      </c>
      <c r="C258" s="5" t="s">
        <v>356</v>
      </c>
      <c r="D258" s="6" t="s">
        <v>45</v>
      </c>
      <c r="E258" s="5" t="n">
        <v>4</v>
      </c>
      <c r="F258" s="5" t="s">
        <v>3962</v>
      </c>
      <c r="G258" s="13" t="s">
        <v>3963</v>
      </c>
      <c r="H258" s="5" t="s">
        <v>3964</v>
      </c>
      <c r="I258" s="13" t="s">
        <v>3965</v>
      </c>
      <c r="J258" s="5" t="s">
        <v>3966</v>
      </c>
      <c r="K258" s="5" t="s">
        <v>3967</v>
      </c>
      <c r="L258" s="13" t="s">
        <v>3968</v>
      </c>
      <c r="M258" s="13" t="s">
        <v>3969</v>
      </c>
      <c r="N258" s="5" t="n">
        <f aca="false">LEN(L258)</f>
        <v>25</v>
      </c>
      <c r="O258" s="5" t="n">
        <f aca="false">LEN(M258)</f>
        <v>25</v>
      </c>
      <c r="P258" s="14" t="n">
        <f aca="false">IF(N258=0,"",(N258-LEN(SUBSTITUTE(SUBSTITUTE(L258,"G",""),"C","")))/N258)</f>
        <v>0.36</v>
      </c>
      <c r="Q258" s="14" t="n">
        <f aca="false">IF(O258=0,"",(O258-LEN(SUBSTITUTE(SUBSTITUTE(M258,"G",""),"C","")))/O258)</f>
        <v>0.44</v>
      </c>
      <c r="R258" s="5" t="s">
        <v>359</v>
      </c>
      <c r="S258" s="15" t="s">
        <v>1677</v>
      </c>
      <c r="T258" s="5" t="n">
        <v>216</v>
      </c>
      <c r="U258" s="5" t="s">
        <v>1678</v>
      </c>
      <c r="V258" s="5" t="s">
        <v>47</v>
      </c>
      <c r="W258" s="5"/>
      <c r="X258" s="15" t="s">
        <v>1677</v>
      </c>
      <c r="Y258" s="5"/>
    </row>
    <row r="259" customFormat="false" ht="15" hidden="false" customHeight="false" outlineLevel="0" collapsed="false">
      <c r="A259" s="5" t="s">
        <v>3970</v>
      </c>
      <c r="B259" s="5" t="s">
        <v>355</v>
      </c>
      <c r="C259" s="5" t="s">
        <v>356</v>
      </c>
      <c r="D259" s="6" t="s">
        <v>45</v>
      </c>
      <c r="E259" s="5" t="n">
        <v>5</v>
      </c>
      <c r="F259" s="5" t="s">
        <v>3971</v>
      </c>
      <c r="G259" s="13" t="s">
        <v>3972</v>
      </c>
      <c r="H259" s="5" t="s">
        <v>3973</v>
      </c>
      <c r="I259" s="13" t="s">
        <v>3974</v>
      </c>
      <c r="J259" s="5" t="s">
        <v>3975</v>
      </c>
      <c r="K259" s="5" t="s">
        <v>3976</v>
      </c>
      <c r="L259" s="13" t="s">
        <v>3977</v>
      </c>
      <c r="M259" s="13" t="s">
        <v>3978</v>
      </c>
      <c r="N259" s="5" t="n">
        <f aca="false">LEN(L259)</f>
        <v>25</v>
      </c>
      <c r="O259" s="5" t="n">
        <f aca="false">LEN(M259)</f>
        <v>25</v>
      </c>
      <c r="P259" s="14" t="n">
        <f aca="false">IF(N259=0,"",(N259-LEN(SUBSTITUTE(SUBSTITUTE(L259,"G",""),"C","")))/N259)</f>
        <v>0.6</v>
      </c>
      <c r="Q259" s="14" t="n">
        <f aca="false">IF(O259=0,"",(O259-LEN(SUBSTITUTE(SUBSTITUTE(M259,"G",""),"C","")))/O259)</f>
        <v>0.56</v>
      </c>
      <c r="R259" s="5" t="s">
        <v>359</v>
      </c>
      <c r="S259" s="15" t="s">
        <v>1677</v>
      </c>
      <c r="T259" s="5" t="n">
        <v>286</v>
      </c>
      <c r="U259" s="5" t="s">
        <v>1678</v>
      </c>
      <c r="V259" s="5" t="s">
        <v>47</v>
      </c>
      <c r="W259" s="5"/>
      <c r="X259" s="15" t="s">
        <v>1677</v>
      </c>
      <c r="Y259" s="5"/>
    </row>
    <row r="260" customFormat="false" ht="15" hidden="false" customHeight="false" outlineLevel="0" collapsed="false">
      <c r="A260" s="5" t="s">
        <v>3979</v>
      </c>
      <c r="B260" s="5" t="s">
        <v>355</v>
      </c>
      <c r="C260" s="5" t="s">
        <v>356</v>
      </c>
      <c r="D260" s="6" t="s">
        <v>45</v>
      </c>
      <c r="E260" s="5" t="n">
        <v>6</v>
      </c>
      <c r="F260" s="5" t="s">
        <v>3980</v>
      </c>
      <c r="G260" s="13" t="s">
        <v>3981</v>
      </c>
      <c r="H260" s="5" t="s">
        <v>3982</v>
      </c>
      <c r="I260" s="13" t="s">
        <v>3983</v>
      </c>
      <c r="J260" s="5" t="s">
        <v>3984</v>
      </c>
      <c r="K260" s="5" t="s">
        <v>3985</v>
      </c>
      <c r="L260" s="13" t="s">
        <v>3986</v>
      </c>
      <c r="M260" s="13" t="s">
        <v>3987</v>
      </c>
      <c r="N260" s="5" t="n">
        <f aca="false">LEN(L260)</f>
        <v>25</v>
      </c>
      <c r="O260" s="5" t="n">
        <f aca="false">LEN(M260)</f>
        <v>25</v>
      </c>
      <c r="P260" s="14" t="n">
        <f aca="false">IF(N260=0,"",(N260-LEN(SUBSTITUTE(SUBSTITUTE(L260,"G",""),"C","")))/N260)</f>
        <v>0.52</v>
      </c>
      <c r="Q260" s="14" t="n">
        <f aca="false">IF(O260=0,"",(O260-LEN(SUBSTITUTE(SUBSTITUTE(M260,"G",""),"C","")))/O260)</f>
        <v>0.48</v>
      </c>
      <c r="R260" s="5" t="s">
        <v>359</v>
      </c>
      <c r="S260" s="15" t="s">
        <v>1677</v>
      </c>
      <c r="T260" s="5" t="n">
        <v>356</v>
      </c>
      <c r="U260" s="5" t="s">
        <v>1678</v>
      </c>
      <c r="V260" s="5" t="s">
        <v>47</v>
      </c>
      <c r="W260" s="5"/>
      <c r="X260" s="15" t="s">
        <v>1677</v>
      </c>
      <c r="Y260" s="5"/>
    </row>
    <row r="261" customFormat="false" ht="15" hidden="false" customHeight="false" outlineLevel="0" collapsed="false">
      <c r="A261" s="5" t="s">
        <v>3988</v>
      </c>
      <c r="B261" s="5" t="s">
        <v>363</v>
      </c>
      <c r="C261" s="5" t="s">
        <v>364</v>
      </c>
      <c r="D261" s="6" t="s">
        <v>45</v>
      </c>
      <c r="E261" s="5" t="n">
        <v>1</v>
      </c>
      <c r="F261" s="5" t="s">
        <v>3989</v>
      </c>
      <c r="G261" s="13" t="s">
        <v>3990</v>
      </c>
      <c r="H261" s="5" t="s">
        <v>3991</v>
      </c>
      <c r="I261" s="13" t="s">
        <v>3992</v>
      </c>
      <c r="J261" s="5" t="s">
        <v>3993</v>
      </c>
      <c r="K261" s="5" t="s">
        <v>3994</v>
      </c>
      <c r="L261" s="13" t="s">
        <v>3995</v>
      </c>
      <c r="M261" s="13" t="s">
        <v>3996</v>
      </c>
      <c r="N261" s="5" t="n">
        <f aca="false">LEN(L261)</f>
        <v>25</v>
      </c>
      <c r="O261" s="5" t="n">
        <f aca="false">LEN(M261)</f>
        <v>25</v>
      </c>
      <c r="P261" s="14" t="n">
        <f aca="false">IF(N261=0,"",(N261-LEN(SUBSTITUTE(SUBSTITUTE(L261,"G",""),"C","")))/N261)</f>
        <v>0.76</v>
      </c>
      <c r="Q261" s="14" t="n">
        <f aca="false">IF(O261=0,"",(O261-LEN(SUBSTITUTE(SUBSTITUTE(M261,"G",""),"C","")))/O261)</f>
        <v>0.72</v>
      </c>
      <c r="R261" s="5" t="s">
        <v>367</v>
      </c>
      <c r="S261" s="15" t="s">
        <v>1677</v>
      </c>
      <c r="T261" s="5" t="n">
        <v>6</v>
      </c>
      <c r="U261" s="5" t="s">
        <v>1678</v>
      </c>
      <c r="V261" s="5" t="s">
        <v>47</v>
      </c>
      <c r="W261" s="5"/>
      <c r="X261" s="15" t="s">
        <v>1677</v>
      </c>
      <c r="Y261" s="5"/>
    </row>
    <row r="262" customFormat="false" ht="15" hidden="false" customHeight="false" outlineLevel="0" collapsed="false">
      <c r="A262" s="5" t="s">
        <v>3997</v>
      </c>
      <c r="B262" s="5" t="s">
        <v>363</v>
      </c>
      <c r="C262" s="5" t="s">
        <v>364</v>
      </c>
      <c r="D262" s="6" t="s">
        <v>45</v>
      </c>
      <c r="E262" s="5" t="n">
        <v>2</v>
      </c>
      <c r="F262" s="5" t="s">
        <v>3998</v>
      </c>
      <c r="G262" s="13" t="s">
        <v>3999</v>
      </c>
      <c r="H262" s="5" t="s">
        <v>4000</v>
      </c>
      <c r="I262" s="13" t="s">
        <v>4001</v>
      </c>
      <c r="J262" s="5" t="s">
        <v>4002</v>
      </c>
      <c r="K262" s="5" t="s">
        <v>4003</v>
      </c>
      <c r="L262" s="13" t="s">
        <v>4004</v>
      </c>
      <c r="M262" s="13" t="s">
        <v>4005</v>
      </c>
      <c r="N262" s="5" t="n">
        <f aca="false">LEN(L262)</f>
        <v>25</v>
      </c>
      <c r="O262" s="5" t="n">
        <f aca="false">LEN(M262)</f>
        <v>25</v>
      </c>
      <c r="P262" s="14" t="n">
        <f aca="false">IF(N262=0,"",(N262-LEN(SUBSTITUTE(SUBSTITUTE(L262,"G",""),"C","")))/N262)</f>
        <v>0.52</v>
      </c>
      <c r="Q262" s="14" t="n">
        <f aca="false">IF(O262=0,"",(O262-LEN(SUBSTITUTE(SUBSTITUTE(M262,"G",""),"C","")))/O262)</f>
        <v>0.6</v>
      </c>
      <c r="R262" s="5" t="s">
        <v>367</v>
      </c>
      <c r="S262" s="15" t="s">
        <v>1677</v>
      </c>
      <c r="T262" s="5" t="n">
        <v>76</v>
      </c>
      <c r="U262" s="5" t="s">
        <v>1678</v>
      </c>
      <c r="V262" s="5" t="s">
        <v>47</v>
      </c>
      <c r="W262" s="5"/>
      <c r="X262" s="15" t="s">
        <v>1677</v>
      </c>
      <c r="Y262" s="5"/>
    </row>
    <row r="263" customFormat="false" ht="15" hidden="false" customHeight="false" outlineLevel="0" collapsed="false">
      <c r="A263" s="5" t="s">
        <v>4006</v>
      </c>
      <c r="B263" s="5" t="s">
        <v>363</v>
      </c>
      <c r="C263" s="5" t="s">
        <v>364</v>
      </c>
      <c r="D263" s="6" t="s">
        <v>45</v>
      </c>
      <c r="E263" s="5" t="n">
        <v>3</v>
      </c>
      <c r="F263" s="5" t="s">
        <v>4007</v>
      </c>
      <c r="G263" s="13" t="s">
        <v>4008</v>
      </c>
      <c r="H263" s="5" t="s">
        <v>4009</v>
      </c>
      <c r="I263" s="13" t="s">
        <v>4010</v>
      </c>
      <c r="J263" s="5" t="s">
        <v>4011</v>
      </c>
      <c r="K263" s="5" t="s">
        <v>4012</v>
      </c>
      <c r="L263" s="13" t="s">
        <v>4013</v>
      </c>
      <c r="M263" s="13" t="s">
        <v>4014</v>
      </c>
      <c r="N263" s="5" t="n">
        <f aca="false">LEN(L263)</f>
        <v>25</v>
      </c>
      <c r="O263" s="5" t="n">
        <f aca="false">LEN(M263)</f>
        <v>25</v>
      </c>
      <c r="P263" s="14" t="n">
        <f aca="false">IF(N263=0,"",(N263-LEN(SUBSTITUTE(SUBSTITUTE(L263,"G",""),"C","")))/N263)</f>
        <v>0.56</v>
      </c>
      <c r="Q263" s="14" t="n">
        <f aca="false">IF(O263=0,"",(O263-LEN(SUBSTITUTE(SUBSTITUTE(M263,"G",""),"C","")))/O263)</f>
        <v>0.44</v>
      </c>
      <c r="R263" s="5" t="s">
        <v>367</v>
      </c>
      <c r="S263" s="15" t="s">
        <v>1677</v>
      </c>
      <c r="T263" s="5" t="n">
        <v>146</v>
      </c>
      <c r="U263" s="5" t="s">
        <v>1678</v>
      </c>
      <c r="V263" s="5" t="s">
        <v>47</v>
      </c>
      <c r="W263" s="5"/>
      <c r="X263" s="15" t="s">
        <v>1677</v>
      </c>
      <c r="Y263" s="5"/>
    </row>
    <row r="264" customFormat="false" ht="15" hidden="false" customHeight="false" outlineLevel="0" collapsed="false">
      <c r="A264" s="5" t="s">
        <v>4015</v>
      </c>
      <c r="B264" s="5" t="s">
        <v>363</v>
      </c>
      <c r="C264" s="5" t="s">
        <v>364</v>
      </c>
      <c r="D264" s="6" t="s">
        <v>45</v>
      </c>
      <c r="E264" s="5" t="n">
        <v>4</v>
      </c>
      <c r="F264" s="5" t="s">
        <v>4016</v>
      </c>
      <c r="G264" s="13" t="s">
        <v>4017</v>
      </c>
      <c r="H264" s="5" t="s">
        <v>4018</v>
      </c>
      <c r="I264" s="13" t="s">
        <v>4019</v>
      </c>
      <c r="J264" s="5" t="s">
        <v>4020</v>
      </c>
      <c r="K264" s="5" t="s">
        <v>4021</v>
      </c>
      <c r="L264" s="13" t="s">
        <v>4022</v>
      </c>
      <c r="M264" s="13" t="s">
        <v>4023</v>
      </c>
      <c r="N264" s="5" t="n">
        <f aca="false">LEN(L264)</f>
        <v>25</v>
      </c>
      <c r="O264" s="5" t="n">
        <f aca="false">LEN(M264)</f>
        <v>25</v>
      </c>
      <c r="P264" s="14" t="n">
        <f aca="false">IF(N264=0,"",(N264-LEN(SUBSTITUTE(SUBSTITUTE(L264,"G",""),"C","")))/N264)</f>
        <v>0.72</v>
      </c>
      <c r="Q264" s="14" t="n">
        <f aca="false">IF(O264=0,"",(O264-LEN(SUBSTITUTE(SUBSTITUTE(M264,"G",""),"C","")))/O264)</f>
        <v>0.64</v>
      </c>
      <c r="R264" s="5" t="s">
        <v>367</v>
      </c>
      <c r="S264" s="15" t="s">
        <v>1677</v>
      </c>
      <c r="T264" s="5" t="n">
        <v>216</v>
      </c>
      <c r="U264" s="5" t="s">
        <v>1678</v>
      </c>
      <c r="V264" s="5" t="s">
        <v>47</v>
      </c>
      <c r="W264" s="5"/>
      <c r="X264" s="15" t="s">
        <v>1677</v>
      </c>
      <c r="Y264" s="5"/>
    </row>
    <row r="265" customFormat="false" ht="15" hidden="false" customHeight="false" outlineLevel="0" collapsed="false">
      <c r="A265" s="5" t="s">
        <v>4024</v>
      </c>
      <c r="B265" s="5" t="s">
        <v>363</v>
      </c>
      <c r="C265" s="5" t="s">
        <v>364</v>
      </c>
      <c r="D265" s="6" t="s">
        <v>45</v>
      </c>
      <c r="E265" s="5" t="n">
        <v>5</v>
      </c>
      <c r="F265" s="5" t="s">
        <v>4025</v>
      </c>
      <c r="G265" s="13" t="s">
        <v>4026</v>
      </c>
      <c r="H265" s="5" t="s">
        <v>4027</v>
      </c>
      <c r="I265" s="13" t="s">
        <v>4028</v>
      </c>
      <c r="J265" s="5" t="s">
        <v>4029</v>
      </c>
      <c r="K265" s="5" t="s">
        <v>4030</v>
      </c>
      <c r="L265" s="13" t="s">
        <v>4031</v>
      </c>
      <c r="M265" s="13" t="s">
        <v>4032</v>
      </c>
      <c r="N265" s="5" t="n">
        <f aca="false">LEN(L265)</f>
        <v>25</v>
      </c>
      <c r="O265" s="5" t="n">
        <f aca="false">LEN(M265)</f>
        <v>25</v>
      </c>
      <c r="P265" s="14" t="n">
        <f aca="false">IF(N265=0,"",(N265-LEN(SUBSTITUTE(SUBSTITUTE(L265,"G",""),"C","")))/N265)</f>
        <v>0.48</v>
      </c>
      <c r="Q265" s="14" t="n">
        <f aca="false">IF(O265=0,"",(O265-LEN(SUBSTITUTE(SUBSTITUTE(M265,"G",""),"C","")))/O265)</f>
        <v>0.4</v>
      </c>
      <c r="R265" s="5" t="s">
        <v>367</v>
      </c>
      <c r="S265" s="15" t="s">
        <v>1677</v>
      </c>
      <c r="T265" s="5" t="n">
        <v>286</v>
      </c>
      <c r="U265" s="5" t="s">
        <v>1678</v>
      </c>
      <c r="V265" s="5" t="s">
        <v>47</v>
      </c>
      <c r="W265" s="5"/>
      <c r="X265" s="15" t="s">
        <v>1677</v>
      </c>
      <c r="Y265" s="5"/>
    </row>
    <row r="266" customFormat="false" ht="15" hidden="false" customHeight="false" outlineLevel="0" collapsed="false">
      <c r="A266" s="5" t="s">
        <v>4033</v>
      </c>
      <c r="B266" s="5" t="s">
        <v>363</v>
      </c>
      <c r="C266" s="5" t="s">
        <v>364</v>
      </c>
      <c r="D266" s="6" t="s">
        <v>45</v>
      </c>
      <c r="E266" s="5" t="n">
        <v>6</v>
      </c>
      <c r="F266" s="5" t="s">
        <v>4034</v>
      </c>
      <c r="G266" s="13" t="s">
        <v>4035</v>
      </c>
      <c r="H266" s="5" t="s">
        <v>4036</v>
      </c>
      <c r="I266" s="13" t="s">
        <v>4037</v>
      </c>
      <c r="J266" s="5" t="s">
        <v>4038</v>
      </c>
      <c r="K266" s="5" t="s">
        <v>4039</v>
      </c>
      <c r="L266" s="13" t="s">
        <v>4040</v>
      </c>
      <c r="M266" s="13" t="s">
        <v>4041</v>
      </c>
      <c r="N266" s="5" t="n">
        <f aca="false">LEN(L266)</f>
        <v>25</v>
      </c>
      <c r="O266" s="5" t="n">
        <f aca="false">LEN(M266)</f>
        <v>25</v>
      </c>
      <c r="P266" s="14" t="n">
        <f aca="false">IF(N266=0,"",(N266-LEN(SUBSTITUTE(SUBSTITUTE(L266,"G",""),"C","")))/N266)</f>
        <v>0.24</v>
      </c>
      <c r="Q266" s="14" t="n">
        <f aca="false">IF(O266=0,"",(O266-LEN(SUBSTITUTE(SUBSTITUTE(M266,"G",""),"C","")))/O266)</f>
        <v>0.52</v>
      </c>
      <c r="R266" s="5" t="s">
        <v>367</v>
      </c>
      <c r="S266" s="15" t="s">
        <v>1677</v>
      </c>
      <c r="T266" s="5" t="n">
        <v>356</v>
      </c>
      <c r="U266" s="5" t="s">
        <v>1678</v>
      </c>
      <c r="V266" s="5" t="s">
        <v>47</v>
      </c>
      <c r="W266" s="5"/>
      <c r="X266" s="15" t="s">
        <v>1677</v>
      </c>
      <c r="Y266" s="5"/>
    </row>
    <row r="267" customFormat="false" ht="15" hidden="false" customHeight="false" outlineLevel="0" collapsed="false">
      <c r="A267" s="5" t="s">
        <v>4042</v>
      </c>
      <c r="B267" s="5" t="s">
        <v>370</v>
      </c>
      <c r="C267" s="5" t="s">
        <v>371</v>
      </c>
      <c r="D267" s="6" t="s">
        <v>45</v>
      </c>
      <c r="E267" s="5" t="n">
        <v>1</v>
      </c>
      <c r="F267" s="5" t="s">
        <v>4043</v>
      </c>
      <c r="G267" s="13" t="s">
        <v>4044</v>
      </c>
      <c r="H267" s="5" t="s">
        <v>4045</v>
      </c>
      <c r="I267" s="13" t="s">
        <v>4046</v>
      </c>
      <c r="J267" s="5" t="s">
        <v>4047</v>
      </c>
      <c r="K267" s="5" t="s">
        <v>4048</v>
      </c>
      <c r="L267" s="13" t="s">
        <v>4049</v>
      </c>
      <c r="M267" s="13" t="s">
        <v>4050</v>
      </c>
      <c r="N267" s="5" t="n">
        <f aca="false">LEN(L267)</f>
        <v>25</v>
      </c>
      <c r="O267" s="5" t="n">
        <f aca="false">LEN(M267)</f>
        <v>25</v>
      </c>
      <c r="P267" s="14" t="n">
        <f aca="false">IF(N267=0,"",(N267-LEN(SUBSTITUTE(SUBSTITUTE(L267,"G",""),"C","")))/N267)</f>
        <v>0.56</v>
      </c>
      <c r="Q267" s="14" t="n">
        <f aca="false">IF(O267=0,"",(O267-LEN(SUBSTITUTE(SUBSTITUTE(M267,"G",""),"C","")))/O267)</f>
        <v>0.8</v>
      </c>
      <c r="R267" s="5" t="s">
        <v>376</v>
      </c>
      <c r="S267" s="15" t="s">
        <v>1677</v>
      </c>
      <c r="T267" s="5" t="n">
        <v>75</v>
      </c>
      <c r="U267" s="5" t="s">
        <v>1678</v>
      </c>
      <c r="V267" s="5" t="s">
        <v>47</v>
      </c>
      <c r="W267" s="5"/>
      <c r="X267" s="8" t="s">
        <v>2131</v>
      </c>
      <c r="Y267" s="5"/>
    </row>
    <row r="268" customFormat="false" ht="15" hidden="false" customHeight="false" outlineLevel="0" collapsed="false">
      <c r="A268" s="5" t="s">
        <v>4051</v>
      </c>
      <c r="B268" s="5" t="s">
        <v>370</v>
      </c>
      <c r="C268" s="5" t="s">
        <v>371</v>
      </c>
      <c r="D268" s="6" t="s">
        <v>45</v>
      </c>
      <c r="E268" s="5" t="n">
        <v>2</v>
      </c>
      <c r="F268" s="5" t="s">
        <v>4052</v>
      </c>
      <c r="G268" s="13" t="s">
        <v>4053</v>
      </c>
      <c r="H268" s="5" t="s">
        <v>4054</v>
      </c>
      <c r="I268" s="13" t="s">
        <v>4055</v>
      </c>
      <c r="J268" s="5" t="s">
        <v>4056</v>
      </c>
      <c r="K268" s="5" t="s">
        <v>4057</v>
      </c>
      <c r="L268" s="13" t="s">
        <v>4058</v>
      </c>
      <c r="M268" s="13" t="s">
        <v>4059</v>
      </c>
      <c r="N268" s="5" t="n">
        <f aca="false">LEN(L268)</f>
        <v>25</v>
      </c>
      <c r="O268" s="5" t="n">
        <f aca="false">LEN(M268)</f>
        <v>25</v>
      </c>
      <c r="P268" s="14" t="n">
        <f aca="false">IF(N268=0,"",(N268-LEN(SUBSTITUTE(SUBSTITUTE(L268,"G",""),"C","")))/N268)</f>
        <v>0.84</v>
      </c>
      <c r="Q268" s="14" t="n">
        <f aca="false">IF(O268=0,"",(O268-LEN(SUBSTITUTE(SUBSTITUTE(M268,"G",""),"C","")))/O268)</f>
        <v>0.8</v>
      </c>
      <c r="R268" s="5" t="s">
        <v>376</v>
      </c>
      <c r="S268" s="15" t="s">
        <v>1677</v>
      </c>
      <c r="T268" s="5" t="n">
        <v>141</v>
      </c>
      <c r="U268" s="5" t="s">
        <v>1678</v>
      </c>
      <c r="V268" s="5" t="s">
        <v>47</v>
      </c>
      <c r="W268" s="5"/>
      <c r="X268" s="8" t="s">
        <v>2131</v>
      </c>
      <c r="Y268" s="5"/>
    </row>
    <row r="269" customFormat="false" ht="15" hidden="false" customHeight="false" outlineLevel="0" collapsed="false">
      <c r="A269" s="5" t="s">
        <v>4060</v>
      </c>
      <c r="B269" s="5" t="s">
        <v>370</v>
      </c>
      <c r="C269" s="5" t="s">
        <v>371</v>
      </c>
      <c r="D269" s="6" t="s">
        <v>45</v>
      </c>
      <c r="E269" s="5" t="n">
        <v>3</v>
      </c>
      <c r="F269" s="5" t="s">
        <v>4061</v>
      </c>
      <c r="G269" s="13" t="s">
        <v>4062</v>
      </c>
      <c r="H269" s="5" t="s">
        <v>4063</v>
      </c>
      <c r="I269" s="13" t="s">
        <v>4064</v>
      </c>
      <c r="J269" s="5" t="s">
        <v>4065</v>
      </c>
      <c r="K269" s="5" t="s">
        <v>4066</v>
      </c>
      <c r="L269" s="13" t="s">
        <v>4067</v>
      </c>
      <c r="M269" s="13" t="s">
        <v>4068</v>
      </c>
      <c r="N269" s="5" t="n">
        <f aca="false">LEN(L269)</f>
        <v>25</v>
      </c>
      <c r="O269" s="5" t="n">
        <f aca="false">LEN(M269)</f>
        <v>25</v>
      </c>
      <c r="P269" s="14" t="n">
        <f aca="false">IF(N269=0,"",(N269-LEN(SUBSTITUTE(SUBSTITUTE(L269,"G",""),"C","")))/N269)</f>
        <v>0.44</v>
      </c>
      <c r="Q269" s="14" t="n">
        <f aca="false">IF(O269=0,"",(O269-LEN(SUBSTITUTE(SUBSTITUTE(M269,"G",""),"C","")))/O269)</f>
        <v>0.6</v>
      </c>
      <c r="R269" s="5" t="s">
        <v>376</v>
      </c>
      <c r="S269" s="15" t="s">
        <v>1677</v>
      </c>
      <c r="T269" s="5" t="n">
        <v>273</v>
      </c>
      <c r="U269" s="5" t="s">
        <v>1678</v>
      </c>
      <c r="V269" s="5" t="s">
        <v>47</v>
      </c>
      <c r="W269" s="5"/>
      <c r="X269" s="15" t="s">
        <v>1677</v>
      </c>
      <c r="Y269" s="5"/>
    </row>
    <row r="270" customFormat="false" ht="15" hidden="false" customHeight="false" outlineLevel="0" collapsed="false">
      <c r="A270" s="5" t="s">
        <v>4069</v>
      </c>
      <c r="B270" s="5" t="s">
        <v>370</v>
      </c>
      <c r="C270" s="5" t="s">
        <v>371</v>
      </c>
      <c r="D270" s="6" t="s">
        <v>45</v>
      </c>
      <c r="E270" s="5" t="n">
        <v>4</v>
      </c>
      <c r="F270" s="5" t="s">
        <v>4070</v>
      </c>
      <c r="G270" s="13" t="s">
        <v>4071</v>
      </c>
      <c r="H270" s="5" t="s">
        <v>4072</v>
      </c>
      <c r="I270" s="13" t="s">
        <v>4073</v>
      </c>
      <c r="J270" s="5" t="s">
        <v>4074</v>
      </c>
      <c r="K270" s="5" t="s">
        <v>4075</v>
      </c>
      <c r="L270" s="13" t="s">
        <v>4076</v>
      </c>
      <c r="M270" s="13" t="s">
        <v>4077</v>
      </c>
      <c r="N270" s="5" t="n">
        <f aca="false">LEN(L270)</f>
        <v>25</v>
      </c>
      <c r="O270" s="5" t="n">
        <f aca="false">LEN(M270)</f>
        <v>25</v>
      </c>
      <c r="P270" s="14" t="n">
        <f aca="false">IF(N270=0,"",(N270-LEN(SUBSTITUTE(SUBSTITUTE(L270,"G",""),"C","")))/N270)</f>
        <v>0.48</v>
      </c>
      <c r="Q270" s="14" t="n">
        <f aca="false">IF(O270=0,"",(O270-LEN(SUBSTITUTE(SUBSTITUTE(M270,"G",""),"C","")))/O270)</f>
        <v>0.6</v>
      </c>
      <c r="R270" s="5" t="s">
        <v>376</v>
      </c>
      <c r="S270" s="15" t="s">
        <v>1677</v>
      </c>
      <c r="T270" s="5" t="n">
        <v>339</v>
      </c>
      <c r="U270" s="5" t="s">
        <v>1678</v>
      </c>
      <c r="V270" s="5" t="s">
        <v>47</v>
      </c>
      <c r="W270" s="5"/>
      <c r="X270" s="8" t="s">
        <v>1914</v>
      </c>
      <c r="Y270" s="5"/>
    </row>
    <row r="271" customFormat="false" ht="15" hidden="false" customHeight="false" outlineLevel="0" collapsed="false">
      <c r="A271" s="5" t="s">
        <v>4078</v>
      </c>
      <c r="B271" s="5" t="s">
        <v>370</v>
      </c>
      <c r="C271" s="5" t="s">
        <v>371</v>
      </c>
      <c r="D271" s="6" t="s">
        <v>45</v>
      </c>
      <c r="E271" s="5" t="n">
        <v>5</v>
      </c>
      <c r="F271" s="5" t="s">
        <v>4079</v>
      </c>
      <c r="G271" s="13" t="s">
        <v>4080</v>
      </c>
      <c r="H271" s="5" t="s">
        <v>4081</v>
      </c>
      <c r="I271" s="13" t="s">
        <v>4082</v>
      </c>
      <c r="J271" s="5" t="s">
        <v>4083</v>
      </c>
      <c r="K271" s="5" t="s">
        <v>4084</v>
      </c>
      <c r="L271" s="13" t="s">
        <v>4085</v>
      </c>
      <c r="M271" s="13" t="s">
        <v>4086</v>
      </c>
      <c r="N271" s="5" t="n">
        <f aca="false">LEN(L271)</f>
        <v>25</v>
      </c>
      <c r="O271" s="5" t="n">
        <f aca="false">LEN(M271)</f>
        <v>25</v>
      </c>
      <c r="P271" s="14" t="n">
        <f aca="false">IF(N271=0,"",(N271-LEN(SUBSTITUTE(SUBSTITUTE(L271,"G",""),"C","")))/N271)</f>
        <v>0.64</v>
      </c>
      <c r="Q271" s="14" t="n">
        <f aca="false">IF(O271=0,"",(O271-LEN(SUBSTITUTE(SUBSTITUTE(M271,"G",""),"C","")))/O271)</f>
        <v>0.4</v>
      </c>
      <c r="R271" s="5" t="s">
        <v>376</v>
      </c>
      <c r="S271" s="15" t="s">
        <v>1677</v>
      </c>
      <c r="T271" s="5" t="n">
        <v>472</v>
      </c>
      <c r="U271" s="5" t="s">
        <v>1678</v>
      </c>
      <c r="V271" s="5" t="s">
        <v>47</v>
      </c>
      <c r="W271" s="5"/>
      <c r="X271" s="15" t="s">
        <v>1677</v>
      </c>
      <c r="Y271" s="5"/>
    </row>
    <row r="272" customFormat="false" ht="15" hidden="false" customHeight="false" outlineLevel="0" collapsed="false">
      <c r="A272" s="5" t="s">
        <v>4087</v>
      </c>
      <c r="B272" s="5" t="s">
        <v>370</v>
      </c>
      <c r="C272" s="5" t="s">
        <v>371</v>
      </c>
      <c r="D272" s="6" t="s">
        <v>45</v>
      </c>
      <c r="E272" s="5" t="n">
        <v>6</v>
      </c>
      <c r="F272" s="5" t="s">
        <v>4088</v>
      </c>
      <c r="G272" s="13" t="s">
        <v>4089</v>
      </c>
      <c r="H272" s="5" t="s">
        <v>4090</v>
      </c>
      <c r="I272" s="13" t="s">
        <v>4091</v>
      </c>
      <c r="J272" s="5" t="s">
        <v>4092</v>
      </c>
      <c r="K272" s="5" t="s">
        <v>4093</v>
      </c>
      <c r="L272" s="13" t="s">
        <v>4094</v>
      </c>
      <c r="M272" s="13" t="s">
        <v>4095</v>
      </c>
      <c r="N272" s="5" t="n">
        <f aca="false">LEN(L272)</f>
        <v>25</v>
      </c>
      <c r="O272" s="5" t="n">
        <f aca="false">LEN(M272)</f>
        <v>25</v>
      </c>
      <c r="P272" s="14" t="n">
        <f aca="false">IF(N272=0,"",(N272-LEN(SUBSTITUTE(SUBSTITUTE(L272,"G",""),"C","")))/N272)</f>
        <v>0.68</v>
      </c>
      <c r="Q272" s="14" t="n">
        <f aca="false">IF(O272=0,"",(O272-LEN(SUBSTITUTE(SUBSTITUTE(M272,"G",""),"C","")))/O272)</f>
        <v>0.52</v>
      </c>
      <c r="R272" s="5" t="s">
        <v>376</v>
      </c>
      <c r="S272" s="15" t="s">
        <v>1677</v>
      </c>
      <c r="T272" s="5" t="n">
        <v>538</v>
      </c>
      <c r="U272" s="5" t="s">
        <v>1678</v>
      </c>
      <c r="V272" s="5" t="s">
        <v>47</v>
      </c>
      <c r="W272" s="5"/>
      <c r="X272" s="15" t="s">
        <v>1677</v>
      </c>
      <c r="Y272" s="5"/>
    </row>
    <row r="273" customFormat="false" ht="15" hidden="false" customHeight="false" outlineLevel="0" collapsed="false">
      <c r="A273" s="5" t="s">
        <v>4096</v>
      </c>
      <c r="B273" s="5" t="s">
        <v>370</v>
      </c>
      <c r="C273" s="5" t="s">
        <v>371</v>
      </c>
      <c r="D273" s="6" t="s">
        <v>45</v>
      </c>
      <c r="E273" s="5" t="n">
        <v>7</v>
      </c>
      <c r="F273" s="5" t="s">
        <v>4097</v>
      </c>
      <c r="G273" s="13" t="s">
        <v>4098</v>
      </c>
      <c r="H273" s="5" t="s">
        <v>4099</v>
      </c>
      <c r="I273" s="13" t="s">
        <v>4100</v>
      </c>
      <c r="J273" s="5" t="s">
        <v>4101</v>
      </c>
      <c r="K273" s="5" t="s">
        <v>4102</v>
      </c>
      <c r="L273" s="13" t="s">
        <v>4103</v>
      </c>
      <c r="M273" s="13" t="s">
        <v>4104</v>
      </c>
      <c r="N273" s="5" t="n">
        <f aca="false">LEN(L273)</f>
        <v>25</v>
      </c>
      <c r="O273" s="5" t="n">
        <f aca="false">LEN(M273)</f>
        <v>25</v>
      </c>
      <c r="P273" s="14" t="n">
        <f aca="false">IF(N273=0,"",(N273-LEN(SUBSTITUTE(SUBSTITUTE(L273,"G",""),"C","")))/N273)</f>
        <v>0.88</v>
      </c>
      <c r="Q273" s="14" t="n">
        <f aca="false">IF(O273=0,"",(O273-LEN(SUBSTITUTE(SUBSTITUTE(M273,"G",""),"C","")))/O273)</f>
        <v>0.56</v>
      </c>
      <c r="R273" s="5" t="s">
        <v>376</v>
      </c>
      <c r="S273" s="15" t="s">
        <v>1677</v>
      </c>
      <c r="T273" s="5" t="n">
        <v>668</v>
      </c>
      <c r="U273" s="5" t="s">
        <v>1678</v>
      </c>
      <c r="V273" s="5" t="s">
        <v>47</v>
      </c>
      <c r="W273" s="5"/>
      <c r="X273" s="15" t="s">
        <v>1677</v>
      </c>
      <c r="Y273" s="5"/>
    </row>
    <row r="274" customFormat="false" ht="15" hidden="false" customHeight="false" outlineLevel="0" collapsed="false">
      <c r="A274" s="5" t="s">
        <v>4105</v>
      </c>
      <c r="B274" s="5" t="s">
        <v>370</v>
      </c>
      <c r="C274" s="5" t="s">
        <v>371</v>
      </c>
      <c r="D274" s="6" t="s">
        <v>45</v>
      </c>
      <c r="E274" s="5" t="n">
        <v>8</v>
      </c>
      <c r="F274" s="5" t="s">
        <v>4106</v>
      </c>
      <c r="G274" s="13" t="s">
        <v>4107</v>
      </c>
      <c r="H274" s="5" t="s">
        <v>4108</v>
      </c>
      <c r="I274" s="13" t="s">
        <v>4109</v>
      </c>
      <c r="J274" s="5" t="s">
        <v>4110</v>
      </c>
      <c r="K274" s="5" t="s">
        <v>4111</v>
      </c>
      <c r="L274" s="13" t="s">
        <v>4112</v>
      </c>
      <c r="M274" s="13" t="s">
        <v>4113</v>
      </c>
      <c r="N274" s="5" t="n">
        <f aca="false">LEN(L274)</f>
        <v>25</v>
      </c>
      <c r="O274" s="5" t="n">
        <f aca="false">LEN(M274)</f>
        <v>25</v>
      </c>
      <c r="P274" s="14" t="n">
        <f aca="false">IF(N274=0,"",(N274-LEN(SUBSTITUTE(SUBSTITUTE(L274,"G",""),"C","")))/N274)</f>
        <v>0.72</v>
      </c>
      <c r="Q274" s="14" t="n">
        <f aca="false">IF(O274=0,"",(O274-LEN(SUBSTITUTE(SUBSTITUTE(M274,"G",""),"C","")))/O274)</f>
        <v>0.76</v>
      </c>
      <c r="R274" s="5" t="s">
        <v>376</v>
      </c>
      <c r="S274" s="15" t="s">
        <v>1677</v>
      </c>
      <c r="T274" s="5" t="n">
        <v>733</v>
      </c>
      <c r="U274" s="5" t="s">
        <v>1678</v>
      </c>
      <c r="V274" s="5" t="s">
        <v>47</v>
      </c>
      <c r="W274" s="5"/>
      <c r="X274" s="15" t="s">
        <v>1677</v>
      </c>
      <c r="Y274" s="5"/>
    </row>
    <row r="275" customFormat="false" ht="15" hidden="false" customHeight="false" outlineLevel="0" collapsed="false">
      <c r="A275" s="5" t="s">
        <v>4114</v>
      </c>
      <c r="B275" s="5" t="s">
        <v>370</v>
      </c>
      <c r="C275" s="5" t="s">
        <v>371</v>
      </c>
      <c r="D275" s="6" t="s">
        <v>45</v>
      </c>
      <c r="E275" s="5" t="n">
        <v>9</v>
      </c>
      <c r="F275" s="5" t="s">
        <v>4115</v>
      </c>
      <c r="G275" s="13" t="s">
        <v>4116</v>
      </c>
      <c r="H275" s="5" t="s">
        <v>4117</v>
      </c>
      <c r="I275" s="13" t="s">
        <v>4118</v>
      </c>
      <c r="J275" s="5" t="s">
        <v>4119</v>
      </c>
      <c r="K275" s="5" t="s">
        <v>4120</v>
      </c>
      <c r="L275" s="13" t="s">
        <v>4121</v>
      </c>
      <c r="M275" s="13" t="s">
        <v>4122</v>
      </c>
      <c r="N275" s="5" t="n">
        <f aca="false">LEN(L275)</f>
        <v>25</v>
      </c>
      <c r="O275" s="5" t="n">
        <f aca="false">LEN(M275)</f>
        <v>25</v>
      </c>
      <c r="P275" s="14" t="n">
        <f aca="false">IF(N275=0,"",(N275-LEN(SUBSTITUTE(SUBSTITUTE(L275,"G",""),"C","")))/N275)</f>
        <v>0.72</v>
      </c>
      <c r="Q275" s="14" t="n">
        <f aca="false">IF(O275=0,"",(O275-LEN(SUBSTITUTE(SUBSTITUTE(M275,"G",""),"C","")))/O275)</f>
        <v>0.64</v>
      </c>
      <c r="R275" s="5" t="s">
        <v>376</v>
      </c>
      <c r="S275" s="15" t="s">
        <v>1677</v>
      </c>
      <c r="T275" s="5" t="n">
        <v>868</v>
      </c>
      <c r="U275" s="5" t="s">
        <v>1678</v>
      </c>
      <c r="V275" s="5" t="s">
        <v>47</v>
      </c>
      <c r="W275" s="5"/>
      <c r="X275" s="8" t="s">
        <v>1769</v>
      </c>
      <c r="Y275" s="5"/>
    </row>
    <row r="276" customFormat="false" ht="15" hidden="false" customHeight="false" outlineLevel="0" collapsed="false">
      <c r="A276" s="5" t="s">
        <v>4123</v>
      </c>
      <c r="B276" s="5" t="s">
        <v>370</v>
      </c>
      <c r="C276" s="5" t="s">
        <v>371</v>
      </c>
      <c r="D276" s="6" t="s">
        <v>45</v>
      </c>
      <c r="E276" s="5" t="n">
        <v>10</v>
      </c>
      <c r="F276" s="5" t="s">
        <v>4124</v>
      </c>
      <c r="G276" s="13" t="s">
        <v>4125</v>
      </c>
      <c r="H276" s="5" t="s">
        <v>4126</v>
      </c>
      <c r="I276" s="13" t="s">
        <v>4127</v>
      </c>
      <c r="J276" s="5" t="s">
        <v>4128</v>
      </c>
      <c r="K276" s="5" t="s">
        <v>4129</v>
      </c>
      <c r="L276" s="13" t="s">
        <v>4130</v>
      </c>
      <c r="M276" s="13" t="s">
        <v>4131</v>
      </c>
      <c r="N276" s="5" t="n">
        <f aca="false">LEN(L276)</f>
        <v>25</v>
      </c>
      <c r="O276" s="5" t="n">
        <f aca="false">LEN(M276)</f>
        <v>25</v>
      </c>
      <c r="P276" s="14" t="n">
        <f aca="false">IF(N276=0,"",(N276-LEN(SUBSTITUTE(SUBSTITUTE(L276,"G",""),"C","")))/N276)</f>
        <v>0.52</v>
      </c>
      <c r="Q276" s="14" t="n">
        <f aca="false">IF(O276=0,"",(O276-LEN(SUBSTITUTE(SUBSTITUTE(M276,"G",""),"C","")))/O276)</f>
        <v>0.64</v>
      </c>
      <c r="R276" s="5" t="s">
        <v>376</v>
      </c>
      <c r="S276" s="15" t="s">
        <v>1677</v>
      </c>
      <c r="T276" s="5" t="n">
        <v>936</v>
      </c>
      <c r="U276" s="5" t="s">
        <v>1678</v>
      </c>
      <c r="V276" s="5" t="s">
        <v>47</v>
      </c>
      <c r="W276" s="5"/>
      <c r="X276" s="15" t="s">
        <v>1677</v>
      </c>
      <c r="Y276" s="5"/>
    </row>
    <row r="277" customFormat="false" ht="15" hidden="false" customHeight="false" outlineLevel="0" collapsed="false">
      <c r="A277" s="5" t="s">
        <v>4132</v>
      </c>
      <c r="B277" s="5" t="s">
        <v>379</v>
      </c>
      <c r="C277" s="5" t="s">
        <v>380</v>
      </c>
      <c r="D277" s="6" t="s">
        <v>45</v>
      </c>
      <c r="E277" s="5" t="n">
        <v>1</v>
      </c>
      <c r="F277" s="5" t="s">
        <v>4133</v>
      </c>
      <c r="G277" s="13" t="s">
        <v>4134</v>
      </c>
      <c r="H277" s="5" t="s">
        <v>4135</v>
      </c>
      <c r="I277" s="13" t="s">
        <v>4136</v>
      </c>
      <c r="J277" s="5" t="s">
        <v>4137</v>
      </c>
      <c r="K277" s="5" t="s">
        <v>4138</v>
      </c>
      <c r="L277" s="13" t="s">
        <v>4139</v>
      </c>
      <c r="M277" s="13" t="s">
        <v>4140</v>
      </c>
      <c r="N277" s="5" t="n">
        <f aca="false">LEN(L277)</f>
        <v>25</v>
      </c>
      <c r="O277" s="5" t="n">
        <f aca="false">LEN(M277)</f>
        <v>25</v>
      </c>
      <c r="P277" s="14" t="n">
        <f aca="false">IF(N277=0,"",(N277-LEN(SUBSTITUTE(SUBSTITUTE(L277,"G",""),"C","")))/N277)</f>
        <v>0.68</v>
      </c>
      <c r="Q277" s="14" t="n">
        <f aca="false">IF(O277=0,"",(O277-LEN(SUBSTITUTE(SUBSTITUTE(M277,"G",""),"C","")))/O277)</f>
        <v>0.8</v>
      </c>
      <c r="R277" s="5" t="s">
        <v>385</v>
      </c>
      <c r="S277" s="15" t="s">
        <v>1677</v>
      </c>
      <c r="T277" s="5" t="n">
        <v>6</v>
      </c>
      <c r="U277" s="5" t="s">
        <v>1678</v>
      </c>
      <c r="V277" s="5" t="s">
        <v>47</v>
      </c>
      <c r="W277" s="5"/>
      <c r="X277" s="15" t="s">
        <v>1677</v>
      </c>
      <c r="Y277" s="5"/>
    </row>
    <row r="278" customFormat="false" ht="15" hidden="false" customHeight="false" outlineLevel="0" collapsed="false">
      <c r="A278" s="5" t="s">
        <v>4141</v>
      </c>
      <c r="B278" s="5" t="s">
        <v>379</v>
      </c>
      <c r="C278" s="5" t="s">
        <v>380</v>
      </c>
      <c r="D278" s="6" t="s">
        <v>45</v>
      </c>
      <c r="E278" s="5" t="n">
        <v>2</v>
      </c>
      <c r="F278" s="5" t="s">
        <v>4142</v>
      </c>
      <c r="G278" s="13" t="s">
        <v>4143</v>
      </c>
      <c r="H278" s="5" t="s">
        <v>4144</v>
      </c>
      <c r="I278" s="13" t="s">
        <v>4145</v>
      </c>
      <c r="J278" s="5" t="s">
        <v>4146</v>
      </c>
      <c r="K278" s="5" t="s">
        <v>4146</v>
      </c>
      <c r="L278" s="13" t="s">
        <v>4147</v>
      </c>
      <c r="M278" s="13" t="s">
        <v>4148</v>
      </c>
      <c r="N278" s="5" t="n">
        <f aca="false">LEN(L278)</f>
        <v>25</v>
      </c>
      <c r="O278" s="5" t="n">
        <f aca="false">LEN(M278)</f>
        <v>25</v>
      </c>
      <c r="P278" s="14" t="n">
        <f aca="false">IF(N278=0,"",(N278-LEN(SUBSTITUTE(SUBSTITUTE(L278,"G",""),"C","")))/N278)</f>
        <v>0.6</v>
      </c>
      <c r="Q278" s="14" t="n">
        <f aca="false">IF(O278=0,"",(O278-LEN(SUBSTITUTE(SUBSTITUTE(M278,"G",""),"C","")))/O278)</f>
        <v>0.56</v>
      </c>
      <c r="R278" s="5" t="s">
        <v>385</v>
      </c>
      <c r="S278" s="15" t="s">
        <v>1677</v>
      </c>
      <c r="T278" s="5" t="n">
        <v>51</v>
      </c>
      <c r="U278" s="5" t="s">
        <v>1678</v>
      </c>
      <c r="V278" s="5" t="s">
        <v>1191</v>
      </c>
      <c r="W278" s="5" t="s">
        <v>1191</v>
      </c>
      <c r="X278" s="15" t="s">
        <v>1677</v>
      </c>
      <c r="Y278" s="5"/>
    </row>
    <row r="279" customFormat="false" ht="15" hidden="false" customHeight="false" outlineLevel="0" collapsed="false">
      <c r="A279" s="5" t="s">
        <v>4149</v>
      </c>
      <c r="B279" s="5" t="s">
        <v>379</v>
      </c>
      <c r="C279" s="5" t="s">
        <v>380</v>
      </c>
      <c r="D279" s="6" t="s">
        <v>45</v>
      </c>
      <c r="E279" s="5" t="n">
        <v>3</v>
      </c>
      <c r="F279" s="5" t="s">
        <v>4150</v>
      </c>
      <c r="G279" s="13" t="s">
        <v>4151</v>
      </c>
      <c r="H279" s="5" t="s">
        <v>4152</v>
      </c>
      <c r="I279" s="13" t="s">
        <v>4153</v>
      </c>
      <c r="J279" s="5" t="s">
        <v>4154</v>
      </c>
      <c r="K279" s="5" t="s">
        <v>4155</v>
      </c>
      <c r="L279" s="13" t="s">
        <v>4156</v>
      </c>
      <c r="M279" s="13" t="s">
        <v>4157</v>
      </c>
      <c r="N279" s="5" t="n">
        <f aca="false">LEN(L279)</f>
        <v>25</v>
      </c>
      <c r="O279" s="5" t="n">
        <f aca="false">LEN(M279)</f>
        <v>25</v>
      </c>
      <c r="P279" s="14" t="n">
        <f aca="false">IF(N279=0,"",(N279-LEN(SUBSTITUTE(SUBSTITUTE(L279,"G",""),"C","")))/N279)</f>
        <v>0.52</v>
      </c>
      <c r="Q279" s="14" t="n">
        <f aca="false">IF(O279=0,"",(O279-LEN(SUBSTITUTE(SUBSTITUTE(M279,"G",""),"C","")))/O279)</f>
        <v>0.4</v>
      </c>
      <c r="R279" s="5" t="s">
        <v>385</v>
      </c>
      <c r="S279" s="15" t="s">
        <v>1677</v>
      </c>
      <c r="T279" s="5" t="n">
        <v>77</v>
      </c>
      <c r="U279" s="5" t="s">
        <v>1678</v>
      </c>
      <c r="V279" s="5" t="s">
        <v>47</v>
      </c>
      <c r="W279" s="5"/>
      <c r="X279" s="8" t="s">
        <v>1914</v>
      </c>
      <c r="Y279" s="5"/>
    </row>
    <row r="280" customFormat="false" ht="15" hidden="false" customHeight="false" outlineLevel="0" collapsed="false">
      <c r="A280" s="5" t="s">
        <v>4158</v>
      </c>
      <c r="B280" s="5" t="s">
        <v>379</v>
      </c>
      <c r="C280" s="5" t="s">
        <v>380</v>
      </c>
      <c r="D280" s="6" t="s">
        <v>45</v>
      </c>
      <c r="E280" s="5" t="n">
        <v>4</v>
      </c>
      <c r="F280" s="5" t="s">
        <v>4159</v>
      </c>
      <c r="G280" s="13" t="s">
        <v>4160</v>
      </c>
      <c r="H280" s="5" t="s">
        <v>4161</v>
      </c>
      <c r="I280" s="13" t="s">
        <v>4162</v>
      </c>
      <c r="J280" s="5" t="s">
        <v>4146</v>
      </c>
      <c r="K280" s="5" t="s">
        <v>4146</v>
      </c>
      <c r="L280" s="13" t="s">
        <v>4163</v>
      </c>
      <c r="M280" s="13" t="s">
        <v>4164</v>
      </c>
      <c r="N280" s="5" t="n">
        <f aca="false">LEN(L280)</f>
        <v>25</v>
      </c>
      <c r="O280" s="5" t="n">
        <f aca="false">LEN(M280)</f>
        <v>25</v>
      </c>
      <c r="P280" s="14" t="n">
        <f aca="false">IF(N280=0,"",(N280-LEN(SUBSTITUTE(SUBSTITUTE(L280,"G",""),"C","")))/N280)</f>
        <v>0.4</v>
      </c>
      <c r="Q280" s="14" t="n">
        <f aca="false">IF(O280=0,"",(O280-LEN(SUBSTITUTE(SUBSTITUTE(M280,"G",""),"C","")))/O280)</f>
        <v>0.52</v>
      </c>
      <c r="R280" s="5" t="s">
        <v>385</v>
      </c>
      <c r="S280" s="15" t="s">
        <v>1677</v>
      </c>
      <c r="T280" s="5" t="n">
        <v>131</v>
      </c>
      <c r="U280" s="5" t="s">
        <v>1678</v>
      </c>
      <c r="V280" s="5" t="s">
        <v>1191</v>
      </c>
      <c r="W280" s="5" t="s">
        <v>1191</v>
      </c>
      <c r="X280" s="15" t="s">
        <v>1677</v>
      </c>
      <c r="Y280" s="5"/>
    </row>
    <row r="281" customFormat="false" ht="15" hidden="false" customHeight="false" outlineLevel="0" collapsed="false">
      <c r="A281" s="5" t="s">
        <v>4165</v>
      </c>
      <c r="B281" s="5" t="s">
        <v>379</v>
      </c>
      <c r="C281" s="5" t="s">
        <v>380</v>
      </c>
      <c r="D281" s="6" t="s">
        <v>45</v>
      </c>
      <c r="E281" s="5" t="n">
        <v>5</v>
      </c>
      <c r="F281" s="5" t="s">
        <v>4166</v>
      </c>
      <c r="G281" s="13" t="s">
        <v>4167</v>
      </c>
      <c r="H281" s="5" t="s">
        <v>4168</v>
      </c>
      <c r="I281" s="13" t="s">
        <v>4169</v>
      </c>
      <c r="J281" s="5" t="s">
        <v>4170</v>
      </c>
      <c r="K281" s="5" t="s">
        <v>4171</v>
      </c>
      <c r="L281" s="13" t="s">
        <v>4172</v>
      </c>
      <c r="M281" s="13" t="s">
        <v>4173</v>
      </c>
      <c r="N281" s="5" t="n">
        <f aca="false">LEN(L281)</f>
        <v>25</v>
      </c>
      <c r="O281" s="5" t="n">
        <f aca="false">LEN(M281)</f>
        <v>25</v>
      </c>
      <c r="P281" s="14" t="n">
        <f aca="false">IF(N281=0,"",(N281-LEN(SUBSTITUTE(SUBSTITUTE(L281,"G",""),"C","")))/N281)</f>
        <v>0.48</v>
      </c>
      <c r="Q281" s="14" t="n">
        <f aca="false">IF(O281=0,"",(O281-LEN(SUBSTITUTE(SUBSTITUTE(M281,"G",""),"C","")))/O281)</f>
        <v>0.52</v>
      </c>
      <c r="R281" s="5" t="s">
        <v>385</v>
      </c>
      <c r="S281" s="15" t="s">
        <v>1677</v>
      </c>
      <c r="T281" s="5" t="n">
        <v>148</v>
      </c>
      <c r="U281" s="5" t="s">
        <v>1678</v>
      </c>
      <c r="V281" s="5" t="s">
        <v>47</v>
      </c>
      <c r="W281" s="5"/>
      <c r="X281" s="15" t="s">
        <v>1677</v>
      </c>
      <c r="Y281" s="5"/>
    </row>
    <row r="282" customFormat="false" ht="15" hidden="false" customHeight="false" outlineLevel="0" collapsed="false">
      <c r="A282" s="5" t="s">
        <v>4174</v>
      </c>
      <c r="B282" s="5" t="s">
        <v>379</v>
      </c>
      <c r="C282" s="5" t="s">
        <v>380</v>
      </c>
      <c r="D282" s="6" t="s">
        <v>45</v>
      </c>
      <c r="E282" s="5" t="n">
        <v>6</v>
      </c>
      <c r="F282" s="5" t="s">
        <v>4175</v>
      </c>
      <c r="G282" s="13" t="s">
        <v>4176</v>
      </c>
      <c r="H282" s="5" t="s">
        <v>4177</v>
      </c>
      <c r="I282" s="13" t="s">
        <v>4178</v>
      </c>
      <c r="J282" s="5" t="s">
        <v>4146</v>
      </c>
      <c r="K282" s="5" t="s">
        <v>4146</v>
      </c>
      <c r="L282" s="13" t="s">
        <v>4179</v>
      </c>
      <c r="M282" s="13" t="s">
        <v>4180</v>
      </c>
      <c r="N282" s="5" t="n">
        <f aca="false">LEN(L282)</f>
        <v>25</v>
      </c>
      <c r="O282" s="5" t="n">
        <f aca="false">LEN(M282)</f>
        <v>25</v>
      </c>
      <c r="P282" s="14" t="n">
        <f aca="false">IF(N282=0,"",(N282-LEN(SUBSTITUTE(SUBSTITUTE(L282,"G",""),"C","")))/N282)</f>
        <v>0.6</v>
      </c>
      <c r="Q282" s="14" t="n">
        <f aca="false">IF(O282=0,"",(O282-LEN(SUBSTITUTE(SUBSTITUTE(M282,"G",""),"C","")))/O282)</f>
        <v>0.52</v>
      </c>
      <c r="R282" s="5" t="s">
        <v>385</v>
      </c>
      <c r="S282" s="15" t="s">
        <v>1677</v>
      </c>
      <c r="T282" s="5" t="n">
        <v>291</v>
      </c>
      <c r="U282" s="5" t="s">
        <v>1678</v>
      </c>
      <c r="V282" s="5" t="s">
        <v>1191</v>
      </c>
      <c r="W282" s="5" t="s">
        <v>1191</v>
      </c>
      <c r="X282" s="15" t="s">
        <v>1677</v>
      </c>
      <c r="Y282" s="5"/>
    </row>
    <row r="283" customFormat="false" ht="15" hidden="false" customHeight="false" outlineLevel="0" collapsed="false">
      <c r="A283" s="5" t="s">
        <v>4181</v>
      </c>
      <c r="B283" s="5" t="s">
        <v>379</v>
      </c>
      <c r="C283" s="5" t="s">
        <v>380</v>
      </c>
      <c r="D283" s="6" t="s">
        <v>45</v>
      </c>
      <c r="E283" s="5" t="n">
        <v>7</v>
      </c>
      <c r="F283" s="5" t="s">
        <v>4182</v>
      </c>
      <c r="G283" s="13" t="s">
        <v>4183</v>
      </c>
      <c r="H283" s="5" t="s">
        <v>4184</v>
      </c>
      <c r="I283" s="13" t="s">
        <v>4185</v>
      </c>
      <c r="J283" s="5" t="s">
        <v>4186</v>
      </c>
      <c r="K283" s="5" t="s">
        <v>4187</v>
      </c>
      <c r="L283" s="13" t="s">
        <v>4188</v>
      </c>
      <c r="M283" s="13" t="s">
        <v>4189</v>
      </c>
      <c r="N283" s="5" t="n">
        <f aca="false">LEN(L283)</f>
        <v>25</v>
      </c>
      <c r="O283" s="5" t="n">
        <f aca="false">LEN(M283)</f>
        <v>25</v>
      </c>
      <c r="P283" s="14" t="n">
        <f aca="false">IF(N283=0,"",(N283-LEN(SUBSTITUTE(SUBSTITUTE(L283,"G",""),"C","")))/N283)</f>
        <v>0.68</v>
      </c>
      <c r="Q283" s="14" t="n">
        <f aca="false">IF(O283=0,"",(O283-LEN(SUBSTITUTE(SUBSTITUTE(M283,"G",""),"C","")))/O283)</f>
        <v>0.8</v>
      </c>
      <c r="R283" s="5" t="s">
        <v>385</v>
      </c>
      <c r="S283" s="15" t="s">
        <v>1677</v>
      </c>
      <c r="T283" s="5" t="n">
        <v>367</v>
      </c>
      <c r="U283" s="5" t="s">
        <v>1678</v>
      </c>
      <c r="V283" s="5" t="s">
        <v>154</v>
      </c>
      <c r="W283" s="5"/>
      <c r="X283" s="8" t="s">
        <v>1769</v>
      </c>
      <c r="Y283" s="5"/>
    </row>
    <row r="284" customFormat="false" ht="15" hidden="false" customHeight="false" outlineLevel="0" collapsed="false">
      <c r="A284" s="5" t="s">
        <v>4190</v>
      </c>
      <c r="B284" s="5" t="s">
        <v>379</v>
      </c>
      <c r="C284" s="5" t="s">
        <v>380</v>
      </c>
      <c r="D284" s="6" t="s">
        <v>45</v>
      </c>
      <c r="E284" s="5" t="n">
        <v>8</v>
      </c>
      <c r="F284" s="5" t="s">
        <v>4191</v>
      </c>
      <c r="G284" s="13" t="s">
        <v>4192</v>
      </c>
      <c r="H284" s="5" t="s">
        <v>4193</v>
      </c>
      <c r="I284" s="13" t="s">
        <v>4194</v>
      </c>
      <c r="J284" s="5" t="s">
        <v>4146</v>
      </c>
      <c r="K284" s="5" t="s">
        <v>4146</v>
      </c>
      <c r="L284" s="13" t="s">
        <v>4195</v>
      </c>
      <c r="M284" s="13" t="s">
        <v>4196</v>
      </c>
      <c r="N284" s="5" t="n">
        <f aca="false">LEN(L284)</f>
        <v>25</v>
      </c>
      <c r="O284" s="5" t="n">
        <f aca="false">LEN(M284)</f>
        <v>25</v>
      </c>
      <c r="P284" s="14" t="n">
        <f aca="false">IF(N284=0,"",(N284-LEN(SUBSTITUTE(SUBSTITUTE(L284,"G",""),"C","")))/N284)</f>
        <v>0.64</v>
      </c>
      <c r="Q284" s="14" t="n">
        <f aca="false">IF(O284=0,"",(O284-LEN(SUBSTITUTE(SUBSTITUTE(M284,"G",""),"C","")))/O284)</f>
        <v>0.8</v>
      </c>
      <c r="R284" s="5" t="s">
        <v>385</v>
      </c>
      <c r="S284" s="8" t="s">
        <v>1769</v>
      </c>
      <c r="T284" s="5" t="n">
        <v>371</v>
      </c>
      <c r="U284" s="5" t="s">
        <v>4197</v>
      </c>
      <c r="V284" s="5" t="s">
        <v>1191</v>
      </c>
      <c r="W284" s="5" t="s">
        <v>1191</v>
      </c>
      <c r="X284" s="15" t="s">
        <v>1677</v>
      </c>
      <c r="Y284" s="8" t="s">
        <v>3168</v>
      </c>
    </row>
    <row r="285" customFormat="false" ht="15" hidden="false" customHeight="false" outlineLevel="0" collapsed="false">
      <c r="A285" s="5" t="s">
        <v>4198</v>
      </c>
      <c r="B285" s="5" t="s">
        <v>379</v>
      </c>
      <c r="C285" s="5" t="s">
        <v>380</v>
      </c>
      <c r="D285" s="6" t="s">
        <v>45</v>
      </c>
      <c r="E285" s="5" t="n">
        <v>9</v>
      </c>
      <c r="F285" s="5" t="s">
        <v>4199</v>
      </c>
      <c r="G285" s="13" t="s">
        <v>4200</v>
      </c>
      <c r="H285" s="5" t="s">
        <v>4201</v>
      </c>
      <c r="I285" s="13" t="s">
        <v>4202</v>
      </c>
      <c r="J285" s="5" t="s">
        <v>4203</v>
      </c>
      <c r="K285" s="5" t="s">
        <v>4204</v>
      </c>
      <c r="L285" s="13" t="s">
        <v>4205</v>
      </c>
      <c r="M285" s="13" t="s">
        <v>4206</v>
      </c>
      <c r="N285" s="5" t="n">
        <f aca="false">LEN(L285)</f>
        <v>25</v>
      </c>
      <c r="O285" s="5" t="n">
        <f aca="false">LEN(M285)</f>
        <v>25</v>
      </c>
      <c r="P285" s="14" t="n">
        <f aca="false">IF(N285=0,"",(N285-LEN(SUBSTITUTE(SUBSTITUTE(L285,"G",""),"C","")))/N285)</f>
        <v>0.56</v>
      </c>
      <c r="Q285" s="14" t="n">
        <f aca="false">IF(O285=0,"",(O285-LEN(SUBSTITUTE(SUBSTITUTE(M285,"G",""),"C","")))/O285)</f>
        <v>0.6</v>
      </c>
      <c r="R285" s="5" t="s">
        <v>385</v>
      </c>
      <c r="S285" s="15" t="s">
        <v>1677</v>
      </c>
      <c r="T285" s="5" t="n">
        <v>440</v>
      </c>
      <c r="U285" s="5" t="s">
        <v>1678</v>
      </c>
      <c r="V285" s="5" t="s">
        <v>154</v>
      </c>
      <c r="W285" s="5"/>
      <c r="X285" s="8" t="s">
        <v>1914</v>
      </c>
      <c r="Y285" s="5"/>
    </row>
    <row r="286" customFormat="false" ht="15" hidden="false" customHeight="false" outlineLevel="0" collapsed="false">
      <c r="A286" s="5" t="s">
        <v>4207</v>
      </c>
      <c r="B286" s="5" t="s">
        <v>379</v>
      </c>
      <c r="C286" s="5" t="s">
        <v>380</v>
      </c>
      <c r="D286" s="6" t="s">
        <v>45</v>
      </c>
      <c r="E286" s="5" t="n">
        <v>10</v>
      </c>
      <c r="F286" s="5" t="s">
        <v>4208</v>
      </c>
      <c r="G286" s="13" t="s">
        <v>4209</v>
      </c>
      <c r="H286" s="5" t="s">
        <v>4210</v>
      </c>
      <c r="I286" s="13" t="s">
        <v>4211</v>
      </c>
      <c r="J286" s="5" t="s">
        <v>4212</v>
      </c>
      <c r="K286" s="5" t="s">
        <v>4213</v>
      </c>
      <c r="L286" s="13" t="s">
        <v>4214</v>
      </c>
      <c r="M286" s="13" t="s">
        <v>4215</v>
      </c>
      <c r="N286" s="5" t="n">
        <f aca="false">LEN(L286)</f>
        <v>25</v>
      </c>
      <c r="O286" s="5" t="n">
        <f aca="false">LEN(M286)</f>
        <v>25</v>
      </c>
      <c r="P286" s="14" t="n">
        <f aca="false">IF(N286=0,"",(N286-LEN(SUBSTITUTE(SUBSTITUTE(L286,"G",""),"C","")))/N286)</f>
        <v>0.6</v>
      </c>
      <c r="Q286" s="14" t="n">
        <f aca="false">IF(O286=0,"",(O286-LEN(SUBSTITUTE(SUBSTITUTE(M286,"G",""),"C","")))/O286)</f>
        <v>0.68</v>
      </c>
      <c r="R286" s="5" t="s">
        <v>385</v>
      </c>
      <c r="S286" s="15" t="s">
        <v>1677</v>
      </c>
      <c r="T286" s="5" t="n">
        <v>512</v>
      </c>
      <c r="U286" s="5" t="s">
        <v>1678</v>
      </c>
      <c r="V286" s="5" t="s">
        <v>154</v>
      </c>
      <c r="W286" s="5"/>
      <c r="X286" s="8" t="s">
        <v>1914</v>
      </c>
      <c r="Y286" s="5"/>
    </row>
    <row r="287" customFormat="false" ht="15" hidden="false" customHeight="false" outlineLevel="0" collapsed="false">
      <c r="A287" s="5" t="s">
        <v>4216</v>
      </c>
      <c r="B287" s="5" t="s">
        <v>379</v>
      </c>
      <c r="C287" s="5" t="s">
        <v>380</v>
      </c>
      <c r="D287" s="6" t="s">
        <v>45</v>
      </c>
      <c r="E287" s="5" t="n">
        <v>11</v>
      </c>
      <c r="F287" s="5" t="s">
        <v>4217</v>
      </c>
      <c r="G287" s="13" t="s">
        <v>4218</v>
      </c>
      <c r="H287" s="5" t="s">
        <v>4219</v>
      </c>
      <c r="I287" s="13" t="s">
        <v>4220</v>
      </c>
      <c r="J287" s="5" t="s">
        <v>4146</v>
      </c>
      <c r="K287" s="5" t="s">
        <v>4146</v>
      </c>
      <c r="L287" s="13" t="s">
        <v>4221</v>
      </c>
      <c r="M287" s="13" t="s">
        <v>4222</v>
      </c>
      <c r="N287" s="5" t="n">
        <f aca="false">LEN(L287)</f>
        <v>25</v>
      </c>
      <c r="O287" s="5" t="n">
        <f aca="false">LEN(M287)</f>
        <v>25</v>
      </c>
      <c r="P287" s="14" t="n">
        <f aca="false">IF(N287=0,"",(N287-LEN(SUBSTITUTE(SUBSTITUTE(L287,"G",""),"C","")))/N287)</f>
        <v>0.64</v>
      </c>
      <c r="Q287" s="14" t="n">
        <f aca="false">IF(O287=0,"",(O287-LEN(SUBSTITUTE(SUBSTITUTE(M287,"G",""),"C","")))/O287)</f>
        <v>0.64</v>
      </c>
      <c r="R287" s="5" t="s">
        <v>385</v>
      </c>
      <c r="S287" s="8" t="s">
        <v>1769</v>
      </c>
      <c r="T287" s="5" t="n">
        <v>531</v>
      </c>
      <c r="U287" s="5" t="s">
        <v>4197</v>
      </c>
      <c r="V287" s="5" t="s">
        <v>1191</v>
      </c>
      <c r="W287" s="5" t="s">
        <v>1191</v>
      </c>
      <c r="X287" s="15" t="s">
        <v>1677</v>
      </c>
      <c r="Y287" s="8" t="s">
        <v>3168</v>
      </c>
    </row>
    <row r="288" customFormat="false" ht="15" hidden="false" customHeight="false" outlineLevel="0" collapsed="false">
      <c r="A288" s="5" t="s">
        <v>4223</v>
      </c>
      <c r="B288" s="5" t="s">
        <v>379</v>
      </c>
      <c r="C288" s="5" t="s">
        <v>380</v>
      </c>
      <c r="D288" s="6" t="s">
        <v>45</v>
      </c>
      <c r="E288" s="5" t="n">
        <v>12</v>
      </c>
      <c r="F288" s="5" t="s">
        <v>4224</v>
      </c>
      <c r="G288" s="13" t="s">
        <v>4225</v>
      </c>
      <c r="H288" s="5" t="s">
        <v>4226</v>
      </c>
      <c r="I288" s="13" t="s">
        <v>4227</v>
      </c>
      <c r="J288" s="5" t="s">
        <v>4228</v>
      </c>
      <c r="K288" s="5" t="s">
        <v>4229</v>
      </c>
      <c r="L288" s="13" t="s">
        <v>4230</v>
      </c>
      <c r="M288" s="13" t="s">
        <v>4231</v>
      </c>
      <c r="N288" s="5" t="n">
        <f aca="false">LEN(L288)</f>
        <v>25</v>
      </c>
      <c r="O288" s="5" t="n">
        <f aca="false">LEN(M288)</f>
        <v>25</v>
      </c>
      <c r="P288" s="14" t="n">
        <f aca="false">IF(N288=0,"",(N288-LEN(SUBSTITUTE(SUBSTITUTE(L288,"G",""),"C","")))/N288)</f>
        <v>0.72</v>
      </c>
      <c r="Q288" s="14" t="n">
        <f aca="false">IF(O288=0,"",(O288-LEN(SUBSTITUTE(SUBSTITUTE(M288,"G",""),"C","")))/O288)</f>
        <v>0.68</v>
      </c>
      <c r="R288" s="5" t="s">
        <v>385</v>
      </c>
      <c r="S288" s="15" t="s">
        <v>1677</v>
      </c>
      <c r="T288" s="5" t="n">
        <v>585</v>
      </c>
      <c r="U288" s="5" t="s">
        <v>1678</v>
      </c>
      <c r="V288" s="5" t="s">
        <v>154</v>
      </c>
      <c r="W288" s="5"/>
      <c r="X288" s="8" t="s">
        <v>2131</v>
      </c>
      <c r="Y288" s="5"/>
    </row>
    <row r="289" customFormat="false" ht="15" hidden="false" customHeight="false" outlineLevel="0" collapsed="false">
      <c r="A289" s="5" t="s">
        <v>4232</v>
      </c>
      <c r="B289" s="5" t="s">
        <v>379</v>
      </c>
      <c r="C289" s="5" t="s">
        <v>380</v>
      </c>
      <c r="D289" s="6" t="s">
        <v>45</v>
      </c>
      <c r="E289" s="5" t="n">
        <v>13</v>
      </c>
      <c r="F289" s="5" t="s">
        <v>4233</v>
      </c>
      <c r="G289" s="13" t="s">
        <v>4234</v>
      </c>
      <c r="H289" s="5" t="s">
        <v>4235</v>
      </c>
      <c r="I289" s="13" t="s">
        <v>4236</v>
      </c>
      <c r="J289" s="5" t="s">
        <v>4146</v>
      </c>
      <c r="K289" s="5" t="s">
        <v>4146</v>
      </c>
      <c r="L289" s="13" t="s">
        <v>4237</v>
      </c>
      <c r="M289" s="13" t="s">
        <v>4238</v>
      </c>
      <c r="N289" s="5" t="n">
        <f aca="false">LEN(L289)</f>
        <v>25</v>
      </c>
      <c r="O289" s="5" t="n">
        <f aca="false">LEN(M289)</f>
        <v>25</v>
      </c>
      <c r="P289" s="14" t="n">
        <f aca="false">IF(N289=0,"",(N289-LEN(SUBSTITUTE(SUBSTITUTE(L289,"G",""),"C","")))/N289)</f>
        <v>0.64</v>
      </c>
      <c r="Q289" s="14" t="n">
        <f aca="false">IF(O289=0,"",(O289-LEN(SUBSTITUTE(SUBSTITUTE(M289,"G",""),"C","")))/O289)</f>
        <v>0.4</v>
      </c>
      <c r="R289" s="5" t="s">
        <v>385</v>
      </c>
      <c r="S289" s="8" t="s">
        <v>1769</v>
      </c>
      <c r="T289" s="5" t="n">
        <v>611</v>
      </c>
      <c r="U289" s="5" t="s">
        <v>4197</v>
      </c>
      <c r="V289" s="5" t="s">
        <v>1191</v>
      </c>
      <c r="W289" s="5" t="s">
        <v>1191</v>
      </c>
      <c r="X289" s="15" t="s">
        <v>1677</v>
      </c>
      <c r="Y289" s="8" t="s">
        <v>3168</v>
      </c>
    </row>
    <row r="290" customFormat="false" ht="15" hidden="false" customHeight="false" outlineLevel="0" collapsed="false">
      <c r="A290" s="5" t="s">
        <v>4239</v>
      </c>
      <c r="B290" s="5" t="s">
        <v>379</v>
      </c>
      <c r="C290" s="5" t="s">
        <v>380</v>
      </c>
      <c r="D290" s="6" t="s">
        <v>45</v>
      </c>
      <c r="E290" s="5" t="n">
        <v>14</v>
      </c>
      <c r="F290" s="5" t="s">
        <v>4240</v>
      </c>
      <c r="G290" s="13" t="s">
        <v>4241</v>
      </c>
      <c r="H290" s="5" t="s">
        <v>4242</v>
      </c>
      <c r="I290" s="13" t="s">
        <v>4243</v>
      </c>
      <c r="J290" s="5" t="s">
        <v>4244</v>
      </c>
      <c r="K290" s="5" t="s">
        <v>4245</v>
      </c>
      <c r="L290" s="13" t="s">
        <v>4246</v>
      </c>
      <c r="M290" s="13" t="s">
        <v>4247</v>
      </c>
      <c r="N290" s="5" t="n">
        <f aca="false">LEN(L290)</f>
        <v>25</v>
      </c>
      <c r="O290" s="5" t="n">
        <f aca="false">LEN(M290)</f>
        <v>25</v>
      </c>
      <c r="P290" s="14" t="n">
        <f aca="false">IF(N290=0,"",(N290-LEN(SUBSTITUTE(SUBSTITUTE(L290,"G",""),"C","")))/N290)</f>
        <v>0.6</v>
      </c>
      <c r="Q290" s="14" t="n">
        <f aca="false">IF(O290=0,"",(O290-LEN(SUBSTITUTE(SUBSTITUTE(M290,"G",""),"C","")))/O290)</f>
        <v>0.8</v>
      </c>
      <c r="R290" s="5" t="s">
        <v>385</v>
      </c>
      <c r="S290" s="15" t="s">
        <v>1677</v>
      </c>
      <c r="T290" s="5" t="n">
        <v>658</v>
      </c>
      <c r="U290" s="5" t="s">
        <v>1678</v>
      </c>
      <c r="V290" s="5" t="s">
        <v>154</v>
      </c>
      <c r="W290" s="5"/>
      <c r="X290" s="8" t="s">
        <v>1914</v>
      </c>
      <c r="Y290" s="5"/>
    </row>
    <row r="291" customFormat="false" ht="15" hidden="false" customHeight="false" outlineLevel="0" collapsed="false">
      <c r="A291" s="5" t="s">
        <v>4248</v>
      </c>
      <c r="B291" s="5" t="s">
        <v>379</v>
      </c>
      <c r="C291" s="5" t="s">
        <v>380</v>
      </c>
      <c r="D291" s="6" t="s">
        <v>45</v>
      </c>
      <c r="E291" s="5" t="n">
        <v>15</v>
      </c>
      <c r="F291" s="5" t="s">
        <v>4249</v>
      </c>
      <c r="G291" s="13" t="s">
        <v>4250</v>
      </c>
      <c r="H291" s="5" t="s">
        <v>4251</v>
      </c>
      <c r="I291" s="13" t="s">
        <v>4252</v>
      </c>
      <c r="J291" s="5" t="s">
        <v>4146</v>
      </c>
      <c r="K291" s="5" t="s">
        <v>4146</v>
      </c>
      <c r="L291" s="13" t="s">
        <v>4253</v>
      </c>
      <c r="M291" s="13" t="s">
        <v>4254</v>
      </c>
      <c r="N291" s="5" t="n">
        <f aca="false">LEN(L291)</f>
        <v>25</v>
      </c>
      <c r="O291" s="5" t="n">
        <f aca="false">LEN(M291)</f>
        <v>25</v>
      </c>
      <c r="P291" s="14" t="n">
        <f aca="false">IF(N291=0,"",(N291-LEN(SUBSTITUTE(SUBSTITUTE(L291,"G",""),"C","")))/N291)</f>
        <v>0.6</v>
      </c>
      <c r="Q291" s="14" t="n">
        <f aca="false">IF(O291=0,"",(O291-LEN(SUBSTITUTE(SUBSTITUTE(M291,"G",""),"C","")))/O291)</f>
        <v>0.6</v>
      </c>
      <c r="R291" s="5" t="s">
        <v>385</v>
      </c>
      <c r="S291" s="15" t="s">
        <v>1677</v>
      </c>
      <c r="T291" s="5" t="n">
        <v>771</v>
      </c>
      <c r="U291" s="5" t="s">
        <v>1678</v>
      </c>
      <c r="V291" s="5" t="s">
        <v>1191</v>
      </c>
      <c r="W291" s="5" t="s">
        <v>1191</v>
      </c>
      <c r="X291" s="15" t="s">
        <v>1677</v>
      </c>
      <c r="Y291" s="5"/>
    </row>
    <row r="292" customFormat="false" ht="15" hidden="false" customHeight="false" outlineLevel="0" collapsed="false">
      <c r="A292" s="5" t="s">
        <v>4255</v>
      </c>
      <c r="B292" s="5" t="s">
        <v>379</v>
      </c>
      <c r="C292" s="5" t="s">
        <v>380</v>
      </c>
      <c r="D292" s="6" t="s">
        <v>45</v>
      </c>
      <c r="E292" s="5" t="n">
        <v>16</v>
      </c>
      <c r="F292" s="5" t="s">
        <v>4256</v>
      </c>
      <c r="G292" s="13" t="s">
        <v>4257</v>
      </c>
      <c r="H292" s="5" t="s">
        <v>4258</v>
      </c>
      <c r="I292" s="13" t="s">
        <v>4259</v>
      </c>
      <c r="J292" s="5" t="s">
        <v>4146</v>
      </c>
      <c r="K292" s="5" t="s">
        <v>4146</v>
      </c>
      <c r="L292" s="13" t="s">
        <v>4260</v>
      </c>
      <c r="M292" s="13" t="s">
        <v>4261</v>
      </c>
      <c r="N292" s="5" t="n">
        <f aca="false">LEN(L292)</f>
        <v>25</v>
      </c>
      <c r="O292" s="5" t="n">
        <f aca="false">LEN(M292)</f>
        <v>25</v>
      </c>
      <c r="P292" s="14" t="n">
        <f aca="false">IF(N292=0,"",(N292-LEN(SUBSTITUTE(SUBSTITUTE(L292,"G",""),"C","")))/N292)</f>
        <v>0.48</v>
      </c>
      <c r="Q292" s="14" t="n">
        <f aca="false">IF(O292=0,"",(O292-LEN(SUBSTITUTE(SUBSTITUTE(M292,"G",""),"C","")))/O292)</f>
        <v>0.44</v>
      </c>
      <c r="R292" s="5" t="s">
        <v>385</v>
      </c>
      <c r="S292" s="8" t="s">
        <v>1769</v>
      </c>
      <c r="T292" s="5" t="n">
        <v>851</v>
      </c>
      <c r="U292" s="5" t="s">
        <v>4197</v>
      </c>
      <c r="V292" s="5" t="s">
        <v>1191</v>
      </c>
      <c r="W292" s="5" t="s">
        <v>1191</v>
      </c>
      <c r="X292" s="15" t="s">
        <v>1677</v>
      </c>
      <c r="Y292" s="8" t="s">
        <v>3168</v>
      </c>
    </row>
    <row r="293" customFormat="false" ht="15" hidden="false" customHeight="false" outlineLevel="0" collapsed="false">
      <c r="A293" s="5" t="s">
        <v>4262</v>
      </c>
      <c r="B293" s="5" t="s">
        <v>379</v>
      </c>
      <c r="C293" s="5" t="s">
        <v>380</v>
      </c>
      <c r="D293" s="6" t="s">
        <v>45</v>
      </c>
      <c r="E293" s="5" t="n">
        <v>17</v>
      </c>
      <c r="F293" s="5" t="s">
        <v>4263</v>
      </c>
      <c r="G293" s="13" t="s">
        <v>4264</v>
      </c>
      <c r="H293" s="5" t="s">
        <v>4265</v>
      </c>
      <c r="I293" s="13" t="s">
        <v>4266</v>
      </c>
      <c r="J293" s="5" t="s">
        <v>4146</v>
      </c>
      <c r="K293" s="5" t="s">
        <v>4146</v>
      </c>
      <c r="L293" s="13" t="s">
        <v>4267</v>
      </c>
      <c r="M293" s="13" t="s">
        <v>4268</v>
      </c>
      <c r="N293" s="5" t="n">
        <f aca="false">LEN(L293)</f>
        <v>25</v>
      </c>
      <c r="O293" s="5" t="n">
        <f aca="false">LEN(M293)</f>
        <v>25</v>
      </c>
      <c r="P293" s="14" t="n">
        <f aca="false">IF(N293=0,"",(N293-LEN(SUBSTITUTE(SUBSTITUTE(L293,"G",""),"C","")))/N293)</f>
        <v>0.56</v>
      </c>
      <c r="Q293" s="14" t="n">
        <f aca="false">IF(O293=0,"",(O293-LEN(SUBSTITUTE(SUBSTITUTE(M293,"G",""),"C","")))/O293)</f>
        <v>0.72</v>
      </c>
      <c r="R293" s="5" t="s">
        <v>385</v>
      </c>
      <c r="S293" s="15" t="s">
        <v>1677</v>
      </c>
      <c r="T293" s="5" t="n">
        <v>931</v>
      </c>
      <c r="U293" s="5" t="s">
        <v>1678</v>
      </c>
      <c r="V293" s="5" t="s">
        <v>1191</v>
      </c>
      <c r="W293" s="5" t="s">
        <v>1191</v>
      </c>
      <c r="X293" s="15" t="s">
        <v>1677</v>
      </c>
      <c r="Y293" s="5"/>
    </row>
    <row r="294" customFormat="false" ht="15" hidden="false" customHeight="false" outlineLevel="0" collapsed="false">
      <c r="A294" s="5" t="s">
        <v>4269</v>
      </c>
      <c r="B294" s="5" t="s">
        <v>379</v>
      </c>
      <c r="C294" s="5" t="s">
        <v>380</v>
      </c>
      <c r="D294" s="6" t="s">
        <v>45</v>
      </c>
      <c r="E294" s="5" t="n">
        <v>18</v>
      </c>
      <c r="F294" s="5" t="s">
        <v>4270</v>
      </c>
      <c r="G294" s="13" t="s">
        <v>4271</v>
      </c>
      <c r="H294" s="5" t="s">
        <v>4272</v>
      </c>
      <c r="I294" s="13" t="s">
        <v>4273</v>
      </c>
      <c r="J294" s="5" t="s">
        <v>4146</v>
      </c>
      <c r="K294" s="5" t="s">
        <v>4146</v>
      </c>
      <c r="L294" s="13" t="s">
        <v>4274</v>
      </c>
      <c r="M294" s="13" t="s">
        <v>4275</v>
      </c>
      <c r="N294" s="5" t="n">
        <f aca="false">LEN(L294)</f>
        <v>25</v>
      </c>
      <c r="O294" s="5" t="n">
        <f aca="false">LEN(M294)</f>
        <v>25</v>
      </c>
      <c r="P294" s="14" t="n">
        <f aca="false">IF(N294=0,"",(N294-LEN(SUBSTITUTE(SUBSTITUTE(L294,"G",""),"C","")))/N294)</f>
        <v>0.8</v>
      </c>
      <c r="Q294" s="14" t="n">
        <f aca="false">IF(O294=0,"",(O294-LEN(SUBSTITUTE(SUBSTITUTE(M294,"G",""),"C","")))/O294)</f>
        <v>0.56</v>
      </c>
      <c r="R294" s="5" t="s">
        <v>385</v>
      </c>
      <c r="S294" s="15" t="s">
        <v>1677</v>
      </c>
      <c r="T294" s="5" t="n">
        <v>1011</v>
      </c>
      <c r="U294" s="5" t="s">
        <v>1678</v>
      </c>
      <c r="V294" s="5" t="s">
        <v>1191</v>
      </c>
      <c r="W294" s="5" t="s">
        <v>1191</v>
      </c>
      <c r="X294" s="15" t="s">
        <v>1677</v>
      </c>
      <c r="Y294" s="5"/>
    </row>
    <row r="295" customFormat="false" ht="15" hidden="false" customHeight="false" outlineLevel="0" collapsed="false">
      <c r="A295" s="5" t="s">
        <v>4276</v>
      </c>
      <c r="B295" s="5" t="s">
        <v>379</v>
      </c>
      <c r="C295" s="5" t="s">
        <v>380</v>
      </c>
      <c r="D295" s="6" t="s">
        <v>45</v>
      </c>
      <c r="E295" s="5" t="n">
        <v>19</v>
      </c>
      <c r="F295" s="5" t="s">
        <v>4277</v>
      </c>
      <c r="G295" s="13" t="s">
        <v>4278</v>
      </c>
      <c r="H295" s="5" t="s">
        <v>4279</v>
      </c>
      <c r="I295" s="13" t="s">
        <v>4280</v>
      </c>
      <c r="J295" s="5" t="s">
        <v>4146</v>
      </c>
      <c r="K295" s="5" t="s">
        <v>4146</v>
      </c>
      <c r="L295" s="13" t="s">
        <v>4281</v>
      </c>
      <c r="M295" s="13" t="s">
        <v>4282</v>
      </c>
      <c r="N295" s="5" t="n">
        <f aca="false">LEN(L295)</f>
        <v>25</v>
      </c>
      <c r="O295" s="5" t="n">
        <f aca="false">LEN(M295)</f>
        <v>25</v>
      </c>
      <c r="P295" s="14" t="n">
        <f aca="false">IF(N295=0,"",(N295-LEN(SUBSTITUTE(SUBSTITUTE(L295,"G",""),"C","")))/N295)</f>
        <v>0.52</v>
      </c>
      <c r="Q295" s="14" t="n">
        <f aca="false">IF(O295=0,"",(O295-LEN(SUBSTITUTE(SUBSTITUTE(M295,"G",""),"C","")))/O295)</f>
        <v>0.4</v>
      </c>
      <c r="R295" s="5" t="s">
        <v>385</v>
      </c>
      <c r="S295" s="15" t="s">
        <v>1677</v>
      </c>
      <c r="T295" s="5" t="n">
        <v>1101</v>
      </c>
      <c r="U295" s="5" t="s">
        <v>1678</v>
      </c>
      <c r="V295" s="5" t="s">
        <v>1191</v>
      </c>
      <c r="W295" s="5" t="s">
        <v>1191</v>
      </c>
      <c r="X295" s="15" t="s">
        <v>1677</v>
      </c>
      <c r="Y295" s="5"/>
    </row>
    <row r="296" customFormat="false" ht="15" hidden="false" customHeight="false" outlineLevel="0" collapsed="false">
      <c r="A296" s="5" t="s">
        <v>4283</v>
      </c>
      <c r="B296" s="5" t="s">
        <v>379</v>
      </c>
      <c r="C296" s="5" t="s">
        <v>380</v>
      </c>
      <c r="D296" s="6" t="s">
        <v>45</v>
      </c>
      <c r="E296" s="5" t="n">
        <v>20</v>
      </c>
      <c r="F296" s="5" t="s">
        <v>4284</v>
      </c>
      <c r="G296" s="13" t="s">
        <v>4285</v>
      </c>
      <c r="H296" s="5" t="s">
        <v>4286</v>
      </c>
      <c r="I296" s="13" t="s">
        <v>4287</v>
      </c>
      <c r="J296" s="5" t="s">
        <v>4146</v>
      </c>
      <c r="K296" s="5" t="s">
        <v>4146</v>
      </c>
      <c r="L296" s="13" t="s">
        <v>4288</v>
      </c>
      <c r="M296" s="13" t="s">
        <v>4289</v>
      </c>
      <c r="N296" s="5" t="n">
        <f aca="false">LEN(L296)</f>
        <v>25</v>
      </c>
      <c r="O296" s="5" t="n">
        <f aca="false">LEN(M296)</f>
        <v>25</v>
      </c>
      <c r="P296" s="14" t="n">
        <f aca="false">IF(N296=0,"",(N296-LEN(SUBSTITUTE(SUBSTITUTE(L296,"G",""),"C","")))/N296)</f>
        <v>0.48</v>
      </c>
      <c r="Q296" s="14" t="n">
        <f aca="false">IF(O296=0,"",(O296-LEN(SUBSTITUTE(SUBSTITUTE(M296,"G",""),"C","")))/O296)</f>
        <v>0.68</v>
      </c>
      <c r="R296" s="5" t="s">
        <v>385</v>
      </c>
      <c r="S296" s="15" t="s">
        <v>1677</v>
      </c>
      <c r="T296" s="5" t="n">
        <v>1181</v>
      </c>
      <c r="U296" s="5" t="s">
        <v>1678</v>
      </c>
      <c r="V296" s="5" t="s">
        <v>1191</v>
      </c>
      <c r="W296" s="5" t="s">
        <v>1191</v>
      </c>
      <c r="X296" s="15" t="s">
        <v>1677</v>
      </c>
      <c r="Y296" s="5"/>
    </row>
    <row r="297" customFormat="false" ht="15" hidden="false" customHeight="false" outlineLevel="0" collapsed="false">
      <c r="A297" s="5" t="s">
        <v>4290</v>
      </c>
      <c r="B297" s="5" t="s">
        <v>379</v>
      </c>
      <c r="C297" s="5" t="s">
        <v>380</v>
      </c>
      <c r="D297" s="6" t="s">
        <v>45</v>
      </c>
      <c r="E297" s="5" t="n">
        <v>21</v>
      </c>
      <c r="F297" s="5" t="s">
        <v>4291</v>
      </c>
      <c r="G297" s="13" t="s">
        <v>4292</v>
      </c>
      <c r="H297" s="5" t="s">
        <v>4293</v>
      </c>
      <c r="I297" s="13" t="s">
        <v>4294</v>
      </c>
      <c r="J297" s="5" t="s">
        <v>4146</v>
      </c>
      <c r="K297" s="5" t="s">
        <v>4146</v>
      </c>
      <c r="L297" s="13" t="s">
        <v>4295</v>
      </c>
      <c r="M297" s="13" t="s">
        <v>4296</v>
      </c>
      <c r="N297" s="5" t="n">
        <f aca="false">LEN(L297)</f>
        <v>25</v>
      </c>
      <c r="O297" s="5" t="n">
        <f aca="false">LEN(M297)</f>
        <v>25</v>
      </c>
      <c r="P297" s="14" t="n">
        <f aca="false">IF(N297=0,"",(N297-LEN(SUBSTITUTE(SUBSTITUTE(L297,"G",""),"C","")))/N297)</f>
        <v>0.44</v>
      </c>
      <c r="Q297" s="14" t="n">
        <f aca="false">IF(O297=0,"",(O297-LEN(SUBSTITUTE(SUBSTITUTE(M297,"G",""),"C","")))/O297)</f>
        <v>0.6</v>
      </c>
      <c r="R297" s="5"/>
      <c r="S297" s="8" t="s">
        <v>2131</v>
      </c>
      <c r="T297" s="5"/>
      <c r="U297" s="5" t="s">
        <v>4197</v>
      </c>
      <c r="V297" s="5" t="s">
        <v>1191</v>
      </c>
      <c r="W297" s="5" t="s">
        <v>1191</v>
      </c>
      <c r="X297" s="15" t="s">
        <v>1677</v>
      </c>
      <c r="Y297" s="5"/>
    </row>
    <row r="298" customFormat="false" ht="15" hidden="false" customHeight="false" outlineLevel="0" collapsed="false">
      <c r="A298" s="5" t="s">
        <v>4297</v>
      </c>
      <c r="B298" s="5" t="s">
        <v>379</v>
      </c>
      <c r="C298" s="5" t="s">
        <v>380</v>
      </c>
      <c r="D298" s="6" t="s">
        <v>45</v>
      </c>
      <c r="E298" s="5" t="n">
        <v>22</v>
      </c>
      <c r="F298" s="5" t="s">
        <v>4298</v>
      </c>
      <c r="G298" s="13" t="s">
        <v>4299</v>
      </c>
      <c r="H298" s="5" t="s">
        <v>4300</v>
      </c>
      <c r="I298" s="13" t="s">
        <v>4301</v>
      </c>
      <c r="J298" s="5" t="s">
        <v>4146</v>
      </c>
      <c r="K298" s="5" t="s">
        <v>4146</v>
      </c>
      <c r="L298" s="13" t="s">
        <v>4302</v>
      </c>
      <c r="M298" s="13" t="s">
        <v>4303</v>
      </c>
      <c r="N298" s="5" t="n">
        <f aca="false">LEN(L298)</f>
        <v>25</v>
      </c>
      <c r="O298" s="5" t="n">
        <f aca="false">LEN(M298)</f>
        <v>25</v>
      </c>
      <c r="P298" s="14" t="n">
        <f aca="false">IF(N298=0,"",(N298-LEN(SUBSTITUTE(SUBSTITUTE(L298,"G",""),"C","")))/N298)</f>
        <v>0.56</v>
      </c>
      <c r="Q298" s="14" t="n">
        <f aca="false">IF(O298=0,"",(O298-LEN(SUBSTITUTE(SUBSTITUTE(M298,"G",""),"C","")))/O298)</f>
        <v>0.6</v>
      </c>
      <c r="R298" s="5"/>
      <c r="S298" s="8" t="s">
        <v>2131</v>
      </c>
      <c r="T298" s="5"/>
      <c r="U298" s="5" t="s">
        <v>4197</v>
      </c>
      <c r="V298" s="5" t="s">
        <v>1191</v>
      </c>
      <c r="W298" s="5" t="s">
        <v>1191</v>
      </c>
      <c r="X298" s="15" t="s">
        <v>1677</v>
      </c>
      <c r="Y298" s="5"/>
    </row>
    <row r="299" customFormat="false" ht="15" hidden="false" customHeight="false" outlineLevel="0" collapsed="false">
      <c r="A299" s="5" t="s">
        <v>4304</v>
      </c>
      <c r="B299" s="5" t="s">
        <v>379</v>
      </c>
      <c r="C299" s="5" t="s">
        <v>380</v>
      </c>
      <c r="D299" s="6" t="s">
        <v>45</v>
      </c>
      <c r="E299" s="5" t="n">
        <v>23</v>
      </c>
      <c r="F299" s="5" t="s">
        <v>4305</v>
      </c>
      <c r="G299" s="13" t="s">
        <v>4306</v>
      </c>
      <c r="H299" s="5" t="s">
        <v>4307</v>
      </c>
      <c r="I299" s="13" t="s">
        <v>4308</v>
      </c>
      <c r="J299" s="5" t="s">
        <v>4146</v>
      </c>
      <c r="K299" s="5" t="s">
        <v>4146</v>
      </c>
      <c r="L299" s="13" t="s">
        <v>4309</v>
      </c>
      <c r="M299" s="13" t="s">
        <v>4310</v>
      </c>
      <c r="N299" s="5" t="n">
        <f aca="false">LEN(L299)</f>
        <v>25</v>
      </c>
      <c r="O299" s="5" t="n">
        <f aca="false">LEN(M299)</f>
        <v>25</v>
      </c>
      <c r="P299" s="14" t="n">
        <f aca="false">IF(N299=0,"",(N299-LEN(SUBSTITUTE(SUBSTITUTE(L299,"G",""),"C","")))/N299)</f>
        <v>0.76</v>
      </c>
      <c r="Q299" s="14" t="n">
        <f aca="false">IF(O299=0,"",(O299-LEN(SUBSTITUTE(SUBSTITUTE(M299,"G",""),"C","")))/O299)</f>
        <v>0.72</v>
      </c>
      <c r="R299" s="5"/>
      <c r="S299" s="8" t="s">
        <v>2131</v>
      </c>
      <c r="T299" s="5"/>
      <c r="U299" s="5" t="s">
        <v>4197</v>
      </c>
      <c r="V299" s="5" t="s">
        <v>1191</v>
      </c>
      <c r="W299" s="5" t="s">
        <v>1191</v>
      </c>
      <c r="X299" s="15" t="s">
        <v>1677</v>
      </c>
      <c r="Y299" s="5"/>
    </row>
    <row r="300" customFormat="false" ht="15" hidden="false" customHeight="false" outlineLevel="0" collapsed="false">
      <c r="A300" s="5" t="s">
        <v>4311</v>
      </c>
      <c r="B300" s="5" t="s">
        <v>390</v>
      </c>
      <c r="C300" s="5" t="s">
        <v>391</v>
      </c>
      <c r="D300" s="6" t="s">
        <v>45</v>
      </c>
      <c r="E300" s="5" t="n">
        <v>1</v>
      </c>
      <c r="F300" s="5" t="s">
        <v>4312</v>
      </c>
      <c r="G300" s="13" t="s">
        <v>4313</v>
      </c>
      <c r="H300" s="5" t="s">
        <v>4314</v>
      </c>
      <c r="I300" s="13" t="s">
        <v>4315</v>
      </c>
      <c r="J300" s="5" t="s">
        <v>4316</v>
      </c>
      <c r="K300" s="5" t="s">
        <v>4316</v>
      </c>
      <c r="L300" s="13" t="s">
        <v>4317</v>
      </c>
      <c r="M300" s="13" t="s">
        <v>4318</v>
      </c>
      <c r="N300" s="5" t="n">
        <f aca="false">LEN(L300)</f>
        <v>25</v>
      </c>
      <c r="O300" s="5" t="n">
        <f aca="false">LEN(M300)</f>
        <v>25</v>
      </c>
      <c r="P300" s="14" t="n">
        <f aca="false">IF(N300=0,"",(N300-LEN(SUBSTITUTE(SUBSTITUTE(L300,"G",""),"C","")))/N300)</f>
        <v>0.4</v>
      </c>
      <c r="Q300" s="14" t="n">
        <f aca="false">IF(O300=0,"",(O300-LEN(SUBSTITUTE(SUBSTITUTE(M300,"G",""),"C","")))/O300)</f>
        <v>0.48</v>
      </c>
      <c r="R300" s="5" t="s">
        <v>396</v>
      </c>
      <c r="S300" s="15" t="s">
        <v>1677</v>
      </c>
      <c r="T300" s="5" t="n">
        <v>1093</v>
      </c>
      <c r="U300" s="5" t="s">
        <v>1678</v>
      </c>
      <c r="V300" s="5" t="s">
        <v>395</v>
      </c>
      <c r="W300" s="5" t="s">
        <v>395</v>
      </c>
      <c r="X300" s="15" t="s">
        <v>1677</v>
      </c>
      <c r="Y300" s="5"/>
    </row>
    <row r="301" customFormat="false" ht="15" hidden="false" customHeight="false" outlineLevel="0" collapsed="false">
      <c r="A301" s="5" t="s">
        <v>4319</v>
      </c>
      <c r="B301" s="5" t="s">
        <v>390</v>
      </c>
      <c r="C301" s="5" t="s">
        <v>391</v>
      </c>
      <c r="D301" s="6" t="s">
        <v>45</v>
      </c>
      <c r="E301" s="5" t="n">
        <v>2</v>
      </c>
      <c r="F301" s="5" t="s">
        <v>4320</v>
      </c>
      <c r="G301" s="13" t="s">
        <v>4321</v>
      </c>
      <c r="H301" s="5" t="s">
        <v>4322</v>
      </c>
      <c r="I301" s="13" t="s">
        <v>4323</v>
      </c>
      <c r="J301" s="5" t="s">
        <v>4316</v>
      </c>
      <c r="K301" s="5" t="s">
        <v>4316</v>
      </c>
      <c r="L301" s="13" t="s">
        <v>4324</v>
      </c>
      <c r="M301" s="13" t="s">
        <v>4325</v>
      </c>
      <c r="N301" s="5" t="n">
        <f aca="false">LEN(L301)</f>
        <v>25</v>
      </c>
      <c r="O301" s="5" t="n">
        <f aca="false">LEN(M301)</f>
        <v>25</v>
      </c>
      <c r="P301" s="14" t="n">
        <f aca="false">IF(N301=0,"",(N301-LEN(SUBSTITUTE(SUBSTITUTE(L301,"G",""),"C","")))/N301)</f>
        <v>0.4</v>
      </c>
      <c r="Q301" s="14" t="n">
        <f aca="false">IF(O301=0,"",(O301-LEN(SUBSTITUTE(SUBSTITUTE(M301,"G",""),"C","")))/O301)</f>
        <v>0.44</v>
      </c>
      <c r="R301" s="5" t="s">
        <v>396</v>
      </c>
      <c r="S301" s="15" t="s">
        <v>1677</v>
      </c>
      <c r="T301" s="5" t="n">
        <v>1182</v>
      </c>
      <c r="U301" s="5" t="s">
        <v>1678</v>
      </c>
      <c r="V301" s="5" t="s">
        <v>395</v>
      </c>
      <c r="W301" s="5" t="s">
        <v>395</v>
      </c>
      <c r="X301" s="15" t="s">
        <v>1677</v>
      </c>
      <c r="Y301" s="5"/>
    </row>
    <row r="302" customFormat="false" ht="15" hidden="false" customHeight="false" outlineLevel="0" collapsed="false">
      <c r="A302" s="5" t="s">
        <v>4326</v>
      </c>
      <c r="B302" s="5" t="s">
        <v>390</v>
      </c>
      <c r="C302" s="5" t="s">
        <v>391</v>
      </c>
      <c r="D302" s="6" t="s">
        <v>45</v>
      </c>
      <c r="E302" s="5" t="n">
        <v>3</v>
      </c>
      <c r="F302" s="5" t="s">
        <v>4327</v>
      </c>
      <c r="G302" s="13" t="s">
        <v>4328</v>
      </c>
      <c r="H302" s="5" t="s">
        <v>4329</v>
      </c>
      <c r="I302" s="13" t="s">
        <v>4330</v>
      </c>
      <c r="J302" s="5" t="s">
        <v>4316</v>
      </c>
      <c r="K302" s="5" t="s">
        <v>4316</v>
      </c>
      <c r="L302" s="13" t="s">
        <v>4331</v>
      </c>
      <c r="M302" s="13" t="s">
        <v>4332</v>
      </c>
      <c r="N302" s="5" t="n">
        <f aca="false">LEN(L302)</f>
        <v>25</v>
      </c>
      <c r="O302" s="5" t="n">
        <f aca="false">LEN(M302)</f>
        <v>25</v>
      </c>
      <c r="P302" s="14" t="n">
        <f aca="false">IF(N302=0,"",(N302-LEN(SUBSTITUTE(SUBSTITUTE(L302,"G",""),"C","")))/N302)</f>
        <v>0.4</v>
      </c>
      <c r="Q302" s="14" t="n">
        <f aca="false">IF(O302=0,"",(O302-LEN(SUBSTITUTE(SUBSTITUTE(M302,"G",""),"C","")))/O302)</f>
        <v>0.4</v>
      </c>
      <c r="R302" s="5" t="s">
        <v>396</v>
      </c>
      <c r="S302" s="15" t="s">
        <v>1677</v>
      </c>
      <c r="T302" s="5" t="n">
        <v>1331</v>
      </c>
      <c r="U302" s="5" t="s">
        <v>1678</v>
      </c>
      <c r="V302" s="5" t="s">
        <v>395</v>
      </c>
      <c r="W302" s="5" t="s">
        <v>395</v>
      </c>
      <c r="X302" s="15" t="s">
        <v>1677</v>
      </c>
      <c r="Y302" s="5"/>
    </row>
    <row r="303" customFormat="false" ht="15" hidden="false" customHeight="false" outlineLevel="0" collapsed="false">
      <c r="A303" s="5" t="s">
        <v>4333</v>
      </c>
      <c r="B303" s="5" t="s">
        <v>390</v>
      </c>
      <c r="C303" s="5" t="s">
        <v>391</v>
      </c>
      <c r="D303" s="6" t="s">
        <v>45</v>
      </c>
      <c r="E303" s="5" t="n">
        <v>4</v>
      </c>
      <c r="F303" s="5" t="s">
        <v>4334</v>
      </c>
      <c r="G303" s="13" t="s">
        <v>4335</v>
      </c>
      <c r="H303" s="5" t="s">
        <v>4336</v>
      </c>
      <c r="I303" s="13" t="s">
        <v>4337</v>
      </c>
      <c r="J303" s="5" t="s">
        <v>4316</v>
      </c>
      <c r="K303" s="5" t="s">
        <v>4316</v>
      </c>
      <c r="L303" s="13" t="s">
        <v>4338</v>
      </c>
      <c r="M303" s="13" t="s">
        <v>4339</v>
      </c>
      <c r="N303" s="5" t="n">
        <f aca="false">LEN(L303)</f>
        <v>25</v>
      </c>
      <c r="O303" s="5" t="n">
        <f aca="false">LEN(M303)</f>
        <v>25</v>
      </c>
      <c r="P303" s="14" t="n">
        <f aca="false">IF(N303=0,"",(N303-LEN(SUBSTITUTE(SUBSTITUTE(L303,"G",""),"C","")))/N303)</f>
        <v>0.48</v>
      </c>
      <c r="Q303" s="14" t="n">
        <f aca="false">IF(O303=0,"",(O303-LEN(SUBSTITUTE(SUBSTITUTE(M303,"G",""),"C","")))/O303)</f>
        <v>0.4</v>
      </c>
      <c r="R303" s="5" t="s">
        <v>396</v>
      </c>
      <c r="S303" s="15" t="s">
        <v>1677</v>
      </c>
      <c r="T303" s="5" t="n">
        <v>1411</v>
      </c>
      <c r="U303" s="5" t="s">
        <v>1678</v>
      </c>
      <c r="V303" s="5" t="s">
        <v>395</v>
      </c>
      <c r="W303" s="5" t="s">
        <v>395</v>
      </c>
      <c r="X303" s="15" t="s">
        <v>1677</v>
      </c>
      <c r="Y303" s="5"/>
    </row>
    <row r="304" customFormat="false" ht="15" hidden="false" customHeight="false" outlineLevel="0" collapsed="false">
      <c r="A304" s="5" t="s">
        <v>4340</v>
      </c>
      <c r="B304" s="5" t="s">
        <v>390</v>
      </c>
      <c r="C304" s="5" t="s">
        <v>391</v>
      </c>
      <c r="D304" s="6" t="s">
        <v>45</v>
      </c>
      <c r="E304" s="5" t="n">
        <v>5</v>
      </c>
      <c r="F304" s="5" t="s">
        <v>4341</v>
      </c>
      <c r="G304" s="13" t="s">
        <v>4342</v>
      </c>
      <c r="H304" s="5" t="s">
        <v>4343</v>
      </c>
      <c r="I304" s="13" t="s">
        <v>4344</v>
      </c>
      <c r="J304" s="5" t="s">
        <v>4316</v>
      </c>
      <c r="K304" s="5" t="s">
        <v>4316</v>
      </c>
      <c r="L304" s="13" t="s">
        <v>4345</v>
      </c>
      <c r="M304" s="13" t="s">
        <v>4346</v>
      </c>
      <c r="N304" s="5" t="n">
        <f aca="false">LEN(L304)</f>
        <v>25</v>
      </c>
      <c r="O304" s="5" t="n">
        <f aca="false">LEN(M304)</f>
        <v>25</v>
      </c>
      <c r="P304" s="14" t="n">
        <f aca="false">IF(N304=0,"",(N304-LEN(SUBSTITUTE(SUBSTITUTE(L304,"G",""),"C","")))/N304)</f>
        <v>0.4</v>
      </c>
      <c r="Q304" s="14" t="n">
        <f aca="false">IF(O304=0,"",(O304-LEN(SUBSTITUTE(SUBSTITUTE(M304,"G",""),"C","")))/O304)</f>
        <v>0.4</v>
      </c>
      <c r="R304" s="5" t="s">
        <v>396</v>
      </c>
      <c r="S304" s="15" t="s">
        <v>1677</v>
      </c>
      <c r="T304" s="5" t="n">
        <v>1506</v>
      </c>
      <c r="U304" s="5" t="s">
        <v>1678</v>
      </c>
      <c r="V304" s="5" t="s">
        <v>395</v>
      </c>
      <c r="W304" s="5" t="s">
        <v>395</v>
      </c>
      <c r="X304" s="15" t="s">
        <v>1677</v>
      </c>
      <c r="Y304" s="5"/>
    </row>
    <row r="305" customFormat="false" ht="15" hidden="false" customHeight="false" outlineLevel="0" collapsed="false">
      <c r="A305" s="5" t="s">
        <v>4347</v>
      </c>
      <c r="B305" s="5" t="s">
        <v>390</v>
      </c>
      <c r="C305" s="5" t="s">
        <v>391</v>
      </c>
      <c r="D305" s="6" t="s">
        <v>45</v>
      </c>
      <c r="E305" s="5" t="n">
        <v>6</v>
      </c>
      <c r="F305" s="5" t="s">
        <v>4348</v>
      </c>
      <c r="G305" s="13" t="s">
        <v>4349</v>
      </c>
      <c r="H305" s="5" t="s">
        <v>4350</v>
      </c>
      <c r="I305" s="13" t="s">
        <v>4351</v>
      </c>
      <c r="J305" s="5" t="s">
        <v>4316</v>
      </c>
      <c r="K305" s="5" t="s">
        <v>4316</v>
      </c>
      <c r="L305" s="13" t="s">
        <v>4352</v>
      </c>
      <c r="M305" s="13" t="s">
        <v>4353</v>
      </c>
      <c r="N305" s="5" t="n">
        <f aca="false">LEN(L305)</f>
        <v>25</v>
      </c>
      <c r="O305" s="5" t="n">
        <f aca="false">LEN(M305)</f>
        <v>25</v>
      </c>
      <c r="P305" s="14" t="n">
        <f aca="false">IF(N305=0,"",(N305-LEN(SUBSTITUTE(SUBSTITUTE(L305,"G",""),"C","")))/N305)</f>
        <v>0.4</v>
      </c>
      <c r="Q305" s="14" t="n">
        <f aca="false">IF(O305=0,"",(O305-LEN(SUBSTITUTE(SUBSTITUTE(M305,"G",""),"C","")))/O305)</f>
        <v>0.6</v>
      </c>
      <c r="R305" s="5" t="s">
        <v>396</v>
      </c>
      <c r="S305" s="15" t="s">
        <v>1677</v>
      </c>
      <c r="T305" s="5" t="n">
        <v>1606</v>
      </c>
      <c r="U305" s="5" t="s">
        <v>1678</v>
      </c>
      <c r="V305" s="5" t="s">
        <v>395</v>
      </c>
      <c r="W305" s="5" t="s">
        <v>395</v>
      </c>
      <c r="X305" s="15" t="s">
        <v>1677</v>
      </c>
      <c r="Y305" s="5"/>
    </row>
    <row r="306" customFormat="false" ht="15" hidden="false" customHeight="false" outlineLevel="0" collapsed="false">
      <c r="A306" s="5" t="s">
        <v>4354</v>
      </c>
      <c r="B306" s="5" t="s">
        <v>390</v>
      </c>
      <c r="C306" s="5" t="s">
        <v>391</v>
      </c>
      <c r="D306" s="6" t="s">
        <v>45</v>
      </c>
      <c r="E306" s="5" t="n">
        <v>7</v>
      </c>
      <c r="F306" s="5" t="s">
        <v>4355</v>
      </c>
      <c r="G306" s="13" t="s">
        <v>4356</v>
      </c>
      <c r="H306" s="5" t="s">
        <v>4357</v>
      </c>
      <c r="I306" s="13" t="s">
        <v>4358</v>
      </c>
      <c r="J306" s="5" t="s">
        <v>4316</v>
      </c>
      <c r="K306" s="5" t="s">
        <v>4316</v>
      </c>
      <c r="L306" s="13" t="s">
        <v>4359</v>
      </c>
      <c r="M306" s="13" t="s">
        <v>4360</v>
      </c>
      <c r="N306" s="5" t="n">
        <f aca="false">LEN(L306)</f>
        <v>25</v>
      </c>
      <c r="O306" s="5" t="n">
        <f aca="false">LEN(M306)</f>
        <v>25</v>
      </c>
      <c r="P306" s="14" t="n">
        <f aca="false">IF(N306=0,"",(N306-LEN(SUBSTITUTE(SUBSTITUTE(L306,"G",""),"C","")))/N306)</f>
        <v>0.48</v>
      </c>
      <c r="Q306" s="14" t="n">
        <f aca="false">IF(O306=0,"",(O306-LEN(SUBSTITUTE(SUBSTITUTE(M306,"G",""),"C","")))/O306)</f>
        <v>0.44</v>
      </c>
      <c r="R306" s="5" t="s">
        <v>396</v>
      </c>
      <c r="S306" s="15" t="s">
        <v>1677</v>
      </c>
      <c r="T306" s="5" t="n">
        <v>1686</v>
      </c>
      <c r="U306" s="5" t="s">
        <v>1678</v>
      </c>
      <c r="V306" s="5" t="s">
        <v>395</v>
      </c>
      <c r="W306" s="5" t="s">
        <v>395</v>
      </c>
      <c r="X306" s="15" t="s">
        <v>1677</v>
      </c>
      <c r="Y306" s="5"/>
    </row>
    <row r="307" customFormat="false" ht="15" hidden="false" customHeight="false" outlineLevel="0" collapsed="false">
      <c r="A307" s="5" t="s">
        <v>4361</v>
      </c>
      <c r="B307" s="5" t="s">
        <v>390</v>
      </c>
      <c r="C307" s="5" t="s">
        <v>391</v>
      </c>
      <c r="D307" s="6" t="s">
        <v>45</v>
      </c>
      <c r="E307" s="5" t="n">
        <v>8</v>
      </c>
      <c r="F307" s="5" t="s">
        <v>4362</v>
      </c>
      <c r="G307" s="13" t="s">
        <v>4363</v>
      </c>
      <c r="H307" s="5" t="s">
        <v>4364</v>
      </c>
      <c r="I307" s="13" t="s">
        <v>4365</v>
      </c>
      <c r="J307" s="5" t="s">
        <v>4316</v>
      </c>
      <c r="K307" s="5" t="s">
        <v>4316</v>
      </c>
      <c r="L307" s="13" t="s">
        <v>4366</v>
      </c>
      <c r="M307" s="13" t="s">
        <v>4367</v>
      </c>
      <c r="N307" s="5" t="n">
        <f aca="false">LEN(L307)</f>
        <v>25</v>
      </c>
      <c r="O307" s="5" t="n">
        <f aca="false">LEN(M307)</f>
        <v>25</v>
      </c>
      <c r="P307" s="14" t="n">
        <f aca="false">IF(N307=0,"",(N307-LEN(SUBSTITUTE(SUBSTITUTE(L307,"G",""),"C","")))/N307)</f>
        <v>0.68</v>
      </c>
      <c r="Q307" s="14" t="n">
        <f aca="false">IF(O307=0,"",(O307-LEN(SUBSTITUTE(SUBSTITUTE(M307,"G",""),"C","")))/O307)</f>
        <v>0.4</v>
      </c>
      <c r="R307" s="5" t="s">
        <v>396</v>
      </c>
      <c r="S307" s="15" t="s">
        <v>1677</v>
      </c>
      <c r="T307" s="5" t="n">
        <v>1770</v>
      </c>
      <c r="U307" s="5" t="s">
        <v>1678</v>
      </c>
      <c r="V307" s="5" t="s">
        <v>395</v>
      </c>
      <c r="W307" s="5" t="s">
        <v>395</v>
      </c>
      <c r="X307" s="15" t="s">
        <v>1677</v>
      </c>
      <c r="Y307" s="5"/>
    </row>
    <row r="308" customFormat="false" ht="15" hidden="false" customHeight="false" outlineLevel="0" collapsed="false">
      <c r="A308" s="5" t="s">
        <v>4368</v>
      </c>
      <c r="B308" s="5" t="s">
        <v>390</v>
      </c>
      <c r="C308" s="5" t="s">
        <v>391</v>
      </c>
      <c r="D308" s="6" t="s">
        <v>45</v>
      </c>
      <c r="E308" s="5" t="n">
        <v>9</v>
      </c>
      <c r="F308" s="5" t="s">
        <v>4369</v>
      </c>
      <c r="G308" s="13" t="s">
        <v>4370</v>
      </c>
      <c r="H308" s="5" t="s">
        <v>4371</v>
      </c>
      <c r="I308" s="13" t="s">
        <v>4372</v>
      </c>
      <c r="J308" s="5" t="s">
        <v>4316</v>
      </c>
      <c r="K308" s="5" t="s">
        <v>4316</v>
      </c>
      <c r="L308" s="13" t="s">
        <v>4373</v>
      </c>
      <c r="M308" s="13" t="s">
        <v>4374</v>
      </c>
      <c r="N308" s="5" t="n">
        <f aca="false">LEN(L308)</f>
        <v>25</v>
      </c>
      <c r="O308" s="5" t="n">
        <f aca="false">LEN(M308)</f>
        <v>25</v>
      </c>
      <c r="P308" s="14" t="n">
        <f aca="false">IF(N308=0,"",(N308-LEN(SUBSTITUTE(SUBSTITUTE(L308,"G",""),"C","")))/N308)</f>
        <v>0.48</v>
      </c>
      <c r="Q308" s="14" t="n">
        <f aca="false">IF(O308=0,"",(O308-LEN(SUBSTITUTE(SUBSTITUTE(M308,"G",""),"C","")))/O308)</f>
        <v>0.4</v>
      </c>
      <c r="R308" s="5" t="s">
        <v>396</v>
      </c>
      <c r="S308" s="15" t="s">
        <v>1677</v>
      </c>
      <c r="T308" s="5" t="n">
        <v>1857</v>
      </c>
      <c r="U308" s="5" t="s">
        <v>1678</v>
      </c>
      <c r="V308" s="5" t="s">
        <v>395</v>
      </c>
      <c r="W308" s="5" t="s">
        <v>395</v>
      </c>
      <c r="X308" s="15" t="s">
        <v>1677</v>
      </c>
      <c r="Y308" s="5"/>
    </row>
    <row r="309" customFormat="false" ht="15" hidden="false" customHeight="false" outlineLevel="0" collapsed="false">
      <c r="A309" s="5" t="s">
        <v>4375</v>
      </c>
      <c r="B309" s="5" t="s">
        <v>390</v>
      </c>
      <c r="C309" s="5" t="s">
        <v>391</v>
      </c>
      <c r="D309" s="6" t="s">
        <v>45</v>
      </c>
      <c r="E309" s="5" t="n">
        <v>10</v>
      </c>
      <c r="F309" s="5" t="s">
        <v>4376</v>
      </c>
      <c r="G309" s="13" t="s">
        <v>4377</v>
      </c>
      <c r="H309" s="5" t="s">
        <v>4378</v>
      </c>
      <c r="I309" s="13" t="s">
        <v>4379</v>
      </c>
      <c r="J309" s="5" t="s">
        <v>4316</v>
      </c>
      <c r="K309" s="5" t="s">
        <v>4316</v>
      </c>
      <c r="L309" s="13" t="s">
        <v>4380</v>
      </c>
      <c r="M309" s="13" t="s">
        <v>4381</v>
      </c>
      <c r="N309" s="5" t="n">
        <f aca="false">LEN(L309)</f>
        <v>25</v>
      </c>
      <c r="O309" s="5" t="n">
        <f aca="false">LEN(M309)</f>
        <v>25</v>
      </c>
      <c r="P309" s="14" t="n">
        <f aca="false">IF(N309=0,"",(N309-LEN(SUBSTITUTE(SUBSTITUTE(L309,"G",""),"C","")))/N309)</f>
        <v>0.48</v>
      </c>
      <c r="Q309" s="14" t="n">
        <f aca="false">IF(O309=0,"",(O309-LEN(SUBSTITUTE(SUBSTITUTE(M309,"G",""),"C","")))/O309)</f>
        <v>0.44</v>
      </c>
      <c r="R309" s="5" t="s">
        <v>396</v>
      </c>
      <c r="S309" s="15" t="s">
        <v>1677</v>
      </c>
      <c r="T309" s="5" t="n">
        <v>1937</v>
      </c>
      <c r="U309" s="5" t="s">
        <v>1678</v>
      </c>
      <c r="V309" s="5" t="s">
        <v>395</v>
      </c>
      <c r="W309" s="5" t="s">
        <v>395</v>
      </c>
      <c r="X309" s="15" t="s">
        <v>1677</v>
      </c>
      <c r="Y309" s="5"/>
    </row>
    <row r="310" customFormat="false" ht="15" hidden="false" customHeight="false" outlineLevel="0" collapsed="false">
      <c r="A310" s="5" t="s">
        <v>4382</v>
      </c>
      <c r="B310" s="5" t="s">
        <v>400</v>
      </c>
      <c r="C310" s="5" t="s">
        <v>401</v>
      </c>
      <c r="D310" s="6" t="s">
        <v>45</v>
      </c>
      <c r="E310" s="5" t="n">
        <v>1</v>
      </c>
      <c r="F310" s="5" t="s">
        <v>4383</v>
      </c>
      <c r="G310" s="13" t="s">
        <v>4384</v>
      </c>
      <c r="H310" s="5" t="s">
        <v>4385</v>
      </c>
      <c r="I310" s="13" t="s">
        <v>4386</v>
      </c>
      <c r="J310" s="5" t="s">
        <v>4387</v>
      </c>
      <c r="K310" s="5" t="s">
        <v>4388</v>
      </c>
      <c r="L310" s="13" t="s">
        <v>4389</v>
      </c>
      <c r="M310" s="13" t="s">
        <v>4390</v>
      </c>
      <c r="N310" s="5" t="n">
        <f aca="false">LEN(L310)</f>
        <v>25</v>
      </c>
      <c r="O310" s="5" t="n">
        <f aca="false">LEN(M310)</f>
        <v>25</v>
      </c>
      <c r="P310" s="14" t="n">
        <f aca="false">IF(N310=0,"",(N310-LEN(SUBSTITUTE(SUBSTITUTE(L310,"G",""),"C","")))/N310)</f>
        <v>0.76</v>
      </c>
      <c r="Q310" s="14" t="n">
        <f aca="false">IF(O310=0,"",(O310-LEN(SUBSTITUTE(SUBSTITUTE(M310,"G",""),"C","")))/O310)</f>
        <v>0.92</v>
      </c>
      <c r="R310" s="5" t="s">
        <v>405</v>
      </c>
      <c r="S310" s="15" t="s">
        <v>1677</v>
      </c>
      <c r="T310" s="5" t="n">
        <v>146</v>
      </c>
      <c r="U310" s="5" t="s">
        <v>1678</v>
      </c>
      <c r="V310" s="5" t="s">
        <v>47</v>
      </c>
      <c r="W310" s="5"/>
      <c r="X310" s="15" t="s">
        <v>1677</v>
      </c>
      <c r="Y310" s="5"/>
    </row>
    <row r="311" customFormat="false" ht="15" hidden="false" customHeight="false" outlineLevel="0" collapsed="false">
      <c r="A311" s="5" t="s">
        <v>4391</v>
      </c>
      <c r="B311" s="5" t="s">
        <v>400</v>
      </c>
      <c r="C311" s="5" t="s">
        <v>401</v>
      </c>
      <c r="D311" s="6" t="s">
        <v>45</v>
      </c>
      <c r="E311" s="5" t="n">
        <v>2</v>
      </c>
      <c r="F311" s="5" t="s">
        <v>4392</v>
      </c>
      <c r="G311" s="13" t="s">
        <v>4393</v>
      </c>
      <c r="H311" s="5" t="s">
        <v>4394</v>
      </c>
      <c r="I311" s="13" t="s">
        <v>4395</v>
      </c>
      <c r="J311" s="5" t="s">
        <v>4396</v>
      </c>
      <c r="K311" s="5" t="s">
        <v>4397</v>
      </c>
      <c r="L311" s="13" t="s">
        <v>4398</v>
      </c>
      <c r="M311" s="13" t="s">
        <v>4399</v>
      </c>
      <c r="N311" s="5" t="n">
        <f aca="false">LEN(L311)</f>
        <v>25</v>
      </c>
      <c r="O311" s="5" t="n">
        <f aca="false">LEN(M311)</f>
        <v>25</v>
      </c>
      <c r="P311" s="14" t="n">
        <f aca="false">IF(N311=0,"",(N311-LEN(SUBSTITUTE(SUBSTITUTE(L311,"G",""),"C","")))/N311)</f>
        <v>0.76</v>
      </c>
      <c r="Q311" s="14" t="n">
        <f aca="false">IF(O311=0,"",(O311-LEN(SUBSTITUTE(SUBSTITUTE(M311,"G",""),"C","")))/O311)</f>
        <v>0.68</v>
      </c>
      <c r="R311" s="5" t="s">
        <v>405</v>
      </c>
      <c r="S311" s="15" t="s">
        <v>1677</v>
      </c>
      <c r="T311" s="5" t="n">
        <v>216</v>
      </c>
      <c r="U311" s="5" t="s">
        <v>1678</v>
      </c>
      <c r="V311" s="5" t="s">
        <v>47</v>
      </c>
      <c r="W311" s="5"/>
      <c r="X311" s="15" t="s">
        <v>1677</v>
      </c>
      <c r="Y311" s="5"/>
    </row>
    <row r="312" customFormat="false" ht="15" hidden="false" customHeight="false" outlineLevel="0" collapsed="false">
      <c r="A312" s="5" t="s">
        <v>4400</v>
      </c>
      <c r="B312" s="5" t="s">
        <v>400</v>
      </c>
      <c r="C312" s="5" t="s">
        <v>401</v>
      </c>
      <c r="D312" s="6" t="s">
        <v>45</v>
      </c>
      <c r="E312" s="5" t="n">
        <v>3</v>
      </c>
      <c r="F312" s="5" t="s">
        <v>4401</v>
      </c>
      <c r="G312" s="13" t="s">
        <v>4402</v>
      </c>
      <c r="H312" s="5" t="s">
        <v>4403</v>
      </c>
      <c r="I312" s="13" t="s">
        <v>4404</v>
      </c>
      <c r="J312" s="5" t="s">
        <v>4405</v>
      </c>
      <c r="K312" s="5" t="s">
        <v>4406</v>
      </c>
      <c r="L312" s="13" t="s">
        <v>4407</v>
      </c>
      <c r="M312" s="13" t="s">
        <v>4408</v>
      </c>
      <c r="N312" s="5" t="n">
        <f aca="false">LEN(L312)</f>
        <v>25</v>
      </c>
      <c r="O312" s="5" t="n">
        <f aca="false">LEN(M312)</f>
        <v>25</v>
      </c>
      <c r="P312" s="14" t="n">
        <f aca="false">IF(N312=0,"",(N312-LEN(SUBSTITUTE(SUBSTITUTE(L312,"G",""),"C","")))/N312)</f>
        <v>0.72</v>
      </c>
      <c r="Q312" s="14" t="n">
        <f aca="false">IF(O312=0,"",(O312-LEN(SUBSTITUTE(SUBSTITUTE(M312,"G",""),"C","")))/O312)</f>
        <v>0.68</v>
      </c>
      <c r="R312" s="5" t="s">
        <v>405</v>
      </c>
      <c r="S312" s="15" t="s">
        <v>1677</v>
      </c>
      <c r="T312" s="5" t="n">
        <v>286</v>
      </c>
      <c r="U312" s="5" t="s">
        <v>1678</v>
      </c>
      <c r="V312" s="5" t="s">
        <v>47</v>
      </c>
      <c r="W312" s="5"/>
      <c r="X312" s="15" t="s">
        <v>1677</v>
      </c>
      <c r="Y312" s="5"/>
    </row>
    <row r="313" customFormat="false" ht="15" hidden="false" customHeight="false" outlineLevel="0" collapsed="false">
      <c r="A313" s="5" t="s">
        <v>4409</v>
      </c>
      <c r="B313" s="5" t="s">
        <v>400</v>
      </c>
      <c r="C313" s="5" t="s">
        <v>401</v>
      </c>
      <c r="D313" s="6" t="s">
        <v>45</v>
      </c>
      <c r="E313" s="5" t="n">
        <v>4</v>
      </c>
      <c r="F313" s="5" t="s">
        <v>4410</v>
      </c>
      <c r="G313" s="13" t="s">
        <v>4411</v>
      </c>
      <c r="H313" s="5" t="s">
        <v>4412</v>
      </c>
      <c r="I313" s="13" t="s">
        <v>4413</v>
      </c>
      <c r="J313" s="5" t="s">
        <v>4414</v>
      </c>
      <c r="K313" s="5" t="s">
        <v>4415</v>
      </c>
      <c r="L313" s="13" t="s">
        <v>4416</v>
      </c>
      <c r="M313" s="13" t="s">
        <v>4417</v>
      </c>
      <c r="N313" s="5" t="n">
        <f aca="false">LEN(L313)</f>
        <v>25</v>
      </c>
      <c r="O313" s="5" t="n">
        <f aca="false">LEN(M313)</f>
        <v>25</v>
      </c>
      <c r="P313" s="14" t="n">
        <f aca="false">IF(N313=0,"",(N313-LEN(SUBSTITUTE(SUBSTITUTE(L313,"G",""),"C","")))/N313)</f>
        <v>0.72</v>
      </c>
      <c r="Q313" s="14" t="n">
        <f aca="false">IF(O313=0,"",(O313-LEN(SUBSTITUTE(SUBSTITUTE(M313,"G",""),"C","")))/O313)</f>
        <v>0.76</v>
      </c>
      <c r="R313" s="5" t="s">
        <v>405</v>
      </c>
      <c r="S313" s="15" t="s">
        <v>1677</v>
      </c>
      <c r="T313" s="5" t="n">
        <v>356</v>
      </c>
      <c r="U313" s="5" t="s">
        <v>1678</v>
      </c>
      <c r="V313" s="5" t="s">
        <v>47</v>
      </c>
      <c r="W313" s="5"/>
      <c r="X313" s="15" t="s">
        <v>1677</v>
      </c>
      <c r="Y313" s="5"/>
    </row>
    <row r="314" customFormat="false" ht="15" hidden="false" customHeight="false" outlineLevel="0" collapsed="false">
      <c r="A314" s="5" t="s">
        <v>4418</v>
      </c>
      <c r="B314" s="5" t="s">
        <v>400</v>
      </c>
      <c r="C314" s="5" t="s">
        <v>401</v>
      </c>
      <c r="D314" s="6" t="s">
        <v>45</v>
      </c>
      <c r="E314" s="5" t="n">
        <v>5</v>
      </c>
      <c r="F314" s="5" t="s">
        <v>4419</v>
      </c>
      <c r="G314" s="13" t="s">
        <v>4420</v>
      </c>
      <c r="H314" s="5" t="s">
        <v>4421</v>
      </c>
      <c r="I314" s="13" t="s">
        <v>4422</v>
      </c>
      <c r="J314" s="5" t="s">
        <v>4423</v>
      </c>
      <c r="K314" s="5" t="s">
        <v>4424</v>
      </c>
      <c r="L314" s="13" t="s">
        <v>4425</v>
      </c>
      <c r="M314" s="13" t="s">
        <v>4426</v>
      </c>
      <c r="N314" s="5" t="n">
        <f aca="false">LEN(L314)</f>
        <v>25</v>
      </c>
      <c r="O314" s="5" t="n">
        <f aca="false">LEN(M314)</f>
        <v>25</v>
      </c>
      <c r="P314" s="14" t="n">
        <f aca="false">IF(N314=0,"",(N314-LEN(SUBSTITUTE(SUBSTITUTE(L314,"G",""),"C","")))/N314)</f>
        <v>0.6</v>
      </c>
      <c r="Q314" s="14" t="n">
        <f aca="false">IF(O314=0,"",(O314-LEN(SUBSTITUTE(SUBSTITUTE(M314,"G",""),"C","")))/O314)</f>
        <v>0.76</v>
      </c>
      <c r="R314" s="5" t="s">
        <v>405</v>
      </c>
      <c r="S314" s="15" t="s">
        <v>1677</v>
      </c>
      <c r="T314" s="5" t="n">
        <v>426</v>
      </c>
      <c r="U314" s="5" t="s">
        <v>1678</v>
      </c>
      <c r="V314" s="5" t="s">
        <v>47</v>
      </c>
      <c r="W314" s="5"/>
      <c r="X314" s="15" t="s">
        <v>1677</v>
      </c>
      <c r="Y314" s="5"/>
    </row>
    <row r="315" customFormat="false" ht="15" hidden="false" customHeight="false" outlineLevel="0" collapsed="false">
      <c r="A315" s="5" t="s">
        <v>4427</v>
      </c>
      <c r="B315" s="5" t="s">
        <v>400</v>
      </c>
      <c r="C315" s="5" t="s">
        <v>401</v>
      </c>
      <c r="D315" s="6" t="s">
        <v>45</v>
      </c>
      <c r="E315" s="5" t="n">
        <v>6</v>
      </c>
      <c r="F315" s="5" t="s">
        <v>4428</v>
      </c>
      <c r="G315" s="13" t="s">
        <v>4429</v>
      </c>
      <c r="H315" s="5" t="s">
        <v>4430</v>
      </c>
      <c r="I315" s="13" t="s">
        <v>4431</v>
      </c>
      <c r="J315" s="5" t="s">
        <v>4432</v>
      </c>
      <c r="K315" s="5" t="s">
        <v>4433</v>
      </c>
      <c r="L315" s="13" t="s">
        <v>4434</v>
      </c>
      <c r="M315" s="13" t="s">
        <v>4435</v>
      </c>
      <c r="N315" s="5" t="n">
        <f aca="false">LEN(L315)</f>
        <v>25</v>
      </c>
      <c r="O315" s="5" t="n">
        <f aca="false">LEN(M315)</f>
        <v>25</v>
      </c>
      <c r="P315" s="14" t="n">
        <f aca="false">IF(N315=0,"",(N315-LEN(SUBSTITUTE(SUBSTITUTE(L315,"G",""),"C","")))/N315)</f>
        <v>0.6</v>
      </c>
      <c r="Q315" s="14" t="n">
        <f aca="false">IF(O315=0,"",(O315-LEN(SUBSTITUTE(SUBSTITUTE(M315,"G",""),"C","")))/O315)</f>
        <v>0.6</v>
      </c>
      <c r="R315" s="5" t="s">
        <v>405</v>
      </c>
      <c r="S315" s="15" t="s">
        <v>1677</v>
      </c>
      <c r="T315" s="5" t="n">
        <v>496</v>
      </c>
      <c r="U315" s="5" t="s">
        <v>1678</v>
      </c>
      <c r="V315" s="5" t="s">
        <v>47</v>
      </c>
      <c r="W315" s="5"/>
      <c r="X315" s="15" t="s">
        <v>1677</v>
      </c>
      <c r="Y315" s="5"/>
    </row>
    <row r="316" customFormat="false" ht="15" hidden="false" customHeight="false" outlineLevel="0" collapsed="false">
      <c r="A316" s="5" t="s">
        <v>4436</v>
      </c>
      <c r="B316" s="5" t="s">
        <v>408</v>
      </c>
      <c r="C316" s="5" t="s">
        <v>409</v>
      </c>
      <c r="D316" s="6" t="s">
        <v>45</v>
      </c>
      <c r="E316" s="5" t="n">
        <v>1</v>
      </c>
      <c r="F316" s="5" t="s">
        <v>4437</v>
      </c>
      <c r="G316" s="13" t="s">
        <v>4438</v>
      </c>
      <c r="H316" s="5" t="s">
        <v>4439</v>
      </c>
      <c r="I316" s="13" t="s">
        <v>4440</v>
      </c>
      <c r="J316" s="5" t="s">
        <v>4441</v>
      </c>
      <c r="K316" s="5" t="s">
        <v>4442</v>
      </c>
      <c r="L316" s="13" t="s">
        <v>4443</v>
      </c>
      <c r="M316" s="13" t="s">
        <v>4444</v>
      </c>
      <c r="N316" s="5" t="n">
        <f aca="false">LEN(L316)</f>
        <v>25</v>
      </c>
      <c r="O316" s="5" t="n">
        <f aca="false">LEN(M316)</f>
        <v>25</v>
      </c>
      <c r="P316" s="14" t="n">
        <f aca="false">IF(N316=0,"",(N316-LEN(SUBSTITUTE(SUBSTITUTE(L316,"G",""),"C","")))/N316)</f>
        <v>0.88</v>
      </c>
      <c r="Q316" s="14" t="n">
        <f aca="false">IF(O316=0,"",(O316-LEN(SUBSTITUTE(SUBSTITUTE(M316,"G",""),"C","")))/O316)</f>
        <v>0.64</v>
      </c>
      <c r="R316" s="5" t="s">
        <v>412</v>
      </c>
      <c r="S316" s="15" t="s">
        <v>1677</v>
      </c>
      <c r="T316" s="5" t="n">
        <v>6</v>
      </c>
      <c r="U316" s="5" t="s">
        <v>1678</v>
      </c>
      <c r="V316" s="5" t="s">
        <v>47</v>
      </c>
      <c r="W316" s="5"/>
      <c r="X316" s="15" t="s">
        <v>1677</v>
      </c>
      <c r="Y316" s="5"/>
    </row>
    <row r="317" customFormat="false" ht="15" hidden="false" customHeight="false" outlineLevel="0" collapsed="false">
      <c r="A317" s="5" t="s">
        <v>4445</v>
      </c>
      <c r="B317" s="5" t="s">
        <v>408</v>
      </c>
      <c r="C317" s="5" t="s">
        <v>409</v>
      </c>
      <c r="D317" s="6" t="s">
        <v>45</v>
      </c>
      <c r="E317" s="5" t="n">
        <v>2</v>
      </c>
      <c r="F317" s="5" t="s">
        <v>4446</v>
      </c>
      <c r="G317" s="13" t="s">
        <v>4447</v>
      </c>
      <c r="H317" s="5" t="s">
        <v>4448</v>
      </c>
      <c r="I317" s="13" t="s">
        <v>4449</v>
      </c>
      <c r="J317" s="5" t="s">
        <v>4450</v>
      </c>
      <c r="K317" s="5" t="s">
        <v>4451</v>
      </c>
      <c r="L317" s="13" t="s">
        <v>4452</v>
      </c>
      <c r="M317" s="13" t="s">
        <v>4453</v>
      </c>
      <c r="N317" s="5" t="n">
        <f aca="false">LEN(L317)</f>
        <v>25</v>
      </c>
      <c r="O317" s="5" t="n">
        <f aca="false">LEN(M317)</f>
        <v>25</v>
      </c>
      <c r="P317" s="14" t="n">
        <f aca="false">IF(N317=0,"",(N317-LEN(SUBSTITUTE(SUBSTITUTE(L317,"G",""),"C","")))/N317)</f>
        <v>0.6</v>
      </c>
      <c r="Q317" s="14" t="n">
        <f aca="false">IF(O317=0,"",(O317-LEN(SUBSTITUTE(SUBSTITUTE(M317,"G",""),"C","")))/O317)</f>
        <v>0.64</v>
      </c>
      <c r="R317" s="5" t="s">
        <v>412</v>
      </c>
      <c r="S317" s="15" t="s">
        <v>1677</v>
      </c>
      <c r="T317" s="5" t="n">
        <v>76</v>
      </c>
      <c r="U317" s="5" t="s">
        <v>1678</v>
      </c>
      <c r="V317" s="5" t="s">
        <v>47</v>
      </c>
      <c r="W317" s="5"/>
      <c r="X317" s="15" t="s">
        <v>1677</v>
      </c>
      <c r="Y317" s="5"/>
    </row>
    <row r="318" customFormat="false" ht="15" hidden="false" customHeight="false" outlineLevel="0" collapsed="false">
      <c r="A318" s="5" t="s">
        <v>4454</v>
      </c>
      <c r="B318" s="5" t="s">
        <v>408</v>
      </c>
      <c r="C318" s="5" t="s">
        <v>409</v>
      </c>
      <c r="D318" s="6" t="s">
        <v>45</v>
      </c>
      <c r="E318" s="5" t="n">
        <v>3</v>
      </c>
      <c r="F318" s="5" t="s">
        <v>4455</v>
      </c>
      <c r="G318" s="13" t="s">
        <v>4456</v>
      </c>
      <c r="H318" s="5" t="s">
        <v>4457</v>
      </c>
      <c r="I318" s="13" t="s">
        <v>4458</v>
      </c>
      <c r="J318" s="5" t="s">
        <v>4459</v>
      </c>
      <c r="K318" s="5" t="s">
        <v>4460</v>
      </c>
      <c r="L318" s="13" t="s">
        <v>4461</v>
      </c>
      <c r="M318" s="13" t="s">
        <v>4462</v>
      </c>
      <c r="N318" s="5" t="n">
        <f aca="false">LEN(L318)</f>
        <v>25</v>
      </c>
      <c r="O318" s="5" t="n">
        <f aca="false">LEN(M318)</f>
        <v>25</v>
      </c>
      <c r="P318" s="14" t="n">
        <f aca="false">IF(N318=0,"",(N318-LEN(SUBSTITUTE(SUBSTITUTE(L318,"G",""),"C","")))/N318)</f>
        <v>0.56</v>
      </c>
      <c r="Q318" s="14" t="n">
        <f aca="false">IF(O318=0,"",(O318-LEN(SUBSTITUTE(SUBSTITUTE(M318,"G",""),"C","")))/O318)</f>
        <v>0.6</v>
      </c>
      <c r="R318" s="5" t="s">
        <v>412</v>
      </c>
      <c r="S318" s="15" t="s">
        <v>1677</v>
      </c>
      <c r="T318" s="5" t="n">
        <v>146</v>
      </c>
      <c r="U318" s="5" t="s">
        <v>1678</v>
      </c>
      <c r="V318" s="5" t="s">
        <v>47</v>
      </c>
      <c r="W318" s="5"/>
      <c r="X318" s="15" t="s">
        <v>1677</v>
      </c>
      <c r="Y318" s="5"/>
    </row>
    <row r="319" customFormat="false" ht="15" hidden="false" customHeight="false" outlineLevel="0" collapsed="false">
      <c r="A319" s="5" t="s">
        <v>4463</v>
      </c>
      <c r="B319" s="5" t="s">
        <v>414</v>
      </c>
      <c r="C319" s="5" t="s">
        <v>415</v>
      </c>
      <c r="D319" s="6" t="s">
        <v>45</v>
      </c>
      <c r="E319" s="5" t="n">
        <v>1</v>
      </c>
      <c r="F319" s="5" t="s">
        <v>4464</v>
      </c>
      <c r="G319" s="13" t="s">
        <v>4465</v>
      </c>
      <c r="H319" s="5" t="s">
        <v>4466</v>
      </c>
      <c r="I319" s="13" t="s">
        <v>4467</v>
      </c>
      <c r="J319" s="5" t="s">
        <v>4468</v>
      </c>
      <c r="K319" s="5" t="s">
        <v>4469</v>
      </c>
      <c r="L319" s="13" t="s">
        <v>4470</v>
      </c>
      <c r="M319" s="13" t="s">
        <v>4471</v>
      </c>
      <c r="N319" s="5" t="n">
        <f aca="false">LEN(L319)</f>
        <v>25</v>
      </c>
      <c r="O319" s="5" t="n">
        <f aca="false">LEN(M319)</f>
        <v>25</v>
      </c>
      <c r="P319" s="14" t="n">
        <f aca="false">IF(N319=0,"",(N319-LEN(SUBSTITUTE(SUBSTITUTE(L319,"G",""),"C","")))/N319)</f>
        <v>0.4</v>
      </c>
      <c r="Q319" s="14" t="n">
        <f aca="false">IF(O319=0,"",(O319-LEN(SUBSTITUTE(SUBSTITUTE(M319,"G",""),"C","")))/O319)</f>
        <v>0.72</v>
      </c>
      <c r="R319" s="5" t="s">
        <v>420</v>
      </c>
      <c r="S319" s="15" t="s">
        <v>1677</v>
      </c>
      <c r="T319" s="5" t="n">
        <v>216</v>
      </c>
      <c r="U319" s="5" t="s">
        <v>1678</v>
      </c>
      <c r="V319" s="5" t="s">
        <v>154</v>
      </c>
      <c r="W319" s="5"/>
      <c r="X319" s="15" t="s">
        <v>1677</v>
      </c>
      <c r="Y319" s="5"/>
    </row>
    <row r="320" customFormat="false" ht="15" hidden="false" customHeight="false" outlineLevel="0" collapsed="false">
      <c r="A320" s="5" t="s">
        <v>4472</v>
      </c>
      <c r="B320" s="5" t="s">
        <v>414</v>
      </c>
      <c r="C320" s="5" t="s">
        <v>415</v>
      </c>
      <c r="D320" s="6" t="s">
        <v>45</v>
      </c>
      <c r="E320" s="5" t="n">
        <v>2</v>
      </c>
      <c r="F320" s="5" t="s">
        <v>4473</v>
      </c>
      <c r="G320" s="13" t="s">
        <v>4474</v>
      </c>
      <c r="H320" s="5" t="s">
        <v>4475</v>
      </c>
      <c r="I320" s="13" t="s">
        <v>4476</v>
      </c>
      <c r="J320" s="5" t="s">
        <v>4477</v>
      </c>
      <c r="K320" s="5" t="s">
        <v>4478</v>
      </c>
      <c r="L320" s="13" t="s">
        <v>4479</v>
      </c>
      <c r="M320" s="13" t="s">
        <v>4480</v>
      </c>
      <c r="N320" s="5" t="n">
        <f aca="false">LEN(L320)</f>
        <v>25</v>
      </c>
      <c r="O320" s="5" t="n">
        <f aca="false">LEN(M320)</f>
        <v>25</v>
      </c>
      <c r="P320" s="14" t="n">
        <f aca="false">IF(N320=0,"",(N320-LEN(SUBSTITUTE(SUBSTITUTE(L320,"G",""),"C","")))/N320)</f>
        <v>0.44</v>
      </c>
      <c r="Q320" s="14" t="n">
        <f aca="false">IF(O320=0,"",(O320-LEN(SUBSTITUTE(SUBSTITUTE(M320,"G",""),"C","")))/O320)</f>
        <v>0.6</v>
      </c>
      <c r="R320" s="5" t="s">
        <v>420</v>
      </c>
      <c r="S320" s="15" t="s">
        <v>1677</v>
      </c>
      <c r="T320" s="5" t="n">
        <v>286</v>
      </c>
      <c r="U320" s="5" t="s">
        <v>1678</v>
      </c>
      <c r="V320" s="5" t="s">
        <v>154</v>
      </c>
      <c r="W320" s="5"/>
      <c r="X320" s="15" t="s">
        <v>1677</v>
      </c>
      <c r="Y320" s="5"/>
    </row>
    <row r="321" customFormat="false" ht="15" hidden="false" customHeight="false" outlineLevel="0" collapsed="false">
      <c r="A321" s="5" t="s">
        <v>4481</v>
      </c>
      <c r="B321" s="5" t="s">
        <v>414</v>
      </c>
      <c r="C321" s="5" t="s">
        <v>415</v>
      </c>
      <c r="D321" s="6" t="s">
        <v>45</v>
      </c>
      <c r="E321" s="5" t="n">
        <v>3</v>
      </c>
      <c r="F321" s="5" t="s">
        <v>4482</v>
      </c>
      <c r="G321" s="13" t="s">
        <v>4483</v>
      </c>
      <c r="H321" s="5" t="s">
        <v>4484</v>
      </c>
      <c r="I321" s="13" t="s">
        <v>4485</v>
      </c>
      <c r="J321" s="5" t="s">
        <v>4486</v>
      </c>
      <c r="K321" s="5" t="s">
        <v>4487</v>
      </c>
      <c r="L321" s="13" t="s">
        <v>4488</v>
      </c>
      <c r="M321" s="13" t="s">
        <v>4489</v>
      </c>
      <c r="N321" s="5" t="n">
        <f aca="false">LEN(L321)</f>
        <v>25</v>
      </c>
      <c r="O321" s="5" t="n">
        <f aca="false">LEN(M321)</f>
        <v>25</v>
      </c>
      <c r="P321" s="14" t="n">
        <f aca="false">IF(N321=0,"",(N321-LEN(SUBSTITUTE(SUBSTITUTE(L321,"G",""),"C","")))/N321)</f>
        <v>0.36</v>
      </c>
      <c r="Q321" s="14" t="n">
        <f aca="false">IF(O321=0,"",(O321-LEN(SUBSTITUTE(SUBSTITUTE(M321,"G",""),"C","")))/O321)</f>
        <v>0.68</v>
      </c>
      <c r="R321" s="5" t="s">
        <v>420</v>
      </c>
      <c r="S321" s="15" t="s">
        <v>1677</v>
      </c>
      <c r="T321" s="5" t="n">
        <v>356</v>
      </c>
      <c r="U321" s="5" t="s">
        <v>1678</v>
      </c>
      <c r="V321" s="5" t="s">
        <v>154</v>
      </c>
      <c r="W321" s="5"/>
      <c r="X321" s="15" t="s">
        <v>1677</v>
      </c>
      <c r="Y321" s="5"/>
    </row>
    <row r="322" customFormat="false" ht="15" hidden="false" customHeight="false" outlineLevel="0" collapsed="false">
      <c r="A322" s="5" t="s">
        <v>4490</v>
      </c>
      <c r="B322" s="5" t="s">
        <v>414</v>
      </c>
      <c r="C322" s="5" t="s">
        <v>415</v>
      </c>
      <c r="D322" s="6" t="s">
        <v>45</v>
      </c>
      <c r="E322" s="5" t="n">
        <v>4</v>
      </c>
      <c r="F322" s="5" t="s">
        <v>4491</v>
      </c>
      <c r="G322" s="13" t="s">
        <v>4492</v>
      </c>
      <c r="H322" s="5" t="s">
        <v>4493</v>
      </c>
      <c r="I322" s="13" t="s">
        <v>4494</v>
      </c>
      <c r="J322" s="5" t="s">
        <v>4495</v>
      </c>
      <c r="K322" s="5" t="s">
        <v>4496</v>
      </c>
      <c r="L322" s="13" t="s">
        <v>4497</v>
      </c>
      <c r="M322" s="13" t="s">
        <v>4498</v>
      </c>
      <c r="N322" s="5" t="n">
        <f aca="false">LEN(L322)</f>
        <v>25</v>
      </c>
      <c r="O322" s="5" t="n">
        <f aca="false">LEN(M322)</f>
        <v>25</v>
      </c>
      <c r="P322" s="14" t="n">
        <f aca="false">IF(N322=0,"",(N322-LEN(SUBSTITUTE(SUBSTITUTE(L322,"G",""),"C","")))/N322)</f>
        <v>0.4</v>
      </c>
      <c r="Q322" s="14" t="n">
        <f aca="false">IF(O322=0,"",(O322-LEN(SUBSTITUTE(SUBSTITUTE(M322,"G",""),"C","")))/O322)</f>
        <v>0.52</v>
      </c>
      <c r="R322" s="5" t="s">
        <v>420</v>
      </c>
      <c r="S322" s="15" t="s">
        <v>1677</v>
      </c>
      <c r="T322" s="5" t="n">
        <v>426</v>
      </c>
      <c r="U322" s="5" t="s">
        <v>1678</v>
      </c>
      <c r="V322" s="5" t="s">
        <v>154</v>
      </c>
      <c r="W322" s="5"/>
      <c r="X322" s="15" t="s">
        <v>1677</v>
      </c>
      <c r="Y322" s="5"/>
    </row>
    <row r="323" customFormat="false" ht="15" hidden="false" customHeight="false" outlineLevel="0" collapsed="false">
      <c r="A323" s="5" t="s">
        <v>4499</v>
      </c>
      <c r="B323" s="5" t="s">
        <v>414</v>
      </c>
      <c r="C323" s="5" t="s">
        <v>415</v>
      </c>
      <c r="D323" s="6" t="s">
        <v>45</v>
      </c>
      <c r="E323" s="5" t="n">
        <v>5</v>
      </c>
      <c r="F323" s="5" t="s">
        <v>4500</v>
      </c>
      <c r="G323" s="13" t="s">
        <v>4501</v>
      </c>
      <c r="H323" s="5" t="s">
        <v>4502</v>
      </c>
      <c r="I323" s="13" t="s">
        <v>4503</v>
      </c>
      <c r="J323" s="5" t="s">
        <v>4504</v>
      </c>
      <c r="K323" s="5" t="s">
        <v>4505</v>
      </c>
      <c r="L323" s="13" t="s">
        <v>4506</v>
      </c>
      <c r="M323" s="13" t="s">
        <v>4507</v>
      </c>
      <c r="N323" s="5" t="n">
        <f aca="false">LEN(L323)</f>
        <v>25</v>
      </c>
      <c r="O323" s="5" t="n">
        <f aca="false">LEN(M323)</f>
        <v>25</v>
      </c>
      <c r="P323" s="14" t="n">
        <f aca="false">IF(N323=0,"",(N323-LEN(SUBSTITUTE(SUBSTITUTE(L323,"G",""),"C","")))/N323)</f>
        <v>0.72</v>
      </c>
      <c r="Q323" s="14" t="n">
        <f aca="false">IF(O323=0,"",(O323-LEN(SUBSTITUTE(SUBSTITUTE(M323,"G",""),"C","")))/O323)</f>
        <v>0.64</v>
      </c>
      <c r="R323" s="5" t="s">
        <v>420</v>
      </c>
      <c r="S323" s="15" t="s">
        <v>1677</v>
      </c>
      <c r="T323" s="5" t="n">
        <v>496</v>
      </c>
      <c r="U323" s="5" t="s">
        <v>1678</v>
      </c>
      <c r="V323" s="5" t="s">
        <v>154</v>
      </c>
      <c r="W323" s="5"/>
      <c r="X323" s="15" t="s">
        <v>1677</v>
      </c>
      <c r="Y323" s="5"/>
    </row>
    <row r="324" customFormat="false" ht="15" hidden="false" customHeight="false" outlineLevel="0" collapsed="false">
      <c r="A324" s="5" t="s">
        <v>4508</v>
      </c>
      <c r="B324" s="5" t="s">
        <v>424</v>
      </c>
      <c r="C324" s="5" t="s">
        <v>425</v>
      </c>
      <c r="D324" s="6" t="s">
        <v>45</v>
      </c>
      <c r="E324" s="5" t="n">
        <v>1</v>
      </c>
      <c r="F324" s="5" t="s">
        <v>4464</v>
      </c>
      <c r="G324" s="13" t="s">
        <v>4509</v>
      </c>
      <c r="H324" s="5" t="s">
        <v>4466</v>
      </c>
      <c r="I324" s="13" t="s">
        <v>4510</v>
      </c>
      <c r="J324" s="5" t="s">
        <v>4511</v>
      </c>
      <c r="K324" s="5" t="s">
        <v>4512</v>
      </c>
      <c r="L324" s="13" t="s">
        <v>4513</v>
      </c>
      <c r="M324" s="13" t="s">
        <v>4514</v>
      </c>
      <c r="N324" s="5" t="n">
        <f aca="false">LEN(L324)</f>
        <v>25</v>
      </c>
      <c r="O324" s="5" t="n">
        <f aca="false">LEN(M324)</f>
        <v>25</v>
      </c>
      <c r="P324" s="14" t="n">
        <f aca="false">IF(N324=0,"",(N324-LEN(SUBSTITUTE(SUBSTITUTE(L324,"G",""),"C","")))/N324)</f>
        <v>0.36</v>
      </c>
      <c r="Q324" s="14" t="n">
        <f aca="false">IF(O324=0,"",(O324-LEN(SUBSTITUTE(SUBSTITUTE(M324,"G",""),"C","")))/O324)</f>
        <v>0.4</v>
      </c>
      <c r="R324" s="5" t="s">
        <v>430</v>
      </c>
      <c r="S324" s="15" t="s">
        <v>1677</v>
      </c>
      <c r="T324" s="5" t="n">
        <v>286</v>
      </c>
      <c r="U324" s="5" t="s">
        <v>1678</v>
      </c>
      <c r="V324" s="5" t="s">
        <v>154</v>
      </c>
      <c r="W324" s="5"/>
      <c r="X324" s="15" t="s">
        <v>1677</v>
      </c>
      <c r="Y324" s="5"/>
    </row>
    <row r="325" customFormat="false" ht="15" hidden="false" customHeight="false" outlineLevel="0" collapsed="false">
      <c r="A325" s="5" t="s">
        <v>4515</v>
      </c>
      <c r="B325" s="5" t="s">
        <v>424</v>
      </c>
      <c r="C325" s="5" t="s">
        <v>425</v>
      </c>
      <c r="D325" s="6" t="s">
        <v>45</v>
      </c>
      <c r="E325" s="5" t="n">
        <v>2</v>
      </c>
      <c r="F325" s="5" t="s">
        <v>4473</v>
      </c>
      <c r="G325" s="13" t="s">
        <v>4516</v>
      </c>
      <c r="H325" s="5" t="s">
        <v>4475</v>
      </c>
      <c r="I325" s="13" t="s">
        <v>4517</v>
      </c>
      <c r="J325" s="5" t="s">
        <v>4518</v>
      </c>
      <c r="K325" s="5" t="s">
        <v>4519</v>
      </c>
      <c r="L325" s="13" t="s">
        <v>4520</v>
      </c>
      <c r="M325" s="13" t="s">
        <v>4521</v>
      </c>
      <c r="N325" s="5" t="n">
        <f aca="false">LEN(L325)</f>
        <v>25</v>
      </c>
      <c r="O325" s="5" t="n">
        <f aca="false">LEN(M325)</f>
        <v>25</v>
      </c>
      <c r="P325" s="14" t="n">
        <f aca="false">IF(N325=0,"",(N325-LEN(SUBSTITUTE(SUBSTITUTE(L325,"G",""),"C","")))/N325)</f>
        <v>0.52</v>
      </c>
      <c r="Q325" s="14" t="n">
        <f aca="false">IF(O325=0,"",(O325-LEN(SUBSTITUTE(SUBSTITUTE(M325,"G",""),"C","")))/O325)</f>
        <v>0.4</v>
      </c>
      <c r="R325" s="5" t="s">
        <v>430</v>
      </c>
      <c r="S325" s="15" t="s">
        <v>1677</v>
      </c>
      <c r="T325" s="5" t="n">
        <v>356</v>
      </c>
      <c r="U325" s="5" t="s">
        <v>1678</v>
      </c>
      <c r="V325" s="5" t="s">
        <v>154</v>
      </c>
      <c r="W325" s="5"/>
      <c r="X325" s="15" t="s">
        <v>1677</v>
      </c>
      <c r="Y325" s="5"/>
    </row>
    <row r="326" customFormat="false" ht="15" hidden="false" customHeight="false" outlineLevel="0" collapsed="false">
      <c r="A326" s="5" t="s">
        <v>4522</v>
      </c>
      <c r="B326" s="5" t="s">
        <v>424</v>
      </c>
      <c r="C326" s="5" t="s">
        <v>425</v>
      </c>
      <c r="D326" s="6" t="s">
        <v>45</v>
      </c>
      <c r="E326" s="5" t="n">
        <v>3</v>
      </c>
      <c r="F326" s="5" t="s">
        <v>4482</v>
      </c>
      <c r="G326" s="13" t="s">
        <v>4523</v>
      </c>
      <c r="H326" s="5" t="s">
        <v>4484</v>
      </c>
      <c r="I326" s="13" t="s">
        <v>4524</v>
      </c>
      <c r="J326" s="5" t="s">
        <v>4525</v>
      </c>
      <c r="K326" s="5" t="s">
        <v>4526</v>
      </c>
      <c r="L326" s="13" t="s">
        <v>4527</v>
      </c>
      <c r="M326" s="13" t="s">
        <v>4528</v>
      </c>
      <c r="N326" s="5" t="n">
        <f aca="false">LEN(L326)</f>
        <v>25</v>
      </c>
      <c r="O326" s="5" t="n">
        <f aca="false">LEN(M326)</f>
        <v>25</v>
      </c>
      <c r="P326" s="14" t="n">
        <f aca="false">IF(N326=0,"",(N326-LEN(SUBSTITUTE(SUBSTITUTE(L326,"G",""),"C","")))/N326)</f>
        <v>0.72</v>
      </c>
      <c r="Q326" s="14" t="n">
        <f aca="false">IF(O326=0,"",(O326-LEN(SUBSTITUTE(SUBSTITUTE(M326,"G",""),"C","")))/O326)</f>
        <v>0.8</v>
      </c>
      <c r="R326" s="5" t="s">
        <v>430</v>
      </c>
      <c r="S326" s="15" t="s">
        <v>1677</v>
      </c>
      <c r="T326" s="5" t="n">
        <v>426</v>
      </c>
      <c r="U326" s="5" t="s">
        <v>1678</v>
      </c>
      <c r="V326" s="5" t="s">
        <v>154</v>
      </c>
      <c r="W326" s="5"/>
      <c r="X326" s="15" t="s">
        <v>1677</v>
      </c>
      <c r="Y326" s="5"/>
    </row>
    <row r="327" customFormat="false" ht="15" hidden="false" customHeight="false" outlineLevel="0" collapsed="false">
      <c r="A327" s="5" t="s">
        <v>4529</v>
      </c>
      <c r="B327" s="5" t="s">
        <v>424</v>
      </c>
      <c r="C327" s="5" t="s">
        <v>425</v>
      </c>
      <c r="D327" s="6" t="s">
        <v>45</v>
      </c>
      <c r="E327" s="5" t="n">
        <v>4</v>
      </c>
      <c r="F327" s="5" t="s">
        <v>4491</v>
      </c>
      <c r="G327" s="13" t="s">
        <v>4530</v>
      </c>
      <c r="H327" s="5" t="s">
        <v>4493</v>
      </c>
      <c r="I327" s="13" t="s">
        <v>4531</v>
      </c>
      <c r="J327" s="5" t="s">
        <v>4532</v>
      </c>
      <c r="K327" s="5" t="s">
        <v>4533</v>
      </c>
      <c r="L327" s="13" t="s">
        <v>4534</v>
      </c>
      <c r="M327" s="13" t="s">
        <v>4535</v>
      </c>
      <c r="N327" s="5" t="n">
        <f aca="false">LEN(L327)</f>
        <v>25</v>
      </c>
      <c r="O327" s="5" t="n">
        <f aca="false">LEN(M327)</f>
        <v>25</v>
      </c>
      <c r="P327" s="14" t="n">
        <f aca="false">IF(N327=0,"",(N327-LEN(SUBSTITUTE(SUBSTITUTE(L327,"G",""),"C","")))/N327)</f>
        <v>0.84</v>
      </c>
      <c r="Q327" s="14" t="n">
        <f aca="false">IF(O327=0,"",(O327-LEN(SUBSTITUTE(SUBSTITUTE(M327,"G",""),"C","")))/O327)</f>
        <v>0.64</v>
      </c>
      <c r="R327" s="5" t="s">
        <v>430</v>
      </c>
      <c r="S327" s="15" t="s">
        <v>1677</v>
      </c>
      <c r="T327" s="5" t="n">
        <v>496</v>
      </c>
      <c r="U327" s="5" t="s">
        <v>1678</v>
      </c>
      <c r="V327" s="5" t="s">
        <v>154</v>
      </c>
      <c r="W327" s="5"/>
      <c r="X327" s="15" t="s">
        <v>1677</v>
      </c>
      <c r="Y327" s="5"/>
    </row>
    <row r="328" customFormat="false" ht="15" hidden="false" customHeight="false" outlineLevel="0" collapsed="false">
      <c r="A328" s="5" t="s">
        <v>4536</v>
      </c>
      <c r="B328" s="5" t="s">
        <v>424</v>
      </c>
      <c r="C328" s="5" t="s">
        <v>425</v>
      </c>
      <c r="D328" s="6" t="s">
        <v>45</v>
      </c>
      <c r="E328" s="5" t="n">
        <v>5</v>
      </c>
      <c r="F328" s="5" t="s">
        <v>4500</v>
      </c>
      <c r="G328" s="13" t="s">
        <v>4537</v>
      </c>
      <c r="H328" s="5" t="s">
        <v>4502</v>
      </c>
      <c r="I328" s="13" t="s">
        <v>4538</v>
      </c>
      <c r="J328" s="5" t="s">
        <v>4539</v>
      </c>
      <c r="K328" s="5" t="s">
        <v>4540</v>
      </c>
      <c r="L328" s="13" t="s">
        <v>4541</v>
      </c>
      <c r="M328" s="13" t="s">
        <v>4542</v>
      </c>
      <c r="N328" s="5" t="n">
        <f aca="false">LEN(L328)</f>
        <v>25</v>
      </c>
      <c r="O328" s="5" t="n">
        <f aca="false">LEN(M328)</f>
        <v>25</v>
      </c>
      <c r="P328" s="14" t="n">
        <f aca="false">IF(N328=0,"",(N328-LEN(SUBSTITUTE(SUBSTITUTE(L328,"G",""),"C","")))/N328)</f>
        <v>0.84</v>
      </c>
      <c r="Q328" s="14" t="n">
        <f aca="false">IF(O328=0,"",(O328-LEN(SUBSTITUTE(SUBSTITUTE(M328,"G",""),"C","")))/O328)</f>
        <v>0.8</v>
      </c>
      <c r="R328" s="5" t="s">
        <v>430</v>
      </c>
      <c r="S328" s="15" t="s">
        <v>1677</v>
      </c>
      <c r="T328" s="5" t="n">
        <v>566</v>
      </c>
      <c r="U328" s="5" t="s">
        <v>1678</v>
      </c>
      <c r="V328" s="5" t="s">
        <v>154</v>
      </c>
      <c r="W328" s="5"/>
      <c r="X328" s="15" t="s">
        <v>1677</v>
      </c>
      <c r="Y328" s="5"/>
    </row>
    <row r="329" customFormat="false" ht="15" hidden="false" customHeight="false" outlineLevel="0" collapsed="false">
      <c r="A329" s="5" t="s">
        <v>4543</v>
      </c>
      <c r="B329" s="5" t="s">
        <v>433</v>
      </c>
      <c r="C329" s="5" t="s">
        <v>434</v>
      </c>
      <c r="D329" s="6" t="s">
        <v>45</v>
      </c>
      <c r="E329" s="5" t="n">
        <v>1</v>
      </c>
      <c r="F329" s="5" t="s">
        <v>4544</v>
      </c>
      <c r="G329" s="13" t="s">
        <v>4545</v>
      </c>
      <c r="H329" s="5" t="s">
        <v>4546</v>
      </c>
      <c r="I329" s="13" t="s">
        <v>4547</v>
      </c>
      <c r="J329" s="5" t="s">
        <v>4548</v>
      </c>
      <c r="K329" s="5" t="s">
        <v>4549</v>
      </c>
      <c r="L329" s="13" t="s">
        <v>4550</v>
      </c>
      <c r="M329" s="13" t="s">
        <v>4551</v>
      </c>
      <c r="N329" s="5" t="n">
        <f aca="false">LEN(L329)</f>
        <v>25</v>
      </c>
      <c r="O329" s="5" t="n">
        <f aca="false">LEN(M329)</f>
        <v>25</v>
      </c>
      <c r="P329" s="14" t="n">
        <f aca="false">IF(N329=0,"",(N329-LEN(SUBSTITUTE(SUBSTITUTE(L329,"G",""),"C","")))/N329)</f>
        <v>0.68</v>
      </c>
      <c r="Q329" s="14" t="n">
        <f aca="false">IF(O329=0,"",(O329-LEN(SUBSTITUTE(SUBSTITUTE(M329,"G",""),"C","")))/O329)</f>
        <v>0.76</v>
      </c>
      <c r="R329" s="5" t="s">
        <v>439</v>
      </c>
      <c r="S329" s="15" t="s">
        <v>1677</v>
      </c>
      <c r="T329" s="5" t="n">
        <v>496</v>
      </c>
      <c r="U329" s="5" t="s">
        <v>1678</v>
      </c>
      <c r="V329" s="5" t="s">
        <v>154</v>
      </c>
      <c r="W329" s="5"/>
      <c r="X329" s="15" t="s">
        <v>1677</v>
      </c>
      <c r="Y329" s="5"/>
    </row>
    <row r="330" customFormat="false" ht="15" hidden="false" customHeight="false" outlineLevel="0" collapsed="false">
      <c r="A330" s="5" t="s">
        <v>4552</v>
      </c>
      <c r="B330" s="5" t="s">
        <v>433</v>
      </c>
      <c r="C330" s="5" t="s">
        <v>434</v>
      </c>
      <c r="D330" s="6" t="s">
        <v>45</v>
      </c>
      <c r="E330" s="5" t="n">
        <v>2</v>
      </c>
      <c r="F330" s="5" t="s">
        <v>4553</v>
      </c>
      <c r="G330" s="13" t="s">
        <v>4554</v>
      </c>
      <c r="H330" s="5" t="s">
        <v>4555</v>
      </c>
      <c r="I330" s="13" t="s">
        <v>4556</v>
      </c>
      <c r="J330" s="5" t="s">
        <v>4557</v>
      </c>
      <c r="K330" s="5" t="s">
        <v>4558</v>
      </c>
      <c r="L330" s="13" t="s">
        <v>4559</v>
      </c>
      <c r="M330" s="13" t="s">
        <v>4560</v>
      </c>
      <c r="N330" s="5" t="n">
        <f aca="false">LEN(L330)</f>
        <v>25</v>
      </c>
      <c r="O330" s="5" t="n">
        <f aca="false">LEN(M330)</f>
        <v>25</v>
      </c>
      <c r="P330" s="14" t="n">
        <f aca="false">IF(N330=0,"",(N330-LEN(SUBSTITUTE(SUBSTITUTE(L330,"G",""),"C","")))/N330)</f>
        <v>0.64</v>
      </c>
      <c r="Q330" s="14" t="n">
        <f aca="false">IF(O330=0,"",(O330-LEN(SUBSTITUTE(SUBSTITUTE(M330,"G",""),"C","")))/O330)</f>
        <v>0.68</v>
      </c>
      <c r="R330" s="5" t="s">
        <v>439</v>
      </c>
      <c r="S330" s="15" t="s">
        <v>1677</v>
      </c>
      <c r="T330" s="5" t="n">
        <v>566</v>
      </c>
      <c r="U330" s="5" t="s">
        <v>1678</v>
      </c>
      <c r="V330" s="5" t="s">
        <v>154</v>
      </c>
      <c r="W330" s="5"/>
      <c r="X330" s="15" t="s">
        <v>1677</v>
      </c>
      <c r="Y330" s="5"/>
    </row>
    <row r="331" customFormat="false" ht="15" hidden="false" customHeight="false" outlineLevel="0" collapsed="false">
      <c r="A331" s="5" t="s">
        <v>4561</v>
      </c>
      <c r="B331" s="5" t="s">
        <v>433</v>
      </c>
      <c r="C331" s="5" t="s">
        <v>434</v>
      </c>
      <c r="D331" s="6" t="s">
        <v>45</v>
      </c>
      <c r="E331" s="5" t="n">
        <v>3</v>
      </c>
      <c r="F331" s="5" t="s">
        <v>4562</v>
      </c>
      <c r="G331" s="13" t="s">
        <v>4563</v>
      </c>
      <c r="H331" s="5" t="s">
        <v>4564</v>
      </c>
      <c r="I331" s="13" t="s">
        <v>4565</v>
      </c>
      <c r="J331" s="5" t="s">
        <v>4566</v>
      </c>
      <c r="K331" s="5" t="s">
        <v>4567</v>
      </c>
      <c r="L331" s="13" t="s">
        <v>4568</v>
      </c>
      <c r="M331" s="13" t="s">
        <v>4569</v>
      </c>
      <c r="N331" s="5" t="n">
        <f aca="false">LEN(L331)</f>
        <v>25</v>
      </c>
      <c r="O331" s="5" t="n">
        <f aca="false">LEN(M331)</f>
        <v>25</v>
      </c>
      <c r="P331" s="14" t="n">
        <f aca="false">IF(N331=0,"",(N331-LEN(SUBSTITUTE(SUBSTITUTE(L331,"G",""),"C","")))/N331)</f>
        <v>0.68</v>
      </c>
      <c r="Q331" s="14" t="n">
        <f aca="false">IF(O331=0,"",(O331-LEN(SUBSTITUTE(SUBSTITUTE(M331,"G",""),"C","")))/O331)</f>
        <v>0.44</v>
      </c>
      <c r="R331" s="5" t="s">
        <v>439</v>
      </c>
      <c r="S331" s="15" t="s">
        <v>1677</v>
      </c>
      <c r="T331" s="5" t="n">
        <v>636</v>
      </c>
      <c r="U331" s="5" t="s">
        <v>1678</v>
      </c>
      <c r="V331" s="5" t="s">
        <v>154</v>
      </c>
      <c r="W331" s="5"/>
      <c r="X331" s="15" t="s">
        <v>1677</v>
      </c>
      <c r="Y331" s="5"/>
    </row>
    <row r="332" customFormat="false" ht="15" hidden="false" customHeight="false" outlineLevel="0" collapsed="false">
      <c r="A332" s="5" t="s">
        <v>4570</v>
      </c>
      <c r="B332" s="5" t="s">
        <v>433</v>
      </c>
      <c r="C332" s="5" t="s">
        <v>434</v>
      </c>
      <c r="D332" s="6" t="s">
        <v>45</v>
      </c>
      <c r="E332" s="5" t="n">
        <v>4</v>
      </c>
      <c r="F332" s="5" t="s">
        <v>4571</v>
      </c>
      <c r="G332" s="13" t="s">
        <v>4572</v>
      </c>
      <c r="H332" s="5" t="s">
        <v>4573</v>
      </c>
      <c r="I332" s="13" t="s">
        <v>4574</v>
      </c>
      <c r="J332" s="5" t="s">
        <v>4575</v>
      </c>
      <c r="K332" s="5" t="s">
        <v>4576</v>
      </c>
      <c r="L332" s="13" t="s">
        <v>4577</v>
      </c>
      <c r="M332" s="13" t="s">
        <v>4578</v>
      </c>
      <c r="N332" s="5" t="n">
        <f aca="false">LEN(L332)</f>
        <v>25</v>
      </c>
      <c r="O332" s="5" t="n">
        <f aca="false">LEN(M332)</f>
        <v>25</v>
      </c>
      <c r="P332" s="14" t="n">
        <f aca="false">IF(N332=0,"",(N332-LEN(SUBSTITUTE(SUBSTITUTE(L332,"G",""),"C","")))/N332)</f>
        <v>0.8</v>
      </c>
      <c r="Q332" s="14" t="n">
        <f aca="false">IF(O332=0,"",(O332-LEN(SUBSTITUTE(SUBSTITUTE(M332,"G",""),"C","")))/O332)</f>
        <v>0.76</v>
      </c>
      <c r="R332" s="5" t="s">
        <v>439</v>
      </c>
      <c r="S332" s="15" t="s">
        <v>1677</v>
      </c>
      <c r="T332" s="5" t="n">
        <v>706</v>
      </c>
      <c r="U332" s="5" t="s">
        <v>1678</v>
      </c>
      <c r="V332" s="5" t="s">
        <v>154</v>
      </c>
      <c r="W332" s="5"/>
      <c r="X332" s="15" t="s">
        <v>1677</v>
      </c>
      <c r="Y332" s="5"/>
    </row>
    <row r="333" customFormat="false" ht="15" hidden="false" customHeight="false" outlineLevel="0" collapsed="false">
      <c r="A333" s="5" t="s">
        <v>4579</v>
      </c>
      <c r="B333" s="5" t="s">
        <v>442</v>
      </c>
      <c r="C333" s="5" t="s">
        <v>443</v>
      </c>
      <c r="D333" s="6" t="s">
        <v>45</v>
      </c>
      <c r="E333" s="5" t="n">
        <v>1</v>
      </c>
      <c r="F333" s="5" t="s">
        <v>4580</v>
      </c>
      <c r="G333" s="13" t="s">
        <v>4581</v>
      </c>
      <c r="H333" s="5" t="s">
        <v>4582</v>
      </c>
      <c r="I333" s="13" t="s">
        <v>4583</v>
      </c>
      <c r="J333" s="5" t="s">
        <v>4584</v>
      </c>
      <c r="K333" s="5" t="s">
        <v>4585</v>
      </c>
      <c r="L333" s="13" t="s">
        <v>4586</v>
      </c>
      <c r="M333" s="13" t="s">
        <v>4587</v>
      </c>
      <c r="N333" s="5" t="n">
        <f aca="false">LEN(L333)</f>
        <v>25</v>
      </c>
      <c r="O333" s="5" t="n">
        <f aca="false">LEN(M333)</f>
        <v>25</v>
      </c>
      <c r="P333" s="14" t="n">
        <f aca="false">IF(N333=0,"",(N333-LEN(SUBSTITUTE(SUBSTITUTE(L333,"G",""),"C","")))/N333)</f>
        <v>0.28</v>
      </c>
      <c r="Q333" s="14" t="n">
        <f aca="false">IF(O333=0,"",(O333-LEN(SUBSTITUTE(SUBSTITUTE(M333,"G",""),"C","")))/O333)</f>
        <v>0.48</v>
      </c>
      <c r="R333" s="5" t="s">
        <v>447</v>
      </c>
      <c r="S333" s="15" t="s">
        <v>1677</v>
      </c>
      <c r="T333" s="5" t="n">
        <v>6</v>
      </c>
      <c r="U333" s="5" t="s">
        <v>1678</v>
      </c>
      <c r="V333" s="5" t="s">
        <v>47</v>
      </c>
      <c r="W333" s="5"/>
      <c r="X333" s="15" t="s">
        <v>1677</v>
      </c>
      <c r="Y333" s="5"/>
    </row>
    <row r="334" customFormat="false" ht="15" hidden="false" customHeight="false" outlineLevel="0" collapsed="false">
      <c r="A334" s="5" t="s">
        <v>4588</v>
      </c>
      <c r="B334" s="5" t="s">
        <v>442</v>
      </c>
      <c r="C334" s="5" t="s">
        <v>443</v>
      </c>
      <c r="D334" s="6" t="s">
        <v>45</v>
      </c>
      <c r="E334" s="5" t="n">
        <v>2</v>
      </c>
      <c r="F334" s="5" t="s">
        <v>4589</v>
      </c>
      <c r="G334" s="13" t="s">
        <v>4590</v>
      </c>
      <c r="H334" s="5" t="s">
        <v>4591</v>
      </c>
      <c r="I334" s="13" t="s">
        <v>4592</v>
      </c>
      <c r="J334" s="5" t="s">
        <v>4593</v>
      </c>
      <c r="K334" s="5" t="s">
        <v>4594</v>
      </c>
      <c r="L334" s="13" t="s">
        <v>4595</v>
      </c>
      <c r="M334" s="13" t="s">
        <v>4596</v>
      </c>
      <c r="N334" s="5" t="n">
        <f aca="false">LEN(L334)</f>
        <v>25</v>
      </c>
      <c r="O334" s="5" t="n">
        <f aca="false">LEN(M334)</f>
        <v>25</v>
      </c>
      <c r="P334" s="14" t="n">
        <f aca="false">IF(N334=0,"",(N334-LEN(SUBSTITUTE(SUBSTITUTE(L334,"G",""),"C","")))/N334)</f>
        <v>0.32</v>
      </c>
      <c r="Q334" s="14" t="n">
        <f aca="false">IF(O334=0,"",(O334-LEN(SUBSTITUTE(SUBSTITUTE(M334,"G",""),"C","")))/O334)</f>
        <v>0.32</v>
      </c>
      <c r="R334" s="5" t="s">
        <v>447</v>
      </c>
      <c r="S334" s="15" t="s">
        <v>1677</v>
      </c>
      <c r="T334" s="5" t="n">
        <v>76</v>
      </c>
      <c r="U334" s="5" t="s">
        <v>1678</v>
      </c>
      <c r="V334" s="5" t="s">
        <v>47</v>
      </c>
      <c r="W334" s="5"/>
      <c r="X334" s="15" t="s">
        <v>1677</v>
      </c>
      <c r="Y334" s="5"/>
    </row>
    <row r="335" customFormat="false" ht="15" hidden="false" customHeight="false" outlineLevel="0" collapsed="false">
      <c r="A335" s="5" t="s">
        <v>4597</v>
      </c>
      <c r="B335" s="5" t="s">
        <v>442</v>
      </c>
      <c r="C335" s="5" t="s">
        <v>443</v>
      </c>
      <c r="D335" s="6" t="s">
        <v>45</v>
      </c>
      <c r="E335" s="5" t="n">
        <v>3</v>
      </c>
      <c r="F335" s="5" t="s">
        <v>4598</v>
      </c>
      <c r="G335" s="13" t="s">
        <v>4599</v>
      </c>
      <c r="H335" s="5" t="s">
        <v>4600</v>
      </c>
      <c r="I335" s="13" t="s">
        <v>4601</v>
      </c>
      <c r="J335" s="5" t="s">
        <v>4602</v>
      </c>
      <c r="K335" s="5" t="s">
        <v>4603</v>
      </c>
      <c r="L335" s="13" t="s">
        <v>4604</v>
      </c>
      <c r="M335" s="13" t="s">
        <v>4605</v>
      </c>
      <c r="N335" s="5" t="n">
        <f aca="false">LEN(L335)</f>
        <v>25</v>
      </c>
      <c r="O335" s="5" t="n">
        <f aca="false">LEN(M335)</f>
        <v>25</v>
      </c>
      <c r="P335" s="14" t="n">
        <f aca="false">IF(N335=0,"",(N335-LEN(SUBSTITUTE(SUBSTITUTE(L335,"G",""),"C","")))/N335)</f>
        <v>0.44</v>
      </c>
      <c r="Q335" s="14" t="n">
        <f aca="false">IF(O335=0,"",(O335-LEN(SUBSTITUTE(SUBSTITUTE(M335,"G",""),"C","")))/O335)</f>
        <v>0.56</v>
      </c>
      <c r="R335" s="5" t="s">
        <v>447</v>
      </c>
      <c r="S335" s="15" t="s">
        <v>1677</v>
      </c>
      <c r="T335" s="5" t="n">
        <v>146</v>
      </c>
      <c r="U335" s="5" t="s">
        <v>1678</v>
      </c>
      <c r="V335" s="5" t="s">
        <v>47</v>
      </c>
      <c r="W335" s="5"/>
      <c r="X335" s="15" t="s">
        <v>1677</v>
      </c>
      <c r="Y335" s="5"/>
    </row>
    <row r="336" customFormat="false" ht="15" hidden="false" customHeight="false" outlineLevel="0" collapsed="false">
      <c r="A336" s="5" t="s">
        <v>4606</v>
      </c>
      <c r="B336" s="5" t="s">
        <v>449</v>
      </c>
      <c r="C336" s="5" t="s">
        <v>450</v>
      </c>
      <c r="D336" s="6" t="s">
        <v>45</v>
      </c>
      <c r="E336" s="5" t="n">
        <v>1</v>
      </c>
      <c r="F336" s="5" t="s">
        <v>4607</v>
      </c>
      <c r="G336" s="13" t="s">
        <v>4608</v>
      </c>
      <c r="H336" s="5" t="s">
        <v>4609</v>
      </c>
      <c r="I336" s="13" t="s">
        <v>4610</v>
      </c>
      <c r="J336" s="5" t="s">
        <v>4611</v>
      </c>
      <c r="K336" s="5" t="s">
        <v>4612</v>
      </c>
      <c r="L336" s="13" t="s">
        <v>4613</v>
      </c>
      <c r="M336" s="13" t="s">
        <v>4614</v>
      </c>
      <c r="N336" s="5" t="n">
        <f aca="false">LEN(L336)</f>
        <v>25</v>
      </c>
      <c r="O336" s="5" t="n">
        <f aca="false">LEN(M336)</f>
        <v>25</v>
      </c>
      <c r="P336" s="14" t="n">
        <f aca="false">IF(N336=0,"",(N336-LEN(SUBSTITUTE(SUBSTITUTE(L336,"G",""),"C","")))/N336)</f>
        <v>0.64</v>
      </c>
      <c r="Q336" s="14" t="n">
        <f aca="false">IF(O336=0,"",(O336-LEN(SUBSTITUTE(SUBSTITUTE(M336,"G",""),"C","")))/O336)</f>
        <v>0.52</v>
      </c>
      <c r="R336" s="5" t="s">
        <v>454</v>
      </c>
      <c r="S336" s="15" t="s">
        <v>1677</v>
      </c>
      <c r="T336" s="5" t="n">
        <v>158</v>
      </c>
      <c r="U336" s="5" t="s">
        <v>1678</v>
      </c>
      <c r="V336" s="5" t="s">
        <v>453</v>
      </c>
      <c r="W336" s="5"/>
      <c r="X336" s="15" t="s">
        <v>1677</v>
      </c>
      <c r="Y336" s="5"/>
    </row>
    <row r="337" customFormat="false" ht="15" hidden="false" customHeight="false" outlineLevel="0" collapsed="false">
      <c r="A337" s="5" t="s">
        <v>4615</v>
      </c>
      <c r="B337" s="5" t="s">
        <v>449</v>
      </c>
      <c r="C337" s="5" t="s">
        <v>450</v>
      </c>
      <c r="D337" s="6" t="s">
        <v>45</v>
      </c>
      <c r="E337" s="5" t="n">
        <v>2</v>
      </c>
      <c r="F337" s="5" t="s">
        <v>4616</v>
      </c>
      <c r="G337" s="13" t="s">
        <v>4617</v>
      </c>
      <c r="H337" s="5" t="s">
        <v>4618</v>
      </c>
      <c r="I337" s="13" t="s">
        <v>4619</v>
      </c>
      <c r="J337" s="5" t="s">
        <v>4620</v>
      </c>
      <c r="K337" s="5" t="s">
        <v>4621</v>
      </c>
      <c r="L337" s="13" t="s">
        <v>4622</v>
      </c>
      <c r="M337" s="13" t="s">
        <v>4623</v>
      </c>
      <c r="N337" s="5" t="n">
        <f aca="false">LEN(L337)</f>
        <v>25</v>
      </c>
      <c r="O337" s="5" t="n">
        <f aca="false">LEN(M337)</f>
        <v>25</v>
      </c>
      <c r="P337" s="14" t="n">
        <f aca="false">IF(N337=0,"",(N337-LEN(SUBSTITUTE(SUBSTITUTE(L337,"G",""),"C","")))/N337)</f>
        <v>0.6</v>
      </c>
      <c r="Q337" s="14" t="n">
        <f aca="false">IF(O337=0,"",(O337-LEN(SUBSTITUTE(SUBSTITUTE(M337,"G",""),"C","")))/O337)</f>
        <v>0.8</v>
      </c>
      <c r="R337" s="5" t="s">
        <v>454</v>
      </c>
      <c r="S337" s="15" t="s">
        <v>1677</v>
      </c>
      <c r="T337" s="5" t="n">
        <v>234</v>
      </c>
      <c r="U337" s="5" t="s">
        <v>1678</v>
      </c>
      <c r="V337" s="5" t="s">
        <v>453</v>
      </c>
      <c r="W337" s="5"/>
      <c r="X337" s="8" t="s">
        <v>1769</v>
      </c>
      <c r="Y337" s="5"/>
    </row>
    <row r="338" customFormat="false" ht="15" hidden="false" customHeight="false" outlineLevel="0" collapsed="false">
      <c r="A338" s="5" t="s">
        <v>4624</v>
      </c>
      <c r="B338" s="5" t="s">
        <v>449</v>
      </c>
      <c r="C338" s="5" t="s">
        <v>450</v>
      </c>
      <c r="D338" s="6" t="s">
        <v>45</v>
      </c>
      <c r="E338" s="5" t="n">
        <v>3</v>
      </c>
      <c r="F338" s="5" t="s">
        <v>4625</v>
      </c>
      <c r="G338" s="13" t="s">
        <v>4626</v>
      </c>
      <c r="H338" s="5" t="s">
        <v>4627</v>
      </c>
      <c r="I338" s="13" t="s">
        <v>4628</v>
      </c>
      <c r="J338" s="5" t="s">
        <v>4629</v>
      </c>
      <c r="K338" s="5" t="s">
        <v>4630</v>
      </c>
      <c r="L338" s="13" t="s">
        <v>4631</v>
      </c>
      <c r="M338" s="13" t="s">
        <v>4632</v>
      </c>
      <c r="N338" s="5" t="n">
        <f aca="false">LEN(L338)</f>
        <v>25</v>
      </c>
      <c r="O338" s="5" t="n">
        <f aca="false">LEN(M338)</f>
        <v>25</v>
      </c>
      <c r="P338" s="14" t="n">
        <f aca="false">IF(N338=0,"",(N338-LEN(SUBSTITUTE(SUBSTITUTE(L338,"G",""),"C","")))/N338)</f>
        <v>0.6</v>
      </c>
      <c r="Q338" s="14" t="n">
        <f aca="false">IF(O338=0,"",(O338-LEN(SUBSTITUTE(SUBSTITUTE(M338,"G",""),"C","")))/O338)</f>
        <v>0.6</v>
      </c>
      <c r="R338" s="5" t="s">
        <v>454</v>
      </c>
      <c r="S338" s="15" t="s">
        <v>1677</v>
      </c>
      <c r="T338" s="5" t="n">
        <v>310</v>
      </c>
      <c r="U338" s="5" t="s">
        <v>1678</v>
      </c>
      <c r="V338" s="5" t="s">
        <v>453</v>
      </c>
      <c r="W338" s="5"/>
      <c r="X338" s="8" t="s">
        <v>1914</v>
      </c>
      <c r="Y338" s="5"/>
    </row>
    <row r="339" customFormat="false" ht="15" hidden="false" customHeight="false" outlineLevel="0" collapsed="false">
      <c r="A339" s="5" t="s">
        <v>4633</v>
      </c>
      <c r="B339" s="5" t="s">
        <v>449</v>
      </c>
      <c r="C339" s="5" t="s">
        <v>450</v>
      </c>
      <c r="D339" s="6" t="s">
        <v>45</v>
      </c>
      <c r="E339" s="5" t="n">
        <v>4</v>
      </c>
      <c r="F339" s="5" t="s">
        <v>4634</v>
      </c>
      <c r="G339" s="13" t="s">
        <v>4635</v>
      </c>
      <c r="H339" s="5" t="s">
        <v>4636</v>
      </c>
      <c r="I339" s="13" t="s">
        <v>4637</v>
      </c>
      <c r="J339" s="5" t="s">
        <v>4638</v>
      </c>
      <c r="K339" s="5" t="s">
        <v>4639</v>
      </c>
      <c r="L339" s="13" t="s">
        <v>4640</v>
      </c>
      <c r="M339" s="13" t="s">
        <v>4641</v>
      </c>
      <c r="N339" s="5" t="n">
        <f aca="false">LEN(L339)</f>
        <v>25</v>
      </c>
      <c r="O339" s="5" t="n">
        <f aca="false">LEN(M339)</f>
        <v>25</v>
      </c>
      <c r="P339" s="14" t="n">
        <f aca="false">IF(N339=0,"",(N339-LEN(SUBSTITUTE(SUBSTITUTE(L339,"G",""),"C","")))/N339)</f>
        <v>0.32</v>
      </c>
      <c r="Q339" s="14" t="n">
        <f aca="false">IF(O339=0,"",(O339-LEN(SUBSTITUTE(SUBSTITUTE(M339,"G",""),"C","")))/O339)</f>
        <v>0.72</v>
      </c>
      <c r="R339" s="5" t="s">
        <v>454</v>
      </c>
      <c r="S339" s="15" t="s">
        <v>1677</v>
      </c>
      <c r="T339" s="5" t="n">
        <v>386</v>
      </c>
      <c r="U339" s="5" t="s">
        <v>1678</v>
      </c>
      <c r="V339" s="5" t="s">
        <v>453</v>
      </c>
      <c r="W339" s="5"/>
      <c r="X339" s="15" t="s">
        <v>1677</v>
      </c>
      <c r="Y339" s="5"/>
    </row>
    <row r="340" customFormat="false" ht="15" hidden="false" customHeight="false" outlineLevel="0" collapsed="false">
      <c r="A340" s="5" t="s">
        <v>4642</v>
      </c>
      <c r="B340" s="5" t="s">
        <v>449</v>
      </c>
      <c r="C340" s="5" t="s">
        <v>450</v>
      </c>
      <c r="D340" s="6" t="s">
        <v>45</v>
      </c>
      <c r="E340" s="5" t="n">
        <v>5</v>
      </c>
      <c r="F340" s="5" t="s">
        <v>4643</v>
      </c>
      <c r="G340" s="13" t="s">
        <v>4644</v>
      </c>
      <c r="H340" s="5" t="s">
        <v>4645</v>
      </c>
      <c r="I340" s="13" t="s">
        <v>4646</v>
      </c>
      <c r="J340" s="5" t="s">
        <v>4647</v>
      </c>
      <c r="K340" s="5" t="s">
        <v>4648</v>
      </c>
      <c r="L340" s="13" t="s">
        <v>4649</v>
      </c>
      <c r="M340" s="13" t="s">
        <v>4650</v>
      </c>
      <c r="N340" s="5" t="n">
        <f aca="false">LEN(L340)</f>
        <v>25</v>
      </c>
      <c r="O340" s="5" t="n">
        <f aca="false">LEN(M340)</f>
        <v>25</v>
      </c>
      <c r="P340" s="14" t="n">
        <f aca="false">IF(N340=0,"",(N340-LEN(SUBSTITUTE(SUBSTITUTE(L340,"G",""),"C","")))/N340)</f>
        <v>0.68</v>
      </c>
      <c r="Q340" s="14" t="n">
        <f aca="false">IF(O340=0,"",(O340-LEN(SUBSTITUTE(SUBSTITUTE(M340,"G",""),"C","")))/O340)</f>
        <v>0.56</v>
      </c>
      <c r="R340" s="5" t="s">
        <v>454</v>
      </c>
      <c r="S340" s="15" t="s">
        <v>1677</v>
      </c>
      <c r="T340" s="5" t="n">
        <v>462</v>
      </c>
      <c r="U340" s="5" t="s">
        <v>1678</v>
      </c>
      <c r="V340" s="5" t="s">
        <v>453</v>
      </c>
      <c r="W340" s="5"/>
      <c r="X340" s="8" t="s">
        <v>1769</v>
      </c>
      <c r="Y340" s="5"/>
    </row>
    <row r="341" customFormat="false" ht="15" hidden="false" customHeight="false" outlineLevel="0" collapsed="false">
      <c r="A341" s="5" t="s">
        <v>4651</v>
      </c>
      <c r="B341" s="5" t="s">
        <v>449</v>
      </c>
      <c r="C341" s="5" t="s">
        <v>450</v>
      </c>
      <c r="D341" s="6" t="s">
        <v>45</v>
      </c>
      <c r="E341" s="5" t="n">
        <v>6</v>
      </c>
      <c r="F341" s="5" t="s">
        <v>4652</v>
      </c>
      <c r="G341" s="13" t="s">
        <v>4653</v>
      </c>
      <c r="H341" s="5" t="s">
        <v>4654</v>
      </c>
      <c r="I341" s="13" t="s">
        <v>4655</v>
      </c>
      <c r="J341" s="5" t="s">
        <v>4656</v>
      </c>
      <c r="K341" s="5" t="s">
        <v>4657</v>
      </c>
      <c r="L341" s="13" t="s">
        <v>4658</v>
      </c>
      <c r="M341" s="13" t="s">
        <v>4659</v>
      </c>
      <c r="N341" s="5" t="n">
        <f aca="false">LEN(L341)</f>
        <v>25</v>
      </c>
      <c r="O341" s="5" t="n">
        <f aca="false">LEN(M341)</f>
        <v>25</v>
      </c>
      <c r="P341" s="14" t="n">
        <f aca="false">IF(N341=0,"",(N341-LEN(SUBSTITUTE(SUBSTITUTE(L341,"G",""),"C","")))/N341)</f>
        <v>0.6</v>
      </c>
      <c r="Q341" s="14" t="n">
        <f aca="false">IF(O341=0,"",(O341-LEN(SUBSTITUTE(SUBSTITUTE(M341,"G",""),"C","")))/O341)</f>
        <v>0.68</v>
      </c>
      <c r="R341" s="5" t="s">
        <v>454</v>
      </c>
      <c r="S341" s="15" t="s">
        <v>1677</v>
      </c>
      <c r="T341" s="5" t="n">
        <v>538</v>
      </c>
      <c r="U341" s="5" t="s">
        <v>1678</v>
      </c>
      <c r="V341" s="5" t="s">
        <v>453</v>
      </c>
      <c r="W341" s="5"/>
      <c r="X341" s="8" t="s">
        <v>2131</v>
      </c>
      <c r="Y341" s="5"/>
    </row>
    <row r="342" customFormat="false" ht="15" hidden="false" customHeight="false" outlineLevel="0" collapsed="false">
      <c r="A342" s="5" t="s">
        <v>4660</v>
      </c>
      <c r="B342" s="5" t="s">
        <v>449</v>
      </c>
      <c r="C342" s="5" t="s">
        <v>450</v>
      </c>
      <c r="D342" s="6" t="s">
        <v>45</v>
      </c>
      <c r="E342" s="5" t="n">
        <v>7</v>
      </c>
      <c r="F342" s="5" t="s">
        <v>4661</v>
      </c>
      <c r="G342" s="13" t="s">
        <v>4662</v>
      </c>
      <c r="H342" s="5" t="s">
        <v>4663</v>
      </c>
      <c r="I342" s="13" t="s">
        <v>4664</v>
      </c>
      <c r="J342" s="5" t="s">
        <v>4665</v>
      </c>
      <c r="K342" s="5" t="s">
        <v>4666</v>
      </c>
      <c r="L342" s="13" t="s">
        <v>4667</v>
      </c>
      <c r="M342" s="13" t="s">
        <v>4668</v>
      </c>
      <c r="N342" s="5" t="n">
        <f aca="false">LEN(L342)</f>
        <v>25</v>
      </c>
      <c r="O342" s="5" t="n">
        <f aca="false">LEN(M342)</f>
        <v>25</v>
      </c>
      <c r="P342" s="14" t="n">
        <f aca="false">IF(N342=0,"",(N342-LEN(SUBSTITUTE(SUBSTITUTE(L342,"G",""),"C","")))/N342)</f>
        <v>0.52</v>
      </c>
      <c r="Q342" s="14" t="n">
        <f aca="false">IF(O342=0,"",(O342-LEN(SUBSTITUTE(SUBSTITUTE(M342,"G",""),"C","")))/O342)</f>
        <v>0.28</v>
      </c>
      <c r="R342" s="5" t="s">
        <v>454</v>
      </c>
      <c r="S342" s="15" t="s">
        <v>1677</v>
      </c>
      <c r="T342" s="5" t="n">
        <v>614</v>
      </c>
      <c r="U342" s="5" t="s">
        <v>1678</v>
      </c>
      <c r="V342" s="5" t="s">
        <v>453</v>
      </c>
      <c r="W342" s="5"/>
      <c r="X342" s="15" t="s">
        <v>1677</v>
      </c>
      <c r="Y342" s="5"/>
    </row>
    <row r="343" customFormat="false" ht="15" hidden="false" customHeight="false" outlineLevel="0" collapsed="false">
      <c r="A343" s="5" t="s">
        <v>4669</v>
      </c>
      <c r="B343" s="5" t="s">
        <v>449</v>
      </c>
      <c r="C343" s="5" t="s">
        <v>450</v>
      </c>
      <c r="D343" s="6" t="s">
        <v>45</v>
      </c>
      <c r="E343" s="5" t="n">
        <v>8</v>
      </c>
      <c r="F343" s="5" t="s">
        <v>4670</v>
      </c>
      <c r="G343" s="13" t="s">
        <v>4671</v>
      </c>
      <c r="H343" s="5" t="s">
        <v>4672</v>
      </c>
      <c r="I343" s="13" t="s">
        <v>4673</v>
      </c>
      <c r="J343" s="5" t="s">
        <v>4674</v>
      </c>
      <c r="K343" s="5" t="s">
        <v>4675</v>
      </c>
      <c r="L343" s="13" t="s">
        <v>4676</v>
      </c>
      <c r="M343" s="13" t="s">
        <v>4677</v>
      </c>
      <c r="N343" s="5" t="n">
        <f aca="false">LEN(L343)</f>
        <v>25</v>
      </c>
      <c r="O343" s="5" t="n">
        <f aca="false">LEN(M343)</f>
        <v>25</v>
      </c>
      <c r="P343" s="14" t="n">
        <f aca="false">IF(N343=0,"",(N343-LEN(SUBSTITUTE(SUBSTITUTE(L343,"G",""),"C","")))/N343)</f>
        <v>0.56</v>
      </c>
      <c r="Q343" s="14" t="n">
        <f aca="false">IF(O343=0,"",(O343-LEN(SUBSTITUTE(SUBSTITUTE(M343,"G",""),"C","")))/O343)</f>
        <v>0.6</v>
      </c>
      <c r="R343" s="5" t="s">
        <v>454</v>
      </c>
      <c r="S343" s="15" t="s">
        <v>1677</v>
      </c>
      <c r="T343" s="5" t="n">
        <v>690</v>
      </c>
      <c r="U343" s="5" t="s">
        <v>1678</v>
      </c>
      <c r="V343" s="5" t="s">
        <v>453</v>
      </c>
      <c r="W343" s="5"/>
      <c r="X343" s="8" t="s">
        <v>1914</v>
      </c>
      <c r="Y343" s="5"/>
    </row>
    <row r="344" customFormat="false" ht="15" hidden="false" customHeight="false" outlineLevel="0" collapsed="false">
      <c r="A344" s="5" t="s">
        <v>4678</v>
      </c>
      <c r="B344" s="5" t="s">
        <v>458</v>
      </c>
      <c r="C344" s="5" t="s">
        <v>459</v>
      </c>
      <c r="D344" s="6" t="s">
        <v>45</v>
      </c>
      <c r="E344" s="5" t="n">
        <v>1</v>
      </c>
      <c r="F344" s="5" t="s">
        <v>4679</v>
      </c>
      <c r="G344" s="13" t="s">
        <v>4680</v>
      </c>
      <c r="H344" s="5" t="s">
        <v>4681</v>
      </c>
      <c r="I344" s="13" t="s">
        <v>4682</v>
      </c>
      <c r="J344" s="5" t="s">
        <v>4683</v>
      </c>
      <c r="K344" s="5" t="s">
        <v>4684</v>
      </c>
      <c r="L344" s="13" t="s">
        <v>4685</v>
      </c>
      <c r="M344" s="13" t="s">
        <v>4686</v>
      </c>
      <c r="N344" s="5" t="n">
        <f aca="false">LEN(L344)</f>
        <v>25</v>
      </c>
      <c r="O344" s="5" t="n">
        <f aca="false">LEN(M344)</f>
        <v>25</v>
      </c>
      <c r="P344" s="14" t="n">
        <f aca="false">IF(N344=0,"",(N344-LEN(SUBSTITUTE(SUBSTITUTE(L344,"G",""),"C","")))/N344)</f>
        <v>0.8</v>
      </c>
      <c r="Q344" s="14" t="n">
        <f aca="false">IF(O344=0,"",(O344-LEN(SUBSTITUTE(SUBSTITUTE(M344,"G",""),"C","")))/O344)</f>
        <v>0.56</v>
      </c>
      <c r="R344" s="5" t="s">
        <v>462</v>
      </c>
      <c r="S344" s="15" t="s">
        <v>1677</v>
      </c>
      <c r="T344" s="5" t="n">
        <v>79</v>
      </c>
      <c r="U344" s="5" t="s">
        <v>1678</v>
      </c>
      <c r="V344" s="5" t="s">
        <v>453</v>
      </c>
      <c r="W344" s="5"/>
      <c r="X344" s="8" t="s">
        <v>1914</v>
      </c>
      <c r="Y344" s="5"/>
    </row>
    <row r="345" customFormat="false" ht="15" hidden="false" customHeight="false" outlineLevel="0" collapsed="false">
      <c r="A345" s="5" t="s">
        <v>4687</v>
      </c>
      <c r="B345" s="5" t="s">
        <v>458</v>
      </c>
      <c r="C345" s="5" t="s">
        <v>459</v>
      </c>
      <c r="D345" s="6" t="s">
        <v>45</v>
      </c>
      <c r="E345" s="5" t="n">
        <v>2</v>
      </c>
      <c r="F345" s="5" t="s">
        <v>4688</v>
      </c>
      <c r="G345" s="13" t="s">
        <v>4689</v>
      </c>
      <c r="H345" s="5" t="s">
        <v>4690</v>
      </c>
      <c r="I345" s="13" t="s">
        <v>4691</v>
      </c>
      <c r="J345" s="5" t="s">
        <v>4692</v>
      </c>
      <c r="K345" s="5" t="s">
        <v>4693</v>
      </c>
      <c r="L345" s="13" t="s">
        <v>4694</v>
      </c>
      <c r="M345" s="13" t="s">
        <v>4695</v>
      </c>
      <c r="N345" s="5" t="n">
        <f aca="false">LEN(L345)</f>
        <v>25</v>
      </c>
      <c r="O345" s="5" t="n">
        <f aca="false">LEN(M345)</f>
        <v>25</v>
      </c>
      <c r="P345" s="14" t="n">
        <f aca="false">IF(N345=0,"",(N345-LEN(SUBSTITUTE(SUBSTITUTE(L345,"G",""),"C","")))/N345)</f>
        <v>0.48</v>
      </c>
      <c r="Q345" s="14" t="n">
        <f aca="false">IF(O345=0,"",(O345-LEN(SUBSTITUTE(SUBSTITUTE(M345,"G",""),"C","")))/O345)</f>
        <v>0.56</v>
      </c>
      <c r="R345" s="5" t="s">
        <v>462</v>
      </c>
      <c r="S345" s="15" t="s">
        <v>1677</v>
      </c>
      <c r="T345" s="5" t="n">
        <v>152</v>
      </c>
      <c r="U345" s="5" t="s">
        <v>1678</v>
      </c>
      <c r="V345" s="5" t="s">
        <v>453</v>
      </c>
      <c r="W345" s="5"/>
      <c r="X345" s="15" t="s">
        <v>1677</v>
      </c>
      <c r="Y345" s="5"/>
    </row>
    <row r="346" customFormat="false" ht="15" hidden="false" customHeight="false" outlineLevel="0" collapsed="false">
      <c r="A346" s="5" t="s">
        <v>4696</v>
      </c>
      <c r="B346" s="5" t="s">
        <v>458</v>
      </c>
      <c r="C346" s="5" t="s">
        <v>459</v>
      </c>
      <c r="D346" s="6" t="s">
        <v>45</v>
      </c>
      <c r="E346" s="5" t="n">
        <v>3</v>
      </c>
      <c r="F346" s="5" t="s">
        <v>4697</v>
      </c>
      <c r="G346" s="13" t="s">
        <v>4698</v>
      </c>
      <c r="H346" s="5" t="s">
        <v>4699</v>
      </c>
      <c r="I346" s="13" t="s">
        <v>4700</v>
      </c>
      <c r="J346" s="5" t="s">
        <v>4701</v>
      </c>
      <c r="K346" s="5" t="s">
        <v>4702</v>
      </c>
      <c r="L346" s="13" t="s">
        <v>4703</v>
      </c>
      <c r="M346" s="13" t="s">
        <v>4704</v>
      </c>
      <c r="N346" s="5" t="n">
        <f aca="false">LEN(L346)</f>
        <v>25</v>
      </c>
      <c r="O346" s="5" t="n">
        <f aca="false">LEN(M346)</f>
        <v>25</v>
      </c>
      <c r="P346" s="14" t="n">
        <f aca="false">IF(N346=0,"",(N346-LEN(SUBSTITUTE(SUBSTITUTE(L346,"G",""),"C","")))/N346)</f>
        <v>0.64</v>
      </c>
      <c r="Q346" s="14" t="n">
        <f aca="false">IF(O346=0,"",(O346-LEN(SUBSTITUTE(SUBSTITUTE(M346,"G",""),"C","")))/O346)</f>
        <v>0.56</v>
      </c>
      <c r="R346" s="5" t="s">
        <v>462</v>
      </c>
      <c r="S346" s="15" t="s">
        <v>1677</v>
      </c>
      <c r="T346" s="5" t="n">
        <v>225</v>
      </c>
      <c r="U346" s="5" t="s">
        <v>1678</v>
      </c>
      <c r="V346" s="5" t="s">
        <v>453</v>
      </c>
      <c r="W346" s="5"/>
      <c r="X346" s="15" t="s">
        <v>1677</v>
      </c>
      <c r="Y346" s="5"/>
    </row>
    <row r="347" customFormat="false" ht="15" hidden="false" customHeight="false" outlineLevel="0" collapsed="false">
      <c r="A347" s="5" t="s">
        <v>4705</v>
      </c>
      <c r="B347" s="5" t="s">
        <v>458</v>
      </c>
      <c r="C347" s="5" t="s">
        <v>459</v>
      </c>
      <c r="D347" s="6" t="s">
        <v>45</v>
      </c>
      <c r="E347" s="5" t="n">
        <v>4</v>
      </c>
      <c r="F347" s="5" t="s">
        <v>4706</v>
      </c>
      <c r="G347" s="13" t="s">
        <v>4707</v>
      </c>
      <c r="H347" s="5" t="s">
        <v>4708</v>
      </c>
      <c r="I347" s="13" t="s">
        <v>4709</v>
      </c>
      <c r="J347" s="5" t="s">
        <v>4710</v>
      </c>
      <c r="K347" s="5" t="s">
        <v>4711</v>
      </c>
      <c r="L347" s="13" t="s">
        <v>4712</v>
      </c>
      <c r="M347" s="13" t="s">
        <v>4713</v>
      </c>
      <c r="N347" s="5" t="n">
        <f aca="false">LEN(L347)</f>
        <v>25</v>
      </c>
      <c r="O347" s="5" t="n">
        <f aca="false">LEN(M347)</f>
        <v>25</v>
      </c>
      <c r="P347" s="14" t="n">
        <f aca="false">IF(N347=0,"",(N347-LEN(SUBSTITUTE(SUBSTITUTE(L347,"G",""),"C","")))/N347)</f>
        <v>0.48</v>
      </c>
      <c r="Q347" s="14" t="n">
        <f aca="false">IF(O347=0,"",(O347-LEN(SUBSTITUTE(SUBSTITUTE(M347,"G",""),"C","")))/O347)</f>
        <v>0.52</v>
      </c>
      <c r="R347" s="5" t="s">
        <v>462</v>
      </c>
      <c r="S347" s="15" t="s">
        <v>1677</v>
      </c>
      <c r="T347" s="5" t="n">
        <v>298</v>
      </c>
      <c r="U347" s="5" t="s">
        <v>1678</v>
      </c>
      <c r="V347" s="5" t="s">
        <v>453</v>
      </c>
      <c r="W347" s="5"/>
      <c r="X347" s="15" t="s">
        <v>1677</v>
      </c>
      <c r="Y347" s="5"/>
    </row>
    <row r="348" customFormat="false" ht="15" hidden="false" customHeight="false" outlineLevel="0" collapsed="false">
      <c r="A348" s="5" t="s">
        <v>4714</v>
      </c>
      <c r="B348" s="5" t="s">
        <v>458</v>
      </c>
      <c r="C348" s="5" t="s">
        <v>459</v>
      </c>
      <c r="D348" s="6" t="s">
        <v>45</v>
      </c>
      <c r="E348" s="5" t="n">
        <v>5</v>
      </c>
      <c r="F348" s="5" t="s">
        <v>4715</v>
      </c>
      <c r="G348" s="13" t="s">
        <v>4716</v>
      </c>
      <c r="H348" s="5" t="s">
        <v>4717</v>
      </c>
      <c r="I348" s="13" t="s">
        <v>4718</v>
      </c>
      <c r="J348" s="5" t="s">
        <v>4719</v>
      </c>
      <c r="K348" s="5" t="s">
        <v>4720</v>
      </c>
      <c r="L348" s="13" t="s">
        <v>4721</v>
      </c>
      <c r="M348" s="13" t="s">
        <v>4722</v>
      </c>
      <c r="N348" s="5" t="n">
        <f aca="false">LEN(L348)</f>
        <v>25</v>
      </c>
      <c r="O348" s="5" t="n">
        <f aca="false">LEN(M348)</f>
        <v>25</v>
      </c>
      <c r="P348" s="14" t="n">
        <f aca="false">IF(N348=0,"",(N348-LEN(SUBSTITUTE(SUBSTITUTE(L348,"G",""),"C","")))/N348)</f>
        <v>0.64</v>
      </c>
      <c r="Q348" s="14" t="n">
        <f aca="false">IF(O348=0,"",(O348-LEN(SUBSTITUTE(SUBSTITUTE(M348,"G",""),"C","")))/O348)</f>
        <v>0.6</v>
      </c>
      <c r="R348" s="5" t="s">
        <v>462</v>
      </c>
      <c r="S348" s="15" t="s">
        <v>1677</v>
      </c>
      <c r="T348" s="5" t="n">
        <v>371</v>
      </c>
      <c r="U348" s="5" t="s">
        <v>1678</v>
      </c>
      <c r="V348" s="5" t="s">
        <v>453</v>
      </c>
      <c r="W348" s="5"/>
      <c r="X348" s="15" t="s">
        <v>1677</v>
      </c>
      <c r="Y348" s="5"/>
    </row>
    <row r="349" customFormat="false" ht="15" hidden="false" customHeight="false" outlineLevel="0" collapsed="false">
      <c r="A349" s="5" t="s">
        <v>4723</v>
      </c>
      <c r="B349" s="5" t="s">
        <v>458</v>
      </c>
      <c r="C349" s="5" t="s">
        <v>459</v>
      </c>
      <c r="D349" s="6" t="s">
        <v>45</v>
      </c>
      <c r="E349" s="5" t="n">
        <v>6</v>
      </c>
      <c r="F349" s="5" t="s">
        <v>4724</v>
      </c>
      <c r="G349" s="13" t="s">
        <v>4725</v>
      </c>
      <c r="H349" s="5" t="s">
        <v>4726</v>
      </c>
      <c r="I349" s="13" t="s">
        <v>4727</v>
      </c>
      <c r="J349" s="5" t="s">
        <v>4728</v>
      </c>
      <c r="K349" s="5" t="s">
        <v>4729</v>
      </c>
      <c r="L349" s="13" t="s">
        <v>4730</v>
      </c>
      <c r="M349" s="13" t="s">
        <v>4731</v>
      </c>
      <c r="N349" s="5" t="n">
        <f aca="false">LEN(L349)</f>
        <v>25</v>
      </c>
      <c r="O349" s="5" t="n">
        <f aca="false">LEN(M349)</f>
        <v>25</v>
      </c>
      <c r="P349" s="14" t="n">
        <f aca="false">IF(N349=0,"",(N349-LEN(SUBSTITUTE(SUBSTITUTE(L349,"G",""),"C","")))/N349)</f>
        <v>0.48</v>
      </c>
      <c r="Q349" s="14" t="n">
        <f aca="false">IF(O349=0,"",(O349-LEN(SUBSTITUTE(SUBSTITUTE(M349,"G",""),"C","")))/O349)</f>
        <v>0.72</v>
      </c>
      <c r="R349" s="5" t="s">
        <v>462</v>
      </c>
      <c r="S349" s="15" t="s">
        <v>1677</v>
      </c>
      <c r="T349" s="5" t="n">
        <v>444</v>
      </c>
      <c r="U349" s="5" t="s">
        <v>1678</v>
      </c>
      <c r="V349" s="5" t="s">
        <v>453</v>
      </c>
      <c r="W349" s="5"/>
      <c r="X349" s="8" t="s">
        <v>1914</v>
      </c>
      <c r="Y349" s="5"/>
    </row>
    <row r="350" customFormat="false" ht="15" hidden="false" customHeight="false" outlineLevel="0" collapsed="false">
      <c r="A350" s="5" t="s">
        <v>4732</v>
      </c>
      <c r="B350" s="5" t="s">
        <v>458</v>
      </c>
      <c r="C350" s="5" t="s">
        <v>459</v>
      </c>
      <c r="D350" s="6" t="s">
        <v>45</v>
      </c>
      <c r="E350" s="5" t="n">
        <v>7</v>
      </c>
      <c r="F350" s="5" t="s">
        <v>4733</v>
      </c>
      <c r="G350" s="13" t="s">
        <v>4734</v>
      </c>
      <c r="H350" s="5" t="s">
        <v>4735</v>
      </c>
      <c r="I350" s="13" t="s">
        <v>4736</v>
      </c>
      <c r="J350" s="5" t="s">
        <v>4737</v>
      </c>
      <c r="K350" s="5" t="s">
        <v>4738</v>
      </c>
      <c r="L350" s="13" t="s">
        <v>4739</v>
      </c>
      <c r="M350" s="13" t="s">
        <v>4740</v>
      </c>
      <c r="N350" s="5" t="n">
        <f aca="false">LEN(L350)</f>
        <v>25</v>
      </c>
      <c r="O350" s="5" t="n">
        <f aca="false">LEN(M350)</f>
        <v>25</v>
      </c>
      <c r="P350" s="14" t="n">
        <f aca="false">IF(N350=0,"",(N350-LEN(SUBSTITUTE(SUBSTITUTE(L350,"G",""),"C","")))/N350)</f>
        <v>0.64</v>
      </c>
      <c r="Q350" s="14" t="n">
        <f aca="false">IF(O350=0,"",(O350-LEN(SUBSTITUTE(SUBSTITUTE(M350,"G",""),"C","")))/O350)</f>
        <v>0.52</v>
      </c>
      <c r="R350" s="5" t="s">
        <v>462</v>
      </c>
      <c r="S350" s="15" t="s">
        <v>1677</v>
      </c>
      <c r="T350" s="5" t="n">
        <v>517</v>
      </c>
      <c r="U350" s="5" t="s">
        <v>1678</v>
      </c>
      <c r="V350" s="5" t="s">
        <v>453</v>
      </c>
      <c r="W350" s="5"/>
      <c r="X350" s="8" t="s">
        <v>1914</v>
      </c>
      <c r="Y350" s="5"/>
    </row>
    <row r="351" customFormat="false" ht="15" hidden="false" customHeight="false" outlineLevel="0" collapsed="false">
      <c r="A351" s="5" t="s">
        <v>4741</v>
      </c>
      <c r="B351" s="5" t="s">
        <v>458</v>
      </c>
      <c r="C351" s="5" t="s">
        <v>459</v>
      </c>
      <c r="D351" s="6" t="s">
        <v>45</v>
      </c>
      <c r="E351" s="5" t="n">
        <v>8</v>
      </c>
      <c r="F351" s="5" t="s">
        <v>4742</v>
      </c>
      <c r="G351" s="13" t="s">
        <v>4743</v>
      </c>
      <c r="H351" s="5" t="s">
        <v>4744</v>
      </c>
      <c r="I351" s="13" t="s">
        <v>4745</v>
      </c>
      <c r="J351" s="5" t="s">
        <v>4746</v>
      </c>
      <c r="K351" s="5" t="s">
        <v>4747</v>
      </c>
      <c r="L351" s="13" t="s">
        <v>4748</v>
      </c>
      <c r="M351" s="13" t="s">
        <v>4749</v>
      </c>
      <c r="N351" s="5" t="n">
        <f aca="false">LEN(L351)</f>
        <v>25</v>
      </c>
      <c r="O351" s="5" t="n">
        <f aca="false">LEN(M351)</f>
        <v>25</v>
      </c>
      <c r="P351" s="14" t="n">
        <f aca="false">IF(N351=0,"",(N351-LEN(SUBSTITUTE(SUBSTITUTE(L351,"G",""),"C","")))/N351)</f>
        <v>0.6</v>
      </c>
      <c r="Q351" s="14" t="n">
        <f aca="false">IF(O351=0,"",(O351-LEN(SUBSTITUTE(SUBSTITUTE(M351,"G",""),"C","")))/O351)</f>
        <v>0.52</v>
      </c>
      <c r="R351" s="5" t="s">
        <v>462</v>
      </c>
      <c r="S351" s="15" t="s">
        <v>1677</v>
      </c>
      <c r="T351" s="5" t="n">
        <v>590</v>
      </c>
      <c r="U351" s="5" t="s">
        <v>1678</v>
      </c>
      <c r="V351" s="5" t="s">
        <v>453</v>
      </c>
      <c r="W351" s="5"/>
      <c r="X351" s="8" t="s">
        <v>1914</v>
      </c>
      <c r="Y351" s="5"/>
    </row>
    <row r="352" customFormat="false" ht="15" hidden="false" customHeight="false" outlineLevel="0" collapsed="false">
      <c r="A352" s="5" t="s">
        <v>4750</v>
      </c>
      <c r="B352" s="5" t="s">
        <v>466</v>
      </c>
      <c r="C352" s="5" t="s">
        <v>467</v>
      </c>
      <c r="D352" s="6" t="s">
        <v>45</v>
      </c>
      <c r="E352" s="5" t="n">
        <v>1</v>
      </c>
      <c r="F352" s="5" t="s">
        <v>4751</v>
      </c>
      <c r="G352" s="13" t="s">
        <v>4752</v>
      </c>
      <c r="H352" s="5" t="s">
        <v>4753</v>
      </c>
      <c r="I352" s="13" t="s">
        <v>4754</v>
      </c>
      <c r="J352" s="5" t="s">
        <v>4755</v>
      </c>
      <c r="K352" s="5" t="s">
        <v>4756</v>
      </c>
      <c r="L352" s="13" t="s">
        <v>4757</v>
      </c>
      <c r="M352" s="13" t="s">
        <v>4758</v>
      </c>
      <c r="N352" s="5" t="n">
        <f aca="false">LEN(L352)</f>
        <v>25</v>
      </c>
      <c r="O352" s="5" t="n">
        <f aca="false">LEN(M352)</f>
        <v>25</v>
      </c>
      <c r="P352" s="14" t="n">
        <f aca="false">IF(N352=0,"",(N352-LEN(SUBSTITUTE(SUBSTITUTE(L352,"G",""),"C","")))/N352)</f>
        <v>0.52</v>
      </c>
      <c r="Q352" s="14" t="n">
        <f aca="false">IF(O352=0,"",(O352-LEN(SUBSTITUTE(SUBSTITUTE(M352,"G",""),"C","")))/O352)</f>
        <v>0.6</v>
      </c>
      <c r="R352" s="5" t="s">
        <v>471</v>
      </c>
      <c r="S352" s="15" t="s">
        <v>1677</v>
      </c>
      <c r="T352" s="5" t="n">
        <v>76</v>
      </c>
      <c r="U352" s="5" t="s">
        <v>1678</v>
      </c>
      <c r="V352" s="5" t="s">
        <v>47</v>
      </c>
      <c r="W352" s="5"/>
      <c r="X352" s="15" t="s">
        <v>1677</v>
      </c>
      <c r="Y352" s="5"/>
    </row>
    <row r="353" customFormat="false" ht="15" hidden="false" customHeight="false" outlineLevel="0" collapsed="false">
      <c r="A353" s="5" t="s">
        <v>4759</v>
      </c>
      <c r="B353" s="5" t="s">
        <v>466</v>
      </c>
      <c r="C353" s="5" t="s">
        <v>467</v>
      </c>
      <c r="D353" s="6" t="s">
        <v>45</v>
      </c>
      <c r="E353" s="5" t="n">
        <v>2</v>
      </c>
      <c r="F353" s="5" t="s">
        <v>4760</v>
      </c>
      <c r="G353" s="13" t="s">
        <v>4761</v>
      </c>
      <c r="H353" s="5" t="s">
        <v>4762</v>
      </c>
      <c r="I353" s="13" t="s">
        <v>4763</v>
      </c>
      <c r="J353" s="5" t="s">
        <v>4764</v>
      </c>
      <c r="K353" s="5" t="s">
        <v>4765</v>
      </c>
      <c r="L353" s="13" t="s">
        <v>4766</v>
      </c>
      <c r="M353" s="13" t="s">
        <v>4767</v>
      </c>
      <c r="N353" s="5" t="n">
        <f aca="false">LEN(L353)</f>
        <v>25</v>
      </c>
      <c r="O353" s="5" t="n">
        <f aca="false">LEN(M353)</f>
        <v>25</v>
      </c>
      <c r="P353" s="14" t="n">
        <f aca="false">IF(N353=0,"",(N353-LEN(SUBSTITUTE(SUBSTITUTE(L353,"G",""),"C","")))/N353)</f>
        <v>0.4</v>
      </c>
      <c r="Q353" s="14" t="n">
        <f aca="false">IF(O353=0,"",(O353-LEN(SUBSTITUTE(SUBSTITUTE(M353,"G",""),"C","")))/O353)</f>
        <v>0.24</v>
      </c>
      <c r="R353" s="5" t="s">
        <v>471</v>
      </c>
      <c r="S353" s="15" t="s">
        <v>1677</v>
      </c>
      <c r="T353" s="5" t="n">
        <v>146</v>
      </c>
      <c r="U353" s="5" t="s">
        <v>1678</v>
      </c>
      <c r="V353" s="5" t="s">
        <v>47</v>
      </c>
      <c r="W353" s="5"/>
      <c r="X353" s="15" t="s">
        <v>1677</v>
      </c>
      <c r="Y353" s="5"/>
    </row>
    <row r="354" customFormat="false" ht="15" hidden="false" customHeight="false" outlineLevel="0" collapsed="false">
      <c r="A354" s="5" t="s">
        <v>4768</v>
      </c>
      <c r="B354" s="5" t="s">
        <v>466</v>
      </c>
      <c r="C354" s="5" t="s">
        <v>467</v>
      </c>
      <c r="D354" s="6" t="s">
        <v>45</v>
      </c>
      <c r="E354" s="5" t="n">
        <v>3</v>
      </c>
      <c r="F354" s="5" t="s">
        <v>4769</v>
      </c>
      <c r="G354" s="13" t="s">
        <v>4770</v>
      </c>
      <c r="H354" s="5" t="s">
        <v>4771</v>
      </c>
      <c r="I354" s="13" t="s">
        <v>4772</v>
      </c>
      <c r="J354" s="5" t="s">
        <v>4773</v>
      </c>
      <c r="K354" s="5" t="s">
        <v>4774</v>
      </c>
      <c r="L354" s="13" t="s">
        <v>4775</v>
      </c>
      <c r="M354" s="13" t="s">
        <v>4776</v>
      </c>
      <c r="N354" s="5" t="n">
        <f aca="false">LEN(L354)</f>
        <v>25</v>
      </c>
      <c r="O354" s="5" t="n">
        <f aca="false">LEN(M354)</f>
        <v>25</v>
      </c>
      <c r="P354" s="14" t="n">
        <f aca="false">IF(N354=0,"",(N354-LEN(SUBSTITUTE(SUBSTITUTE(L354,"G",""),"C","")))/N354)</f>
        <v>0.36</v>
      </c>
      <c r="Q354" s="14" t="n">
        <f aca="false">IF(O354=0,"",(O354-LEN(SUBSTITUTE(SUBSTITUTE(M354,"G",""),"C","")))/O354)</f>
        <v>0.28</v>
      </c>
      <c r="R354" s="5" t="s">
        <v>471</v>
      </c>
      <c r="S354" s="15" t="s">
        <v>1677</v>
      </c>
      <c r="T354" s="5" t="n">
        <v>216</v>
      </c>
      <c r="U354" s="5" t="s">
        <v>1678</v>
      </c>
      <c r="V354" s="5" t="s">
        <v>47</v>
      </c>
      <c r="W354" s="5"/>
      <c r="X354" s="15" t="s">
        <v>1677</v>
      </c>
      <c r="Y354" s="5"/>
    </row>
    <row r="355" customFormat="false" ht="15" hidden="false" customHeight="false" outlineLevel="0" collapsed="false">
      <c r="A355" s="5" t="s">
        <v>4777</v>
      </c>
      <c r="B355" s="5" t="s">
        <v>466</v>
      </c>
      <c r="C355" s="5" t="s">
        <v>467</v>
      </c>
      <c r="D355" s="6" t="s">
        <v>45</v>
      </c>
      <c r="E355" s="5" t="n">
        <v>4</v>
      </c>
      <c r="F355" s="5" t="s">
        <v>4778</v>
      </c>
      <c r="G355" s="13" t="s">
        <v>4779</v>
      </c>
      <c r="H355" s="5" t="s">
        <v>4780</v>
      </c>
      <c r="I355" s="13" t="s">
        <v>4781</v>
      </c>
      <c r="J355" s="5" t="s">
        <v>4782</v>
      </c>
      <c r="K355" s="5" t="s">
        <v>4783</v>
      </c>
      <c r="L355" s="13" t="s">
        <v>4784</v>
      </c>
      <c r="M355" s="13" t="s">
        <v>4785</v>
      </c>
      <c r="N355" s="5" t="n">
        <f aca="false">LEN(L355)</f>
        <v>25</v>
      </c>
      <c r="O355" s="5" t="n">
        <f aca="false">LEN(M355)</f>
        <v>25</v>
      </c>
      <c r="P355" s="14" t="n">
        <f aca="false">IF(N355=0,"",(N355-LEN(SUBSTITUTE(SUBSTITUTE(L355,"G",""),"C","")))/N355)</f>
        <v>0.36</v>
      </c>
      <c r="Q355" s="14" t="n">
        <f aca="false">IF(O355=0,"",(O355-LEN(SUBSTITUTE(SUBSTITUTE(M355,"G",""),"C","")))/O355)</f>
        <v>0.48</v>
      </c>
      <c r="R355" s="5" t="s">
        <v>471</v>
      </c>
      <c r="S355" s="15" t="s">
        <v>1677</v>
      </c>
      <c r="T355" s="5" t="n">
        <v>286</v>
      </c>
      <c r="U355" s="5" t="s">
        <v>1678</v>
      </c>
      <c r="V355" s="5" t="s">
        <v>47</v>
      </c>
      <c r="W355" s="5"/>
      <c r="X355" s="15" t="s">
        <v>1677</v>
      </c>
      <c r="Y355" s="5"/>
    </row>
    <row r="356" customFormat="false" ht="15" hidden="false" customHeight="false" outlineLevel="0" collapsed="false">
      <c r="A356" s="5" t="s">
        <v>4786</v>
      </c>
      <c r="B356" s="5" t="s">
        <v>466</v>
      </c>
      <c r="C356" s="5" t="s">
        <v>467</v>
      </c>
      <c r="D356" s="6" t="s">
        <v>45</v>
      </c>
      <c r="E356" s="5" t="n">
        <v>5</v>
      </c>
      <c r="F356" s="5" t="s">
        <v>4787</v>
      </c>
      <c r="G356" s="13" t="s">
        <v>4788</v>
      </c>
      <c r="H356" s="5" t="s">
        <v>4789</v>
      </c>
      <c r="I356" s="13" t="s">
        <v>4790</v>
      </c>
      <c r="J356" s="5" t="s">
        <v>4791</v>
      </c>
      <c r="K356" s="5" t="s">
        <v>4792</v>
      </c>
      <c r="L356" s="13" t="s">
        <v>4793</v>
      </c>
      <c r="M356" s="13" t="s">
        <v>4794</v>
      </c>
      <c r="N356" s="5" t="n">
        <f aca="false">LEN(L356)</f>
        <v>25</v>
      </c>
      <c r="O356" s="5" t="n">
        <f aca="false">LEN(M356)</f>
        <v>25</v>
      </c>
      <c r="P356" s="14" t="n">
        <f aca="false">IF(N356=0,"",(N356-LEN(SUBSTITUTE(SUBSTITUTE(L356,"G",""),"C","")))/N356)</f>
        <v>0.4</v>
      </c>
      <c r="Q356" s="14" t="n">
        <f aca="false">IF(O356=0,"",(O356-LEN(SUBSTITUTE(SUBSTITUTE(M356,"G",""),"C","")))/O356)</f>
        <v>0.28</v>
      </c>
      <c r="R356" s="5" t="s">
        <v>471</v>
      </c>
      <c r="S356" s="15" t="s">
        <v>1677</v>
      </c>
      <c r="T356" s="5" t="n">
        <v>356</v>
      </c>
      <c r="U356" s="5" t="s">
        <v>1678</v>
      </c>
      <c r="V356" s="5" t="s">
        <v>47</v>
      </c>
      <c r="W356" s="5"/>
      <c r="X356" s="15" t="s">
        <v>1677</v>
      </c>
      <c r="Y356" s="5"/>
    </row>
    <row r="357" customFormat="false" ht="15" hidden="false" customHeight="false" outlineLevel="0" collapsed="false">
      <c r="A357" s="5" t="s">
        <v>4795</v>
      </c>
      <c r="B357" s="5" t="s">
        <v>466</v>
      </c>
      <c r="C357" s="5" t="s">
        <v>467</v>
      </c>
      <c r="D357" s="6" t="s">
        <v>45</v>
      </c>
      <c r="E357" s="5" t="n">
        <v>6</v>
      </c>
      <c r="F357" s="5" t="s">
        <v>4796</v>
      </c>
      <c r="G357" s="13" t="s">
        <v>4797</v>
      </c>
      <c r="H357" s="5" t="s">
        <v>4798</v>
      </c>
      <c r="I357" s="13" t="s">
        <v>4799</v>
      </c>
      <c r="J357" s="5" t="s">
        <v>4800</v>
      </c>
      <c r="K357" s="5" t="s">
        <v>4801</v>
      </c>
      <c r="L357" s="13" t="s">
        <v>4802</v>
      </c>
      <c r="M357" s="13" t="s">
        <v>4803</v>
      </c>
      <c r="N357" s="5" t="n">
        <f aca="false">LEN(L357)</f>
        <v>25</v>
      </c>
      <c r="O357" s="5" t="n">
        <f aca="false">LEN(M357)</f>
        <v>25</v>
      </c>
      <c r="P357" s="14" t="n">
        <f aca="false">IF(N357=0,"",(N357-LEN(SUBSTITUTE(SUBSTITUTE(L357,"G",""),"C","")))/N357)</f>
        <v>0.36</v>
      </c>
      <c r="Q357" s="14" t="n">
        <f aca="false">IF(O357=0,"",(O357-LEN(SUBSTITUTE(SUBSTITUTE(M357,"G",""),"C","")))/O357)</f>
        <v>0.32</v>
      </c>
      <c r="R357" s="5" t="s">
        <v>471</v>
      </c>
      <c r="S357" s="15" t="s">
        <v>1677</v>
      </c>
      <c r="T357" s="5" t="n">
        <v>426</v>
      </c>
      <c r="U357" s="5" t="s">
        <v>1678</v>
      </c>
      <c r="V357" s="5" t="s">
        <v>47</v>
      </c>
      <c r="W357" s="5"/>
      <c r="X357" s="15" t="s">
        <v>1677</v>
      </c>
      <c r="Y357" s="5"/>
    </row>
    <row r="358" customFormat="false" ht="15" hidden="false" customHeight="false" outlineLevel="0" collapsed="false">
      <c r="A358" s="5" t="s">
        <v>4804</v>
      </c>
      <c r="B358" s="5" t="s">
        <v>474</v>
      </c>
      <c r="C358" s="5" t="s">
        <v>475</v>
      </c>
      <c r="D358" s="6" t="s">
        <v>45</v>
      </c>
      <c r="E358" s="5" t="n">
        <v>1</v>
      </c>
      <c r="F358" s="5" t="s">
        <v>4805</v>
      </c>
      <c r="G358" s="13" t="s">
        <v>4806</v>
      </c>
      <c r="H358" s="5" t="s">
        <v>4807</v>
      </c>
      <c r="I358" s="13" t="s">
        <v>4808</v>
      </c>
      <c r="J358" s="5" t="s">
        <v>4809</v>
      </c>
      <c r="K358" s="5" t="s">
        <v>4810</v>
      </c>
      <c r="L358" s="13" t="s">
        <v>4811</v>
      </c>
      <c r="M358" s="13" t="s">
        <v>4812</v>
      </c>
      <c r="N358" s="5" t="n">
        <f aca="false">LEN(L358)</f>
        <v>25</v>
      </c>
      <c r="O358" s="5" t="n">
        <f aca="false">LEN(M358)</f>
        <v>25</v>
      </c>
      <c r="P358" s="14" t="n">
        <f aca="false">IF(N358=0,"",(N358-LEN(SUBSTITUTE(SUBSTITUTE(L358,"G",""),"C","")))/N358)</f>
        <v>0.52</v>
      </c>
      <c r="Q358" s="14" t="n">
        <f aca="false">IF(O358=0,"",(O358-LEN(SUBSTITUTE(SUBSTITUTE(M358,"G",""),"C","")))/O358)</f>
        <v>0.6</v>
      </c>
      <c r="R358" s="5" t="s">
        <v>478</v>
      </c>
      <c r="S358" s="15" t="s">
        <v>1677</v>
      </c>
      <c r="T358" s="5" t="n">
        <v>51</v>
      </c>
      <c r="U358" s="5" t="s">
        <v>1678</v>
      </c>
      <c r="V358" s="5" t="s">
        <v>4813</v>
      </c>
      <c r="W358" s="5"/>
      <c r="X358" s="15" t="s">
        <v>1677</v>
      </c>
      <c r="Y358" s="5"/>
    </row>
    <row r="359" customFormat="false" ht="15" hidden="false" customHeight="false" outlineLevel="0" collapsed="false">
      <c r="A359" s="5" t="s">
        <v>4814</v>
      </c>
      <c r="B359" s="5" t="s">
        <v>474</v>
      </c>
      <c r="C359" s="5" t="s">
        <v>475</v>
      </c>
      <c r="D359" s="6" t="s">
        <v>45</v>
      </c>
      <c r="E359" s="5" t="n">
        <v>2</v>
      </c>
      <c r="F359" s="5" t="s">
        <v>4815</v>
      </c>
      <c r="G359" s="13" t="s">
        <v>4816</v>
      </c>
      <c r="H359" s="5" t="s">
        <v>4817</v>
      </c>
      <c r="I359" s="13" t="s">
        <v>4818</v>
      </c>
      <c r="J359" s="5" t="s">
        <v>4819</v>
      </c>
      <c r="K359" s="5" t="s">
        <v>4820</v>
      </c>
      <c r="L359" s="13" t="s">
        <v>4821</v>
      </c>
      <c r="M359" s="13" t="s">
        <v>4822</v>
      </c>
      <c r="N359" s="5" t="n">
        <f aca="false">LEN(L359)</f>
        <v>25</v>
      </c>
      <c r="O359" s="5" t="n">
        <f aca="false">LEN(M359)</f>
        <v>25</v>
      </c>
      <c r="P359" s="14" t="n">
        <f aca="false">IF(N359=0,"",(N359-LEN(SUBSTITUTE(SUBSTITUTE(L359,"G",""),"C","")))/N359)</f>
        <v>0.52</v>
      </c>
      <c r="Q359" s="14" t="n">
        <f aca="false">IF(O359=0,"",(O359-LEN(SUBSTITUTE(SUBSTITUTE(M359,"G",""),"C","")))/O359)</f>
        <v>0.64</v>
      </c>
      <c r="R359" s="5" t="s">
        <v>478</v>
      </c>
      <c r="S359" s="15" t="s">
        <v>1677</v>
      </c>
      <c r="T359" s="5" t="n">
        <v>72</v>
      </c>
      <c r="U359" s="5" t="s">
        <v>1678</v>
      </c>
      <c r="V359" s="5" t="s">
        <v>47</v>
      </c>
      <c r="W359" s="5"/>
      <c r="X359" s="15" t="s">
        <v>1677</v>
      </c>
      <c r="Y359" s="5"/>
    </row>
    <row r="360" customFormat="false" ht="15" hidden="false" customHeight="false" outlineLevel="0" collapsed="false">
      <c r="A360" s="5" t="s">
        <v>4823</v>
      </c>
      <c r="B360" s="5" t="s">
        <v>474</v>
      </c>
      <c r="C360" s="5" t="s">
        <v>475</v>
      </c>
      <c r="D360" s="6" t="s">
        <v>45</v>
      </c>
      <c r="E360" s="5" t="n">
        <v>3</v>
      </c>
      <c r="F360" s="5" t="s">
        <v>4824</v>
      </c>
      <c r="G360" s="13" t="s">
        <v>4825</v>
      </c>
      <c r="H360" s="5" t="s">
        <v>4826</v>
      </c>
      <c r="I360" s="13" t="s">
        <v>4827</v>
      </c>
      <c r="J360" s="5" t="s">
        <v>4828</v>
      </c>
      <c r="K360" s="5" t="s">
        <v>4829</v>
      </c>
      <c r="L360" s="13" t="s">
        <v>4830</v>
      </c>
      <c r="M360" s="13" t="s">
        <v>4831</v>
      </c>
      <c r="N360" s="5" t="n">
        <f aca="false">LEN(L360)</f>
        <v>25</v>
      </c>
      <c r="O360" s="5" t="n">
        <f aca="false">LEN(M360)</f>
        <v>25</v>
      </c>
      <c r="P360" s="14" t="n">
        <f aca="false">IF(N360=0,"",(N360-LEN(SUBSTITUTE(SUBSTITUTE(L360,"G",""),"C","")))/N360)</f>
        <v>0.52</v>
      </c>
      <c r="Q360" s="14" t="n">
        <f aca="false">IF(O360=0,"",(O360-LEN(SUBSTITUTE(SUBSTITUTE(M360,"G",""),"C","")))/O360)</f>
        <v>0.4</v>
      </c>
      <c r="R360" s="5" t="s">
        <v>478</v>
      </c>
      <c r="S360" s="15" t="s">
        <v>1677</v>
      </c>
      <c r="T360" s="5" t="n">
        <v>133</v>
      </c>
      <c r="U360" s="5" t="s">
        <v>1678</v>
      </c>
      <c r="V360" s="5" t="s">
        <v>4813</v>
      </c>
      <c r="W360" s="5"/>
      <c r="X360" s="8" t="s">
        <v>1769</v>
      </c>
      <c r="Y360" s="5"/>
    </row>
    <row r="361" customFormat="false" ht="15" hidden="false" customHeight="false" outlineLevel="0" collapsed="false">
      <c r="A361" s="5" t="s">
        <v>4832</v>
      </c>
      <c r="B361" s="5" t="s">
        <v>474</v>
      </c>
      <c r="C361" s="5" t="s">
        <v>475</v>
      </c>
      <c r="D361" s="6" t="s">
        <v>45</v>
      </c>
      <c r="E361" s="5" t="n">
        <v>4</v>
      </c>
      <c r="F361" s="5" t="s">
        <v>4833</v>
      </c>
      <c r="G361" s="13" t="s">
        <v>4834</v>
      </c>
      <c r="H361" s="5" t="s">
        <v>4835</v>
      </c>
      <c r="I361" s="13" t="s">
        <v>4836</v>
      </c>
      <c r="J361" s="5" t="s">
        <v>4837</v>
      </c>
      <c r="K361" s="5" t="s">
        <v>4838</v>
      </c>
      <c r="L361" s="13" t="s">
        <v>4839</v>
      </c>
      <c r="M361" s="13" t="s">
        <v>4840</v>
      </c>
      <c r="N361" s="5" t="n">
        <f aca="false">LEN(L361)</f>
        <v>25</v>
      </c>
      <c r="O361" s="5" t="n">
        <f aca="false">LEN(M361)</f>
        <v>25</v>
      </c>
      <c r="P361" s="14" t="n">
        <f aca="false">IF(N361=0,"",(N361-LEN(SUBSTITUTE(SUBSTITUTE(L361,"G",""),"C","")))/N361)</f>
        <v>0.52</v>
      </c>
      <c r="Q361" s="14" t="n">
        <f aca="false">IF(O361=0,"",(O361-LEN(SUBSTITUTE(SUBSTITUTE(M361,"G",""),"C","")))/O361)</f>
        <v>0.52</v>
      </c>
      <c r="R361" s="5" t="s">
        <v>478</v>
      </c>
      <c r="S361" s="15" t="s">
        <v>1677</v>
      </c>
      <c r="T361" s="5" t="n">
        <v>204</v>
      </c>
      <c r="U361" s="5" t="s">
        <v>1678</v>
      </c>
      <c r="V361" s="5" t="s">
        <v>47</v>
      </c>
      <c r="W361" s="5"/>
      <c r="X361" s="8" t="s">
        <v>1914</v>
      </c>
      <c r="Y361" s="5"/>
    </row>
    <row r="362" customFormat="false" ht="15" hidden="false" customHeight="false" outlineLevel="0" collapsed="false">
      <c r="A362" s="5" t="s">
        <v>4841</v>
      </c>
      <c r="B362" s="5" t="s">
        <v>474</v>
      </c>
      <c r="C362" s="5" t="s">
        <v>475</v>
      </c>
      <c r="D362" s="6" t="s">
        <v>45</v>
      </c>
      <c r="E362" s="5" t="n">
        <v>5</v>
      </c>
      <c r="F362" s="5" t="s">
        <v>4842</v>
      </c>
      <c r="G362" s="13" t="s">
        <v>4843</v>
      </c>
      <c r="H362" s="5" t="s">
        <v>4844</v>
      </c>
      <c r="I362" s="13" t="s">
        <v>4845</v>
      </c>
      <c r="J362" s="5" t="s">
        <v>4846</v>
      </c>
      <c r="K362" s="5" t="s">
        <v>4847</v>
      </c>
      <c r="L362" s="13" t="s">
        <v>4848</v>
      </c>
      <c r="M362" s="13" t="s">
        <v>4849</v>
      </c>
      <c r="N362" s="5" t="n">
        <f aca="false">LEN(L362)</f>
        <v>25</v>
      </c>
      <c r="O362" s="5" t="n">
        <f aca="false">LEN(M362)</f>
        <v>25</v>
      </c>
      <c r="P362" s="14" t="n">
        <f aca="false">IF(N362=0,"",(N362-LEN(SUBSTITUTE(SUBSTITUTE(L362,"G",""),"C","")))/N362)</f>
        <v>0.52</v>
      </c>
      <c r="Q362" s="14" t="n">
        <f aca="false">IF(O362=0,"",(O362-LEN(SUBSTITUTE(SUBSTITUTE(M362,"G",""),"C","")))/O362)</f>
        <v>0.52</v>
      </c>
      <c r="R362" s="5" t="s">
        <v>478</v>
      </c>
      <c r="S362" s="15" t="s">
        <v>1677</v>
      </c>
      <c r="T362" s="5" t="n">
        <v>213</v>
      </c>
      <c r="U362" s="5" t="s">
        <v>1678</v>
      </c>
      <c r="V362" s="5" t="s">
        <v>4813</v>
      </c>
      <c r="W362" s="5"/>
      <c r="X362" s="8" t="s">
        <v>2131</v>
      </c>
      <c r="Y362" s="5"/>
    </row>
    <row r="363" customFormat="false" ht="15" hidden="false" customHeight="false" outlineLevel="0" collapsed="false">
      <c r="A363" s="5" t="s">
        <v>4850</v>
      </c>
      <c r="B363" s="5" t="s">
        <v>474</v>
      </c>
      <c r="C363" s="5" t="s">
        <v>475</v>
      </c>
      <c r="D363" s="6" t="s">
        <v>45</v>
      </c>
      <c r="E363" s="5" t="n">
        <v>6</v>
      </c>
      <c r="F363" s="5" t="s">
        <v>4851</v>
      </c>
      <c r="G363" s="13" t="s">
        <v>4852</v>
      </c>
      <c r="H363" s="5" t="s">
        <v>4853</v>
      </c>
      <c r="I363" s="13" t="s">
        <v>4854</v>
      </c>
      <c r="J363" s="5" t="s">
        <v>4855</v>
      </c>
      <c r="K363" s="5" t="s">
        <v>4856</v>
      </c>
      <c r="L363" s="13" t="s">
        <v>4857</v>
      </c>
      <c r="M363" s="13" t="s">
        <v>4858</v>
      </c>
      <c r="N363" s="5" t="n">
        <f aca="false">LEN(L363)</f>
        <v>25</v>
      </c>
      <c r="O363" s="5" t="n">
        <f aca="false">LEN(M363)</f>
        <v>25</v>
      </c>
      <c r="P363" s="14" t="n">
        <f aca="false">IF(N363=0,"",(N363-LEN(SUBSTITUTE(SUBSTITUTE(L363,"G",""),"C","")))/N363)</f>
        <v>0.56</v>
      </c>
      <c r="Q363" s="14" t="n">
        <f aca="false">IF(O363=0,"",(O363-LEN(SUBSTITUTE(SUBSTITUTE(M363,"G",""),"C","")))/O363)</f>
        <v>0.4</v>
      </c>
      <c r="R363" s="5" t="s">
        <v>478</v>
      </c>
      <c r="S363" s="15" t="s">
        <v>1677</v>
      </c>
      <c r="T363" s="5" t="n">
        <v>298</v>
      </c>
      <c r="U363" s="5" t="s">
        <v>1678</v>
      </c>
      <c r="V363" s="5" t="s">
        <v>4813</v>
      </c>
      <c r="W363" s="5"/>
      <c r="X363" s="15" t="s">
        <v>1677</v>
      </c>
      <c r="Y363" s="5"/>
    </row>
    <row r="364" customFormat="false" ht="15" hidden="false" customHeight="false" outlineLevel="0" collapsed="false">
      <c r="A364" s="5" t="s">
        <v>4859</v>
      </c>
      <c r="B364" s="5" t="s">
        <v>474</v>
      </c>
      <c r="C364" s="5" t="s">
        <v>475</v>
      </c>
      <c r="D364" s="6" t="s">
        <v>45</v>
      </c>
      <c r="E364" s="5" t="n">
        <v>7</v>
      </c>
      <c r="F364" s="5" t="s">
        <v>4860</v>
      </c>
      <c r="G364" s="13" t="s">
        <v>4861</v>
      </c>
      <c r="H364" s="5" t="s">
        <v>4862</v>
      </c>
      <c r="I364" s="13" t="s">
        <v>4863</v>
      </c>
      <c r="J364" s="5" t="s">
        <v>4864</v>
      </c>
      <c r="K364" s="5" t="s">
        <v>4865</v>
      </c>
      <c r="L364" s="13" t="s">
        <v>4866</v>
      </c>
      <c r="M364" s="13" t="s">
        <v>4867</v>
      </c>
      <c r="N364" s="5" t="n">
        <f aca="false">LEN(L364)</f>
        <v>25</v>
      </c>
      <c r="O364" s="5" t="n">
        <f aca="false">LEN(M364)</f>
        <v>25</v>
      </c>
      <c r="P364" s="14" t="n">
        <f aca="false">IF(N364=0,"",(N364-LEN(SUBSTITUTE(SUBSTITUTE(L364,"G",""),"C","")))/N364)</f>
        <v>0.6</v>
      </c>
      <c r="Q364" s="14" t="n">
        <f aca="false">IF(O364=0,"",(O364-LEN(SUBSTITUTE(SUBSTITUTE(M364,"G",""),"C","")))/O364)</f>
        <v>0.72</v>
      </c>
      <c r="R364" s="5" t="s">
        <v>478</v>
      </c>
      <c r="S364" s="15" t="s">
        <v>1677</v>
      </c>
      <c r="T364" s="5" t="n">
        <v>335</v>
      </c>
      <c r="U364" s="5" t="s">
        <v>1678</v>
      </c>
      <c r="V364" s="5" t="s">
        <v>47</v>
      </c>
      <c r="W364" s="5"/>
      <c r="X364" s="15" t="s">
        <v>1677</v>
      </c>
      <c r="Y364" s="5"/>
    </row>
    <row r="365" customFormat="false" ht="15" hidden="false" customHeight="false" outlineLevel="0" collapsed="false">
      <c r="A365" s="5" t="s">
        <v>4868</v>
      </c>
      <c r="B365" s="5" t="s">
        <v>474</v>
      </c>
      <c r="C365" s="5" t="s">
        <v>475</v>
      </c>
      <c r="D365" s="6" t="s">
        <v>45</v>
      </c>
      <c r="E365" s="5" t="n">
        <v>8</v>
      </c>
      <c r="F365" s="5" t="s">
        <v>4869</v>
      </c>
      <c r="G365" s="13" t="s">
        <v>4870</v>
      </c>
      <c r="H365" s="5" t="s">
        <v>4871</v>
      </c>
      <c r="I365" s="13" t="s">
        <v>4872</v>
      </c>
      <c r="J365" s="5" t="s">
        <v>4873</v>
      </c>
      <c r="K365" s="5" t="s">
        <v>4874</v>
      </c>
      <c r="L365" s="13" t="s">
        <v>4875</v>
      </c>
      <c r="M365" s="13" t="s">
        <v>4876</v>
      </c>
      <c r="N365" s="5" t="n">
        <f aca="false">LEN(L365)</f>
        <v>25</v>
      </c>
      <c r="O365" s="5" t="n">
        <f aca="false">LEN(M365)</f>
        <v>25</v>
      </c>
      <c r="P365" s="14" t="n">
        <f aca="false">IF(N365=0,"",(N365-LEN(SUBSTITUTE(SUBSTITUTE(L365,"G",""),"C","")))/N365)</f>
        <v>0.72</v>
      </c>
      <c r="Q365" s="14" t="n">
        <f aca="false">IF(O365=0,"",(O365-LEN(SUBSTITUTE(SUBSTITUTE(M365,"G",""),"C","")))/O365)</f>
        <v>0.52</v>
      </c>
      <c r="R365" s="5" t="s">
        <v>478</v>
      </c>
      <c r="S365" s="15" t="s">
        <v>1677</v>
      </c>
      <c r="T365" s="5" t="n">
        <v>378</v>
      </c>
      <c r="U365" s="5" t="s">
        <v>1678</v>
      </c>
      <c r="V365" s="5" t="s">
        <v>4813</v>
      </c>
      <c r="W365" s="5"/>
      <c r="X365" s="8" t="s">
        <v>1769</v>
      </c>
      <c r="Y365" s="5"/>
    </row>
    <row r="366" customFormat="false" ht="15" hidden="false" customHeight="false" outlineLevel="0" collapsed="false">
      <c r="A366" s="5" t="s">
        <v>4877</v>
      </c>
      <c r="B366" s="5" t="s">
        <v>474</v>
      </c>
      <c r="C366" s="5" t="s">
        <v>475</v>
      </c>
      <c r="D366" s="6" t="s">
        <v>45</v>
      </c>
      <c r="E366" s="5" t="n">
        <v>9</v>
      </c>
      <c r="F366" s="5" t="s">
        <v>4878</v>
      </c>
      <c r="G366" s="13" t="s">
        <v>4879</v>
      </c>
      <c r="H366" s="5" t="s">
        <v>4880</v>
      </c>
      <c r="I366" s="13" t="s">
        <v>4881</v>
      </c>
      <c r="J366" s="5" t="s">
        <v>4882</v>
      </c>
      <c r="K366" s="5" t="s">
        <v>4883</v>
      </c>
      <c r="L366" s="13" t="s">
        <v>4884</v>
      </c>
      <c r="M366" s="13" t="s">
        <v>4885</v>
      </c>
      <c r="N366" s="5" t="n">
        <f aca="false">LEN(L366)</f>
        <v>25</v>
      </c>
      <c r="O366" s="5" t="n">
        <f aca="false">LEN(M366)</f>
        <v>25</v>
      </c>
      <c r="P366" s="14" t="n">
        <f aca="false">IF(N366=0,"",(N366-LEN(SUBSTITUTE(SUBSTITUTE(L366,"G",""),"C","")))/N366)</f>
        <v>0.44</v>
      </c>
      <c r="Q366" s="14" t="n">
        <f aca="false">IF(O366=0,"",(O366-LEN(SUBSTITUTE(SUBSTITUTE(M366,"G",""),"C","")))/O366)</f>
        <v>0.36</v>
      </c>
      <c r="R366" s="5" t="s">
        <v>478</v>
      </c>
      <c r="S366" s="15" t="s">
        <v>1677</v>
      </c>
      <c r="T366" s="5" t="n">
        <v>468</v>
      </c>
      <c r="U366" s="5" t="s">
        <v>1678</v>
      </c>
      <c r="V366" s="5" t="s">
        <v>47</v>
      </c>
      <c r="W366" s="5"/>
      <c r="X366" s="8" t="s">
        <v>1769</v>
      </c>
      <c r="Y366" s="5"/>
    </row>
    <row r="367" customFormat="false" ht="15" hidden="false" customHeight="false" outlineLevel="0" collapsed="false">
      <c r="A367" s="5" t="s">
        <v>4886</v>
      </c>
      <c r="B367" s="5" t="s">
        <v>474</v>
      </c>
      <c r="C367" s="5" t="s">
        <v>475</v>
      </c>
      <c r="D367" s="6" t="s">
        <v>45</v>
      </c>
      <c r="E367" s="5" t="n">
        <v>10</v>
      </c>
      <c r="F367" s="5" t="s">
        <v>4887</v>
      </c>
      <c r="G367" s="13" t="s">
        <v>4888</v>
      </c>
      <c r="H367" s="5" t="s">
        <v>4889</v>
      </c>
      <c r="I367" s="13" t="s">
        <v>4890</v>
      </c>
      <c r="J367" s="5" t="s">
        <v>4891</v>
      </c>
      <c r="K367" s="5" t="s">
        <v>4892</v>
      </c>
      <c r="L367" s="13" t="s">
        <v>4893</v>
      </c>
      <c r="M367" s="13" t="s">
        <v>4894</v>
      </c>
      <c r="N367" s="5" t="n">
        <f aca="false">LEN(L367)</f>
        <v>25</v>
      </c>
      <c r="O367" s="5" t="n">
        <f aca="false">LEN(M367)</f>
        <v>25</v>
      </c>
      <c r="P367" s="14" t="n">
        <f aca="false">IF(N367=0,"",(N367-LEN(SUBSTITUTE(SUBSTITUTE(L367,"G",""),"C","")))/N367)</f>
        <v>0.4</v>
      </c>
      <c r="Q367" s="14" t="n">
        <f aca="false">IF(O367=0,"",(O367-LEN(SUBSTITUTE(SUBSTITUTE(M367,"G",""),"C","")))/O367)</f>
        <v>0.4</v>
      </c>
      <c r="R367" s="5" t="s">
        <v>478</v>
      </c>
      <c r="S367" s="15" t="s">
        <v>1677</v>
      </c>
      <c r="T367" s="5" t="n">
        <v>561</v>
      </c>
      <c r="U367" s="5" t="s">
        <v>1678</v>
      </c>
      <c r="V367" s="5" t="s">
        <v>4813</v>
      </c>
      <c r="W367" s="5"/>
      <c r="X367" s="15" t="s">
        <v>1677</v>
      </c>
      <c r="Y367" s="5"/>
    </row>
    <row r="368" customFormat="false" ht="15" hidden="false" customHeight="false" outlineLevel="0" collapsed="false">
      <c r="A368" s="5" t="s">
        <v>4895</v>
      </c>
      <c r="B368" s="5" t="s">
        <v>474</v>
      </c>
      <c r="C368" s="5" t="s">
        <v>475</v>
      </c>
      <c r="D368" s="6" t="s">
        <v>45</v>
      </c>
      <c r="E368" s="5" t="n">
        <v>11</v>
      </c>
      <c r="F368" s="5" t="s">
        <v>4896</v>
      </c>
      <c r="G368" s="13" t="s">
        <v>4897</v>
      </c>
      <c r="H368" s="5" t="s">
        <v>4898</v>
      </c>
      <c r="I368" s="13" t="s">
        <v>4899</v>
      </c>
      <c r="J368" s="5" t="s">
        <v>4900</v>
      </c>
      <c r="K368" s="5" t="s">
        <v>4901</v>
      </c>
      <c r="L368" s="13" t="s">
        <v>4902</v>
      </c>
      <c r="M368" s="13" t="s">
        <v>4903</v>
      </c>
      <c r="N368" s="5" t="n">
        <f aca="false">LEN(L368)</f>
        <v>25</v>
      </c>
      <c r="O368" s="5" t="n">
        <f aca="false">LEN(M368)</f>
        <v>25</v>
      </c>
      <c r="P368" s="14" t="n">
        <f aca="false">IF(N368=0,"",(N368-LEN(SUBSTITUTE(SUBSTITUTE(L368,"G",""),"C","")))/N368)</f>
        <v>0.52</v>
      </c>
      <c r="Q368" s="14" t="n">
        <f aca="false">IF(O368=0,"",(O368-LEN(SUBSTITUTE(SUBSTITUTE(M368,"G",""),"C","")))/O368)</f>
        <v>0.6</v>
      </c>
      <c r="R368" s="5" t="s">
        <v>478</v>
      </c>
      <c r="S368" s="15" t="s">
        <v>1677</v>
      </c>
      <c r="T368" s="5" t="n">
        <v>605</v>
      </c>
      <c r="U368" s="5" t="s">
        <v>1678</v>
      </c>
      <c r="V368" s="5" t="s">
        <v>47</v>
      </c>
      <c r="W368" s="5"/>
      <c r="X368" s="15" t="s">
        <v>1677</v>
      </c>
      <c r="Y368" s="5"/>
    </row>
    <row r="369" customFormat="false" ht="15" hidden="false" customHeight="false" outlineLevel="0" collapsed="false">
      <c r="A369" s="5" t="s">
        <v>4904</v>
      </c>
      <c r="B369" s="5" t="s">
        <v>474</v>
      </c>
      <c r="C369" s="5" t="s">
        <v>475</v>
      </c>
      <c r="D369" s="6" t="s">
        <v>45</v>
      </c>
      <c r="E369" s="5" t="n">
        <v>12</v>
      </c>
      <c r="F369" s="5" t="s">
        <v>4905</v>
      </c>
      <c r="G369" s="13" t="s">
        <v>4906</v>
      </c>
      <c r="H369" s="5" t="s">
        <v>4907</v>
      </c>
      <c r="I369" s="13" t="s">
        <v>4908</v>
      </c>
      <c r="J369" s="5" t="s">
        <v>4909</v>
      </c>
      <c r="K369" s="5" t="s">
        <v>4910</v>
      </c>
      <c r="L369" s="13" t="s">
        <v>4911</v>
      </c>
      <c r="M369" s="13" t="s">
        <v>4912</v>
      </c>
      <c r="N369" s="5" t="n">
        <f aca="false">LEN(L369)</f>
        <v>25</v>
      </c>
      <c r="O369" s="5" t="n">
        <f aca="false">LEN(M369)</f>
        <v>25</v>
      </c>
      <c r="P369" s="14" t="n">
        <f aca="false">IF(N369=0,"",(N369-LEN(SUBSTITUTE(SUBSTITUTE(L369,"G",""),"C","")))/N369)</f>
        <v>0.52</v>
      </c>
      <c r="Q369" s="14" t="n">
        <f aca="false">IF(O369=0,"",(O369-LEN(SUBSTITUTE(SUBSTITUTE(M369,"G",""),"C","")))/O369)</f>
        <v>0.72</v>
      </c>
      <c r="R369" s="5" t="s">
        <v>478</v>
      </c>
      <c r="S369" s="15" t="s">
        <v>1677</v>
      </c>
      <c r="T369" s="5" t="n">
        <v>641</v>
      </c>
      <c r="U369" s="5" t="s">
        <v>1678</v>
      </c>
      <c r="V369" s="5" t="s">
        <v>4813</v>
      </c>
      <c r="W369" s="5"/>
      <c r="X369" s="15" t="s">
        <v>1677</v>
      </c>
      <c r="Y369" s="5"/>
    </row>
    <row r="370" customFormat="false" ht="15" hidden="false" customHeight="false" outlineLevel="0" collapsed="false">
      <c r="A370" s="5" t="s">
        <v>4913</v>
      </c>
      <c r="B370" s="5" t="s">
        <v>474</v>
      </c>
      <c r="C370" s="5" t="s">
        <v>475</v>
      </c>
      <c r="D370" s="6" t="s">
        <v>45</v>
      </c>
      <c r="E370" s="5" t="n">
        <v>13</v>
      </c>
      <c r="F370" s="5" t="s">
        <v>4914</v>
      </c>
      <c r="G370" s="13" t="s">
        <v>4915</v>
      </c>
      <c r="H370" s="5" t="s">
        <v>4916</v>
      </c>
      <c r="I370" s="13" t="s">
        <v>4917</v>
      </c>
      <c r="J370" s="5" t="s">
        <v>4918</v>
      </c>
      <c r="K370" s="5" t="s">
        <v>4919</v>
      </c>
      <c r="L370" s="13" t="s">
        <v>4920</v>
      </c>
      <c r="M370" s="13" t="s">
        <v>4921</v>
      </c>
      <c r="N370" s="5" t="n">
        <f aca="false">LEN(L370)</f>
        <v>25</v>
      </c>
      <c r="O370" s="5" t="n">
        <f aca="false">LEN(M370)</f>
        <v>25</v>
      </c>
      <c r="P370" s="14" t="n">
        <f aca="false">IF(N370=0,"",(N370-LEN(SUBSTITUTE(SUBSTITUTE(L370,"G",""),"C","")))/N370)</f>
        <v>0.48</v>
      </c>
      <c r="Q370" s="14" t="n">
        <f aca="false">IF(O370=0,"",(O370-LEN(SUBSTITUTE(SUBSTITUTE(M370,"G",""),"C","")))/O370)</f>
        <v>0.52</v>
      </c>
      <c r="R370" s="5" t="s">
        <v>478</v>
      </c>
      <c r="S370" s="15" t="s">
        <v>1677</v>
      </c>
      <c r="T370" s="5" t="n">
        <v>721</v>
      </c>
      <c r="U370" s="5" t="s">
        <v>1678</v>
      </c>
      <c r="V370" s="5" t="s">
        <v>4813</v>
      </c>
      <c r="W370" s="5"/>
      <c r="X370" s="15" t="s">
        <v>1677</v>
      </c>
      <c r="Y370" s="5"/>
    </row>
    <row r="371" customFormat="false" ht="15" hidden="false" customHeight="false" outlineLevel="0" collapsed="false">
      <c r="A371" s="5" t="s">
        <v>4922</v>
      </c>
      <c r="B371" s="5" t="s">
        <v>474</v>
      </c>
      <c r="C371" s="5" t="s">
        <v>475</v>
      </c>
      <c r="D371" s="6" t="s">
        <v>45</v>
      </c>
      <c r="E371" s="5" t="n">
        <v>14</v>
      </c>
      <c r="F371" s="5" t="s">
        <v>4923</v>
      </c>
      <c r="G371" s="13" t="s">
        <v>4924</v>
      </c>
      <c r="H371" s="5" t="s">
        <v>4925</v>
      </c>
      <c r="I371" s="13" t="s">
        <v>4926</v>
      </c>
      <c r="J371" s="5" t="s">
        <v>4927</v>
      </c>
      <c r="K371" s="5" t="s">
        <v>4928</v>
      </c>
      <c r="L371" s="13" t="s">
        <v>4929</v>
      </c>
      <c r="M371" s="13" t="s">
        <v>4930</v>
      </c>
      <c r="N371" s="5" t="n">
        <f aca="false">LEN(L371)</f>
        <v>25</v>
      </c>
      <c r="O371" s="5" t="n">
        <f aca="false">LEN(M371)</f>
        <v>25</v>
      </c>
      <c r="P371" s="14" t="n">
        <f aca="false">IF(N371=0,"",(N371-LEN(SUBSTITUTE(SUBSTITUTE(L371,"G",""),"C","")))/N371)</f>
        <v>0.52</v>
      </c>
      <c r="Q371" s="14" t="n">
        <f aca="false">IF(O371=0,"",(O371-LEN(SUBSTITUTE(SUBSTITUTE(M371,"G",""),"C","")))/O371)</f>
        <v>0.44</v>
      </c>
      <c r="R371" s="5" t="s">
        <v>478</v>
      </c>
      <c r="S371" s="15" t="s">
        <v>1677</v>
      </c>
      <c r="T371" s="5" t="n">
        <v>738</v>
      </c>
      <c r="U371" s="5" t="s">
        <v>1678</v>
      </c>
      <c r="V371" s="5" t="s">
        <v>47</v>
      </c>
      <c r="W371" s="5"/>
      <c r="X371" s="8" t="s">
        <v>1914</v>
      </c>
      <c r="Y371" s="5"/>
    </row>
    <row r="372" customFormat="false" ht="15" hidden="false" customHeight="false" outlineLevel="0" collapsed="false">
      <c r="A372" s="5" t="s">
        <v>4931</v>
      </c>
      <c r="B372" s="5" t="s">
        <v>474</v>
      </c>
      <c r="C372" s="5" t="s">
        <v>475</v>
      </c>
      <c r="D372" s="6" t="s">
        <v>45</v>
      </c>
      <c r="E372" s="5" t="n">
        <v>15</v>
      </c>
      <c r="F372" s="5" t="s">
        <v>4932</v>
      </c>
      <c r="G372" s="13" t="s">
        <v>4933</v>
      </c>
      <c r="H372" s="5" t="s">
        <v>4934</v>
      </c>
      <c r="I372" s="13" t="s">
        <v>4935</v>
      </c>
      <c r="J372" s="5" t="s">
        <v>4936</v>
      </c>
      <c r="K372" s="5" t="s">
        <v>4937</v>
      </c>
      <c r="L372" s="13" t="s">
        <v>4938</v>
      </c>
      <c r="M372" s="13" t="s">
        <v>4939</v>
      </c>
      <c r="N372" s="5" t="n">
        <f aca="false">LEN(L372)</f>
        <v>25</v>
      </c>
      <c r="O372" s="5" t="n">
        <f aca="false">LEN(M372)</f>
        <v>25</v>
      </c>
      <c r="P372" s="14" t="n">
        <f aca="false">IF(N372=0,"",(N372-LEN(SUBSTITUTE(SUBSTITUTE(L372,"G",""),"C","")))/N372)</f>
        <v>0.44</v>
      </c>
      <c r="Q372" s="14" t="n">
        <f aca="false">IF(O372=0,"",(O372-LEN(SUBSTITUTE(SUBSTITUTE(M372,"G",""),"C","")))/O372)</f>
        <v>0.4</v>
      </c>
      <c r="R372" s="5" t="s">
        <v>478</v>
      </c>
      <c r="S372" s="15" t="s">
        <v>1677</v>
      </c>
      <c r="T372" s="5" t="n">
        <v>802</v>
      </c>
      <c r="U372" s="5" t="s">
        <v>1678</v>
      </c>
      <c r="V372" s="5" t="s">
        <v>4813</v>
      </c>
      <c r="W372" s="5"/>
      <c r="X372" s="15" t="s">
        <v>1677</v>
      </c>
      <c r="Y372" s="5"/>
    </row>
    <row r="373" customFormat="false" ht="15" hidden="false" customHeight="false" outlineLevel="0" collapsed="false">
      <c r="A373" s="5" t="s">
        <v>4940</v>
      </c>
      <c r="B373" s="5" t="s">
        <v>474</v>
      </c>
      <c r="C373" s="5" t="s">
        <v>475</v>
      </c>
      <c r="D373" s="6" t="s">
        <v>45</v>
      </c>
      <c r="E373" s="5" t="n">
        <v>16</v>
      </c>
      <c r="F373" s="5" t="s">
        <v>4941</v>
      </c>
      <c r="G373" s="13" t="s">
        <v>4942</v>
      </c>
      <c r="H373" s="5" t="s">
        <v>4943</v>
      </c>
      <c r="I373" s="13" t="s">
        <v>4944</v>
      </c>
      <c r="J373" s="5" t="s">
        <v>4945</v>
      </c>
      <c r="K373" s="5" t="s">
        <v>4946</v>
      </c>
      <c r="L373" s="13" t="s">
        <v>4947</v>
      </c>
      <c r="M373" s="13" t="s">
        <v>4948</v>
      </c>
      <c r="N373" s="5" t="n">
        <f aca="false">LEN(L373)</f>
        <v>25</v>
      </c>
      <c r="O373" s="5" t="n">
        <f aca="false">LEN(M373)</f>
        <v>25</v>
      </c>
      <c r="P373" s="14" t="n">
        <f aca="false">IF(N373=0,"",(N373-LEN(SUBSTITUTE(SUBSTITUTE(L373,"G",""),"C","")))/N373)</f>
        <v>0.32</v>
      </c>
      <c r="Q373" s="14" t="n">
        <f aca="false">IF(O373=0,"",(O373-LEN(SUBSTITUTE(SUBSTITUTE(M373,"G",""),"C","")))/O373)</f>
        <v>0.44</v>
      </c>
      <c r="R373" s="5" t="s">
        <v>478</v>
      </c>
      <c r="S373" s="15" t="s">
        <v>1677</v>
      </c>
      <c r="T373" s="5" t="n">
        <v>875</v>
      </c>
      <c r="U373" s="5" t="s">
        <v>1678</v>
      </c>
      <c r="V373" s="5" t="s">
        <v>47</v>
      </c>
      <c r="W373" s="5"/>
      <c r="X373" s="8" t="s">
        <v>1914</v>
      </c>
      <c r="Y373" s="5"/>
    </row>
    <row r="374" customFormat="false" ht="15" hidden="false" customHeight="false" outlineLevel="0" collapsed="false">
      <c r="A374" s="5" t="s">
        <v>4949</v>
      </c>
      <c r="B374" s="5" t="s">
        <v>474</v>
      </c>
      <c r="C374" s="5" t="s">
        <v>475</v>
      </c>
      <c r="D374" s="6" t="s">
        <v>45</v>
      </c>
      <c r="E374" s="5" t="n">
        <v>17</v>
      </c>
      <c r="F374" s="5" t="s">
        <v>4950</v>
      </c>
      <c r="G374" s="13" t="s">
        <v>4951</v>
      </c>
      <c r="H374" s="5" t="s">
        <v>4952</v>
      </c>
      <c r="I374" s="13" t="s">
        <v>4953</v>
      </c>
      <c r="J374" s="5" t="s">
        <v>4887</v>
      </c>
      <c r="K374" s="5" t="s">
        <v>4889</v>
      </c>
      <c r="L374" s="13" t="s">
        <v>4954</v>
      </c>
      <c r="M374" s="13" t="s">
        <v>4955</v>
      </c>
      <c r="N374" s="5" t="n">
        <f aca="false">LEN(L374)</f>
        <v>25</v>
      </c>
      <c r="O374" s="5" t="n">
        <f aca="false">LEN(M374)</f>
        <v>25</v>
      </c>
      <c r="P374" s="14" t="n">
        <f aca="false">IF(N374=0,"",(N374-LEN(SUBSTITUTE(SUBSTITUTE(L374,"G",""),"C","")))/N374)</f>
        <v>0.48</v>
      </c>
      <c r="Q374" s="14" t="n">
        <f aca="false">IF(O374=0,"",(O374-LEN(SUBSTITUTE(SUBSTITUTE(M374,"G",""),"C","")))/O374)</f>
        <v>0.4</v>
      </c>
      <c r="R374" s="5" t="s">
        <v>478</v>
      </c>
      <c r="S374" s="15" t="s">
        <v>1677</v>
      </c>
      <c r="T374" s="5" t="n">
        <v>888</v>
      </c>
      <c r="U374" s="5" t="s">
        <v>1678</v>
      </c>
      <c r="V374" s="5" t="s">
        <v>4813</v>
      </c>
      <c r="W374" s="5"/>
      <c r="X374" s="8" t="s">
        <v>1914</v>
      </c>
      <c r="Y374" s="5"/>
    </row>
    <row r="375" customFormat="false" ht="15" hidden="false" customHeight="false" outlineLevel="0" collapsed="false">
      <c r="A375" s="5" t="s">
        <v>4956</v>
      </c>
      <c r="B375" s="5" t="s">
        <v>474</v>
      </c>
      <c r="C375" s="5" t="s">
        <v>475</v>
      </c>
      <c r="D375" s="6" t="s">
        <v>45</v>
      </c>
      <c r="E375" s="5" t="n">
        <v>18</v>
      </c>
      <c r="F375" s="5" t="s">
        <v>4957</v>
      </c>
      <c r="G375" s="13" t="s">
        <v>4958</v>
      </c>
      <c r="H375" s="5" t="s">
        <v>4959</v>
      </c>
      <c r="I375" s="13" t="s">
        <v>4960</v>
      </c>
      <c r="J375" s="5" t="s">
        <v>4896</v>
      </c>
      <c r="K375" s="5" t="s">
        <v>4898</v>
      </c>
      <c r="L375" s="13" t="s">
        <v>4961</v>
      </c>
      <c r="M375" s="13" t="s">
        <v>4962</v>
      </c>
      <c r="N375" s="5" t="n">
        <f aca="false">LEN(L375)</f>
        <v>25</v>
      </c>
      <c r="O375" s="5" t="n">
        <f aca="false">LEN(M375)</f>
        <v>25</v>
      </c>
      <c r="P375" s="14" t="n">
        <f aca="false">IF(N375=0,"",(N375-LEN(SUBSTITUTE(SUBSTITUTE(L375,"G",""),"C","")))/N375)</f>
        <v>0.52</v>
      </c>
      <c r="Q375" s="14" t="n">
        <f aca="false">IF(O375=0,"",(O375-LEN(SUBSTITUTE(SUBSTITUTE(M375,"G",""),"C","")))/O375)</f>
        <v>0.44</v>
      </c>
      <c r="R375" s="5" t="s">
        <v>478</v>
      </c>
      <c r="S375" s="15" t="s">
        <v>1677</v>
      </c>
      <c r="T375" s="5" t="n">
        <v>968</v>
      </c>
      <c r="U375" s="5" t="s">
        <v>1678</v>
      </c>
      <c r="V375" s="5" t="s">
        <v>4963</v>
      </c>
      <c r="W375" s="5"/>
      <c r="X375" s="8" t="s">
        <v>1769</v>
      </c>
      <c r="Y375" s="5"/>
    </row>
    <row r="376" customFormat="false" ht="15" hidden="false" customHeight="false" outlineLevel="0" collapsed="false">
      <c r="A376" s="5" t="s">
        <v>4964</v>
      </c>
      <c r="B376" s="5" t="s">
        <v>474</v>
      </c>
      <c r="C376" s="5" t="s">
        <v>475</v>
      </c>
      <c r="D376" s="6" t="s">
        <v>45</v>
      </c>
      <c r="E376" s="5" t="n">
        <v>19</v>
      </c>
      <c r="F376" s="5" t="s">
        <v>4965</v>
      </c>
      <c r="G376" s="13" t="s">
        <v>4966</v>
      </c>
      <c r="H376" s="5" t="s">
        <v>4967</v>
      </c>
      <c r="I376" s="13" t="s">
        <v>4968</v>
      </c>
      <c r="J376" s="5" t="s">
        <v>4969</v>
      </c>
      <c r="K376" s="5" t="s">
        <v>4970</v>
      </c>
      <c r="L376" s="13" t="s">
        <v>4971</v>
      </c>
      <c r="M376" s="13" t="s">
        <v>4972</v>
      </c>
      <c r="N376" s="5" t="n">
        <f aca="false">LEN(L376)</f>
        <v>25</v>
      </c>
      <c r="O376" s="5" t="n">
        <f aca="false">LEN(M376)</f>
        <v>25</v>
      </c>
      <c r="P376" s="14" t="n">
        <f aca="false">IF(N376=0,"",(N376-LEN(SUBSTITUTE(SUBSTITUTE(L376,"G",""),"C","")))/N376)</f>
        <v>0.32</v>
      </c>
      <c r="Q376" s="14" t="n">
        <f aca="false">IF(O376=0,"",(O376-LEN(SUBSTITUTE(SUBSTITUTE(M376,"G",""),"C","")))/O376)</f>
        <v>0.44</v>
      </c>
      <c r="R376" s="5" t="s">
        <v>478</v>
      </c>
      <c r="S376" s="15" t="s">
        <v>1677</v>
      </c>
      <c r="T376" s="5" t="n">
        <v>1009</v>
      </c>
      <c r="U376" s="5" t="s">
        <v>1678</v>
      </c>
      <c r="V376" s="5" t="s">
        <v>47</v>
      </c>
      <c r="W376" s="5"/>
      <c r="X376" s="15" t="s">
        <v>1677</v>
      </c>
      <c r="Y376" s="5"/>
    </row>
    <row r="377" customFormat="false" ht="15" hidden="false" customHeight="false" outlineLevel="0" collapsed="false">
      <c r="A377" s="5" t="s">
        <v>4973</v>
      </c>
      <c r="B377" s="5" t="s">
        <v>474</v>
      </c>
      <c r="C377" s="5" t="s">
        <v>475</v>
      </c>
      <c r="D377" s="6" t="s">
        <v>45</v>
      </c>
      <c r="E377" s="5" t="n">
        <v>20</v>
      </c>
      <c r="F377" s="5" t="s">
        <v>4974</v>
      </c>
      <c r="G377" s="13" t="s">
        <v>4975</v>
      </c>
      <c r="H377" s="5" t="s">
        <v>4976</v>
      </c>
      <c r="I377" s="13" t="s">
        <v>4977</v>
      </c>
      <c r="J377" s="5" t="s">
        <v>4905</v>
      </c>
      <c r="K377" s="5" t="s">
        <v>4907</v>
      </c>
      <c r="L377" s="13" t="s">
        <v>4978</v>
      </c>
      <c r="M377" s="13" t="s">
        <v>4979</v>
      </c>
      <c r="N377" s="5" t="n">
        <f aca="false">LEN(L377)</f>
        <v>25</v>
      </c>
      <c r="O377" s="5" t="n">
        <f aca="false">LEN(M377)</f>
        <v>25</v>
      </c>
      <c r="P377" s="14" t="n">
        <f aca="false">IF(N377=0,"",(N377-LEN(SUBSTITUTE(SUBSTITUTE(L377,"G",""),"C","")))/N377)</f>
        <v>0.48</v>
      </c>
      <c r="Q377" s="14" t="n">
        <f aca="false">IF(O377=0,"",(O377-LEN(SUBSTITUTE(SUBSTITUTE(M377,"G",""),"C","")))/O377)</f>
        <v>0.4</v>
      </c>
      <c r="R377" s="5" t="s">
        <v>478</v>
      </c>
      <c r="S377" s="15" t="s">
        <v>1677</v>
      </c>
      <c r="T377" s="5" t="n">
        <v>1056</v>
      </c>
      <c r="U377" s="5" t="s">
        <v>1678</v>
      </c>
      <c r="V377" s="5" t="s">
        <v>4963</v>
      </c>
      <c r="W377" s="5"/>
      <c r="X377" s="15" t="s">
        <v>1677</v>
      </c>
      <c r="Y377" s="5"/>
    </row>
    <row r="378" customFormat="false" ht="15" hidden="false" customHeight="false" outlineLevel="0" collapsed="false">
      <c r="A378" s="5" t="s">
        <v>4980</v>
      </c>
      <c r="B378" s="5" t="s">
        <v>474</v>
      </c>
      <c r="C378" s="5" t="s">
        <v>475</v>
      </c>
      <c r="D378" s="6" t="s">
        <v>45</v>
      </c>
      <c r="E378" s="5" t="n">
        <v>21</v>
      </c>
      <c r="F378" s="5" t="s">
        <v>4981</v>
      </c>
      <c r="G378" s="13" t="s">
        <v>4982</v>
      </c>
      <c r="H378" s="5" t="s">
        <v>4983</v>
      </c>
      <c r="I378" s="13" t="s">
        <v>4984</v>
      </c>
      <c r="J378" s="5" t="s">
        <v>4914</v>
      </c>
      <c r="K378" s="5" t="s">
        <v>4916</v>
      </c>
      <c r="L378" s="13" t="s">
        <v>4985</v>
      </c>
      <c r="M378" s="13" t="s">
        <v>4986</v>
      </c>
      <c r="N378" s="5" t="n">
        <f aca="false">LEN(L378)</f>
        <v>25</v>
      </c>
      <c r="O378" s="5" t="n">
        <f aca="false">LEN(M378)</f>
        <v>25</v>
      </c>
      <c r="P378" s="14" t="n">
        <f aca="false">IF(N378=0,"",(N378-LEN(SUBSTITUTE(SUBSTITUTE(L378,"G",""),"C","")))/N378)</f>
        <v>0.48</v>
      </c>
      <c r="Q378" s="14" t="n">
        <f aca="false">IF(O378=0,"",(O378-LEN(SUBSTITUTE(SUBSTITUTE(M378,"G",""),"C","")))/O378)</f>
        <v>0.44</v>
      </c>
      <c r="R378" s="5" t="s">
        <v>478</v>
      </c>
      <c r="S378" s="15" t="s">
        <v>1677</v>
      </c>
      <c r="T378" s="5" t="n">
        <v>1136</v>
      </c>
      <c r="U378" s="5" t="s">
        <v>1678</v>
      </c>
      <c r="V378" s="5" t="s">
        <v>4963</v>
      </c>
      <c r="W378" s="5"/>
      <c r="X378" s="15" t="s">
        <v>1677</v>
      </c>
      <c r="Y378" s="5"/>
    </row>
    <row r="379" customFormat="false" ht="15" hidden="false" customHeight="false" outlineLevel="0" collapsed="false">
      <c r="A379" s="5" t="s">
        <v>4987</v>
      </c>
      <c r="B379" s="5" t="s">
        <v>482</v>
      </c>
      <c r="C379" s="5" t="s">
        <v>483</v>
      </c>
      <c r="D379" s="6" t="s">
        <v>45</v>
      </c>
      <c r="E379" s="5" t="n">
        <v>1</v>
      </c>
      <c r="F379" s="5" t="s">
        <v>4988</v>
      </c>
      <c r="G379" s="13" t="s">
        <v>4989</v>
      </c>
      <c r="H379" s="5" t="s">
        <v>4990</v>
      </c>
      <c r="I379" s="13" t="s">
        <v>4991</v>
      </c>
      <c r="J379" s="5" t="s">
        <v>4992</v>
      </c>
      <c r="K379" s="5" t="s">
        <v>4993</v>
      </c>
      <c r="L379" s="13" t="s">
        <v>4994</v>
      </c>
      <c r="M379" s="13" t="s">
        <v>4995</v>
      </c>
      <c r="N379" s="5" t="n">
        <f aca="false">LEN(L379)</f>
        <v>25</v>
      </c>
      <c r="O379" s="5" t="n">
        <f aca="false">LEN(M379)</f>
        <v>25</v>
      </c>
      <c r="P379" s="14" t="n">
        <f aca="false">IF(N379=0,"",(N379-LEN(SUBSTITUTE(SUBSTITUTE(L379,"G",""),"C","")))/N379)</f>
        <v>0.52</v>
      </c>
      <c r="Q379" s="14" t="n">
        <f aca="false">IF(O379=0,"",(O379-LEN(SUBSTITUTE(SUBSTITUTE(M379,"G",""),"C","")))/O379)</f>
        <v>0.68</v>
      </c>
      <c r="R379" s="5" t="s">
        <v>487</v>
      </c>
      <c r="S379" s="15" t="s">
        <v>1677</v>
      </c>
      <c r="T379" s="5" t="n">
        <v>76</v>
      </c>
      <c r="U379" s="5" t="s">
        <v>1678</v>
      </c>
      <c r="V379" s="5" t="s">
        <v>47</v>
      </c>
      <c r="W379" s="5"/>
      <c r="X379" s="15" t="s">
        <v>1677</v>
      </c>
      <c r="Y379" s="5"/>
    </row>
    <row r="380" customFormat="false" ht="15" hidden="false" customHeight="false" outlineLevel="0" collapsed="false">
      <c r="A380" s="5" t="s">
        <v>4996</v>
      </c>
      <c r="B380" s="5" t="s">
        <v>482</v>
      </c>
      <c r="C380" s="5" t="s">
        <v>483</v>
      </c>
      <c r="D380" s="6" t="s">
        <v>45</v>
      </c>
      <c r="E380" s="5" t="n">
        <v>2</v>
      </c>
      <c r="F380" s="5" t="s">
        <v>4997</v>
      </c>
      <c r="G380" s="13" t="s">
        <v>4998</v>
      </c>
      <c r="H380" s="5" t="s">
        <v>4999</v>
      </c>
      <c r="I380" s="13" t="s">
        <v>5000</v>
      </c>
      <c r="J380" s="5" t="s">
        <v>5001</v>
      </c>
      <c r="K380" s="5" t="s">
        <v>5002</v>
      </c>
      <c r="L380" s="13" t="s">
        <v>5003</v>
      </c>
      <c r="M380" s="13" t="s">
        <v>5004</v>
      </c>
      <c r="N380" s="5" t="n">
        <f aca="false">LEN(L380)</f>
        <v>25</v>
      </c>
      <c r="O380" s="5" t="n">
        <f aca="false">LEN(M380)</f>
        <v>25</v>
      </c>
      <c r="P380" s="14" t="n">
        <f aca="false">IF(N380=0,"",(N380-LEN(SUBSTITUTE(SUBSTITUTE(L380,"G",""),"C","")))/N380)</f>
        <v>0.72</v>
      </c>
      <c r="Q380" s="14" t="n">
        <f aca="false">IF(O380=0,"",(O380-LEN(SUBSTITUTE(SUBSTITUTE(M380,"G",""),"C","")))/O380)</f>
        <v>0.88</v>
      </c>
      <c r="R380" s="5" t="s">
        <v>487</v>
      </c>
      <c r="S380" s="15" t="s">
        <v>1677</v>
      </c>
      <c r="T380" s="5" t="n">
        <v>146</v>
      </c>
      <c r="U380" s="5" t="s">
        <v>1678</v>
      </c>
      <c r="V380" s="5" t="s">
        <v>47</v>
      </c>
      <c r="W380" s="5"/>
      <c r="X380" s="15" t="s">
        <v>1677</v>
      </c>
      <c r="Y380" s="5"/>
    </row>
    <row r="381" customFormat="false" ht="15" hidden="false" customHeight="false" outlineLevel="0" collapsed="false">
      <c r="A381" s="5" t="s">
        <v>5005</v>
      </c>
      <c r="B381" s="5" t="s">
        <v>482</v>
      </c>
      <c r="C381" s="5" t="s">
        <v>483</v>
      </c>
      <c r="D381" s="6" t="s">
        <v>45</v>
      </c>
      <c r="E381" s="5" t="n">
        <v>3</v>
      </c>
      <c r="F381" s="5" t="s">
        <v>5006</v>
      </c>
      <c r="G381" s="13" t="s">
        <v>5007</v>
      </c>
      <c r="H381" s="5" t="s">
        <v>5008</v>
      </c>
      <c r="I381" s="13" t="s">
        <v>5009</v>
      </c>
      <c r="J381" s="5" t="s">
        <v>5010</v>
      </c>
      <c r="K381" s="5" t="s">
        <v>5011</v>
      </c>
      <c r="L381" s="13" t="s">
        <v>5012</v>
      </c>
      <c r="M381" s="13" t="s">
        <v>5013</v>
      </c>
      <c r="N381" s="5" t="n">
        <f aca="false">LEN(L381)</f>
        <v>25</v>
      </c>
      <c r="O381" s="5" t="n">
        <f aca="false">LEN(M381)</f>
        <v>25</v>
      </c>
      <c r="P381" s="14" t="n">
        <f aca="false">IF(N381=0,"",(N381-LEN(SUBSTITUTE(SUBSTITUTE(L381,"G",""),"C","")))/N381)</f>
        <v>1</v>
      </c>
      <c r="Q381" s="14" t="n">
        <f aca="false">IF(O381=0,"",(O381-LEN(SUBSTITUTE(SUBSTITUTE(M381,"G",""),"C","")))/O381)</f>
        <v>0.76</v>
      </c>
      <c r="R381" s="5" t="s">
        <v>487</v>
      </c>
      <c r="S381" s="15" t="s">
        <v>1677</v>
      </c>
      <c r="T381" s="5" t="n">
        <v>216</v>
      </c>
      <c r="U381" s="5" t="s">
        <v>1678</v>
      </c>
      <c r="V381" s="5" t="s">
        <v>47</v>
      </c>
      <c r="W381" s="5"/>
      <c r="X381" s="15" t="s">
        <v>1677</v>
      </c>
      <c r="Y381" s="5"/>
    </row>
    <row r="382" customFormat="false" ht="15" hidden="false" customHeight="false" outlineLevel="0" collapsed="false">
      <c r="A382" s="5" t="s">
        <v>5014</v>
      </c>
      <c r="B382" s="5" t="s">
        <v>482</v>
      </c>
      <c r="C382" s="5" t="s">
        <v>483</v>
      </c>
      <c r="D382" s="6" t="s">
        <v>45</v>
      </c>
      <c r="E382" s="5" t="n">
        <v>4</v>
      </c>
      <c r="F382" s="5" t="s">
        <v>5015</v>
      </c>
      <c r="G382" s="13" t="s">
        <v>5016</v>
      </c>
      <c r="H382" s="5" t="s">
        <v>5017</v>
      </c>
      <c r="I382" s="13" t="s">
        <v>5018</v>
      </c>
      <c r="J382" s="5" t="s">
        <v>5019</v>
      </c>
      <c r="K382" s="5" t="s">
        <v>5020</v>
      </c>
      <c r="L382" s="13" t="s">
        <v>5021</v>
      </c>
      <c r="M382" s="13" t="s">
        <v>5022</v>
      </c>
      <c r="N382" s="5" t="n">
        <f aca="false">LEN(L382)</f>
        <v>25</v>
      </c>
      <c r="O382" s="5" t="n">
        <f aca="false">LEN(M382)</f>
        <v>25</v>
      </c>
      <c r="P382" s="14" t="n">
        <f aca="false">IF(N382=0,"",(N382-LEN(SUBSTITUTE(SUBSTITUTE(L382,"G",""),"C","")))/N382)</f>
        <v>0.56</v>
      </c>
      <c r="Q382" s="14" t="n">
        <f aca="false">IF(O382=0,"",(O382-LEN(SUBSTITUTE(SUBSTITUTE(M382,"G",""),"C","")))/O382)</f>
        <v>0.72</v>
      </c>
      <c r="R382" s="5" t="s">
        <v>487</v>
      </c>
      <c r="S382" s="15" t="s">
        <v>1677</v>
      </c>
      <c r="T382" s="5" t="n">
        <v>286</v>
      </c>
      <c r="U382" s="5" t="s">
        <v>1678</v>
      </c>
      <c r="V382" s="5" t="s">
        <v>47</v>
      </c>
      <c r="W382" s="5"/>
      <c r="X382" s="15" t="s">
        <v>1677</v>
      </c>
      <c r="Y382" s="5"/>
    </row>
    <row r="383" customFormat="false" ht="15" hidden="false" customHeight="false" outlineLevel="0" collapsed="false">
      <c r="A383" s="5" t="s">
        <v>5023</v>
      </c>
      <c r="B383" s="5" t="s">
        <v>482</v>
      </c>
      <c r="C383" s="5" t="s">
        <v>483</v>
      </c>
      <c r="D383" s="6" t="s">
        <v>45</v>
      </c>
      <c r="E383" s="5" t="n">
        <v>5</v>
      </c>
      <c r="F383" s="5" t="s">
        <v>5024</v>
      </c>
      <c r="G383" s="13" t="s">
        <v>5025</v>
      </c>
      <c r="H383" s="5" t="s">
        <v>5026</v>
      </c>
      <c r="I383" s="13" t="s">
        <v>5027</v>
      </c>
      <c r="J383" s="5" t="s">
        <v>5028</v>
      </c>
      <c r="K383" s="5" t="s">
        <v>5029</v>
      </c>
      <c r="L383" s="13" t="s">
        <v>5030</v>
      </c>
      <c r="M383" s="13" t="s">
        <v>5031</v>
      </c>
      <c r="N383" s="5" t="n">
        <f aca="false">LEN(L383)</f>
        <v>25</v>
      </c>
      <c r="O383" s="5" t="n">
        <f aca="false">LEN(M383)</f>
        <v>25</v>
      </c>
      <c r="P383" s="14" t="n">
        <f aca="false">IF(N383=0,"",(N383-LEN(SUBSTITUTE(SUBSTITUTE(L383,"G",""),"C","")))/N383)</f>
        <v>0.6</v>
      </c>
      <c r="Q383" s="14" t="n">
        <f aca="false">IF(O383=0,"",(O383-LEN(SUBSTITUTE(SUBSTITUTE(M383,"G",""),"C","")))/O383)</f>
        <v>0.72</v>
      </c>
      <c r="R383" s="5" t="s">
        <v>487</v>
      </c>
      <c r="S383" s="15" t="s">
        <v>1677</v>
      </c>
      <c r="T383" s="5" t="n">
        <v>356</v>
      </c>
      <c r="U383" s="5" t="s">
        <v>1678</v>
      </c>
      <c r="V383" s="5" t="s">
        <v>47</v>
      </c>
      <c r="W383" s="5"/>
      <c r="X383" s="15" t="s">
        <v>1677</v>
      </c>
      <c r="Y383" s="5"/>
    </row>
    <row r="384" customFormat="false" ht="15" hidden="false" customHeight="false" outlineLevel="0" collapsed="false">
      <c r="A384" s="5" t="s">
        <v>5032</v>
      </c>
      <c r="B384" s="5" t="s">
        <v>482</v>
      </c>
      <c r="C384" s="5" t="s">
        <v>483</v>
      </c>
      <c r="D384" s="6" t="s">
        <v>45</v>
      </c>
      <c r="E384" s="5" t="n">
        <v>6</v>
      </c>
      <c r="F384" s="5" t="s">
        <v>5033</v>
      </c>
      <c r="G384" s="13" t="s">
        <v>5034</v>
      </c>
      <c r="H384" s="5" t="s">
        <v>5035</v>
      </c>
      <c r="I384" s="13" t="s">
        <v>5036</v>
      </c>
      <c r="J384" s="5" t="s">
        <v>5037</v>
      </c>
      <c r="K384" s="5" t="s">
        <v>5038</v>
      </c>
      <c r="L384" s="13" t="s">
        <v>5039</v>
      </c>
      <c r="M384" s="13" t="s">
        <v>5040</v>
      </c>
      <c r="N384" s="5" t="n">
        <f aca="false">LEN(L384)</f>
        <v>25</v>
      </c>
      <c r="O384" s="5" t="n">
        <f aca="false">LEN(M384)</f>
        <v>25</v>
      </c>
      <c r="P384" s="14" t="n">
        <f aca="false">IF(N384=0,"",(N384-LEN(SUBSTITUTE(SUBSTITUTE(L384,"G",""),"C","")))/N384)</f>
        <v>0.72</v>
      </c>
      <c r="Q384" s="14" t="n">
        <f aca="false">IF(O384=0,"",(O384-LEN(SUBSTITUTE(SUBSTITUTE(M384,"G",""),"C","")))/O384)</f>
        <v>0.72</v>
      </c>
      <c r="R384" s="5" t="s">
        <v>487</v>
      </c>
      <c r="S384" s="15" t="s">
        <v>1677</v>
      </c>
      <c r="T384" s="5" t="n">
        <v>426</v>
      </c>
      <c r="U384" s="5" t="s">
        <v>1678</v>
      </c>
      <c r="V384" s="5" t="s">
        <v>47</v>
      </c>
      <c r="W384" s="5"/>
      <c r="X384" s="15" t="s">
        <v>1677</v>
      </c>
      <c r="Y384" s="5"/>
    </row>
    <row r="385" customFormat="false" ht="15" hidden="false" customHeight="false" outlineLevel="0" collapsed="false">
      <c r="A385" s="5" t="s">
        <v>5041</v>
      </c>
      <c r="B385" s="5" t="s">
        <v>489</v>
      </c>
      <c r="C385" s="5" t="s">
        <v>490</v>
      </c>
      <c r="D385" s="6" t="s">
        <v>45</v>
      </c>
      <c r="E385" s="5" t="n">
        <v>1</v>
      </c>
      <c r="F385" s="5" t="s">
        <v>5042</v>
      </c>
      <c r="G385" s="13" t="s">
        <v>5043</v>
      </c>
      <c r="H385" s="5" t="s">
        <v>5044</v>
      </c>
      <c r="I385" s="13" t="s">
        <v>5045</v>
      </c>
      <c r="J385" s="5" t="s">
        <v>5046</v>
      </c>
      <c r="K385" s="5" t="s">
        <v>5047</v>
      </c>
      <c r="L385" s="13" t="s">
        <v>5048</v>
      </c>
      <c r="M385" s="13" t="s">
        <v>5049</v>
      </c>
      <c r="N385" s="5" t="n">
        <f aca="false">LEN(L385)</f>
        <v>25</v>
      </c>
      <c r="O385" s="5" t="n">
        <f aca="false">LEN(M385)</f>
        <v>25</v>
      </c>
      <c r="P385" s="14" t="n">
        <f aca="false">IF(N385=0,"",(N385-LEN(SUBSTITUTE(SUBSTITUTE(L385,"G",""),"C","")))/N385)</f>
        <v>0.76</v>
      </c>
      <c r="Q385" s="14" t="n">
        <f aca="false">IF(O385=0,"",(O385-LEN(SUBSTITUTE(SUBSTITUTE(M385,"G",""),"C","")))/O385)</f>
        <v>0.68</v>
      </c>
      <c r="R385" s="5" t="s">
        <v>493</v>
      </c>
      <c r="S385" s="15" t="s">
        <v>1677</v>
      </c>
      <c r="T385" s="5" t="n">
        <v>216</v>
      </c>
      <c r="U385" s="5" t="s">
        <v>1678</v>
      </c>
      <c r="V385" s="5" t="s">
        <v>154</v>
      </c>
      <c r="W385" s="5"/>
      <c r="X385" s="15" t="s">
        <v>1677</v>
      </c>
      <c r="Y385" s="5"/>
    </row>
    <row r="386" customFormat="false" ht="15" hidden="false" customHeight="false" outlineLevel="0" collapsed="false">
      <c r="A386" s="5" t="s">
        <v>5050</v>
      </c>
      <c r="B386" s="5" t="s">
        <v>489</v>
      </c>
      <c r="C386" s="5" t="s">
        <v>490</v>
      </c>
      <c r="D386" s="6" t="s">
        <v>45</v>
      </c>
      <c r="E386" s="5" t="n">
        <v>2</v>
      </c>
      <c r="F386" s="5" t="s">
        <v>5051</v>
      </c>
      <c r="G386" s="13" t="s">
        <v>5052</v>
      </c>
      <c r="H386" s="5" t="s">
        <v>5053</v>
      </c>
      <c r="I386" s="13" t="s">
        <v>5054</v>
      </c>
      <c r="J386" s="5" t="s">
        <v>5055</v>
      </c>
      <c r="K386" s="5" t="s">
        <v>5056</v>
      </c>
      <c r="L386" s="13" t="s">
        <v>5057</v>
      </c>
      <c r="M386" s="13" t="s">
        <v>5058</v>
      </c>
      <c r="N386" s="5" t="n">
        <f aca="false">LEN(L386)</f>
        <v>25</v>
      </c>
      <c r="O386" s="5" t="n">
        <f aca="false">LEN(M386)</f>
        <v>25</v>
      </c>
      <c r="P386" s="14" t="n">
        <f aca="false">IF(N386=0,"",(N386-LEN(SUBSTITUTE(SUBSTITUTE(L386,"G",""),"C","")))/N386)</f>
        <v>0.56</v>
      </c>
      <c r="Q386" s="14" t="n">
        <f aca="false">IF(O386=0,"",(O386-LEN(SUBSTITUTE(SUBSTITUTE(M386,"G",""),"C","")))/O386)</f>
        <v>0.76</v>
      </c>
      <c r="R386" s="5" t="s">
        <v>493</v>
      </c>
      <c r="S386" s="15" t="s">
        <v>1677</v>
      </c>
      <c r="T386" s="5" t="n">
        <v>286</v>
      </c>
      <c r="U386" s="5" t="s">
        <v>1678</v>
      </c>
      <c r="V386" s="5" t="s">
        <v>154</v>
      </c>
      <c r="W386" s="5"/>
      <c r="X386" s="15" t="s">
        <v>1677</v>
      </c>
      <c r="Y386" s="5"/>
    </row>
    <row r="387" customFormat="false" ht="15" hidden="false" customHeight="false" outlineLevel="0" collapsed="false">
      <c r="A387" s="5" t="s">
        <v>5059</v>
      </c>
      <c r="B387" s="5" t="s">
        <v>489</v>
      </c>
      <c r="C387" s="5" t="s">
        <v>490</v>
      </c>
      <c r="D387" s="6" t="s">
        <v>45</v>
      </c>
      <c r="E387" s="5" t="n">
        <v>3</v>
      </c>
      <c r="F387" s="5" t="s">
        <v>5060</v>
      </c>
      <c r="G387" s="13" t="s">
        <v>5061</v>
      </c>
      <c r="H387" s="5" t="s">
        <v>5062</v>
      </c>
      <c r="I387" s="13" t="s">
        <v>5063</v>
      </c>
      <c r="J387" s="5" t="s">
        <v>5064</v>
      </c>
      <c r="K387" s="5" t="s">
        <v>5065</v>
      </c>
      <c r="L387" s="13" t="s">
        <v>5066</v>
      </c>
      <c r="M387" s="13" t="s">
        <v>5067</v>
      </c>
      <c r="N387" s="5" t="n">
        <f aca="false">LEN(L387)</f>
        <v>25</v>
      </c>
      <c r="O387" s="5" t="n">
        <f aca="false">LEN(M387)</f>
        <v>25</v>
      </c>
      <c r="P387" s="14" t="n">
        <f aca="false">IF(N387=0,"",(N387-LEN(SUBSTITUTE(SUBSTITUTE(L387,"G",""),"C","")))/N387)</f>
        <v>0.64</v>
      </c>
      <c r="Q387" s="14" t="n">
        <f aca="false">IF(O387=0,"",(O387-LEN(SUBSTITUTE(SUBSTITUTE(M387,"G",""),"C","")))/O387)</f>
        <v>0.8</v>
      </c>
      <c r="R387" s="5" t="s">
        <v>493</v>
      </c>
      <c r="S387" s="15" t="s">
        <v>1677</v>
      </c>
      <c r="T387" s="5" t="n">
        <v>356</v>
      </c>
      <c r="U387" s="5" t="s">
        <v>1678</v>
      </c>
      <c r="V387" s="5" t="s">
        <v>154</v>
      </c>
      <c r="W387" s="5"/>
      <c r="X387" s="15" t="s">
        <v>1677</v>
      </c>
      <c r="Y387" s="5"/>
    </row>
    <row r="388" customFormat="false" ht="15" hidden="false" customHeight="false" outlineLevel="0" collapsed="false">
      <c r="A388" s="5" t="s">
        <v>5068</v>
      </c>
      <c r="B388" s="5" t="s">
        <v>489</v>
      </c>
      <c r="C388" s="5" t="s">
        <v>490</v>
      </c>
      <c r="D388" s="6" t="s">
        <v>45</v>
      </c>
      <c r="E388" s="5" t="n">
        <v>4</v>
      </c>
      <c r="F388" s="5" t="s">
        <v>5069</v>
      </c>
      <c r="G388" s="13" t="s">
        <v>5070</v>
      </c>
      <c r="H388" s="5" t="s">
        <v>5071</v>
      </c>
      <c r="I388" s="13" t="s">
        <v>5072</v>
      </c>
      <c r="J388" s="5" t="s">
        <v>5073</v>
      </c>
      <c r="K388" s="5" t="s">
        <v>5074</v>
      </c>
      <c r="L388" s="13" t="s">
        <v>5075</v>
      </c>
      <c r="M388" s="13" t="s">
        <v>5076</v>
      </c>
      <c r="N388" s="5" t="n">
        <f aca="false">LEN(L388)</f>
        <v>25</v>
      </c>
      <c r="O388" s="5" t="n">
        <f aca="false">LEN(M388)</f>
        <v>25</v>
      </c>
      <c r="P388" s="14" t="n">
        <f aca="false">IF(N388=0,"",(N388-LEN(SUBSTITUTE(SUBSTITUTE(L388,"G",""),"C","")))/N388)</f>
        <v>0.68</v>
      </c>
      <c r="Q388" s="14" t="n">
        <f aca="false">IF(O388=0,"",(O388-LEN(SUBSTITUTE(SUBSTITUTE(M388,"G",""),"C","")))/O388)</f>
        <v>0.72</v>
      </c>
      <c r="R388" s="5" t="s">
        <v>493</v>
      </c>
      <c r="S388" s="15" t="s">
        <v>1677</v>
      </c>
      <c r="T388" s="5" t="n">
        <v>426</v>
      </c>
      <c r="U388" s="5" t="s">
        <v>1678</v>
      </c>
      <c r="V388" s="5" t="s">
        <v>154</v>
      </c>
      <c r="W388" s="5"/>
      <c r="X388" s="15" t="s">
        <v>1677</v>
      </c>
      <c r="Y388" s="5"/>
    </row>
    <row r="389" customFormat="false" ht="15" hidden="false" customHeight="false" outlineLevel="0" collapsed="false">
      <c r="A389" s="5" t="s">
        <v>5077</v>
      </c>
      <c r="B389" s="5" t="s">
        <v>489</v>
      </c>
      <c r="C389" s="5" t="s">
        <v>490</v>
      </c>
      <c r="D389" s="6" t="s">
        <v>45</v>
      </c>
      <c r="E389" s="5" t="n">
        <v>5</v>
      </c>
      <c r="F389" s="5" t="s">
        <v>5078</v>
      </c>
      <c r="G389" s="13" t="s">
        <v>5079</v>
      </c>
      <c r="H389" s="5" t="s">
        <v>5080</v>
      </c>
      <c r="I389" s="13" t="s">
        <v>5081</v>
      </c>
      <c r="J389" s="5" t="s">
        <v>5082</v>
      </c>
      <c r="K389" s="5" t="s">
        <v>5083</v>
      </c>
      <c r="L389" s="13" t="s">
        <v>5084</v>
      </c>
      <c r="M389" s="13" t="s">
        <v>5085</v>
      </c>
      <c r="N389" s="5" t="n">
        <f aca="false">LEN(L389)</f>
        <v>25</v>
      </c>
      <c r="O389" s="5" t="n">
        <f aca="false">LEN(M389)</f>
        <v>25</v>
      </c>
      <c r="P389" s="14" t="n">
        <f aca="false">IF(N389=0,"",(N389-LEN(SUBSTITUTE(SUBSTITUTE(L389,"G",""),"C","")))/N389)</f>
        <v>0.68</v>
      </c>
      <c r="Q389" s="14" t="n">
        <f aca="false">IF(O389=0,"",(O389-LEN(SUBSTITUTE(SUBSTITUTE(M389,"G",""),"C","")))/O389)</f>
        <v>0.6</v>
      </c>
      <c r="R389" s="5" t="s">
        <v>493</v>
      </c>
      <c r="S389" s="15" t="s">
        <v>1677</v>
      </c>
      <c r="T389" s="5" t="n">
        <v>496</v>
      </c>
      <c r="U389" s="5" t="s">
        <v>1678</v>
      </c>
      <c r="V389" s="5" t="s">
        <v>154</v>
      </c>
      <c r="W389" s="5"/>
      <c r="X389" s="15" t="s">
        <v>1677</v>
      </c>
      <c r="Y389" s="5"/>
    </row>
    <row r="390" customFormat="false" ht="15" hidden="false" customHeight="false" outlineLevel="0" collapsed="false">
      <c r="A390" s="5" t="s">
        <v>5086</v>
      </c>
      <c r="B390" s="5" t="s">
        <v>489</v>
      </c>
      <c r="C390" s="5" t="s">
        <v>490</v>
      </c>
      <c r="D390" s="6" t="s">
        <v>45</v>
      </c>
      <c r="E390" s="5" t="n">
        <v>6</v>
      </c>
      <c r="F390" s="5" t="s">
        <v>5087</v>
      </c>
      <c r="G390" s="13" t="s">
        <v>5088</v>
      </c>
      <c r="H390" s="5" t="s">
        <v>5089</v>
      </c>
      <c r="I390" s="13" t="s">
        <v>5090</v>
      </c>
      <c r="J390" s="5" t="s">
        <v>5091</v>
      </c>
      <c r="K390" s="5" t="s">
        <v>5092</v>
      </c>
      <c r="L390" s="13" t="s">
        <v>5093</v>
      </c>
      <c r="M390" s="13" t="s">
        <v>5094</v>
      </c>
      <c r="N390" s="5" t="n">
        <f aca="false">LEN(L390)</f>
        <v>25</v>
      </c>
      <c r="O390" s="5" t="n">
        <f aca="false">LEN(M390)</f>
        <v>25</v>
      </c>
      <c r="P390" s="14" t="n">
        <f aca="false">IF(N390=0,"",(N390-LEN(SUBSTITUTE(SUBSTITUTE(L390,"G",""),"C","")))/N390)</f>
        <v>0.44</v>
      </c>
      <c r="Q390" s="14" t="n">
        <f aca="false">IF(O390=0,"",(O390-LEN(SUBSTITUTE(SUBSTITUTE(M390,"G",""),"C","")))/O390)</f>
        <v>0.64</v>
      </c>
      <c r="R390" s="5" t="s">
        <v>493</v>
      </c>
      <c r="S390" s="15" t="s">
        <v>1677</v>
      </c>
      <c r="T390" s="5" t="n">
        <v>566</v>
      </c>
      <c r="U390" s="5" t="s">
        <v>1678</v>
      </c>
      <c r="V390" s="5" t="s">
        <v>154</v>
      </c>
      <c r="W390" s="5"/>
      <c r="X390" s="15" t="s">
        <v>1677</v>
      </c>
      <c r="Y390" s="5"/>
    </row>
    <row r="391" customFormat="false" ht="15" hidden="false" customHeight="false" outlineLevel="0" collapsed="false">
      <c r="A391" s="5" t="s">
        <v>5095</v>
      </c>
      <c r="B391" s="5" t="s">
        <v>489</v>
      </c>
      <c r="C391" s="5" t="s">
        <v>490</v>
      </c>
      <c r="D391" s="6" t="s">
        <v>45</v>
      </c>
      <c r="E391" s="5" t="n">
        <v>7</v>
      </c>
      <c r="F391" s="5" t="s">
        <v>5096</v>
      </c>
      <c r="G391" s="13" t="s">
        <v>5097</v>
      </c>
      <c r="H391" s="5" t="s">
        <v>5098</v>
      </c>
      <c r="I391" s="13" t="s">
        <v>5099</v>
      </c>
      <c r="J391" s="5" t="s">
        <v>5100</v>
      </c>
      <c r="K391" s="5" t="s">
        <v>5101</v>
      </c>
      <c r="L391" s="13" t="s">
        <v>5102</v>
      </c>
      <c r="M391" s="13" t="s">
        <v>5103</v>
      </c>
      <c r="N391" s="5" t="n">
        <f aca="false">LEN(L391)</f>
        <v>25</v>
      </c>
      <c r="O391" s="5" t="n">
        <f aca="false">LEN(M391)</f>
        <v>25</v>
      </c>
      <c r="P391" s="14" t="n">
        <f aca="false">IF(N391=0,"",(N391-LEN(SUBSTITUTE(SUBSTITUTE(L391,"G",""),"C","")))/N391)</f>
        <v>0.48</v>
      </c>
      <c r="Q391" s="14" t="n">
        <f aca="false">IF(O391=0,"",(O391-LEN(SUBSTITUTE(SUBSTITUTE(M391,"G",""),"C","")))/O391)</f>
        <v>0.68</v>
      </c>
      <c r="R391" s="5" t="s">
        <v>493</v>
      </c>
      <c r="S391" s="15" t="s">
        <v>1677</v>
      </c>
      <c r="T391" s="5" t="n">
        <v>636</v>
      </c>
      <c r="U391" s="5" t="s">
        <v>1678</v>
      </c>
      <c r="V391" s="5" t="s">
        <v>154</v>
      </c>
      <c r="W391" s="5"/>
      <c r="X391" s="15" t="s">
        <v>1677</v>
      </c>
      <c r="Y391" s="5"/>
    </row>
    <row r="392" customFormat="false" ht="15" hidden="false" customHeight="false" outlineLevel="0" collapsed="false">
      <c r="A392" s="5" t="s">
        <v>5104</v>
      </c>
      <c r="B392" s="5" t="s">
        <v>489</v>
      </c>
      <c r="C392" s="5" t="s">
        <v>490</v>
      </c>
      <c r="D392" s="6" t="s">
        <v>45</v>
      </c>
      <c r="E392" s="5" t="n">
        <v>8</v>
      </c>
      <c r="F392" s="5" t="s">
        <v>5105</v>
      </c>
      <c r="G392" s="13" t="s">
        <v>5106</v>
      </c>
      <c r="H392" s="5" t="s">
        <v>5107</v>
      </c>
      <c r="I392" s="13" t="s">
        <v>5108</v>
      </c>
      <c r="J392" s="5" t="s">
        <v>5109</v>
      </c>
      <c r="K392" s="5" t="s">
        <v>5110</v>
      </c>
      <c r="L392" s="13" t="s">
        <v>5111</v>
      </c>
      <c r="M392" s="13" t="s">
        <v>5112</v>
      </c>
      <c r="N392" s="5" t="n">
        <f aca="false">LEN(L392)</f>
        <v>25</v>
      </c>
      <c r="O392" s="5" t="n">
        <f aca="false">LEN(M392)</f>
        <v>25</v>
      </c>
      <c r="P392" s="14" t="n">
        <f aca="false">IF(N392=0,"",(N392-LEN(SUBSTITUTE(SUBSTITUTE(L392,"G",""),"C","")))/N392)</f>
        <v>0.52</v>
      </c>
      <c r="Q392" s="14" t="n">
        <f aca="false">IF(O392=0,"",(O392-LEN(SUBSTITUTE(SUBSTITUTE(M392,"G",""),"C","")))/O392)</f>
        <v>0.52</v>
      </c>
      <c r="R392" s="5" t="s">
        <v>493</v>
      </c>
      <c r="S392" s="15" t="s">
        <v>1677</v>
      </c>
      <c r="T392" s="5" t="n">
        <v>706</v>
      </c>
      <c r="U392" s="5" t="s">
        <v>1678</v>
      </c>
      <c r="V392" s="5" t="s">
        <v>154</v>
      </c>
      <c r="W392" s="5"/>
      <c r="X392" s="15" t="s">
        <v>1677</v>
      </c>
      <c r="Y392" s="5"/>
    </row>
    <row r="393" customFormat="false" ht="15" hidden="false" customHeight="false" outlineLevel="0" collapsed="false">
      <c r="A393" s="5" t="s">
        <v>5113</v>
      </c>
      <c r="B393" s="5" t="s">
        <v>495</v>
      </c>
      <c r="C393" s="5" t="s">
        <v>496</v>
      </c>
      <c r="D393" s="6" t="s">
        <v>45</v>
      </c>
      <c r="E393" s="5" t="n">
        <v>1</v>
      </c>
      <c r="F393" s="5" t="s">
        <v>5114</v>
      </c>
      <c r="G393" s="13" t="s">
        <v>5115</v>
      </c>
      <c r="H393" s="5" t="s">
        <v>5116</v>
      </c>
      <c r="I393" s="13" t="s">
        <v>5117</v>
      </c>
      <c r="J393" s="5" t="s">
        <v>5118</v>
      </c>
      <c r="K393" s="5" t="s">
        <v>5119</v>
      </c>
      <c r="L393" s="13" t="s">
        <v>5120</v>
      </c>
      <c r="M393" s="13" t="s">
        <v>5121</v>
      </c>
      <c r="N393" s="5" t="n">
        <f aca="false">LEN(L393)</f>
        <v>25</v>
      </c>
      <c r="O393" s="5" t="n">
        <f aca="false">LEN(M393)</f>
        <v>25</v>
      </c>
      <c r="P393" s="14" t="n">
        <f aca="false">IF(N393=0,"",(N393-LEN(SUBSTITUTE(SUBSTITUTE(L393,"G",""),"C","")))/N393)</f>
        <v>0.48</v>
      </c>
      <c r="Q393" s="14" t="n">
        <f aca="false">IF(O393=0,"",(O393-LEN(SUBSTITUTE(SUBSTITUTE(M393,"G",""),"C","")))/O393)</f>
        <v>0.76</v>
      </c>
      <c r="R393" s="5" t="s">
        <v>501</v>
      </c>
      <c r="S393" s="15" t="s">
        <v>1677</v>
      </c>
      <c r="T393" s="5" t="n">
        <v>1</v>
      </c>
      <c r="U393" s="5" t="s">
        <v>1678</v>
      </c>
      <c r="V393" s="5" t="s">
        <v>5122</v>
      </c>
      <c r="W393" s="5"/>
      <c r="X393" s="15" t="s">
        <v>1677</v>
      </c>
      <c r="Y393" s="5"/>
    </row>
    <row r="394" customFormat="false" ht="15" hidden="false" customHeight="false" outlineLevel="0" collapsed="false">
      <c r="A394" s="5" t="s">
        <v>5123</v>
      </c>
      <c r="B394" s="5" t="s">
        <v>495</v>
      </c>
      <c r="C394" s="5" t="s">
        <v>496</v>
      </c>
      <c r="D394" s="6" t="s">
        <v>45</v>
      </c>
      <c r="E394" s="5" t="n">
        <v>2</v>
      </c>
      <c r="F394" s="5" t="s">
        <v>5124</v>
      </c>
      <c r="G394" s="13" t="s">
        <v>5125</v>
      </c>
      <c r="H394" s="5" t="s">
        <v>5126</v>
      </c>
      <c r="I394" s="13" t="s">
        <v>5127</v>
      </c>
      <c r="J394" s="5" t="s">
        <v>5128</v>
      </c>
      <c r="K394" s="5" t="s">
        <v>5129</v>
      </c>
      <c r="L394" s="13" t="s">
        <v>5130</v>
      </c>
      <c r="M394" s="13" t="s">
        <v>5131</v>
      </c>
      <c r="N394" s="5" t="n">
        <f aca="false">LEN(L394)</f>
        <v>25</v>
      </c>
      <c r="O394" s="5" t="n">
        <f aca="false">LEN(M394)</f>
        <v>25</v>
      </c>
      <c r="P394" s="14" t="n">
        <f aca="false">IF(N394=0,"",(N394-LEN(SUBSTITUTE(SUBSTITUTE(L394,"G",""),"C","")))/N394)</f>
        <v>0.56</v>
      </c>
      <c r="Q394" s="14" t="n">
        <f aca="false">IF(O394=0,"",(O394-LEN(SUBSTITUTE(SUBSTITUTE(M394,"G",""),"C","")))/O394)</f>
        <v>0.52</v>
      </c>
      <c r="R394" s="5" t="s">
        <v>501</v>
      </c>
      <c r="S394" s="15" t="s">
        <v>1677</v>
      </c>
      <c r="T394" s="5" t="n">
        <v>81</v>
      </c>
      <c r="U394" s="5" t="s">
        <v>1678</v>
      </c>
      <c r="V394" s="5" t="s">
        <v>5122</v>
      </c>
      <c r="W394" s="5"/>
      <c r="X394" s="15" t="s">
        <v>1677</v>
      </c>
      <c r="Y394" s="5"/>
    </row>
    <row r="395" customFormat="false" ht="15" hidden="false" customHeight="false" outlineLevel="0" collapsed="false">
      <c r="A395" s="5" t="s">
        <v>5132</v>
      </c>
      <c r="B395" s="5" t="s">
        <v>495</v>
      </c>
      <c r="C395" s="5" t="s">
        <v>496</v>
      </c>
      <c r="D395" s="6" t="s">
        <v>45</v>
      </c>
      <c r="E395" s="5" t="n">
        <v>3</v>
      </c>
      <c r="F395" s="5" t="s">
        <v>5133</v>
      </c>
      <c r="G395" s="13" t="s">
        <v>5134</v>
      </c>
      <c r="H395" s="5" t="s">
        <v>5135</v>
      </c>
      <c r="I395" s="13" t="s">
        <v>5136</v>
      </c>
      <c r="J395" s="5" t="s">
        <v>5137</v>
      </c>
      <c r="K395" s="5" t="s">
        <v>5138</v>
      </c>
      <c r="L395" s="13" t="s">
        <v>5139</v>
      </c>
      <c r="M395" s="13" t="s">
        <v>5140</v>
      </c>
      <c r="N395" s="5" t="n">
        <f aca="false">LEN(L395)</f>
        <v>25</v>
      </c>
      <c r="O395" s="5" t="n">
        <f aca="false">LEN(M395)</f>
        <v>25</v>
      </c>
      <c r="P395" s="14" t="n">
        <f aca="false">IF(N395=0,"",(N395-LEN(SUBSTITUTE(SUBSTITUTE(L395,"G",""),"C","")))/N395)</f>
        <v>0.48</v>
      </c>
      <c r="Q395" s="14" t="n">
        <f aca="false">IF(O395=0,"",(O395-LEN(SUBSTITUTE(SUBSTITUTE(M395,"G",""),"C","")))/O395)</f>
        <v>0.52</v>
      </c>
      <c r="R395" s="5" t="s">
        <v>501</v>
      </c>
      <c r="S395" s="15" t="s">
        <v>1677</v>
      </c>
      <c r="T395" s="5" t="n">
        <v>161</v>
      </c>
      <c r="U395" s="5" t="s">
        <v>1678</v>
      </c>
      <c r="V395" s="5" t="s">
        <v>5122</v>
      </c>
      <c r="W395" s="5"/>
      <c r="X395" s="15" t="s">
        <v>1677</v>
      </c>
      <c r="Y395" s="5"/>
    </row>
    <row r="396" customFormat="false" ht="15" hidden="false" customHeight="false" outlineLevel="0" collapsed="false">
      <c r="A396" s="5" t="s">
        <v>5141</v>
      </c>
      <c r="B396" s="5" t="s">
        <v>495</v>
      </c>
      <c r="C396" s="5" t="s">
        <v>496</v>
      </c>
      <c r="D396" s="6" t="s">
        <v>45</v>
      </c>
      <c r="E396" s="5" t="n">
        <v>4</v>
      </c>
      <c r="F396" s="5" t="s">
        <v>5142</v>
      </c>
      <c r="G396" s="13" t="s">
        <v>5143</v>
      </c>
      <c r="H396" s="5" t="s">
        <v>5144</v>
      </c>
      <c r="I396" s="13" t="s">
        <v>5145</v>
      </c>
      <c r="J396" s="5" t="s">
        <v>5146</v>
      </c>
      <c r="K396" s="5" t="s">
        <v>5147</v>
      </c>
      <c r="L396" s="13" t="s">
        <v>5148</v>
      </c>
      <c r="M396" s="13" t="s">
        <v>5149</v>
      </c>
      <c r="N396" s="5" t="n">
        <f aca="false">LEN(L396)</f>
        <v>25</v>
      </c>
      <c r="O396" s="5" t="n">
        <f aca="false">LEN(M396)</f>
        <v>25</v>
      </c>
      <c r="P396" s="14" t="n">
        <f aca="false">IF(N396=0,"",(N396-LEN(SUBSTITUTE(SUBSTITUTE(L396,"G",""),"C","")))/N396)</f>
        <v>0.64</v>
      </c>
      <c r="Q396" s="14" t="n">
        <f aca="false">IF(O396=0,"",(O396-LEN(SUBSTITUTE(SUBSTITUTE(M396,"G",""),"C","")))/O396)</f>
        <v>0.6</v>
      </c>
      <c r="R396" s="5" t="s">
        <v>501</v>
      </c>
      <c r="S396" s="15" t="s">
        <v>1677</v>
      </c>
      <c r="T396" s="5" t="n">
        <v>241</v>
      </c>
      <c r="U396" s="5" t="s">
        <v>1678</v>
      </c>
      <c r="V396" s="5" t="s">
        <v>500</v>
      </c>
      <c r="W396" s="5" t="s">
        <v>5150</v>
      </c>
      <c r="X396" s="15" t="s">
        <v>1677</v>
      </c>
      <c r="Y396" s="5"/>
    </row>
    <row r="397" customFormat="false" ht="15" hidden="false" customHeight="false" outlineLevel="0" collapsed="false">
      <c r="A397" s="5" t="s">
        <v>5151</v>
      </c>
      <c r="B397" s="5" t="s">
        <v>495</v>
      </c>
      <c r="C397" s="5" t="s">
        <v>496</v>
      </c>
      <c r="D397" s="6" t="s">
        <v>45</v>
      </c>
      <c r="E397" s="5" t="n">
        <v>5</v>
      </c>
      <c r="F397" s="5" t="s">
        <v>5152</v>
      </c>
      <c r="G397" s="13" t="s">
        <v>5153</v>
      </c>
      <c r="H397" s="5" t="s">
        <v>5154</v>
      </c>
      <c r="I397" s="13" t="s">
        <v>5155</v>
      </c>
      <c r="J397" s="5" t="s">
        <v>5156</v>
      </c>
      <c r="K397" s="5" t="s">
        <v>5157</v>
      </c>
      <c r="L397" s="13" t="s">
        <v>5158</v>
      </c>
      <c r="M397" s="13" t="s">
        <v>5159</v>
      </c>
      <c r="N397" s="5" t="n">
        <f aca="false">LEN(L397)</f>
        <v>25</v>
      </c>
      <c r="O397" s="5" t="n">
        <f aca="false">LEN(M397)</f>
        <v>25</v>
      </c>
      <c r="P397" s="14" t="n">
        <f aca="false">IF(N397=0,"",(N397-LEN(SUBSTITUTE(SUBSTITUTE(L397,"G",""),"C","")))/N397)</f>
        <v>0.56</v>
      </c>
      <c r="Q397" s="14" t="n">
        <f aca="false">IF(O397=0,"",(O397-LEN(SUBSTITUTE(SUBSTITUTE(M397,"G",""),"C","")))/O397)</f>
        <v>0.52</v>
      </c>
      <c r="R397" s="5" t="s">
        <v>501</v>
      </c>
      <c r="S397" s="15" t="s">
        <v>1677</v>
      </c>
      <c r="T397" s="5" t="n">
        <v>321</v>
      </c>
      <c r="U397" s="5" t="s">
        <v>1678</v>
      </c>
      <c r="V397" s="5" t="s">
        <v>500</v>
      </c>
      <c r="W397" s="5" t="s">
        <v>5150</v>
      </c>
      <c r="X397" s="15" t="s">
        <v>1677</v>
      </c>
      <c r="Y397" s="5"/>
    </row>
    <row r="398" customFormat="false" ht="15" hidden="false" customHeight="false" outlineLevel="0" collapsed="false">
      <c r="A398" s="5" t="s">
        <v>5160</v>
      </c>
      <c r="B398" s="5" t="s">
        <v>495</v>
      </c>
      <c r="C398" s="5" t="s">
        <v>496</v>
      </c>
      <c r="D398" s="6" t="s">
        <v>45</v>
      </c>
      <c r="E398" s="5" t="n">
        <v>6</v>
      </c>
      <c r="F398" s="5" t="s">
        <v>5161</v>
      </c>
      <c r="G398" s="13" t="s">
        <v>5162</v>
      </c>
      <c r="H398" s="5" t="s">
        <v>5163</v>
      </c>
      <c r="I398" s="13" t="s">
        <v>5164</v>
      </c>
      <c r="J398" s="5" t="s">
        <v>5165</v>
      </c>
      <c r="K398" s="5" t="s">
        <v>5166</v>
      </c>
      <c r="L398" s="13" t="s">
        <v>5167</v>
      </c>
      <c r="M398" s="13" t="s">
        <v>5168</v>
      </c>
      <c r="N398" s="5" t="n">
        <f aca="false">LEN(L398)</f>
        <v>25</v>
      </c>
      <c r="O398" s="5" t="n">
        <f aca="false">LEN(M398)</f>
        <v>25</v>
      </c>
      <c r="P398" s="14" t="n">
        <f aca="false">IF(N398=0,"",(N398-LEN(SUBSTITUTE(SUBSTITUTE(L398,"G",""),"C","")))/N398)</f>
        <v>0.48</v>
      </c>
      <c r="Q398" s="14" t="n">
        <f aca="false">IF(O398=0,"",(O398-LEN(SUBSTITUTE(SUBSTITUTE(M398,"G",""),"C","")))/O398)</f>
        <v>0.56</v>
      </c>
      <c r="R398" s="5" t="s">
        <v>501</v>
      </c>
      <c r="S398" s="15" t="s">
        <v>1677</v>
      </c>
      <c r="T398" s="5" t="n">
        <v>401</v>
      </c>
      <c r="U398" s="5" t="s">
        <v>1678</v>
      </c>
      <c r="V398" s="5" t="s">
        <v>500</v>
      </c>
      <c r="W398" s="5" t="s">
        <v>5150</v>
      </c>
      <c r="X398" s="15" t="s">
        <v>1677</v>
      </c>
      <c r="Y398" s="5"/>
    </row>
    <row r="399" customFormat="false" ht="15" hidden="false" customHeight="false" outlineLevel="0" collapsed="false">
      <c r="A399" s="5" t="s">
        <v>5169</v>
      </c>
      <c r="B399" s="5" t="s">
        <v>495</v>
      </c>
      <c r="C399" s="5" t="s">
        <v>496</v>
      </c>
      <c r="D399" s="6" t="s">
        <v>45</v>
      </c>
      <c r="E399" s="5" t="n">
        <v>7</v>
      </c>
      <c r="F399" s="5" t="s">
        <v>5170</v>
      </c>
      <c r="G399" s="13" t="s">
        <v>5171</v>
      </c>
      <c r="H399" s="5" t="s">
        <v>5172</v>
      </c>
      <c r="I399" s="13" t="s">
        <v>5173</v>
      </c>
      <c r="J399" s="5" t="s">
        <v>5174</v>
      </c>
      <c r="K399" s="5" t="s">
        <v>5175</v>
      </c>
      <c r="L399" s="13" t="s">
        <v>5176</v>
      </c>
      <c r="M399" s="13" t="s">
        <v>5177</v>
      </c>
      <c r="N399" s="5" t="n">
        <f aca="false">LEN(L399)</f>
        <v>25</v>
      </c>
      <c r="O399" s="5" t="n">
        <f aca="false">LEN(M399)</f>
        <v>25</v>
      </c>
      <c r="P399" s="14" t="n">
        <f aca="false">IF(N399=0,"",(N399-LEN(SUBSTITUTE(SUBSTITUTE(L399,"G",""),"C","")))/N399)</f>
        <v>0.4</v>
      </c>
      <c r="Q399" s="14" t="n">
        <f aca="false">IF(O399=0,"",(O399-LEN(SUBSTITUTE(SUBSTITUTE(M399,"G",""),"C","")))/O399)</f>
        <v>0.4</v>
      </c>
      <c r="R399" s="5" t="s">
        <v>501</v>
      </c>
      <c r="S399" s="15" t="s">
        <v>1677</v>
      </c>
      <c r="T399" s="5" t="n">
        <v>511</v>
      </c>
      <c r="U399" s="5" t="s">
        <v>1678</v>
      </c>
      <c r="V399" s="5" t="s">
        <v>500</v>
      </c>
      <c r="W399" s="5" t="s">
        <v>5150</v>
      </c>
      <c r="X399" s="15" t="s">
        <v>1677</v>
      </c>
      <c r="Y399" s="5"/>
    </row>
    <row r="400" customFormat="false" ht="15" hidden="false" customHeight="false" outlineLevel="0" collapsed="false">
      <c r="A400" s="5" t="s">
        <v>5178</v>
      </c>
      <c r="B400" s="5" t="s">
        <v>495</v>
      </c>
      <c r="C400" s="5" t="s">
        <v>496</v>
      </c>
      <c r="D400" s="6" t="s">
        <v>45</v>
      </c>
      <c r="E400" s="5" t="n">
        <v>8</v>
      </c>
      <c r="F400" s="5" t="s">
        <v>5179</v>
      </c>
      <c r="G400" s="13" t="s">
        <v>5180</v>
      </c>
      <c r="H400" s="5" t="s">
        <v>5181</v>
      </c>
      <c r="I400" s="13" t="s">
        <v>5182</v>
      </c>
      <c r="J400" s="5" t="s">
        <v>5183</v>
      </c>
      <c r="K400" s="5" t="s">
        <v>5184</v>
      </c>
      <c r="L400" s="13" t="s">
        <v>5185</v>
      </c>
      <c r="M400" s="13" t="s">
        <v>5186</v>
      </c>
      <c r="N400" s="5" t="n">
        <f aca="false">LEN(L400)</f>
        <v>25</v>
      </c>
      <c r="O400" s="5" t="n">
        <f aca="false">LEN(M400)</f>
        <v>25</v>
      </c>
      <c r="P400" s="14" t="n">
        <f aca="false">IF(N400=0,"",(N400-LEN(SUBSTITUTE(SUBSTITUTE(L400,"G",""),"C","")))/N400)</f>
        <v>0.4</v>
      </c>
      <c r="Q400" s="14" t="n">
        <f aca="false">IF(O400=0,"",(O400-LEN(SUBSTITUTE(SUBSTITUTE(M400,"G",""),"C","")))/O400)</f>
        <v>0.4</v>
      </c>
      <c r="R400" s="5" t="s">
        <v>501</v>
      </c>
      <c r="S400" s="15" t="s">
        <v>1677</v>
      </c>
      <c r="T400" s="5" t="n">
        <v>594</v>
      </c>
      <c r="U400" s="5" t="s">
        <v>1678</v>
      </c>
      <c r="V400" s="5" t="s">
        <v>500</v>
      </c>
      <c r="W400" s="5" t="s">
        <v>5150</v>
      </c>
      <c r="X400" s="15" t="s">
        <v>1677</v>
      </c>
      <c r="Y400" s="5"/>
    </row>
    <row r="401" customFormat="false" ht="15" hidden="false" customHeight="false" outlineLevel="0" collapsed="false">
      <c r="A401" s="5" t="s">
        <v>5187</v>
      </c>
      <c r="B401" s="5" t="s">
        <v>495</v>
      </c>
      <c r="C401" s="5" t="s">
        <v>496</v>
      </c>
      <c r="D401" s="6" t="s">
        <v>45</v>
      </c>
      <c r="E401" s="5" t="n">
        <v>9</v>
      </c>
      <c r="F401" s="5" t="s">
        <v>5188</v>
      </c>
      <c r="G401" s="13" t="s">
        <v>5189</v>
      </c>
      <c r="H401" s="5" t="s">
        <v>5190</v>
      </c>
      <c r="I401" s="13" t="s">
        <v>5191</v>
      </c>
      <c r="J401" s="5" t="s">
        <v>5192</v>
      </c>
      <c r="K401" s="5" t="s">
        <v>5193</v>
      </c>
      <c r="L401" s="13" t="s">
        <v>5194</v>
      </c>
      <c r="M401" s="13" t="s">
        <v>5195</v>
      </c>
      <c r="N401" s="5" t="n">
        <f aca="false">LEN(L401)</f>
        <v>25</v>
      </c>
      <c r="O401" s="5" t="n">
        <f aca="false">LEN(M401)</f>
        <v>25</v>
      </c>
      <c r="P401" s="14" t="n">
        <f aca="false">IF(N401=0,"",(N401-LEN(SUBSTITUTE(SUBSTITUTE(L401,"G",""),"C","")))/N401)</f>
        <v>0.44</v>
      </c>
      <c r="Q401" s="14" t="n">
        <f aca="false">IF(O401=0,"",(O401-LEN(SUBSTITUTE(SUBSTITUTE(M401,"G",""),"C","")))/O401)</f>
        <v>0.4</v>
      </c>
      <c r="R401" s="5" t="s">
        <v>501</v>
      </c>
      <c r="S401" s="15" t="s">
        <v>1677</v>
      </c>
      <c r="T401" s="5" t="n">
        <v>701</v>
      </c>
      <c r="U401" s="5" t="s">
        <v>1678</v>
      </c>
      <c r="V401" s="5" t="s">
        <v>500</v>
      </c>
      <c r="W401" s="5" t="s">
        <v>5150</v>
      </c>
      <c r="X401" s="15" t="s">
        <v>1677</v>
      </c>
      <c r="Y401" s="5"/>
    </row>
    <row r="402" customFormat="false" ht="15" hidden="false" customHeight="false" outlineLevel="0" collapsed="false">
      <c r="A402" s="5" t="s">
        <v>5196</v>
      </c>
      <c r="B402" s="5" t="s">
        <v>495</v>
      </c>
      <c r="C402" s="5" t="s">
        <v>496</v>
      </c>
      <c r="D402" s="6" t="s">
        <v>45</v>
      </c>
      <c r="E402" s="5" t="n">
        <v>10</v>
      </c>
      <c r="F402" s="5" t="s">
        <v>5197</v>
      </c>
      <c r="G402" s="13" t="s">
        <v>5198</v>
      </c>
      <c r="H402" s="5" t="s">
        <v>5199</v>
      </c>
      <c r="I402" s="13" t="s">
        <v>5200</v>
      </c>
      <c r="J402" s="5" t="s">
        <v>5201</v>
      </c>
      <c r="K402" s="5" t="s">
        <v>5202</v>
      </c>
      <c r="L402" s="13" t="s">
        <v>5203</v>
      </c>
      <c r="M402" s="13" t="s">
        <v>5204</v>
      </c>
      <c r="N402" s="5" t="n">
        <f aca="false">LEN(L402)</f>
        <v>25</v>
      </c>
      <c r="O402" s="5" t="n">
        <f aca="false">LEN(M402)</f>
        <v>25</v>
      </c>
      <c r="P402" s="14" t="n">
        <f aca="false">IF(N402=0,"",(N402-LEN(SUBSTITUTE(SUBSTITUTE(L402,"G",""),"C","")))/N402)</f>
        <v>0.4</v>
      </c>
      <c r="Q402" s="14" t="n">
        <f aca="false">IF(O402=0,"",(O402-LEN(SUBSTITUTE(SUBSTITUTE(M402,"G",""),"C","")))/O402)</f>
        <v>0.52</v>
      </c>
      <c r="R402" s="5" t="s">
        <v>501</v>
      </c>
      <c r="S402" s="15" t="s">
        <v>1677</v>
      </c>
      <c r="T402" s="5" t="n">
        <v>817</v>
      </c>
      <c r="U402" s="5" t="s">
        <v>1678</v>
      </c>
      <c r="V402" s="5" t="s">
        <v>500</v>
      </c>
      <c r="W402" s="5" t="s">
        <v>5150</v>
      </c>
      <c r="X402" s="15" t="s">
        <v>1677</v>
      </c>
      <c r="Y402" s="5"/>
    </row>
    <row r="403" customFormat="false" ht="15" hidden="false" customHeight="false" outlineLevel="0" collapsed="false">
      <c r="A403" s="5" t="s">
        <v>5205</v>
      </c>
      <c r="B403" s="5" t="s">
        <v>495</v>
      </c>
      <c r="C403" s="5" t="s">
        <v>496</v>
      </c>
      <c r="D403" s="6" t="s">
        <v>45</v>
      </c>
      <c r="E403" s="5" t="n">
        <v>11</v>
      </c>
      <c r="F403" s="5" t="s">
        <v>5206</v>
      </c>
      <c r="G403" s="13" t="s">
        <v>5207</v>
      </c>
      <c r="H403" s="5" t="s">
        <v>5208</v>
      </c>
      <c r="I403" s="13" t="s">
        <v>5209</v>
      </c>
      <c r="J403" s="5" t="s">
        <v>5210</v>
      </c>
      <c r="K403" s="5" t="s">
        <v>5211</v>
      </c>
      <c r="L403" s="13" t="s">
        <v>5212</v>
      </c>
      <c r="M403" s="13" t="s">
        <v>5213</v>
      </c>
      <c r="N403" s="5" t="n">
        <f aca="false">LEN(L403)</f>
        <v>25</v>
      </c>
      <c r="O403" s="5" t="n">
        <f aca="false">LEN(M403)</f>
        <v>25</v>
      </c>
      <c r="P403" s="14" t="n">
        <f aca="false">IF(N403=0,"",(N403-LEN(SUBSTITUTE(SUBSTITUTE(L403,"G",""),"C","")))/N403)</f>
        <v>0.6</v>
      </c>
      <c r="Q403" s="14" t="n">
        <f aca="false">IF(O403=0,"",(O403-LEN(SUBSTITUTE(SUBSTITUTE(M403,"G",""),"C","")))/O403)</f>
        <v>0.48</v>
      </c>
      <c r="R403" s="5" t="s">
        <v>501</v>
      </c>
      <c r="S403" s="15" t="s">
        <v>1677</v>
      </c>
      <c r="T403" s="5" t="n">
        <v>897</v>
      </c>
      <c r="U403" s="5" t="s">
        <v>1678</v>
      </c>
      <c r="V403" s="5" t="s">
        <v>500</v>
      </c>
      <c r="W403" s="5" t="s">
        <v>5150</v>
      </c>
      <c r="X403" s="15" t="s">
        <v>1677</v>
      </c>
      <c r="Y403" s="5"/>
    </row>
    <row r="404" customFormat="false" ht="15" hidden="false" customHeight="false" outlineLevel="0" collapsed="false">
      <c r="A404" s="5" t="s">
        <v>5214</v>
      </c>
      <c r="B404" s="5" t="s">
        <v>495</v>
      </c>
      <c r="C404" s="5" t="s">
        <v>496</v>
      </c>
      <c r="D404" s="6" t="s">
        <v>45</v>
      </c>
      <c r="E404" s="5" t="n">
        <v>12</v>
      </c>
      <c r="F404" s="5" t="s">
        <v>5215</v>
      </c>
      <c r="G404" s="13" t="s">
        <v>5216</v>
      </c>
      <c r="H404" s="5" t="s">
        <v>5217</v>
      </c>
      <c r="I404" s="13" t="s">
        <v>5218</v>
      </c>
      <c r="J404" s="5" t="s">
        <v>5219</v>
      </c>
      <c r="K404" s="5" t="s">
        <v>5220</v>
      </c>
      <c r="L404" s="13" t="s">
        <v>5221</v>
      </c>
      <c r="M404" s="13" t="s">
        <v>5222</v>
      </c>
      <c r="N404" s="5" t="n">
        <f aca="false">LEN(L404)</f>
        <v>25</v>
      </c>
      <c r="O404" s="5" t="n">
        <f aca="false">LEN(M404)</f>
        <v>25</v>
      </c>
      <c r="P404" s="14" t="n">
        <f aca="false">IF(N404=0,"",(N404-LEN(SUBSTITUTE(SUBSTITUTE(L404,"G",""),"C","")))/N404)</f>
        <v>0.4</v>
      </c>
      <c r="Q404" s="14" t="n">
        <f aca="false">IF(O404=0,"",(O404-LEN(SUBSTITUTE(SUBSTITUTE(M404,"G",""),"C","")))/O404)</f>
        <v>0.4</v>
      </c>
      <c r="R404" s="5" t="s">
        <v>501</v>
      </c>
      <c r="S404" s="15" t="s">
        <v>1677</v>
      </c>
      <c r="T404" s="5" t="n">
        <v>977</v>
      </c>
      <c r="U404" s="5" t="s">
        <v>1678</v>
      </c>
      <c r="V404" s="5" t="s">
        <v>500</v>
      </c>
      <c r="W404" s="5" t="s">
        <v>5150</v>
      </c>
      <c r="X404" s="15" t="s">
        <v>1677</v>
      </c>
      <c r="Y404" s="5"/>
    </row>
    <row r="405" customFormat="false" ht="15" hidden="false" customHeight="false" outlineLevel="0" collapsed="false">
      <c r="A405" s="5" t="s">
        <v>5223</v>
      </c>
      <c r="B405" s="5" t="s">
        <v>495</v>
      </c>
      <c r="C405" s="5" t="s">
        <v>496</v>
      </c>
      <c r="D405" s="6" t="s">
        <v>45</v>
      </c>
      <c r="E405" s="5" t="n">
        <v>13</v>
      </c>
      <c r="F405" s="5" t="s">
        <v>5224</v>
      </c>
      <c r="G405" s="13" t="s">
        <v>5225</v>
      </c>
      <c r="H405" s="5" t="s">
        <v>5226</v>
      </c>
      <c r="I405" s="13" t="s">
        <v>5227</v>
      </c>
      <c r="J405" s="5" t="s">
        <v>5228</v>
      </c>
      <c r="K405" s="5" t="s">
        <v>5229</v>
      </c>
      <c r="L405" s="13" t="s">
        <v>5230</v>
      </c>
      <c r="M405" s="13" t="s">
        <v>5231</v>
      </c>
      <c r="N405" s="5" t="n">
        <f aca="false">LEN(L405)</f>
        <v>25</v>
      </c>
      <c r="O405" s="5" t="n">
        <f aca="false">LEN(M405)</f>
        <v>25</v>
      </c>
      <c r="P405" s="14" t="n">
        <f aca="false">IF(N405=0,"",(N405-LEN(SUBSTITUTE(SUBSTITUTE(L405,"G",""),"C","")))/N405)</f>
        <v>0.48</v>
      </c>
      <c r="Q405" s="14" t="n">
        <f aca="false">IF(O405=0,"",(O405-LEN(SUBSTITUTE(SUBSTITUTE(M405,"G",""),"C","")))/O405)</f>
        <v>0.44</v>
      </c>
      <c r="R405" s="5" t="s">
        <v>501</v>
      </c>
      <c r="S405" s="15" t="s">
        <v>1677</v>
      </c>
      <c r="T405" s="5" t="n">
        <v>1057</v>
      </c>
      <c r="U405" s="5" t="s">
        <v>1678</v>
      </c>
      <c r="V405" s="5" t="s">
        <v>500</v>
      </c>
      <c r="W405" s="5" t="s">
        <v>5150</v>
      </c>
      <c r="X405" s="15" t="s">
        <v>1677</v>
      </c>
      <c r="Y405" s="5"/>
    </row>
    <row r="406" customFormat="false" ht="15" hidden="false" customHeight="false" outlineLevel="0" collapsed="false">
      <c r="A406" s="5" t="s">
        <v>5232</v>
      </c>
      <c r="B406" s="5" t="s">
        <v>495</v>
      </c>
      <c r="C406" s="5" t="s">
        <v>496</v>
      </c>
      <c r="D406" s="6" t="s">
        <v>45</v>
      </c>
      <c r="E406" s="5" t="n">
        <v>14</v>
      </c>
      <c r="F406" s="5" t="s">
        <v>5233</v>
      </c>
      <c r="G406" s="13" t="s">
        <v>5234</v>
      </c>
      <c r="H406" s="5" t="s">
        <v>5235</v>
      </c>
      <c r="I406" s="13" t="s">
        <v>5236</v>
      </c>
      <c r="J406" s="5" t="s">
        <v>5237</v>
      </c>
      <c r="K406" s="5" t="s">
        <v>5238</v>
      </c>
      <c r="L406" s="13" t="s">
        <v>5239</v>
      </c>
      <c r="M406" s="13" t="s">
        <v>5240</v>
      </c>
      <c r="N406" s="5" t="n">
        <f aca="false">LEN(L406)</f>
        <v>25</v>
      </c>
      <c r="O406" s="5" t="n">
        <f aca="false">LEN(M406)</f>
        <v>25</v>
      </c>
      <c r="P406" s="14" t="n">
        <f aca="false">IF(N406=0,"",(N406-LEN(SUBSTITUTE(SUBSTITUTE(L406,"G",""),"C","")))/N406)</f>
        <v>0.56</v>
      </c>
      <c r="Q406" s="14" t="n">
        <f aca="false">IF(O406=0,"",(O406-LEN(SUBSTITUTE(SUBSTITUTE(M406,"G",""),"C","")))/O406)</f>
        <v>0.56</v>
      </c>
      <c r="R406" s="5" t="s">
        <v>501</v>
      </c>
      <c r="S406" s="15" t="s">
        <v>1677</v>
      </c>
      <c r="T406" s="5" t="n">
        <v>1137</v>
      </c>
      <c r="U406" s="5" t="s">
        <v>1678</v>
      </c>
      <c r="V406" s="5" t="s">
        <v>5122</v>
      </c>
      <c r="W406" s="5"/>
      <c r="X406" s="15" t="s">
        <v>1677</v>
      </c>
      <c r="Y406" s="5"/>
    </row>
    <row r="407" customFormat="false" ht="15" hidden="false" customHeight="false" outlineLevel="0" collapsed="false">
      <c r="A407" s="5" t="s">
        <v>5241</v>
      </c>
      <c r="B407" s="5" t="s">
        <v>495</v>
      </c>
      <c r="C407" s="5" t="s">
        <v>496</v>
      </c>
      <c r="D407" s="6" t="s">
        <v>45</v>
      </c>
      <c r="E407" s="5" t="n">
        <v>15</v>
      </c>
      <c r="F407" s="5" t="s">
        <v>5242</v>
      </c>
      <c r="G407" s="13" t="s">
        <v>5243</v>
      </c>
      <c r="H407" s="5" t="s">
        <v>5244</v>
      </c>
      <c r="I407" s="13" t="s">
        <v>5245</v>
      </c>
      <c r="J407" s="5" t="s">
        <v>5246</v>
      </c>
      <c r="K407" s="5" t="s">
        <v>5247</v>
      </c>
      <c r="L407" s="13" t="s">
        <v>5248</v>
      </c>
      <c r="M407" s="13" t="s">
        <v>5249</v>
      </c>
      <c r="N407" s="5" t="n">
        <f aca="false">LEN(L407)</f>
        <v>25</v>
      </c>
      <c r="O407" s="5" t="n">
        <f aca="false">LEN(M407)</f>
        <v>25</v>
      </c>
      <c r="P407" s="14" t="n">
        <f aca="false">IF(N407=0,"",(N407-LEN(SUBSTITUTE(SUBSTITUTE(L407,"G",""),"C","")))/N407)</f>
        <v>0.44</v>
      </c>
      <c r="Q407" s="14" t="n">
        <f aca="false">IF(O407=0,"",(O407-LEN(SUBSTITUTE(SUBSTITUTE(M407,"G",""),"C","")))/O407)</f>
        <v>0.48</v>
      </c>
      <c r="R407" s="5" t="s">
        <v>501</v>
      </c>
      <c r="S407" s="15" t="s">
        <v>1677</v>
      </c>
      <c r="T407" s="5" t="n">
        <v>1217</v>
      </c>
      <c r="U407" s="5" t="s">
        <v>1678</v>
      </c>
      <c r="V407" s="5" t="s">
        <v>5122</v>
      </c>
      <c r="W407" s="5"/>
      <c r="X407" s="15" t="s">
        <v>1677</v>
      </c>
      <c r="Y407" s="5"/>
    </row>
    <row r="408" customFormat="false" ht="15" hidden="false" customHeight="false" outlineLevel="0" collapsed="false">
      <c r="A408" s="5" t="s">
        <v>5250</v>
      </c>
      <c r="B408" s="5" t="s">
        <v>495</v>
      </c>
      <c r="C408" s="5" t="s">
        <v>496</v>
      </c>
      <c r="D408" s="6" t="s">
        <v>45</v>
      </c>
      <c r="E408" s="5" t="n">
        <v>16</v>
      </c>
      <c r="F408" s="5" t="s">
        <v>5251</v>
      </c>
      <c r="G408" s="13" t="s">
        <v>5252</v>
      </c>
      <c r="H408" s="5" t="s">
        <v>5253</v>
      </c>
      <c r="I408" s="13" t="s">
        <v>5254</v>
      </c>
      <c r="J408" s="5" t="s">
        <v>5255</v>
      </c>
      <c r="K408" s="5" t="s">
        <v>5256</v>
      </c>
      <c r="L408" s="13" t="s">
        <v>5257</v>
      </c>
      <c r="M408" s="13" t="s">
        <v>5258</v>
      </c>
      <c r="N408" s="5" t="n">
        <f aca="false">LEN(L408)</f>
        <v>25</v>
      </c>
      <c r="O408" s="5" t="n">
        <f aca="false">LEN(M408)</f>
        <v>25</v>
      </c>
      <c r="P408" s="14" t="n">
        <f aca="false">IF(N408=0,"",(N408-LEN(SUBSTITUTE(SUBSTITUTE(L408,"G",""),"C","")))/N408)</f>
        <v>0.56</v>
      </c>
      <c r="Q408" s="14" t="n">
        <f aca="false">IF(O408=0,"",(O408-LEN(SUBSTITUTE(SUBSTITUTE(M408,"G",""),"C","")))/O408)</f>
        <v>0.6</v>
      </c>
      <c r="R408" s="5" t="s">
        <v>501</v>
      </c>
      <c r="S408" s="15" t="s">
        <v>1677</v>
      </c>
      <c r="T408" s="5" t="n">
        <v>1297</v>
      </c>
      <c r="U408" s="5" t="s">
        <v>1678</v>
      </c>
      <c r="V408" s="5" t="s">
        <v>5122</v>
      </c>
      <c r="W408" s="5"/>
      <c r="X408" s="15" t="s">
        <v>1677</v>
      </c>
      <c r="Y408" s="5"/>
    </row>
    <row r="409" customFormat="false" ht="15" hidden="false" customHeight="false" outlineLevel="0" collapsed="false">
      <c r="A409" s="5" t="s">
        <v>5259</v>
      </c>
      <c r="B409" s="5" t="s">
        <v>495</v>
      </c>
      <c r="C409" s="5" t="s">
        <v>496</v>
      </c>
      <c r="D409" s="6" t="s">
        <v>45</v>
      </c>
      <c r="E409" s="5" t="n">
        <v>17</v>
      </c>
      <c r="F409" s="5" t="s">
        <v>5260</v>
      </c>
      <c r="G409" s="13" t="s">
        <v>5261</v>
      </c>
      <c r="H409" s="5" t="s">
        <v>5262</v>
      </c>
      <c r="I409" s="13" t="s">
        <v>5263</v>
      </c>
      <c r="J409" s="5" t="s">
        <v>5264</v>
      </c>
      <c r="K409" s="5" t="s">
        <v>5265</v>
      </c>
      <c r="L409" s="13" t="s">
        <v>5266</v>
      </c>
      <c r="M409" s="13" t="s">
        <v>5267</v>
      </c>
      <c r="N409" s="5" t="n">
        <f aca="false">LEN(L409)</f>
        <v>25</v>
      </c>
      <c r="O409" s="5" t="n">
        <f aca="false">LEN(M409)</f>
        <v>25</v>
      </c>
      <c r="P409" s="14" t="n">
        <f aca="false">IF(N409=0,"",(N409-LEN(SUBSTITUTE(SUBSTITUTE(L409,"G",""),"C","")))/N409)</f>
        <v>0.72</v>
      </c>
      <c r="Q409" s="14" t="n">
        <f aca="false">IF(O409=0,"",(O409-LEN(SUBSTITUTE(SUBSTITUTE(M409,"G",""),"C","")))/O409)</f>
        <v>0.64</v>
      </c>
      <c r="R409" s="5" t="s">
        <v>501</v>
      </c>
      <c r="S409" s="15" t="s">
        <v>1677</v>
      </c>
      <c r="T409" s="5" t="n">
        <v>1377</v>
      </c>
      <c r="U409" s="5" t="s">
        <v>1678</v>
      </c>
      <c r="V409" s="5" t="s">
        <v>5122</v>
      </c>
      <c r="W409" s="5"/>
      <c r="X409" s="15" t="s">
        <v>1677</v>
      </c>
      <c r="Y409" s="5"/>
    </row>
    <row r="410" customFormat="false" ht="15" hidden="false" customHeight="false" outlineLevel="0" collapsed="false">
      <c r="A410" s="5" t="s">
        <v>5268</v>
      </c>
      <c r="B410" s="5" t="s">
        <v>495</v>
      </c>
      <c r="C410" s="5" t="s">
        <v>496</v>
      </c>
      <c r="D410" s="6" t="s">
        <v>45</v>
      </c>
      <c r="E410" s="5" t="n">
        <v>18</v>
      </c>
      <c r="F410" s="5" t="s">
        <v>5269</v>
      </c>
      <c r="G410" s="13" t="s">
        <v>5270</v>
      </c>
      <c r="H410" s="5" t="s">
        <v>5271</v>
      </c>
      <c r="I410" s="13" t="s">
        <v>5272</v>
      </c>
      <c r="J410" s="5" t="s">
        <v>5273</v>
      </c>
      <c r="K410" s="5" t="s">
        <v>5274</v>
      </c>
      <c r="L410" s="13" t="s">
        <v>5275</v>
      </c>
      <c r="M410" s="13" t="s">
        <v>5276</v>
      </c>
      <c r="N410" s="5" t="n">
        <f aca="false">LEN(L410)</f>
        <v>25</v>
      </c>
      <c r="O410" s="5" t="n">
        <f aca="false">LEN(M410)</f>
        <v>25</v>
      </c>
      <c r="P410" s="14" t="n">
        <f aca="false">IF(N410=0,"",(N410-LEN(SUBSTITUTE(SUBSTITUTE(L410,"G",""),"C","")))/N410)</f>
        <v>0.44</v>
      </c>
      <c r="Q410" s="14" t="n">
        <f aca="false">IF(O410=0,"",(O410-LEN(SUBSTITUTE(SUBSTITUTE(M410,"G",""),"C","")))/O410)</f>
        <v>0.4</v>
      </c>
      <c r="R410" s="5" t="s">
        <v>501</v>
      </c>
      <c r="S410" s="15" t="s">
        <v>1677</v>
      </c>
      <c r="T410" s="5" t="n">
        <v>1459</v>
      </c>
      <c r="U410" s="5" t="s">
        <v>1678</v>
      </c>
      <c r="V410" s="5" t="s">
        <v>5122</v>
      </c>
      <c r="W410" s="5"/>
      <c r="X410" s="15" t="s">
        <v>1677</v>
      </c>
      <c r="Y410" s="5"/>
    </row>
    <row r="411" customFormat="false" ht="15" hidden="false" customHeight="false" outlineLevel="0" collapsed="false">
      <c r="A411" s="5" t="s">
        <v>5277</v>
      </c>
      <c r="B411" s="5" t="s">
        <v>495</v>
      </c>
      <c r="C411" s="5" t="s">
        <v>496</v>
      </c>
      <c r="D411" s="6" t="s">
        <v>45</v>
      </c>
      <c r="E411" s="5" t="n">
        <v>19</v>
      </c>
      <c r="F411" s="5" t="s">
        <v>5278</v>
      </c>
      <c r="G411" s="13" t="s">
        <v>5279</v>
      </c>
      <c r="H411" s="5" t="s">
        <v>5280</v>
      </c>
      <c r="I411" s="13" t="s">
        <v>5281</v>
      </c>
      <c r="J411" s="5" t="s">
        <v>5282</v>
      </c>
      <c r="K411" s="5" t="s">
        <v>5283</v>
      </c>
      <c r="L411" s="13" t="s">
        <v>5284</v>
      </c>
      <c r="M411" s="13" t="s">
        <v>5285</v>
      </c>
      <c r="N411" s="5" t="n">
        <f aca="false">LEN(L411)</f>
        <v>25</v>
      </c>
      <c r="O411" s="5" t="n">
        <f aca="false">LEN(M411)</f>
        <v>25</v>
      </c>
      <c r="P411" s="14" t="n">
        <f aca="false">IF(N411=0,"",(N411-LEN(SUBSTITUTE(SUBSTITUTE(L411,"G",""),"C","")))/N411)</f>
        <v>0.44</v>
      </c>
      <c r="Q411" s="14" t="n">
        <f aca="false">IF(O411=0,"",(O411-LEN(SUBSTITUTE(SUBSTITUTE(M411,"G",""),"C","")))/O411)</f>
        <v>0.68</v>
      </c>
      <c r="R411" s="5" t="s">
        <v>501</v>
      </c>
      <c r="S411" s="15" t="s">
        <v>1677</v>
      </c>
      <c r="T411" s="5" t="n">
        <v>1539</v>
      </c>
      <c r="U411" s="5" t="s">
        <v>1678</v>
      </c>
      <c r="V411" s="5" t="s">
        <v>5122</v>
      </c>
      <c r="W411" s="5"/>
      <c r="X411" s="15" t="s">
        <v>1677</v>
      </c>
      <c r="Y411" s="5"/>
    </row>
    <row r="412" customFormat="false" ht="15" hidden="false" customHeight="false" outlineLevel="0" collapsed="false">
      <c r="A412" s="5" t="s">
        <v>5286</v>
      </c>
      <c r="B412" s="5" t="s">
        <v>495</v>
      </c>
      <c r="C412" s="5" t="s">
        <v>496</v>
      </c>
      <c r="D412" s="6" t="s">
        <v>45</v>
      </c>
      <c r="E412" s="5" t="n">
        <v>20</v>
      </c>
      <c r="F412" s="5" t="s">
        <v>5287</v>
      </c>
      <c r="G412" s="13" t="s">
        <v>5288</v>
      </c>
      <c r="H412" s="5" t="s">
        <v>5289</v>
      </c>
      <c r="I412" s="13" t="s">
        <v>5290</v>
      </c>
      <c r="J412" s="5" t="s">
        <v>5291</v>
      </c>
      <c r="K412" s="5" t="s">
        <v>5292</v>
      </c>
      <c r="L412" s="13" t="s">
        <v>5293</v>
      </c>
      <c r="M412" s="13" t="s">
        <v>5294</v>
      </c>
      <c r="N412" s="5" t="n">
        <f aca="false">LEN(L412)</f>
        <v>25</v>
      </c>
      <c r="O412" s="5" t="n">
        <f aca="false">LEN(M412)</f>
        <v>25</v>
      </c>
      <c r="P412" s="14" t="n">
        <f aca="false">IF(N412=0,"",(N412-LEN(SUBSTITUTE(SUBSTITUTE(L412,"G",""),"C","")))/N412)</f>
        <v>0.4</v>
      </c>
      <c r="Q412" s="14" t="n">
        <f aca="false">IF(O412=0,"",(O412-LEN(SUBSTITUTE(SUBSTITUTE(M412,"G",""),"C","")))/O412)</f>
        <v>0.56</v>
      </c>
      <c r="R412" s="5" t="s">
        <v>501</v>
      </c>
      <c r="S412" s="15" t="s">
        <v>1677</v>
      </c>
      <c r="T412" s="5" t="n">
        <v>1625</v>
      </c>
      <c r="U412" s="5" t="s">
        <v>1678</v>
      </c>
      <c r="V412" s="5" t="s">
        <v>5122</v>
      </c>
      <c r="W412" s="5"/>
      <c r="X412" s="15" t="s">
        <v>1677</v>
      </c>
      <c r="Y412" s="5"/>
    </row>
    <row r="413" customFormat="false" ht="15" hidden="false" customHeight="false" outlineLevel="0" collapsed="false">
      <c r="A413" s="5" t="s">
        <v>5295</v>
      </c>
      <c r="B413" s="5" t="s">
        <v>505</v>
      </c>
      <c r="C413" s="5" t="s">
        <v>506</v>
      </c>
      <c r="D413" s="6" t="s">
        <v>45</v>
      </c>
      <c r="E413" s="5" t="n">
        <v>1</v>
      </c>
      <c r="F413" s="5" t="s">
        <v>5296</v>
      </c>
      <c r="G413" s="13" t="s">
        <v>5297</v>
      </c>
      <c r="H413" s="5" t="s">
        <v>5298</v>
      </c>
      <c r="I413" s="13" t="s">
        <v>5299</v>
      </c>
      <c r="J413" s="5" t="s">
        <v>5300</v>
      </c>
      <c r="K413" s="5" t="s">
        <v>5301</v>
      </c>
      <c r="L413" s="13" t="s">
        <v>5302</v>
      </c>
      <c r="M413" s="13" t="s">
        <v>5303</v>
      </c>
      <c r="N413" s="5" t="n">
        <f aca="false">LEN(L413)</f>
        <v>25</v>
      </c>
      <c r="O413" s="5" t="n">
        <f aca="false">LEN(M413)</f>
        <v>25</v>
      </c>
      <c r="P413" s="14" t="n">
        <f aca="false">IF(N413=0,"",(N413-LEN(SUBSTITUTE(SUBSTITUTE(L413,"G",""),"C","")))/N413)</f>
        <v>0.52</v>
      </c>
      <c r="Q413" s="14" t="n">
        <f aca="false">IF(O413=0,"",(O413-LEN(SUBSTITUTE(SUBSTITUTE(M413,"G",""),"C","")))/O413)</f>
        <v>0.68</v>
      </c>
      <c r="R413" s="5" t="s">
        <v>511</v>
      </c>
      <c r="S413" s="15" t="s">
        <v>1677</v>
      </c>
      <c r="T413" s="5" t="n">
        <v>51</v>
      </c>
      <c r="U413" s="5" t="s">
        <v>1678</v>
      </c>
      <c r="V413" s="5" t="s">
        <v>510</v>
      </c>
      <c r="W413" s="5"/>
      <c r="X413" s="15" t="s">
        <v>1677</v>
      </c>
      <c r="Y413" s="5"/>
    </row>
    <row r="414" customFormat="false" ht="15" hidden="false" customHeight="false" outlineLevel="0" collapsed="false">
      <c r="A414" s="5" t="s">
        <v>5304</v>
      </c>
      <c r="B414" s="5" t="s">
        <v>505</v>
      </c>
      <c r="C414" s="5" t="s">
        <v>506</v>
      </c>
      <c r="D414" s="6" t="s">
        <v>45</v>
      </c>
      <c r="E414" s="5" t="n">
        <v>2</v>
      </c>
      <c r="F414" s="5" t="s">
        <v>5305</v>
      </c>
      <c r="G414" s="13" t="s">
        <v>5306</v>
      </c>
      <c r="H414" s="5" t="s">
        <v>5307</v>
      </c>
      <c r="I414" s="13" t="s">
        <v>5308</v>
      </c>
      <c r="J414" s="5" t="s">
        <v>5309</v>
      </c>
      <c r="K414" s="5" t="s">
        <v>5310</v>
      </c>
      <c r="L414" s="13" t="s">
        <v>5311</v>
      </c>
      <c r="M414" s="13" t="s">
        <v>5312</v>
      </c>
      <c r="N414" s="5" t="n">
        <f aca="false">LEN(L414)</f>
        <v>25</v>
      </c>
      <c r="O414" s="5" t="n">
        <f aca="false">LEN(M414)</f>
        <v>25</v>
      </c>
      <c r="P414" s="14" t="n">
        <f aca="false">IF(N414=0,"",(N414-LEN(SUBSTITUTE(SUBSTITUTE(L414,"G",""),"C","")))/N414)</f>
        <v>0.52</v>
      </c>
      <c r="Q414" s="14" t="n">
        <f aca="false">IF(O414=0,"",(O414-LEN(SUBSTITUTE(SUBSTITUTE(M414,"G",""),"C","")))/O414)</f>
        <v>0.52</v>
      </c>
      <c r="R414" s="5" t="s">
        <v>511</v>
      </c>
      <c r="S414" s="15" t="s">
        <v>1677</v>
      </c>
      <c r="T414" s="5" t="n">
        <v>131</v>
      </c>
      <c r="U414" s="5" t="s">
        <v>1678</v>
      </c>
      <c r="V414" s="5" t="s">
        <v>510</v>
      </c>
      <c r="W414" s="5"/>
      <c r="X414" s="15" t="s">
        <v>1677</v>
      </c>
      <c r="Y414" s="5"/>
    </row>
    <row r="415" customFormat="false" ht="15" hidden="false" customHeight="false" outlineLevel="0" collapsed="false">
      <c r="A415" s="5" t="s">
        <v>5313</v>
      </c>
      <c r="B415" s="5" t="s">
        <v>505</v>
      </c>
      <c r="C415" s="5" t="s">
        <v>506</v>
      </c>
      <c r="D415" s="6" t="s">
        <v>45</v>
      </c>
      <c r="E415" s="5" t="n">
        <v>3</v>
      </c>
      <c r="F415" s="5" t="s">
        <v>5314</v>
      </c>
      <c r="G415" s="13" t="s">
        <v>5315</v>
      </c>
      <c r="H415" s="5" t="s">
        <v>5316</v>
      </c>
      <c r="I415" s="13" t="s">
        <v>5317</v>
      </c>
      <c r="J415" s="5" t="s">
        <v>5318</v>
      </c>
      <c r="K415" s="5" t="s">
        <v>5319</v>
      </c>
      <c r="L415" s="13" t="s">
        <v>5320</v>
      </c>
      <c r="M415" s="13" t="s">
        <v>5321</v>
      </c>
      <c r="N415" s="5" t="n">
        <f aca="false">LEN(L415)</f>
        <v>25</v>
      </c>
      <c r="O415" s="5" t="n">
        <f aca="false">LEN(M415)</f>
        <v>25</v>
      </c>
      <c r="P415" s="14" t="n">
        <f aca="false">IF(N415=0,"",(N415-LEN(SUBSTITUTE(SUBSTITUTE(L415,"G",""),"C","")))/N415)</f>
        <v>0.48</v>
      </c>
      <c r="Q415" s="14" t="n">
        <f aca="false">IF(O415=0,"",(O415-LEN(SUBSTITUTE(SUBSTITUTE(M415,"G",""),"C","")))/O415)</f>
        <v>0.52</v>
      </c>
      <c r="R415" s="5" t="s">
        <v>511</v>
      </c>
      <c r="S415" s="15" t="s">
        <v>1677</v>
      </c>
      <c r="T415" s="5" t="n">
        <v>211</v>
      </c>
      <c r="U415" s="5" t="s">
        <v>1678</v>
      </c>
      <c r="V415" s="5" t="s">
        <v>510</v>
      </c>
      <c r="W415" s="5"/>
      <c r="X415" s="15" t="s">
        <v>1677</v>
      </c>
      <c r="Y415" s="5"/>
    </row>
    <row r="416" customFormat="false" ht="15" hidden="false" customHeight="false" outlineLevel="0" collapsed="false">
      <c r="A416" s="5" t="s">
        <v>5322</v>
      </c>
      <c r="B416" s="5" t="s">
        <v>505</v>
      </c>
      <c r="C416" s="5" t="s">
        <v>506</v>
      </c>
      <c r="D416" s="6" t="s">
        <v>45</v>
      </c>
      <c r="E416" s="5" t="n">
        <v>4</v>
      </c>
      <c r="F416" s="5" t="s">
        <v>5323</v>
      </c>
      <c r="G416" s="13" t="s">
        <v>5324</v>
      </c>
      <c r="H416" s="5" t="s">
        <v>5325</v>
      </c>
      <c r="I416" s="13" t="s">
        <v>5326</v>
      </c>
      <c r="J416" s="5" t="s">
        <v>5327</v>
      </c>
      <c r="K416" s="5" t="s">
        <v>5328</v>
      </c>
      <c r="L416" s="13" t="s">
        <v>5329</v>
      </c>
      <c r="M416" s="13" t="s">
        <v>5330</v>
      </c>
      <c r="N416" s="5" t="n">
        <f aca="false">LEN(L416)</f>
        <v>25</v>
      </c>
      <c r="O416" s="5" t="n">
        <f aca="false">LEN(M416)</f>
        <v>25</v>
      </c>
      <c r="P416" s="14" t="n">
        <f aca="false">IF(N416=0,"",(N416-LEN(SUBSTITUTE(SUBSTITUTE(L416,"G",""),"C","")))/N416)</f>
        <v>0.52</v>
      </c>
      <c r="Q416" s="14" t="n">
        <f aca="false">IF(O416=0,"",(O416-LEN(SUBSTITUTE(SUBSTITUTE(M416,"G",""),"C","")))/O416)</f>
        <v>0.52</v>
      </c>
      <c r="R416" s="5" t="s">
        <v>511</v>
      </c>
      <c r="S416" s="15" t="s">
        <v>1677</v>
      </c>
      <c r="T416" s="5" t="n">
        <v>291</v>
      </c>
      <c r="U416" s="5" t="s">
        <v>1678</v>
      </c>
      <c r="V416" s="5" t="s">
        <v>510</v>
      </c>
      <c r="W416" s="5"/>
      <c r="X416" s="15" t="s">
        <v>1677</v>
      </c>
      <c r="Y416" s="5"/>
    </row>
    <row r="417" customFormat="false" ht="15" hidden="false" customHeight="false" outlineLevel="0" collapsed="false">
      <c r="A417" s="5" t="s">
        <v>5331</v>
      </c>
      <c r="B417" s="5" t="s">
        <v>505</v>
      </c>
      <c r="C417" s="5" t="s">
        <v>506</v>
      </c>
      <c r="D417" s="6" t="s">
        <v>45</v>
      </c>
      <c r="E417" s="5" t="n">
        <v>5</v>
      </c>
      <c r="F417" s="5" t="s">
        <v>5332</v>
      </c>
      <c r="G417" s="13" t="s">
        <v>5333</v>
      </c>
      <c r="H417" s="5" t="s">
        <v>5334</v>
      </c>
      <c r="I417" s="13" t="s">
        <v>5335</v>
      </c>
      <c r="J417" s="5" t="s">
        <v>5336</v>
      </c>
      <c r="K417" s="5" t="s">
        <v>5337</v>
      </c>
      <c r="L417" s="13" t="s">
        <v>5338</v>
      </c>
      <c r="M417" s="13" t="s">
        <v>5339</v>
      </c>
      <c r="N417" s="5" t="n">
        <f aca="false">LEN(L417)</f>
        <v>25</v>
      </c>
      <c r="O417" s="5" t="n">
        <f aca="false">LEN(M417)</f>
        <v>25</v>
      </c>
      <c r="P417" s="14" t="n">
        <f aca="false">IF(N417=0,"",(N417-LEN(SUBSTITUTE(SUBSTITUTE(L417,"G",""),"C","")))/N417)</f>
        <v>0.48</v>
      </c>
      <c r="Q417" s="14" t="n">
        <f aca="false">IF(O417=0,"",(O417-LEN(SUBSTITUTE(SUBSTITUTE(M417,"G",""),"C","")))/O417)</f>
        <v>0.48</v>
      </c>
      <c r="R417" s="5" t="s">
        <v>511</v>
      </c>
      <c r="S417" s="15" t="s">
        <v>1677</v>
      </c>
      <c r="T417" s="5" t="n">
        <v>371</v>
      </c>
      <c r="U417" s="5" t="s">
        <v>1678</v>
      </c>
      <c r="V417" s="5" t="s">
        <v>510</v>
      </c>
      <c r="W417" s="5"/>
      <c r="X417" s="15" t="s">
        <v>1677</v>
      </c>
      <c r="Y417" s="5"/>
    </row>
    <row r="418" customFormat="false" ht="15" hidden="false" customHeight="false" outlineLevel="0" collapsed="false">
      <c r="A418" s="5" t="s">
        <v>5340</v>
      </c>
      <c r="B418" s="5" t="s">
        <v>505</v>
      </c>
      <c r="C418" s="5" t="s">
        <v>506</v>
      </c>
      <c r="D418" s="6" t="s">
        <v>45</v>
      </c>
      <c r="E418" s="5" t="n">
        <v>6</v>
      </c>
      <c r="F418" s="5" t="s">
        <v>5341</v>
      </c>
      <c r="G418" s="13" t="s">
        <v>5342</v>
      </c>
      <c r="H418" s="5" t="s">
        <v>5343</v>
      </c>
      <c r="I418" s="13" t="s">
        <v>5344</v>
      </c>
      <c r="J418" s="5" t="s">
        <v>5345</v>
      </c>
      <c r="K418" s="5" t="s">
        <v>5346</v>
      </c>
      <c r="L418" s="13" t="s">
        <v>5347</v>
      </c>
      <c r="M418" s="13" t="s">
        <v>5348</v>
      </c>
      <c r="N418" s="5" t="n">
        <f aca="false">LEN(L418)</f>
        <v>25</v>
      </c>
      <c r="O418" s="5" t="n">
        <f aca="false">LEN(M418)</f>
        <v>25</v>
      </c>
      <c r="P418" s="14" t="n">
        <f aca="false">IF(N418=0,"",(N418-LEN(SUBSTITUTE(SUBSTITUTE(L418,"G",""),"C","")))/N418)</f>
        <v>0.4</v>
      </c>
      <c r="Q418" s="14" t="n">
        <f aca="false">IF(O418=0,"",(O418-LEN(SUBSTITUTE(SUBSTITUTE(M418,"G",""),"C","")))/O418)</f>
        <v>0.56</v>
      </c>
      <c r="R418" s="5" t="s">
        <v>511</v>
      </c>
      <c r="S418" s="15" t="s">
        <v>1677</v>
      </c>
      <c r="T418" s="5" t="n">
        <v>457</v>
      </c>
      <c r="U418" s="5" t="s">
        <v>1678</v>
      </c>
      <c r="V418" s="5" t="s">
        <v>510</v>
      </c>
      <c r="W418" s="5"/>
      <c r="X418" s="15" t="s">
        <v>1677</v>
      </c>
      <c r="Y418" s="5"/>
    </row>
    <row r="419" customFormat="false" ht="15" hidden="false" customHeight="false" outlineLevel="0" collapsed="false">
      <c r="A419" s="5" t="s">
        <v>5349</v>
      </c>
      <c r="B419" s="5" t="s">
        <v>505</v>
      </c>
      <c r="C419" s="5" t="s">
        <v>506</v>
      </c>
      <c r="D419" s="6" t="s">
        <v>45</v>
      </c>
      <c r="E419" s="5" t="n">
        <v>7</v>
      </c>
      <c r="F419" s="5" t="s">
        <v>5350</v>
      </c>
      <c r="G419" s="13" t="s">
        <v>5351</v>
      </c>
      <c r="H419" s="5" t="s">
        <v>5352</v>
      </c>
      <c r="I419" s="13" t="s">
        <v>5353</v>
      </c>
      <c r="J419" s="5" t="s">
        <v>5354</v>
      </c>
      <c r="K419" s="5" t="s">
        <v>5355</v>
      </c>
      <c r="L419" s="13" t="s">
        <v>5356</v>
      </c>
      <c r="M419" s="13" t="s">
        <v>5357</v>
      </c>
      <c r="N419" s="5" t="n">
        <f aca="false">LEN(L419)</f>
        <v>25</v>
      </c>
      <c r="O419" s="5" t="n">
        <f aca="false">LEN(M419)</f>
        <v>25</v>
      </c>
      <c r="P419" s="14" t="n">
        <f aca="false">IF(N419=0,"",(N419-LEN(SUBSTITUTE(SUBSTITUTE(L419,"G",""),"C","")))/N419)</f>
        <v>0.56</v>
      </c>
      <c r="Q419" s="14" t="n">
        <f aca="false">IF(O419=0,"",(O419-LEN(SUBSTITUTE(SUBSTITUTE(M419,"G",""),"C","")))/O419)</f>
        <v>0.72</v>
      </c>
      <c r="R419" s="5" t="s">
        <v>511</v>
      </c>
      <c r="S419" s="15" t="s">
        <v>1677</v>
      </c>
      <c r="T419" s="5" t="n">
        <v>537</v>
      </c>
      <c r="U419" s="5" t="s">
        <v>1678</v>
      </c>
      <c r="V419" s="5" t="s">
        <v>510</v>
      </c>
      <c r="W419" s="5"/>
      <c r="X419" s="15" t="s">
        <v>1677</v>
      </c>
      <c r="Y419" s="5"/>
    </row>
    <row r="420" customFormat="false" ht="15" hidden="false" customHeight="false" outlineLevel="0" collapsed="false">
      <c r="A420" s="5" t="s">
        <v>5358</v>
      </c>
      <c r="B420" s="5" t="s">
        <v>505</v>
      </c>
      <c r="C420" s="5" t="s">
        <v>506</v>
      </c>
      <c r="D420" s="6" t="s">
        <v>45</v>
      </c>
      <c r="E420" s="5" t="n">
        <v>8</v>
      </c>
      <c r="F420" s="5" t="s">
        <v>5359</v>
      </c>
      <c r="G420" s="13" t="s">
        <v>5360</v>
      </c>
      <c r="H420" s="5" t="s">
        <v>5361</v>
      </c>
      <c r="I420" s="13" t="s">
        <v>5362</v>
      </c>
      <c r="J420" s="5" t="s">
        <v>5363</v>
      </c>
      <c r="K420" s="5" t="s">
        <v>5364</v>
      </c>
      <c r="L420" s="13" t="s">
        <v>5365</v>
      </c>
      <c r="M420" s="13" t="s">
        <v>5366</v>
      </c>
      <c r="N420" s="5" t="n">
        <f aca="false">LEN(L420)</f>
        <v>25</v>
      </c>
      <c r="O420" s="5" t="n">
        <f aca="false">LEN(M420)</f>
        <v>25</v>
      </c>
      <c r="P420" s="14" t="n">
        <f aca="false">IF(N420=0,"",(N420-LEN(SUBSTITUTE(SUBSTITUTE(L420,"G",""),"C","")))/N420)</f>
        <v>0.4</v>
      </c>
      <c r="Q420" s="14" t="n">
        <f aca="false">IF(O420=0,"",(O420-LEN(SUBSTITUTE(SUBSTITUTE(M420,"G",""),"C","")))/O420)</f>
        <v>0.4</v>
      </c>
      <c r="R420" s="5" t="s">
        <v>511</v>
      </c>
      <c r="S420" s="15" t="s">
        <v>1677</v>
      </c>
      <c r="T420" s="5" t="n">
        <v>632</v>
      </c>
      <c r="U420" s="5" t="s">
        <v>1678</v>
      </c>
      <c r="V420" s="5" t="s">
        <v>510</v>
      </c>
      <c r="W420" s="5"/>
      <c r="X420" s="15" t="s">
        <v>1677</v>
      </c>
      <c r="Y420" s="5"/>
    </row>
    <row r="421" customFormat="false" ht="15" hidden="false" customHeight="false" outlineLevel="0" collapsed="false">
      <c r="A421" s="5" t="s">
        <v>5367</v>
      </c>
      <c r="B421" s="5" t="s">
        <v>505</v>
      </c>
      <c r="C421" s="5" t="s">
        <v>506</v>
      </c>
      <c r="D421" s="6" t="s">
        <v>45</v>
      </c>
      <c r="E421" s="5" t="n">
        <v>9</v>
      </c>
      <c r="F421" s="5" t="s">
        <v>5368</v>
      </c>
      <c r="G421" s="13" t="s">
        <v>5369</v>
      </c>
      <c r="H421" s="5" t="s">
        <v>5370</v>
      </c>
      <c r="I421" s="13" t="s">
        <v>5371</v>
      </c>
      <c r="J421" s="5" t="s">
        <v>5372</v>
      </c>
      <c r="K421" s="5" t="s">
        <v>5373</v>
      </c>
      <c r="L421" s="13" t="s">
        <v>5374</v>
      </c>
      <c r="M421" s="13" t="s">
        <v>5375</v>
      </c>
      <c r="N421" s="5" t="n">
        <f aca="false">LEN(L421)</f>
        <v>25</v>
      </c>
      <c r="O421" s="5" t="n">
        <f aca="false">LEN(M421)</f>
        <v>25</v>
      </c>
      <c r="P421" s="14" t="n">
        <f aca="false">IF(N421=0,"",(N421-LEN(SUBSTITUTE(SUBSTITUTE(L421,"G",""),"C","")))/N421)</f>
        <v>0.6</v>
      </c>
      <c r="Q421" s="14" t="n">
        <f aca="false">IF(O421=0,"",(O421-LEN(SUBSTITUTE(SUBSTITUTE(M421,"G",""),"C","")))/O421)</f>
        <v>0.68</v>
      </c>
      <c r="R421" s="5" t="s">
        <v>511</v>
      </c>
      <c r="S421" s="15" t="s">
        <v>1677</v>
      </c>
      <c r="T421" s="5" t="n">
        <v>712</v>
      </c>
      <c r="U421" s="5" t="s">
        <v>1678</v>
      </c>
      <c r="V421" s="5" t="s">
        <v>510</v>
      </c>
      <c r="W421" s="5"/>
      <c r="X421" s="15" t="s">
        <v>1677</v>
      </c>
      <c r="Y421" s="5"/>
    </row>
    <row r="422" customFormat="false" ht="15" hidden="false" customHeight="false" outlineLevel="0" collapsed="false">
      <c r="A422" s="5" t="s">
        <v>5376</v>
      </c>
      <c r="B422" s="5" t="s">
        <v>505</v>
      </c>
      <c r="C422" s="5" t="s">
        <v>506</v>
      </c>
      <c r="D422" s="6" t="s">
        <v>45</v>
      </c>
      <c r="E422" s="5" t="n">
        <v>10</v>
      </c>
      <c r="F422" s="5" t="s">
        <v>5377</v>
      </c>
      <c r="G422" s="13" t="s">
        <v>5378</v>
      </c>
      <c r="H422" s="5" t="s">
        <v>5379</v>
      </c>
      <c r="I422" s="13" t="s">
        <v>5380</v>
      </c>
      <c r="J422" s="5" t="s">
        <v>5377</v>
      </c>
      <c r="K422" s="5" t="s">
        <v>5379</v>
      </c>
      <c r="L422" s="13" t="s">
        <v>5381</v>
      </c>
      <c r="M422" s="13" t="s">
        <v>5382</v>
      </c>
      <c r="N422" s="5" t="n">
        <f aca="false">LEN(L422)</f>
        <v>25</v>
      </c>
      <c r="O422" s="5" t="n">
        <f aca="false">LEN(M422)</f>
        <v>25</v>
      </c>
      <c r="P422" s="14" t="n">
        <f aca="false">IF(N422=0,"",(N422-LEN(SUBSTITUTE(SUBSTITUTE(L422,"G",""),"C","")))/N422)</f>
        <v>0.48</v>
      </c>
      <c r="Q422" s="14" t="n">
        <f aca="false">IF(O422=0,"",(O422-LEN(SUBSTITUTE(SUBSTITUTE(M422,"G",""),"C","")))/O422)</f>
        <v>0.52</v>
      </c>
      <c r="R422" s="5" t="s">
        <v>511</v>
      </c>
      <c r="S422" s="15" t="s">
        <v>1677</v>
      </c>
      <c r="T422" s="5" t="n">
        <v>792</v>
      </c>
      <c r="U422" s="5" t="s">
        <v>1678</v>
      </c>
      <c r="V422" s="5" t="s">
        <v>510</v>
      </c>
      <c r="W422" s="5"/>
      <c r="X422" s="15" t="s">
        <v>1677</v>
      </c>
      <c r="Y422" s="5"/>
    </row>
    <row r="423" customFormat="false" ht="15" hidden="false" customHeight="false" outlineLevel="0" collapsed="false">
      <c r="A423" s="5" t="s">
        <v>5383</v>
      </c>
      <c r="B423" s="5" t="s">
        <v>505</v>
      </c>
      <c r="C423" s="5" t="s">
        <v>506</v>
      </c>
      <c r="D423" s="6" t="s">
        <v>45</v>
      </c>
      <c r="E423" s="5" t="n">
        <v>11</v>
      </c>
      <c r="F423" s="5" t="s">
        <v>5384</v>
      </c>
      <c r="G423" s="13" t="s">
        <v>5385</v>
      </c>
      <c r="H423" s="5" t="s">
        <v>5386</v>
      </c>
      <c r="I423" s="13" t="s">
        <v>5387</v>
      </c>
      <c r="J423" s="5" t="s">
        <v>5384</v>
      </c>
      <c r="K423" s="5" t="s">
        <v>5386</v>
      </c>
      <c r="L423" s="13" t="s">
        <v>5388</v>
      </c>
      <c r="M423" s="13" t="s">
        <v>5389</v>
      </c>
      <c r="N423" s="5" t="n">
        <f aca="false">LEN(L423)</f>
        <v>25</v>
      </c>
      <c r="O423" s="5" t="n">
        <f aca="false">LEN(M423)</f>
        <v>25</v>
      </c>
      <c r="P423" s="14" t="n">
        <f aca="false">IF(N423=0,"",(N423-LEN(SUBSTITUTE(SUBSTITUTE(L423,"G",""),"C","")))/N423)</f>
        <v>0.52</v>
      </c>
      <c r="Q423" s="14" t="n">
        <f aca="false">IF(O423=0,"",(O423-LEN(SUBSTITUTE(SUBSTITUTE(M423,"G",""),"C","")))/O423)</f>
        <v>0.52</v>
      </c>
      <c r="R423" s="5" t="s">
        <v>511</v>
      </c>
      <c r="S423" s="15" t="s">
        <v>1677</v>
      </c>
      <c r="T423" s="5" t="n">
        <v>872</v>
      </c>
      <c r="U423" s="5" t="s">
        <v>1678</v>
      </c>
      <c r="V423" s="5" t="s">
        <v>5390</v>
      </c>
      <c r="W423" s="5"/>
      <c r="X423" s="15" t="s">
        <v>1677</v>
      </c>
      <c r="Y423" s="5"/>
    </row>
    <row r="424" customFormat="false" ht="15" hidden="false" customHeight="false" outlineLevel="0" collapsed="false">
      <c r="A424" s="5" t="s">
        <v>5391</v>
      </c>
      <c r="B424" s="5" t="s">
        <v>505</v>
      </c>
      <c r="C424" s="5" t="s">
        <v>506</v>
      </c>
      <c r="D424" s="6" t="s">
        <v>45</v>
      </c>
      <c r="E424" s="5" t="n">
        <v>12</v>
      </c>
      <c r="F424" s="5" t="s">
        <v>5392</v>
      </c>
      <c r="G424" s="13" t="s">
        <v>5393</v>
      </c>
      <c r="H424" s="5" t="s">
        <v>5394</v>
      </c>
      <c r="I424" s="13" t="s">
        <v>5395</v>
      </c>
      <c r="J424" s="5" t="s">
        <v>5392</v>
      </c>
      <c r="K424" s="5" t="s">
        <v>5394</v>
      </c>
      <c r="L424" s="13" t="s">
        <v>5396</v>
      </c>
      <c r="M424" s="13" t="s">
        <v>5397</v>
      </c>
      <c r="N424" s="5" t="n">
        <f aca="false">LEN(L424)</f>
        <v>25</v>
      </c>
      <c r="O424" s="5" t="n">
        <f aca="false">LEN(M424)</f>
        <v>25</v>
      </c>
      <c r="P424" s="14" t="n">
        <f aca="false">IF(N424=0,"",(N424-LEN(SUBSTITUTE(SUBSTITUTE(L424,"G",""),"C","")))/N424)</f>
        <v>0.52</v>
      </c>
      <c r="Q424" s="14" t="n">
        <f aca="false">IF(O424=0,"",(O424-LEN(SUBSTITUTE(SUBSTITUTE(M424,"G",""),"C","")))/O424)</f>
        <v>0.56</v>
      </c>
      <c r="R424" s="5" t="s">
        <v>511</v>
      </c>
      <c r="S424" s="15" t="s">
        <v>1677</v>
      </c>
      <c r="T424" s="5" t="n">
        <v>952</v>
      </c>
      <c r="U424" s="5" t="s">
        <v>1678</v>
      </c>
      <c r="V424" s="5" t="s">
        <v>5390</v>
      </c>
      <c r="W424" s="5"/>
      <c r="X424" s="15" t="s">
        <v>1677</v>
      </c>
      <c r="Y424" s="5"/>
    </row>
    <row r="425" customFormat="false" ht="15" hidden="false" customHeight="false" outlineLevel="0" collapsed="false">
      <c r="A425" s="5" t="s">
        <v>5398</v>
      </c>
      <c r="B425" s="5" t="s">
        <v>505</v>
      </c>
      <c r="C425" s="5" t="s">
        <v>506</v>
      </c>
      <c r="D425" s="6" t="s">
        <v>45</v>
      </c>
      <c r="E425" s="5" t="n">
        <v>13</v>
      </c>
      <c r="F425" s="5" t="s">
        <v>5399</v>
      </c>
      <c r="G425" s="13" t="s">
        <v>5400</v>
      </c>
      <c r="H425" s="5" t="s">
        <v>5401</v>
      </c>
      <c r="I425" s="13" t="s">
        <v>5402</v>
      </c>
      <c r="J425" s="5" t="s">
        <v>5399</v>
      </c>
      <c r="K425" s="5" t="s">
        <v>5401</v>
      </c>
      <c r="L425" s="13" t="s">
        <v>5403</v>
      </c>
      <c r="M425" s="13" t="s">
        <v>5404</v>
      </c>
      <c r="N425" s="5" t="n">
        <f aca="false">LEN(L425)</f>
        <v>25</v>
      </c>
      <c r="O425" s="5" t="n">
        <f aca="false">LEN(M425)</f>
        <v>25</v>
      </c>
      <c r="P425" s="14" t="n">
        <f aca="false">IF(N425=0,"",(N425-LEN(SUBSTITUTE(SUBSTITUTE(L425,"G",""),"C","")))/N425)</f>
        <v>0.56</v>
      </c>
      <c r="Q425" s="14" t="n">
        <f aca="false">IF(O425=0,"",(O425-LEN(SUBSTITUTE(SUBSTITUTE(M425,"G",""),"C","")))/O425)</f>
        <v>0.56</v>
      </c>
      <c r="R425" s="5" t="s">
        <v>511</v>
      </c>
      <c r="S425" s="15" t="s">
        <v>1677</v>
      </c>
      <c r="T425" s="5" t="n">
        <v>1032</v>
      </c>
      <c r="U425" s="5" t="s">
        <v>1678</v>
      </c>
      <c r="V425" s="5" t="s">
        <v>5390</v>
      </c>
      <c r="W425" s="5"/>
      <c r="X425" s="15" t="s">
        <v>1677</v>
      </c>
      <c r="Y425" s="5"/>
    </row>
    <row r="426" customFormat="false" ht="15" hidden="false" customHeight="false" outlineLevel="0" collapsed="false">
      <c r="A426" s="5" t="s">
        <v>5405</v>
      </c>
      <c r="B426" s="5" t="s">
        <v>505</v>
      </c>
      <c r="C426" s="5" t="s">
        <v>506</v>
      </c>
      <c r="D426" s="6" t="s">
        <v>45</v>
      </c>
      <c r="E426" s="5" t="n">
        <v>14</v>
      </c>
      <c r="F426" s="5" t="s">
        <v>5406</v>
      </c>
      <c r="G426" s="13" t="s">
        <v>5407</v>
      </c>
      <c r="H426" s="5" t="s">
        <v>5408</v>
      </c>
      <c r="I426" s="13" t="s">
        <v>5409</v>
      </c>
      <c r="J426" s="5" t="s">
        <v>5406</v>
      </c>
      <c r="K426" s="5" t="s">
        <v>5408</v>
      </c>
      <c r="L426" s="13" t="s">
        <v>5410</v>
      </c>
      <c r="M426" s="13" t="s">
        <v>5411</v>
      </c>
      <c r="N426" s="5" t="n">
        <f aca="false">LEN(L426)</f>
        <v>25</v>
      </c>
      <c r="O426" s="5" t="n">
        <f aca="false">LEN(M426)</f>
        <v>25</v>
      </c>
      <c r="P426" s="14" t="n">
        <f aca="false">IF(N426=0,"",(N426-LEN(SUBSTITUTE(SUBSTITUTE(L426,"G",""),"C","")))/N426)</f>
        <v>0.6</v>
      </c>
      <c r="Q426" s="14" t="n">
        <f aca="false">IF(O426=0,"",(O426-LEN(SUBSTITUTE(SUBSTITUTE(M426,"G",""),"C","")))/O426)</f>
        <v>0.6</v>
      </c>
      <c r="R426" s="5" t="s">
        <v>511</v>
      </c>
      <c r="S426" s="15" t="s">
        <v>1677</v>
      </c>
      <c r="T426" s="5" t="n">
        <v>1112</v>
      </c>
      <c r="U426" s="5" t="s">
        <v>1678</v>
      </c>
      <c r="V426" s="5" t="s">
        <v>5390</v>
      </c>
      <c r="W426" s="5"/>
      <c r="X426" s="15" t="s">
        <v>1677</v>
      </c>
      <c r="Y426" s="5"/>
    </row>
    <row r="427" customFormat="false" ht="15" hidden="false" customHeight="false" outlineLevel="0" collapsed="false">
      <c r="A427" s="5" t="s">
        <v>5412</v>
      </c>
      <c r="B427" s="5" t="s">
        <v>505</v>
      </c>
      <c r="C427" s="5" t="s">
        <v>506</v>
      </c>
      <c r="D427" s="6" t="s">
        <v>45</v>
      </c>
      <c r="E427" s="5" t="n">
        <v>15</v>
      </c>
      <c r="F427" s="5" t="s">
        <v>5413</v>
      </c>
      <c r="G427" s="13" t="s">
        <v>5414</v>
      </c>
      <c r="H427" s="5" t="s">
        <v>5415</v>
      </c>
      <c r="I427" s="13" t="s">
        <v>5416</v>
      </c>
      <c r="J427" s="5" t="s">
        <v>5413</v>
      </c>
      <c r="K427" s="5" t="s">
        <v>5415</v>
      </c>
      <c r="L427" s="13" t="s">
        <v>5417</v>
      </c>
      <c r="M427" s="13" t="s">
        <v>5418</v>
      </c>
      <c r="N427" s="5" t="n">
        <f aca="false">LEN(L427)</f>
        <v>25</v>
      </c>
      <c r="O427" s="5" t="n">
        <f aca="false">LEN(M427)</f>
        <v>25</v>
      </c>
      <c r="P427" s="14" t="n">
        <f aca="false">IF(N427=0,"",(N427-LEN(SUBSTITUTE(SUBSTITUTE(L427,"G",""),"C","")))/N427)</f>
        <v>0.48</v>
      </c>
      <c r="Q427" s="14" t="n">
        <f aca="false">IF(O427=0,"",(O427-LEN(SUBSTITUTE(SUBSTITUTE(M427,"G",""),"C","")))/O427)</f>
        <v>0.4</v>
      </c>
      <c r="R427" s="5" t="s">
        <v>511</v>
      </c>
      <c r="S427" s="15" t="s">
        <v>1677</v>
      </c>
      <c r="T427" s="5" t="n">
        <v>1201</v>
      </c>
      <c r="U427" s="5" t="s">
        <v>1678</v>
      </c>
      <c r="V427" s="5" t="s">
        <v>5390</v>
      </c>
      <c r="W427" s="5"/>
      <c r="X427" s="15" t="s">
        <v>1677</v>
      </c>
      <c r="Y427" s="5"/>
    </row>
    <row r="428" customFormat="false" ht="15" hidden="false" customHeight="false" outlineLevel="0" collapsed="false">
      <c r="A428" s="5" t="s">
        <v>5419</v>
      </c>
      <c r="B428" s="5" t="s">
        <v>505</v>
      </c>
      <c r="C428" s="5" t="s">
        <v>506</v>
      </c>
      <c r="D428" s="6" t="s">
        <v>45</v>
      </c>
      <c r="E428" s="5" t="n">
        <v>16</v>
      </c>
      <c r="F428" s="5" t="s">
        <v>5420</v>
      </c>
      <c r="G428" s="13" t="s">
        <v>5421</v>
      </c>
      <c r="H428" s="5" t="s">
        <v>5422</v>
      </c>
      <c r="I428" s="13" t="s">
        <v>5423</v>
      </c>
      <c r="J428" s="5" t="s">
        <v>5420</v>
      </c>
      <c r="K428" s="5" t="s">
        <v>5422</v>
      </c>
      <c r="L428" s="13" t="s">
        <v>5424</v>
      </c>
      <c r="M428" s="13" t="s">
        <v>5425</v>
      </c>
      <c r="N428" s="5" t="n">
        <f aca="false">LEN(L428)</f>
        <v>25</v>
      </c>
      <c r="O428" s="5" t="n">
        <f aca="false">LEN(M428)</f>
        <v>25</v>
      </c>
      <c r="P428" s="14" t="n">
        <f aca="false">IF(N428=0,"",(N428-LEN(SUBSTITUTE(SUBSTITUTE(L428,"G",""),"C","")))/N428)</f>
        <v>0.48</v>
      </c>
      <c r="Q428" s="14" t="n">
        <f aca="false">IF(O428=0,"",(O428-LEN(SUBSTITUTE(SUBSTITUTE(M428,"G",""),"C","")))/O428)</f>
        <v>0.52</v>
      </c>
      <c r="R428" s="5" t="s">
        <v>511</v>
      </c>
      <c r="S428" s="15" t="s">
        <v>1677</v>
      </c>
      <c r="T428" s="5" t="n">
        <v>1281</v>
      </c>
      <c r="U428" s="5" t="s">
        <v>1678</v>
      </c>
      <c r="V428" s="5" t="s">
        <v>5390</v>
      </c>
      <c r="W428" s="5"/>
      <c r="X428" s="15" t="s">
        <v>1677</v>
      </c>
      <c r="Y428" s="5"/>
    </row>
    <row r="429" customFormat="false" ht="15" hidden="false" customHeight="false" outlineLevel="0" collapsed="false">
      <c r="A429" s="5" t="s">
        <v>5426</v>
      </c>
      <c r="B429" s="5" t="s">
        <v>505</v>
      </c>
      <c r="C429" s="5" t="s">
        <v>506</v>
      </c>
      <c r="D429" s="6" t="s">
        <v>45</v>
      </c>
      <c r="E429" s="5" t="n">
        <v>17</v>
      </c>
      <c r="F429" s="5" t="s">
        <v>5427</v>
      </c>
      <c r="G429" s="13" t="s">
        <v>5428</v>
      </c>
      <c r="H429" s="5" t="s">
        <v>5429</v>
      </c>
      <c r="I429" s="13" t="s">
        <v>5430</v>
      </c>
      <c r="J429" s="5" t="s">
        <v>5427</v>
      </c>
      <c r="K429" s="5" t="s">
        <v>5429</v>
      </c>
      <c r="L429" s="13" t="s">
        <v>5431</v>
      </c>
      <c r="M429" s="13" t="s">
        <v>5432</v>
      </c>
      <c r="N429" s="5" t="n">
        <f aca="false">LEN(L429)</f>
        <v>25</v>
      </c>
      <c r="O429" s="5" t="n">
        <f aca="false">LEN(M429)</f>
        <v>25</v>
      </c>
      <c r="P429" s="14" t="n">
        <f aca="false">IF(N429=0,"",(N429-LEN(SUBSTITUTE(SUBSTITUTE(L429,"G",""),"C","")))/N429)</f>
        <v>0.4</v>
      </c>
      <c r="Q429" s="14" t="n">
        <f aca="false">IF(O429=0,"",(O429-LEN(SUBSTITUTE(SUBSTITUTE(M429,"G",""),"C","")))/O429)</f>
        <v>0.48</v>
      </c>
      <c r="R429" s="5" t="s">
        <v>511</v>
      </c>
      <c r="S429" s="15" t="s">
        <v>1677</v>
      </c>
      <c r="T429" s="5" t="n">
        <v>1368</v>
      </c>
      <c r="U429" s="5" t="s">
        <v>1678</v>
      </c>
      <c r="V429" s="5" t="s">
        <v>5390</v>
      </c>
      <c r="W429" s="5"/>
      <c r="X429" s="15" t="s">
        <v>1677</v>
      </c>
      <c r="Y429" s="5"/>
    </row>
    <row r="430" customFormat="false" ht="15" hidden="false" customHeight="false" outlineLevel="0" collapsed="false">
      <c r="A430" s="5" t="s">
        <v>5433</v>
      </c>
      <c r="B430" s="5" t="s">
        <v>505</v>
      </c>
      <c r="C430" s="5" t="s">
        <v>506</v>
      </c>
      <c r="D430" s="6" t="s">
        <v>45</v>
      </c>
      <c r="E430" s="5" t="n">
        <v>18</v>
      </c>
      <c r="F430" s="5" t="s">
        <v>5434</v>
      </c>
      <c r="G430" s="13" t="s">
        <v>5435</v>
      </c>
      <c r="H430" s="5" t="s">
        <v>5436</v>
      </c>
      <c r="I430" s="13" t="s">
        <v>5437</v>
      </c>
      <c r="J430" s="5" t="s">
        <v>5434</v>
      </c>
      <c r="K430" s="5" t="s">
        <v>5436</v>
      </c>
      <c r="L430" s="13" t="s">
        <v>5438</v>
      </c>
      <c r="M430" s="13" t="s">
        <v>5439</v>
      </c>
      <c r="N430" s="5" t="n">
        <f aca="false">LEN(L430)</f>
        <v>25</v>
      </c>
      <c r="O430" s="5" t="n">
        <f aca="false">LEN(M430)</f>
        <v>25</v>
      </c>
      <c r="P430" s="14" t="n">
        <f aca="false">IF(N430=0,"",(N430-LEN(SUBSTITUTE(SUBSTITUTE(L430,"G",""),"C","")))/N430)</f>
        <v>0.52</v>
      </c>
      <c r="Q430" s="14" t="n">
        <f aca="false">IF(O430=0,"",(O430-LEN(SUBSTITUTE(SUBSTITUTE(M430,"G",""),"C","")))/O430)</f>
        <v>0.6</v>
      </c>
      <c r="R430" s="5" t="s">
        <v>511</v>
      </c>
      <c r="S430" s="15" t="s">
        <v>1677</v>
      </c>
      <c r="T430" s="5" t="n">
        <v>1448</v>
      </c>
      <c r="U430" s="5" t="s">
        <v>1678</v>
      </c>
      <c r="V430" s="5" t="s">
        <v>5390</v>
      </c>
      <c r="W430" s="5"/>
      <c r="X430" s="15" t="s">
        <v>1677</v>
      </c>
      <c r="Y430" s="5"/>
    </row>
    <row r="431" customFormat="false" ht="15" hidden="false" customHeight="false" outlineLevel="0" collapsed="false">
      <c r="A431" s="5" t="s">
        <v>5440</v>
      </c>
      <c r="B431" s="5" t="s">
        <v>505</v>
      </c>
      <c r="C431" s="5" t="s">
        <v>506</v>
      </c>
      <c r="D431" s="6" t="s">
        <v>45</v>
      </c>
      <c r="E431" s="5" t="n">
        <v>19</v>
      </c>
      <c r="F431" s="5" t="s">
        <v>5441</v>
      </c>
      <c r="G431" s="13" t="s">
        <v>5442</v>
      </c>
      <c r="H431" s="5" t="s">
        <v>5443</v>
      </c>
      <c r="I431" s="13" t="s">
        <v>5444</v>
      </c>
      <c r="J431" s="5" t="s">
        <v>5441</v>
      </c>
      <c r="K431" s="5" t="s">
        <v>5443</v>
      </c>
      <c r="L431" s="13" t="s">
        <v>5445</v>
      </c>
      <c r="M431" s="13" t="s">
        <v>5446</v>
      </c>
      <c r="N431" s="5" t="n">
        <f aca="false">LEN(L431)</f>
        <v>25</v>
      </c>
      <c r="O431" s="5" t="n">
        <f aca="false">LEN(M431)</f>
        <v>25</v>
      </c>
      <c r="P431" s="14" t="n">
        <f aca="false">IF(N431=0,"",(N431-LEN(SUBSTITUTE(SUBSTITUTE(L431,"G",""),"C","")))/N431)</f>
        <v>0.48</v>
      </c>
      <c r="Q431" s="14" t="n">
        <f aca="false">IF(O431=0,"",(O431-LEN(SUBSTITUTE(SUBSTITUTE(M431,"G",""),"C","")))/O431)</f>
        <v>0.52</v>
      </c>
      <c r="R431" s="5" t="s">
        <v>511</v>
      </c>
      <c r="S431" s="15" t="s">
        <v>1677</v>
      </c>
      <c r="T431" s="5" t="n">
        <v>1528</v>
      </c>
      <c r="U431" s="5" t="s">
        <v>1678</v>
      </c>
      <c r="V431" s="5" t="s">
        <v>5390</v>
      </c>
      <c r="W431" s="5"/>
      <c r="X431" s="15" t="s">
        <v>1677</v>
      </c>
      <c r="Y431" s="5"/>
    </row>
    <row r="432" customFormat="false" ht="15" hidden="false" customHeight="false" outlineLevel="0" collapsed="false">
      <c r="A432" s="5" t="s">
        <v>5447</v>
      </c>
      <c r="B432" s="5" t="s">
        <v>505</v>
      </c>
      <c r="C432" s="5" t="s">
        <v>506</v>
      </c>
      <c r="D432" s="6" t="s">
        <v>45</v>
      </c>
      <c r="E432" s="5" t="n">
        <v>20</v>
      </c>
      <c r="F432" s="5" t="s">
        <v>5448</v>
      </c>
      <c r="G432" s="13" t="s">
        <v>5449</v>
      </c>
      <c r="H432" s="5" t="s">
        <v>5450</v>
      </c>
      <c r="I432" s="13" t="s">
        <v>5451</v>
      </c>
      <c r="J432" s="5" t="s">
        <v>5448</v>
      </c>
      <c r="K432" s="5" t="s">
        <v>5450</v>
      </c>
      <c r="L432" s="13" t="s">
        <v>5452</v>
      </c>
      <c r="M432" s="13" t="s">
        <v>5453</v>
      </c>
      <c r="N432" s="5" t="n">
        <f aca="false">LEN(L432)</f>
        <v>25</v>
      </c>
      <c r="O432" s="5" t="n">
        <f aca="false">LEN(M432)</f>
        <v>25</v>
      </c>
      <c r="P432" s="14" t="n">
        <f aca="false">IF(N432=0,"",(N432-LEN(SUBSTITUTE(SUBSTITUTE(L432,"G",""),"C","")))/N432)</f>
        <v>0.4</v>
      </c>
      <c r="Q432" s="14" t="n">
        <f aca="false">IF(O432=0,"",(O432-LEN(SUBSTITUTE(SUBSTITUTE(M432,"G",""),"C","")))/O432)</f>
        <v>0.4</v>
      </c>
      <c r="R432" s="5" t="s">
        <v>511</v>
      </c>
      <c r="S432" s="15" t="s">
        <v>1677</v>
      </c>
      <c r="T432" s="5" t="n">
        <v>1609</v>
      </c>
      <c r="U432" s="5" t="s">
        <v>1678</v>
      </c>
      <c r="V432" s="5" t="s">
        <v>5390</v>
      </c>
      <c r="W432" s="5"/>
      <c r="X432" s="15" t="s">
        <v>1677</v>
      </c>
      <c r="Y432" s="5"/>
    </row>
    <row r="433" customFormat="false" ht="15" hidden="false" customHeight="false" outlineLevel="0" collapsed="false">
      <c r="A433" s="5" t="s">
        <v>5454</v>
      </c>
      <c r="B433" s="5" t="s">
        <v>505</v>
      </c>
      <c r="C433" s="5" t="s">
        <v>506</v>
      </c>
      <c r="D433" s="6" t="s">
        <v>45</v>
      </c>
      <c r="E433" s="5" t="n">
        <v>21</v>
      </c>
      <c r="F433" s="5" t="s">
        <v>5455</v>
      </c>
      <c r="G433" s="13" t="s">
        <v>5456</v>
      </c>
      <c r="H433" s="5" t="s">
        <v>5457</v>
      </c>
      <c r="I433" s="13" t="s">
        <v>5458</v>
      </c>
      <c r="J433" s="5" t="s">
        <v>5455</v>
      </c>
      <c r="K433" s="5" t="s">
        <v>5457</v>
      </c>
      <c r="L433" s="13" t="s">
        <v>5459</v>
      </c>
      <c r="M433" s="13" t="s">
        <v>5460</v>
      </c>
      <c r="N433" s="5" t="n">
        <f aca="false">LEN(L433)</f>
        <v>25</v>
      </c>
      <c r="O433" s="5" t="n">
        <f aca="false">LEN(M433)</f>
        <v>25</v>
      </c>
      <c r="P433" s="14" t="n">
        <f aca="false">IF(N433=0,"",(N433-LEN(SUBSTITUTE(SUBSTITUTE(L433,"G",""),"C","")))/N433)</f>
        <v>0.4</v>
      </c>
      <c r="Q433" s="14" t="n">
        <f aca="false">IF(O433=0,"",(O433-LEN(SUBSTITUTE(SUBSTITUTE(M433,"G",""),"C","")))/O433)</f>
        <v>0.52</v>
      </c>
      <c r="R433" s="5" t="s">
        <v>511</v>
      </c>
      <c r="S433" s="15" t="s">
        <v>1677</v>
      </c>
      <c r="T433" s="5" t="n">
        <v>1689</v>
      </c>
      <c r="U433" s="5" t="s">
        <v>1678</v>
      </c>
      <c r="V433" s="5" t="s">
        <v>5390</v>
      </c>
      <c r="W433" s="5"/>
      <c r="X433" s="15" t="s">
        <v>1677</v>
      </c>
      <c r="Y433" s="5"/>
    </row>
    <row r="434" customFormat="false" ht="15" hidden="false" customHeight="false" outlineLevel="0" collapsed="false">
      <c r="A434" s="5" t="s">
        <v>5461</v>
      </c>
      <c r="B434" s="5" t="s">
        <v>505</v>
      </c>
      <c r="C434" s="5" t="s">
        <v>506</v>
      </c>
      <c r="D434" s="6" t="s">
        <v>45</v>
      </c>
      <c r="E434" s="5" t="n">
        <v>22</v>
      </c>
      <c r="F434" s="5" t="s">
        <v>5462</v>
      </c>
      <c r="G434" s="13" t="s">
        <v>5463</v>
      </c>
      <c r="H434" s="5" t="s">
        <v>5464</v>
      </c>
      <c r="I434" s="13" t="s">
        <v>5465</v>
      </c>
      <c r="J434" s="5" t="s">
        <v>5462</v>
      </c>
      <c r="K434" s="5" t="s">
        <v>5464</v>
      </c>
      <c r="L434" s="13" t="s">
        <v>5466</v>
      </c>
      <c r="M434" s="13" t="s">
        <v>5467</v>
      </c>
      <c r="N434" s="5" t="n">
        <f aca="false">LEN(L434)</f>
        <v>25</v>
      </c>
      <c r="O434" s="5" t="n">
        <f aca="false">LEN(M434)</f>
        <v>25</v>
      </c>
      <c r="P434" s="14" t="n">
        <f aca="false">IF(N434=0,"",(N434-LEN(SUBSTITUTE(SUBSTITUTE(L434,"G",""),"C","")))/N434)</f>
        <v>0.4</v>
      </c>
      <c r="Q434" s="14" t="n">
        <f aca="false">IF(O434=0,"",(O434-LEN(SUBSTITUTE(SUBSTITUTE(M434,"G",""),"C","")))/O434)</f>
        <v>0.4</v>
      </c>
      <c r="R434" s="5" t="s">
        <v>511</v>
      </c>
      <c r="S434" s="15" t="s">
        <v>1677</v>
      </c>
      <c r="T434" s="5" t="n">
        <v>1786</v>
      </c>
      <c r="U434" s="5" t="s">
        <v>1678</v>
      </c>
      <c r="V434" s="5" t="s">
        <v>5390</v>
      </c>
      <c r="W434" s="5"/>
      <c r="X434" s="15" t="s">
        <v>1677</v>
      </c>
      <c r="Y434" s="5"/>
    </row>
    <row r="435" customFormat="false" ht="15" hidden="false" customHeight="false" outlineLevel="0" collapsed="false">
      <c r="A435" s="5" t="s">
        <v>5468</v>
      </c>
      <c r="B435" s="5" t="s">
        <v>505</v>
      </c>
      <c r="C435" s="5" t="s">
        <v>506</v>
      </c>
      <c r="D435" s="6" t="s">
        <v>45</v>
      </c>
      <c r="E435" s="5" t="n">
        <v>23</v>
      </c>
      <c r="F435" s="5" t="s">
        <v>5469</v>
      </c>
      <c r="G435" s="13" t="s">
        <v>5470</v>
      </c>
      <c r="H435" s="5" t="s">
        <v>5471</v>
      </c>
      <c r="I435" s="13" t="s">
        <v>5472</v>
      </c>
      <c r="J435" s="5" t="s">
        <v>5469</v>
      </c>
      <c r="K435" s="5" t="s">
        <v>5471</v>
      </c>
      <c r="L435" s="13" t="s">
        <v>5473</v>
      </c>
      <c r="M435" s="13" t="s">
        <v>5474</v>
      </c>
      <c r="N435" s="5" t="n">
        <f aca="false">LEN(L435)</f>
        <v>25</v>
      </c>
      <c r="O435" s="5" t="n">
        <f aca="false">LEN(M435)</f>
        <v>25</v>
      </c>
      <c r="P435" s="14" t="n">
        <f aca="false">IF(N435=0,"",(N435-LEN(SUBSTITUTE(SUBSTITUTE(L435,"G",""),"C","")))/N435)</f>
        <v>0.4</v>
      </c>
      <c r="Q435" s="14" t="n">
        <f aca="false">IF(O435=0,"",(O435-LEN(SUBSTITUTE(SUBSTITUTE(M435,"G",""),"C","")))/O435)</f>
        <v>0.52</v>
      </c>
      <c r="R435" s="5" t="s">
        <v>511</v>
      </c>
      <c r="S435" s="15" t="s">
        <v>1677</v>
      </c>
      <c r="T435" s="5" t="n">
        <v>1867</v>
      </c>
      <c r="U435" s="5" t="s">
        <v>1678</v>
      </c>
      <c r="V435" s="5" t="s">
        <v>5390</v>
      </c>
      <c r="W435" s="5"/>
      <c r="X435" s="15" t="s">
        <v>1677</v>
      </c>
      <c r="Y435" s="5"/>
    </row>
    <row r="436" customFormat="false" ht="15" hidden="false" customHeight="false" outlineLevel="0" collapsed="false">
      <c r="A436" s="5" t="s">
        <v>5475</v>
      </c>
      <c r="B436" s="5" t="s">
        <v>505</v>
      </c>
      <c r="C436" s="5" t="s">
        <v>506</v>
      </c>
      <c r="D436" s="6" t="s">
        <v>45</v>
      </c>
      <c r="E436" s="5" t="n">
        <v>24</v>
      </c>
      <c r="F436" s="5" t="s">
        <v>5476</v>
      </c>
      <c r="G436" s="13" t="s">
        <v>5477</v>
      </c>
      <c r="H436" s="5" t="s">
        <v>5478</v>
      </c>
      <c r="I436" s="13" t="s">
        <v>5479</v>
      </c>
      <c r="J436" s="5" t="s">
        <v>5476</v>
      </c>
      <c r="K436" s="5" t="s">
        <v>5478</v>
      </c>
      <c r="L436" s="13" t="s">
        <v>5480</v>
      </c>
      <c r="M436" s="13" t="s">
        <v>5481</v>
      </c>
      <c r="N436" s="5" t="n">
        <f aca="false">LEN(L436)</f>
        <v>25</v>
      </c>
      <c r="O436" s="5" t="n">
        <f aca="false">LEN(M436)</f>
        <v>25</v>
      </c>
      <c r="P436" s="14" t="n">
        <f aca="false">IF(N436=0,"",(N436-LEN(SUBSTITUTE(SUBSTITUTE(L436,"G",""),"C","")))/N436)</f>
        <v>0.44</v>
      </c>
      <c r="Q436" s="14" t="n">
        <f aca="false">IF(O436=0,"",(O436-LEN(SUBSTITUTE(SUBSTITUTE(M436,"G",""),"C","")))/O436)</f>
        <v>0.4</v>
      </c>
      <c r="R436" s="5" t="s">
        <v>511</v>
      </c>
      <c r="S436" s="15" t="s">
        <v>1677</v>
      </c>
      <c r="T436" s="5" t="n">
        <v>1965</v>
      </c>
      <c r="U436" s="5" t="s">
        <v>1678</v>
      </c>
      <c r="V436" s="5" t="s">
        <v>5390</v>
      </c>
      <c r="W436" s="5"/>
      <c r="X436" s="15" t="s">
        <v>1677</v>
      </c>
      <c r="Y436" s="5"/>
    </row>
    <row r="437" customFormat="false" ht="15" hidden="false" customHeight="false" outlineLevel="0" collapsed="false">
      <c r="A437" s="5" t="s">
        <v>5482</v>
      </c>
      <c r="B437" s="5" t="s">
        <v>505</v>
      </c>
      <c r="C437" s="5" t="s">
        <v>506</v>
      </c>
      <c r="D437" s="6" t="s">
        <v>45</v>
      </c>
      <c r="E437" s="5" t="n">
        <v>25</v>
      </c>
      <c r="F437" s="5" t="s">
        <v>5483</v>
      </c>
      <c r="G437" s="13" t="s">
        <v>5484</v>
      </c>
      <c r="H437" s="5" t="s">
        <v>5485</v>
      </c>
      <c r="I437" s="13" t="s">
        <v>5486</v>
      </c>
      <c r="J437" s="5" t="s">
        <v>5483</v>
      </c>
      <c r="K437" s="5" t="s">
        <v>5485</v>
      </c>
      <c r="L437" s="13" t="s">
        <v>5487</v>
      </c>
      <c r="M437" s="13" t="s">
        <v>5488</v>
      </c>
      <c r="N437" s="5" t="n">
        <f aca="false">LEN(L437)</f>
        <v>25</v>
      </c>
      <c r="O437" s="5" t="n">
        <f aca="false">LEN(M437)</f>
        <v>25</v>
      </c>
      <c r="P437" s="14" t="n">
        <f aca="false">IF(N437=0,"",(N437-LEN(SUBSTITUTE(SUBSTITUTE(L437,"G",""),"C","")))/N437)</f>
        <v>0.48</v>
      </c>
      <c r="Q437" s="14" t="n">
        <f aca="false">IF(O437=0,"",(O437-LEN(SUBSTITUTE(SUBSTITUTE(M437,"G",""),"C","")))/O437)</f>
        <v>0.48</v>
      </c>
      <c r="R437" s="5" t="s">
        <v>511</v>
      </c>
      <c r="S437" s="15" t="s">
        <v>1677</v>
      </c>
      <c r="T437" s="5" t="n">
        <v>2045</v>
      </c>
      <c r="U437" s="5" t="s">
        <v>1678</v>
      </c>
      <c r="V437" s="5" t="s">
        <v>5390</v>
      </c>
      <c r="W437" s="5"/>
      <c r="X437" s="15" t="s">
        <v>1677</v>
      </c>
      <c r="Y437" s="5"/>
    </row>
    <row r="438" customFormat="false" ht="15" hidden="false" customHeight="false" outlineLevel="0" collapsed="false">
      <c r="A438" s="5" t="s">
        <v>5489</v>
      </c>
      <c r="B438" s="5" t="s">
        <v>505</v>
      </c>
      <c r="C438" s="5" t="s">
        <v>506</v>
      </c>
      <c r="D438" s="6" t="s">
        <v>45</v>
      </c>
      <c r="E438" s="5" t="n">
        <v>26</v>
      </c>
      <c r="F438" s="5" t="s">
        <v>5490</v>
      </c>
      <c r="G438" s="13" t="s">
        <v>5491</v>
      </c>
      <c r="H438" s="5" t="s">
        <v>5492</v>
      </c>
      <c r="I438" s="13" t="s">
        <v>5493</v>
      </c>
      <c r="J438" s="5" t="s">
        <v>5490</v>
      </c>
      <c r="K438" s="5" t="s">
        <v>5492</v>
      </c>
      <c r="L438" s="13" t="s">
        <v>5494</v>
      </c>
      <c r="M438" s="13" t="s">
        <v>5495</v>
      </c>
      <c r="N438" s="5" t="n">
        <f aca="false">LEN(L438)</f>
        <v>25</v>
      </c>
      <c r="O438" s="5" t="n">
        <f aca="false">LEN(M438)</f>
        <v>25</v>
      </c>
      <c r="P438" s="14" t="n">
        <f aca="false">IF(N438=0,"",(N438-LEN(SUBSTITUTE(SUBSTITUTE(L438,"G",""),"C","")))/N438)</f>
        <v>0.44</v>
      </c>
      <c r="Q438" s="14" t="n">
        <f aca="false">IF(O438=0,"",(O438-LEN(SUBSTITUTE(SUBSTITUTE(M438,"G",""),"C","")))/O438)</f>
        <v>0.72</v>
      </c>
      <c r="R438" s="5" t="s">
        <v>511</v>
      </c>
      <c r="S438" s="15" t="s">
        <v>1677</v>
      </c>
      <c r="T438" s="5" t="n">
        <v>2125</v>
      </c>
      <c r="U438" s="5" t="s">
        <v>1678</v>
      </c>
      <c r="V438" s="5" t="s">
        <v>5390</v>
      </c>
      <c r="W438" s="5"/>
      <c r="X438" s="15" t="s">
        <v>1677</v>
      </c>
      <c r="Y438" s="5"/>
    </row>
    <row r="439" customFormat="false" ht="15" hidden="false" customHeight="false" outlineLevel="0" collapsed="false">
      <c r="A439" s="5" t="s">
        <v>5496</v>
      </c>
      <c r="B439" s="5" t="s">
        <v>505</v>
      </c>
      <c r="C439" s="5" t="s">
        <v>506</v>
      </c>
      <c r="D439" s="6" t="s">
        <v>45</v>
      </c>
      <c r="E439" s="5" t="n">
        <v>27</v>
      </c>
      <c r="F439" s="5" t="s">
        <v>5497</v>
      </c>
      <c r="G439" s="13" t="s">
        <v>5498</v>
      </c>
      <c r="H439" s="5" t="s">
        <v>5499</v>
      </c>
      <c r="I439" s="13" t="s">
        <v>5500</v>
      </c>
      <c r="J439" s="5" t="s">
        <v>5497</v>
      </c>
      <c r="K439" s="5" t="s">
        <v>5499</v>
      </c>
      <c r="L439" s="13" t="s">
        <v>5501</v>
      </c>
      <c r="M439" s="13" t="s">
        <v>5502</v>
      </c>
      <c r="N439" s="5" t="n">
        <f aca="false">LEN(L439)</f>
        <v>25</v>
      </c>
      <c r="O439" s="5" t="n">
        <f aca="false">LEN(M439)</f>
        <v>25</v>
      </c>
      <c r="P439" s="14" t="n">
        <f aca="false">IF(N439=0,"",(N439-LEN(SUBSTITUTE(SUBSTITUTE(L439,"G",""),"C","")))/N439)</f>
        <v>0.4</v>
      </c>
      <c r="Q439" s="14" t="n">
        <f aca="false">IF(O439=0,"",(O439-LEN(SUBSTITUTE(SUBSTITUTE(M439,"G",""),"C","")))/O439)</f>
        <v>0.52</v>
      </c>
      <c r="R439" s="5" t="s">
        <v>511</v>
      </c>
      <c r="S439" s="15" t="s">
        <v>1677</v>
      </c>
      <c r="T439" s="5" t="n">
        <v>2207</v>
      </c>
      <c r="U439" s="5" t="s">
        <v>1678</v>
      </c>
      <c r="V439" s="5" t="s">
        <v>5390</v>
      </c>
      <c r="W439" s="5"/>
      <c r="X439" s="15" t="s">
        <v>1677</v>
      </c>
      <c r="Y439" s="5"/>
    </row>
    <row r="440" customFormat="false" ht="15" hidden="false" customHeight="false" outlineLevel="0" collapsed="false">
      <c r="A440" s="5" t="s">
        <v>5503</v>
      </c>
      <c r="B440" s="5" t="s">
        <v>505</v>
      </c>
      <c r="C440" s="5" t="s">
        <v>506</v>
      </c>
      <c r="D440" s="6" t="s">
        <v>45</v>
      </c>
      <c r="E440" s="5" t="n">
        <v>28</v>
      </c>
      <c r="F440" s="5" t="s">
        <v>5504</v>
      </c>
      <c r="G440" s="13" t="s">
        <v>5505</v>
      </c>
      <c r="H440" s="5" t="s">
        <v>5506</v>
      </c>
      <c r="I440" s="13" t="s">
        <v>5507</v>
      </c>
      <c r="J440" s="5" t="s">
        <v>5504</v>
      </c>
      <c r="K440" s="5" t="s">
        <v>5506</v>
      </c>
      <c r="L440" s="13" t="s">
        <v>5508</v>
      </c>
      <c r="M440" s="13" t="s">
        <v>5509</v>
      </c>
      <c r="N440" s="5" t="n">
        <f aca="false">LEN(L440)</f>
        <v>25</v>
      </c>
      <c r="O440" s="5" t="n">
        <f aca="false">LEN(M440)</f>
        <v>25</v>
      </c>
      <c r="P440" s="14" t="n">
        <f aca="false">IF(N440=0,"",(N440-LEN(SUBSTITUTE(SUBSTITUTE(L440,"G",""),"C","")))/N440)</f>
        <v>0.4</v>
      </c>
      <c r="Q440" s="14" t="n">
        <f aca="false">IF(O440=0,"",(O440-LEN(SUBSTITUTE(SUBSTITUTE(M440,"G",""),"C","")))/O440)</f>
        <v>0.4</v>
      </c>
      <c r="R440" s="5" t="s">
        <v>511</v>
      </c>
      <c r="S440" s="15" t="s">
        <v>1677</v>
      </c>
      <c r="T440" s="5" t="n">
        <v>2304</v>
      </c>
      <c r="U440" s="5" t="s">
        <v>1678</v>
      </c>
      <c r="V440" s="5" t="s">
        <v>5390</v>
      </c>
      <c r="W440" s="5"/>
      <c r="X440" s="15" t="s">
        <v>1677</v>
      </c>
      <c r="Y440" s="5"/>
    </row>
    <row r="441" customFormat="false" ht="15" hidden="false" customHeight="false" outlineLevel="0" collapsed="false">
      <c r="A441" s="5" t="s">
        <v>5510</v>
      </c>
      <c r="B441" s="5" t="s">
        <v>505</v>
      </c>
      <c r="C441" s="5" t="s">
        <v>506</v>
      </c>
      <c r="D441" s="6" t="s">
        <v>45</v>
      </c>
      <c r="E441" s="5" t="n">
        <v>29</v>
      </c>
      <c r="F441" s="5" t="s">
        <v>5511</v>
      </c>
      <c r="G441" s="13" t="s">
        <v>5512</v>
      </c>
      <c r="H441" s="5" t="s">
        <v>5513</v>
      </c>
      <c r="I441" s="13" t="s">
        <v>5514</v>
      </c>
      <c r="J441" s="5" t="s">
        <v>5511</v>
      </c>
      <c r="K441" s="5" t="s">
        <v>5513</v>
      </c>
      <c r="L441" s="13" t="s">
        <v>5515</v>
      </c>
      <c r="M441" s="13" t="s">
        <v>5516</v>
      </c>
      <c r="N441" s="5" t="n">
        <f aca="false">LEN(L441)</f>
        <v>25</v>
      </c>
      <c r="O441" s="5" t="n">
        <f aca="false">LEN(M441)</f>
        <v>25</v>
      </c>
      <c r="P441" s="14" t="n">
        <f aca="false">IF(N441=0,"",(N441-LEN(SUBSTITUTE(SUBSTITUTE(L441,"G",""),"C","")))/N441)</f>
        <v>0.64</v>
      </c>
      <c r="Q441" s="14" t="n">
        <f aca="false">IF(O441=0,"",(O441-LEN(SUBSTITUTE(SUBSTITUTE(M441,"G",""),"C","")))/O441)</f>
        <v>0.44</v>
      </c>
      <c r="R441" s="5" t="s">
        <v>511</v>
      </c>
      <c r="S441" s="15" t="s">
        <v>1677</v>
      </c>
      <c r="T441" s="5" t="n">
        <v>2384</v>
      </c>
      <c r="U441" s="5" t="s">
        <v>1678</v>
      </c>
      <c r="V441" s="5" t="s">
        <v>5390</v>
      </c>
      <c r="W441" s="5"/>
      <c r="X441" s="15" t="s">
        <v>1677</v>
      </c>
      <c r="Y441" s="5"/>
    </row>
    <row r="442" customFormat="false" ht="15" hidden="false" customHeight="false" outlineLevel="0" collapsed="false">
      <c r="A442" s="5" t="s">
        <v>5517</v>
      </c>
      <c r="B442" s="5" t="s">
        <v>505</v>
      </c>
      <c r="C442" s="5" t="s">
        <v>506</v>
      </c>
      <c r="D442" s="6" t="s">
        <v>45</v>
      </c>
      <c r="E442" s="5" t="n">
        <v>30</v>
      </c>
      <c r="F442" s="5" t="s">
        <v>5518</v>
      </c>
      <c r="G442" s="13" t="s">
        <v>5519</v>
      </c>
      <c r="H442" s="5" t="s">
        <v>5520</v>
      </c>
      <c r="I442" s="13" t="s">
        <v>5521</v>
      </c>
      <c r="J442" s="5" t="s">
        <v>5518</v>
      </c>
      <c r="K442" s="5" t="s">
        <v>5520</v>
      </c>
      <c r="L442" s="13" t="s">
        <v>5522</v>
      </c>
      <c r="M442" s="13" t="s">
        <v>5523</v>
      </c>
      <c r="N442" s="5" t="n">
        <f aca="false">LEN(L442)</f>
        <v>25</v>
      </c>
      <c r="O442" s="5" t="n">
        <f aca="false">LEN(M442)</f>
        <v>25</v>
      </c>
      <c r="P442" s="14" t="n">
        <f aca="false">IF(N442=0,"",(N442-LEN(SUBSTITUTE(SUBSTITUTE(L442,"G",""),"C","")))/N442)</f>
        <v>0.4</v>
      </c>
      <c r="Q442" s="14" t="n">
        <f aca="false">IF(O442=0,"",(O442-LEN(SUBSTITUTE(SUBSTITUTE(M442,"G",""),"C","")))/O442)</f>
        <v>0.6</v>
      </c>
      <c r="R442" s="5" t="s">
        <v>511</v>
      </c>
      <c r="S442" s="15" t="s">
        <v>1677</v>
      </c>
      <c r="T442" s="5" t="n">
        <v>2464</v>
      </c>
      <c r="U442" s="5" t="s">
        <v>1678</v>
      </c>
      <c r="V442" s="5" t="s">
        <v>5390</v>
      </c>
      <c r="W442" s="5"/>
      <c r="X442" s="15" t="s">
        <v>1677</v>
      </c>
      <c r="Y442" s="5"/>
    </row>
    <row r="443" customFormat="false" ht="15" hidden="false" customHeight="false" outlineLevel="0" collapsed="false">
      <c r="A443" s="5" t="s">
        <v>5524</v>
      </c>
      <c r="B443" s="5" t="s">
        <v>515</v>
      </c>
      <c r="C443" s="5" t="s">
        <v>516</v>
      </c>
      <c r="D443" s="6" t="s">
        <v>45</v>
      </c>
      <c r="E443" s="5" t="n">
        <v>1</v>
      </c>
      <c r="F443" s="5" t="s">
        <v>5525</v>
      </c>
      <c r="G443" s="13" t="s">
        <v>5526</v>
      </c>
      <c r="H443" s="5" t="s">
        <v>5527</v>
      </c>
      <c r="I443" s="13" t="s">
        <v>5528</v>
      </c>
      <c r="J443" s="5" t="s">
        <v>5529</v>
      </c>
      <c r="K443" s="5" t="s">
        <v>5530</v>
      </c>
      <c r="L443" s="13" t="s">
        <v>5531</v>
      </c>
      <c r="M443" s="13" t="s">
        <v>5532</v>
      </c>
      <c r="N443" s="5" t="n">
        <f aca="false">LEN(L443)</f>
        <v>25</v>
      </c>
      <c r="O443" s="5" t="n">
        <f aca="false">LEN(M443)</f>
        <v>25</v>
      </c>
      <c r="P443" s="14" t="n">
        <f aca="false">IF(N443=0,"",(N443-LEN(SUBSTITUTE(SUBSTITUTE(L443,"G",""),"C","")))/N443)</f>
        <v>0.56</v>
      </c>
      <c r="Q443" s="14" t="n">
        <f aca="false">IF(O443=0,"",(O443-LEN(SUBSTITUTE(SUBSTITUTE(M443,"G",""),"C","")))/O443)</f>
        <v>0.64</v>
      </c>
      <c r="R443" s="5" t="s">
        <v>521</v>
      </c>
      <c r="S443" s="15" t="s">
        <v>1677</v>
      </c>
      <c r="T443" s="5" t="n">
        <v>9</v>
      </c>
      <c r="U443" s="5" t="s">
        <v>1678</v>
      </c>
      <c r="V443" s="5" t="s">
        <v>47</v>
      </c>
      <c r="W443" s="5"/>
      <c r="X443" s="8" t="s">
        <v>2131</v>
      </c>
      <c r="Y443" s="5"/>
    </row>
    <row r="444" customFormat="false" ht="15" hidden="false" customHeight="false" outlineLevel="0" collapsed="false">
      <c r="A444" s="5" t="s">
        <v>5533</v>
      </c>
      <c r="B444" s="5" t="s">
        <v>515</v>
      </c>
      <c r="C444" s="5" t="s">
        <v>516</v>
      </c>
      <c r="D444" s="6" t="s">
        <v>45</v>
      </c>
      <c r="E444" s="5" t="n">
        <v>2</v>
      </c>
      <c r="F444" s="5" t="s">
        <v>5534</v>
      </c>
      <c r="G444" s="13" t="s">
        <v>5535</v>
      </c>
      <c r="H444" s="5" t="s">
        <v>5536</v>
      </c>
      <c r="I444" s="13" t="s">
        <v>5537</v>
      </c>
      <c r="J444" s="5" t="s">
        <v>5538</v>
      </c>
      <c r="K444" s="5" t="s">
        <v>5539</v>
      </c>
      <c r="L444" s="13" t="s">
        <v>5540</v>
      </c>
      <c r="M444" s="13" t="s">
        <v>5541</v>
      </c>
      <c r="N444" s="5" t="n">
        <f aca="false">LEN(L444)</f>
        <v>25</v>
      </c>
      <c r="O444" s="5" t="n">
        <f aca="false">LEN(M444)</f>
        <v>25</v>
      </c>
      <c r="P444" s="14" t="n">
        <f aca="false">IF(N444=0,"",(N444-LEN(SUBSTITUTE(SUBSTITUTE(L444,"G",""),"C","")))/N444)</f>
        <v>0.44</v>
      </c>
      <c r="Q444" s="14" t="n">
        <f aca="false">IF(O444=0,"",(O444-LEN(SUBSTITUTE(SUBSTITUTE(M444,"G",""),"C","")))/O444)</f>
        <v>0.6</v>
      </c>
      <c r="R444" s="5" t="s">
        <v>521</v>
      </c>
      <c r="S444" s="15" t="s">
        <v>1677</v>
      </c>
      <c r="T444" s="5" t="n">
        <v>75</v>
      </c>
      <c r="U444" s="5" t="s">
        <v>1678</v>
      </c>
      <c r="V444" s="5" t="s">
        <v>47</v>
      </c>
      <c r="W444" s="5"/>
      <c r="X444" s="15" t="s">
        <v>1677</v>
      </c>
      <c r="Y444" s="5"/>
    </row>
    <row r="445" customFormat="false" ht="15" hidden="false" customHeight="false" outlineLevel="0" collapsed="false">
      <c r="A445" s="5" t="s">
        <v>5542</v>
      </c>
      <c r="B445" s="5" t="s">
        <v>515</v>
      </c>
      <c r="C445" s="5" t="s">
        <v>516</v>
      </c>
      <c r="D445" s="6" t="s">
        <v>45</v>
      </c>
      <c r="E445" s="5" t="n">
        <v>3</v>
      </c>
      <c r="F445" s="5" t="s">
        <v>5543</v>
      </c>
      <c r="G445" s="13" t="s">
        <v>5544</v>
      </c>
      <c r="H445" s="5" t="s">
        <v>5545</v>
      </c>
      <c r="I445" s="13" t="s">
        <v>5546</v>
      </c>
      <c r="J445" s="5" t="s">
        <v>5547</v>
      </c>
      <c r="K445" s="5" t="s">
        <v>5548</v>
      </c>
      <c r="L445" s="13" t="s">
        <v>5549</v>
      </c>
      <c r="M445" s="13" t="s">
        <v>5550</v>
      </c>
      <c r="N445" s="5" t="n">
        <f aca="false">LEN(L445)</f>
        <v>25</v>
      </c>
      <c r="O445" s="5" t="n">
        <f aca="false">LEN(M445)</f>
        <v>25</v>
      </c>
      <c r="P445" s="14" t="n">
        <f aca="false">IF(N445=0,"",(N445-LEN(SUBSTITUTE(SUBSTITUTE(L445,"G",""),"C","")))/N445)</f>
        <v>0.56</v>
      </c>
      <c r="Q445" s="14" t="n">
        <f aca="false">IF(O445=0,"",(O445-LEN(SUBSTITUTE(SUBSTITUTE(M445,"G",""),"C","")))/O445)</f>
        <v>0.48</v>
      </c>
      <c r="R445" s="5" t="s">
        <v>521</v>
      </c>
      <c r="S445" s="15" t="s">
        <v>1677</v>
      </c>
      <c r="T445" s="5" t="n">
        <v>209</v>
      </c>
      <c r="U445" s="5" t="s">
        <v>1678</v>
      </c>
      <c r="V445" s="5" t="s">
        <v>47</v>
      </c>
      <c r="W445" s="5"/>
      <c r="X445" s="8" t="s">
        <v>1769</v>
      </c>
      <c r="Y445" s="5"/>
    </row>
    <row r="446" customFormat="false" ht="15" hidden="false" customHeight="false" outlineLevel="0" collapsed="false">
      <c r="A446" s="5" t="s">
        <v>5551</v>
      </c>
      <c r="B446" s="5" t="s">
        <v>515</v>
      </c>
      <c r="C446" s="5" t="s">
        <v>516</v>
      </c>
      <c r="D446" s="6" t="s">
        <v>45</v>
      </c>
      <c r="E446" s="5" t="n">
        <v>4</v>
      </c>
      <c r="F446" s="5" t="s">
        <v>5552</v>
      </c>
      <c r="G446" s="13" t="s">
        <v>5553</v>
      </c>
      <c r="H446" s="5" t="s">
        <v>5554</v>
      </c>
      <c r="I446" s="13" t="s">
        <v>5555</v>
      </c>
      <c r="J446" s="5" t="s">
        <v>5556</v>
      </c>
      <c r="K446" s="5" t="s">
        <v>5557</v>
      </c>
      <c r="L446" s="13" t="s">
        <v>5558</v>
      </c>
      <c r="M446" s="13" t="s">
        <v>5559</v>
      </c>
      <c r="N446" s="5" t="n">
        <f aca="false">LEN(L446)</f>
        <v>25</v>
      </c>
      <c r="O446" s="5" t="n">
        <f aca="false">LEN(M446)</f>
        <v>25</v>
      </c>
      <c r="P446" s="14" t="n">
        <f aca="false">IF(N446=0,"",(N446-LEN(SUBSTITUTE(SUBSTITUTE(L446,"G",""),"C","")))/N446)</f>
        <v>0.4</v>
      </c>
      <c r="Q446" s="14" t="n">
        <f aca="false">IF(O446=0,"",(O446-LEN(SUBSTITUTE(SUBSTITUTE(M446,"G",""),"C","")))/O446)</f>
        <v>0.48</v>
      </c>
      <c r="R446" s="5" t="s">
        <v>521</v>
      </c>
      <c r="S446" s="15" t="s">
        <v>1677</v>
      </c>
      <c r="T446" s="5" t="n">
        <v>274</v>
      </c>
      <c r="U446" s="5" t="s">
        <v>1678</v>
      </c>
      <c r="V446" s="5" t="s">
        <v>47</v>
      </c>
      <c r="W446" s="5"/>
      <c r="X446" s="8" t="s">
        <v>1769</v>
      </c>
      <c r="Y446" s="5"/>
    </row>
    <row r="447" customFormat="false" ht="15" hidden="false" customHeight="false" outlineLevel="0" collapsed="false">
      <c r="A447" s="5" t="s">
        <v>5560</v>
      </c>
      <c r="B447" s="5" t="s">
        <v>515</v>
      </c>
      <c r="C447" s="5" t="s">
        <v>516</v>
      </c>
      <c r="D447" s="6" t="s">
        <v>45</v>
      </c>
      <c r="E447" s="5" t="n">
        <v>5</v>
      </c>
      <c r="F447" s="5" t="s">
        <v>5561</v>
      </c>
      <c r="G447" s="13" t="s">
        <v>5562</v>
      </c>
      <c r="H447" s="5" t="s">
        <v>5563</v>
      </c>
      <c r="I447" s="13" t="s">
        <v>5564</v>
      </c>
      <c r="J447" s="5" t="s">
        <v>5565</v>
      </c>
      <c r="K447" s="5" t="s">
        <v>5566</v>
      </c>
      <c r="L447" s="13" t="s">
        <v>5567</v>
      </c>
      <c r="M447" s="13" t="s">
        <v>5568</v>
      </c>
      <c r="N447" s="5" t="n">
        <f aca="false">LEN(L447)</f>
        <v>25</v>
      </c>
      <c r="O447" s="5" t="n">
        <f aca="false">LEN(M447)</f>
        <v>25</v>
      </c>
      <c r="P447" s="14" t="n">
        <f aca="false">IF(N447=0,"",(N447-LEN(SUBSTITUTE(SUBSTITUTE(L447,"G",""),"C","")))/N447)</f>
        <v>0.4</v>
      </c>
      <c r="Q447" s="14" t="n">
        <f aca="false">IF(O447=0,"",(O447-LEN(SUBSTITUTE(SUBSTITUTE(M447,"G",""),"C","")))/O447)</f>
        <v>0.48</v>
      </c>
      <c r="R447" s="5" t="s">
        <v>521</v>
      </c>
      <c r="S447" s="15" t="s">
        <v>1677</v>
      </c>
      <c r="T447" s="5" t="n">
        <v>408</v>
      </c>
      <c r="U447" s="5" t="s">
        <v>1678</v>
      </c>
      <c r="V447" s="5" t="s">
        <v>47</v>
      </c>
      <c r="W447" s="5"/>
      <c r="X447" s="15" t="s">
        <v>1677</v>
      </c>
      <c r="Y447" s="5"/>
    </row>
    <row r="448" customFormat="false" ht="15" hidden="false" customHeight="false" outlineLevel="0" collapsed="false">
      <c r="A448" s="5" t="s">
        <v>5569</v>
      </c>
      <c r="B448" s="5" t="s">
        <v>515</v>
      </c>
      <c r="C448" s="5" t="s">
        <v>516</v>
      </c>
      <c r="D448" s="6" t="s">
        <v>45</v>
      </c>
      <c r="E448" s="5" t="n">
        <v>6</v>
      </c>
      <c r="F448" s="5" t="s">
        <v>5570</v>
      </c>
      <c r="G448" s="13" t="s">
        <v>5571</v>
      </c>
      <c r="H448" s="5" t="s">
        <v>5572</v>
      </c>
      <c r="I448" s="13" t="s">
        <v>5573</v>
      </c>
      <c r="J448" s="5" t="s">
        <v>5574</v>
      </c>
      <c r="K448" s="5" t="s">
        <v>5575</v>
      </c>
      <c r="L448" s="13" t="s">
        <v>5576</v>
      </c>
      <c r="M448" s="13" t="s">
        <v>5577</v>
      </c>
      <c r="N448" s="5" t="n">
        <f aca="false">LEN(L448)</f>
        <v>25</v>
      </c>
      <c r="O448" s="5" t="n">
        <f aca="false">LEN(M448)</f>
        <v>25</v>
      </c>
      <c r="P448" s="14" t="n">
        <f aca="false">IF(N448=0,"",(N448-LEN(SUBSTITUTE(SUBSTITUTE(L448,"G",""),"C","")))/N448)</f>
        <v>0.4</v>
      </c>
      <c r="Q448" s="14" t="n">
        <f aca="false">IF(O448=0,"",(O448-LEN(SUBSTITUTE(SUBSTITUTE(M448,"G",""),"C","")))/O448)</f>
        <v>0.32</v>
      </c>
      <c r="R448" s="5" t="s">
        <v>521</v>
      </c>
      <c r="S448" s="15" t="s">
        <v>1677</v>
      </c>
      <c r="T448" s="5" t="n">
        <v>474</v>
      </c>
      <c r="U448" s="5" t="s">
        <v>1678</v>
      </c>
      <c r="V448" s="5" t="s">
        <v>47</v>
      </c>
      <c r="W448" s="5"/>
      <c r="X448" s="15" t="s">
        <v>1677</v>
      </c>
      <c r="Y448" s="5"/>
    </row>
    <row r="449" customFormat="false" ht="15" hidden="false" customHeight="false" outlineLevel="0" collapsed="false">
      <c r="A449" s="5" t="s">
        <v>5578</v>
      </c>
      <c r="B449" s="5" t="s">
        <v>515</v>
      </c>
      <c r="C449" s="5" t="s">
        <v>516</v>
      </c>
      <c r="D449" s="6" t="s">
        <v>45</v>
      </c>
      <c r="E449" s="5" t="n">
        <v>7</v>
      </c>
      <c r="F449" s="5" t="s">
        <v>5579</v>
      </c>
      <c r="G449" s="13" t="s">
        <v>5580</v>
      </c>
      <c r="H449" s="5" t="s">
        <v>5581</v>
      </c>
      <c r="I449" s="13" t="s">
        <v>5582</v>
      </c>
      <c r="J449" s="5" t="s">
        <v>5583</v>
      </c>
      <c r="K449" s="5" t="s">
        <v>5584</v>
      </c>
      <c r="L449" s="13" t="s">
        <v>5585</v>
      </c>
      <c r="M449" s="13" t="s">
        <v>5586</v>
      </c>
      <c r="N449" s="5" t="n">
        <f aca="false">LEN(L449)</f>
        <v>25</v>
      </c>
      <c r="O449" s="5" t="n">
        <f aca="false">LEN(M449)</f>
        <v>25</v>
      </c>
      <c r="P449" s="14" t="n">
        <f aca="false">IF(N449=0,"",(N449-LEN(SUBSTITUTE(SUBSTITUTE(L449,"G",""),"C","")))/N449)</f>
        <v>0.52</v>
      </c>
      <c r="Q449" s="14" t="n">
        <f aca="false">IF(O449=0,"",(O449-LEN(SUBSTITUTE(SUBSTITUTE(M449,"G",""),"C","")))/O449)</f>
        <v>0.36</v>
      </c>
      <c r="R449" s="5" t="s">
        <v>521</v>
      </c>
      <c r="S449" s="15" t="s">
        <v>1677</v>
      </c>
      <c r="T449" s="5" t="n">
        <v>608</v>
      </c>
      <c r="U449" s="5" t="s">
        <v>1678</v>
      </c>
      <c r="V449" s="5" t="s">
        <v>47</v>
      </c>
      <c r="W449" s="5"/>
      <c r="X449" s="15" t="s">
        <v>1677</v>
      </c>
      <c r="Y449" s="5"/>
    </row>
    <row r="450" customFormat="false" ht="15" hidden="false" customHeight="false" outlineLevel="0" collapsed="false">
      <c r="A450" s="5" t="s">
        <v>5587</v>
      </c>
      <c r="B450" s="5" t="s">
        <v>515</v>
      </c>
      <c r="C450" s="5" t="s">
        <v>516</v>
      </c>
      <c r="D450" s="6" t="s">
        <v>45</v>
      </c>
      <c r="E450" s="5" t="n">
        <v>8</v>
      </c>
      <c r="F450" s="5" t="s">
        <v>5588</v>
      </c>
      <c r="G450" s="13" t="s">
        <v>5589</v>
      </c>
      <c r="H450" s="5" t="s">
        <v>5590</v>
      </c>
      <c r="I450" s="13" t="s">
        <v>5591</v>
      </c>
      <c r="J450" s="5" t="s">
        <v>5592</v>
      </c>
      <c r="K450" s="5" t="s">
        <v>5593</v>
      </c>
      <c r="L450" s="13" t="s">
        <v>5594</v>
      </c>
      <c r="M450" s="13" t="s">
        <v>5595</v>
      </c>
      <c r="N450" s="5" t="n">
        <f aca="false">LEN(L450)</f>
        <v>25</v>
      </c>
      <c r="O450" s="5" t="n">
        <f aca="false">LEN(M450)</f>
        <v>25</v>
      </c>
      <c r="P450" s="14" t="n">
        <f aca="false">IF(N450=0,"",(N450-LEN(SUBSTITUTE(SUBSTITUTE(L450,"G",""),"C","")))/N450)</f>
        <v>0.52</v>
      </c>
      <c r="Q450" s="14" t="n">
        <f aca="false">IF(O450=0,"",(O450-LEN(SUBSTITUTE(SUBSTITUTE(M450,"G",""),"C","")))/O450)</f>
        <v>0.64</v>
      </c>
      <c r="R450" s="5" t="s">
        <v>521</v>
      </c>
      <c r="S450" s="15" t="s">
        <v>1677</v>
      </c>
      <c r="T450" s="5" t="n">
        <v>674</v>
      </c>
      <c r="U450" s="5" t="s">
        <v>1678</v>
      </c>
      <c r="V450" s="5" t="s">
        <v>47</v>
      </c>
      <c r="W450" s="5"/>
      <c r="X450" s="8" t="s">
        <v>1914</v>
      </c>
      <c r="Y450" s="5"/>
    </row>
    <row r="451" customFormat="false" ht="15" hidden="false" customHeight="false" outlineLevel="0" collapsed="false">
      <c r="A451" s="5" t="s">
        <v>5596</v>
      </c>
      <c r="B451" s="5" t="s">
        <v>525</v>
      </c>
      <c r="C451" s="5" t="s">
        <v>526</v>
      </c>
      <c r="D451" s="6" t="s">
        <v>45</v>
      </c>
      <c r="E451" s="5" t="n">
        <v>1</v>
      </c>
      <c r="F451" s="5" t="s">
        <v>5597</v>
      </c>
      <c r="G451" s="13" t="s">
        <v>5598</v>
      </c>
      <c r="H451" s="5" t="s">
        <v>5599</v>
      </c>
      <c r="I451" s="13" t="s">
        <v>5600</v>
      </c>
      <c r="J451" s="5" t="s">
        <v>5601</v>
      </c>
      <c r="K451" s="5" t="s">
        <v>5602</v>
      </c>
      <c r="L451" s="13" t="s">
        <v>5603</v>
      </c>
      <c r="M451" s="13" t="s">
        <v>5604</v>
      </c>
      <c r="N451" s="5" t="n">
        <f aca="false">LEN(L451)</f>
        <v>25</v>
      </c>
      <c r="O451" s="5" t="n">
        <f aca="false">LEN(M451)</f>
        <v>25</v>
      </c>
      <c r="P451" s="14" t="n">
        <f aca="false">IF(N451=0,"",(N451-LEN(SUBSTITUTE(SUBSTITUTE(L451,"G",""),"C","")))/N451)</f>
        <v>0.28</v>
      </c>
      <c r="Q451" s="14" t="n">
        <f aca="false">IF(O451=0,"",(O451-LEN(SUBSTITUTE(SUBSTITUTE(M451,"G",""),"C","")))/O451)</f>
        <v>0.48</v>
      </c>
      <c r="R451" s="5" t="s">
        <v>528</v>
      </c>
      <c r="S451" s="15" t="s">
        <v>1677</v>
      </c>
      <c r="T451" s="5" t="n">
        <v>6</v>
      </c>
      <c r="U451" s="5" t="s">
        <v>1678</v>
      </c>
      <c r="V451" s="5" t="s">
        <v>47</v>
      </c>
      <c r="W451" s="5"/>
      <c r="X451" s="15" t="s">
        <v>1677</v>
      </c>
      <c r="Y451" s="5"/>
    </row>
    <row r="452" customFormat="false" ht="15" hidden="false" customHeight="false" outlineLevel="0" collapsed="false">
      <c r="A452" s="5" t="s">
        <v>5605</v>
      </c>
      <c r="B452" s="5" t="s">
        <v>525</v>
      </c>
      <c r="C452" s="5" t="s">
        <v>526</v>
      </c>
      <c r="D452" s="6" t="s">
        <v>45</v>
      </c>
      <c r="E452" s="5" t="n">
        <v>2</v>
      </c>
      <c r="F452" s="5" t="s">
        <v>5606</v>
      </c>
      <c r="G452" s="13" t="s">
        <v>5607</v>
      </c>
      <c r="H452" s="5" t="s">
        <v>5608</v>
      </c>
      <c r="I452" s="13" t="s">
        <v>5609</v>
      </c>
      <c r="J452" s="5" t="s">
        <v>5610</v>
      </c>
      <c r="K452" s="5" t="s">
        <v>5611</v>
      </c>
      <c r="L452" s="13" t="s">
        <v>5612</v>
      </c>
      <c r="M452" s="13" t="s">
        <v>5613</v>
      </c>
      <c r="N452" s="5" t="n">
        <f aca="false">LEN(L452)</f>
        <v>25</v>
      </c>
      <c r="O452" s="5" t="n">
        <f aca="false">LEN(M452)</f>
        <v>25</v>
      </c>
      <c r="P452" s="14" t="n">
        <f aca="false">IF(N452=0,"",(N452-LEN(SUBSTITUTE(SUBSTITUTE(L452,"G",""),"C","")))/N452)</f>
        <v>0.44</v>
      </c>
      <c r="Q452" s="14" t="n">
        <f aca="false">IF(O452=0,"",(O452-LEN(SUBSTITUTE(SUBSTITUTE(M452,"G",""),"C","")))/O452)</f>
        <v>0.52</v>
      </c>
      <c r="R452" s="5" t="s">
        <v>528</v>
      </c>
      <c r="S452" s="15" t="s">
        <v>1677</v>
      </c>
      <c r="T452" s="5" t="n">
        <v>66</v>
      </c>
      <c r="U452" s="5" t="s">
        <v>1678</v>
      </c>
      <c r="V452" s="5" t="s">
        <v>47</v>
      </c>
      <c r="W452" s="5"/>
      <c r="X452" s="15" t="s">
        <v>1677</v>
      </c>
      <c r="Y452" s="5"/>
    </row>
    <row r="453" customFormat="false" ht="15" hidden="false" customHeight="false" outlineLevel="0" collapsed="false">
      <c r="A453" s="5" t="s">
        <v>5614</v>
      </c>
      <c r="B453" s="5" t="s">
        <v>525</v>
      </c>
      <c r="C453" s="5" t="s">
        <v>526</v>
      </c>
      <c r="D453" s="6" t="s">
        <v>45</v>
      </c>
      <c r="E453" s="5" t="n">
        <v>3</v>
      </c>
      <c r="F453" s="5" t="s">
        <v>5615</v>
      </c>
      <c r="G453" s="13" t="s">
        <v>5616</v>
      </c>
      <c r="H453" s="5" t="s">
        <v>5617</v>
      </c>
      <c r="I453" s="13" t="s">
        <v>5618</v>
      </c>
      <c r="J453" s="5" t="s">
        <v>5619</v>
      </c>
      <c r="K453" s="5" t="s">
        <v>5620</v>
      </c>
      <c r="L453" s="13" t="s">
        <v>5621</v>
      </c>
      <c r="M453" s="13" t="s">
        <v>5622</v>
      </c>
      <c r="N453" s="5" t="n">
        <f aca="false">LEN(L453)</f>
        <v>25</v>
      </c>
      <c r="O453" s="5" t="n">
        <f aca="false">LEN(M453)</f>
        <v>25</v>
      </c>
      <c r="P453" s="14" t="n">
        <f aca="false">IF(N453=0,"",(N453-LEN(SUBSTITUTE(SUBSTITUTE(L453,"G",""),"C","")))/N453)</f>
        <v>0.36</v>
      </c>
      <c r="Q453" s="14" t="n">
        <f aca="false">IF(O453=0,"",(O453-LEN(SUBSTITUTE(SUBSTITUTE(M453,"G",""),"C","")))/O453)</f>
        <v>0.48</v>
      </c>
      <c r="R453" s="5" t="s">
        <v>528</v>
      </c>
      <c r="S453" s="15" t="s">
        <v>1677</v>
      </c>
      <c r="T453" s="5" t="n">
        <v>126</v>
      </c>
      <c r="U453" s="5" t="s">
        <v>1678</v>
      </c>
      <c r="V453" s="5" t="s">
        <v>47</v>
      </c>
      <c r="W453" s="5"/>
      <c r="X453" s="15" t="s">
        <v>1677</v>
      </c>
      <c r="Y453" s="5"/>
    </row>
    <row r="454" customFormat="false" ht="15" hidden="false" customHeight="false" outlineLevel="0" collapsed="false">
      <c r="A454" s="5" t="s">
        <v>5623</v>
      </c>
      <c r="B454" s="5" t="s">
        <v>525</v>
      </c>
      <c r="C454" s="5" t="s">
        <v>526</v>
      </c>
      <c r="D454" s="6" t="s">
        <v>45</v>
      </c>
      <c r="E454" s="5" t="n">
        <v>4</v>
      </c>
      <c r="F454" s="5" t="s">
        <v>5624</v>
      </c>
      <c r="G454" s="13" t="s">
        <v>5625</v>
      </c>
      <c r="H454" s="5" t="s">
        <v>5626</v>
      </c>
      <c r="I454" s="13" t="s">
        <v>5627</v>
      </c>
      <c r="J454" s="5" t="s">
        <v>5628</v>
      </c>
      <c r="K454" s="5" t="s">
        <v>5629</v>
      </c>
      <c r="L454" s="13" t="s">
        <v>5630</v>
      </c>
      <c r="M454" s="13" t="s">
        <v>5631</v>
      </c>
      <c r="N454" s="5" t="n">
        <f aca="false">LEN(L454)</f>
        <v>25</v>
      </c>
      <c r="O454" s="5" t="n">
        <f aca="false">LEN(M454)</f>
        <v>25</v>
      </c>
      <c r="P454" s="14" t="n">
        <f aca="false">IF(N454=0,"",(N454-LEN(SUBSTITUTE(SUBSTITUTE(L454,"G",""),"C","")))/N454)</f>
        <v>0.44</v>
      </c>
      <c r="Q454" s="14" t="n">
        <f aca="false">IF(O454=0,"",(O454-LEN(SUBSTITUTE(SUBSTITUTE(M454,"G",""),"C","")))/O454)</f>
        <v>0.4</v>
      </c>
      <c r="R454" s="5" t="s">
        <v>528</v>
      </c>
      <c r="S454" s="15" t="s">
        <v>1677</v>
      </c>
      <c r="T454" s="5" t="n">
        <v>186</v>
      </c>
      <c r="U454" s="5" t="s">
        <v>1678</v>
      </c>
      <c r="V454" s="5" t="s">
        <v>47</v>
      </c>
      <c r="W454" s="5"/>
      <c r="X454" s="15" t="s">
        <v>1677</v>
      </c>
      <c r="Y454" s="5"/>
    </row>
    <row r="455" customFormat="false" ht="15" hidden="false" customHeight="false" outlineLevel="0" collapsed="false">
      <c r="A455" s="5" t="s">
        <v>5632</v>
      </c>
      <c r="B455" s="5" t="s">
        <v>525</v>
      </c>
      <c r="C455" s="5" t="s">
        <v>526</v>
      </c>
      <c r="D455" s="6" t="s">
        <v>45</v>
      </c>
      <c r="E455" s="5" t="n">
        <v>5</v>
      </c>
      <c r="F455" s="5" t="s">
        <v>5633</v>
      </c>
      <c r="G455" s="13" t="s">
        <v>5634</v>
      </c>
      <c r="H455" s="5" t="s">
        <v>5635</v>
      </c>
      <c r="I455" s="13" t="s">
        <v>5636</v>
      </c>
      <c r="J455" s="5" t="s">
        <v>5637</v>
      </c>
      <c r="K455" s="5" t="s">
        <v>5638</v>
      </c>
      <c r="L455" s="13" t="s">
        <v>5639</v>
      </c>
      <c r="M455" s="13" t="s">
        <v>5640</v>
      </c>
      <c r="N455" s="5" t="n">
        <f aca="false">LEN(L455)</f>
        <v>25</v>
      </c>
      <c r="O455" s="5" t="n">
        <f aca="false">LEN(M455)</f>
        <v>25</v>
      </c>
      <c r="P455" s="14" t="n">
        <f aca="false">IF(N455=0,"",(N455-LEN(SUBSTITUTE(SUBSTITUTE(L455,"G",""),"C","")))/N455)</f>
        <v>0.44</v>
      </c>
      <c r="Q455" s="14" t="n">
        <f aca="false">IF(O455=0,"",(O455-LEN(SUBSTITUTE(SUBSTITUTE(M455,"G",""),"C","")))/O455)</f>
        <v>0.32</v>
      </c>
      <c r="R455" s="5" t="s">
        <v>528</v>
      </c>
      <c r="S455" s="15" t="s">
        <v>1677</v>
      </c>
      <c r="T455" s="5" t="n">
        <v>246</v>
      </c>
      <c r="U455" s="5" t="s">
        <v>1678</v>
      </c>
      <c r="V455" s="5" t="s">
        <v>47</v>
      </c>
      <c r="W455" s="5"/>
      <c r="X455" s="15" t="s">
        <v>1677</v>
      </c>
      <c r="Y455" s="5"/>
    </row>
    <row r="456" customFormat="false" ht="15" hidden="false" customHeight="false" outlineLevel="0" collapsed="false">
      <c r="A456" s="5" t="s">
        <v>5641</v>
      </c>
      <c r="B456" s="5" t="s">
        <v>525</v>
      </c>
      <c r="C456" s="5" t="s">
        <v>526</v>
      </c>
      <c r="D456" s="6" t="s">
        <v>45</v>
      </c>
      <c r="E456" s="5" t="n">
        <v>6</v>
      </c>
      <c r="F456" s="5" t="s">
        <v>5642</v>
      </c>
      <c r="G456" s="13" t="s">
        <v>5643</v>
      </c>
      <c r="H456" s="5" t="s">
        <v>5644</v>
      </c>
      <c r="I456" s="13" t="s">
        <v>5645</v>
      </c>
      <c r="J456" s="5" t="s">
        <v>5646</v>
      </c>
      <c r="K456" s="5" t="s">
        <v>5647</v>
      </c>
      <c r="L456" s="13" t="s">
        <v>5648</v>
      </c>
      <c r="M456" s="13" t="s">
        <v>5649</v>
      </c>
      <c r="N456" s="5" t="n">
        <f aca="false">LEN(L456)</f>
        <v>25</v>
      </c>
      <c r="O456" s="5" t="n">
        <f aca="false">LEN(M456)</f>
        <v>25</v>
      </c>
      <c r="P456" s="14" t="n">
        <f aca="false">IF(N456=0,"",(N456-LEN(SUBSTITUTE(SUBSTITUTE(L456,"G",""),"C","")))/N456)</f>
        <v>0.4</v>
      </c>
      <c r="Q456" s="14" t="n">
        <f aca="false">IF(O456=0,"",(O456-LEN(SUBSTITUTE(SUBSTITUTE(M456,"G",""),"C","")))/O456)</f>
        <v>0.6</v>
      </c>
      <c r="R456" s="5" t="s">
        <v>528</v>
      </c>
      <c r="S456" s="15" t="s">
        <v>1677</v>
      </c>
      <c r="T456" s="5" t="n">
        <v>306</v>
      </c>
      <c r="U456" s="5" t="s">
        <v>1678</v>
      </c>
      <c r="V456" s="5" t="s">
        <v>47</v>
      </c>
      <c r="W456" s="5"/>
      <c r="X456" s="15" t="s">
        <v>1677</v>
      </c>
      <c r="Y456" s="5"/>
    </row>
    <row r="457" customFormat="false" ht="15" hidden="false" customHeight="false" outlineLevel="0" collapsed="false">
      <c r="A457" s="5" t="s">
        <v>5650</v>
      </c>
      <c r="B457" s="5" t="s">
        <v>531</v>
      </c>
      <c r="C457" s="5" t="s">
        <v>532</v>
      </c>
      <c r="D457" s="6" t="s">
        <v>45</v>
      </c>
      <c r="E457" s="5" t="n">
        <v>1</v>
      </c>
      <c r="F457" s="5" t="s">
        <v>5651</v>
      </c>
      <c r="G457" s="13" t="s">
        <v>5652</v>
      </c>
      <c r="H457" s="5" t="s">
        <v>5653</v>
      </c>
      <c r="I457" s="13" t="s">
        <v>5654</v>
      </c>
      <c r="J457" s="5" t="s">
        <v>5655</v>
      </c>
      <c r="K457" s="5" t="s">
        <v>5656</v>
      </c>
      <c r="L457" s="13" t="s">
        <v>5657</v>
      </c>
      <c r="M457" s="13" t="s">
        <v>5658</v>
      </c>
      <c r="N457" s="5" t="n">
        <f aca="false">LEN(L457)</f>
        <v>25</v>
      </c>
      <c r="O457" s="5" t="n">
        <f aca="false">LEN(M457)</f>
        <v>25</v>
      </c>
      <c r="P457" s="14" t="n">
        <f aca="false">IF(N457=0,"",(N457-LEN(SUBSTITUTE(SUBSTITUTE(L457,"G",""),"C","")))/N457)</f>
        <v>0.52</v>
      </c>
      <c r="Q457" s="14" t="n">
        <f aca="false">IF(O457=0,"",(O457-LEN(SUBSTITUTE(SUBSTITUTE(M457,"G",""),"C","")))/O457)</f>
        <v>0.64</v>
      </c>
      <c r="R457" s="5" t="s">
        <v>536</v>
      </c>
      <c r="S457" s="15" t="s">
        <v>1677</v>
      </c>
      <c r="T457" s="5" t="n">
        <v>45</v>
      </c>
      <c r="U457" s="5" t="s">
        <v>1678</v>
      </c>
      <c r="V457" s="5" t="s">
        <v>47</v>
      </c>
      <c r="W457" s="5"/>
      <c r="X457" s="8" t="s">
        <v>2131</v>
      </c>
      <c r="Y457" s="5"/>
    </row>
    <row r="458" customFormat="false" ht="15" hidden="false" customHeight="false" outlineLevel="0" collapsed="false">
      <c r="A458" s="5" t="s">
        <v>5659</v>
      </c>
      <c r="B458" s="5" t="s">
        <v>531</v>
      </c>
      <c r="C458" s="5" t="s">
        <v>532</v>
      </c>
      <c r="D458" s="6" t="s">
        <v>45</v>
      </c>
      <c r="E458" s="5" t="n">
        <v>2</v>
      </c>
      <c r="F458" s="5" t="s">
        <v>5660</v>
      </c>
      <c r="G458" s="13" t="s">
        <v>5661</v>
      </c>
      <c r="H458" s="5" t="s">
        <v>5662</v>
      </c>
      <c r="I458" s="13" t="s">
        <v>5663</v>
      </c>
      <c r="J458" s="5" t="s">
        <v>5664</v>
      </c>
      <c r="K458" s="5" t="s">
        <v>5665</v>
      </c>
      <c r="L458" s="13" t="s">
        <v>5666</v>
      </c>
      <c r="M458" s="13" t="s">
        <v>5667</v>
      </c>
      <c r="N458" s="5" t="n">
        <f aca="false">LEN(L458)</f>
        <v>25</v>
      </c>
      <c r="O458" s="5" t="n">
        <f aca="false">LEN(M458)</f>
        <v>25</v>
      </c>
      <c r="P458" s="14" t="n">
        <f aca="false">IF(N458=0,"",(N458-LEN(SUBSTITUTE(SUBSTITUTE(L458,"G",""),"C","")))/N458)</f>
        <v>0.48</v>
      </c>
      <c r="Q458" s="14" t="n">
        <f aca="false">IF(O458=0,"",(O458-LEN(SUBSTITUTE(SUBSTITUTE(M458,"G",""),"C","")))/O458)</f>
        <v>0.68</v>
      </c>
      <c r="R458" s="5" t="s">
        <v>536</v>
      </c>
      <c r="S458" s="15" t="s">
        <v>1677</v>
      </c>
      <c r="T458" s="5" t="n">
        <v>111</v>
      </c>
      <c r="U458" s="5" t="s">
        <v>1678</v>
      </c>
      <c r="V458" s="5" t="s">
        <v>47</v>
      </c>
      <c r="W458" s="5"/>
      <c r="X458" s="15" t="s">
        <v>1677</v>
      </c>
      <c r="Y458" s="5"/>
    </row>
    <row r="459" customFormat="false" ht="15" hidden="false" customHeight="false" outlineLevel="0" collapsed="false">
      <c r="A459" s="5" t="s">
        <v>5668</v>
      </c>
      <c r="B459" s="5" t="s">
        <v>531</v>
      </c>
      <c r="C459" s="5" t="s">
        <v>532</v>
      </c>
      <c r="D459" s="6" t="s">
        <v>45</v>
      </c>
      <c r="E459" s="5" t="n">
        <v>3</v>
      </c>
      <c r="F459" s="5" t="s">
        <v>5669</v>
      </c>
      <c r="G459" s="13" t="s">
        <v>5670</v>
      </c>
      <c r="H459" s="5" t="s">
        <v>5671</v>
      </c>
      <c r="I459" s="13" t="s">
        <v>5672</v>
      </c>
      <c r="J459" s="5" t="s">
        <v>5673</v>
      </c>
      <c r="K459" s="5" t="s">
        <v>5674</v>
      </c>
      <c r="L459" s="13" t="s">
        <v>5675</v>
      </c>
      <c r="M459" s="13" t="s">
        <v>5676</v>
      </c>
      <c r="N459" s="5" t="n">
        <f aca="false">LEN(L459)</f>
        <v>25</v>
      </c>
      <c r="O459" s="5" t="n">
        <f aca="false">LEN(M459)</f>
        <v>25</v>
      </c>
      <c r="P459" s="14" t="n">
        <f aca="false">IF(N459=0,"",(N459-LEN(SUBSTITUTE(SUBSTITUTE(L459,"G",""),"C","")))/N459)</f>
        <v>0.64</v>
      </c>
      <c r="Q459" s="14" t="n">
        <f aca="false">IF(O459=0,"",(O459-LEN(SUBSTITUTE(SUBSTITUTE(M459,"G",""),"C","")))/O459)</f>
        <v>0.6</v>
      </c>
      <c r="R459" s="5" t="s">
        <v>536</v>
      </c>
      <c r="S459" s="15" t="s">
        <v>1677</v>
      </c>
      <c r="T459" s="5" t="n">
        <v>177</v>
      </c>
      <c r="U459" s="5" t="s">
        <v>1678</v>
      </c>
      <c r="V459" s="5" t="s">
        <v>47</v>
      </c>
      <c r="W459" s="5"/>
      <c r="X459" s="8" t="s">
        <v>1914</v>
      </c>
      <c r="Y459" s="5"/>
    </row>
    <row r="460" customFormat="false" ht="15" hidden="false" customHeight="false" outlineLevel="0" collapsed="false">
      <c r="A460" s="5" t="s">
        <v>5677</v>
      </c>
      <c r="B460" s="5" t="s">
        <v>531</v>
      </c>
      <c r="C460" s="5" t="s">
        <v>532</v>
      </c>
      <c r="D460" s="6" t="s">
        <v>45</v>
      </c>
      <c r="E460" s="5" t="n">
        <v>4</v>
      </c>
      <c r="F460" s="5" t="s">
        <v>5678</v>
      </c>
      <c r="G460" s="13" t="s">
        <v>5679</v>
      </c>
      <c r="H460" s="5" t="s">
        <v>5680</v>
      </c>
      <c r="I460" s="13" t="s">
        <v>5681</v>
      </c>
      <c r="J460" s="5" t="s">
        <v>5682</v>
      </c>
      <c r="K460" s="5" t="s">
        <v>5683</v>
      </c>
      <c r="L460" s="13" t="s">
        <v>5684</v>
      </c>
      <c r="M460" s="13" t="s">
        <v>5685</v>
      </c>
      <c r="N460" s="5" t="n">
        <f aca="false">LEN(L460)</f>
        <v>25</v>
      </c>
      <c r="O460" s="5" t="n">
        <f aca="false">LEN(M460)</f>
        <v>25</v>
      </c>
      <c r="P460" s="14" t="n">
        <f aca="false">IF(N460=0,"",(N460-LEN(SUBSTITUTE(SUBSTITUTE(L460,"G",""),"C","")))/N460)</f>
        <v>0.44</v>
      </c>
      <c r="Q460" s="14" t="n">
        <f aca="false">IF(O460=0,"",(O460-LEN(SUBSTITUTE(SUBSTITUTE(M460,"G",""),"C","")))/O460)</f>
        <v>0.4</v>
      </c>
      <c r="R460" s="5" t="s">
        <v>536</v>
      </c>
      <c r="S460" s="15" t="s">
        <v>1677</v>
      </c>
      <c r="T460" s="5" t="n">
        <v>242</v>
      </c>
      <c r="U460" s="5" t="s">
        <v>1678</v>
      </c>
      <c r="V460" s="5" t="s">
        <v>47</v>
      </c>
      <c r="W460" s="5"/>
      <c r="X460" s="15" t="s">
        <v>1677</v>
      </c>
      <c r="Y460" s="5"/>
    </row>
    <row r="461" customFormat="false" ht="15" hidden="false" customHeight="false" outlineLevel="0" collapsed="false">
      <c r="A461" s="5" t="s">
        <v>5686</v>
      </c>
      <c r="B461" s="5" t="s">
        <v>531</v>
      </c>
      <c r="C461" s="5" t="s">
        <v>532</v>
      </c>
      <c r="D461" s="6" t="s">
        <v>45</v>
      </c>
      <c r="E461" s="5" t="n">
        <v>5</v>
      </c>
      <c r="F461" s="5" t="s">
        <v>5687</v>
      </c>
      <c r="G461" s="13" t="s">
        <v>5688</v>
      </c>
      <c r="H461" s="5" t="s">
        <v>5689</v>
      </c>
      <c r="I461" s="13" t="s">
        <v>5690</v>
      </c>
      <c r="J461" s="5" t="s">
        <v>5691</v>
      </c>
      <c r="K461" s="5" t="s">
        <v>5692</v>
      </c>
      <c r="L461" s="13" t="s">
        <v>5693</v>
      </c>
      <c r="M461" s="13" t="s">
        <v>5694</v>
      </c>
      <c r="N461" s="5" t="n">
        <f aca="false">LEN(L461)</f>
        <v>25</v>
      </c>
      <c r="O461" s="5" t="n">
        <f aca="false">LEN(M461)</f>
        <v>25</v>
      </c>
      <c r="P461" s="14" t="n">
        <f aca="false">IF(N461=0,"",(N461-LEN(SUBSTITUTE(SUBSTITUTE(L461,"G",""),"C","")))/N461)</f>
        <v>0.28</v>
      </c>
      <c r="Q461" s="14" t="n">
        <f aca="false">IF(O461=0,"",(O461-LEN(SUBSTITUTE(SUBSTITUTE(M461,"G",""),"C","")))/O461)</f>
        <v>0.68</v>
      </c>
      <c r="R461" s="5" t="s">
        <v>536</v>
      </c>
      <c r="S461" s="15" t="s">
        <v>1677</v>
      </c>
      <c r="T461" s="5" t="n">
        <v>309</v>
      </c>
      <c r="U461" s="5" t="s">
        <v>1678</v>
      </c>
      <c r="V461" s="5" t="s">
        <v>47</v>
      </c>
      <c r="W461" s="5"/>
      <c r="X461" s="8" t="s">
        <v>1914</v>
      </c>
      <c r="Y461" s="5"/>
    </row>
    <row r="462" customFormat="false" ht="15" hidden="false" customHeight="false" outlineLevel="0" collapsed="false">
      <c r="A462" s="5" t="s">
        <v>5695</v>
      </c>
      <c r="B462" s="5" t="s">
        <v>531</v>
      </c>
      <c r="C462" s="5" t="s">
        <v>532</v>
      </c>
      <c r="D462" s="6" t="s">
        <v>45</v>
      </c>
      <c r="E462" s="5" t="n">
        <v>6</v>
      </c>
      <c r="F462" s="5" t="s">
        <v>5696</v>
      </c>
      <c r="G462" s="13" t="s">
        <v>5697</v>
      </c>
      <c r="H462" s="5" t="s">
        <v>5698</v>
      </c>
      <c r="I462" s="13" t="s">
        <v>5699</v>
      </c>
      <c r="J462" s="5" t="s">
        <v>5700</v>
      </c>
      <c r="K462" s="5" t="s">
        <v>5701</v>
      </c>
      <c r="L462" s="13" t="s">
        <v>5702</v>
      </c>
      <c r="M462" s="13" t="s">
        <v>5703</v>
      </c>
      <c r="N462" s="5" t="n">
        <f aca="false">LEN(L462)</f>
        <v>25</v>
      </c>
      <c r="O462" s="5" t="n">
        <f aca="false">LEN(M462)</f>
        <v>25</v>
      </c>
      <c r="P462" s="14" t="n">
        <f aca="false">IF(N462=0,"",(N462-LEN(SUBSTITUTE(SUBSTITUTE(L462,"G",""),"C","")))/N462)</f>
        <v>0.4</v>
      </c>
      <c r="Q462" s="14" t="n">
        <f aca="false">IF(O462=0,"",(O462-LEN(SUBSTITUTE(SUBSTITUTE(M462,"G",""),"C","")))/O462)</f>
        <v>0.44</v>
      </c>
      <c r="R462" s="5" t="s">
        <v>536</v>
      </c>
      <c r="S462" s="15" t="s">
        <v>1677</v>
      </c>
      <c r="T462" s="5" t="n">
        <v>376</v>
      </c>
      <c r="U462" s="5" t="s">
        <v>1678</v>
      </c>
      <c r="V462" s="5" t="s">
        <v>47</v>
      </c>
      <c r="W462" s="5"/>
      <c r="X462" s="8" t="s">
        <v>2131</v>
      </c>
      <c r="Y462" s="5"/>
    </row>
    <row r="463" customFormat="false" ht="15" hidden="false" customHeight="false" outlineLevel="0" collapsed="false">
      <c r="A463" s="5" t="s">
        <v>5704</v>
      </c>
      <c r="B463" s="5" t="s">
        <v>540</v>
      </c>
      <c r="C463" s="5" t="s">
        <v>541</v>
      </c>
      <c r="D463" s="6" t="s">
        <v>45</v>
      </c>
      <c r="E463" s="5" t="n">
        <v>1</v>
      </c>
      <c r="F463" s="5" t="s">
        <v>5705</v>
      </c>
      <c r="G463" s="13" t="s">
        <v>5706</v>
      </c>
      <c r="H463" s="5" t="s">
        <v>5707</v>
      </c>
      <c r="I463" s="13" t="s">
        <v>5708</v>
      </c>
      <c r="J463" s="5" t="s">
        <v>5709</v>
      </c>
      <c r="K463" s="5" t="s">
        <v>5710</v>
      </c>
      <c r="L463" s="13" t="s">
        <v>5711</v>
      </c>
      <c r="M463" s="13" t="s">
        <v>5712</v>
      </c>
      <c r="N463" s="5" t="n">
        <f aca="false">LEN(L463)</f>
        <v>25</v>
      </c>
      <c r="O463" s="5" t="n">
        <f aca="false">LEN(M463)</f>
        <v>25</v>
      </c>
      <c r="P463" s="14" t="n">
        <f aca="false">IF(N463=0,"",(N463-LEN(SUBSTITUTE(SUBSTITUTE(L463,"G",""),"C","")))/N463)</f>
        <v>0.76</v>
      </c>
      <c r="Q463" s="14" t="n">
        <f aca="false">IF(O463=0,"",(O463-LEN(SUBSTITUTE(SUBSTITUTE(M463,"G",""),"C","")))/O463)</f>
        <v>0.64</v>
      </c>
      <c r="R463" s="5" t="s">
        <v>544</v>
      </c>
      <c r="S463" s="15" t="s">
        <v>1677</v>
      </c>
      <c r="T463" s="5" t="n">
        <v>79</v>
      </c>
      <c r="U463" s="5" t="s">
        <v>1678</v>
      </c>
      <c r="V463" s="5" t="s">
        <v>47</v>
      </c>
      <c r="W463" s="5"/>
      <c r="X463" s="8" t="s">
        <v>1914</v>
      </c>
      <c r="Y463" s="5"/>
    </row>
    <row r="464" customFormat="false" ht="15" hidden="false" customHeight="false" outlineLevel="0" collapsed="false">
      <c r="A464" s="5" t="s">
        <v>5713</v>
      </c>
      <c r="B464" s="5" t="s">
        <v>540</v>
      </c>
      <c r="C464" s="5" t="s">
        <v>541</v>
      </c>
      <c r="D464" s="6" t="s">
        <v>45</v>
      </c>
      <c r="E464" s="5" t="n">
        <v>2</v>
      </c>
      <c r="F464" s="5" t="s">
        <v>5714</v>
      </c>
      <c r="G464" s="13" t="s">
        <v>5715</v>
      </c>
      <c r="H464" s="5" t="s">
        <v>5716</v>
      </c>
      <c r="I464" s="13" t="s">
        <v>5717</v>
      </c>
      <c r="J464" s="5" t="s">
        <v>5718</v>
      </c>
      <c r="K464" s="5" t="s">
        <v>5719</v>
      </c>
      <c r="L464" s="13" t="s">
        <v>5720</v>
      </c>
      <c r="M464" s="13" t="s">
        <v>5721</v>
      </c>
      <c r="N464" s="5" t="n">
        <f aca="false">LEN(L464)</f>
        <v>25</v>
      </c>
      <c r="O464" s="5" t="n">
        <f aca="false">LEN(M464)</f>
        <v>25</v>
      </c>
      <c r="P464" s="14" t="n">
        <f aca="false">IF(N464=0,"",(N464-LEN(SUBSTITUTE(SUBSTITUTE(L464,"G",""),"C","")))/N464)</f>
        <v>0.68</v>
      </c>
      <c r="Q464" s="14" t="n">
        <f aca="false">IF(O464=0,"",(O464-LEN(SUBSTITUTE(SUBSTITUTE(M464,"G",""),"C","")))/O464)</f>
        <v>0.52</v>
      </c>
      <c r="R464" s="5" t="s">
        <v>544</v>
      </c>
      <c r="S464" s="15" t="s">
        <v>1677</v>
      </c>
      <c r="T464" s="5" t="n">
        <v>139</v>
      </c>
      <c r="U464" s="5" t="s">
        <v>1678</v>
      </c>
      <c r="V464" s="5" t="s">
        <v>47</v>
      </c>
      <c r="W464" s="5"/>
      <c r="X464" s="8" t="s">
        <v>1769</v>
      </c>
      <c r="Y464" s="5"/>
    </row>
    <row r="465" customFormat="false" ht="15" hidden="false" customHeight="false" outlineLevel="0" collapsed="false">
      <c r="A465" s="5" t="s">
        <v>5722</v>
      </c>
      <c r="B465" s="5" t="s">
        <v>540</v>
      </c>
      <c r="C465" s="5" t="s">
        <v>541</v>
      </c>
      <c r="D465" s="6" t="s">
        <v>45</v>
      </c>
      <c r="E465" s="5" t="n">
        <v>3</v>
      </c>
      <c r="F465" s="5" t="s">
        <v>5723</v>
      </c>
      <c r="G465" s="13" t="s">
        <v>5724</v>
      </c>
      <c r="H465" s="5" t="s">
        <v>5725</v>
      </c>
      <c r="I465" s="13" t="s">
        <v>5726</v>
      </c>
      <c r="J465" s="5" t="s">
        <v>5727</v>
      </c>
      <c r="K465" s="5" t="s">
        <v>5728</v>
      </c>
      <c r="L465" s="13" t="s">
        <v>5729</v>
      </c>
      <c r="M465" s="13" t="s">
        <v>5730</v>
      </c>
      <c r="N465" s="5" t="n">
        <f aca="false">LEN(L465)</f>
        <v>25</v>
      </c>
      <c r="O465" s="5" t="n">
        <f aca="false">LEN(M465)</f>
        <v>25</v>
      </c>
      <c r="P465" s="14" t="n">
        <f aca="false">IF(N465=0,"",(N465-LEN(SUBSTITUTE(SUBSTITUTE(L465,"G",""),"C","")))/N465)</f>
        <v>0.64</v>
      </c>
      <c r="Q465" s="14" t="n">
        <f aca="false">IF(O465=0,"",(O465-LEN(SUBSTITUTE(SUBSTITUTE(M465,"G",""),"C","")))/O465)</f>
        <v>0.4</v>
      </c>
      <c r="R465" s="5" t="s">
        <v>544</v>
      </c>
      <c r="S465" s="15" t="s">
        <v>1677</v>
      </c>
      <c r="T465" s="5" t="n">
        <v>201</v>
      </c>
      <c r="U465" s="5" t="s">
        <v>1678</v>
      </c>
      <c r="V465" s="5" t="s">
        <v>47</v>
      </c>
      <c r="W465" s="5"/>
      <c r="X465" s="15" t="s">
        <v>1677</v>
      </c>
      <c r="Y465" s="5"/>
    </row>
    <row r="466" customFormat="false" ht="15" hidden="false" customHeight="false" outlineLevel="0" collapsed="false">
      <c r="A466" s="5" t="s">
        <v>5731</v>
      </c>
      <c r="B466" s="5" t="s">
        <v>540</v>
      </c>
      <c r="C466" s="5" t="s">
        <v>541</v>
      </c>
      <c r="D466" s="6" t="s">
        <v>45</v>
      </c>
      <c r="E466" s="5" t="n">
        <v>4</v>
      </c>
      <c r="F466" s="5" t="s">
        <v>5732</v>
      </c>
      <c r="G466" s="13" t="s">
        <v>5733</v>
      </c>
      <c r="H466" s="5" t="s">
        <v>5734</v>
      </c>
      <c r="I466" s="13" t="s">
        <v>5735</v>
      </c>
      <c r="J466" s="5" t="s">
        <v>5736</v>
      </c>
      <c r="K466" s="5" t="s">
        <v>5737</v>
      </c>
      <c r="L466" s="13" t="s">
        <v>5738</v>
      </c>
      <c r="M466" s="13" t="s">
        <v>5739</v>
      </c>
      <c r="N466" s="5" t="n">
        <f aca="false">LEN(L466)</f>
        <v>25</v>
      </c>
      <c r="O466" s="5" t="n">
        <f aca="false">LEN(M466)</f>
        <v>25</v>
      </c>
      <c r="P466" s="14" t="n">
        <f aca="false">IF(N466=0,"",(N466-LEN(SUBSTITUTE(SUBSTITUTE(L466,"G",""),"C","")))/N466)</f>
        <v>0.6</v>
      </c>
      <c r="Q466" s="14" t="n">
        <f aca="false">IF(O466=0,"",(O466-LEN(SUBSTITUTE(SUBSTITUTE(M466,"G",""),"C","")))/O466)</f>
        <v>0.56</v>
      </c>
      <c r="R466" s="5" t="s">
        <v>544</v>
      </c>
      <c r="S466" s="15" t="s">
        <v>1677</v>
      </c>
      <c r="T466" s="5" t="n">
        <v>262</v>
      </c>
      <c r="U466" s="5" t="s">
        <v>1678</v>
      </c>
      <c r="V466" s="5" t="s">
        <v>47</v>
      </c>
      <c r="W466" s="5"/>
      <c r="X466" s="15" t="s">
        <v>1677</v>
      </c>
      <c r="Y466" s="5"/>
    </row>
    <row r="467" customFormat="false" ht="15" hidden="false" customHeight="false" outlineLevel="0" collapsed="false">
      <c r="A467" s="5" t="s">
        <v>5740</v>
      </c>
      <c r="B467" s="5" t="s">
        <v>540</v>
      </c>
      <c r="C467" s="5" t="s">
        <v>541</v>
      </c>
      <c r="D467" s="6" t="s">
        <v>45</v>
      </c>
      <c r="E467" s="5" t="n">
        <v>5</v>
      </c>
      <c r="F467" s="5" t="s">
        <v>5741</v>
      </c>
      <c r="G467" s="13" t="s">
        <v>5742</v>
      </c>
      <c r="H467" s="5" t="s">
        <v>5743</v>
      </c>
      <c r="I467" s="13" t="s">
        <v>5744</v>
      </c>
      <c r="J467" s="5" t="s">
        <v>5745</v>
      </c>
      <c r="K467" s="5" t="s">
        <v>5746</v>
      </c>
      <c r="L467" s="13" t="s">
        <v>5747</v>
      </c>
      <c r="M467" s="13" t="s">
        <v>5748</v>
      </c>
      <c r="N467" s="5" t="n">
        <f aca="false">LEN(L467)</f>
        <v>25</v>
      </c>
      <c r="O467" s="5" t="n">
        <f aca="false">LEN(M467)</f>
        <v>25</v>
      </c>
      <c r="P467" s="14" t="n">
        <f aca="false">IF(N467=0,"",(N467-LEN(SUBSTITUTE(SUBSTITUTE(L467,"G",""),"C","")))/N467)</f>
        <v>0.6</v>
      </c>
      <c r="Q467" s="14" t="n">
        <f aca="false">IF(O467=0,"",(O467-LEN(SUBSTITUTE(SUBSTITUTE(M467,"G",""),"C","")))/O467)</f>
        <v>0.68</v>
      </c>
      <c r="R467" s="5" t="s">
        <v>544</v>
      </c>
      <c r="S467" s="15" t="s">
        <v>1677</v>
      </c>
      <c r="T467" s="5" t="n">
        <v>322</v>
      </c>
      <c r="U467" s="5" t="s">
        <v>1678</v>
      </c>
      <c r="V467" s="5" t="s">
        <v>47</v>
      </c>
      <c r="W467" s="5"/>
      <c r="X467" s="15" t="s">
        <v>1677</v>
      </c>
      <c r="Y467" s="5"/>
    </row>
    <row r="468" customFormat="false" ht="15" hidden="false" customHeight="false" outlineLevel="0" collapsed="false">
      <c r="A468" s="5" t="s">
        <v>5749</v>
      </c>
      <c r="B468" s="5" t="s">
        <v>540</v>
      </c>
      <c r="C468" s="5" t="s">
        <v>541</v>
      </c>
      <c r="D468" s="6" t="s">
        <v>45</v>
      </c>
      <c r="E468" s="5" t="n">
        <v>6</v>
      </c>
      <c r="F468" s="5" t="s">
        <v>5750</v>
      </c>
      <c r="G468" s="13" t="s">
        <v>5751</v>
      </c>
      <c r="H468" s="5" t="s">
        <v>5752</v>
      </c>
      <c r="I468" s="13" t="s">
        <v>5753</v>
      </c>
      <c r="J468" s="5" t="s">
        <v>5754</v>
      </c>
      <c r="K468" s="5" t="s">
        <v>5755</v>
      </c>
      <c r="L468" s="13" t="s">
        <v>5756</v>
      </c>
      <c r="M468" s="13" t="s">
        <v>5757</v>
      </c>
      <c r="N468" s="5" t="n">
        <f aca="false">LEN(L468)</f>
        <v>25</v>
      </c>
      <c r="O468" s="5" t="n">
        <f aca="false">LEN(M468)</f>
        <v>25</v>
      </c>
      <c r="P468" s="14" t="n">
        <f aca="false">IF(N468=0,"",(N468-LEN(SUBSTITUTE(SUBSTITUTE(L468,"G",""),"C","")))/N468)</f>
        <v>0.76</v>
      </c>
      <c r="Q468" s="14" t="n">
        <f aca="false">IF(O468=0,"",(O468-LEN(SUBSTITUTE(SUBSTITUTE(M468,"G",""),"C","")))/O468)</f>
        <v>0.56</v>
      </c>
      <c r="R468" s="5" t="s">
        <v>544</v>
      </c>
      <c r="S468" s="15" t="s">
        <v>1677</v>
      </c>
      <c r="T468" s="5" t="n">
        <v>382</v>
      </c>
      <c r="U468" s="5" t="s">
        <v>1678</v>
      </c>
      <c r="V468" s="5" t="s">
        <v>47</v>
      </c>
      <c r="W468" s="5"/>
      <c r="X468" s="15" t="s">
        <v>1677</v>
      </c>
      <c r="Y468" s="5"/>
    </row>
    <row r="469" customFormat="false" ht="15" hidden="false" customHeight="false" outlineLevel="0" collapsed="false">
      <c r="A469" s="5" t="s">
        <v>5758</v>
      </c>
      <c r="B469" s="5" t="s">
        <v>540</v>
      </c>
      <c r="C469" s="5" t="s">
        <v>541</v>
      </c>
      <c r="D469" s="6" t="s">
        <v>45</v>
      </c>
      <c r="E469" s="5" t="n">
        <v>7</v>
      </c>
      <c r="F469" s="5" t="s">
        <v>5759</v>
      </c>
      <c r="G469" s="13" t="s">
        <v>5760</v>
      </c>
      <c r="H469" s="5" t="s">
        <v>5761</v>
      </c>
      <c r="I469" s="13" t="s">
        <v>5762</v>
      </c>
      <c r="J469" s="5" t="s">
        <v>5763</v>
      </c>
      <c r="K469" s="5" t="s">
        <v>5764</v>
      </c>
      <c r="L469" s="13" t="s">
        <v>5765</v>
      </c>
      <c r="M469" s="13" t="s">
        <v>5766</v>
      </c>
      <c r="N469" s="5" t="n">
        <f aca="false">LEN(L469)</f>
        <v>25</v>
      </c>
      <c r="O469" s="5" t="n">
        <f aca="false">LEN(M469)</f>
        <v>25</v>
      </c>
      <c r="P469" s="14" t="n">
        <f aca="false">IF(N469=0,"",(N469-LEN(SUBSTITUTE(SUBSTITUTE(L469,"G",""),"C","")))/N469)</f>
        <v>0.68</v>
      </c>
      <c r="Q469" s="14" t="n">
        <f aca="false">IF(O469=0,"",(O469-LEN(SUBSTITUTE(SUBSTITUTE(M469,"G",""),"C","")))/O469)</f>
        <v>0.76</v>
      </c>
      <c r="R469" s="5" t="s">
        <v>544</v>
      </c>
      <c r="S469" s="15" t="s">
        <v>1677</v>
      </c>
      <c r="T469" s="5" t="n">
        <v>441</v>
      </c>
      <c r="U469" s="5" t="s">
        <v>1678</v>
      </c>
      <c r="V469" s="5" t="s">
        <v>47</v>
      </c>
      <c r="W469" s="5"/>
      <c r="X469" s="15" t="s">
        <v>1677</v>
      </c>
      <c r="Y469" s="5"/>
    </row>
    <row r="470" customFormat="false" ht="15" hidden="false" customHeight="false" outlineLevel="0" collapsed="false">
      <c r="A470" s="5" t="s">
        <v>5767</v>
      </c>
      <c r="B470" s="5" t="s">
        <v>545</v>
      </c>
      <c r="C470" s="5" t="s">
        <v>546</v>
      </c>
      <c r="D470" s="6" t="s">
        <v>45</v>
      </c>
      <c r="E470" s="5" t="n">
        <v>1</v>
      </c>
      <c r="F470" s="5" t="s">
        <v>5768</v>
      </c>
      <c r="G470" s="13" t="s">
        <v>5769</v>
      </c>
      <c r="H470" s="5" t="s">
        <v>5770</v>
      </c>
      <c r="I470" s="13" t="s">
        <v>5771</v>
      </c>
      <c r="J470" s="5" t="s">
        <v>5772</v>
      </c>
      <c r="K470" s="5" t="s">
        <v>5773</v>
      </c>
      <c r="L470" s="13" t="s">
        <v>5774</v>
      </c>
      <c r="M470" s="13" t="s">
        <v>5775</v>
      </c>
      <c r="N470" s="5" t="n">
        <f aca="false">LEN(L470)</f>
        <v>25</v>
      </c>
      <c r="O470" s="5" t="n">
        <f aca="false">LEN(M470)</f>
        <v>25</v>
      </c>
      <c r="P470" s="14" t="n">
        <f aca="false">IF(N470=0,"",(N470-LEN(SUBSTITUTE(SUBSTITUTE(L470,"G",""),"C","")))/N470)</f>
        <v>0.6</v>
      </c>
      <c r="Q470" s="14" t="n">
        <f aca="false">IF(O470=0,"",(O470-LEN(SUBSTITUTE(SUBSTITUTE(M470,"G",""),"C","")))/O470)</f>
        <v>0.84</v>
      </c>
      <c r="R470" s="5" t="s">
        <v>549</v>
      </c>
      <c r="S470" s="15" t="s">
        <v>1677</v>
      </c>
      <c r="T470" s="5" t="n">
        <v>55</v>
      </c>
      <c r="U470" s="5" t="s">
        <v>1678</v>
      </c>
      <c r="V470" s="5" t="s">
        <v>47</v>
      </c>
      <c r="W470" s="5"/>
      <c r="X470" s="15" t="s">
        <v>1677</v>
      </c>
      <c r="Y470" s="5"/>
    </row>
    <row r="471" customFormat="false" ht="15" hidden="false" customHeight="false" outlineLevel="0" collapsed="false">
      <c r="A471" s="5" t="s">
        <v>5776</v>
      </c>
      <c r="B471" s="5" t="s">
        <v>545</v>
      </c>
      <c r="C471" s="5" t="s">
        <v>546</v>
      </c>
      <c r="D471" s="6" t="s">
        <v>45</v>
      </c>
      <c r="E471" s="5" t="n">
        <v>2</v>
      </c>
      <c r="F471" s="5" t="s">
        <v>5777</v>
      </c>
      <c r="G471" s="13" t="s">
        <v>5778</v>
      </c>
      <c r="H471" s="5" t="s">
        <v>5779</v>
      </c>
      <c r="I471" s="13" t="s">
        <v>5780</v>
      </c>
      <c r="J471" s="5" t="s">
        <v>5781</v>
      </c>
      <c r="K471" s="5" t="s">
        <v>5782</v>
      </c>
      <c r="L471" s="13" t="s">
        <v>5783</v>
      </c>
      <c r="M471" s="13" t="s">
        <v>5784</v>
      </c>
      <c r="N471" s="5" t="n">
        <f aca="false">LEN(L471)</f>
        <v>25</v>
      </c>
      <c r="O471" s="5" t="n">
        <f aca="false">LEN(M471)</f>
        <v>25</v>
      </c>
      <c r="P471" s="14" t="n">
        <f aca="false">IF(N471=0,"",(N471-LEN(SUBSTITUTE(SUBSTITUTE(L471,"G",""),"C","")))/N471)</f>
        <v>0.68</v>
      </c>
      <c r="Q471" s="14" t="n">
        <f aca="false">IF(O471=0,"",(O471-LEN(SUBSTITUTE(SUBSTITUTE(M471,"G",""),"C","")))/O471)</f>
        <v>0.76</v>
      </c>
      <c r="R471" s="5" t="s">
        <v>549</v>
      </c>
      <c r="S471" s="15" t="s">
        <v>1677</v>
      </c>
      <c r="T471" s="5" t="n">
        <v>113</v>
      </c>
      <c r="U471" s="5" t="s">
        <v>1678</v>
      </c>
      <c r="V471" s="5" t="s">
        <v>47</v>
      </c>
      <c r="W471" s="5"/>
      <c r="X471" s="8" t="s">
        <v>1914</v>
      </c>
      <c r="Y471" s="5"/>
    </row>
    <row r="472" customFormat="false" ht="15" hidden="false" customHeight="false" outlineLevel="0" collapsed="false">
      <c r="A472" s="5" t="s">
        <v>5785</v>
      </c>
      <c r="B472" s="5" t="s">
        <v>545</v>
      </c>
      <c r="C472" s="5" t="s">
        <v>546</v>
      </c>
      <c r="D472" s="6" t="s">
        <v>45</v>
      </c>
      <c r="E472" s="5" t="n">
        <v>3</v>
      </c>
      <c r="F472" s="5" t="s">
        <v>5786</v>
      </c>
      <c r="G472" s="13" t="s">
        <v>5787</v>
      </c>
      <c r="H472" s="5" t="s">
        <v>5788</v>
      </c>
      <c r="I472" s="13" t="s">
        <v>5789</v>
      </c>
      <c r="J472" s="5" t="s">
        <v>5790</v>
      </c>
      <c r="K472" s="5" t="s">
        <v>5791</v>
      </c>
      <c r="L472" s="13" t="s">
        <v>5792</v>
      </c>
      <c r="M472" s="13" t="s">
        <v>5793</v>
      </c>
      <c r="N472" s="5" t="n">
        <f aca="false">LEN(L472)</f>
        <v>25</v>
      </c>
      <c r="O472" s="5" t="n">
        <f aca="false">LEN(M472)</f>
        <v>25</v>
      </c>
      <c r="P472" s="14" t="n">
        <f aca="false">IF(N472=0,"",(N472-LEN(SUBSTITUTE(SUBSTITUTE(L472,"G",""),"C","")))/N472)</f>
        <v>0.64</v>
      </c>
      <c r="Q472" s="14" t="n">
        <f aca="false">IF(O472=0,"",(O472-LEN(SUBSTITUTE(SUBSTITUTE(M472,"G",""),"C","")))/O472)</f>
        <v>0.8</v>
      </c>
      <c r="R472" s="5" t="s">
        <v>549</v>
      </c>
      <c r="S472" s="15" t="s">
        <v>1677</v>
      </c>
      <c r="T472" s="5" t="n">
        <v>298</v>
      </c>
      <c r="U472" s="5" t="s">
        <v>1678</v>
      </c>
      <c r="V472" s="5" t="s">
        <v>47</v>
      </c>
      <c r="W472" s="5"/>
      <c r="X472" s="8" t="s">
        <v>1769</v>
      </c>
      <c r="Y472" s="5"/>
    </row>
    <row r="473" customFormat="false" ht="15" hidden="false" customHeight="false" outlineLevel="0" collapsed="false">
      <c r="A473" s="5" t="s">
        <v>5794</v>
      </c>
      <c r="B473" s="5" t="s">
        <v>545</v>
      </c>
      <c r="C473" s="5" t="s">
        <v>546</v>
      </c>
      <c r="D473" s="6" t="s">
        <v>45</v>
      </c>
      <c r="E473" s="5" t="n">
        <v>4</v>
      </c>
      <c r="F473" s="5" t="s">
        <v>5795</v>
      </c>
      <c r="G473" s="13" t="s">
        <v>5796</v>
      </c>
      <c r="H473" s="5" t="s">
        <v>5797</v>
      </c>
      <c r="I473" s="13" t="s">
        <v>5798</v>
      </c>
      <c r="J473" s="5" t="s">
        <v>5799</v>
      </c>
      <c r="K473" s="5" t="s">
        <v>5800</v>
      </c>
      <c r="L473" s="13" t="s">
        <v>5801</v>
      </c>
      <c r="M473" s="13" t="s">
        <v>5802</v>
      </c>
      <c r="N473" s="5" t="n">
        <f aca="false">LEN(L473)</f>
        <v>25</v>
      </c>
      <c r="O473" s="5" t="n">
        <f aca="false">LEN(M473)</f>
        <v>25</v>
      </c>
      <c r="P473" s="14" t="n">
        <f aca="false">IF(N473=0,"",(N473-LEN(SUBSTITUTE(SUBSTITUTE(L473,"G",""),"C","")))/N473)</f>
        <v>0.76</v>
      </c>
      <c r="Q473" s="14" t="n">
        <f aca="false">IF(O473=0,"",(O473-LEN(SUBSTITUTE(SUBSTITUTE(M473,"G",""),"C","")))/O473)</f>
        <v>0.76</v>
      </c>
      <c r="R473" s="5" t="s">
        <v>549</v>
      </c>
      <c r="S473" s="15" t="s">
        <v>1677</v>
      </c>
      <c r="T473" s="5" t="n">
        <v>360</v>
      </c>
      <c r="U473" s="5" t="s">
        <v>1678</v>
      </c>
      <c r="V473" s="5" t="s">
        <v>47</v>
      </c>
      <c r="W473" s="5"/>
      <c r="X473" s="8" t="s">
        <v>1769</v>
      </c>
      <c r="Y473" s="5"/>
    </row>
    <row r="474" customFormat="false" ht="15" hidden="false" customHeight="false" outlineLevel="0" collapsed="false">
      <c r="A474" s="5" t="s">
        <v>5803</v>
      </c>
      <c r="B474" s="5" t="s">
        <v>545</v>
      </c>
      <c r="C474" s="5" t="s">
        <v>546</v>
      </c>
      <c r="D474" s="6" t="s">
        <v>45</v>
      </c>
      <c r="E474" s="5" t="n">
        <v>5</v>
      </c>
      <c r="F474" s="5" t="s">
        <v>5804</v>
      </c>
      <c r="G474" s="13" t="s">
        <v>5805</v>
      </c>
      <c r="H474" s="5" t="s">
        <v>5806</v>
      </c>
      <c r="I474" s="13" t="s">
        <v>5807</v>
      </c>
      <c r="J474" s="5" t="s">
        <v>5808</v>
      </c>
      <c r="K474" s="5" t="s">
        <v>5809</v>
      </c>
      <c r="L474" s="13" t="s">
        <v>5810</v>
      </c>
      <c r="M474" s="13" t="s">
        <v>5811</v>
      </c>
      <c r="N474" s="5" t="n">
        <f aca="false">LEN(L474)</f>
        <v>25</v>
      </c>
      <c r="O474" s="5" t="n">
        <f aca="false">LEN(M474)</f>
        <v>25</v>
      </c>
      <c r="P474" s="14" t="n">
        <f aca="false">IF(N474=0,"",(N474-LEN(SUBSTITUTE(SUBSTITUTE(L474,"G",""),"C","")))/N474)</f>
        <v>0.48</v>
      </c>
      <c r="Q474" s="14" t="n">
        <f aca="false">IF(O474=0,"",(O474-LEN(SUBSTITUTE(SUBSTITUTE(M474,"G",""),"C","")))/O474)</f>
        <v>0.44</v>
      </c>
      <c r="R474" s="5" t="s">
        <v>549</v>
      </c>
      <c r="S474" s="15" t="s">
        <v>1677</v>
      </c>
      <c r="T474" s="5" t="n">
        <v>729</v>
      </c>
      <c r="U474" s="5" t="s">
        <v>1678</v>
      </c>
      <c r="V474" s="5" t="s">
        <v>47</v>
      </c>
      <c r="W474" s="5"/>
      <c r="X474" s="8" t="s">
        <v>2131</v>
      </c>
      <c r="Y474" s="5"/>
    </row>
    <row r="475" customFormat="false" ht="15" hidden="false" customHeight="false" outlineLevel="0" collapsed="false">
      <c r="A475" s="5" t="s">
        <v>5812</v>
      </c>
      <c r="B475" s="5" t="s">
        <v>545</v>
      </c>
      <c r="C475" s="5" t="s">
        <v>546</v>
      </c>
      <c r="D475" s="6" t="s">
        <v>45</v>
      </c>
      <c r="E475" s="5" t="n">
        <v>6</v>
      </c>
      <c r="F475" s="5" t="s">
        <v>5813</v>
      </c>
      <c r="G475" s="13" t="s">
        <v>5814</v>
      </c>
      <c r="H475" s="5" t="s">
        <v>5815</v>
      </c>
      <c r="I475" s="13" t="s">
        <v>5816</v>
      </c>
      <c r="J475" s="5" t="s">
        <v>5817</v>
      </c>
      <c r="K475" s="5" t="s">
        <v>5818</v>
      </c>
      <c r="L475" s="13" t="s">
        <v>5819</v>
      </c>
      <c r="M475" s="13" t="s">
        <v>5820</v>
      </c>
      <c r="N475" s="5" t="n">
        <f aca="false">LEN(L475)</f>
        <v>25</v>
      </c>
      <c r="O475" s="5" t="n">
        <f aca="false">LEN(M475)</f>
        <v>25</v>
      </c>
      <c r="P475" s="14" t="n">
        <f aca="false">IF(N475=0,"",(N475-LEN(SUBSTITUTE(SUBSTITUTE(L475,"G",""),"C","")))/N475)</f>
        <v>0.44</v>
      </c>
      <c r="Q475" s="14" t="n">
        <f aca="false">IF(O475=0,"",(O475-LEN(SUBSTITUTE(SUBSTITUTE(M475,"G",""),"C","")))/O475)</f>
        <v>0.48</v>
      </c>
      <c r="R475" s="5" t="s">
        <v>549</v>
      </c>
      <c r="S475" s="15" t="s">
        <v>1677</v>
      </c>
      <c r="T475" s="5" t="n">
        <v>797</v>
      </c>
      <c r="U475" s="5" t="s">
        <v>1678</v>
      </c>
      <c r="V475" s="5" t="s">
        <v>47</v>
      </c>
      <c r="W475" s="5"/>
      <c r="X475" s="15" t="s">
        <v>1677</v>
      </c>
      <c r="Y475" s="5"/>
    </row>
    <row r="476" customFormat="false" ht="15" hidden="false" customHeight="false" outlineLevel="0" collapsed="false">
      <c r="A476" s="5" t="s">
        <v>5821</v>
      </c>
      <c r="B476" s="5" t="s">
        <v>545</v>
      </c>
      <c r="C476" s="5" t="s">
        <v>546</v>
      </c>
      <c r="D476" s="6" t="s">
        <v>45</v>
      </c>
      <c r="E476" s="5" t="n">
        <v>7</v>
      </c>
      <c r="F476" s="5" t="s">
        <v>5822</v>
      </c>
      <c r="G476" s="13" t="s">
        <v>5823</v>
      </c>
      <c r="H476" s="5" t="s">
        <v>5824</v>
      </c>
      <c r="I476" s="13" t="s">
        <v>5825</v>
      </c>
      <c r="J476" s="5" t="s">
        <v>5826</v>
      </c>
      <c r="K476" s="5" t="s">
        <v>5827</v>
      </c>
      <c r="L476" s="13" t="s">
        <v>5828</v>
      </c>
      <c r="M476" s="13" t="s">
        <v>5829</v>
      </c>
      <c r="N476" s="5" t="n">
        <f aca="false">LEN(L476)</f>
        <v>25</v>
      </c>
      <c r="O476" s="5" t="n">
        <f aca="false">LEN(M476)</f>
        <v>25</v>
      </c>
      <c r="P476" s="14" t="n">
        <f aca="false">IF(N476=0,"",(N476-LEN(SUBSTITUTE(SUBSTITUTE(L476,"G",""),"C","")))/N476)</f>
        <v>0.6</v>
      </c>
      <c r="Q476" s="14" t="n">
        <f aca="false">IF(O476=0,"",(O476-LEN(SUBSTITUTE(SUBSTITUTE(M476,"G",""),"C","")))/O476)</f>
        <v>0.36</v>
      </c>
      <c r="R476" s="5" t="s">
        <v>549</v>
      </c>
      <c r="S476" s="15" t="s">
        <v>1677</v>
      </c>
      <c r="T476" s="5" t="n">
        <v>864</v>
      </c>
      <c r="U476" s="5" t="s">
        <v>1678</v>
      </c>
      <c r="V476" s="5" t="s">
        <v>47</v>
      </c>
      <c r="W476" s="5"/>
      <c r="X476" s="8" t="s">
        <v>1914</v>
      </c>
      <c r="Y476" s="5"/>
    </row>
    <row r="477" customFormat="false" ht="15" hidden="false" customHeight="false" outlineLevel="0" collapsed="false">
      <c r="A477" s="5" t="s">
        <v>5830</v>
      </c>
      <c r="B477" s="5" t="s">
        <v>545</v>
      </c>
      <c r="C477" s="5" t="s">
        <v>546</v>
      </c>
      <c r="D477" s="6" t="s">
        <v>45</v>
      </c>
      <c r="E477" s="5" t="n">
        <v>8</v>
      </c>
      <c r="F477" s="5" t="s">
        <v>5831</v>
      </c>
      <c r="G477" s="13" t="s">
        <v>5832</v>
      </c>
      <c r="H477" s="5" t="s">
        <v>5833</v>
      </c>
      <c r="I477" s="13" t="s">
        <v>5834</v>
      </c>
      <c r="J477" s="5" t="s">
        <v>5835</v>
      </c>
      <c r="K477" s="5" t="s">
        <v>5836</v>
      </c>
      <c r="L477" s="13" t="s">
        <v>5837</v>
      </c>
      <c r="M477" s="13" t="s">
        <v>5838</v>
      </c>
      <c r="N477" s="5" t="n">
        <f aca="false">LEN(L477)</f>
        <v>25</v>
      </c>
      <c r="O477" s="5" t="n">
        <f aca="false">LEN(M477)</f>
        <v>25</v>
      </c>
      <c r="P477" s="14" t="n">
        <f aca="false">IF(N477=0,"",(N477-LEN(SUBSTITUTE(SUBSTITUTE(L477,"G",""),"C","")))/N477)</f>
        <v>0.6</v>
      </c>
      <c r="Q477" s="14" t="n">
        <f aca="false">IF(O477=0,"",(O477-LEN(SUBSTITUTE(SUBSTITUTE(M477,"G",""),"C","")))/O477)</f>
        <v>0.4</v>
      </c>
      <c r="R477" s="5" t="s">
        <v>549</v>
      </c>
      <c r="S477" s="15" t="s">
        <v>1677</v>
      </c>
      <c r="T477" s="5" t="n">
        <v>929</v>
      </c>
      <c r="U477" s="5" t="s">
        <v>1678</v>
      </c>
      <c r="V477" s="5" t="s">
        <v>47</v>
      </c>
      <c r="W477" s="5"/>
      <c r="X477" s="8" t="s">
        <v>1914</v>
      </c>
      <c r="Y477" s="5"/>
    </row>
    <row r="478" customFormat="false" ht="15" hidden="false" customHeight="false" outlineLevel="0" collapsed="false">
      <c r="A478" s="5" t="s">
        <v>5839</v>
      </c>
      <c r="B478" s="5" t="s">
        <v>553</v>
      </c>
      <c r="C478" s="5" t="s">
        <v>554</v>
      </c>
      <c r="D478" s="6" t="s">
        <v>45</v>
      </c>
      <c r="E478" s="5" t="n">
        <v>1</v>
      </c>
      <c r="F478" s="5" t="s">
        <v>5840</v>
      </c>
      <c r="G478" s="13" t="s">
        <v>5841</v>
      </c>
      <c r="H478" s="5" t="s">
        <v>5842</v>
      </c>
      <c r="I478" s="13" t="s">
        <v>5843</v>
      </c>
      <c r="J478" s="5" t="s">
        <v>5844</v>
      </c>
      <c r="K478" s="5" t="s">
        <v>5845</v>
      </c>
      <c r="L478" s="13" t="s">
        <v>5846</v>
      </c>
      <c r="M478" s="13" t="s">
        <v>5847</v>
      </c>
      <c r="N478" s="5" t="n">
        <f aca="false">LEN(L478)</f>
        <v>25</v>
      </c>
      <c r="O478" s="5" t="n">
        <f aca="false">LEN(M478)</f>
        <v>25</v>
      </c>
      <c r="P478" s="14" t="n">
        <f aca="false">IF(N478=0,"",(N478-LEN(SUBSTITUTE(SUBSTITUTE(L478,"G",""),"C","")))/N478)</f>
        <v>0.68</v>
      </c>
      <c r="Q478" s="14" t="n">
        <f aca="false">IF(O478=0,"",(O478-LEN(SUBSTITUTE(SUBSTITUTE(M478,"G",""),"C","")))/O478)</f>
        <v>0.32</v>
      </c>
      <c r="R478" s="5" t="s">
        <v>557</v>
      </c>
      <c r="S478" s="15" t="s">
        <v>1677</v>
      </c>
      <c r="T478" s="5" t="n">
        <v>485</v>
      </c>
      <c r="U478" s="5" t="s">
        <v>1678</v>
      </c>
      <c r="V478" s="5" t="s">
        <v>47</v>
      </c>
      <c r="W478" s="5"/>
      <c r="X478" s="15" t="s">
        <v>1677</v>
      </c>
      <c r="Y478" s="5"/>
    </row>
    <row r="479" customFormat="false" ht="15" hidden="false" customHeight="false" outlineLevel="0" collapsed="false">
      <c r="A479" s="5" t="s">
        <v>5848</v>
      </c>
      <c r="B479" s="5" t="s">
        <v>553</v>
      </c>
      <c r="C479" s="5" t="s">
        <v>554</v>
      </c>
      <c r="D479" s="6" t="s">
        <v>45</v>
      </c>
      <c r="E479" s="5" t="n">
        <v>2</v>
      </c>
      <c r="F479" s="5" t="s">
        <v>5849</v>
      </c>
      <c r="G479" s="13" t="s">
        <v>5850</v>
      </c>
      <c r="H479" s="5" t="s">
        <v>5851</v>
      </c>
      <c r="I479" s="13" t="s">
        <v>5852</v>
      </c>
      <c r="J479" s="5" t="s">
        <v>5853</v>
      </c>
      <c r="K479" s="5" t="s">
        <v>5854</v>
      </c>
      <c r="L479" s="13" t="s">
        <v>5855</v>
      </c>
      <c r="M479" s="13" t="s">
        <v>5856</v>
      </c>
      <c r="N479" s="5" t="n">
        <f aca="false">LEN(L479)</f>
        <v>25</v>
      </c>
      <c r="O479" s="5" t="n">
        <f aca="false">LEN(M479)</f>
        <v>25</v>
      </c>
      <c r="P479" s="14" t="n">
        <f aca="false">IF(N479=0,"",(N479-LEN(SUBSTITUTE(SUBSTITUTE(L479,"G",""),"C","")))/N479)</f>
        <v>0.36</v>
      </c>
      <c r="Q479" s="14" t="n">
        <f aca="false">IF(O479=0,"",(O479-LEN(SUBSTITUTE(SUBSTITUTE(M479,"G",""),"C","")))/O479)</f>
        <v>0.36</v>
      </c>
      <c r="R479" s="5" t="s">
        <v>557</v>
      </c>
      <c r="S479" s="15" t="s">
        <v>1677</v>
      </c>
      <c r="T479" s="5" t="n">
        <v>550</v>
      </c>
      <c r="U479" s="5" t="s">
        <v>1678</v>
      </c>
      <c r="V479" s="5" t="s">
        <v>47</v>
      </c>
      <c r="W479" s="5"/>
      <c r="X479" s="15" t="s">
        <v>1677</v>
      </c>
      <c r="Y479" s="5"/>
    </row>
    <row r="480" customFormat="false" ht="15" hidden="false" customHeight="false" outlineLevel="0" collapsed="false">
      <c r="A480" s="5" t="s">
        <v>5857</v>
      </c>
      <c r="B480" s="5" t="s">
        <v>553</v>
      </c>
      <c r="C480" s="5" t="s">
        <v>554</v>
      </c>
      <c r="D480" s="6" t="s">
        <v>45</v>
      </c>
      <c r="E480" s="5" t="n">
        <v>3</v>
      </c>
      <c r="F480" s="5" t="s">
        <v>5858</v>
      </c>
      <c r="G480" s="13" t="s">
        <v>5859</v>
      </c>
      <c r="H480" s="5" t="s">
        <v>5860</v>
      </c>
      <c r="I480" s="13" t="s">
        <v>5861</v>
      </c>
      <c r="J480" s="5" t="s">
        <v>5862</v>
      </c>
      <c r="K480" s="5" t="s">
        <v>5863</v>
      </c>
      <c r="L480" s="13" t="s">
        <v>5864</v>
      </c>
      <c r="M480" s="13" t="s">
        <v>5865</v>
      </c>
      <c r="N480" s="5" t="n">
        <f aca="false">LEN(L480)</f>
        <v>25</v>
      </c>
      <c r="O480" s="5" t="n">
        <f aca="false">LEN(M480)</f>
        <v>25</v>
      </c>
      <c r="P480" s="14" t="n">
        <f aca="false">IF(N480=0,"",(N480-LEN(SUBSTITUTE(SUBSTITUTE(L480,"G",""),"C","")))/N480)</f>
        <v>0.72</v>
      </c>
      <c r="Q480" s="14" t="n">
        <f aca="false">IF(O480=0,"",(O480-LEN(SUBSTITUTE(SUBSTITUTE(M480,"G",""),"C","")))/O480)</f>
        <v>0.6</v>
      </c>
      <c r="R480" s="5" t="s">
        <v>557</v>
      </c>
      <c r="S480" s="15" t="s">
        <v>1677</v>
      </c>
      <c r="T480" s="5" t="n">
        <v>611</v>
      </c>
      <c r="U480" s="5" t="s">
        <v>1678</v>
      </c>
      <c r="V480" s="5" t="s">
        <v>47</v>
      </c>
      <c r="W480" s="5"/>
      <c r="X480" s="15" t="s">
        <v>1677</v>
      </c>
      <c r="Y480" s="5"/>
    </row>
    <row r="481" customFormat="false" ht="15" hidden="false" customHeight="false" outlineLevel="0" collapsed="false">
      <c r="A481" s="5" t="s">
        <v>5866</v>
      </c>
      <c r="B481" s="5" t="s">
        <v>553</v>
      </c>
      <c r="C481" s="5" t="s">
        <v>554</v>
      </c>
      <c r="D481" s="6" t="s">
        <v>45</v>
      </c>
      <c r="E481" s="5" t="n">
        <v>4</v>
      </c>
      <c r="F481" s="5" t="s">
        <v>5867</v>
      </c>
      <c r="G481" s="13" t="s">
        <v>5868</v>
      </c>
      <c r="H481" s="5" t="s">
        <v>5869</v>
      </c>
      <c r="I481" s="13" t="s">
        <v>5870</v>
      </c>
      <c r="J481" s="5" t="s">
        <v>5871</v>
      </c>
      <c r="K481" s="5" t="s">
        <v>5872</v>
      </c>
      <c r="L481" s="13" t="s">
        <v>5873</v>
      </c>
      <c r="M481" s="13" t="s">
        <v>5874</v>
      </c>
      <c r="N481" s="5" t="n">
        <f aca="false">LEN(L481)</f>
        <v>25</v>
      </c>
      <c r="O481" s="5" t="n">
        <f aca="false">LEN(M481)</f>
        <v>25</v>
      </c>
      <c r="P481" s="14" t="n">
        <f aca="false">IF(N481=0,"",(N481-LEN(SUBSTITUTE(SUBSTITUTE(L481,"G",""),"C","")))/N481)</f>
        <v>0.76</v>
      </c>
      <c r="Q481" s="14" t="n">
        <f aca="false">IF(O481=0,"",(O481-LEN(SUBSTITUTE(SUBSTITUTE(M481,"G",""),"C","")))/O481)</f>
        <v>0.84</v>
      </c>
      <c r="R481" s="5" t="s">
        <v>557</v>
      </c>
      <c r="S481" s="15" t="s">
        <v>1677</v>
      </c>
      <c r="T481" s="5" t="n">
        <v>672</v>
      </c>
      <c r="U481" s="5" t="s">
        <v>1678</v>
      </c>
      <c r="V481" s="5" t="s">
        <v>47</v>
      </c>
      <c r="W481" s="5"/>
      <c r="X481" s="15" t="s">
        <v>1677</v>
      </c>
      <c r="Y481" s="5"/>
    </row>
    <row r="482" customFormat="false" ht="15" hidden="false" customHeight="false" outlineLevel="0" collapsed="false">
      <c r="A482" s="5" t="s">
        <v>5875</v>
      </c>
      <c r="B482" s="5" t="s">
        <v>553</v>
      </c>
      <c r="C482" s="5" t="s">
        <v>554</v>
      </c>
      <c r="D482" s="6" t="s">
        <v>45</v>
      </c>
      <c r="E482" s="5" t="n">
        <v>5</v>
      </c>
      <c r="F482" s="5" t="s">
        <v>5876</v>
      </c>
      <c r="G482" s="13" t="s">
        <v>5877</v>
      </c>
      <c r="H482" s="5" t="s">
        <v>5878</v>
      </c>
      <c r="I482" s="13" t="s">
        <v>5879</v>
      </c>
      <c r="J482" s="5" t="s">
        <v>5880</v>
      </c>
      <c r="K482" s="5" t="s">
        <v>5881</v>
      </c>
      <c r="L482" s="13" t="s">
        <v>5882</v>
      </c>
      <c r="M482" s="13" t="s">
        <v>5883</v>
      </c>
      <c r="N482" s="5" t="n">
        <f aca="false">LEN(L482)</f>
        <v>25</v>
      </c>
      <c r="O482" s="5" t="n">
        <f aca="false">LEN(M482)</f>
        <v>25</v>
      </c>
      <c r="P482" s="14" t="n">
        <f aca="false">IF(N482=0,"",(N482-LEN(SUBSTITUTE(SUBSTITUTE(L482,"G",""),"C","")))/N482)</f>
        <v>0.64</v>
      </c>
      <c r="Q482" s="14" t="n">
        <f aca="false">IF(O482=0,"",(O482-LEN(SUBSTITUTE(SUBSTITUTE(M482,"G",""),"C","")))/O482)</f>
        <v>0.4</v>
      </c>
      <c r="R482" s="5" t="s">
        <v>557</v>
      </c>
      <c r="S482" s="15" t="s">
        <v>1677</v>
      </c>
      <c r="T482" s="5" t="n">
        <v>733</v>
      </c>
      <c r="U482" s="5" t="s">
        <v>1678</v>
      </c>
      <c r="V482" s="5" t="s">
        <v>47</v>
      </c>
      <c r="W482" s="5"/>
      <c r="X482" s="15" t="s">
        <v>1677</v>
      </c>
      <c r="Y482" s="5"/>
    </row>
    <row r="483" customFormat="false" ht="15" hidden="false" customHeight="false" outlineLevel="0" collapsed="false">
      <c r="A483" s="5" t="s">
        <v>5884</v>
      </c>
      <c r="B483" s="5" t="s">
        <v>553</v>
      </c>
      <c r="C483" s="5" t="s">
        <v>554</v>
      </c>
      <c r="D483" s="6" t="s">
        <v>45</v>
      </c>
      <c r="E483" s="5" t="n">
        <v>6</v>
      </c>
      <c r="F483" s="5" t="s">
        <v>5885</v>
      </c>
      <c r="G483" s="13" t="s">
        <v>5886</v>
      </c>
      <c r="H483" s="5" t="s">
        <v>5887</v>
      </c>
      <c r="I483" s="13" t="s">
        <v>5888</v>
      </c>
      <c r="J483" s="5" t="s">
        <v>5889</v>
      </c>
      <c r="K483" s="5" t="s">
        <v>5890</v>
      </c>
      <c r="L483" s="13" t="s">
        <v>5891</v>
      </c>
      <c r="M483" s="13" t="s">
        <v>5892</v>
      </c>
      <c r="N483" s="5" t="n">
        <f aca="false">LEN(L483)</f>
        <v>25</v>
      </c>
      <c r="O483" s="5" t="n">
        <f aca="false">LEN(M483)</f>
        <v>25</v>
      </c>
      <c r="P483" s="14" t="n">
        <f aca="false">IF(N483=0,"",(N483-LEN(SUBSTITUTE(SUBSTITUTE(L483,"G",""),"C","")))/N483)</f>
        <v>0.4</v>
      </c>
      <c r="Q483" s="14" t="n">
        <f aca="false">IF(O483=0,"",(O483-LEN(SUBSTITUTE(SUBSTITUTE(M483,"G",""),"C","")))/O483)</f>
        <v>0.4</v>
      </c>
      <c r="R483" s="5" t="s">
        <v>557</v>
      </c>
      <c r="S483" s="15" t="s">
        <v>1677</v>
      </c>
      <c r="T483" s="5" t="n">
        <v>792</v>
      </c>
      <c r="U483" s="5" t="s">
        <v>1678</v>
      </c>
      <c r="V483" s="5" t="s">
        <v>47</v>
      </c>
      <c r="W483" s="5"/>
      <c r="X483" s="15" t="s">
        <v>1677</v>
      </c>
      <c r="Y483" s="5"/>
    </row>
    <row r="484" customFormat="false" ht="15" hidden="false" customHeight="false" outlineLevel="0" collapsed="false">
      <c r="A484" s="5" t="s">
        <v>5893</v>
      </c>
      <c r="B484" s="5" t="s">
        <v>553</v>
      </c>
      <c r="C484" s="5" t="s">
        <v>554</v>
      </c>
      <c r="D484" s="6" t="s">
        <v>45</v>
      </c>
      <c r="E484" s="5" t="n">
        <v>7</v>
      </c>
      <c r="F484" s="5" t="s">
        <v>5894</v>
      </c>
      <c r="G484" s="13" t="s">
        <v>5895</v>
      </c>
      <c r="H484" s="5" t="s">
        <v>5896</v>
      </c>
      <c r="I484" s="13" t="s">
        <v>5897</v>
      </c>
      <c r="J484" s="5" t="s">
        <v>5898</v>
      </c>
      <c r="K484" s="5" t="s">
        <v>5899</v>
      </c>
      <c r="L484" s="13" t="s">
        <v>5900</v>
      </c>
      <c r="M484" s="13" t="s">
        <v>5901</v>
      </c>
      <c r="N484" s="5" t="n">
        <f aca="false">LEN(L484)</f>
        <v>25</v>
      </c>
      <c r="O484" s="5" t="n">
        <f aca="false">LEN(M484)</f>
        <v>25</v>
      </c>
      <c r="P484" s="14" t="n">
        <f aca="false">IF(N484=0,"",(N484-LEN(SUBSTITUTE(SUBSTITUTE(L484,"G",""),"C","")))/N484)</f>
        <v>0.52</v>
      </c>
      <c r="Q484" s="14" t="n">
        <f aca="false">IF(O484=0,"",(O484-LEN(SUBSTITUTE(SUBSTITUTE(M484,"G",""),"C","")))/O484)</f>
        <v>0.44</v>
      </c>
      <c r="R484" s="5" t="s">
        <v>557</v>
      </c>
      <c r="S484" s="15" t="s">
        <v>1677</v>
      </c>
      <c r="T484" s="5" t="n">
        <v>852</v>
      </c>
      <c r="U484" s="5" t="s">
        <v>1678</v>
      </c>
      <c r="V484" s="5" t="s">
        <v>47</v>
      </c>
      <c r="W484" s="5"/>
      <c r="X484" s="8" t="s">
        <v>1914</v>
      </c>
      <c r="Y484" s="5"/>
    </row>
    <row r="485" customFormat="false" ht="15" hidden="false" customHeight="false" outlineLevel="0" collapsed="false">
      <c r="A485" s="5" t="s">
        <v>5902</v>
      </c>
      <c r="B485" s="5" t="s">
        <v>561</v>
      </c>
      <c r="C485" s="5" t="s">
        <v>562</v>
      </c>
      <c r="D485" s="6" t="s">
        <v>45</v>
      </c>
      <c r="E485" s="5" t="n">
        <v>1</v>
      </c>
      <c r="F485" s="5" t="s">
        <v>5903</v>
      </c>
      <c r="G485" s="13" t="s">
        <v>5904</v>
      </c>
      <c r="H485" s="5" t="s">
        <v>5905</v>
      </c>
      <c r="I485" s="13" t="s">
        <v>5906</v>
      </c>
      <c r="J485" s="5" t="s">
        <v>5907</v>
      </c>
      <c r="K485" s="5" t="s">
        <v>5908</v>
      </c>
      <c r="L485" s="13" t="s">
        <v>5909</v>
      </c>
      <c r="M485" s="13" t="s">
        <v>5910</v>
      </c>
      <c r="N485" s="5" t="n">
        <f aca="false">LEN(L485)</f>
        <v>25</v>
      </c>
      <c r="O485" s="5" t="n">
        <f aca="false">LEN(M485)</f>
        <v>25</v>
      </c>
      <c r="P485" s="14" t="n">
        <f aca="false">IF(N485=0,"",(N485-LEN(SUBSTITUTE(SUBSTITUTE(L485,"G",""),"C","")))/N485)</f>
        <v>0.36</v>
      </c>
      <c r="Q485" s="14" t="n">
        <f aca="false">IF(O485=0,"",(O485-LEN(SUBSTITUTE(SUBSTITUTE(M485,"G",""),"C","")))/O485)</f>
        <v>0.44</v>
      </c>
      <c r="R485" s="5" t="s">
        <v>566</v>
      </c>
      <c r="S485" s="15" t="s">
        <v>1677</v>
      </c>
      <c r="T485" s="5" t="n">
        <v>6</v>
      </c>
      <c r="U485" s="5" t="s">
        <v>1678</v>
      </c>
      <c r="V485" s="5" t="s">
        <v>47</v>
      </c>
      <c r="W485" s="5"/>
      <c r="X485" s="15" t="s">
        <v>1677</v>
      </c>
      <c r="Y485" s="5"/>
    </row>
    <row r="486" customFormat="false" ht="15" hidden="false" customHeight="false" outlineLevel="0" collapsed="false">
      <c r="A486" s="5" t="s">
        <v>5911</v>
      </c>
      <c r="B486" s="5" t="s">
        <v>561</v>
      </c>
      <c r="C486" s="5" t="s">
        <v>562</v>
      </c>
      <c r="D486" s="6" t="s">
        <v>45</v>
      </c>
      <c r="E486" s="5" t="n">
        <v>2</v>
      </c>
      <c r="F486" s="5" t="s">
        <v>5912</v>
      </c>
      <c r="G486" s="13" t="s">
        <v>5913</v>
      </c>
      <c r="H486" s="5" t="s">
        <v>5914</v>
      </c>
      <c r="I486" s="13" t="s">
        <v>5915</v>
      </c>
      <c r="J486" s="5" t="s">
        <v>5916</v>
      </c>
      <c r="K486" s="5" t="s">
        <v>5916</v>
      </c>
      <c r="L486" s="13" t="s">
        <v>5917</v>
      </c>
      <c r="M486" s="13" t="s">
        <v>5918</v>
      </c>
      <c r="N486" s="5" t="n">
        <f aca="false">LEN(L486)</f>
        <v>25</v>
      </c>
      <c r="O486" s="5" t="n">
        <f aca="false">LEN(M486)</f>
        <v>25</v>
      </c>
      <c r="P486" s="14" t="n">
        <f aca="false">IF(N486=0,"",(N486-LEN(SUBSTITUTE(SUBSTITUTE(L486,"G",""),"C","")))/N486)</f>
        <v>0.4</v>
      </c>
      <c r="Q486" s="14" t="n">
        <f aca="false">IF(O486=0,"",(O486-LEN(SUBSTITUTE(SUBSTITUTE(M486,"G",""),"C","")))/O486)</f>
        <v>0.4</v>
      </c>
      <c r="R486" s="5" t="s">
        <v>566</v>
      </c>
      <c r="S486" s="15" t="s">
        <v>1677</v>
      </c>
      <c r="T486" s="5" t="n">
        <v>52</v>
      </c>
      <c r="U486" s="5" t="s">
        <v>1678</v>
      </c>
      <c r="V486" s="5" t="s">
        <v>1094</v>
      </c>
      <c r="W486" s="5" t="s">
        <v>1094</v>
      </c>
      <c r="X486" s="15" t="s">
        <v>1677</v>
      </c>
      <c r="Y486" s="5"/>
    </row>
    <row r="487" customFormat="false" ht="15" hidden="false" customHeight="false" outlineLevel="0" collapsed="false">
      <c r="A487" s="5" t="s">
        <v>5919</v>
      </c>
      <c r="B487" s="5" t="s">
        <v>561</v>
      </c>
      <c r="C487" s="5" t="s">
        <v>562</v>
      </c>
      <c r="D487" s="6" t="s">
        <v>45</v>
      </c>
      <c r="E487" s="5" t="n">
        <v>3</v>
      </c>
      <c r="F487" s="5" t="s">
        <v>5920</v>
      </c>
      <c r="G487" s="13" t="s">
        <v>5921</v>
      </c>
      <c r="H487" s="5" t="s">
        <v>5922</v>
      </c>
      <c r="I487" s="13" t="s">
        <v>5923</v>
      </c>
      <c r="J487" s="5" t="s">
        <v>5924</v>
      </c>
      <c r="K487" s="5" t="s">
        <v>5925</v>
      </c>
      <c r="L487" s="13" t="s">
        <v>5926</v>
      </c>
      <c r="M487" s="13" t="s">
        <v>5927</v>
      </c>
      <c r="N487" s="5" t="n">
        <f aca="false">LEN(L487)</f>
        <v>25</v>
      </c>
      <c r="O487" s="5" t="n">
        <f aca="false">LEN(M487)</f>
        <v>25</v>
      </c>
      <c r="P487" s="14" t="n">
        <f aca="false">IF(N487=0,"",(N487-LEN(SUBSTITUTE(SUBSTITUTE(L487,"G",""),"C","")))/N487)</f>
        <v>0.36</v>
      </c>
      <c r="Q487" s="14" t="n">
        <f aca="false">IF(O487=0,"",(O487-LEN(SUBSTITUTE(SUBSTITUTE(M487,"G",""),"C","")))/O487)</f>
        <v>0.68</v>
      </c>
      <c r="R487" s="5" t="s">
        <v>566</v>
      </c>
      <c r="S487" s="15" t="s">
        <v>1677</v>
      </c>
      <c r="T487" s="5" t="n">
        <v>76</v>
      </c>
      <c r="U487" s="5" t="s">
        <v>1678</v>
      </c>
      <c r="V487" s="5" t="s">
        <v>47</v>
      </c>
      <c r="W487" s="5"/>
      <c r="X487" s="15" t="s">
        <v>1677</v>
      </c>
      <c r="Y487" s="5"/>
    </row>
    <row r="488" customFormat="false" ht="15" hidden="false" customHeight="false" outlineLevel="0" collapsed="false">
      <c r="A488" s="5" t="s">
        <v>5928</v>
      </c>
      <c r="B488" s="5" t="s">
        <v>561</v>
      </c>
      <c r="C488" s="5" t="s">
        <v>562</v>
      </c>
      <c r="D488" s="6" t="s">
        <v>45</v>
      </c>
      <c r="E488" s="5" t="n">
        <v>4</v>
      </c>
      <c r="F488" s="5" t="s">
        <v>5929</v>
      </c>
      <c r="G488" s="13" t="s">
        <v>5930</v>
      </c>
      <c r="H488" s="5" t="s">
        <v>5931</v>
      </c>
      <c r="I488" s="13" t="s">
        <v>5932</v>
      </c>
      <c r="J488" s="5" t="s">
        <v>5933</v>
      </c>
      <c r="K488" s="5" t="s">
        <v>5934</v>
      </c>
      <c r="L488" s="13" t="s">
        <v>5935</v>
      </c>
      <c r="M488" s="13" t="s">
        <v>5936</v>
      </c>
      <c r="N488" s="5" t="n">
        <f aca="false">LEN(L488)</f>
        <v>25</v>
      </c>
      <c r="O488" s="5" t="n">
        <f aca="false">LEN(M488)</f>
        <v>25</v>
      </c>
      <c r="P488" s="14" t="n">
        <f aca="false">IF(N488=0,"",(N488-LEN(SUBSTITUTE(SUBSTITUTE(L488,"G",""),"C","")))/N488)</f>
        <v>0.2</v>
      </c>
      <c r="Q488" s="14" t="n">
        <f aca="false">IF(O488=0,"",(O488-LEN(SUBSTITUTE(SUBSTITUTE(M488,"G",""),"C","")))/O488)</f>
        <v>0.36</v>
      </c>
      <c r="R488" s="5" t="s">
        <v>566</v>
      </c>
      <c r="S488" s="15" t="s">
        <v>1677</v>
      </c>
      <c r="T488" s="5" t="n">
        <v>146</v>
      </c>
      <c r="U488" s="5" t="s">
        <v>1678</v>
      </c>
      <c r="V488" s="5" t="s">
        <v>47</v>
      </c>
      <c r="W488" s="5"/>
      <c r="X488" s="15" t="s">
        <v>1677</v>
      </c>
      <c r="Y488" s="5"/>
    </row>
    <row r="489" customFormat="false" ht="15" hidden="false" customHeight="false" outlineLevel="0" collapsed="false">
      <c r="A489" s="5" t="s">
        <v>5937</v>
      </c>
      <c r="B489" s="5" t="s">
        <v>561</v>
      </c>
      <c r="C489" s="5" t="s">
        <v>562</v>
      </c>
      <c r="D489" s="6" t="s">
        <v>45</v>
      </c>
      <c r="E489" s="5" t="n">
        <v>5</v>
      </c>
      <c r="F489" s="5" t="s">
        <v>5938</v>
      </c>
      <c r="G489" s="13" t="s">
        <v>5939</v>
      </c>
      <c r="H489" s="5" t="s">
        <v>5940</v>
      </c>
      <c r="I489" s="13" t="s">
        <v>5941</v>
      </c>
      <c r="J489" s="5" t="s">
        <v>5916</v>
      </c>
      <c r="K489" s="5" t="s">
        <v>5916</v>
      </c>
      <c r="L489" s="13" t="s">
        <v>5942</v>
      </c>
      <c r="M489" s="13" t="s">
        <v>5943</v>
      </c>
      <c r="N489" s="5" t="n">
        <f aca="false">LEN(L489)</f>
        <v>25</v>
      </c>
      <c r="O489" s="5" t="n">
        <f aca="false">LEN(M489)</f>
        <v>25</v>
      </c>
      <c r="P489" s="14" t="n">
        <f aca="false">IF(N489=0,"",(N489-LEN(SUBSTITUTE(SUBSTITUTE(L489,"G",""),"C","")))/N489)</f>
        <v>0.4</v>
      </c>
      <c r="Q489" s="14" t="n">
        <f aca="false">IF(O489=0,"",(O489-LEN(SUBSTITUTE(SUBSTITUTE(M489,"G",""),"C","")))/O489)</f>
        <v>0.56</v>
      </c>
      <c r="R489" s="5" t="s">
        <v>566</v>
      </c>
      <c r="S489" s="15" t="s">
        <v>1677</v>
      </c>
      <c r="T489" s="5" t="n">
        <v>175</v>
      </c>
      <c r="U489" s="5" t="s">
        <v>1678</v>
      </c>
      <c r="V489" s="5" t="s">
        <v>1094</v>
      </c>
      <c r="W489" s="5" t="s">
        <v>1094</v>
      </c>
      <c r="X489" s="15" t="s">
        <v>1677</v>
      </c>
      <c r="Y489" s="5"/>
    </row>
    <row r="490" customFormat="false" ht="15" hidden="false" customHeight="false" outlineLevel="0" collapsed="false">
      <c r="A490" s="5" t="s">
        <v>5944</v>
      </c>
      <c r="B490" s="5" t="s">
        <v>561</v>
      </c>
      <c r="C490" s="5" t="s">
        <v>562</v>
      </c>
      <c r="D490" s="6" t="s">
        <v>45</v>
      </c>
      <c r="E490" s="5" t="n">
        <v>6</v>
      </c>
      <c r="F490" s="5" t="s">
        <v>5945</v>
      </c>
      <c r="G490" s="13" t="s">
        <v>5946</v>
      </c>
      <c r="H490" s="5" t="s">
        <v>5947</v>
      </c>
      <c r="I490" s="13" t="s">
        <v>5948</v>
      </c>
      <c r="J490" s="5" t="s">
        <v>5916</v>
      </c>
      <c r="K490" s="5" t="s">
        <v>5916</v>
      </c>
      <c r="L490" s="13" t="s">
        <v>5949</v>
      </c>
      <c r="M490" s="13" t="s">
        <v>5950</v>
      </c>
      <c r="N490" s="5" t="n">
        <f aca="false">LEN(L490)</f>
        <v>25</v>
      </c>
      <c r="O490" s="5" t="n">
        <f aca="false">LEN(M490)</f>
        <v>25</v>
      </c>
      <c r="P490" s="14" t="n">
        <f aca="false">IF(N490=0,"",(N490-LEN(SUBSTITUTE(SUBSTITUTE(L490,"G",""),"C","")))/N490)</f>
        <v>0.52</v>
      </c>
      <c r="Q490" s="14" t="n">
        <f aca="false">IF(O490=0,"",(O490-LEN(SUBSTITUTE(SUBSTITUTE(M490,"G",""),"C","")))/O490)</f>
        <v>0.68</v>
      </c>
      <c r="R490" s="5" t="s">
        <v>566</v>
      </c>
      <c r="S490" s="15" t="s">
        <v>1677</v>
      </c>
      <c r="T490" s="5" t="n">
        <v>255</v>
      </c>
      <c r="U490" s="5" t="s">
        <v>1678</v>
      </c>
      <c r="V490" s="5" t="s">
        <v>1094</v>
      </c>
      <c r="W490" s="5" t="s">
        <v>1094</v>
      </c>
      <c r="X490" s="15" t="s">
        <v>1677</v>
      </c>
      <c r="Y490" s="5"/>
    </row>
    <row r="491" customFormat="false" ht="15" hidden="false" customHeight="false" outlineLevel="0" collapsed="false">
      <c r="A491" s="5" t="s">
        <v>5951</v>
      </c>
      <c r="B491" s="5" t="s">
        <v>561</v>
      </c>
      <c r="C491" s="5" t="s">
        <v>562</v>
      </c>
      <c r="D491" s="6" t="s">
        <v>45</v>
      </c>
      <c r="E491" s="5" t="n">
        <v>7</v>
      </c>
      <c r="F491" s="5" t="s">
        <v>5952</v>
      </c>
      <c r="G491" s="13" t="s">
        <v>5953</v>
      </c>
      <c r="H491" s="5" t="s">
        <v>5954</v>
      </c>
      <c r="I491" s="13" t="s">
        <v>5955</v>
      </c>
      <c r="J491" s="5" t="s">
        <v>5916</v>
      </c>
      <c r="K491" s="5" t="s">
        <v>5916</v>
      </c>
      <c r="L491" s="13" t="s">
        <v>5956</v>
      </c>
      <c r="M491" s="13" t="s">
        <v>5957</v>
      </c>
      <c r="N491" s="5" t="n">
        <f aca="false">LEN(L491)</f>
        <v>25</v>
      </c>
      <c r="O491" s="5" t="n">
        <f aca="false">LEN(M491)</f>
        <v>25</v>
      </c>
      <c r="P491" s="14" t="n">
        <f aca="false">IF(N491=0,"",(N491-LEN(SUBSTITUTE(SUBSTITUTE(L491,"G",""),"C","")))/N491)</f>
        <v>0.4</v>
      </c>
      <c r="Q491" s="14" t="n">
        <f aca="false">IF(O491=0,"",(O491-LEN(SUBSTITUTE(SUBSTITUTE(M491,"G",""),"C","")))/O491)</f>
        <v>0.52</v>
      </c>
      <c r="R491" s="5" t="s">
        <v>566</v>
      </c>
      <c r="S491" s="15" t="s">
        <v>1677</v>
      </c>
      <c r="T491" s="5" t="n">
        <v>352</v>
      </c>
      <c r="U491" s="5" t="s">
        <v>1678</v>
      </c>
      <c r="V491" s="5" t="s">
        <v>1094</v>
      </c>
      <c r="W491" s="5" t="s">
        <v>1094</v>
      </c>
      <c r="X491" s="15" t="s">
        <v>1677</v>
      </c>
      <c r="Y491" s="5"/>
    </row>
    <row r="492" customFormat="false" ht="15" hidden="false" customHeight="false" outlineLevel="0" collapsed="false">
      <c r="A492" s="5" t="s">
        <v>5958</v>
      </c>
      <c r="B492" s="5" t="s">
        <v>561</v>
      </c>
      <c r="C492" s="5" t="s">
        <v>562</v>
      </c>
      <c r="D492" s="6" t="s">
        <v>45</v>
      </c>
      <c r="E492" s="5" t="n">
        <v>8</v>
      </c>
      <c r="F492" s="5" t="s">
        <v>5959</v>
      </c>
      <c r="G492" s="13" t="s">
        <v>5960</v>
      </c>
      <c r="H492" s="5" t="s">
        <v>5961</v>
      </c>
      <c r="I492" s="13" t="s">
        <v>5962</v>
      </c>
      <c r="J492" s="5" t="s">
        <v>5916</v>
      </c>
      <c r="K492" s="5" t="s">
        <v>5916</v>
      </c>
      <c r="L492" s="13" t="s">
        <v>5963</v>
      </c>
      <c r="M492" s="13" t="s">
        <v>5964</v>
      </c>
      <c r="N492" s="5" t="n">
        <f aca="false">LEN(L492)</f>
        <v>25</v>
      </c>
      <c r="O492" s="5" t="n">
        <f aca="false">LEN(M492)</f>
        <v>25</v>
      </c>
      <c r="P492" s="14" t="n">
        <f aca="false">IF(N492=0,"",(N492-LEN(SUBSTITUTE(SUBSTITUTE(L492,"G",""),"C","")))/N492)</f>
        <v>0.6</v>
      </c>
      <c r="Q492" s="14" t="n">
        <f aca="false">IF(O492=0,"",(O492-LEN(SUBSTITUTE(SUBSTITUTE(M492,"G",""),"C","")))/O492)</f>
        <v>0.48</v>
      </c>
      <c r="R492" s="5" t="s">
        <v>566</v>
      </c>
      <c r="S492" s="15" t="s">
        <v>1677</v>
      </c>
      <c r="T492" s="5" t="n">
        <v>432</v>
      </c>
      <c r="U492" s="5" t="s">
        <v>1678</v>
      </c>
      <c r="V492" s="5" t="s">
        <v>1094</v>
      </c>
      <c r="W492" s="5" t="s">
        <v>1094</v>
      </c>
      <c r="X492" s="15" t="s">
        <v>1677</v>
      </c>
      <c r="Y492" s="5"/>
    </row>
    <row r="493" customFormat="false" ht="15" hidden="false" customHeight="false" outlineLevel="0" collapsed="false">
      <c r="A493" s="5" t="s">
        <v>5965</v>
      </c>
      <c r="B493" s="5" t="s">
        <v>561</v>
      </c>
      <c r="C493" s="5" t="s">
        <v>562</v>
      </c>
      <c r="D493" s="6" t="s">
        <v>45</v>
      </c>
      <c r="E493" s="5" t="n">
        <v>9</v>
      </c>
      <c r="F493" s="5" t="s">
        <v>5966</v>
      </c>
      <c r="G493" s="13" t="s">
        <v>5967</v>
      </c>
      <c r="H493" s="5" t="s">
        <v>5968</v>
      </c>
      <c r="I493" s="13" t="s">
        <v>5969</v>
      </c>
      <c r="J493" s="5" t="s">
        <v>5916</v>
      </c>
      <c r="K493" s="5" t="s">
        <v>5916</v>
      </c>
      <c r="L493" s="13" t="s">
        <v>5970</v>
      </c>
      <c r="M493" s="13" t="s">
        <v>5971</v>
      </c>
      <c r="N493" s="5" t="n">
        <f aca="false">LEN(L493)</f>
        <v>25</v>
      </c>
      <c r="O493" s="5" t="n">
        <f aca="false">LEN(M493)</f>
        <v>25</v>
      </c>
      <c r="P493" s="14" t="n">
        <f aca="false">IF(N493=0,"",(N493-LEN(SUBSTITUTE(SUBSTITUTE(L493,"G",""),"C","")))/N493)</f>
        <v>0.4</v>
      </c>
      <c r="Q493" s="14" t="n">
        <f aca="false">IF(O493=0,"",(O493-LEN(SUBSTITUTE(SUBSTITUTE(M493,"G",""),"C","")))/O493)</f>
        <v>0.48</v>
      </c>
      <c r="R493" s="5" t="s">
        <v>566</v>
      </c>
      <c r="S493" s="15" t="s">
        <v>1677</v>
      </c>
      <c r="T493" s="5" t="n">
        <v>518</v>
      </c>
      <c r="U493" s="5" t="s">
        <v>1678</v>
      </c>
      <c r="V493" s="5" t="s">
        <v>1094</v>
      </c>
      <c r="W493" s="5" t="s">
        <v>1094</v>
      </c>
      <c r="X493" s="15" t="s">
        <v>1677</v>
      </c>
      <c r="Y493" s="5"/>
    </row>
    <row r="494" customFormat="false" ht="15" hidden="false" customHeight="false" outlineLevel="0" collapsed="false">
      <c r="A494" s="5" t="s">
        <v>5972</v>
      </c>
      <c r="B494" s="5" t="s">
        <v>561</v>
      </c>
      <c r="C494" s="5" t="s">
        <v>562</v>
      </c>
      <c r="D494" s="6" t="s">
        <v>45</v>
      </c>
      <c r="E494" s="5" t="n">
        <v>10</v>
      </c>
      <c r="F494" s="5" t="s">
        <v>5973</v>
      </c>
      <c r="G494" s="13" t="s">
        <v>5974</v>
      </c>
      <c r="H494" s="5" t="s">
        <v>5975</v>
      </c>
      <c r="I494" s="13" t="s">
        <v>5976</v>
      </c>
      <c r="J494" s="5" t="s">
        <v>5916</v>
      </c>
      <c r="K494" s="5" t="s">
        <v>5916</v>
      </c>
      <c r="L494" s="13" t="s">
        <v>5977</v>
      </c>
      <c r="M494" s="13" t="s">
        <v>5978</v>
      </c>
      <c r="N494" s="5" t="n">
        <f aca="false">LEN(L494)</f>
        <v>25</v>
      </c>
      <c r="O494" s="5" t="n">
        <f aca="false">LEN(M494)</f>
        <v>25</v>
      </c>
      <c r="P494" s="14" t="n">
        <f aca="false">IF(N494=0,"",(N494-LEN(SUBSTITUTE(SUBSTITUTE(L494,"G",""),"C","")))/N494)</f>
        <v>0.4</v>
      </c>
      <c r="Q494" s="14" t="n">
        <f aca="false">IF(O494=0,"",(O494-LEN(SUBSTITUTE(SUBSTITUTE(M494,"G",""),"C","")))/O494)</f>
        <v>0.4</v>
      </c>
      <c r="R494" s="5" t="s">
        <v>566</v>
      </c>
      <c r="S494" s="15" t="s">
        <v>1677</v>
      </c>
      <c r="T494" s="5" t="n">
        <v>616</v>
      </c>
      <c r="U494" s="5" t="s">
        <v>1678</v>
      </c>
      <c r="V494" s="5" t="s">
        <v>1094</v>
      </c>
      <c r="W494" s="5" t="s">
        <v>1094</v>
      </c>
      <c r="X494" s="15" t="s">
        <v>1677</v>
      </c>
      <c r="Y494" s="5"/>
    </row>
    <row r="495" customFormat="false" ht="15" hidden="false" customHeight="false" outlineLevel="0" collapsed="false">
      <c r="A495" s="5" t="s">
        <v>5979</v>
      </c>
      <c r="B495" s="5" t="s">
        <v>561</v>
      </c>
      <c r="C495" s="5" t="s">
        <v>562</v>
      </c>
      <c r="D495" s="6" t="s">
        <v>45</v>
      </c>
      <c r="E495" s="5" t="n">
        <v>11</v>
      </c>
      <c r="F495" s="5" t="s">
        <v>5980</v>
      </c>
      <c r="G495" s="13" t="s">
        <v>5981</v>
      </c>
      <c r="H495" s="5" t="s">
        <v>5982</v>
      </c>
      <c r="I495" s="13" t="s">
        <v>5983</v>
      </c>
      <c r="J495" s="5" t="s">
        <v>5916</v>
      </c>
      <c r="K495" s="5" t="s">
        <v>5916</v>
      </c>
      <c r="L495" s="13" t="s">
        <v>5984</v>
      </c>
      <c r="M495" s="13" t="s">
        <v>5985</v>
      </c>
      <c r="N495" s="5" t="n">
        <f aca="false">LEN(L495)</f>
        <v>25</v>
      </c>
      <c r="O495" s="5" t="n">
        <f aca="false">LEN(M495)</f>
        <v>25</v>
      </c>
      <c r="P495" s="14" t="n">
        <f aca="false">IF(N495=0,"",(N495-LEN(SUBSTITUTE(SUBSTITUTE(L495,"G",""),"C","")))/N495)</f>
        <v>0.4</v>
      </c>
      <c r="Q495" s="14" t="n">
        <f aca="false">IF(O495=0,"",(O495-LEN(SUBSTITUTE(SUBSTITUTE(M495,"G",""),"C","")))/O495)</f>
        <v>0.44</v>
      </c>
      <c r="R495" s="5" t="s">
        <v>566</v>
      </c>
      <c r="S495" s="15" t="s">
        <v>1677</v>
      </c>
      <c r="T495" s="5" t="n">
        <v>726</v>
      </c>
      <c r="U495" s="5" t="s">
        <v>1678</v>
      </c>
      <c r="V495" s="5" t="s">
        <v>1094</v>
      </c>
      <c r="W495" s="5" t="s">
        <v>1094</v>
      </c>
      <c r="X495" s="15" t="s">
        <v>1677</v>
      </c>
      <c r="Y495" s="5"/>
    </row>
    <row r="496" customFormat="false" ht="15" hidden="false" customHeight="false" outlineLevel="0" collapsed="false">
      <c r="A496" s="5" t="s">
        <v>5986</v>
      </c>
      <c r="B496" s="5" t="s">
        <v>561</v>
      </c>
      <c r="C496" s="5" t="s">
        <v>562</v>
      </c>
      <c r="D496" s="6" t="s">
        <v>45</v>
      </c>
      <c r="E496" s="5" t="n">
        <v>12</v>
      </c>
      <c r="F496" s="5" t="s">
        <v>5987</v>
      </c>
      <c r="G496" s="13" t="s">
        <v>5988</v>
      </c>
      <c r="H496" s="5" t="s">
        <v>5989</v>
      </c>
      <c r="I496" s="13" t="s">
        <v>5990</v>
      </c>
      <c r="J496" s="5" t="s">
        <v>5916</v>
      </c>
      <c r="K496" s="5" t="s">
        <v>5916</v>
      </c>
      <c r="L496" s="13" t="s">
        <v>5991</v>
      </c>
      <c r="M496" s="13" t="s">
        <v>5992</v>
      </c>
      <c r="N496" s="5" t="n">
        <f aca="false">LEN(L496)</f>
        <v>25</v>
      </c>
      <c r="O496" s="5" t="n">
        <f aca="false">LEN(M496)</f>
        <v>25</v>
      </c>
      <c r="P496" s="14" t="n">
        <f aca="false">IF(N496=0,"",(N496-LEN(SUBSTITUTE(SUBSTITUTE(L496,"G",""),"C","")))/N496)</f>
        <v>0.4</v>
      </c>
      <c r="Q496" s="14" t="n">
        <f aca="false">IF(O496=0,"",(O496-LEN(SUBSTITUTE(SUBSTITUTE(M496,"G",""),"C","")))/O496)</f>
        <v>0.44</v>
      </c>
      <c r="R496" s="5" t="s">
        <v>566</v>
      </c>
      <c r="S496" s="15" t="s">
        <v>1677</v>
      </c>
      <c r="T496" s="5" t="n">
        <v>861</v>
      </c>
      <c r="U496" s="5" t="s">
        <v>1678</v>
      </c>
      <c r="V496" s="5" t="s">
        <v>1094</v>
      </c>
      <c r="W496" s="5" t="s">
        <v>1094</v>
      </c>
      <c r="X496" s="15" t="s">
        <v>1677</v>
      </c>
      <c r="Y496" s="5"/>
    </row>
    <row r="497" customFormat="false" ht="15" hidden="false" customHeight="false" outlineLevel="0" collapsed="false">
      <c r="A497" s="5" t="s">
        <v>5993</v>
      </c>
      <c r="B497" s="5" t="s">
        <v>561</v>
      </c>
      <c r="C497" s="5" t="s">
        <v>562</v>
      </c>
      <c r="D497" s="6" t="s">
        <v>45</v>
      </c>
      <c r="E497" s="5" t="n">
        <v>13</v>
      </c>
      <c r="F497" s="5" t="s">
        <v>5994</v>
      </c>
      <c r="G497" s="13" t="s">
        <v>5995</v>
      </c>
      <c r="H497" s="5" t="s">
        <v>5996</v>
      </c>
      <c r="I497" s="13" t="s">
        <v>5997</v>
      </c>
      <c r="J497" s="5" t="s">
        <v>5916</v>
      </c>
      <c r="K497" s="5" t="s">
        <v>5916</v>
      </c>
      <c r="L497" s="13" t="s">
        <v>5998</v>
      </c>
      <c r="M497" s="13" t="s">
        <v>5999</v>
      </c>
      <c r="N497" s="5" t="n">
        <f aca="false">LEN(L497)</f>
        <v>25</v>
      </c>
      <c r="O497" s="5" t="n">
        <f aca="false">LEN(M497)</f>
        <v>25</v>
      </c>
      <c r="P497" s="14" t="n">
        <f aca="false">IF(N497=0,"",(N497-LEN(SUBSTITUTE(SUBSTITUTE(L497,"G",""),"C","")))/N497)</f>
        <v>0.52</v>
      </c>
      <c r="Q497" s="14" t="n">
        <f aca="false">IF(O497=0,"",(O497-LEN(SUBSTITUTE(SUBSTITUTE(M497,"G",""),"C","")))/O497)</f>
        <v>0.44</v>
      </c>
      <c r="R497" s="5" t="s">
        <v>566</v>
      </c>
      <c r="S497" s="15" t="s">
        <v>1677</v>
      </c>
      <c r="T497" s="5" t="n">
        <v>941</v>
      </c>
      <c r="U497" s="5" t="s">
        <v>1678</v>
      </c>
      <c r="V497" s="5" t="s">
        <v>1094</v>
      </c>
      <c r="W497" s="5" t="s">
        <v>1094</v>
      </c>
      <c r="X497" s="15" t="s">
        <v>1677</v>
      </c>
      <c r="Y497" s="5"/>
    </row>
    <row r="498" customFormat="false" ht="15" hidden="false" customHeight="false" outlineLevel="0" collapsed="false">
      <c r="A498" s="5" t="s">
        <v>6000</v>
      </c>
      <c r="B498" s="5" t="s">
        <v>569</v>
      </c>
      <c r="C498" s="5" t="s">
        <v>570</v>
      </c>
      <c r="D498" s="6" t="s">
        <v>45</v>
      </c>
      <c r="E498" s="5" t="n">
        <v>1</v>
      </c>
      <c r="F498" s="5" t="s">
        <v>6001</v>
      </c>
      <c r="G498" s="13" t="s">
        <v>6002</v>
      </c>
      <c r="H498" s="5" t="s">
        <v>6003</v>
      </c>
      <c r="I498" s="13" t="s">
        <v>6004</v>
      </c>
      <c r="J498" s="5" t="s">
        <v>6005</v>
      </c>
      <c r="K498" s="5" t="s">
        <v>6005</v>
      </c>
      <c r="L498" s="13" t="s">
        <v>6006</v>
      </c>
      <c r="M498" s="13" t="s">
        <v>6007</v>
      </c>
      <c r="N498" s="5" t="n">
        <f aca="false">LEN(L498)</f>
        <v>25</v>
      </c>
      <c r="O498" s="5" t="n">
        <f aca="false">LEN(M498)</f>
        <v>25</v>
      </c>
      <c r="P498" s="14" t="n">
        <f aca="false">IF(N498=0,"",(N498-LEN(SUBSTITUTE(SUBSTITUTE(L498,"G",""),"C","")))/N498)</f>
        <v>0.4</v>
      </c>
      <c r="Q498" s="14" t="n">
        <f aca="false">IF(O498=0,"",(O498-LEN(SUBSTITUTE(SUBSTITUTE(M498,"G",""),"C","")))/O498)</f>
        <v>0.4</v>
      </c>
      <c r="R498" s="5"/>
      <c r="S498" s="8" t="s">
        <v>2131</v>
      </c>
      <c r="T498" s="5"/>
      <c r="U498" s="5" t="s">
        <v>4197</v>
      </c>
      <c r="V498" s="5" t="s">
        <v>573</v>
      </c>
      <c r="W498" s="5" t="s">
        <v>573</v>
      </c>
      <c r="X498" s="15" t="s">
        <v>1677</v>
      </c>
      <c r="Y498" s="5"/>
    </row>
    <row r="499" customFormat="false" ht="15" hidden="false" customHeight="false" outlineLevel="0" collapsed="false">
      <c r="A499" s="5" t="s">
        <v>6008</v>
      </c>
      <c r="B499" s="5" t="s">
        <v>569</v>
      </c>
      <c r="C499" s="5" t="s">
        <v>570</v>
      </c>
      <c r="D499" s="6" t="s">
        <v>45</v>
      </c>
      <c r="E499" s="5" t="n">
        <v>2</v>
      </c>
      <c r="F499" s="5" t="s">
        <v>6009</v>
      </c>
      <c r="G499" s="13" t="s">
        <v>6010</v>
      </c>
      <c r="H499" s="5" t="s">
        <v>6011</v>
      </c>
      <c r="I499" s="13" t="s">
        <v>6012</v>
      </c>
      <c r="J499" s="5" t="s">
        <v>6005</v>
      </c>
      <c r="K499" s="5" t="s">
        <v>6005</v>
      </c>
      <c r="L499" s="13" t="s">
        <v>6013</v>
      </c>
      <c r="M499" s="13" t="s">
        <v>6014</v>
      </c>
      <c r="N499" s="5" t="n">
        <f aca="false">LEN(L499)</f>
        <v>25</v>
      </c>
      <c r="O499" s="5" t="n">
        <f aca="false">LEN(M499)</f>
        <v>25</v>
      </c>
      <c r="P499" s="14" t="n">
        <f aca="false">IF(N499=0,"",(N499-LEN(SUBSTITUTE(SUBSTITUTE(L499,"G",""),"C","")))/N499)</f>
        <v>0.4</v>
      </c>
      <c r="Q499" s="14" t="n">
        <f aca="false">IF(O499=0,"",(O499-LEN(SUBSTITUTE(SUBSTITUTE(M499,"G",""),"C","")))/O499)</f>
        <v>0.52</v>
      </c>
      <c r="R499" s="5"/>
      <c r="S499" s="8" t="s">
        <v>2131</v>
      </c>
      <c r="T499" s="5"/>
      <c r="U499" s="5" t="s">
        <v>4197</v>
      </c>
      <c r="V499" s="5" t="s">
        <v>573</v>
      </c>
      <c r="W499" s="5" t="s">
        <v>573</v>
      </c>
      <c r="X499" s="15" t="s">
        <v>1677</v>
      </c>
      <c r="Y499" s="5"/>
    </row>
    <row r="500" customFormat="false" ht="15" hidden="false" customHeight="false" outlineLevel="0" collapsed="false">
      <c r="A500" s="5" t="s">
        <v>6015</v>
      </c>
      <c r="B500" s="5" t="s">
        <v>569</v>
      </c>
      <c r="C500" s="5" t="s">
        <v>570</v>
      </c>
      <c r="D500" s="6" t="s">
        <v>45</v>
      </c>
      <c r="E500" s="5" t="n">
        <v>3</v>
      </c>
      <c r="F500" s="5" t="s">
        <v>6016</v>
      </c>
      <c r="G500" s="13" t="s">
        <v>6017</v>
      </c>
      <c r="H500" s="5" t="s">
        <v>6018</v>
      </c>
      <c r="I500" s="13" t="s">
        <v>6019</v>
      </c>
      <c r="J500" s="5" t="s">
        <v>6005</v>
      </c>
      <c r="K500" s="5" t="s">
        <v>6005</v>
      </c>
      <c r="L500" s="13" t="s">
        <v>6020</v>
      </c>
      <c r="M500" s="13" t="s">
        <v>6021</v>
      </c>
      <c r="N500" s="5" t="n">
        <f aca="false">LEN(L500)</f>
        <v>25</v>
      </c>
      <c r="O500" s="5" t="n">
        <f aca="false">LEN(M500)</f>
        <v>25</v>
      </c>
      <c r="P500" s="14" t="n">
        <f aca="false">IF(N500=0,"",(N500-LEN(SUBSTITUTE(SUBSTITUTE(L500,"G",""),"C","")))/N500)</f>
        <v>0.68</v>
      </c>
      <c r="Q500" s="14" t="n">
        <f aca="false">IF(O500=0,"",(O500-LEN(SUBSTITUTE(SUBSTITUTE(M500,"G",""),"C","")))/O500)</f>
        <v>0.6</v>
      </c>
      <c r="R500" s="5"/>
      <c r="S500" s="8" t="s">
        <v>2131</v>
      </c>
      <c r="T500" s="5"/>
      <c r="U500" s="5" t="s">
        <v>4197</v>
      </c>
      <c r="V500" s="5" t="s">
        <v>573</v>
      </c>
      <c r="W500" s="5" t="s">
        <v>573</v>
      </c>
      <c r="X500" s="15" t="s">
        <v>1677</v>
      </c>
      <c r="Y500" s="5"/>
    </row>
    <row r="501" customFormat="false" ht="15" hidden="false" customHeight="false" outlineLevel="0" collapsed="false">
      <c r="A501" s="5" t="s">
        <v>6022</v>
      </c>
      <c r="B501" s="5" t="s">
        <v>569</v>
      </c>
      <c r="C501" s="5" t="s">
        <v>570</v>
      </c>
      <c r="D501" s="6" t="s">
        <v>45</v>
      </c>
      <c r="E501" s="5" t="n">
        <v>4</v>
      </c>
      <c r="F501" s="5" t="s">
        <v>6023</v>
      </c>
      <c r="G501" s="13" t="s">
        <v>6024</v>
      </c>
      <c r="H501" s="5" t="s">
        <v>6025</v>
      </c>
      <c r="I501" s="13" t="s">
        <v>6026</v>
      </c>
      <c r="J501" s="5" t="s">
        <v>6005</v>
      </c>
      <c r="K501" s="5" t="s">
        <v>6005</v>
      </c>
      <c r="L501" s="13" t="s">
        <v>6027</v>
      </c>
      <c r="M501" s="13" t="s">
        <v>6028</v>
      </c>
      <c r="N501" s="5" t="n">
        <f aca="false">LEN(L501)</f>
        <v>25</v>
      </c>
      <c r="O501" s="5" t="n">
        <f aca="false">LEN(M501)</f>
        <v>25</v>
      </c>
      <c r="P501" s="14" t="n">
        <f aca="false">IF(N501=0,"",(N501-LEN(SUBSTITUTE(SUBSTITUTE(L501,"G",""),"C","")))/N501)</f>
        <v>0.64</v>
      </c>
      <c r="Q501" s="14" t="n">
        <f aca="false">IF(O501=0,"",(O501-LEN(SUBSTITUTE(SUBSTITUTE(M501,"G",""),"C","")))/O501)</f>
        <v>0.56</v>
      </c>
      <c r="R501" s="5"/>
      <c r="S501" s="8" t="s">
        <v>2131</v>
      </c>
      <c r="T501" s="5"/>
      <c r="U501" s="5" t="s">
        <v>4197</v>
      </c>
      <c r="V501" s="5" t="s">
        <v>573</v>
      </c>
      <c r="W501" s="5" t="s">
        <v>573</v>
      </c>
      <c r="X501" s="15" t="s">
        <v>1677</v>
      </c>
      <c r="Y501" s="5"/>
    </row>
    <row r="502" customFormat="false" ht="15" hidden="false" customHeight="false" outlineLevel="0" collapsed="false">
      <c r="A502" s="5" t="s">
        <v>6029</v>
      </c>
      <c r="B502" s="5" t="s">
        <v>569</v>
      </c>
      <c r="C502" s="5" t="s">
        <v>570</v>
      </c>
      <c r="D502" s="6" t="s">
        <v>45</v>
      </c>
      <c r="E502" s="5" t="n">
        <v>5</v>
      </c>
      <c r="F502" s="5" t="s">
        <v>6030</v>
      </c>
      <c r="G502" s="13" t="s">
        <v>6031</v>
      </c>
      <c r="H502" s="5" t="s">
        <v>6032</v>
      </c>
      <c r="I502" s="13" t="s">
        <v>6033</v>
      </c>
      <c r="J502" s="5" t="s">
        <v>6005</v>
      </c>
      <c r="K502" s="5" t="s">
        <v>6005</v>
      </c>
      <c r="L502" s="13" t="s">
        <v>6034</v>
      </c>
      <c r="M502" s="13" t="s">
        <v>6035</v>
      </c>
      <c r="N502" s="5" t="n">
        <f aca="false">LEN(L502)</f>
        <v>25</v>
      </c>
      <c r="O502" s="5" t="n">
        <f aca="false">LEN(M502)</f>
        <v>25</v>
      </c>
      <c r="P502" s="14" t="n">
        <f aca="false">IF(N502=0,"",(N502-LEN(SUBSTITUTE(SUBSTITUTE(L502,"G",""),"C","")))/N502)</f>
        <v>0.48</v>
      </c>
      <c r="Q502" s="14" t="n">
        <f aca="false">IF(O502=0,"",(O502-LEN(SUBSTITUTE(SUBSTITUTE(M502,"G",""),"C","")))/O502)</f>
        <v>0.48</v>
      </c>
      <c r="R502" s="5"/>
      <c r="S502" s="8" t="s">
        <v>2131</v>
      </c>
      <c r="T502" s="5"/>
      <c r="U502" s="5" t="s">
        <v>4197</v>
      </c>
      <c r="V502" s="5" t="s">
        <v>573</v>
      </c>
      <c r="W502" s="5" t="s">
        <v>573</v>
      </c>
      <c r="X502" s="15" t="s">
        <v>1677</v>
      </c>
      <c r="Y502" s="5"/>
    </row>
    <row r="503" customFormat="false" ht="15" hidden="false" customHeight="false" outlineLevel="0" collapsed="false">
      <c r="A503" s="5" t="s">
        <v>6036</v>
      </c>
      <c r="B503" s="5" t="s">
        <v>569</v>
      </c>
      <c r="C503" s="5" t="s">
        <v>570</v>
      </c>
      <c r="D503" s="6" t="s">
        <v>45</v>
      </c>
      <c r="E503" s="5" t="n">
        <v>6</v>
      </c>
      <c r="F503" s="5" t="s">
        <v>6037</v>
      </c>
      <c r="G503" s="13" t="s">
        <v>6038</v>
      </c>
      <c r="H503" s="5" t="s">
        <v>6039</v>
      </c>
      <c r="I503" s="13" t="s">
        <v>6040</v>
      </c>
      <c r="J503" s="5" t="s">
        <v>6005</v>
      </c>
      <c r="K503" s="5" t="s">
        <v>6005</v>
      </c>
      <c r="L503" s="13" t="s">
        <v>6041</v>
      </c>
      <c r="M503" s="13" t="s">
        <v>6042</v>
      </c>
      <c r="N503" s="5" t="n">
        <f aca="false">LEN(L503)</f>
        <v>25</v>
      </c>
      <c r="O503" s="5" t="n">
        <f aca="false">LEN(M503)</f>
        <v>25</v>
      </c>
      <c r="P503" s="14" t="n">
        <f aca="false">IF(N503=0,"",(N503-LEN(SUBSTITUTE(SUBSTITUTE(L503,"G",""),"C","")))/N503)</f>
        <v>0.4</v>
      </c>
      <c r="Q503" s="14" t="n">
        <f aca="false">IF(O503=0,"",(O503-LEN(SUBSTITUTE(SUBSTITUTE(M503,"G",""),"C","")))/O503)</f>
        <v>0.52</v>
      </c>
      <c r="R503" s="5"/>
      <c r="S503" s="8" t="s">
        <v>2131</v>
      </c>
      <c r="T503" s="5"/>
      <c r="U503" s="5" t="s">
        <v>4197</v>
      </c>
      <c r="V503" s="5" t="s">
        <v>573</v>
      </c>
      <c r="W503" s="5" t="s">
        <v>573</v>
      </c>
      <c r="X503" s="15" t="s">
        <v>1677</v>
      </c>
      <c r="Y503" s="5"/>
    </row>
    <row r="504" customFormat="false" ht="15" hidden="false" customHeight="false" outlineLevel="0" collapsed="false">
      <c r="A504" s="5" t="s">
        <v>6043</v>
      </c>
      <c r="B504" s="5" t="s">
        <v>569</v>
      </c>
      <c r="C504" s="5" t="s">
        <v>570</v>
      </c>
      <c r="D504" s="6" t="s">
        <v>45</v>
      </c>
      <c r="E504" s="5" t="n">
        <v>7</v>
      </c>
      <c r="F504" s="5" t="s">
        <v>6044</v>
      </c>
      <c r="G504" s="13" t="s">
        <v>6045</v>
      </c>
      <c r="H504" s="5" t="s">
        <v>6046</v>
      </c>
      <c r="I504" s="13" t="s">
        <v>6047</v>
      </c>
      <c r="J504" s="5" t="s">
        <v>6005</v>
      </c>
      <c r="K504" s="5" t="s">
        <v>6005</v>
      </c>
      <c r="L504" s="13" t="s">
        <v>6048</v>
      </c>
      <c r="M504" s="13" t="s">
        <v>6049</v>
      </c>
      <c r="N504" s="5" t="n">
        <f aca="false">LEN(L504)</f>
        <v>25</v>
      </c>
      <c r="O504" s="5" t="n">
        <f aca="false">LEN(M504)</f>
        <v>25</v>
      </c>
      <c r="P504" s="14" t="n">
        <f aca="false">IF(N504=0,"",(N504-LEN(SUBSTITUTE(SUBSTITUTE(L504,"G",""),"C","")))/N504)</f>
        <v>0.52</v>
      </c>
      <c r="Q504" s="14" t="n">
        <f aca="false">IF(O504=0,"",(O504-LEN(SUBSTITUTE(SUBSTITUTE(M504,"G",""),"C","")))/O504)</f>
        <v>0.44</v>
      </c>
      <c r="R504" s="5"/>
      <c r="S504" s="8" t="s">
        <v>2131</v>
      </c>
      <c r="T504" s="5"/>
      <c r="U504" s="5" t="s">
        <v>4197</v>
      </c>
      <c r="V504" s="5" t="s">
        <v>573</v>
      </c>
      <c r="W504" s="5" t="s">
        <v>573</v>
      </c>
      <c r="X504" s="15" t="s">
        <v>1677</v>
      </c>
      <c r="Y504" s="5"/>
    </row>
    <row r="505" customFormat="false" ht="15" hidden="false" customHeight="false" outlineLevel="0" collapsed="false">
      <c r="A505" s="5" t="s">
        <v>6050</v>
      </c>
      <c r="B505" s="5" t="s">
        <v>569</v>
      </c>
      <c r="C505" s="5" t="s">
        <v>570</v>
      </c>
      <c r="D505" s="6" t="s">
        <v>45</v>
      </c>
      <c r="E505" s="5" t="n">
        <v>8</v>
      </c>
      <c r="F505" s="5" t="s">
        <v>6051</v>
      </c>
      <c r="G505" s="13" t="s">
        <v>6052</v>
      </c>
      <c r="H505" s="5" t="s">
        <v>6053</v>
      </c>
      <c r="I505" s="13" t="s">
        <v>6054</v>
      </c>
      <c r="J505" s="5" t="s">
        <v>6005</v>
      </c>
      <c r="K505" s="5" t="s">
        <v>6005</v>
      </c>
      <c r="L505" s="13" t="s">
        <v>6055</v>
      </c>
      <c r="M505" s="13" t="s">
        <v>6056</v>
      </c>
      <c r="N505" s="5" t="n">
        <f aca="false">LEN(L505)</f>
        <v>25</v>
      </c>
      <c r="O505" s="5" t="n">
        <f aca="false">LEN(M505)</f>
        <v>25</v>
      </c>
      <c r="P505" s="14" t="n">
        <f aca="false">IF(N505=0,"",(N505-LEN(SUBSTITUTE(SUBSTITUTE(L505,"G",""),"C","")))/N505)</f>
        <v>0.6</v>
      </c>
      <c r="Q505" s="14" t="n">
        <f aca="false">IF(O505=0,"",(O505-LEN(SUBSTITUTE(SUBSTITUTE(M505,"G",""),"C","")))/O505)</f>
        <v>0.6</v>
      </c>
      <c r="R505" s="5"/>
      <c r="S505" s="8" t="s">
        <v>2131</v>
      </c>
      <c r="T505" s="5"/>
      <c r="U505" s="5" t="s">
        <v>4197</v>
      </c>
      <c r="V505" s="5" t="s">
        <v>573</v>
      </c>
      <c r="W505" s="5" t="s">
        <v>573</v>
      </c>
      <c r="X505" s="15" t="s">
        <v>1677</v>
      </c>
      <c r="Y505" s="5"/>
    </row>
    <row r="506" customFormat="false" ht="15" hidden="false" customHeight="false" outlineLevel="0" collapsed="false">
      <c r="A506" s="5" t="s">
        <v>6057</v>
      </c>
      <c r="B506" s="5" t="s">
        <v>569</v>
      </c>
      <c r="C506" s="5" t="s">
        <v>570</v>
      </c>
      <c r="D506" s="6" t="s">
        <v>45</v>
      </c>
      <c r="E506" s="5" t="n">
        <v>9</v>
      </c>
      <c r="F506" s="5" t="s">
        <v>6058</v>
      </c>
      <c r="G506" s="13" t="s">
        <v>6059</v>
      </c>
      <c r="H506" s="5" t="s">
        <v>6060</v>
      </c>
      <c r="I506" s="13" t="s">
        <v>6061</v>
      </c>
      <c r="J506" s="5" t="s">
        <v>6005</v>
      </c>
      <c r="K506" s="5" t="s">
        <v>6005</v>
      </c>
      <c r="L506" s="13" t="s">
        <v>6062</v>
      </c>
      <c r="M506" s="13" t="s">
        <v>6063</v>
      </c>
      <c r="N506" s="5" t="n">
        <f aca="false">LEN(L506)</f>
        <v>25</v>
      </c>
      <c r="O506" s="5" t="n">
        <f aca="false">LEN(M506)</f>
        <v>25</v>
      </c>
      <c r="P506" s="14" t="n">
        <f aca="false">IF(N506=0,"",(N506-LEN(SUBSTITUTE(SUBSTITUTE(L506,"G",""),"C","")))/N506)</f>
        <v>0.4</v>
      </c>
      <c r="Q506" s="14" t="n">
        <f aca="false">IF(O506=0,"",(O506-LEN(SUBSTITUTE(SUBSTITUTE(M506,"G",""),"C","")))/O506)</f>
        <v>0.4</v>
      </c>
      <c r="R506" s="5"/>
      <c r="S506" s="8" t="s">
        <v>2131</v>
      </c>
      <c r="T506" s="5"/>
      <c r="U506" s="5" t="s">
        <v>4197</v>
      </c>
      <c r="V506" s="5" t="s">
        <v>573</v>
      </c>
      <c r="W506" s="5" t="s">
        <v>573</v>
      </c>
      <c r="X506" s="15" t="s">
        <v>1677</v>
      </c>
      <c r="Y506" s="5"/>
    </row>
    <row r="507" customFormat="false" ht="15" hidden="false" customHeight="false" outlineLevel="0" collapsed="false">
      <c r="A507" s="5" t="s">
        <v>6064</v>
      </c>
      <c r="B507" s="5" t="s">
        <v>569</v>
      </c>
      <c r="C507" s="5" t="s">
        <v>570</v>
      </c>
      <c r="D507" s="6" t="s">
        <v>45</v>
      </c>
      <c r="E507" s="5" t="n">
        <v>10</v>
      </c>
      <c r="F507" s="5" t="s">
        <v>6065</v>
      </c>
      <c r="G507" s="13" t="s">
        <v>6066</v>
      </c>
      <c r="H507" s="5" t="s">
        <v>6067</v>
      </c>
      <c r="I507" s="13" t="s">
        <v>6068</v>
      </c>
      <c r="J507" s="5" t="s">
        <v>6005</v>
      </c>
      <c r="K507" s="5" t="s">
        <v>6005</v>
      </c>
      <c r="L507" s="13" t="s">
        <v>6069</v>
      </c>
      <c r="M507" s="13" t="s">
        <v>6070</v>
      </c>
      <c r="N507" s="5" t="n">
        <f aca="false">LEN(L507)</f>
        <v>25</v>
      </c>
      <c r="O507" s="5" t="n">
        <f aca="false">LEN(M507)</f>
        <v>25</v>
      </c>
      <c r="P507" s="14" t="n">
        <f aca="false">IF(N507=0,"",(N507-LEN(SUBSTITUTE(SUBSTITUTE(L507,"G",""),"C","")))/N507)</f>
        <v>0.4</v>
      </c>
      <c r="Q507" s="14" t="n">
        <f aca="false">IF(O507=0,"",(O507-LEN(SUBSTITUTE(SUBSTITUTE(M507,"G",""),"C","")))/O507)</f>
        <v>0.6</v>
      </c>
      <c r="R507" s="5"/>
      <c r="S507" s="8" t="s">
        <v>2131</v>
      </c>
      <c r="T507" s="5"/>
      <c r="U507" s="5" t="s">
        <v>4197</v>
      </c>
      <c r="V507" s="5" t="s">
        <v>573</v>
      </c>
      <c r="W507" s="5" t="s">
        <v>573</v>
      </c>
      <c r="X507" s="15" t="s">
        <v>1677</v>
      </c>
      <c r="Y507" s="5"/>
    </row>
    <row r="508" customFormat="false" ht="15" hidden="false" customHeight="false" outlineLevel="0" collapsed="false">
      <c r="A508" s="5" t="s">
        <v>6071</v>
      </c>
      <c r="B508" s="5" t="s">
        <v>576</v>
      </c>
      <c r="C508" s="5" t="s">
        <v>577</v>
      </c>
      <c r="D508" s="6" t="s">
        <v>45</v>
      </c>
      <c r="E508" s="5" t="n">
        <v>1</v>
      </c>
      <c r="F508" s="5" t="s">
        <v>6072</v>
      </c>
      <c r="G508" s="13" t="s">
        <v>6073</v>
      </c>
      <c r="H508" s="5" t="s">
        <v>6074</v>
      </c>
      <c r="I508" s="13" t="s">
        <v>6075</v>
      </c>
      <c r="J508" s="5" t="s">
        <v>6076</v>
      </c>
      <c r="K508" s="5" t="s">
        <v>6076</v>
      </c>
      <c r="L508" s="13" t="s">
        <v>6077</v>
      </c>
      <c r="M508" s="13" t="s">
        <v>6078</v>
      </c>
      <c r="N508" s="5" t="n">
        <f aca="false">LEN(L508)</f>
        <v>25</v>
      </c>
      <c r="O508" s="5" t="n">
        <f aca="false">LEN(M508)</f>
        <v>25</v>
      </c>
      <c r="P508" s="14" t="n">
        <f aca="false">IF(N508=0,"",(N508-LEN(SUBSTITUTE(SUBSTITUTE(L508,"G",""),"C","")))/N508)</f>
        <v>0.4</v>
      </c>
      <c r="Q508" s="14" t="n">
        <f aca="false">IF(O508=0,"",(O508-LEN(SUBSTITUTE(SUBSTITUTE(M508,"G",""),"C","")))/O508)</f>
        <v>0.52</v>
      </c>
      <c r="R508" s="5"/>
      <c r="S508" s="8" t="s">
        <v>2131</v>
      </c>
      <c r="T508" s="5"/>
      <c r="U508" s="5" t="s">
        <v>4197</v>
      </c>
      <c r="V508" s="5" t="s">
        <v>580</v>
      </c>
      <c r="W508" s="5" t="s">
        <v>580</v>
      </c>
      <c r="X508" s="15" t="s">
        <v>1677</v>
      </c>
      <c r="Y508" s="5"/>
    </row>
    <row r="509" customFormat="false" ht="15" hidden="false" customHeight="false" outlineLevel="0" collapsed="false">
      <c r="A509" s="5" t="s">
        <v>6079</v>
      </c>
      <c r="B509" s="5" t="s">
        <v>576</v>
      </c>
      <c r="C509" s="5" t="s">
        <v>577</v>
      </c>
      <c r="D509" s="6" t="s">
        <v>45</v>
      </c>
      <c r="E509" s="5" t="n">
        <v>2</v>
      </c>
      <c r="F509" s="5" t="s">
        <v>6080</v>
      </c>
      <c r="G509" s="13" t="s">
        <v>6081</v>
      </c>
      <c r="H509" s="5" t="s">
        <v>6082</v>
      </c>
      <c r="I509" s="13" t="s">
        <v>6083</v>
      </c>
      <c r="J509" s="5" t="s">
        <v>6076</v>
      </c>
      <c r="K509" s="5" t="s">
        <v>6076</v>
      </c>
      <c r="L509" s="13" t="s">
        <v>6084</v>
      </c>
      <c r="M509" s="13" t="s">
        <v>6085</v>
      </c>
      <c r="N509" s="5" t="n">
        <f aca="false">LEN(L509)</f>
        <v>25</v>
      </c>
      <c r="O509" s="5" t="n">
        <f aca="false">LEN(M509)</f>
        <v>25</v>
      </c>
      <c r="P509" s="14" t="n">
        <f aca="false">IF(N509=0,"",(N509-LEN(SUBSTITUTE(SUBSTITUTE(L509,"G",""),"C","")))/N509)</f>
        <v>0.4</v>
      </c>
      <c r="Q509" s="14" t="n">
        <f aca="false">IF(O509=0,"",(O509-LEN(SUBSTITUTE(SUBSTITUTE(M509,"G",""),"C","")))/O509)</f>
        <v>0.44</v>
      </c>
      <c r="R509" s="5"/>
      <c r="S509" s="8" t="s">
        <v>2131</v>
      </c>
      <c r="T509" s="5"/>
      <c r="U509" s="5" t="s">
        <v>4197</v>
      </c>
      <c r="V509" s="5" t="s">
        <v>580</v>
      </c>
      <c r="W509" s="5" t="s">
        <v>580</v>
      </c>
      <c r="X509" s="15" t="s">
        <v>1677</v>
      </c>
      <c r="Y509" s="5"/>
    </row>
    <row r="510" customFormat="false" ht="15" hidden="false" customHeight="false" outlineLevel="0" collapsed="false">
      <c r="A510" s="5" t="s">
        <v>6086</v>
      </c>
      <c r="B510" s="5" t="s">
        <v>576</v>
      </c>
      <c r="C510" s="5" t="s">
        <v>577</v>
      </c>
      <c r="D510" s="6" t="s">
        <v>45</v>
      </c>
      <c r="E510" s="5" t="n">
        <v>3</v>
      </c>
      <c r="F510" s="5" t="s">
        <v>6087</v>
      </c>
      <c r="G510" s="13" t="s">
        <v>6088</v>
      </c>
      <c r="H510" s="5" t="s">
        <v>6089</v>
      </c>
      <c r="I510" s="13" t="s">
        <v>6090</v>
      </c>
      <c r="J510" s="5" t="s">
        <v>6076</v>
      </c>
      <c r="K510" s="5" t="s">
        <v>6076</v>
      </c>
      <c r="L510" s="13" t="s">
        <v>6091</v>
      </c>
      <c r="M510" s="13" t="s">
        <v>6092</v>
      </c>
      <c r="N510" s="5" t="n">
        <f aca="false">LEN(L510)</f>
        <v>25</v>
      </c>
      <c r="O510" s="5" t="n">
        <f aca="false">LEN(M510)</f>
        <v>25</v>
      </c>
      <c r="P510" s="14" t="n">
        <f aca="false">IF(N510=0,"",(N510-LEN(SUBSTITUTE(SUBSTITUTE(L510,"G",""),"C","")))/N510)</f>
        <v>0.44</v>
      </c>
      <c r="Q510" s="14" t="n">
        <f aca="false">IF(O510=0,"",(O510-LEN(SUBSTITUTE(SUBSTITUTE(M510,"G",""),"C","")))/O510)</f>
        <v>0.4</v>
      </c>
      <c r="R510" s="5"/>
      <c r="S510" s="8" t="s">
        <v>2131</v>
      </c>
      <c r="T510" s="5"/>
      <c r="U510" s="5" t="s">
        <v>4197</v>
      </c>
      <c r="V510" s="5" t="s">
        <v>580</v>
      </c>
      <c r="W510" s="5" t="s">
        <v>580</v>
      </c>
      <c r="X510" s="15" t="s">
        <v>1677</v>
      </c>
      <c r="Y510" s="5"/>
    </row>
    <row r="511" customFormat="false" ht="15" hidden="false" customHeight="false" outlineLevel="0" collapsed="false">
      <c r="A511" s="5" t="s">
        <v>6093</v>
      </c>
      <c r="B511" s="5" t="s">
        <v>576</v>
      </c>
      <c r="C511" s="5" t="s">
        <v>577</v>
      </c>
      <c r="D511" s="6" t="s">
        <v>45</v>
      </c>
      <c r="E511" s="5" t="n">
        <v>4</v>
      </c>
      <c r="F511" s="5" t="s">
        <v>6094</v>
      </c>
      <c r="G511" s="13" t="s">
        <v>6095</v>
      </c>
      <c r="H511" s="5" t="s">
        <v>6096</v>
      </c>
      <c r="I511" s="13" t="s">
        <v>6097</v>
      </c>
      <c r="J511" s="5" t="s">
        <v>6076</v>
      </c>
      <c r="K511" s="5" t="s">
        <v>6076</v>
      </c>
      <c r="L511" s="13" t="s">
        <v>6098</v>
      </c>
      <c r="M511" s="13" t="s">
        <v>6099</v>
      </c>
      <c r="N511" s="5" t="n">
        <f aca="false">LEN(L511)</f>
        <v>25</v>
      </c>
      <c r="O511" s="5" t="n">
        <f aca="false">LEN(M511)</f>
        <v>25</v>
      </c>
      <c r="P511" s="14" t="n">
        <f aca="false">IF(N511=0,"",(N511-LEN(SUBSTITUTE(SUBSTITUTE(L511,"G",""),"C","")))/N511)</f>
        <v>0.4</v>
      </c>
      <c r="Q511" s="14" t="n">
        <f aca="false">IF(O511=0,"",(O511-LEN(SUBSTITUTE(SUBSTITUTE(M511,"G",""),"C","")))/O511)</f>
        <v>0.44</v>
      </c>
      <c r="R511" s="5"/>
      <c r="S511" s="8" t="s">
        <v>2131</v>
      </c>
      <c r="T511" s="5"/>
      <c r="U511" s="5" t="s">
        <v>4197</v>
      </c>
      <c r="V511" s="5" t="s">
        <v>580</v>
      </c>
      <c r="W511" s="5" t="s">
        <v>580</v>
      </c>
      <c r="X511" s="15" t="s">
        <v>1677</v>
      </c>
      <c r="Y511" s="5"/>
    </row>
    <row r="512" customFormat="false" ht="15" hidden="false" customHeight="false" outlineLevel="0" collapsed="false">
      <c r="A512" s="5" t="s">
        <v>6100</v>
      </c>
      <c r="B512" s="5" t="s">
        <v>576</v>
      </c>
      <c r="C512" s="5" t="s">
        <v>577</v>
      </c>
      <c r="D512" s="6" t="s">
        <v>45</v>
      </c>
      <c r="E512" s="5" t="n">
        <v>5</v>
      </c>
      <c r="F512" s="5" t="s">
        <v>6101</v>
      </c>
      <c r="G512" s="13" t="s">
        <v>6102</v>
      </c>
      <c r="H512" s="5" t="s">
        <v>6103</v>
      </c>
      <c r="I512" s="13" t="s">
        <v>6104</v>
      </c>
      <c r="J512" s="5" t="s">
        <v>6076</v>
      </c>
      <c r="K512" s="5" t="s">
        <v>6076</v>
      </c>
      <c r="L512" s="13" t="s">
        <v>6105</v>
      </c>
      <c r="M512" s="13" t="s">
        <v>6106</v>
      </c>
      <c r="N512" s="5" t="n">
        <f aca="false">LEN(L512)</f>
        <v>25</v>
      </c>
      <c r="O512" s="5" t="n">
        <f aca="false">LEN(M512)</f>
        <v>25</v>
      </c>
      <c r="P512" s="14" t="n">
        <f aca="false">IF(N512=0,"",(N512-LEN(SUBSTITUTE(SUBSTITUTE(L512,"G",""),"C","")))/N512)</f>
        <v>0.4</v>
      </c>
      <c r="Q512" s="14" t="n">
        <f aca="false">IF(O512=0,"",(O512-LEN(SUBSTITUTE(SUBSTITUTE(M512,"G",""),"C","")))/O512)</f>
        <v>0.44</v>
      </c>
      <c r="R512" s="5"/>
      <c r="S512" s="8" t="s">
        <v>2131</v>
      </c>
      <c r="T512" s="5"/>
      <c r="U512" s="5" t="s">
        <v>4197</v>
      </c>
      <c r="V512" s="5" t="s">
        <v>580</v>
      </c>
      <c r="W512" s="5" t="s">
        <v>580</v>
      </c>
      <c r="X512" s="15" t="s">
        <v>1677</v>
      </c>
      <c r="Y512" s="5"/>
    </row>
    <row r="513" customFormat="false" ht="15" hidden="false" customHeight="false" outlineLevel="0" collapsed="false">
      <c r="A513" s="5" t="s">
        <v>6107</v>
      </c>
      <c r="B513" s="5" t="s">
        <v>576</v>
      </c>
      <c r="C513" s="5" t="s">
        <v>577</v>
      </c>
      <c r="D513" s="6" t="s">
        <v>45</v>
      </c>
      <c r="E513" s="5" t="n">
        <v>6</v>
      </c>
      <c r="F513" s="5" t="s">
        <v>6108</v>
      </c>
      <c r="G513" s="13" t="s">
        <v>6109</v>
      </c>
      <c r="H513" s="5" t="s">
        <v>6110</v>
      </c>
      <c r="I513" s="13" t="s">
        <v>6111</v>
      </c>
      <c r="J513" s="5" t="s">
        <v>6076</v>
      </c>
      <c r="K513" s="5" t="s">
        <v>6076</v>
      </c>
      <c r="L513" s="13" t="s">
        <v>6112</v>
      </c>
      <c r="M513" s="13" t="s">
        <v>6113</v>
      </c>
      <c r="N513" s="5" t="n">
        <f aca="false">LEN(L513)</f>
        <v>25</v>
      </c>
      <c r="O513" s="5" t="n">
        <f aca="false">LEN(M513)</f>
        <v>25</v>
      </c>
      <c r="P513" s="14" t="n">
        <f aca="false">IF(N513=0,"",(N513-LEN(SUBSTITUTE(SUBSTITUTE(L513,"G",""),"C","")))/N513)</f>
        <v>0.52</v>
      </c>
      <c r="Q513" s="14" t="n">
        <f aca="false">IF(O513=0,"",(O513-LEN(SUBSTITUTE(SUBSTITUTE(M513,"G",""),"C","")))/O513)</f>
        <v>0.4</v>
      </c>
      <c r="R513" s="5"/>
      <c r="S513" s="8" t="s">
        <v>2131</v>
      </c>
      <c r="T513" s="5"/>
      <c r="U513" s="5" t="s">
        <v>4197</v>
      </c>
      <c r="V513" s="5" t="s">
        <v>580</v>
      </c>
      <c r="W513" s="5" t="s">
        <v>580</v>
      </c>
      <c r="X513" s="15" t="s">
        <v>1677</v>
      </c>
      <c r="Y513" s="5"/>
    </row>
    <row r="514" customFormat="false" ht="15" hidden="false" customHeight="false" outlineLevel="0" collapsed="false">
      <c r="A514" s="5" t="s">
        <v>6114</v>
      </c>
      <c r="B514" s="5" t="s">
        <v>576</v>
      </c>
      <c r="C514" s="5" t="s">
        <v>577</v>
      </c>
      <c r="D514" s="6" t="s">
        <v>45</v>
      </c>
      <c r="E514" s="5" t="n">
        <v>7</v>
      </c>
      <c r="F514" s="5" t="s">
        <v>6115</v>
      </c>
      <c r="G514" s="13" t="s">
        <v>6116</v>
      </c>
      <c r="H514" s="5" t="s">
        <v>6117</v>
      </c>
      <c r="I514" s="13" t="s">
        <v>6118</v>
      </c>
      <c r="J514" s="5" t="s">
        <v>6076</v>
      </c>
      <c r="K514" s="5" t="s">
        <v>6076</v>
      </c>
      <c r="L514" s="13" t="s">
        <v>6119</v>
      </c>
      <c r="M514" s="13" t="s">
        <v>6120</v>
      </c>
      <c r="N514" s="5" t="n">
        <f aca="false">LEN(L514)</f>
        <v>25</v>
      </c>
      <c r="O514" s="5" t="n">
        <f aca="false">LEN(M514)</f>
        <v>25</v>
      </c>
      <c r="P514" s="14" t="n">
        <f aca="false">IF(N514=0,"",(N514-LEN(SUBSTITUTE(SUBSTITUTE(L514,"G",""),"C","")))/N514)</f>
        <v>0.4</v>
      </c>
      <c r="Q514" s="14" t="n">
        <f aca="false">IF(O514=0,"",(O514-LEN(SUBSTITUTE(SUBSTITUTE(M514,"G",""),"C","")))/O514)</f>
        <v>0.44</v>
      </c>
      <c r="R514" s="5"/>
      <c r="S514" s="8" t="s">
        <v>2131</v>
      </c>
      <c r="T514" s="5"/>
      <c r="U514" s="5" t="s">
        <v>4197</v>
      </c>
      <c r="V514" s="5" t="s">
        <v>580</v>
      </c>
      <c r="W514" s="5" t="s">
        <v>580</v>
      </c>
      <c r="X514" s="15" t="s">
        <v>1677</v>
      </c>
      <c r="Y514" s="5"/>
    </row>
    <row r="515" customFormat="false" ht="15" hidden="false" customHeight="false" outlineLevel="0" collapsed="false">
      <c r="A515" s="5" t="s">
        <v>6121</v>
      </c>
      <c r="B515" s="5" t="s">
        <v>576</v>
      </c>
      <c r="C515" s="5" t="s">
        <v>577</v>
      </c>
      <c r="D515" s="6" t="s">
        <v>45</v>
      </c>
      <c r="E515" s="5" t="n">
        <v>8</v>
      </c>
      <c r="F515" s="5" t="s">
        <v>6122</v>
      </c>
      <c r="G515" s="13" t="s">
        <v>6123</v>
      </c>
      <c r="H515" s="5" t="s">
        <v>6124</v>
      </c>
      <c r="I515" s="13" t="s">
        <v>6125</v>
      </c>
      <c r="J515" s="5" t="s">
        <v>6076</v>
      </c>
      <c r="K515" s="5" t="s">
        <v>6076</v>
      </c>
      <c r="L515" s="13" t="s">
        <v>6126</v>
      </c>
      <c r="M515" s="13" t="s">
        <v>6127</v>
      </c>
      <c r="N515" s="5" t="n">
        <f aca="false">LEN(L515)</f>
        <v>25</v>
      </c>
      <c r="O515" s="5" t="n">
        <f aca="false">LEN(M515)</f>
        <v>25</v>
      </c>
      <c r="P515" s="14" t="n">
        <f aca="false">IF(N515=0,"",(N515-LEN(SUBSTITUTE(SUBSTITUTE(L515,"G",""),"C","")))/N515)</f>
        <v>0.4</v>
      </c>
      <c r="Q515" s="14" t="n">
        <f aca="false">IF(O515=0,"",(O515-LEN(SUBSTITUTE(SUBSTITUTE(M515,"G",""),"C","")))/O515)</f>
        <v>0.4</v>
      </c>
      <c r="R515" s="5"/>
      <c r="S515" s="8" t="s">
        <v>2131</v>
      </c>
      <c r="T515" s="5"/>
      <c r="U515" s="5" t="s">
        <v>4197</v>
      </c>
      <c r="V515" s="5" t="s">
        <v>580</v>
      </c>
      <c r="W515" s="5" t="s">
        <v>580</v>
      </c>
      <c r="X515" s="15" t="s">
        <v>1677</v>
      </c>
      <c r="Y515" s="5"/>
    </row>
    <row r="516" customFormat="false" ht="15" hidden="false" customHeight="false" outlineLevel="0" collapsed="false">
      <c r="A516" s="5" t="s">
        <v>6128</v>
      </c>
      <c r="B516" s="5" t="s">
        <v>582</v>
      </c>
      <c r="C516" s="5" t="s">
        <v>583</v>
      </c>
      <c r="D516" s="9" t="s">
        <v>66</v>
      </c>
      <c r="E516" s="5" t="n">
        <v>1</v>
      </c>
      <c r="F516" s="5" t="s">
        <v>6129</v>
      </c>
      <c r="G516" s="13" t="s">
        <v>6130</v>
      </c>
      <c r="H516" s="5" t="s">
        <v>6131</v>
      </c>
      <c r="I516" s="13" t="s">
        <v>6132</v>
      </c>
      <c r="J516" s="5" t="s">
        <v>6133</v>
      </c>
      <c r="K516" s="5" t="s">
        <v>6134</v>
      </c>
      <c r="L516" s="13" t="s">
        <v>6135</v>
      </c>
      <c r="M516" s="13" t="s">
        <v>6136</v>
      </c>
      <c r="N516" s="5" t="n">
        <f aca="false">LEN(L516)</f>
        <v>25</v>
      </c>
      <c r="O516" s="5" t="n">
        <f aca="false">LEN(M516)</f>
        <v>25</v>
      </c>
      <c r="P516" s="14" t="n">
        <f aca="false">IF(N516=0,"",(N516-LEN(SUBSTITUTE(SUBSTITUTE(L516,"G",""),"C","")))/N516)</f>
        <v>0.32</v>
      </c>
      <c r="Q516" s="14" t="n">
        <f aca="false">IF(O516=0,"",(O516-LEN(SUBSTITUTE(SUBSTITUTE(M516,"G",""),"C","")))/O516)</f>
        <v>0.44</v>
      </c>
      <c r="R516" s="5" t="s">
        <v>589</v>
      </c>
      <c r="S516" s="15" t="s">
        <v>1677</v>
      </c>
      <c r="T516" s="5" t="n">
        <v>216</v>
      </c>
      <c r="U516" s="5" t="s">
        <v>1678</v>
      </c>
      <c r="V516" s="5" t="s">
        <v>588</v>
      </c>
      <c r="W516" s="5"/>
      <c r="X516" s="15" t="s">
        <v>1677</v>
      </c>
      <c r="Y516" s="5"/>
    </row>
    <row r="517" customFormat="false" ht="15" hidden="false" customHeight="false" outlineLevel="0" collapsed="false">
      <c r="A517" s="5" t="s">
        <v>6137</v>
      </c>
      <c r="B517" s="5" t="s">
        <v>582</v>
      </c>
      <c r="C517" s="5" t="s">
        <v>583</v>
      </c>
      <c r="D517" s="9" t="s">
        <v>66</v>
      </c>
      <c r="E517" s="5" t="n">
        <v>2</v>
      </c>
      <c r="F517" s="5" t="s">
        <v>6138</v>
      </c>
      <c r="G517" s="13" t="s">
        <v>6139</v>
      </c>
      <c r="H517" s="5" t="s">
        <v>6140</v>
      </c>
      <c r="I517" s="13" t="s">
        <v>6141</v>
      </c>
      <c r="J517" s="5" t="s">
        <v>6142</v>
      </c>
      <c r="K517" s="5" t="s">
        <v>6143</v>
      </c>
      <c r="L517" s="13" t="s">
        <v>6144</v>
      </c>
      <c r="M517" s="13" t="s">
        <v>6145</v>
      </c>
      <c r="N517" s="5" t="n">
        <f aca="false">LEN(L517)</f>
        <v>25</v>
      </c>
      <c r="O517" s="5" t="n">
        <f aca="false">LEN(M517)</f>
        <v>25</v>
      </c>
      <c r="P517" s="14" t="n">
        <f aca="false">IF(N517=0,"",(N517-LEN(SUBSTITUTE(SUBSTITUTE(L517,"G",""),"C","")))/N517)</f>
        <v>0.56</v>
      </c>
      <c r="Q517" s="14" t="n">
        <f aca="false">IF(O517=0,"",(O517-LEN(SUBSTITUTE(SUBSTITUTE(M517,"G",""),"C","")))/O517)</f>
        <v>0.4</v>
      </c>
      <c r="R517" s="5" t="s">
        <v>589</v>
      </c>
      <c r="S517" s="15" t="s">
        <v>1677</v>
      </c>
      <c r="T517" s="5" t="n">
        <v>286</v>
      </c>
      <c r="U517" s="5" t="s">
        <v>1678</v>
      </c>
      <c r="V517" s="5" t="s">
        <v>588</v>
      </c>
      <c r="W517" s="5"/>
      <c r="X517" s="15" t="s">
        <v>1677</v>
      </c>
      <c r="Y517" s="5"/>
    </row>
    <row r="518" customFormat="false" ht="15" hidden="false" customHeight="false" outlineLevel="0" collapsed="false">
      <c r="A518" s="5" t="s">
        <v>6146</v>
      </c>
      <c r="B518" s="5" t="s">
        <v>582</v>
      </c>
      <c r="C518" s="5" t="s">
        <v>583</v>
      </c>
      <c r="D518" s="9" t="s">
        <v>66</v>
      </c>
      <c r="E518" s="5" t="n">
        <v>3</v>
      </c>
      <c r="F518" s="5" t="s">
        <v>6147</v>
      </c>
      <c r="G518" s="13" t="s">
        <v>6148</v>
      </c>
      <c r="H518" s="5" t="s">
        <v>6149</v>
      </c>
      <c r="I518" s="13" t="s">
        <v>6150</v>
      </c>
      <c r="J518" s="5" t="s">
        <v>6151</v>
      </c>
      <c r="K518" s="5" t="s">
        <v>6152</v>
      </c>
      <c r="L518" s="13" t="s">
        <v>6153</v>
      </c>
      <c r="M518" s="13" t="s">
        <v>6154</v>
      </c>
      <c r="N518" s="5" t="n">
        <f aca="false">LEN(L518)</f>
        <v>25</v>
      </c>
      <c r="O518" s="5" t="n">
        <f aca="false">LEN(M518)</f>
        <v>25</v>
      </c>
      <c r="P518" s="14" t="n">
        <f aca="false">IF(N518=0,"",(N518-LEN(SUBSTITUTE(SUBSTITUTE(L518,"G",""),"C","")))/N518)</f>
        <v>0.4</v>
      </c>
      <c r="Q518" s="14" t="n">
        <f aca="false">IF(O518=0,"",(O518-LEN(SUBSTITUTE(SUBSTITUTE(M518,"G",""),"C","")))/O518)</f>
        <v>0.56</v>
      </c>
      <c r="R518" s="5" t="s">
        <v>589</v>
      </c>
      <c r="S518" s="15" t="s">
        <v>1677</v>
      </c>
      <c r="T518" s="5" t="n">
        <v>356</v>
      </c>
      <c r="U518" s="5" t="s">
        <v>1678</v>
      </c>
      <c r="V518" s="5" t="s">
        <v>588</v>
      </c>
      <c r="W518" s="5"/>
      <c r="X518" s="15" t="s">
        <v>1677</v>
      </c>
      <c r="Y518" s="5"/>
    </row>
    <row r="519" customFormat="false" ht="15" hidden="false" customHeight="false" outlineLevel="0" collapsed="false">
      <c r="A519" s="5" t="s">
        <v>6155</v>
      </c>
      <c r="B519" s="5" t="s">
        <v>582</v>
      </c>
      <c r="C519" s="5" t="s">
        <v>583</v>
      </c>
      <c r="D519" s="9" t="s">
        <v>66</v>
      </c>
      <c r="E519" s="5" t="n">
        <v>4</v>
      </c>
      <c r="F519" s="5" t="s">
        <v>6156</v>
      </c>
      <c r="G519" s="13" t="s">
        <v>6157</v>
      </c>
      <c r="H519" s="5" t="s">
        <v>6158</v>
      </c>
      <c r="I519" s="13" t="s">
        <v>6159</v>
      </c>
      <c r="J519" s="5" t="s">
        <v>6160</v>
      </c>
      <c r="K519" s="5" t="s">
        <v>6161</v>
      </c>
      <c r="L519" s="13" t="s">
        <v>6162</v>
      </c>
      <c r="M519" s="13" t="s">
        <v>6163</v>
      </c>
      <c r="N519" s="5" t="n">
        <f aca="false">LEN(L519)</f>
        <v>25</v>
      </c>
      <c r="O519" s="5" t="n">
        <f aca="false">LEN(M519)</f>
        <v>25</v>
      </c>
      <c r="P519" s="14" t="n">
        <f aca="false">IF(N519=0,"",(N519-LEN(SUBSTITUTE(SUBSTITUTE(L519,"G",""),"C","")))/N519)</f>
        <v>0.28</v>
      </c>
      <c r="Q519" s="14" t="n">
        <f aca="false">IF(O519=0,"",(O519-LEN(SUBSTITUTE(SUBSTITUTE(M519,"G",""),"C","")))/O519)</f>
        <v>0.6</v>
      </c>
      <c r="R519" s="5" t="s">
        <v>589</v>
      </c>
      <c r="S519" s="15" t="s">
        <v>1677</v>
      </c>
      <c r="T519" s="5" t="n">
        <v>426</v>
      </c>
      <c r="U519" s="5" t="s">
        <v>1678</v>
      </c>
      <c r="V519" s="5" t="s">
        <v>588</v>
      </c>
      <c r="W519" s="5"/>
      <c r="X519" s="15" t="s">
        <v>1677</v>
      </c>
      <c r="Y519" s="5"/>
    </row>
    <row r="520" customFormat="false" ht="15" hidden="false" customHeight="false" outlineLevel="0" collapsed="false">
      <c r="A520" s="5" t="s">
        <v>6164</v>
      </c>
      <c r="B520" s="5" t="s">
        <v>582</v>
      </c>
      <c r="C520" s="5" t="s">
        <v>583</v>
      </c>
      <c r="D520" s="9" t="s">
        <v>66</v>
      </c>
      <c r="E520" s="5" t="n">
        <v>5</v>
      </c>
      <c r="F520" s="5" t="s">
        <v>6165</v>
      </c>
      <c r="G520" s="13" t="s">
        <v>6166</v>
      </c>
      <c r="H520" s="5" t="s">
        <v>6167</v>
      </c>
      <c r="I520" s="13" t="s">
        <v>6168</v>
      </c>
      <c r="J520" s="5" t="s">
        <v>6169</v>
      </c>
      <c r="K520" s="5" t="s">
        <v>6170</v>
      </c>
      <c r="L520" s="13" t="s">
        <v>6171</v>
      </c>
      <c r="M520" s="13" t="s">
        <v>6172</v>
      </c>
      <c r="N520" s="5" t="n">
        <f aca="false">LEN(L520)</f>
        <v>25</v>
      </c>
      <c r="O520" s="5" t="n">
        <f aca="false">LEN(M520)</f>
        <v>25</v>
      </c>
      <c r="P520" s="14" t="n">
        <f aca="false">IF(N520=0,"",(N520-LEN(SUBSTITUTE(SUBSTITUTE(L520,"G",""),"C","")))/N520)</f>
        <v>0.44</v>
      </c>
      <c r="Q520" s="14" t="n">
        <f aca="false">IF(O520=0,"",(O520-LEN(SUBSTITUTE(SUBSTITUTE(M520,"G",""),"C","")))/O520)</f>
        <v>0.4</v>
      </c>
      <c r="R520" s="5" t="s">
        <v>589</v>
      </c>
      <c r="S520" s="15" t="s">
        <v>1677</v>
      </c>
      <c r="T520" s="5" t="n">
        <v>496</v>
      </c>
      <c r="U520" s="5" t="s">
        <v>1678</v>
      </c>
      <c r="V520" s="5" t="s">
        <v>588</v>
      </c>
      <c r="W520" s="5"/>
      <c r="X520" s="15" t="s">
        <v>1677</v>
      </c>
      <c r="Y520" s="5"/>
    </row>
    <row r="521" customFormat="false" ht="15" hidden="false" customHeight="false" outlineLevel="0" collapsed="false">
      <c r="A521" s="5" t="s">
        <v>6173</v>
      </c>
      <c r="B521" s="5" t="s">
        <v>582</v>
      </c>
      <c r="C521" s="5" t="s">
        <v>583</v>
      </c>
      <c r="D521" s="9" t="s">
        <v>66</v>
      </c>
      <c r="E521" s="5" t="n">
        <v>6</v>
      </c>
      <c r="F521" s="5" t="s">
        <v>6174</v>
      </c>
      <c r="G521" s="13" t="s">
        <v>6175</v>
      </c>
      <c r="H521" s="5" t="s">
        <v>6176</v>
      </c>
      <c r="I521" s="13" t="s">
        <v>6177</v>
      </c>
      <c r="J521" s="5" t="s">
        <v>6178</v>
      </c>
      <c r="K521" s="5" t="s">
        <v>6179</v>
      </c>
      <c r="L521" s="13" t="s">
        <v>6180</v>
      </c>
      <c r="M521" s="13" t="s">
        <v>6181</v>
      </c>
      <c r="N521" s="5" t="n">
        <f aca="false">LEN(L521)</f>
        <v>25</v>
      </c>
      <c r="O521" s="5" t="n">
        <f aca="false">LEN(M521)</f>
        <v>25</v>
      </c>
      <c r="P521" s="14" t="n">
        <f aca="false">IF(N521=0,"",(N521-LEN(SUBSTITUTE(SUBSTITUTE(L521,"G",""),"C","")))/N521)</f>
        <v>0.48</v>
      </c>
      <c r="Q521" s="14" t="n">
        <f aca="false">IF(O521=0,"",(O521-LEN(SUBSTITUTE(SUBSTITUTE(M521,"G",""),"C","")))/O521)</f>
        <v>0.52</v>
      </c>
      <c r="R521" s="5" t="s">
        <v>589</v>
      </c>
      <c r="S521" s="15" t="s">
        <v>1677</v>
      </c>
      <c r="T521" s="5" t="n">
        <v>566</v>
      </c>
      <c r="U521" s="5" t="s">
        <v>1678</v>
      </c>
      <c r="V521" s="5" t="s">
        <v>588</v>
      </c>
      <c r="W521" s="5"/>
      <c r="X521" s="15" t="s">
        <v>1677</v>
      </c>
      <c r="Y521" s="5"/>
    </row>
    <row r="522" customFormat="false" ht="15" hidden="false" customHeight="false" outlineLevel="0" collapsed="false">
      <c r="A522" s="5" t="s">
        <v>6182</v>
      </c>
      <c r="B522" s="5" t="s">
        <v>591</v>
      </c>
      <c r="C522" s="5" t="s">
        <v>592</v>
      </c>
      <c r="D522" s="9" t="s">
        <v>66</v>
      </c>
      <c r="E522" s="5" t="n">
        <v>1</v>
      </c>
      <c r="F522" s="5" t="s">
        <v>6183</v>
      </c>
      <c r="G522" s="13" t="s">
        <v>6184</v>
      </c>
      <c r="H522" s="5" t="s">
        <v>6185</v>
      </c>
      <c r="I522" s="13" t="s">
        <v>6186</v>
      </c>
      <c r="J522" s="5" t="s">
        <v>6187</v>
      </c>
      <c r="K522" s="5" t="s">
        <v>6188</v>
      </c>
      <c r="L522" s="13" t="s">
        <v>6189</v>
      </c>
      <c r="M522" s="13" t="s">
        <v>6190</v>
      </c>
      <c r="N522" s="5" t="n">
        <f aca="false">LEN(L522)</f>
        <v>25</v>
      </c>
      <c r="O522" s="5" t="n">
        <f aca="false">LEN(M522)</f>
        <v>25</v>
      </c>
      <c r="P522" s="14" t="n">
        <f aca="false">IF(N522=0,"",(N522-LEN(SUBSTITUTE(SUBSTITUTE(L522,"G",""),"C","")))/N522)</f>
        <v>0.48</v>
      </c>
      <c r="Q522" s="14" t="n">
        <f aca="false">IF(O522=0,"",(O522-LEN(SUBSTITUTE(SUBSTITUTE(M522,"G",""),"C","")))/O522)</f>
        <v>0.52</v>
      </c>
      <c r="R522" s="5" t="s">
        <v>596</v>
      </c>
      <c r="S522" s="15" t="s">
        <v>1677</v>
      </c>
      <c r="T522" s="5" t="n">
        <v>146</v>
      </c>
      <c r="U522" s="5" t="s">
        <v>1678</v>
      </c>
      <c r="V522" s="5" t="s">
        <v>588</v>
      </c>
      <c r="W522" s="5"/>
      <c r="X522" s="15" t="s">
        <v>1677</v>
      </c>
      <c r="Y522" s="5"/>
    </row>
    <row r="523" customFormat="false" ht="15" hidden="false" customHeight="false" outlineLevel="0" collapsed="false">
      <c r="A523" s="5" t="s">
        <v>6191</v>
      </c>
      <c r="B523" s="5" t="s">
        <v>591</v>
      </c>
      <c r="C523" s="5" t="s">
        <v>592</v>
      </c>
      <c r="D523" s="9" t="s">
        <v>66</v>
      </c>
      <c r="E523" s="5" t="n">
        <v>2</v>
      </c>
      <c r="F523" s="5" t="s">
        <v>6192</v>
      </c>
      <c r="G523" s="13" t="s">
        <v>6193</v>
      </c>
      <c r="H523" s="5" t="s">
        <v>6194</v>
      </c>
      <c r="I523" s="13" t="s">
        <v>6195</v>
      </c>
      <c r="J523" s="5" t="s">
        <v>6196</v>
      </c>
      <c r="K523" s="5" t="s">
        <v>6197</v>
      </c>
      <c r="L523" s="13" t="s">
        <v>6198</v>
      </c>
      <c r="M523" s="13" t="s">
        <v>6199</v>
      </c>
      <c r="N523" s="5" t="n">
        <f aca="false">LEN(L523)</f>
        <v>25</v>
      </c>
      <c r="O523" s="5" t="n">
        <f aca="false">LEN(M523)</f>
        <v>25</v>
      </c>
      <c r="P523" s="14" t="n">
        <f aca="false">IF(N523=0,"",(N523-LEN(SUBSTITUTE(SUBSTITUTE(L523,"G",""),"C","")))/N523)</f>
        <v>0.68</v>
      </c>
      <c r="Q523" s="14" t="n">
        <f aca="false">IF(O523=0,"",(O523-LEN(SUBSTITUTE(SUBSTITUTE(M523,"G",""),"C","")))/O523)</f>
        <v>0.56</v>
      </c>
      <c r="R523" s="5" t="s">
        <v>596</v>
      </c>
      <c r="S523" s="15" t="s">
        <v>1677</v>
      </c>
      <c r="T523" s="5" t="n">
        <v>216</v>
      </c>
      <c r="U523" s="5" t="s">
        <v>1678</v>
      </c>
      <c r="V523" s="5" t="s">
        <v>588</v>
      </c>
      <c r="W523" s="5"/>
      <c r="X523" s="15" t="s">
        <v>1677</v>
      </c>
      <c r="Y523" s="5"/>
    </row>
    <row r="524" customFormat="false" ht="15" hidden="false" customHeight="false" outlineLevel="0" collapsed="false">
      <c r="A524" s="5" t="s">
        <v>6200</v>
      </c>
      <c r="B524" s="5" t="s">
        <v>591</v>
      </c>
      <c r="C524" s="5" t="s">
        <v>592</v>
      </c>
      <c r="D524" s="9" t="s">
        <v>66</v>
      </c>
      <c r="E524" s="5" t="n">
        <v>3</v>
      </c>
      <c r="F524" s="5" t="s">
        <v>6201</v>
      </c>
      <c r="G524" s="13" t="s">
        <v>6202</v>
      </c>
      <c r="H524" s="5" t="s">
        <v>6203</v>
      </c>
      <c r="I524" s="13" t="s">
        <v>6204</v>
      </c>
      <c r="J524" s="5" t="s">
        <v>6205</v>
      </c>
      <c r="K524" s="5" t="s">
        <v>6206</v>
      </c>
      <c r="L524" s="13" t="s">
        <v>6207</v>
      </c>
      <c r="M524" s="13" t="s">
        <v>6208</v>
      </c>
      <c r="N524" s="5" t="n">
        <f aca="false">LEN(L524)</f>
        <v>25</v>
      </c>
      <c r="O524" s="5" t="n">
        <f aca="false">LEN(M524)</f>
        <v>25</v>
      </c>
      <c r="P524" s="14" t="n">
        <f aca="false">IF(N524=0,"",(N524-LEN(SUBSTITUTE(SUBSTITUTE(L524,"G",""),"C","")))/N524)</f>
        <v>0.56</v>
      </c>
      <c r="Q524" s="14" t="n">
        <f aca="false">IF(O524=0,"",(O524-LEN(SUBSTITUTE(SUBSTITUTE(M524,"G",""),"C","")))/O524)</f>
        <v>0.72</v>
      </c>
      <c r="R524" s="5" t="s">
        <v>596</v>
      </c>
      <c r="S524" s="15" t="s">
        <v>1677</v>
      </c>
      <c r="T524" s="5" t="n">
        <v>286</v>
      </c>
      <c r="U524" s="5" t="s">
        <v>1678</v>
      </c>
      <c r="V524" s="5" t="s">
        <v>588</v>
      </c>
      <c r="W524" s="5"/>
      <c r="X524" s="15" t="s">
        <v>1677</v>
      </c>
      <c r="Y524" s="5"/>
    </row>
    <row r="525" customFormat="false" ht="15" hidden="false" customHeight="false" outlineLevel="0" collapsed="false">
      <c r="A525" s="5" t="s">
        <v>6209</v>
      </c>
      <c r="B525" s="5" t="s">
        <v>591</v>
      </c>
      <c r="C525" s="5" t="s">
        <v>592</v>
      </c>
      <c r="D525" s="9" t="s">
        <v>66</v>
      </c>
      <c r="E525" s="5" t="n">
        <v>4</v>
      </c>
      <c r="F525" s="5" t="s">
        <v>6210</v>
      </c>
      <c r="G525" s="13" t="s">
        <v>6211</v>
      </c>
      <c r="H525" s="5" t="s">
        <v>6212</v>
      </c>
      <c r="I525" s="13" t="s">
        <v>6213</v>
      </c>
      <c r="J525" s="5" t="s">
        <v>6214</v>
      </c>
      <c r="K525" s="5" t="s">
        <v>6215</v>
      </c>
      <c r="L525" s="13" t="s">
        <v>6216</v>
      </c>
      <c r="M525" s="13" t="s">
        <v>6217</v>
      </c>
      <c r="N525" s="5" t="n">
        <f aca="false">LEN(L525)</f>
        <v>25</v>
      </c>
      <c r="O525" s="5" t="n">
        <f aca="false">LEN(M525)</f>
        <v>25</v>
      </c>
      <c r="P525" s="14" t="n">
        <f aca="false">IF(N525=0,"",(N525-LEN(SUBSTITUTE(SUBSTITUTE(L525,"G",""),"C","")))/N525)</f>
        <v>0.44</v>
      </c>
      <c r="Q525" s="14" t="n">
        <f aca="false">IF(O525=0,"",(O525-LEN(SUBSTITUTE(SUBSTITUTE(M525,"G",""),"C","")))/O525)</f>
        <v>0.6</v>
      </c>
      <c r="R525" s="5" t="s">
        <v>596</v>
      </c>
      <c r="S525" s="15" t="s">
        <v>1677</v>
      </c>
      <c r="T525" s="5" t="n">
        <v>356</v>
      </c>
      <c r="U525" s="5" t="s">
        <v>1678</v>
      </c>
      <c r="V525" s="5" t="s">
        <v>588</v>
      </c>
      <c r="W525" s="5"/>
      <c r="X525" s="15" t="s">
        <v>1677</v>
      </c>
      <c r="Y525" s="5"/>
    </row>
    <row r="526" customFormat="false" ht="15" hidden="false" customHeight="false" outlineLevel="0" collapsed="false">
      <c r="A526" s="5" t="s">
        <v>6218</v>
      </c>
      <c r="B526" s="5" t="s">
        <v>591</v>
      </c>
      <c r="C526" s="5" t="s">
        <v>592</v>
      </c>
      <c r="D526" s="9" t="s">
        <v>66</v>
      </c>
      <c r="E526" s="5" t="n">
        <v>5</v>
      </c>
      <c r="F526" s="5" t="s">
        <v>6219</v>
      </c>
      <c r="G526" s="13" t="s">
        <v>6220</v>
      </c>
      <c r="H526" s="5" t="s">
        <v>6221</v>
      </c>
      <c r="I526" s="13" t="s">
        <v>6222</v>
      </c>
      <c r="J526" s="5" t="s">
        <v>6223</v>
      </c>
      <c r="K526" s="5" t="s">
        <v>6224</v>
      </c>
      <c r="L526" s="13" t="s">
        <v>6225</v>
      </c>
      <c r="M526" s="13" t="s">
        <v>6226</v>
      </c>
      <c r="N526" s="5" t="n">
        <f aca="false">LEN(L526)</f>
        <v>25</v>
      </c>
      <c r="O526" s="5" t="n">
        <f aca="false">LEN(M526)</f>
        <v>25</v>
      </c>
      <c r="P526" s="14" t="n">
        <f aca="false">IF(N526=0,"",(N526-LEN(SUBSTITUTE(SUBSTITUTE(L526,"G",""),"C","")))/N526)</f>
        <v>0.56</v>
      </c>
      <c r="Q526" s="14" t="n">
        <f aca="false">IF(O526=0,"",(O526-LEN(SUBSTITUTE(SUBSTITUTE(M526,"G",""),"C","")))/O526)</f>
        <v>0.72</v>
      </c>
      <c r="R526" s="5" t="s">
        <v>596</v>
      </c>
      <c r="S526" s="15" t="s">
        <v>1677</v>
      </c>
      <c r="T526" s="5" t="n">
        <v>426</v>
      </c>
      <c r="U526" s="5" t="s">
        <v>1678</v>
      </c>
      <c r="V526" s="5" t="s">
        <v>588</v>
      </c>
      <c r="W526" s="5"/>
      <c r="X526" s="15" t="s">
        <v>1677</v>
      </c>
      <c r="Y526" s="5"/>
    </row>
    <row r="527" customFormat="false" ht="15" hidden="false" customHeight="false" outlineLevel="0" collapsed="false">
      <c r="A527" s="5" t="s">
        <v>6227</v>
      </c>
      <c r="B527" s="5" t="s">
        <v>591</v>
      </c>
      <c r="C527" s="5" t="s">
        <v>592</v>
      </c>
      <c r="D527" s="9" t="s">
        <v>66</v>
      </c>
      <c r="E527" s="5" t="n">
        <v>6</v>
      </c>
      <c r="F527" s="5" t="s">
        <v>6228</v>
      </c>
      <c r="G527" s="13" t="s">
        <v>6229</v>
      </c>
      <c r="H527" s="5" t="s">
        <v>6230</v>
      </c>
      <c r="I527" s="13" t="s">
        <v>6231</v>
      </c>
      <c r="J527" s="5" t="s">
        <v>6232</v>
      </c>
      <c r="K527" s="5" t="s">
        <v>6233</v>
      </c>
      <c r="L527" s="13" t="s">
        <v>6234</v>
      </c>
      <c r="M527" s="13" t="s">
        <v>6235</v>
      </c>
      <c r="N527" s="5" t="n">
        <f aca="false">LEN(L527)</f>
        <v>25</v>
      </c>
      <c r="O527" s="5" t="n">
        <f aca="false">LEN(M527)</f>
        <v>25</v>
      </c>
      <c r="P527" s="14" t="n">
        <f aca="false">IF(N527=0,"",(N527-LEN(SUBSTITUTE(SUBSTITUTE(L527,"G",""),"C","")))/N527)</f>
        <v>0.56</v>
      </c>
      <c r="Q527" s="14" t="n">
        <f aca="false">IF(O527=0,"",(O527-LEN(SUBSTITUTE(SUBSTITUTE(M527,"G",""),"C","")))/O527)</f>
        <v>0.8</v>
      </c>
      <c r="R527" s="5" t="s">
        <v>596</v>
      </c>
      <c r="S527" s="15" t="s">
        <v>1677</v>
      </c>
      <c r="T527" s="5" t="n">
        <v>496</v>
      </c>
      <c r="U527" s="5" t="s">
        <v>1678</v>
      </c>
      <c r="V527" s="5" t="s">
        <v>588</v>
      </c>
      <c r="W527" s="5"/>
      <c r="X527" s="15" t="s">
        <v>1677</v>
      </c>
      <c r="Y527" s="5"/>
    </row>
    <row r="528" customFormat="false" ht="15" hidden="false" customHeight="false" outlineLevel="0" collapsed="false">
      <c r="A528" s="5" t="s">
        <v>6236</v>
      </c>
      <c r="B528" s="5" t="s">
        <v>599</v>
      </c>
      <c r="C528" s="5" t="s">
        <v>600</v>
      </c>
      <c r="D528" s="9" t="s">
        <v>66</v>
      </c>
      <c r="E528" s="5" t="n">
        <v>1</v>
      </c>
      <c r="F528" s="5" t="s">
        <v>6237</v>
      </c>
      <c r="G528" s="13" t="s">
        <v>6238</v>
      </c>
      <c r="H528" s="5" t="s">
        <v>6239</v>
      </c>
      <c r="I528" s="13" t="s">
        <v>6240</v>
      </c>
      <c r="J528" s="5" t="s">
        <v>6241</v>
      </c>
      <c r="K528" s="5" t="s">
        <v>6242</v>
      </c>
      <c r="L528" s="13" t="s">
        <v>6243</v>
      </c>
      <c r="M528" s="13" t="s">
        <v>6244</v>
      </c>
      <c r="N528" s="5" t="n">
        <f aca="false">LEN(L528)</f>
        <v>25</v>
      </c>
      <c r="O528" s="5" t="n">
        <f aca="false">LEN(M528)</f>
        <v>25</v>
      </c>
      <c r="P528" s="14" t="n">
        <f aca="false">IF(N528=0,"",(N528-LEN(SUBSTITUTE(SUBSTITUTE(L528,"G",""),"C","")))/N528)</f>
        <v>0.44</v>
      </c>
      <c r="Q528" s="14" t="n">
        <f aca="false">IF(O528=0,"",(O528-LEN(SUBSTITUTE(SUBSTITUTE(M528,"G",""),"C","")))/O528)</f>
        <v>0.4</v>
      </c>
      <c r="R528" s="5" t="s">
        <v>604</v>
      </c>
      <c r="S528" s="15" t="s">
        <v>1677</v>
      </c>
      <c r="T528" s="5" t="n">
        <v>146</v>
      </c>
      <c r="U528" s="5" t="s">
        <v>1678</v>
      </c>
      <c r="V528" s="5" t="s">
        <v>154</v>
      </c>
      <c r="W528" s="5"/>
      <c r="X528" s="15" t="s">
        <v>1677</v>
      </c>
      <c r="Y528" s="5"/>
    </row>
    <row r="529" customFormat="false" ht="15" hidden="false" customHeight="false" outlineLevel="0" collapsed="false">
      <c r="A529" s="5" t="s">
        <v>6245</v>
      </c>
      <c r="B529" s="5" t="s">
        <v>599</v>
      </c>
      <c r="C529" s="5" t="s">
        <v>600</v>
      </c>
      <c r="D529" s="9" t="s">
        <v>66</v>
      </c>
      <c r="E529" s="5" t="n">
        <v>2</v>
      </c>
      <c r="F529" s="5" t="s">
        <v>6246</v>
      </c>
      <c r="G529" s="13" t="s">
        <v>6247</v>
      </c>
      <c r="H529" s="5" t="s">
        <v>6248</v>
      </c>
      <c r="I529" s="13" t="s">
        <v>6249</v>
      </c>
      <c r="J529" s="5" t="s">
        <v>6250</v>
      </c>
      <c r="K529" s="5" t="s">
        <v>6251</v>
      </c>
      <c r="L529" s="13" t="s">
        <v>6252</v>
      </c>
      <c r="M529" s="13" t="s">
        <v>6253</v>
      </c>
      <c r="N529" s="5" t="n">
        <f aca="false">LEN(L529)</f>
        <v>25</v>
      </c>
      <c r="O529" s="5" t="n">
        <f aca="false">LEN(M529)</f>
        <v>25</v>
      </c>
      <c r="P529" s="14" t="n">
        <f aca="false">IF(N529=0,"",(N529-LEN(SUBSTITUTE(SUBSTITUTE(L529,"G",""),"C","")))/N529)</f>
        <v>0.44</v>
      </c>
      <c r="Q529" s="14" t="n">
        <f aca="false">IF(O529=0,"",(O529-LEN(SUBSTITUTE(SUBSTITUTE(M529,"G",""),"C","")))/O529)</f>
        <v>0.4</v>
      </c>
      <c r="R529" s="5" t="s">
        <v>604</v>
      </c>
      <c r="S529" s="15" t="s">
        <v>1677</v>
      </c>
      <c r="T529" s="5" t="n">
        <v>216</v>
      </c>
      <c r="U529" s="5" t="s">
        <v>1678</v>
      </c>
      <c r="V529" s="5" t="s">
        <v>154</v>
      </c>
      <c r="W529" s="5"/>
      <c r="X529" s="15" t="s">
        <v>1677</v>
      </c>
      <c r="Y529" s="5"/>
    </row>
    <row r="530" customFormat="false" ht="15" hidden="false" customHeight="false" outlineLevel="0" collapsed="false">
      <c r="A530" s="5" t="s">
        <v>6254</v>
      </c>
      <c r="B530" s="5" t="s">
        <v>599</v>
      </c>
      <c r="C530" s="5" t="s">
        <v>600</v>
      </c>
      <c r="D530" s="9" t="s">
        <v>66</v>
      </c>
      <c r="E530" s="5" t="n">
        <v>3</v>
      </c>
      <c r="F530" s="5" t="s">
        <v>6255</v>
      </c>
      <c r="G530" s="13" t="s">
        <v>6256</v>
      </c>
      <c r="H530" s="5" t="s">
        <v>6257</v>
      </c>
      <c r="I530" s="13" t="s">
        <v>6258</v>
      </c>
      <c r="J530" s="5" t="s">
        <v>6259</v>
      </c>
      <c r="K530" s="5" t="s">
        <v>6260</v>
      </c>
      <c r="L530" s="13" t="s">
        <v>6261</v>
      </c>
      <c r="M530" s="13" t="s">
        <v>6262</v>
      </c>
      <c r="N530" s="5" t="n">
        <f aca="false">LEN(L530)</f>
        <v>25</v>
      </c>
      <c r="O530" s="5" t="n">
        <f aca="false">LEN(M530)</f>
        <v>25</v>
      </c>
      <c r="P530" s="14" t="n">
        <f aca="false">IF(N530=0,"",(N530-LEN(SUBSTITUTE(SUBSTITUTE(L530,"G",""),"C","")))/N530)</f>
        <v>0.44</v>
      </c>
      <c r="Q530" s="14" t="n">
        <f aca="false">IF(O530=0,"",(O530-LEN(SUBSTITUTE(SUBSTITUTE(M530,"G",""),"C","")))/O530)</f>
        <v>0.56</v>
      </c>
      <c r="R530" s="5" t="s">
        <v>604</v>
      </c>
      <c r="S530" s="15" t="s">
        <v>1677</v>
      </c>
      <c r="T530" s="5" t="n">
        <v>286</v>
      </c>
      <c r="U530" s="5" t="s">
        <v>1678</v>
      </c>
      <c r="V530" s="5" t="s">
        <v>154</v>
      </c>
      <c r="W530" s="5"/>
      <c r="X530" s="15" t="s">
        <v>1677</v>
      </c>
      <c r="Y530" s="5"/>
    </row>
    <row r="531" customFormat="false" ht="15" hidden="false" customHeight="false" outlineLevel="0" collapsed="false">
      <c r="A531" s="5" t="s">
        <v>6263</v>
      </c>
      <c r="B531" s="5" t="s">
        <v>599</v>
      </c>
      <c r="C531" s="5" t="s">
        <v>600</v>
      </c>
      <c r="D531" s="9" t="s">
        <v>66</v>
      </c>
      <c r="E531" s="5" t="n">
        <v>4</v>
      </c>
      <c r="F531" s="5" t="s">
        <v>6264</v>
      </c>
      <c r="G531" s="13" t="s">
        <v>6265</v>
      </c>
      <c r="H531" s="5" t="s">
        <v>6266</v>
      </c>
      <c r="I531" s="13" t="s">
        <v>6267</v>
      </c>
      <c r="J531" s="5" t="s">
        <v>6268</v>
      </c>
      <c r="K531" s="5" t="s">
        <v>6269</v>
      </c>
      <c r="L531" s="13" t="s">
        <v>6270</v>
      </c>
      <c r="M531" s="13" t="s">
        <v>6271</v>
      </c>
      <c r="N531" s="5" t="n">
        <f aca="false">LEN(L531)</f>
        <v>25</v>
      </c>
      <c r="O531" s="5" t="n">
        <f aca="false">LEN(M531)</f>
        <v>25</v>
      </c>
      <c r="P531" s="14" t="n">
        <f aca="false">IF(N531=0,"",(N531-LEN(SUBSTITUTE(SUBSTITUTE(L531,"G",""),"C","")))/N531)</f>
        <v>0.52</v>
      </c>
      <c r="Q531" s="14" t="n">
        <f aca="false">IF(O531=0,"",(O531-LEN(SUBSTITUTE(SUBSTITUTE(M531,"G",""),"C","")))/O531)</f>
        <v>0.36</v>
      </c>
      <c r="R531" s="5" t="s">
        <v>604</v>
      </c>
      <c r="S531" s="15" t="s">
        <v>1677</v>
      </c>
      <c r="T531" s="5" t="n">
        <v>356</v>
      </c>
      <c r="U531" s="5" t="s">
        <v>1678</v>
      </c>
      <c r="V531" s="5" t="s">
        <v>154</v>
      </c>
      <c r="W531" s="5"/>
      <c r="X531" s="15" t="s">
        <v>1677</v>
      </c>
      <c r="Y531" s="5"/>
    </row>
    <row r="532" customFormat="false" ht="15" hidden="false" customHeight="false" outlineLevel="0" collapsed="false">
      <c r="A532" s="5" t="s">
        <v>6272</v>
      </c>
      <c r="B532" s="5" t="s">
        <v>599</v>
      </c>
      <c r="C532" s="5" t="s">
        <v>600</v>
      </c>
      <c r="D532" s="9" t="s">
        <v>66</v>
      </c>
      <c r="E532" s="5" t="n">
        <v>5</v>
      </c>
      <c r="F532" s="5" t="s">
        <v>6273</v>
      </c>
      <c r="G532" s="13" t="s">
        <v>6274</v>
      </c>
      <c r="H532" s="5" t="s">
        <v>6275</v>
      </c>
      <c r="I532" s="13" t="s">
        <v>6276</v>
      </c>
      <c r="J532" s="5" t="s">
        <v>6277</v>
      </c>
      <c r="K532" s="5" t="s">
        <v>6278</v>
      </c>
      <c r="L532" s="13" t="s">
        <v>6279</v>
      </c>
      <c r="M532" s="13" t="s">
        <v>6280</v>
      </c>
      <c r="N532" s="5" t="n">
        <f aca="false">LEN(L532)</f>
        <v>25</v>
      </c>
      <c r="O532" s="5" t="n">
        <f aca="false">LEN(M532)</f>
        <v>25</v>
      </c>
      <c r="P532" s="14" t="n">
        <f aca="false">IF(N532=0,"",(N532-LEN(SUBSTITUTE(SUBSTITUTE(L532,"G",""),"C","")))/N532)</f>
        <v>0.4</v>
      </c>
      <c r="Q532" s="14" t="n">
        <f aca="false">IF(O532=0,"",(O532-LEN(SUBSTITUTE(SUBSTITUTE(M532,"G",""),"C","")))/O532)</f>
        <v>0.44</v>
      </c>
      <c r="R532" s="5" t="s">
        <v>604</v>
      </c>
      <c r="S532" s="15" t="s">
        <v>1677</v>
      </c>
      <c r="T532" s="5" t="n">
        <v>426</v>
      </c>
      <c r="U532" s="5" t="s">
        <v>1678</v>
      </c>
      <c r="V532" s="5" t="s">
        <v>154</v>
      </c>
      <c r="W532" s="5"/>
      <c r="X532" s="15" t="s">
        <v>1677</v>
      </c>
      <c r="Y532" s="5"/>
    </row>
    <row r="533" customFormat="false" ht="15" hidden="false" customHeight="false" outlineLevel="0" collapsed="false">
      <c r="A533" s="5" t="s">
        <v>6281</v>
      </c>
      <c r="B533" s="5" t="s">
        <v>599</v>
      </c>
      <c r="C533" s="5" t="s">
        <v>600</v>
      </c>
      <c r="D533" s="9" t="s">
        <v>66</v>
      </c>
      <c r="E533" s="5" t="n">
        <v>6</v>
      </c>
      <c r="F533" s="5" t="s">
        <v>6282</v>
      </c>
      <c r="G533" s="13" t="s">
        <v>6283</v>
      </c>
      <c r="H533" s="5" t="s">
        <v>6284</v>
      </c>
      <c r="I533" s="13" t="s">
        <v>6285</v>
      </c>
      <c r="J533" s="5" t="s">
        <v>6286</v>
      </c>
      <c r="K533" s="5" t="s">
        <v>6287</v>
      </c>
      <c r="L533" s="13" t="s">
        <v>6288</v>
      </c>
      <c r="M533" s="13" t="s">
        <v>6289</v>
      </c>
      <c r="N533" s="5" t="n">
        <f aca="false">LEN(L533)</f>
        <v>25</v>
      </c>
      <c r="O533" s="5" t="n">
        <f aca="false">LEN(M533)</f>
        <v>25</v>
      </c>
      <c r="P533" s="14" t="n">
        <f aca="false">IF(N533=0,"",(N533-LEN(SUBSTITUTE(SUBSTITUTE(L533,"G",""),"C","")))/N533)</f>
        <v>0.48</v>
      </c>
      <c r="Q533" s="14" t="n">
        <f aca="false">IF(O533=0,"",(O533-LEN(SUBSTITUTE(SUBSTITUTE(M533,"G",""),"C","")))/O533)</f>
        <v>0.52</v>
      </c>
      <c r="R533" s="5" t="s">
        <v>604</v>
      </c>
      <c r="S533" s="15" t="s">
        <v>1677</v>
      </c>
      <c r="T533" s="5" t="n">
        <v>496</v>
      </c>
      <c r="U533" s="5" t="s">
        <v>1678</v>
      </c>
      <c r="V533" s="5" t="s">
        <v>154</v>
      </c>
      <c r="W533" s="5"/>
      <c r="X533" s="15" t="s">
        <v>1677</v>
      </c>
      <c r="Y533" s="5"/>
    </row>
    <row r="534" customFormat="false" ht="15" hidden="false" customHeight="false" outlineLevel="0" collapsed="false">
      <c r="A534" s="5" t="s">
        <v>6290</v>
      </c>
      <c r="B534" s="5" t="s">
        <v>607</v>
      </c>
      <c r="C534" s="5" t="s">
        <v>62</v>
      </c>
      <c r="D534" s="9" t="s">
        <v>66</v>
      </c>
      <c r="E534" s="5" t="n">
        <v>1</v>
      </c>
      <c r="F534" s="5" t="s">
        <v>6291</v>
      </c>
      <c r="G534" s="13" t="s">
        <v>6292</v>
      </c>
      <c r="H534" s="5" t="s">
        <v>6293</v>
      </c>
      <c r="I534" s="13" t="s">
        <v>6294</v>
      </c>
      <c r="J534" s="5" t="s">
        <v>6076</v>
      </c>
      <c r="K534" s="5" t="s">
        <v>6076</v>
      </c>
      <c r="L534" s="13" t="s">
        <v>6295</v>
      </c>
      <c r="M534" s="13" t="s">
        <v>6296</v>
      </c>
      <c r="N534" s="5" t="n">
        <f aca="false">LEN(L534)</f>
        <v>25</v>
      </c>
      <c r="O534" s="5" t="n">
        <f aca="false">LEN(M534)</f>
        <v>25</v>
      </c>
      <c r="P534" s="14" t="n">
        <f aca="false">IF(N534=0,"",(N534-LEN(SUBSTITUTE(SUBSTITUTE(L534,"G",""),"C","")))/N534)</f>
        <v>0.72</v>
      </c>
      <c r="Q534" s="14" t="n">
        <f aca="false">IF(O534=0,"",(O534-LEN(SUBSTITUTE(SUBSTITUTE(M534,"G",""),"C","")))/O534)</f>
        <v>0.64</v>
      </c>
      <c r="R534" s="5" t="s">
        <v>67</v>
      </c>
      <c r="S534" s="15" t="s">
        <v>1677</v>
      </c>
      <c r="T534" s="5" t="n">
        <v>68</v>
      </c>
      <c r="U534" s="5" t="s">
        <v>1678</v>
      </c>
      <c r="V534" s="5" t="s">
        <v>580</v>
      </c>
      <c r="W534" s="5" t="s">
        <v>580</v>
      </c>
      <c r="X534" s="15" t="s">
        <v>1677</v>
      </c>
      <c r="Y534" s="5"/>
    </row>
    <row r="535" customFormat="false" ht="15" hidden="false" customHeight="false" outlineLevel="0" collapsed="false">
      <c r="A535" s="5" t="s">
        <v>6297</v>
      </c>
      <c r="B535" s="5" t="s">
        <v>607</v>
      </c>
      <c r="C535" s="5" t="s">
        <v>62</v>
      </c>
      <c r="D535" s="9" t="s">
        <v>66</v>
      </c>
      <c r="E535" s="5" t="n">
        <v>2</v>
      </c>
      <c r="F535" s="5" t="s">
        <v>6298</v>
      </c>
      <c r="G535" s="13" t="s">
        <v>6299</v>
      </c>
      <c r="H535" s="5" t="s">
        <v>6300</v>
      </c>
      <c r="I535" s="13" t="s">
        <v>6301</v>
      </c>
      <c r="J535" s="5" t="s">
        <v>6076</v>
      </c>
      <c r="K535" s="5" t="s">
        <v>6076</v>
      </c>
      <c r="L535" s="13" t="s">
        <v>6302</v>
      </c>
      <c r="M535" s="13" t="s">
        <v>6303</v>
      </c>
      <c r="N535" s="5" t="n">
        <f aca="false">LEN(L535)</f>
        <v>25</v>
      </c>
      <c r="O535" s="5" t="n">
        <f aca="false">LEN(M535)</f>
        <v>25</v>
      </c>
      <c r="P535" s="14" t="n">
        <f aca="false">IF(N535=0,"",(N535-LEN(SUBSTITUTE(SUBSTITUTE(L535,"G",""),"C","")))/N535)</f>
        <v>0.4</v>
      </c>
      <c r="Q535" s="14" t="n">
        <f aca="false">IF(O535=0,"",(O535-LEN(SUBSTITUTE(SUBSTITUTE(M535,"G",""),"C","")))/O535)</f>
        <v>0.4</v>
      </c>
      <c r="R535" s="5" t="s">
        <v>67</v>
      </c>
      <c r="S535" s="15" t="s">
        <v>1677</v>
      </c>
      <c r="T535" s="5" t="n">
        <v>160</v>
      </c>
      <c r="U535" s="5" t="s">
        <v>1678</v>
      </c>
      <c r="V535" s="5" t="s">
        <v>580</v>
      </c>
      <c r="W535" s="5" t="s">
        <v>580</v>
      </c>
      <c r="X535" s="15" t="s">
        <v>1677</v>
      </c>
      <c r="Y535" s="5"/>
    </row>
    <row r="536" customFormat="false" ht="15" hidden="false" customHeight="false" outlineLevel="0" collapsed="false">
      <c r="A536" s="5" t="s">
        <v>6304</v>
      </c>
      <c r="B536" s="5" t="s">
        <v>607</v>
      </c>
      <c r="C536" s="5" t="s">
        <v>62</v>
      </c>
      <c r="D536" s="9" t="s">
        <v>66</v>
      </c>
      <c r="E536" s="5" t="n">
        <v>3</v>
      </c>
      <c r="F536" s="5" t="s">
        <v>6305</v>
      </c>
      <c r="G536" s="13" t="s">
        <v>6306</v>
      </c>
      <c r="H536" s="5" t="s">
        <v>6307</v>
      </c>
      <c r="I536" s="13" t="s">
        <v>6308</v>
      </c>
      <c r="J536" s="5" t="s">
        <v>6076</v>
      </c>
      <c r="K536" s="5" t="s">
        <v>6076</v>
      </c>
      <c r="L536" s="13" t="s">
        <v>6309</v>
      </c>
      <c r="M536" s="13" t="s">
        <v>6310</v>
      </c>
      <c r="N536" s="5" t="n">
        <f aca="false">LEN(L536)</f>
        <v>25</v>
      </c>
      <c r="O536" s="5" t="n">
        <f aca="false">LEN(M536)</f>
        <v>25</v>
      </c>
      <c r="P536" s="14" t="n">
        <f aca="false">IF(N536=0,"",(N536-LEN(SUBSTITUTE(SUBSTITUTE(L536,"G",""),"C","")))/N536)</f>
        <v>0.4</v>
      </c>
      <c r="Q536" s="14" t="n">
        <f aca="false">IF(O536=0,"",(O536-LEN(SUBSTITUTE(SUBSTITUTE(M536,"G",""),"C","")))/O536)</f>
        <v>0.68</v>
      </c>
      <c r="R536" s="5" t="s">
        <v>67</v>
      </c>
      <c r="S536" s="15" t="s">
        <v>1677</v>
      </c>
      <c r="T536" s="5" t="n">
        <v>250</v>
      </c>
      <c r="U536" s="5" t="s">
        <v>1678</v>
      </c>
      <c r="V536" s="5" t="s">
        <v>580</v>
      </c>
      <c r="W536" s="5" t="s">
        <v>580</v>
      </c>
      <c r="X536" s="15" t="s">
        <v>1677</v>
      </c>
      <c r="Y536" s="5"/>
    </row>
    <row r="537" customFormat="false" ht="15" hidden="false" customHeight="false" outlineLevel="0" collapsed="false">
      <c r="A537" s="5" t="s">
        <v>6311</v>
      </c>
      <c r="B537" s="5" t="s">
        <v>607</v>
      </c>
      <c r="C537" s="5" t="s">
        <v>62</v>
      </c>
      <c r="D537" s="9" t="s">
        <v>66</v>
      </c>
      <c r="E537" s="5" t="n">
        <v>4</v>
      </c>
      <c r="F537" s="5" t="s">
        <v>6312</v>
      </c>
      <c r="G537" s="13" t="s">
        <v>6313</v>
      </c>
      <c r="H537" s="5" t="s">
        <v>6314</v>
      </c>
      <c r="I537" s="13" t="s">
        <v>6315</v>
      </c>
      <c r="J537" s="5" t="s">
        <v>6076</v>
      </c>
      <c r="K537" s="5" t="s">
        <v>6076</v>
      </c>
      <c r="L537" s="13" t="s">
        <v>6316</v>
      </c>
      <c r="M537" s="13" t="s">
        <v>6317</v>
      </c>
      <c r="N537" s="5" t="n">
        <f aca="false">LEN(L537)</f>
        <v>25</v>
      </c>
      <c r="O537" s="5" t="n">
        <f aca="false">LEN(M537)</f>
        <v>25</v>
      </c>
      <c r="P537" s="14" t="n">
        <f aca="false">IF(N537=0,"",(N537-LEN(SUBSTITUTE(SUBSTITUTE(L537,"G",""),"C","")))/N537)</f>
        <v>0.52</v>
      </c>
      <c r="Q537" s="14" t="n">
        <f aca="false">IF(O537=0,"",(O537-LEN(SUBSTITUTE(SUBSTITUTE(M537,"G",""),"C","")))/O537)</f>
        <v>0.44</v>
      </c>
      <c r="R537" s="5" t="s">
        <v>67</v>
      </c>
      <c r="S537" s="8" t="s">
        <v>1914</v>
      </c>
      <c r="T537" s="5" t="n">
        <v>410</v>
      </c>
      <c r="U537" s="5" t="s">
        <v>4197</v>
      </c>
      <c r="V537" s="5" t="s">
        <v>580</v>
      </c>
      <c r="W537" s="5" t="s">
        <v>580</v>
      </c>
      <c r="X537" s="15" t="s">
        <v>1677</v>
      </c>
      <c r="Y537" s="8" t="s">
        <v>6318</v>
      </c>
    </row>
    <row r="538" customFormat="false" ht="15" hidden="false" customHeight="false" outlineLevel="0" collapsed="false">
      <c r="A538" s="5" t="s">
        <v>6319</v>
      </c>
      <c r="B538" s="5" t="s">
        <v>607</v>
      </c>
      <c r="C538" s="5" t="s">
        <v>62</v>
      </c>
      <c r="D538" s="9" t="s">
        <v>66</v>
      </c>
      <c r="E538" s="5" t="n">
        <v>5</v>
      </c>
      <c r="F538" s="5" t="s">
        <v>6320</v>
      </c>
      <c r="G538" s="13" t="s">
        <v>6321</v>
      </c>
      <c r="H538" s="5" t="s">
        <v>6322</v>
      </c>
      <c r="I538" s="13" t="s">
        <v>6323</v>
      </c>
      <c r="J538" s="5" t="s">
        <v>6076</v>
      </c>
      <c r="K538" s="5" t="s">
        <v>6076</v>
      </c>
      <c r="L538" s="13" t="s">
        <v>6324</v>
      </c>
      <c r="M538" s="13" t="s">
        <v>6325</v>
      </c>
      <c r="N538" s="5" t="n">
        <f aca="false">LEN(L538)</f>
        <v>25</v>
      </c>
      <c r="O538" s="5" t="n">
        <f aca="false">LEN(M538)</f>
        <v>25</v>
      </c>
      <c r="P538" s="14" t="n">
        <f aca="false">IF(N538=0,"",(N538-LEN(SUBSTITUTE(SUBSTITUTE(L538,"G",""),"C","")))/N538)</f>
        <v>0.4</v>
      </c>
      <c r="Q538" s="14" t="n">
        <f aca="false">IF(O538=0,"",(O538-LEN(SUBSTITUTE(SUBSTITUTE(M538,"G",""),"C","")))/O538)</f>
        <v>0.44</v>
      </c>
      <c r="R538" s="5" t="s">
        <v>67</v>
      </c>
      <c r="S538" s="8" t="s">
        <v>1914</v>
      </c>
      <c r="T538" s="5" t="n">
        <v>496</v>
      </c>
      <c r="U538" s="5" t="s">
        <v>4197</v>
      </c>
      <c r="V538" s="5" t="s">
        <v>580</v>
      </c>
      <c r="W538" s="5" t="s">
        <v>580</v>
      </c>
      <c r="X538" s="15" t="s">
        <v>1677</v>
      </c>
      <c r="Y538" s="8" t="s">
        <v>6318</v>
      </c>
    </row>
    <row r="539" customFormat="false" ht="15" hidden="false" customHeight="false" outlineLevel="0" collapsed="false">
      <c r="A539" s="5" t="s">
        <v>6326</v>
      </c>
      <c r="B539" s="5" t="s">
        <v>607</v>
      </c>
      <c r="C539" s="5" t="s">
        <v>62</v>
      </c>
      <c r="D539" s="9" t="s">
        <v>66</v>
      </c>
      <c r="E539" s="5" t="n">
        <v>6</v>
      </c>
      <c r="F539" s="5" t="s">
        <v>6327</v>
      </c>
      <c r="G539" s="13" t="s">
        <v>6328</v>
      </c>
      <c r="H539" s="5" t="s">
        <v>6329</v>
      </c>
      <c r="I539" s="13" t="s">
        <v>6330</v>
      </c>
      <c r="J539" s="5" t="s">
        <v>6076</v>
      </c>
      <c r="K539" s="5" t="s">
        <v>6076</v>
      </c>
      <c r="L539" s="13" t="s">
        <v>6331</v>
      </c>
      <c r="M539" s="13" t="s">
        <v>6332</v>
      </c>
      <c r="N539" s="5" t="n">
        <f aca="false">LEN(L539)</f>
        <v>25</v>
      </c>
      <c r="O539" s="5" t="n">
        <f aca="false">LEN(M539)</f>
        <v>25</v>
      </c>
      <c r="P539" s="14" t="n">
        <f aca="false">IF(N539=0,"",(N539-LEN(SUBSTITUTE(SUBSTITUTE(L539,"G",""),"C","")))/N539)</f>
        <v>0.6</v>
      </c>
      <c r="Q539" s="14" t="n">
        <f aca="false">IF(O539=0,"",(O539-LEN(SUBSTITUTE(SUBSTITUTE(M539,"G",""),"C","")))/O539)</f>
        <v>0.6</v>
      </c>
      <c r="R539" s="5" t="s">
        <v>67</v>
      </c>
      <c r="S539" s="8" t="s">
        <v>1769</v>
      </c>
      <c r="T539" s="5" t="n">
        <v>576</v>
      </c>
      <c r="U539" s="5" t="s">
        <v>4197</v>
      </c>
      <c r="V539" s="5" t="s">
        <v>580</v>
      </c>
      <c r="W539" s="5" t="s">
        <v>580</v>
      </c>
      <c r="X539" s="15" t="s">
        <v>1677</v>
      </c>
      <c r="Y539" s="8" t="s">
        <v>3168</v>
      </c>
    </row>
    <row r="540" customFormat="false" ht="15" hidden="false" customHeight="false" outlineLevel="0" collapsed="false">
      <c r="A540" s="5" t="s">
        <v>6333</v>
      </c>
      <c r="B540" s="5" t="s">
        <v>607</v>
      </c>
      <c r="C540" s="5" t="s">
        <v>62</v>
      </c>
      <c r="D540" s="9" t="s">
        <v>66</v>
      </c>
      <c r="E540" s="5" t="n">
        <v>7</v>
      </c>
      <c r="F540" s="5" t="s">
        <v>6334</v>
      </c>
      <c r="G540" s="13" t="s">
        <v>6335</v>
      </c>
      <c r="H540" s="5" t="s">
        <v>6336</v>
      </c>
      <c r="I540" s="13" t="s">
        <v>6337</v>
      </c>
      <c r="J540" s="5" t="s">
        <v>6076</v>
      </c>
      <c r="K540" s="5" t="s">
        <v>6076</v>
      </c>
      <c r="L540" s="13" t="s">
        <v>6338</v>
      </c>
      <c r="M540" s="13" t="s">
        <v>6339</v>
      </c>
      <c r="N540" s="5" t="n">
        <f aca="false">LEN(L540)</f>
        <v>25</v>
      </c>
      <c r="O540" s="5" t="n">
        <f aca="false">LEN(M540)</f>
        <v>25</v>
      </c>
      <c r="P540" s="14" t="n">
        <f aca="false">IF(N540=0,"",(N540-LEN(SUBSTITUTE(SUBSTITUTE(L540,"G",""),"C","")))/N540)</f>
        <v>0.48</v>
      </c>
      <c r="Q540" s="14" t="n">
        <f aca="false">IF(O540=0,"",(O540-LEN(SUBSTITUTE(SUBSTITUTE(M540,"G",""),"C","")))/O540)</f>
        <v>0.48</v>
      </c>
      <c r="R540" s="5" t="s">
        <v>67</v>
      </c>
      <c r="S540" s="8" t="s">
        <v>1769</v>
      </c>
      <c r="T540" s="5" t="n">
        <v>656</v>
      </c>
      <c r="U540" s="5" t="s">
        <v>4197</v>
      </c>
      <c r="V540" s="5" t="s">
        <v>580</v>
      </c>
      <c r="W540" s="5" t="s">
        <v>580</v>
      </c>
      <c r="X540" s="15" t="s">
        <v>1677</v>
      </c>
      <c r="Y540" s="8" t="s">
        <v>3168</v>
      </c>
    </row>
    <row r="541" customFormat="false" ht="15" hidden="false" customHeight="false" outlineLevel="0" collapsed="false">
      <c r="A541" s="5" t="s">
        <v>6340</v>
      </c>
      <c r="B541" s="5" t="s">
        <v>607</v>
      </c>
      <c r="C541" s="5" t="s">
        <v>62</v>
      </c>
      <c r="D541" s="9" t="s">
        <v>66</v>
      </c>
      <c r="E541" s="5" t="n">
        <v>8</v>
      </c>
      <c r="F541" s="5" t="s">
        <v>6341</v>
      </c>
      <c r="G541" s="13" t="s">
        <v>6342</v>
      </c>
      <c r="H541" s="5" t="s">
        <v>6343</v>
      </c>
      <c r="I541" s="13" t="s">
        <v>6344</v>
      </c>
      <c r="J541" s="5" t="s">
        <v>6076</v>
      </c>
      <c r="K541" s="5" t="s">
        <v>6076</v>
      </c>
      <c r="L541" s="13" t="s">
        <v>6345</v>
      </c>
      <c r="M541" s="13" t="s">
        <v>6346</v>
      </c>
      <c r="N541" s="5" t="n">
        <f aca="false">LEN(L541)</f>
        <v>25</v>
      </c>
      <c r="O541" s="5" t="n">
        <f aca="false">LEN(M541)</f>
        <v>25</v>
      </c>
      <c r="P541" s="14" t="n">
        <f aca="false">IF(N541=0,"",(N541-LEN(SUBSTITUTE(SUBSTITUTE(L541,"G",""),"C","")))/N541)</f>
        <v>0.4</v>
      </c>
      <c r="Q541" s="14" t="n">
        <f aca="false">IF(O541=0,"",(O541-LEN(SUBSTITUTE(SUBSTITUTE(M541,"G",""),"C","")))/O541)</f>
        <v>0.48</v>
      </c>
      <c r="R541" s="5" t="s">
        <v>67</v>
      </c>
      <c r="S541" s="8" t="s">
        <v>1914</v>
      </c>
      <c r="T541" s="5" t="n">
        <v>760</v>
      </c>
      <c r="U541" s="5" t="s">
        <v>4197</v>
      </c>
      <c r="V541" s="5" t="s">
        <v>580</v>
      </c>
      <c r="W541" s="5" t="s">
        <v>580</v>
      </c>
      <c r="X541" s="15" t="s">
        <v>1677</v>
      </c>
      <c r="Y541" s="8" t="s">
        <v>6318</v>
      </c>
    </row>
    <row r="542" customFormat="false" ht="15" hidden="false" customHeight="false" outlineLevel="0" collapsed="false">
      <c r="A542" s="5" t="s">
        <v>6347</v>
      </c>
      <c r="B542" s="5" t="s">
        <v>607</v>
      </c>
      <c r="C542" s="5" t="s">
        <v>62</v>
      </c>
      <c r="D542" s="9" t="s">
        <v>66</v>
      </c>
      <c r="E542" s="5" t="n">
        <v>9</v>
      </c>
      <c r="F542" s="5" t="s">
        <v>6348</v>
      </c>
      <c r="G542" s="13" t="s">
        <v>6349</v>
      </c>
      <c r="H542" s="5" t="s">
        <v>6350</v>
      </c>
      <c r="I542" s="13" t="s">
        <v>6351</v>
      </c>
      <c r="J542" s="5" t="s">
        <v>6076</v>
      </c>
      <c r="K542" s="5" t="s">
        <v>6076</v>
      </c>
      <c r="L542" s="13" t="s">
        <v>6352</v>
      </c>
      <c r="M542" s="13" t="s">
        <v>6353</v>
      </c>
      <c r="N542" s="5" t="n">
        <f aca="false">LEN(L542)</f>
        <v>25</v>
      </c>
      <c r="O542" s="5" t="n">
        <f aca="false">LEN(M542)</f>
        <v>25</v>
      </c>
      <c r="P542" s="14" t="n">
        <f aca="false">IF(N542=0,"",(N542-LEN(SUBSTITUTE(SUBSTITUTE(L542,"G",""),"C","")))/N542)</f>
        <v>0.52</v>
      </c>
      <c r="Q542" s="14" t="n">
        <f aca="false">IF(O542=0,"",(O542-LEN(SUBSTITUTE(SUBSTITUTE(M542,"G",""),"C","")))/O542)</f>
        <v>0.4</v>
      </c>
      <c r="R542" s="5" t="s">
        <v>67</v>
      </c>
      <c r="S542" s="8" t="s">
        <v>1914</v>
      </c>
      <c r="T542" s="5" t="n">
        <v>852</v>
      </c>
      <c r="U542" s="5" t="s">
        <v>4197</v>
      </c>
      <c r="V542" s="5" t="s">
        <v>580</v>
      </c>
      <c r="W542" s="5" t="s">
        <v>580</v>
      </c>
      <c r="X542" s="15" t="s">
        <v>1677</v>
      </c>
      <c r="Y542" s="8" t="s">
        <v>6318</v>
      </c>
    </row>
    <row r="543" customFormat="false" ht="15" hidden="false" customHeight="false" outlineLevel="0" collapsed="false">
      <c r="A543" s="5" t="s">
        <v>6354</v>
      </c>
      <c r="B543" s="5" t="s">
        <v>607</v>
      </c>
      <c r="C543" s="5" t="s">
        <v>62</v>
      </c>
      <c r="D543" s="9" t="s">
        <v>66</v>
      </c>
      <c r="E543" s="5" t="n">
        <v>10</v>
      </c>
      <c r="F543" s="5" t="s">
        <v>6355</v>
      </c>
      <c r="G543" s="13" t="s">
        <v>6356</v>
      </c>
      <c r="H543" s="5" t="s">
        <v>6357</v>
      </c>
      <c r="I543" s="13" t="s">
        <v>6358</v>
      </c>
      <c r="J543" s="5" t="s">
        <v>6076</v>
      </c>
      <c r="K543" s="5" t="s">
        <v>6076</v>
      </c>
      <c r="L543" s="13" t="s">
        <v>6359</v>
      </c>
      <c r="M543" s="13" t="s">
        <v>6360</v>
      </c>
      <c r="N543" s="5" t="n">
        <f aca="false">LEN(L543)</f>
        <v>25</v>
      </c>
      <c r="O543" s="5" t="n">
        <f aca="false">LEN(M543)</f>
        <v>25</v>
      </c>
      <c r="P543" s="14" t="n">
        <f aca="false">IF(N543=0,"",(N543-LEN(SUBSTITUTE(SUBSTITUTE(L543,"G",""),"C","")))/N543)</f>
        <v>0.48</v>
      </c>
      <c r="Q543" s="14" t="n">
        <f aca="false">IF(O543=0,"",(O543-LEN(SUBSTITUTE(SUBSTITUTE(M543,"G",""),"C","")))/O543)</f>
        <v>0.56</v>
      </c>
      <c r="R543" s="5" t="s">
        <v>67</v>
      </c>
      <c r="S543" s="15" t="s">
        <v>1677</v>
      </c>
      <c r="T543" s="5" t="n">
        <v>932</v>
      </c>
      <c r="U543" s="5" t="s">
        <v>1678</v>
      </c>
      <c r="V543" s="5" t="s">
        <v>580</v>
      </c>
      <c r="W543" s="5" t="s">
        <v>580</v>
      </c>
      <c r="X543" s="15" t="s">
        <v>1677</v>
      </c>
      <c r="Y543" s="5"/>
    </row>
    <row r="544" customFormat="false" ht="15" hidden="false" customHeight="false" outlineLevel="0" collapsed="false">
      <c r="A544" s="5" t="s">
        <v>6361</v>
      </c>
      <c r="B544" s="5" t="s">
        <v>607</v>
      </c>
      <c r="C544" s="5" t="s">
        <v>62</v>
      </c>
      <c r="D544" s="9" t="s">
        <v>66</v>
      </c>
      <c r="E544" s="5" t="n">
        <v>11</v>
      </c>
      <c r="F544" s="5" t="s">
        <v>6362</v>
      </c>
      <c r="G544" s="13" t="s">
        <v>6363</v>
      </c>
      <c r="H544" s="5" t="s">
        <v>6364</v>
      </c>
      <c r="I544" s="13" t="s">
        <v>6365</v>
      </c>
      <c r="J544" s="5" t="s">
        <v>6076</v>
      </c>
      <c r="K544" s="5" t="s">
        <v>6076</v>
      </c>
      <c r="L544" s="13" t="s">
        <v>6366</v>
      </c>
      <c r="M544" s="13" t="s">
        <v>6367</v>
      </c>
      <c r="N544" s="5" t="n">
        <f aca="false">LEN(L544)</f>
        <v>25</v>
      </c>
      <c r="O544" s="5" t="n">
        <f aca="false">LEN(M544)</f>
        <v>25</v>
      </c>
      <c r="P544" s="14" t="n">
        <f aca="false">IF(N544=0,"",(N544-LEN(SUBSTITUTE(SUBSTITUTE(L544,"G",""),"C","")))/N544)</f>
        <v>0.52</v>
      </c>
      <c r="Q544" s="14" t="n">
        <f aca="false">IF(O544=0,"",(O544-LEN(SUBSTITUTE(SUBSTITUTE(M544,"G",""),"C","")))/O544)</f>
        <v>0.56</v>
      </c>
      <c r="R544" s="5"/>
      <c r="S544" s="8" t="s">
        <v>2131</v>
      </c>
      <c r="T544" s="5"/>
      <c r="U544" s="5" t="s">
        <v>4197</v>
      </c>
      <c r="V544" s="5" t="s">
        <v>580</v>
      </c>
      <c r="W544" s="5" t="s">
        <v>580</v>
      </c>
      <c r="X544" s="15" t="s">
        <v>1677</v>
      </c>
      <c r="Y544" s="5"/>
    </row>
    <row r="545" customFormat="false" ht="15" hidden="false" customHeight="false" outlineLevel="0" collapsed="false">
      <c r="A545" s="5" t="s">
        <v>6368</v>
      </c>
      <c r="B545" s="5" t="s">
        <v>607</v>
      </c>
      <c r="C545" s="5" t="s">
        <v>62</v>
      </c>
      <c r="D545" s="9" t="s">
        <v>66</v>
      </c>
      <c r="E545" s="5" t="n">
        <v>12</v>
      </c>
      <c r="F545" s="5" t="s">
        <v>6369</v>
      </c>
      <c r="G545" s="13" t="s">
        <v>6370</v>
      </c>
      <c r="H545" s="5" t="s">
        <v>6371</v>
      </c>
      <c r="I545" s="13" t="s">
        <v>6372</v>
      </c>
      <c r="J545" s="5" t="s">
        <v>6076</v>
      </c>
      <c r="K545" s="5" t="s">
        <v>6076</v>
      </c>
      <c r="L545" s="13" t="s">
        <v>6373</v>
      </c>
      <c r="M545" s="13" t="s">
        <v>6374</v>
      </c>
      <c r="N545" s="5" t="n">
        <f aca="false">LEN(L545)</f>
        <v>25</v>
      </c>
      <c r="O545" s="5" t="n">
        <f aca="false">LEN(M545)</f>
        <v>25</v>
      </c>
      <c r="P545" s="14" t="n">
        <f aca="false">IF(N545=0,"",(N545-LEN(SUBSTITUTE(SUBSTITUTE(L545,"G",""),"C","")))/N545)</f>
        <v>0.56</v>
      </c>
      <c r="Q545" s="14" t="n">
        <f aca="false">IF(O545=0,"",(O545-LEN(SUBSTITUTE(SUBSTITUTE(M545,"G",""),"C","")))/O545)</f>
        <v>0.52</v>
      </c>
      <c r="R545" s="5"/>
      <c r="S545" s="8" t="s">
        <v>2131</v>
      </c>
      <c r="T545" s="5"/>
      <c r="U545" s="5" t="s">
        <v>4197</v>
      </c>
      <c r="V545" s="5" t="s">
        <v>580</v>
      </c>
      <c r="W545" s="5" t="s">
        <v>580</v>
      </c>
      <c r="X545" s="15" t="s">
        <v>1677</v>
      </c>
      <c r="Y545" s="5"/>
    </row>
    <row r="546" customFormat="false" ht="15" hidden="false" customHeight="false" outlineLevel="0" collapsed="false">
      <c r="A546" s="5" t="s">
        <v>6375</v>
      </c>
      <c r="B546" s="5" t="s">
        <v>607</v>
      </c>
      <c r="C546" s="5" t="s">
        <v>62</v>
      </c>
      <c r="D546" s="9" t="s">
        <v>66</v>
      </c>
      <c r="E546" s="5" t="n">
        <v>13</v>
      </c>
      <c r="F546" s="5" t="s">
        <v>6376</v>
      </c>
      <c r="G546" s="13" t="s">
        <v>6377</v>
      </c>
      <c r="H546" s="5" t="s">
        <v>6378</v>
      </c>
      <c r="I546" s="13" t="s">
        <v>6379</v>
      </c>
      <c r="J546" s="5" t="s">
        <v>6076</v>
      </c>
      <c r="K546" s="5" t="s">
        <v>6076</v>
      </c>
      <c r="L546" s="13" t="s">
        <v>6380</v>
      </c>
      <c r="M546" s="13" t="s">
        <v>6381</v>
      </c>
      <c r="N546" s="5" t="n">
        <f aca="false">LEN(L546)</f>
        <v>25</v>
      </c>
      <c r="O546" s="5" t="n">
        <f aca="false">LEN(M546)</f>
        <v>25</v>
      </c>
      <c r="P546" s="14" t="n">
        <f aca="false">IF(N546=0,"",(N546-LEN(SUBSTITUTE(SUBSTITUTE(L546,"G",""),"C","")))/N546)</f>
        <v>0.68</v>
      </c>
      <c r="Q546" s="14" t="n">
        <f aca="false">IF(O546=0,"",(O546-LEN(SUBSTITUTE(SUBSTITUTE(M546,"G",""),"C","")))/O546)</f>
        <v>0.52</v>
      </c>
      <c r="R546" s="5"/>
      <c r="S546" s="8" t="s">
        <v>2131</v>
      </c>
      <c r="T546" s="5"/>
      <c r="U546" s="5" t="s">
        <v>4197</v>
      </c>
      <c r="V546" s="5" t="s">
        <v>580</v>
      </c>
      <c r="W546" s="5" t="s">
        <v>580</v>
      </c>
      <c r="X546" s="15" t="s">
        <v>1677</v>
      </c>
      <c r="Y546" s="5"/>
    </row>
    <row r="547" customFormat="false" ht="15" hidden="false" customHeight="false" outlineLevel="0" collapsed="false">
      <c r="A547" s="5" t="s">
        <v>6382</v>
      </c>
      <c r="B547" s="5" t="s">
        <v>607</v>
      </c>
      <c r="C547" s="5" t="s">
        <v>62</v>
      </c>
      <c r="D547" s="9" t="s">
        <v>66</v>
      </c>
      <c r="E547" s="5" t="n">
        <v>14</v>
      </c>
      <c r="F547" s="5" t="s">
        <v>6383</v>
      </c>
      <c r="G547" s="13" t="s">
        <v>6384</v>
      </c>
      <c r="H547" s="5" t="s">
        <v>6385</v>
      </c>
      <c r="I547" s="13" t="s">
        <v>6386</v>
      </c>
      <c r="J547" s="5" t="s">
        <v>6076</v>
      </c>
      <c r="K547" s="5" t="s">
        <v>6076</v>
      </c>
      <c r="L547" s="13" t="s">
        <v>6387</v>
      </c>
      <c r="M547" s="13" t="s">
        <v>6388</v>
      </c>
      <c r="N547" s="5" t="n">
        <f aca="false">LEN(L547)</f>
        <v>25</v>
      </c>
      <c r="O547" s="5" t="n">
        <f aca="false">LEN(M547)</f>
        <v>25</v>
      </c>
      <c r="P547" s="14" t="n">
        <f aca="false">IF(N547=0,"",(N547-LEN(SUBSTITUTE(SUBSTITUTE(L547,"G",""),"C","")))/N547)</f>
        <v>0.44</v>
      </c>
      <c r="Q547" s="14" t="n">
        <f aca="false">IF(O547=0,"",(O547-LEN(SUBSTITUTE(SUBSTITUTE(M547,"G",""),"C","")))/O547)</f>
        <v>0.4</v>
      </c>
      <c r="R547" s="5"/>
      <c r="S547" s="8" t="s">
        <v>2131</v>
      </c>
      <c r="T547" s="5"/>
      <c r="U547" s="5" t="s">
        <v>4197</v>
      </c>
      <c r="V547" s="5" t="s">
        <v>580</v>
      </c>
      <c r="W547" s="5" t="s">
        <v>580</v>
      </c>
      <c r="X547" s="15" t="s">
        <v>1677</v>
      </c>
      <c r="Y547" s="5"/>
    </row>
    <row r="548" customFormat="false" ht="15" hidden="false" customHeight="false" outlineLevel="0" collapsed="false">
      <c r="A548" s="5" t="s">
        <v>6389</v>
      </c>
      <c r="B548" s="5" t="s">
        <v>607</v>
      </c>
      <c r="C548" s="5" t="s">
        <v>62</v>
      </c>
      <c r="D548" s="9" t="s">
        <v>66</v>
      </c>
      <c r="E548" s="5" t="n">
        <v>15</v>
      </c>
      <c r="F548" s="5" t="s">
        <v>6390</v>
      </c>
      <c r="G548" s="13" t="s">
        <v>6391</v>
      </c>
      <c r="H548" s="5" t="s">
        <v>6392</v>
      </c>
      <c r="I548" s="13" t="s">
        <v>6393</v>
      </c>
      <c r="J548" s="5" t="s">
        <v>6076</v>
      </c>
      <c r="K548" s="5" t="s">
        <v>6076</v>
      </c>
      <c r="L548" s="13" t="s">
        <v>6394</v>
      </c>
      <c r="M548" s="13" t="s">
        <v>6395</v>
      </c>
      <c r="N548" s="5" t="n">
        <f aca="false">LEN(L548)</f>
        <v>25</v>
      </c>
      <c r="O548" s="5" t="n">
        <f aca="false">LEN(M548)</f>
        <v>25</v>
      </c>
      <c r="P548" s="14" t="n">
        <f aca="false">IF(N548=0,"",(N548-LEN(SUBSTITUTE(SUBSTITUTE(L548,"G",""),"C","")))/N548)</f>
        <v>0.52</v>
      </c>
      <c r="Q548" s="14" t="n">
        <f aca="false">IF(O548=0,"",(O548-LEN(SUBSTITUTE(SUBSTITUTE(M548,"G",""),"C","")))/O548)</f>
        <v>0.56</v>
      </c>
      <c r="R548" s="5"/>
      <c r="S548" s="8" t="s">
        <v>2131</v>
      </c>
      <c r="T548" s="5"/>
      <c r="U548" s="5" t="s">
        <v>4197</v>
      </c>
      <c r="V548" s="5" t="s">
        <v>580</v>
      </c>
      <c r="W548" s="5" t="s">
        <v>580</v>
      </c>
      <c r="X548" s="15" t="s">
        <v>1677</v>
      </c>
      <c r="Y548" s="5"/>
    </row>
    <row r="549" customFormat="false" ht="15" hidden="false" customHeight="false" outlineLevel="0" collapsed="false">
      <c r="A549" s="5" t="s">
        <v>6396</v>
      </c>
      <c r="B549" s="5" t="s">
        <v>609</v>
      </c>
      <c r="C549" s="5" t="s">
        <v>610</v>
      </c>
      <c r="D549" s="9" t="s">
        <v>66</v>
      </c>
      <c r="E549" s="5" t="n">
        <v>1</v>
      </c>
      <c r="F549" s="5" t="s">
        <v>6397</v>
      </c>
      <c r="G549" s="13" t="s">
        <v>6398</v>
      </c>
      <c r="H549" s="5" t="s">
        <v>6399</v>
      </c>
      <c r="I549" s="13" t="s">
        <v>6400</v>
      </c>
      <c r="J549" s="5" t="s">
        <v>4316</v>
      </c>
      <c r="K549" s="5" t="s">
        <v>4316</v>
      </c>
      <c r="L549" s="13" t="s">
        <v>6401</v>
      </c>
      <c r="M549" s="13" t="s">
        <v>6402</v>
      </c>
      <c r="N549" s="5" t="n">
        <f aca="false">LEN(L549)</f>
        <v>25</v>
      </c>
      <c r="O549" s="5" t="n">
        <f aca="false">LEN(M549)</f>
        <v>25</v>
      </c>
      <c r="P549" s="14" t="n">
        <f aca="false">IF(N549=0,"",(N549-LEN(SUBSTITUTE(SUBSTITUTE(L549,"G",""),"C","")))/N549)</f>
        <v>0.52</v>
      </c>
      <c r="Q549" s="14" t="n">
        <f aca="false">IF(O549=0,"",(O549-LEN(SUBSTITUTE(SUBSTITUTE(M549,"G",""),"C","")))/O549)</f>
        <v>0.48</v>
      </c>
      <c r="R549" s="5" t="s">
        <v>613</v>
      </c>
      <c r="S549" s="15" t="s">
        <v>1677</v>
      </c>
      <c r="T549" s="5" t="n">
        <v>1</v>
      </c>
      <c r="U549" s="5" t="s">
        <v>1678</v>
      </c>
      <c r="V549" s="5" t="s">
        <v>395</v>
      </c>
      <c r="W549" s="5" t="s">
        <v>395</v>
      </c>
      <c r="X549" s="15" t="s">
        <v>1677</v>
      </c>
      <c r="Y549" s="5"/>
    </row>
    <row r="550" customFormat="false" ht="15" hidden="false" customHeight="false" outlineLevel="0" collapsed="false">
      <c r="A550" s="5" t="s">
        <v>6403</v>
      </c>
      <c r="B550" s="5" t="s">
        <v>609</v>
      </c>
      <c r="C550" s="5" t="s">
        <v>610</v>
      </c>
      <c r="D550" s="9" t="s">
        <v>66</v>
      </c>
      <c r="E550" s="5" t="n">
        <v>2</v>
      </c>
      <c r="F550" s="5" t="s">
        <v>6404</v>
      </c>
      <c r="G550" s="13" t="s">
        <v>6405</v>
      </c>
      <c r="H550" s="5" t="s">
        <v>6406</v>
      </c>
      <c r="I550" s="13" t="s">
        <v>6407</v>
      </c>
      <c r="J550" s="5" t="s">
        <v>4316</v>
      </c>
      <c r="K550" s="5" t="s">
        <v>4316</v>
      </c>
      <c r="L550" s="13" t="s">
        <v>6408</v>
      </c>
      <c r="M550" s="13" t="s">
        <v>6409</v>
      </c>
      <c r="N550" s="5" t="n">
        <f aca="false">LEN(L550)</f>
        <v>25</v>
      </c>
      <c r="O550" s="5" t="n">
        <f aca="false">LEN(M550)</f>
        <v>25</v>
      </c>
      <c r="P550" s="14" t="n">
        <f aca="false">IF(N550=0,"",(N550-LEN(SUBSTITUTE(SUBSTITUTE(L550,"G",""),"C","")))/N550)</f>
        <v>0.6</v>
      </c>
      <c r="Q550" s="14" t="n">
        <f aca="false">IF(O550=0,"",(O550-LEN(SUBSTITUTE(SUBSTITUTE(M550,"G",""),"C","")))/O550)</f>
        <v>0.4</v>
      </c>
      <c r="R550" s="5" t="s">
        <v>613</v>
      </c>
      <c r="S550" s="15" t="s">
        <v>1677</v>
      </c>
      <c r="T550" s="5" t="n">
        <v>81</v>
      </c>
      <c r="U550" s="5" t="s">
        <v>1678</v>
      </c>
      <c r="V550" s="5" t="s">
        <v>395</v>
      </c>
      <c r="W550" s="5" t="s">
        <v>395</v>
      </c>
      <c r="X550" s="15" t="s">
        <v>1677</v>
      </c>
      <c r="Y550" s="5"/>
    </row>
    <row r="551" customFormat="false" ht="15" hidden="false" customHeight="false" outlineLevel="0" collapsed="false">
      <c r="A551" s="5" t="s">
        <v>6410</v>
      </c>
      <c r="B551" s="5" t="s">
        <v>609</v>
      </c>
      <c r="C551" s="5" t="s">
        <v>610</v>
      </c>
      <c r="D551" s="9" t="s">
        <v>66</v>
      </c>
      <c r="E551" s="5" t="n">
        <v>3</v>
      </c>
      <c r="F551" s="5" t="s">
        <v>6411</v>
      </c>
      <c r="G551" s="13" t="s">
        <v>6412</v>
      </c>
      <c r="H551" s="5" t="s">
        <v>6413</v>
      </c>
      <c r="I551" s="13" t="s">
        <v>6414</v>
      </c>
      <c r="J551" s="5" t="s">
        <v>4316</v>
      </c>
      <c r="K551" s="5" t="s">
        <v>4316</v>
      </c>
      <c r="L551" s="13" t="s">
        <v>6415</v>
      </c>
      <c r="M551" s="13" t="s">
        <v>6416</v>
      </c>
      <c r="N551" s="5" t="n">
        <f aca="false">LEN(L551)</f>
        <v>25</v>
      </c>
      <c r="O551" s="5" t="n">
        <f aca="false">LEN(M551)</f>
        <v>25</v>
      </c>
      <c r="P551" s="14" t="n">
        <f aca="false">IF(N551=0,"",(N551-LEN(SUBSTITUTE(SUBSTITUTE(L551,"G",""),"C","")))/N551)</f>
        <v>0.64</v>
      </c>
      <c r="Q551" s="14" t="n">
        <f aca="false">IF(O551=0,"",(O551-LEN(SUBSTITUTE(SUBSTITUTE(M551,"G",""),"C","")))/O551)</f>
        <v>0.6</v>
      </c>
      <c r="R551" s="5" t="s">
        <v>613</v>
      </c>
      <c r="S551" s="15" t="s">
        <v>1677</v>
      </c>
      <c r="T551" s="5" t="n">
        <v>161</v>
      </c>
      <c r="U551" s="5" t="s">
        <v>1678</v>
      </c>
      <c r="V551" s="5" t="s">
        <v>395</v>
      </c>
      <c r="W551" s="5" t="s">
        <v>395</v>
      </c>
      <c r="X551" s="15" t="s">
        <v>1677</v>
      </c>
      <c r="Y551" s="5"/>
    </row>
    <row r="552" customFormat="false" ht="15" hidden="false" customHeight="false" outlineLevel="0" collapsed="false">
      <c r="A552" s="5" t="s">
        <v>6417</v>
      </c>
      <c r="B552" s="5" t="s">
        <v>609</v>
      </c>
      <c r="C552" s="5" t="s">
        <v>610</v>
      </c>
      <c r="D552" s="9" t="s">
        <v>66</v>
      </c>
      <c r="E552" s="5" t="n">
        <v>4</v>
      </c>
      <c r="F552" s="5" t="s">
        <v>6418</v>
      </c>
      <c r="G552" s="13" t="s">
        <v>6419</v>
      </c>
      <c r="H552" s="5" t="s">
        <v>6420</v>
      </c>
      <c r="I552" s="13" t="s">
        <v>6421</v>
      </c>
      <c r="J552" s="5" t="s">
        <v>4316</v>
      </c>
      <c r="K552" s="5" t="s">
        <v>4316</v>
      </c>
      <c r="L552" s="13" t="s">
        <v>6422</v>
      </c>
      <c r="M552" s="13" t="s">
        <v>6423</v>
      </c>
      <c r="N552" s="5" t="n">
        <f aca="false">LEN(L552)</f>
        <v>25</v>
      </c>
      <c r="O552" s="5" t="n">
        <f aca="false">LEN(M552)</f>
        <v>25</v>
      </c>
      <c r="P552" s="14" t="n">
        <f aca="false">IF(N552=0,"",(N552-LEN(SUBSTITUTE(SUBSTITUTE(L552,"G",""),"C","")))/N552)</f>
        <v>0.4</v>
      </c>
      <c r="Q552" s="14" t="n">
        <f aca="false">IF(O552=0,"",(O552-LEN(SUBSTITUTE(SUBSTITUTE(M552,"G",""),"C","")))/O552)</f>
        <v>0.48</v>
      </c>
      <c r="R552" s="5" t="s">
        <v>613</v>
      </c>
      <c r="S552" s="15" t="s">
        <v>1677</v>
      </c>
      <c r="T552" s="5" t="n">
        <v>251</v>
      </c>
      <c r="U552" s="5" t="s">
        <v>1678</v>
      </c>
      <c r="V552" s="5" t="s">
        <v>395</v>
      </c>
      <c r="W552" s="5" t="s">
        <v>395</v>
      </c>
      <c r="X552" s="15" t="s">
        <v>1677</v>
      </c>
      <c r="Y552" s="5"/>
    </row>
    <row r="553" customFormat="false" ht="15" hidden="false" customHeight="false" outlineLevel="0" collapsed="false">
      <c r="A553" s="5" t="s">
        <v>6424</v>
      </c>
      <c r="B553" s="5" t="s">
        <v>609</v>
      </c>
      <c r="C553" s="5" t="s">
        <v>610</v>
      </c>
      <c r="D553" s="9" t="s">
        <v>66</v>
      </c>
      <c r="E553" s="5" t="n">
        <v>5</v>
      </c>
      <c r="F553" s="5" t="s">
        <v>6425</v>
      </c>
      <c r="G553" s="13" t="s">
        <v>6426</v>
      </c>
      <c r="H553" s="5" t="s">
        <v>6427</v>
      </c>
      <c r="I553" s="13" t="s">
        <v>6428</v>
      </c>
      <c r="J553" s="5" t="s">
        <v>4316</v>
      </c>
      <c r="K553" s="5" t="s">
        <v>4316</v>
      </c>
      <c r="L553" s="13" t="s">
        <v>6429</v>
      </c>
      <c r="M553" s="13" t="s">
        <v>6430</v>
      </c>
      <c r="N553" s="5" t="n">
        <f aca="false">LEN(L553)</f>
        <v>25</v>
      </c>
      <c r="O553" s="5" t="n">
        <f aca="false">LEN(M553)</f>
        <v>25</v>
      </c>
      <c r="P553" s="14" t="n">
        <f aca="false">IF(N553=0,"",(N553-LEN(SUBSTITUTE(SUBSTITUTE(L553,"G",""),"C","")))/N553)</f>
        <v>0.6</v>
      </c>
      <c r="Q553" s="14" t="n">
        <f aca="false">IF(O553=0,"",(O553-LEN(SUBSTITUTE(SUBSTITUTE(M553,"G",""),"C","")))/O553)</f>
        <v>0.76</v>
      </c>
      <c r="R553" s="5" t="s">
        <v>613</v>
      </c>
      <c r="S553" s="15" t="s">
        <v>1677</v>
      </c>
      <c r="T553" s="5" t="n">
        <v>331</v>
      </c>
      <c r="U553" s="5" t="s">
        <v>1678</v>
      </c>
      <c r="V553" s="5" t="s">
        <v>395</v>
      </c>
      <c r="W553" s="5" t="s">
        <v>395</v>
      </c>
      <c r="X553" s="15" t="s">
        <v>1677</v>
      </c>
      <c r="Y553" s="5"/>
    </row>
    <row r="554" customFormat="false" ht="15" hidden="false" customHeight="false" outlineLevel="0" collapsed="false">
      <c r="A554" s="5" t="s">
        <v>6431</v>
      </c>
      <c r="B554" s="5" t="s">
        <v>609</v>
      </c>
      <c r="C554" s="5" t="s">
        <v>610</v>
      </c>
      <c r="D554" s="9" t="s">
        <v>66</v>
      </c>
      <c r="E554" s="5" t="n">
        <v>6</v>
      </c>
      <c r="F554" s="5" t="s">
        <v>6432</v>
      </c>
      <c r="G554" s="13" t="s">
        <v>6433</v>
      </c>
      <c r="H554" s="5" t="s">
        <v>6434</v>
      </c>
      <c r="I554" s="13" t="s">
        <v>6435</v>
      </c>
      <c r="J554" s="5" t="s">
        <v>4316</v>
      </c>
      <c r="K554" s="5" t="s">
        <v>4316</v>
      </c>
      <c r="L554" s="13" t="s">
        <v>6436</v>
      </c>
      <c r="M554" s="13" t="s">
        <v>6437</v>
      </c>
      <c r="N554" s="5" t="n">
        <f aca="false">LEN(L554)</f>
        <v>25</v>
      </c>
      <c r="O554" s="5" t="n">
        <f aca="false">LEN(M554)</f>
        <v>25</v>
      </c>
      <c r="P554" s="14" t="n">
        <f aca="false">IF(N554=0,"",(N554-LEN(SUBSTITUTE(SUBSTITUTE(L554,"G",""),"C","")))/N554)</f>
        <v>0.56</v>
      </c>
      <c r="Q554" s="14" t="n">
        <f aca="false">IF(O554=0,"",(O554-LEN(SUBSTITUTE(SUBSTITUTE(M554,"G",""),"C","")))/O554)</f>
        <v>0.4</v>
      </c>
      <c r="R554" s="5" t="s">
        <v>613</v>
      </c>
      <c r="S554" s="15" t="s">
        <v>1677</v>
      </c>
      <c r="T554" s="5" t="n">
        <v>411</v>
      </c>
      <c r="U554" s="5" t="s">
        <v>1678</v>
      </c>
      <c r="V554" s="5" t="s">
        <v>395</v>
      </c>
      <c r="W554" s="5" t="s">
        <v>395</v>
      </c>
      <c r="X554" s="15" t="s">
        <v>1677</v>
      </c>
      <c r="Y554" s="5"/>
    </row>
    <row r="555" customFormat="false" ht="15" hidden="false" customHeight="false" outlineLevel="0" collapsed="false">
      <c r="A555" s="5" t="s">
        <v>6438</v>
      </c>
      <c r="B555" s="5" t="s">
        <v>609</v>
      </c>
      <c r="C555" s="5" t="s">
        <v>610</v>
      </c>
      <c r="D555" s="9" t="s">
        <v>66</v>
      </c>
      <c r="E555" s="5" t="n">
        <v>7</v>
      </c>
      <c r="F555" s="5" t="s">
        <v>6439</v>
      </c>
      <c r="G555" s="13" t="s">
        <v>6440</v>
      </c>
      <c r="H555" s="5" t="s">
        <v>6441</v>
      </c>
      <c r="I555" s="13" t="s">
        <v>6442</v>
      </c>
      <c r="J555" s="5" t="s">
        <v>4316</v>
      </c>
      <c r="K555" s="5" t="s">
        <v>4316</v>
      </c>
      <c r="L555" s="13" t="s">
        <v>6443</v>
      </c>
      <c r="M555" s="13" t="s">
        <v>6444</v>
      </c>
      <c r="N555" s="5" t="n">
        <f aca="false">LEN(L555)</f>
        <v>25</v>
      </c>
      <c r="O555" s="5" t="n">
        <f aca="false">LEN(M555)</f>
        <v>25</v>
      </c>
      <c r="P555" s="14" t="n">
        <f aca="false">IF(N555=0,"",(N555-LEN(SUBSTITUTE(SUBSTITUTE(L555,"G",""),"C","")))/N555)</f>
        <v>0.52</v>
      </c>
      <c r="Q555" s="14" t="n">
        <f aca="false">IF(O555=0,"",(O555-LEN(SUBSTITUTE(SUBSTITUTE(M555,"G",""),"C","")))/O555)</f>
        <v>0.4</v>
      </c>
      <c r="R555" s="5" t="s">
        <v>613</v>
      </c>
      <c r="S555" s="15" t="s">
        <v>1677</v>
      </c>
      <c r="T555" s="5" t="n">
        <v>498</v>
      </c>
      <c r="U555" s="5" t="s">
        <v>1678</v>
      </c>
      <c r="V555" s="5" t="s">
        <v>395</v>
      </c>
      <c r="W555" s="5" t="s">
        <v>395</v>
      </c>
      <c r="X555" s="15" t="s">
        <v>1677</v>
      </c>
      <c r="Y555" s="5"/>
    </row>
    <row r="556" customFormat="false" ht="15" hidden="false" customHeight="false" outlineLevel="0" collapsed="false">
      <c r="A556" s="5" t="s">
        <v>6445</v>
      </c>
      <c r="B556" s="5" t="s">
        <v>616</v>
      </c>
      <c r="C556" s="5" t="s">
        <v>617</v>
      </c>
      <c r="D556" s="9" t="s">
        <v>66</v>
      </c>
      <c r="E556" s="5" t="n">
        <v>1</v>
      </c>
      <c r="F556" s="5" t="s">
        <v>6446</v>
      </c>
      <c r="G556" s="13" t="s">
        <v>6447</v>
      </c>
      <c r="H556" s="5" t="s">
        <v>6448</v>
      </c>
      <c r="I556" s="13" t="s">
        <v>6449</v>
      </c>
      <c r="J556" s="5" t="s">
        <v>6450</v>
      </c>
      <c r="K556" s="5" t="s">
        <v>6451</v>
      </c>
      <c r="L556" s="13" t="s">
        <v>6452</v>
      </c>
      <c r="M556" s="13" t="s">
        <v>6453</v>
      </c>
      <c r="N556" s="5" t="n">
        <f aca="false">LEN(L556)</f>
        <v>25</v>
      </c>
      <c r="O556" s="5" t="n">
        <f aca="false">LEN(M556)</f>
        <v>25</v>
      </c>
      <c r="P556" s="14" t="n">
        <f aca="false">IF(N556=0,"",(N556-LEN(SUBSTITUTE(SUBSTITUTE(L556,"G",""),"C","")))/N556)</f>
        <v>0.4</v>
      </c>
      <c r="Q556" s="14" t="n">
        <f aca="false">IF(O556=0,"",(O556-LEN(SUBSTITUTE(SUBSTITUTE(M556,"G",""),"C","")))/O556)</f>
        <v>0.36</v>
      </c>
      <c r="R556" s="5" t="s">
        <v>622</v>
      </c>
      <c r="S556" s="15" t="s">
        <v>1677</v>
      </c>
      <c r="T556" s="5" t="n">
        <v>6</v>
      </c>
      <c r="U556" s="5" t="s">
        <v>1678</v>
      </c>
      <c r="V556" s="5" t="s">
        <v>588</v>
      </c>
      <c r="W556" s="5"/>
      <c r="X556" s="15" t="s">
        <v>1677</v>
      </c>
      <c r="Y556" s="5"/>
    </row>
    <row r="557" customFormat="false" ht="15" hidden="false" customHeight="false" outlineLevel="0" collapsed="false">
      <c r="A557" s="5" t="s">
        <v>6454</v>
      </c>
      <c r="B557" s="5" t="s">
        <v>616</v>
      </c>
      <c r="C557" s="5" t="s">
        <v>617</v>
      </c>
      <c r="D557" s="9" t="s">
        <v>66</v>
      </c>
      <c r="E557" s="5" t="n">
        <v>2</v>
      </c>
      <c r="F557" s="5" t="s">
        <v>6455</v>
      </c>
      <c r="G557" s="13" t="s">
        <v>6456</v>
      </c>
      <c r="H557" s="5" t="s">
        <v>6457</v>
      </c>
      <c r="I557" s="13" t="s">
        <v>6458</v>
      </c>
      <c r="J557" s="5" t="s">
        <v>6459</v>
      </c>
      <c r="K557" s="5" t="s">
        <v>6460</v>
      </c>
      <c r="L557" s="13" t="s">
        <v>6461</v>
      </c>
      <c r="M557" s="13" t="s">
        <v>6462</v>
      </c>
      <c r="N557" s="5" t="n">
        <f aca="false">LEN(L557)</f>
        <v>25</v>
      </c>
      <c r="O557" s="5" t="n">
        <f aca="false">LEN(M557)</f>
        <v>25</v>
      </c>
      <c r="P557" s="14" t="n">
        <f aca="false">IF(N557=0,"",(N557-LEN(SUBSTITUTE(SUBSTITUTE(L557,"G",""),"C","")))/N557)</f>
        <v>0.6</v>
      </c>
      <c r="Q557" s="14" t="n">
        <f aca="false">IF(O557=0,"",(O557-LEN(SUBSTITUTE(SUBSTITUTE(M557,"G",""),"C","")))/O557)</f>
        <v>0.72</v>
      </c>
      <c r="R557" s="5" t="s">
        <v>622</v>
      </c>
      <c r="S557" s="15" t="s">
        <v>1677</v>
      </c>
      <c r="T557" s="5" t="n">
        <v>76</v>
      </c>
      <c r="U557" s="5" t="s">
        <v>1678</v>
      </c>
      <c r="V557" s="5" t="s">
        <v>588</v>
      </c>
      <c r="W557" s="5"/>
      <c r="X557" s="8" t="s">
        <v>1769</v>
      </c>
      <c r="Y557" s="5"/>
    </row>
    <row r="558" customFormat="false" ht="15" hidden="false" customHeight="false" outlineLevel="0" collapsed="false">
      <c r="A558" s="5" t="s">
        <v>6463</v>
      </c>
      <c r="B558" s="5" t="s">
        <v>616</v>
      </c>
      <c r="C558" s="5" t="s">
        <v>617</v>
      </c>
      <c r="D558" s="9" t="s">
        <v>66</v>
      </c>
      <c r="E558" s="5" t="n">
        <v>3</v>
      </c>
      <c r="F558" s="5" t="s">
        <v>6464</v>
      </c>
      <c r="G558" s="13" t="s">
        <v>6465</v>
      </c>
      <c r="H558" s="5" t="s">
        <v>6466</v>
      </c>
      <c r="I558" s="13" t="s">
        <v>6467</v>
      </c>
      <c r="J558" s="5" t="s">
        <v>6468</v>
      </c>
      <c r="K558" s="5" t="s">
        <v>6469</v>
      </c>
      <c r="L558" s="13" t="s">
        <v>6470</v>
      </c>
      <c r="M558" s="13" t="s">
        <v>6471</v>
      </c>
      <c r="N558" s="5" t="n">
        <f aca="false">LEN(L558)</f>
        <v>25</v>
      </c>
      <c r="O558" s="5" t="n">
        <f aca="false">LEN(M558)</f>
        <v>25</v>
      </c>
      <c r="P558" s="14" t="n">
        <f aca="false">IF(N558=0,"",(N558-LEN(SUBSTITUTE(SUBSTITUTE(L558,"G",""),"C","")))/N558)</f>
        <v>0.28</v>
      </c>
      <c r="Q558" s="14" t="n">
        <f aca="false">IF(O558=0,"",(O558-LEN(SUBSTITUTE(SUBSTITUTE(M558,"G",""),"C","")))/O558)</f>
        <v>0.6</v>
      </c>
      <c r="R558" s="5" t="s">
        <v>622</v>
      </c>
      <c r="S558" s="15" t="s">
        <v>1677</v>
      </c>
      <c r="T558" s="5" t="n">
        <v>216</v>
      </c>
      <c r="U558" s="5" t="s">
        <v>1678</v>
      </c>
      <c r="V558" s="5" t="s">
        <v>588</v>
      </c>
      <c r="W558" s="5"/>
      <c r="X558" s="8" t="s">
        <v>2131</v>
      </c>
      <c r="Y558" s="5"/>
    </row>
    <row r="559" customFormat="false" ht="15" hidden="false" customHeight="false" outlineLevel="0" collapsed="false">
      <c r="A559" s="5" t="s">
        <v>6472</v>
      </c>
      <c r="B559" s="5" t="s">
        <v>627</v>
      </c>
      <c r="C559" s="5" t="s">
        <v>628</v>
      </c>
      <c r="D559" s="9" t="s">
        <v>66</v>
      </c>
      <c r="E559" s="5" t="n">
        <v>1</v>
      </c>
      <c r="F559" s="5" t="s">
        <v>6473</v>
      </c>
      <c r="G559" s="13" t="s">
        <v>6474</v>
      </c>
      <c r="H559" s="5" t="s">
        <v>6475</v>
      </c>
      <c r="I559" s="13" t="s">
        <v>6476</v>
      </c>
      <c r="J559" s="5" t="s">
        <v>6477</v>
      </c>
      <c r="K559" s="5" t="s">
        <v>6478</v>
      </c>
      <c r="L559" s="13" t="s">
        <v>6479</v>
      </c>
      <c r="M559" s="13" t="s">
        <v>6480</v>
      </c>
      <c r="N559" s="5" t="n">
        <f aca="false">LEN(L559)</f>
        <v>25</v>
      </c>
      <c r="O559" s="5" t="n">
        <f aca="false">LEN(M559)</f>
        <v>25</v>
      </c>
      <c r="P559" s="14" t="n">
        <f aca="false">IF(N559=0,"",(N559-LEN(SUBSTITUTE(SUBSTITUTE(L559,"G",""),"C","")))/N559)</f>
        <v>0.36</v>
      </c>
      <c r="Q559" s="14" t="n">
        <f aca="false">IF(O559=0,"",(O559-LEN(SUBSTITUTE(SUBSTITUTE(M559,"G",""),"C","")))/O559)</f>
        <v>0.36</v>
      </c>
      <c r="R559" s="5" t="s">
        <v>633</v>
      </c>
      <c r="S559" s="15" t="s">
        <v>1677</v>
      </c>
      <c r="T559" s="5" t="n">
        <v>216</v>
      </c>
      <c r="U559" s="5" t="s">
        <v>1678</v>
      </c>
      <c r="V559" s="5" t="s">
        <v>588</v>
      </c>
      <c r="W559" s="5"/>
      <c r="X559" s="15" t="s">
        <v>1677</v>
      </c>
      <c r="Y559" s="5"/>
    </row>
    <row r="560" customFormat="false" ht="15" hidden="false" customHeight="false" outlineLevel="0" collapsed="false">
      <c r="A560" s="5" t="s">
        <v>6481</v>
      </c>
      <c r="B560" s="5" t="s">
        <v>627</v>
      </c>
      <c r="C560" s="5" t="s">
        <v>628</v>
      </c>
      <c r="D560" s="9" t="s">
        <v>66</v>
      </c>
      <c r="E560" s="5" t="n">
        <v>2</v>
      </c>
      <c r="F560" s="5" t="s">
        <v>6482</v>
      </c>
      <c r="G560" s="13" t="s">
        <v>6483</v>
      </c>
      <c r="H560" s="5" t="s">
        <v>6484</v>
      </c>
      <c r="I560" s="13" t="s">
        <v>6485</v>
      </c>
      <c r="J560" s="5" t="s">
        <v>6486</v>
      </c>
      <c r="K560" s="5" t="s">
        <v>6487</v>
      </c>
      <c r="L560" s="13" t="s">
        <v>6488</v>
      </c>
      <c r="M560" s="13" t="s">
        <v>6489</v>
      </c>
      <c r="N560" s="5" t="n">
        <f aca="false">LEN(L560)</f>
        <v>25</v>
      </c>
      <c r="O560" s="5" t="n">
        <f aca="false">LEN(M560)</f>
        <v>25</v>
      </c>
      <c r="P560" s="14" t="n">
        <f aca="false">IF(N560=0,"",(N560-LEN(SUBSTITUTE(SUBSTITUTE(L560,"G",""),"C","")))/N560)</f>
        <v>0.36</v>
      </c>
      <c r="Q560" s="14" t="n">
        <f aca="false">IF(O560=0,"",(O560-LEN(SUBSTITUTE(SUBSTITUTE(M560,"G",""),"C","")))/O560)</f>
        <v>0.52</v>
      </c>
      <c r="R560" s="5" t="s">
        <v>633</v>
      </c>
      <c r="S560" s="15" t="s">
        <v>1677</v>
      </c>
      <c r="T560" s="5" t="n">
        <v>286</v>
      </c>
      <c r="U560" s="5" t="s">
        <v>1678</v>
      </c>
      <c r="V560" s="5" t="s">
        <v>588</v>
      </c>
      <c r="W560" s="5"/>
      <c r="X560" s="15" t="s">
        <v>1677</v>
      </c>
      <c r="Y560" s="5"/>
    </row>
    <row r="561" customFormat="false" ht="15" hidden="false" customHeight="false" outlineLevel="0" collapsed="false">
      <c r="A561" s="5" t="s">
        <v>6490</v>
      </c>
      <c r="B561" s="5" t="s">
        <v>627</v>
      </c>
      <c r="C561" s="5" t="s">
        <v>628</v>
      </c>
      <c r="D561" s="9" t="s">
        <v>66</v>
      </c>
      <c r="E561" s="5" t="n">
        <v>3</v>
      </c>
      <c r="F561" s="5" t="s">
        <v>6491</v>
      </c>
      <c r="G561" s="13" t="s">
        <v>6492</v>
      </c>
      <c r="H561" s="5" t="s">
        <v>6493</v>
      </c>
      <c r="I561" s="13" t="s">
        <v>6494</v>
      </c>
      <c r="J561" s="5" t="s">
        <v>6495</v>
      </c>
      <c r="K561" s="5" t="s">
        <v>6496</v>
      </c>
      <c r="L561" s="13" t="s">
        <v>6497</v>
      </c>
      <c r="M561" s="13" t="s">
        <v>6498</v>
      </c>
      <c r="N561" s="5" t="n">
        <f aca="false">LEN(L561)</f>
        <v>25</v>
      </c>
      <c r="O561" s="5" t="n">
        <f aca="false">LEN(M561)</f>
        <v>25</v>
      </c>
      <c r="P561" s="14" t="n">
        <f aca="false">IF(N561=0,"",(N561-LEN(SUBSTITUTE(SUBSTITUTE(L561,"G",""),"C","")))/N561)</f>
        <v>0.36</v>
      </c>
      <c r="Q561" s="14" t="n">
        <f aca="false">IF(O561=0,"",(O561-LEN(SUBSTITUTE(SUBSTITUTE(M561,"G",""),"C","")))/O561)</f>
        <v>0.6</v>
      </c>
      <c r="R561" s="5" t="s">
        <v>633</v>
      </c>
      <c r="S561" s="15" t="s">
        <v>1677</v>
      </c>
      <c r="T561" s="5" t="n">
        <v>356</v>
      </c>
      <c r="U561" s="5" t="s">
        <v>1678</v>
      </c>
      <c r="V561" s="5" t="s">
        <v>588</v>
      </c>
      <c r="W561" s="5"/>
      <c r="X561" s="15" t="s">
        <v>1677</v>
      </c>
      <c r="Y561" s="5"/>
    </row>
    <row r="562" customFormat="false" ht="15" hidden="false" customHeight="false" outlineLevel="0" collapsed="false">
      <c r="A562" s="5" t="s">
        <v>6499</v>
      </c>
      <c r="B562" s="5" t="s">
        <v>627</v>
      </c>
      <c r="C562" s="5" t="s">
        <v>628</v>
      </c>
      <c r="D562" s="9" t="s">
        <v>66</v>
      </c>
      <c r="E562" s="5" t="n">
        <v>4</v>
      </c>
      <c r="F562" s="5" t="s">
        <v>6500</v>
      </c>
      <c r="G562" s="13" t="s">
        <v>6501</v>
      </c>
      <c r="H562" s="5" t="s">
        <v>6502</v>
      </c>
      <c r="I562" s="13" t="s">
        <v>6503</v>
      </c>
      <c r="J562" s="5" t="s">
        <v>6504</v>
      </c>
      <c r="K562" s="5" t="s">
        <v>6505</v>
      </c>
      <c r="L562" s="13" t="s">
        <v>6506</v>
      </c>
      <c r="M562" s="13" t="s">
        <v>6507</v>
      </c>
      <c r="N562" s="5" t="n">
        <f aca="false">LEN(L562)</f>
        <v>25</v>
      </c>
      <c r="O562" s="5" t="n">
        <f aca="false">LEN(M562)</f>
        <v>25</v>
      </c>
      <c r="P562" s="14" t="n">
        <f aca="false">IF(N562=0,"",(N562-LEN(SUBSTITUTE(SUBSTITUTE(L562,"G",""),"C","")))/N562)</f>
        <v>0.4</v>
      </c>
      <c r="Q562" s="14" t="n">
        <f aca="false">IF(O562=0,"",(O562-LEN(SUBSTITUTE(SUBSTITUTE(M562,"G",""),"C","")))/O562)</f>
        <v>0.44</v>
      </c>
      <c r="R562" s="5" t="s">
        <v>633</v>
      </c>
      <c r="S562" s="15" t="s">
        <v>1677</v>
      </c>
      <c r="T562" s="5" t="n">
        <v>426</v>
      </c>
      <c r="U562" s="5" t="s">
        <v>1678</v>
      </c>
      <c r="V562" s="5" t="s">
        <v>588</v>
      </c>
      <c r="W562" s="5"/>
      <c r="X562" s="15" t="s">
        <v>1677</v>
      </c>
      <c r="Y562" s="5"/>
    </row>
    <row r="563" customFormat="false" ht="15" hidden="false" customHeight="false" outlineLevel="0" collapsed="false">
      <c r="A563" s="5" t="s">
        <v>6508</v>
      </c>
      <c r="B563" s="5" t="s">
        <v>627</v>
      </c>
      <c r="C563" s="5" t="s">
        <v>628</v>
      </c>
      <c r="D563" s="9" t="s">
        <v>66</v>
      </c>
      <c r="E563" s="5" t="n">
        <v>5</v>
      </c>
      <c r="F563" s="5" t="s">
        <v>6509</v>
      </c>
      <c r="G563" s="13" t="s">
        <v>6510</v>
      </c>
      <c r="H563" s="5" t="s">
        <v>6511</v>
      </c>
      <c r="I563" s="13" t="s">
        <v>6512</v>
      </c>
      <c r="J563" s="5" t="s">
        <v>6513</v>
      </c>
      <c r="K563" s="5" t="s">
        <v>6514</v>
      </c>
      <c r="L563" s="13" t="s">
        <v>6515</v>
      </c>
      <c r="M563" s="13" t="s">
        <v>6516</v>
      </c>
      <c r="N563" s="5" t="n">
        <f aca="false">LEN(L563)</f>
        <v>25</v>
      </c>
      <c r="O563" s="5" t="n">
        <f aca="false">LEN(M563)</f>
        <v>25</v>
      </c>
      <c r="P563" s="14" t="n">
        <f aca="false">IF(N563=0,"",(N563-LEN(SUBSTITUTE(SUBSTITUTE(L563,"G",""),"C","")))/N563)</f>
        <v>0.32</v>
      </c>
      <c r="Q563" s="14" t="n">
        <f aca="false">IF(O563=0,"",(O563-LEN(SUBSTITUTE(SUBSTITUTE(M563,"G",""),"C","")))/O563)</f>
        <v>0.32</v>
      </c>
      <c r="R563" s="5" t="s">
        <v>633</v>
      </c>
      <c r="S563" s="15" t="s">
        <v>1677</v>
      </c>
      <c r="T563" s="5" t="n">
        <v>496</v>
      </c>
      <c r="U563" s="5" t="s">
        <v>1678</v>
      </c>
      <c r="V563" s="5" t="s">
        <v>588</v>
      </c>
      <c r="W563" s="5"/>
      <c r="X563" s="15" t="s">
        <v>1677</v>
      </c>
      <c r="Y563" s="5"/>
    </row>
    <row r="564" customFormat="false" ht="15" hidden="false" customHeight="false" outlineLevel="0" collapsed="false">
      <c r="A564" s="5" t="s">
        <v>6517</v>
      </c>
      <c r="B564" s="5" t="s">
        <v>627</v>
      </c>
      <c r="C564" s="5" t="s">
        <v>628</v>
      </c>
      <c r="D564" s="9" t="s">
        <v>66</v>
      </c>
      <c r="E564" s="5" t="n">
        <v>6</v>
      </c>
      <c r="F564" s="5" t="s">
        <v>6518</v>
      </c>
      <c r="G564" s="13" t="s">
        <v>6519</v>
      </c>
      <c r="H564" s="5" t="s">
        <v>6520</v>
      </c>
      <c r="I564" s="13" t="s">
        <v>6521</v>
      </c>
      <c r="J564" s="5" t="s">
        <v>6522</v>
      </c>
      <c r="K564" s="5" t="s">
        <v>6523</v>
      </c>
      <c r="L564" s="13" t="s">
        <v>6524</v>
      </c>
      <c r="M564" s="13" t="s">
        <v>6525</v>
      </c>
      <c r="N564" s="5" t="n">
        <f aca="false">LEN(L564)</f>
        <v>25</v>
      </c>
      <c r="O564" s="5" t="n">
        <f aca="false">LEN(M564)</f>
        <v>25</v>
      </c>
      <c r="P564" s="14" t="n">
        <f aca="false">IF(N564=0,"",(N564-LEN(SUBSTITUTE(SUBSTITUTE(L564,"G",""),"C","")))/N564)</f>
        <v>0.48</v>
      </c>
      <c r="Q564" s="14" t="n">
        <f aca="false">IF(O564=0,"",(O564-LEN(SUBSTITUTE(SUBSTITUTE(M564,"G",""),"C","")))/O564)</f>
        <v>0.36</v>
      </c>
      <c r="R564" s="5" t="s">
        <v>633</v>
      </c>
      <c r="S564" s="15" t="s">
        <v>1677</v>
      </c>
      <c r="T564" s="5" t="n">
        <v>566</v>
      </c>
      <c r="U564" s="5" t="s">
        <v>1678</v>
      </c>
      <c r="V564" s="5" t="s">
        <v>588</v>
      </c>
      <c r="W564" s="5"/>
      <c r="X564" s="15" t="s">
        <v>1677</v>
      </c>
      <c r="Y564" s="5"/>
    </row>
    <row r="565" customFormat="false" ht="15" hidden="false" customHeight="false" outlineLevel="0" collapsed="false">
      <c r="A565" s="5" t="s">
        <v>6526</v>
      </c>
      <c r="B565" s="5" t="s">
        <v>636</v>
      </c>
      <c r="C565" s="5" t="s">
        <v>637</v>
      </c>
      <c r="D565" s="9" t="s">
        <v>66</v>
      </c>
      <c r="E565" s="5" t="n">
        <v>1</v>
      </c>
      <c r="F565" s="5" t="s">
        <v>6527</v>
      </c>
      <c r="G565" s="13" t="s">
        <v>6528</v>
      </c>
      <c r="H565" s="5" t="s">
        <v>6529</v>
      </c>
      <c r="I565" s="13" t="s">
        <v>6530</v>
      </c>
      <c r="J565" s="5" t="s">
        <v>6531</v>
      </c>
      <c r="K565" s="5" t="s">
        <v>6532</v>
      </c>
      <c r="L565" s="13" t="s">
        <v>6533</v>
      </c>
      <c r="M565" s="13" t="s">
        <v>6534</v>
      </c>
      <c r="N565" s="5" t="n">
        <f aca="false">LEN(L565)</f>
        <v>25</v>
      </c>
      <c r="O565" s="5" t="n">
        <f aca="false">LEN(M565)</f>
        <v>25</v>
      </c>
      <c r="P565" s="14" t="n">
        <f aca="false">IF(N565=0,"",(N565-LEN(SUBSTITUTE(SUBSTITUTE(L565,"G",""),"C","")))/N565)</f>
        <v>0.44</v>
      </c>
      <c r="Q565" s="14" t="n">
        <f aca="false">IF(O565=0,"",(O565-LEN(SUBSTITUTE(SUBSTITUTE(M565,"G",""),"C","")))/O565)</f>
        <v>0.48</v>
      </c>
      <c r="R565" s="5" t="s">
        <v>642</v>
      </c>
      <c r="S565" s="15" t="s">
        <v>1677</v>
      </c>
      <c r="T565" s="5" t="n">
        <v>6</v>
      </c>
      <c r="U565" s="5" t="s">
        <v>1678</v>
      </c>
      <c r="V565" s="5" t="s">
        <v>588</v>
      </c>
      <c r="W565" s="5"/>
      <c r="X565" s="8" t="s">
        <v>2131</v>
      </c>
      <c r="Y565" s="5"/>
    </row>
    <row r="566" customFormat="false" ht="15" hidden="false" customHeight="false" outlineLevel="0" collapsed="false">
      <c r="A566" s="5" t="s">
        <v>6535</v>
      </c>
      <c r="B566" s="5" t="s">
        <v>636</v>
      </c>
      <c r="C566" s="5" t="s">
        <v>637</v>
      </c>
      <c r="D566" s="9" t="s">
        <v>66</v>
      </c>
      <c r="E566" s="5" t="n">
        <v>2</v>
      </c>
      <c r="F566" s="5" t="s">
        <v>6536</v>
      </c>
      <c r="G566" s="13" t="s">
        <v>6537</v>
      </c>
      <c r="H566" s="5" t="s">
        <v>6538</v>
      </c>
      <c r="I566" s="13" t="s">
        <v>6539</v>
      </c>
      <c r="J566" s="5" t="s">
        <v>6540</v>
      </c>
      <c r="K566" s="5" t="s">
        <v>6541</v>
      </c>
      <c r="L566" s="13" t="s">
        <v>6542</v>
      </c>
      <c r="M566" s="13" t="s">
        <v>6543</v>
      </c>
      <c r="N566" s="5" t="n">
        <f aca="false">LEN(L566)</f>
        <v>25</v>
      </c>
      <c r="O566" s="5" t="n">
        <f aca="false">LEN(M566)</f>
        <v>25</v>
      </c>
      <c r="P566" s="14" t="n">
        <f aca="false">IF(N566=0,"",(N566-LEN(SUBSTITUTE(SUBSTITUTE(L566,"G",""),"C","")))/N566)</f>
        <v>0.36</v>
      </c>
      <c r="Q566" s="14" t="n">
        <f aca="false">IF(O566=0,"",(O566-LEN(SUBSTITUTE(SUBSTITUTE(M566,"G",""),"C","")))/O566)</f>
        <v>0.36</v>
      </c>
      <c r="R566" s="5" t="s">
        <v>642</v>
      </c>
      <c r="S566" s="15" t="s">
        <v>1677</v>
      </c>
      <c r="T566" s="5" t="n">
        <v>76</v>
      </c>
      <c r="U566" s="5" t="s">
        <v>1678</v>
      </c>
      <c r="V566" s="5" t="s">
        <v>588</v>
      </c>
      <c r="W566" s="5"/>
      <c r="X566" s="8" t="s">
        <v>2131</v>
      </c>
      <c r="Y566" s="5"/>
    </row>
    <row r="567" customFormat="false" ht="15" hidden="false" customHeight="false" outlineLevel="0" collapsed="false">
      <c r="A567" s="5" t="s">
        <v>6544</v>
      </c>
      <c r="B567" s="5" t="s">
        <v>636</v>
      </c>
      <c r="C567" s="5" t="s">
        <v>637</v>
      </c>
      <c r="D567" s="9" t="s">
        <v>66</v>
      </c>
      <c r="E567" s="5" t="n">
        <v>3</v>
      </c>
      <c r="F567" s="5" t="s">
        <v>6545</v>
      </c>
      <c r="G567" s="13" t="s">
        <v>6546</v>
      </c>
      <c r="H567" s="5" t="s">
        <v>6547</v>
      </c>
      <c r="I567" s="13" t="s">
        <v>6548</v>
      </c>
      <c r="J567" s="5" t="s">
        <v>6549</v>
      </c>
      <c r="K567" s="5" t="s">
        <v>6550</v>
      </c>
      <c r="L567" s="13" t="s">
        <v>6551</v>
      </c>
      <c r="M567" s="13" t="s">
        <v>6552</v>
      </c>
      <c r="N567" s="5" t="n">
        <f aca="false">LEN(L567)</f>
        <v>25</v>
      </c>
      <c r="O567" s="5" t="n">
        <f aca="false">LEN(M567)</f>
        <v>25</v>
      </c>
      <c r="P567" s="14" t="n">
        <f aca="false">IF(N567=0,"",(N567-LEN(SUBSTITUTE(SUBSTITUTE(L567,"G",""),"C","")))/N567)</f>
        <v>0.68</v>
      </c>
      <c r="Q567" s="14" t="n">
        <f aca="false">IF(O567=0,"",(O567-LEN(SUBSTITUTE(SUBSTITUTE(M567,"G",""),"C","")))/O567)</f>
        <v>0.72</v>
      </c>
      <c r="R567" s="5" t="s">
        <v>642</v>
      </c>
      <c r="S567" s="15" t="s">
        <v>1677</v>
      </c>
      <c r="T567" s="5" t="n">
        <v>146</v>
      </c>
      <c r="U567" s="5" t="s">
        <v>1678</v>
      </c>
      <c r="V567" s="5" t="s">
        <v>588</v>
      </c>
      <c r="W567" s="5"/>
      <c r="X567" s="15" t="s">
        <v>1677</v>
      </c>
      <c r="Y567" s="5"/>
    </row>
    <row r="568" customFormat="false" ht="15" hidden="false" customHeight="false" outlineLevel="0" collapsed="false">
      <c r="A568" s="5" t="s">
        <v>6553</v>
      </c>
      <c r="B568" s="5" t="s">
        <v>636</v>
      </c>
      <c r="C568" s="5" t="s">
        <v>637</v>
      </c>
      <c r="D568" s="9" t="s">
        <v>66</v>
      </c>
      <c r="E568" s="5" t="n">
        <v>4</v>
      </c>
      <c r="F568" s="5" t="s">
        <v>6554</v>
      </c>
      <c r="G568" s="13" t="s">
        <v>6555</v>
      </c>
      <c r="H568" s="5" t="s">
        <v>6556</v>
      </c>
      <c r="I568" s="13" t="s">
        <v>6557</v>
      </c>
      <c r="J568" s="5" t="s">
        <v>4146</v>
      </c>
      <c r="K568" s="5" t="s">
        <v>4146</v>
      </c>
      <c r="L568" s="13" t="s">
        <v>6558</v>
      </c>
      <c r="M568" s="13" t="s">
        <v>6559</v>
      </c>
      <c r="N568" s="5" t="n">
        <f aca="false">LEN(L568)</f>
        <v>25</v>
      </c>
      <c r="O568" s="5" t="n">
        <f aca="false">LEN(M568)</f>
        <v>25</v>
      </c>
      <c r="P568" s="14" t="n">
        <f aca="false">IF(N568=0,"",(N568-LEN(SUBSTITUTE(SUBSTITUTE(L568,"G",""),"C","")))/N568)</f>
        <v>0.56</v>
      </c>
      <c r="Q568" s="14" t="n">
        <f aca="false">IF(O568=0,"",(O568-LEN(SUBSTITUTE(SUBSTITUTE(M568,"G",""),"C","")))/O568)</f>
        <v>0.72</v>
      </c>
      <c r="R568" s="5" t="s">
        <v>642</v>
      </c>
      <c r="S568" s="15" t="s">
        <v>1677</v>
      </c>
      <c r="T568" s="5" t="n">
        <v>186</v>
      </c>
      <c r="U568" s="5" t="s">
        <v>1678</v>
      </c>
      <c r="V568" s="5" t="s">
        <v>1191</v>
      </c>
      <c r="W568" s="5" t="s">
        <v>1191</v>
      </c>
      <c r="X568" s="15" t="s">
        <v>1677</v>
      </c>
      <c r="Y568" s="5"/>
    </row>
    <row r="569" customFormat="false" ht="15" hidden="false" customHeight="false" outlineLevel="0" collapsed="false">
      <c r="A569" s="5" t="s">
        <v>6560</v>
      </c>
      <c r="B569" s="5" t="s">
        <v>636</v>
      </c>
      <c r="C569" s="5" t="s">
        <v>637</v>
      </c>
      <c r="D569" s="9" t="s">
        <v>66</v>
      </c>
      <c r="E569" s="5" t="n">
        <v>5</v>
      </c>
      <c r="F569" s="5" t="s">
        <v>6561</v>
      </c>
      <c r="G569" s="13" t="s">
        <v>6562</v>
      </c>
      <c r="H569" s="5" t="s">
        <v>6563</v>
      </c>
      <c r="I569" s="13" t="s">
        <v>6564</v>
      </c>
      <c r="J569" s="5" t="s">
        <v>4146</v>
      </c>
      <c r="K569" s="5" t="s">
        <v>4146</v>
      </c>
      <c r="L569" s="13" t="s">
        <v>6565</v>
      </c>
      <c r="M569" s="13" t="s">
        <v>6566</v>
      </c>
      <c r="N569" s="5" t="n">
        <f aca="false">LEN(L569)</f>
        <v>25</v>
      </c>
      <c r="O569" s="5" t="n">
        <f aca="false">LEN(M569)</f>
        <v>25</v>
      </c>
      <c r="P569" s="14" t="n">
        <f aca="false">IF(N569=0,"",(N569-LEN(SUBSTITUTE(SUBSTITUTE(L569,"G",""),"C","")))/N569)</f>
        <v>0.68</v>
      </c>
      <c r="Q569" s="14" t="n">
        <f aca="false">IF(O569=0,"",(O569-LEN(SUBSTITUTE(SUBSTITUTE(M569,"G",""),"C","")))/O569)</f>
        <v>0.52</v>
      </c>
      <c r="R569" s="5" t="s">
        <v>642</v>
      </c>
      <c r="S569" s="15" t="s">
        <v>1677</v>
      </c>
      <c r="T569" s="5" t="n">
        <v>266</v>
      </c>
      <c r="U569" s="5" t="s">
        <v>1678</v>
      </c>
      <c r="V569" s="5" t="s">
        <v>1191</v>
      </c>
      <c r="W569" s="5" t="s">
        <v>1191</v>
      </c>
      <c r="X569" s="15" t="s">
        <v>1677</v>
      </c>
      <c r="Y569" s="5"/>
    </row>
    <row r="570" customFormat="false" ht="15" hidden="false" customHeight="false" outlineLevel="0" collapsed="false">
      <c r="A570" s="5" t="s">
        <v>6567</v>
      </c>
      <c r="B570" s="5" t="s">
        <v>636</v>
      </c>
      <c r="C570" s="5" t="s">
        <v>637</v>
      </c>
      <c r="D570" s="9" t="s">
        <v>66</v>
      </c>
      <c r="E570" s="5" t="n">
        <v>6</v>
      </c>
      <c r="F570" s="5" t="s">
        <v>6568</v>
      </c>
      <c r="G570" s="13" t="s">
        <v>6569</v>
      </c>
      <c r="H570" s="5" t="s">
        <v>6570</v>
      </c>
      <c r="I570" s="13" t="s">
        <v>6571</v>
      </c>
      <c r="J570" s="5" t="s">
        <v>4146</v>
      </c>
      <c r="K570" s="5" t="s">
        <v>4146</v>
      </c>
      <c r="L570" s="13" t="s">
        <v>6572</v>
      </c>
      <c r="M570" s="13" t="s">
        <v>6573</v>
      </c>
      <c r="N570" s="5" t="n">
        <f aca="false">LEN(L570)</f>
        <v>25</v>
      </c>
      <c r="O570" s="5" t="n">
        <f aca="false">LEN(M570)</f>
        <v>25</v>
      </c>
      <c r="P570" s="14" t="n">
        <f aca="false">IF(N570=0,"",(N570-LEN(SUBSTITUTE(SUBSTITUTE(L570,"G",""),"C","")))/N570)</f>
        <v>0.68</v>
      </c>
      <c r="Q570" s="14" t="n">
        <f aca="false">IF(O570=0,"",(O570-LEN(SUBSTITUTE(SUBSTITUTE(M570,"G",""),"C","")))/O570)</f>
        <v>0.84</v>
      </c>
      <c r="R570" s="5" t="s">
        <v>642</v>
      </c>
      <c r="S570" s="15" t="s">
        <v>1677</v>
      </c>
      <c r="T570" s="5" t="n">
        <v>346</v>
      </c>
      <c r="U570" s="5" t="s">
        <v>1678</v>
      </c>
      <c r="V570" s="5" t="s">
        <v>1191</v>
      </c>
      <c r="W570" s="5" t="s">
        <v>1191</v>
      </c>
      <c r="X570" s="15" t="s">
        <v>1677</v>
      </c>
      <c r="Y570" s="5"/>
    </row>
    <row r="571" customFormat="false" ht="15" hidden="false" customHeight="false" outlineLevel="0" collapsed="false">
      <c r="A571" s="5" t="s">
        <v>6574</v>
      </c>
      <c r="B571" s="5" t="s">
        <v>636</v>
      </c>
      <c r="C571" s="5" t="s">
        <v>637</v>
      </c>
      <c r="D571" s="9" t="s">
        <v>66</v>
      </c>
      <c r="E571" s="5" t="n">
        <v>7</v>
      </c>
      <c r="F571" s="5" t="s">
        <v>6575</v>
      </c>
      <c r="G571" s="13" t="s">
        <v>6576</v>
      </c>
      <c r="H571" s="5" t="s">
        <v>6577</v>
      </c>
      <c r="I571" s="13" t="s">
        <v>6578</v>
      </c>
      <c r="J571" s="5" t="s">
        <v>6579</v>
      </c>
      <c r="K571" s="5" t="s">
        <v>6580</v>
      </c>
      <c r="L571" s="13" t="s">
        <v>6581</v>
      </c>
      <c r="M571" s="13" t="s">
        <v>6582</v>
      </c>
      <c r="N571" s="5" t="n">
        <f aca="false">LEN(L571)</f>
        <v>25</v>
      </c>
      <c r="O571" s="5" t="n">
        <f aca="false">LEN(M571)</f>
        <v>25</v>
      </c>
      <c r="P571" s="14" t="n">
        <f aca="false">IF(N571=0,"",(N571-LEN(SUBSTITUTE(SUBSTITUTE(L571,"G",""),"C","")))/N571)</f>
        <v>0.6</v>
      </c>
      <c r="Q571" s="14" t="n">
        <f aca="false">IF(O571=0,"",(O571-LEN(SUBSTITUTE(SUBSTITUTE(M571,"G",""),"C","")))/O571)</f>
        <v>0.68</v>
      </c>
      <c r="R571" s="5" t="s">
        <v>642</v>
      </c>
      <c r="S571" s="15" t="s">
        <v>1677</v>
      </c>
      <c r="T571" s="5" t="n">
        <v>426</v>
      </c>
      <c r="U571" s="5" t="s">
        <v>1678</v>
      </c>
      <c r="V571" s="5" t="s">
        <v>6583</v>
      </c>
      <c r="W571" s="5" t="s">
        <v>1191</v>
      </c>
      <c r="X571" s="15" t="s">
        <v>1677</v>
      </c>
      <c r="Y571" s="5"/>
    </row>
    <row r="572" customFormat="false" ht="15" hidden="false" customHeight="false" outlineLevel="0" collapsed="false">
      <c r="A572" s="5" t="s">
        <v>6584</v>
      </c>
      <c r="B572" s="5" t="s">
        <v>636</v>
      </c>
      <c r="C572" s="5" t="s">
        <v>637</v>
      </c>
      <c r="D572" s="9" t="s">
        <v>66</v>
      </c>
      <c r="E572" s="5" t="n">
        <v>8</v>
      </c>
      <c r="F572" s="5" t="s">
        <v>6585</v>
      </c>
      <c r="G572" s="13" t="s">
        <v>6586</v>
      </c>
      <c r="H572" s="5" t="s">
        <v>6587</v>
      </c>
      <c r="I572" s="13" t="s">
        <v>6588</v>
      </c>
      <c r="J572" s="5" t="s">
        <v>6589</v>
      </c>
      <c r="K572" s="5" t="s">
        <v>6590</v>
      </c>
      <c r="L572" s="13" t="s">
        <v>6591</v>
      </c>
      <c r="M572" s="13" t="s">
        <v>6592</v>
      </c>
      <c r="N572" s="5" t="n">
        <f aca="false">LEN(L572)</f>
        <v>25</v>
      </c>
      <c r="O572" s="5" t="n">
        <f aca="false">LEN(M572)</f>
        <v>25</v>
      </c>
      <c r="P572" s="14" t="n">
        <f aca="false">IF(N572=0,"",(N572-LEN(SUBSTITUTE(SUBSTITUTE(L572,"G",""),"C","")))/N572)</f>
        <v>0.68</v>
      </c>
      <c r="Q572" s="14" t="n">
        <f aca="false">IF(O572=0,"",(O572-LEN(SUBSTITUTE(SUBSTITUTE(M572,"G",""),"C","")))/O572)</f>
        <v>0.72</v>
      </c>
      <c r="R572" s="5" t="s">
        <v>642</v>
      </c>
      <c r="S572" s="15" t="s">
        <v>1677</v>
      </c>
      <c r="T572" s="5" t="n">
        <v>496</v>
      </c>
      <c r="U572" s="5" t="s">
        <v>1678</v>
      </c>
      <c r="V572" s="5" t="s">
        <v>154</v>
      </c>
      <c r="W572" s="5"/>
      <c r="X572" s="15" t="s">
        <v>1677</v>
      </c>
      <c r="Y572" s="5"/>
    </row>
    <row r="573" customFormat="false" ht="15" hidden="false" customHeight="false" outlineLevel="0" collapsed="false">
      <c r="A573" s="5" t="s">
        <v>6593</v>
      </c>
      <c r="B573" s="5" t="s">
        <v>636</v>
      </c>
      <c r="C573" s="5" t="s">
        <v>637</v>
      </c>
      <c r="D573" s="9" t="s">
        <v>66</v>
      </c>
      <c r="E573" s="5" t="n">
        <v>9</v>
      </c>
      <c r="F573" s="5" t="s">
        <v>6594</v>
      </c>
      <c r="G573" s="13" t="s">
        <v>6595</v>
      </c>
      <c r="H573" s="5" t="s">
        <v>6596</v>
      </c>
      <c r="I573" s="13" t="s">
        <v>6597</v>
      </c>
      <c r="J573" s="5" t="s">
        <v>4146</v>
      </c>
      <c r="K573" s="5" t="s">
        <v>4146</v>
      </c>
      <c r="L573" s="13" t="s">
        <v>6598</v>
      </c>
      <c r="M573" s="13" t="s">
        <v>6599</v>
      </c>
      <c r="N573" s="5" t="n">
        <f aca="false">LEN(L573)</f>
        <v>25</v>
      </c>
      <c r="O573" s="5" t="n">
        <f aca="false">LEN(M573)</f>
        <v>25</v>
      </c>
      <c r="P573" s="14" t="n">
        <f aca="false">IF(N573=0,"",(N573-LEN(SUBSTITUTE(SUBSTITUTE(L573,"G",""),"C","")))/N573)</f>
        <v>0.56</v>
      </c>
      <c r="Q573" s="14" t="n">
        <f aca="false">IF(O573=0,"",(O573-LEN(SUBSTITUTE(SUBSTITUTE(M573,"G",""),"C","")))/O573)</f>
        <v>0.72</v>
      </c>
      <c r="R573" s="5" t="s">
        <v>642</v>
      </c>
      <c r="S573" s="15" t="s">
        <v>1677</v>
      </c>
      <c r="T573" s="5" t="n">
        <v>506</v>
      </c>
      <c r="U573" s="5" t="s">
        <v>1678</v>
      </c>
      <c r="V573" s="5" t="s">
        <v>1191</v>
      </c>
      <c r="W573" s="5" t="s">
        <v>1191</v>
      </c>
      <c r="X573" s="15" t="s">
        <v>1677</v>
      </c>
      <c r="Y573" s="5"/>
    </row>
    <row r="574" customFormat="false" ht="15" hidden="false" customHeight="false" outlineLevel="0" collapsed="false">
      <c r="A574" s="5" t="s">
        <v>6600</v>
      </c>
      <c r="B574" s="5" t="s">
        <v>636</v>
      </c>
      <c r="C574" s="5" t="s">
        <v>637</v>
      </c>
      <c r="D574" s="9" t="s">
        <v>66</v>
      </c>
      <c r="E574" s="5" t="n">
        <v>10</v>
      </c>
      <c r="F574" s="5" t="s">
        <v>6601</v>
      </c>
      <c r="G574" s="13" t="s">
        <v>6602</v>
      </c>
      <c r="H574" s="5" t="s">
        <v>6603</v>
      </c>
      <c r="I574" s="13" t="s">
        <v>6604</v>
      </c>
      <c r="J574" s="5" t="s">
        <v>6605</v>
      </c>
      <c r="K574" s="5" t="s">
        <v>6606</v>
      </c>
      <c r="L574" s="13" t="s">
        <v>6607</v>
      </c>
      <c r="M574" s="13" t="s">
        <v>6608</v>
      </c>
      <c r="N574" s="5" t="n">
        <f aca="false">LEN(L574)</f>
        <v>25</v>
      </c>
      <c r="O574" s="5" t="n">
        <f aca="false">LEN(M574)</f>
        <v>25</v>
      </c>
      <c r="P574" s="14" t="n">
        <f aca="false">IF(N574=0,"",(N574-LEN(SUBSTITUTE(SUBSTITUTE(L574,"G",""),"C","")))/N574)</f>
        <v>0.6</v>
      </c>
      <c r="Q574" s="14" t="n">
        <f aca="false">IF(O574=0,"",(O574-LEN(SUBSTITUTE(SUBSTITUTE(M574,"G",""),"C","")))/O574)</f>
        <v>0.44</v>
      </c>
      <c r="R574" s="5" t="s">
        <v>642</v>
      </c>
      <c r="S574" s="15" t="s">
        <v>1677</v>
      </c>
      <c r="T574" s="5" t="n">
        <v>566</v>
      </c>
      <c r="U574" s="5" t="s">
        <v>1678</v>
      </c>
      <c r="V574" s="5" t="s">
        <v>154</v>
      </c>
      <c r="W574" s="5"/>
      <c r="X574" s="8" t="s">
        <v>1914</v>
      </c>
      <c r="Y574" s="5"/>
    </row>
    <row r="575" customFormat="false" ht="15" hidden="false" customHeight="false" outlineLevel="0" collapsed="false">
      <c r="A575" s="5" t="s">
        <v>6609</v>
      </c>
      <c r="B575" s="5" t="s">
        <v>636</v>
      </c>
      <c r="C575" s="5" t="s">
        <v>637</v>
      </c>
      <c r="D575" s="9" t="s">
        <v>66</v>
      </c>
      <c r="E575" s="5" t="n">
        <v>11</v>
      </c>
      <c r="F575" s="5" t="s">
        <v>6610</v>
      </c>
      <c r="G575" s="13" t="s">
        <v>6611</v>
      </c>
      <c r="H575" s="5" t="s">
        <v>6612</v>
      </c>
      <c r="I575" s="13" t="s">
        <v>6613</v>
      </c>
      <c r="J575" s="5" t="s">
        <v>4146</v>
      </c>
      <c r="K575" s="5" t="s">
        <v>4146</v>
      </c>
      <c r="L575" s="13" t="s">
        <v>6614</v>
      </c>
      <c r="M575" s="13" t="s">
        <v>6615</v>
      </c>
      <c r="N575" s="5" t="n">
        <f aca="false">LEN(L575)</f>
        <v>25</v>
      </c>
      <c r="O575" s="5" t="n">
        <f aca="false">LEN(M575)</f>
        <v>25</v>
      </c>
      <c r="P575" s="14" t="n">
        <f aca="false">IF(N575=0,"",(N575-LEN(SUBSTITUTE(SUBSTITUTE(L575,"G",""),"C","")))/N575)</f>
        <v>0.44</v>
      </c>
      <c r="Q575" s="14" t="n">
        <f aca="false">IF(O575=0,"",(O575-LEN(SUBSTITUTE(SUBSTITUTE(M575,"G",""),"C","")))/O575)</f>
        <v>0.64</v>
      </c>
      <c r="R575" s="5" t="s">
        <v>642</v>
      </c>
      <c r="S575" s="8" t="s">
        <v>1769</v>
      </c>
      <c r="T575" s="5" t="n">
        <v>586</v>
      </c>
      <c r="U575" s="5" t="s">
        <v>4197</v>
      </c>
      <c r="V575" s="5" t="s">
        <v>1191</v>
      </c>
      <c r="W575" s="5" t="s">
        <v>1191</v>
      </c>
      <c r="X575" s="15" t="s">
        <v>1677</v>
      </c>
      <c r="Y575" s="8" t="s">
        <v>3168</v>
      </c>
    </row>
    <row r="576" customFormat="false" ht="15" hidden="false" customHeight="false" outlineLevel="0" collapsed="false">
      <c r="A576" s="5" t="s">
        <v>6616</v>
      </c>
      <c r="B576" s="5" t="s">
        <v>636</v>
      </c>
      <c r="C576" s="5" t="s">
        <v>637</v>
      </c>
      <c r="D576" s="9" t="s">
        <v>66</v>
      </c>
      <c r="E576" s="5" t="n">
        <v>12</v>
      </c>
      <c r="F576" s="5" t="s">
        <v>6617</v>
      </c>
      <c r="G576" s="13" t="s">
        <v>6618</v>
      </c>
      <c r="H576" s="5" t="s">
        <v>6619</v>
      </c>
      <c r="I576" s="13" t="s">
        <v>6620</v>
      </c>
      <c r="J576" s="5" t="s">
        <v>6621</v>
      </c>
      <c r="K576" s="5" t="s">
        <v>6622</v>
      </c>
      <c r="L576" s="13" t="s">
        <v>6623</v>
      </c>
      <c r="M576" s="13" t="s">
        <v>6624</v>
      </c>
      <c r="N576" s="5" t="n">
        <f aca="false">LEN(L576)</f>
        <v>25</v>
      </c>
      <c r="O576" s="5" t="n">
        <f aca="false">LEN(M576)</f>
        <v>25</v>
      </c>
      <c r="P576" s="14" t="n">
        <f aca="false">IF(N576=0,"",(N576-LEN(SUBSTITUTE(SUBSTITUTE(L576,"G",""),"C","")))/N576)</f>
        <v>0.64</v>
      </c>
      <c r="Q576" s="14" t="n">
        <f aca="false">IF(O576=0,"",(O576-LEN(SUBSTITUTE(SUBSTITUTE(M576,"G",""),"C","")))/O576)</f>
        <v>0.52</v>
      </c>
      <c r="R576" s="5" t="s">
        <v>642</v>
      </c>
      <c r="S576" s="15" t="s">
        <v>1677</v>
      </c>
      <c r="T576" s="5" t="n">
        <v>636</v>
      </c>
      <c r="U576" s="5" t="s">
        <v>1678</v>
      </c>
      <c r="V576" s="5" t="s">
        <v>154</v>
      </c>
      <c r="W576" s="5"/>
      <c r="X576" s="8" t="s">
        <v>1914</v>
      </c>
      <c r="Y576" s="5"/>
    </row>
    <row r="577" customFormat="false" ht="15" hidden="false" customHeight="false" outlineLevel="0" collapsed="false">
      <c r="A577" s="5" t="s">
        <v>6625</v>
      </c>
      <c r="B577" s="5" t="s">
        <v>636</v>
      </c>
      <c r="C577" s="5" t="s">
        <v>637</v>
      </c>
      <c r="D577" s="9" t="s">
        <v>66</v>
      </c>
      <c r="E577" s="5" t="n">
        <v>13</v>
      </c>
      <c r="F577" s="5" t="s">
        <v>6626</v>
      </c>
      <c r="G577" s="13" t="s">
        <v>6627</v>
      </c>
      <c r="H577" s="5" t="s">
        <v>6628</v>
      </c>
      <c r="I577" s="13" t="s">
        <v>6629</v>
      </c>
      <c r="J577" s="5" t="s">
        <v>6630</v>
      </c>
      <c r="K577" s="5" t="s">
        <v>6631</v>
      </c>
      <c r="L577" s="13" t="s">
        <v>6632</v>
      </c>
      <c r="M577" s="13" t="s">
        <v>6633</v>
      </c>
      <c r="N577" s="5" t="n">
        <f aca="false">LEN(L577)</f>
        <v>25</v>
      </c>
      <c r="O577" s="5" t="n">
        <f aca="false">LEN(M577)</f>
        <v>25</v>
      </c>
      <c r="P577" s="14" t="n">
        <f aca="false">IF(N577=0,"",(N577-LEN(SUBSTITUTE(SUBSTITUTE(L577,"G",""),"C","")))/N577)</f>
        <v>0.72</v>
      </c>
      <c r="Q577" s="14" t="n">
        <f aca="false">IF(O577=0,"",(O577-LEN(SUBSTITUTE(SUBSTITUTE(M577,"G",""),"C","")))/O577)</f>
        <v>0.6</v>
      </c>
      <c r="R577" s="5" t="s">
        <v>642</v>
      </c>
      <c r="S577" s="15" t="s">
        <v>1677</v>
      </c>
      <c r="T577" s="5" t="n">
        <v>706</v>
      </c>
      <c r="U577" s="5" t="s">
        <v>1678</v>
      </c>
      <c r="V577" s="5" t="s">
        <v>154</v>
      </c>
      <c r="W577" s="5"/>
      <c r="X577" s="8" t="s">
        <v>1769</v>
      </c>
      <c r="Y577" s="5"/>
    </row>
    <row r="578" customFormat="false" ht="15" hidden="false" customHeight="false" outlineLevel="0" collapsed="false">
      <c r="A578" s="5" t="s">
        <v>6634</v>
      </c>
      <c r="B578" s="5" t="s">
        <v>636</v>
      </c>
      <c r="C578" s="5" t="s">
        <v>637</v>
      </c>
      <c r="D578" s="9" t="s">
        <v>66</v>
      </c>
      <c r="E578" s="5" t="n">
        <v>14</v>
      </c>
      <c r="F578" s="5" t="s">
        <v>6635</v>
      </c>
      <c r="G578" s="13" t="s">
        <v>6636</v>
      </c>
      <c r="H578" s="5" t="s">
        <v>6637</v>
      </c>
      <c r="I578" s="13" t="s">
        <v>6638</v>
      </c>
      <c r="J578" s="5" t="s">
        <v>4146</v>
      </c>
      <c r="K578" s="5" t="s">
        <v>4146</v>
      </c>
      <c r="L578" s="13" t="s">
        <v>6639</v>
      </c>
      <c r="M578" s="13" t="s">
        <v>6640</v>
      </c>
      <c r="N578" s="5" t="n">
        <f aca="false">LEN(L578)</f>
        <v>25</v>
      </c>
      <c r="O578" s="5" t="n">
        <f aca="false">LEN(M578)</f>
        <v>25</v>
      </c>
      <c r="P578" s="14" t="n">
        <f aca="false">IF(N578=0,"",(N578-LEN(SUBSTITUTE(SUBSTITUTE(L578,"G",""),"C","")))/N578)</f>
        <v>0.68</v>
      </c>
      <c r="Q578" s="14" t="n">
        <f aca="false">IF(O578=0,"",(O578-LEN(SUBSTITUTE(SUBSTITUTE(M578,"G",""),"C","")))/O578)</f>
        <v>0.76</v>
      </c>
      <c r="R578" s="5" t="s">
        <v>642</v>
      </c>
      <c r="S578" s="15" t="s">
        <v>1677</v>
      </c>
      <c r="T578" s="5" t="n">
        <v>746</v>
      </c>
      <c r="U578" s="5" t="s">
        <v>1678</v>
      </c>
      <c r="V578" s="5" t="s">
        <v>1191</v>
      </c>
      <c r="W578" s="5" t="s">
        <v>1191</v>
      </c>
      <c r="X578" s="15" t="s">
        <v>1677</v>
      </c>
      <c r="Y578" s="5"/>
    </row>
    <row r="579" customFormat="false" ht="15" hidden="false" customHeight="false" outlineLevel="0" collapsed="false">
      <c r="A579" s="5" t="s">
        <v>6641</v>
      </c>
      <c r="B579" s="5" t="s">
        <v>636</v>
      </c>
      <c r="C579" s="5" t="s">
        <v>637</v>
      </c>
      <c r="D579" s="9" t="s">
        <v>66</v>
      </c>
      <c r="E579" s="5" t="n">
        <v>15</v>
      </c>
      <c r="F579" s="5" t="s">
        <v>6642</v>
      </c>
      <c r="G579" s="13" t="s">
        <v>6643</v>
      </c>
      <c r="H579" s="5" t="s">
        <v>6644</v>
      </c>
      <c r="I579" s="13" t="s">
        <v>6645</v>
      </c>
      <c r="J579" s="5" t="s">
        <v>4146</v>
      </c>
      <c r="K579" s="5" t="s">
        <v>4146</v>
      </c>
      <c r="L579" s="13" t="s">
        <v>6646</v>
      </c>
      <c r="M579" s="13" t="s">
        <v>6647</v>
      </c>
      <c r="N579" s="5" t="n">
        <f aca="false">LEN(L579)</f>
        <v>25</v>
      </c>
      <c r="O579" s="5" t="n">
        <f aca="false">LEN(M579)</f>
        <v>25</v>
      </c>
      <c r="P579" s="14" t="n">
        <f aca="false">IF(N579=0,"",(N579-LEN(SUBSTITUTE(SUBSTITUTE(L579,"G",""),"C","")))/N579)</f>
        <v>0.56</v>
      </c>
      <c r="Q579" s="14" t="n">
        <f aca="false">IF(O579=0,"",(O579-LEN(SUBSTITUTE(SUBSTITUTE(M579,"G",""),"C","")))/O579)</f>
        <v>0.72</v>
      </c>
      <c r="R579" s="5" t="s">
        <v>642</v>
      </c>
      <c r="S579" s="8" t="s">
        <v>1769</v>
      </c>
      <c r="T579" s="5" t="n">
        <v>826</v>
      </c>
      <c r="U579" s="5" t="s">
        <v>4197</v>
      </c>
      <c r="V579" s="5" t="s">
        <v>1191</v>
      </c>
      <c r="W579" s="5" t="s">
        <v>1191</v>
      </c>
      <c r="X579" s="15" t="s">
        <v>1677</v>
      </c>
      <c r="Y579" s="8" t="s">
        <v>3168</v>
      </c>
    </row>
    <row r="580" customFormat="false" ht="15" hidden="false" customHeight="false" outlineLevel="0" collapsed="false">
      <c r="A580" s="5" t="s">
        <v>6648</v>
      </c>
      <c r="B580" s="5" t="s">
        <v>636</v>
      </c>
      <c r="C580" s="5" t="s">
        <v>637</v>
      </c>
      <c r="D580" s="9" t="s">
        <v>66</v>
      </c>
      <c r="E580" s="5" t="n">
        <v>16</v>
      </c>
      <c r="F580" s="5" t="s">
        <v>6649</v>
      </c>
      <c r="G580" s="13" t="s">
        <v>6650</v>
      </c>
      <c r="H580" s="5" t="s">
        <v>6651</v>
      </c>
      <c r="I580" s="13" t="s">
        <v>6652</v>
      </c>
      <c r="J580" s="5" t="s">
        <v>4146</v>
      </c>
      <c r="K580" s="5" t="s">
        <v>4146</v>
      </c>
      <c r="L580" s="13" t="s">
        <v>6653</v>
      </c>
      <c r="M580" s="13" t="s">
        <v>6654</v>
      </c>
      <c r="N580" s="5" t="n">
        <f aca="false">LEN(L580)</f>
        <v>25</v>
      </c>
      <c r="O580" s="5" t="n">
        <f aca="false">LEN(M580)</f>
        <v>25</v>
      </c>
      <c r="P580" s="14" t="n">
        <f aca="false">IF(N580=0,"",(N580-LEN(SUBSTITUTE(SUBSTITUTE(L580,"G",""),"C","")))/N580)</f>
        <v>0.84</v>
      </c>
      <c r="Q580" s="14" t="n">
        <f aca="false">IF(O580=0,"",(O580-LEN(SUBSTITUTE(SUBSTITUTE(M580,"G",""),"C","")))/O580)</f>
        <v>0.56</v>
      </c>
      <c r="R580" s="5" t="s">
        <v>642</v>
      </c>
      <c r="S580" s="8" t="s">
        <v>1769</v>
      </c>
      <c r="T580" s="5" t="n">
        <v>906</v>
      </c>
      <c r="U580" s="5" t="s">
        <v>4197</v>
      </c>
      <c r="V580" s="5" t="s">
        <v>1191</v>
      </c>
      <c r="W580" s="5" t="s">
        <v>1191</v>
      </c>
      <c r="X580" s="15" t="s">
        <v>1677</v>
      </c>
      <c r="Y580" s="8" t="s">
        <v>3168</v>
      </c>
    </row>
    <row r="581" customFormat="false" ht="15" hidden="false" customHeight="false" outlineLevel="0" collapsed="false">
      <c r="A581" s="5" t="s">
        <v>6655</v>
      </c>
      <c r="B581" s="5" t="s">
        <v>636</v>
      </c>
      <c r="C581" s="5" t="s">
        <v>637</v>
      </c>
      <c r="D581" s="9" t="s">
        <v>66</v>
      </c>
      <c r="E581" s="5" t="n">
        <v>17</v>
      </c>
      <c r="F581" s="5" t="s">
        <v>6656</v>
      </c>
      <c r="G581" s="13" t="s">
        <v>6657</v>
      </c>
      <c r="H581" s="5" t="s">
        <v>6658</v>
      </c>
      <c r="I581" s="13" t="s">
        <v>6659</v>
      </c>
      <c r="J581" s="5" t="s">
        <v>4146</v>
      </c>
      <c r="K581" s="5" t="s">
        <v>4146</v>
      </c>
      <c r="L581" s="13" t="s">
        <v>6660</v>
      </c>
      <c r="M581" s="13" t="s">
        <v>6661</v>
      </c>
      <c r="N581" s="5" t="n">
        <f aca="false">LEN(L581)</f>
        <v>25</v>
      </c>
      <c r="O581" s="5" t="n">
        <f aca="false">LEN(M581)</f>
        <v>25</v>
      </c>
      <c r="P581" s="14" t="n">
        <f aca="false">IF(N581=0,"",(N581-LEN(SUBSTITUTE(SUBSTITUTE(L581,"G",""),"C","")))/N581)</f>
        <v>0.68</v>
      </c>
      <c r="Q581" s="14" t="n">
        <f aca="false">IF(O581=0,"",(O581-LEN(SUBSTITUTE(SUBSTITUTE(M581,"G",""),"C","")))/O581)</f>
        <v>0.64</v>
      </c>
      <c r="R581" s="5" t="s">
        <v>642</v>
      </c>
      <c r="S581" s="15" t="s">
        <v>1677</v>
      </c>
      <c r="T581" s="5" t="n">
        <v>986</v>
      </c>
      <c r="U581" s="5" t="s">
        <v>1678</v>
      </c>
      <c r="V581" s="5" t="s">
        <v>1191</v>
      </c>
      <c r="W581" s="5" t="s">
        <v>1191</v>
      </c>
      <c r="X581" s="15" t="s">
        <v>1677</v>
      </c>
      <c r="Y581" s="5"/>
    </row>
    <row r="582" customFormat="false" ht="15" hidden="false" customHeight="false" outlineLevel="0" collapsed="false">
      <c r="A582" s="5" t="s">
        <v>6662</v>
      </c>
      <c r="B582" s="5" t="s">
        <v>636</v>
      </c>
      <c r="C582" s="5" t="s">
        <v>637</v>
      </c>
      <c r="D582" s="9" t="s">
        <v>66</v>
      </c>
      <c r="E582" s="5" t="n">
        <v>18</v>
      </c>
      <c r="F582" s="5" t="s">
        <v>6663</v>
      </c>
      <c r="G582" s="13" t="s">
        <v>6664</v>
      </c>
      <c r="H582" s="5" t="s">
        <v>6665</v>
      </c>
      <c r="I582" s="13" t="s">
        <v>6666</v>
      </c>
      <c r="J582" s="5" t="s">
        <v>4146</v>
      </c>
      <c r="K582" s="5" t="s">
        <v>4146</v>
      </c>
      <c r="L582" s="13" t="s">
        <v>6667</v>
      </c>
      <c r="M582" s="13" t="s">
        <v>6668</v>
      </c>
      <c r="N582" s="5" t="n">
        <f aca="false">LEN(L582)</f>
        <v>25</v>
      </c>
      <c r="O582" s="5" t="n">
        <f aca="false">LEN(M582)</f>
        <v>25</v>
      </c>
      <c r="P582" s="14" t="n">
        <f aca="false">IF(N582=0,"",(N582-LEN(SUBSTITUTE(SUBSTITUTE(L582,"G",""),"C","")))/N582)</f>
        <v>0.72</v>
      </c>
      <c r="Q582" s="14" t="n">
        <f aca="false">IF(O582=0,"",(O582-LEN(SUBSTITUTE(SUBSTITUTE(M582,"G",""),"C","")))/O582)</f>
        <v>0.68</v>
      </c>
      <c r="R582" s="5" t="s">
        <v>642</v>
      </c>
      <c r="S582" s="15" t="s">
        <v>1677</v>
      </c>
      <c r="T582" s="5" t="n">
        <v>1066</v>
      </c>
      <c r="U582" s="5" t="s">
        <v>1678</v>
      </c>
      <c r="V582" s="5" t="s">
        <v>1191</v>
      </c>
      <c r="W582" s="5" t="s">
        <v>1191</v>
      </c>
      <c r="X582" s="15" t="s">
        <v>1677</v>
      </c>
      <c r="Y582" s="5"/>
    </row>
    <row r="583" customFormat="false" ht="15" hidden="false" customHeight="false" outlineLevel="0" collapsed="false">
      <c r="A583" s="5" t="s">
        <v>6669</v>
      </c>
      <c r="B583" s="5" t="s">
        <v>636</v>
      </c>
      <c r="C583" s="5" t="s">
        <v>637</v>
      </c>
      <c r="D583" s="9" t="s">
        <v>66</v>
      </c>
      <c r="E583" s="5" t="n">
        <v>19</v>
      </c>
      <c r="F583" s="5" t="s">
        <v>6670</v>
      </c>
      <c r="G583" s="13" t="s">
        <v>6671</v>
      </c>
      <c r="H583" s="5" t="s">
        <v>6672</v>
      </c>
      <c r="I583" s="13" t="s">
        <v>6673</v>
      </c>
      <c r="J583" s="5" t="s">
        <v>4146</v>
      </c>
      <c r="K583" s="5" t="s">
        <v>4146</v>
      </c>
      <c r="L583" s="13" t="s">
        <v>6674</v>
      </c>
      <c r="M583" s="13" t="s">
        <v>6675</v>
      </c>
      <c r="N583" s="5" t="n">
        <f aca="false">LEN(L583)</f>
        <v>25</v>
      </c>
      <c r="O583" s="5" t="n">
        <f aca="false">LEN(M583)</f>
        <v>25</v>
      </c>
      <c r="P583" s="14" t="n">
        <f aca="false">IF(N583=0,"",(N583-LEN(SUBSTITUTE(SUBSTITUTE(L583,"G",""),"C","")))/N583)</f>
        <v>0.84</v>
      </c>
      <c r="Q583" s="14" t="n">
        <f aca="false">IF(O583=0,"",(O583-LEN(SUBSTITUTE(SUBSTITUTE(M583,"G",""),"C","")))/O583)</f>
        <v>0.8</v>
      </c>
      <c r="R583" s="5" t="s">
        <v>642</v>
      </c>
      <c r="S583" s="8" t="s">
        <v>1769</v>
      </c>
      <c r="T583" s="5" t="n">
        <v>1146</v>
      </c>
      <c r="U583" s="5" t="s">
        <v>4197</v>
      </c>
      <c r="V583" s="5" t="s">
        <v>1191</v>
      </c>
      <c r="W583" s="5" t="s">
        <v>1191</v>
      </c>
      <c r="X583" s="15" t="s">
        <v>1677</v>
      </c>
      <c r="Y583" s="8" t="s">
        <v>3168</v>
      </c>
    </row>
    <row r="584" customFormat="false" ht="15" hidden="false" customHeight="false" outlineLevel="0" collapsed="false">
      <c r="A584" s="5" t="s">
        <v>6676</v>
      </c>
      <c r="B584" s="5" t="s">
        <v>636</v>
      </c>
      <c r="C584" s="5" t="s">
        <v>637</v>
      </c>
      <c r="D584" s="9" t="s">
        <v>66</v>
      </c>
      <c r="E584" s="5" t="n">
        <v>20</v>
      </c>
      <c r="F584" s="5" t="s">
        <v>6677</v>
      </c>
      <c r="G584" s="13" t="s">
        <v>6678</v>
      </c>
      <c r="H584" s="5" t="s">
        <v>6679</v>
      </c>
      <c r="I584" s="13" t="s">
        <v>6680</v>
      </c>
      <c r="J584" s="5" t="s">
        <v>4146</v>
      </c>
      <c r="K584" s="5" t="s">
        <v>4146</v>
      </c>
      <c r="L584" s="13" t="s">
        <v>6681</v>
      </c>
      <c r="M584" s="13" t="s">
        <v>6682</v>
      </c>
      <c r="N584" s="5" t="n">
        <f aca="false">LEN(L584)</f>
        <v>25</v>
      </c>
      <c r="O584" s="5" t="n">
        <f aca="false">LEN(M584)</f>
        <v>25</v>
      </c>
      <c r="P584" s="14" t="n">
        <f aca="false">IF(N584=0,"",(N584-LEN(SUBSTITUTE(SUBSTITUTE(L584,"G",""),"C","")))/N584)</f>
        <v>0.56</v>
      </c>
      <c r="Q584" s="14" t="n">
        <f aca="false">IF(O584=0,"",(O584-LEN(SUBSTITUTE(SUBSTITUTE(M584,"G",""),"C","")))/O584)</f>
        <v>0.72</v>
      </c>
      <c r="R584" s="5" t="s">
        <v>642</v>
      </c>
      <c r="S584" s="15" t="s">
        <v>1677</v>
      </c>
      <c r="T584" s="5" t="n">
        <v>1226</v>
      </c>
      <c r="U584" s="5" t="s">
        <v>1678</v>
      </c>
      <c r="V584" s="5" t="s">
        <v>1191</v>
      </c>
      <c r="W584" s="5" t="s">
        <v>1191</v>
      </c>
      <c r="X584" s="15" t="s">
        <v>1677</v>
      </c>
      <c r="Y584" s="5"/>
    </row>
    <row r="585" customFormat="false" ht="15" hidden="false" customHeight="false" outlineLevel="0" collapsed="false">
      <c r="A585" s="5" t="s">
        <v>6683</v>
      </c>
      <c r="B585" s="5" t="s">
        <v>636</v>
      </c>
      <c r="C585" s="5" t="s">
        <v>637</v>
      </c>
      <c r="D585" s="9" t="s">
        <v>66</v>
      </c>
      <c r="E585" s="5" t="n">
        <v>21</v>
      </c>
      <c r="F585" s="5" t="s">
        <v>6684</v>
      </c>
      <c r="G585" s="13" t="s">
        <v>6685</v>
      </c>
      <c r="H585" s="5" t="s">
        <v>6686</v>
      </c>
      <c r="I585" s="13" t="s">
        <v>6687</v>
      </c>
      <c r="J585" s="5" t="s">
        <v>4146</v>
      </c>
      <c r="K585" s="5" t="s">
        <v>4146</v>
      </c>
      <c r="L585" s="13" t="s">
        <v>6688</v>
      </c>
      <c r="M585" s="13" t="s">
        <v>6689</v>
      </c>
      <c r="N585" s="5" t="n">
        <f aca="false">LEN(L585)</f>
        <v>25</v>
      </c>
      <c r="O585" s="5" t="n">
        <f aca="false">LEN(M585)</f>
        <v>25</v>
      </c>
      <c r="P585" s="14" t="n">
        <f aca="false">IF(N585=0,"",(N585-LEN(SUBSTITUTE(SUBSTITUTE(L585,"G",""),"C","")))/N585)</f>
        <v>0.68</v>
      </c>
      <c r="Q585" s="14" t="n">
        <f aca="false">IF(O585=0,"",(O585-LEN(SUBSTITUTE(SUBSTITUTE(M585,"G",""),"C","")))/O585)</f>
        <v>0.64</v>
      </c>
      <c r="R585" s="5" t="s">
        <v>642</v>
      </c>
      <c r="S585" s="15" t="s">
        <v>1677</v>
      </c>
      <c r="T585" s="5" t="n">
        <v>1306</v>
      </c>
      <c r="U585" s="5" t="s">
        <v>1678</v>
      </c>
      <c r="V585" s="5" t="s">
        <v>1191</v>
      </c>
      <c r="W585" s="5" t="s">
        <v>1191</v>
      </c>
      <c r="X585" s="15" t="s">
        <v>1677</v>
      </c>
      <c r="Y585" s="5"/>
    </row>
    <row r="586" customFormat="false" ht="15" hidden="false" customHeight="false" outlineLevel="0" collapsed="false">
      <c r="A586" s="5" t="s">
        <v>6690</v>
      </c>
      <c r="B586" s="5" t="s">
        <v>636</v>
      </c>
      <c r="C586" s="5" t="s">
        <v>637</v>
      </c>
      <c r="D586" s="9" t="s">
        <v>66</v>
      </c>
      <c r="E586" s="5" t="n">
        <v>22</v>
      </c>
      <c r="F586" s="5" t="s">
        <v>6691</v>
      </c>
      <c r="G586" s="13" t="s">
        <v>6692</v>
      </c>
      <c r="H586" s="5" t="s">
        <v>6693</v>
      </c>
      <c r="I586" s="13" t="s">
        <v>6694</v>
      </c>
      <c r="J586" s="5" t="s">
        <v>4146</v>
      </c>
      <c r="K586" s="5" t="s">
        <v>4146</v>
      </c>
      <c r="L586" s="13" t="s">
        <v>6695</v>
      </c>
      <c r="M586" s="13" t="s">
        <v>6696</v>
      </c>
      <c r="N586" s="5" t="n">
        <f aca="false">LEN(L586)</f>
        <v>25</v>
      </c>
      <c r="O586" s="5" t="n">
        <f aca="false">LEN(M586)</f>
        <v>25</v>
      </c>
      <c r="P586" s="14" t="n">
        <f aca="false">IF(N586=0,"",(N586-LEN(SUBSTITUTE(SUBSTITUTE(L586,"G",""),"C","")))/N586)</f>
        <v>0.48</v>
      </c>
      <c r="Q586" s="14" t="n">
        <f aca="false">IF(O586=0,"",(O586-LEN(SUBSTITUTE(SUBSTITUTE(M586,"G",""),"C","")))/O586)</f>
        <v>0.48</v>
      </c>
      <c r="R586" s="5"/>
      <c r="S586" s="8" t="s">
        <v>2131</v>
      </c>
      <c r="T586" s="5"/>
      <c r="U586" s="5" t="s">
        <v>4197</v>
      </c>
      <c r="V586" s="5" t="s">
        <v>1191</v>
      </c>
      <c r="W586" s="5" t="s">
        <v>1191</v>
      </c>
      <c r="X586" s="15" t="s">
        <v>1677</v>
      </c>
      <c r="Y586" s="5"/>
    </row>
    <row r="587" customFormat="false" ht="15" hidden="false" customHeight="false" outlineLevel="0" collapsed="false">
      <c r="A587" s="5" t="s">
        <v>6697</v>
      </c>
      <c r="B587" s="5" t="s">
        <v>645</v>
      </c>
      <c r="C587" s="5" t="s">
        <v>646</v>
      </c>
      <c r="D587" s="9" t="s">
        <v>66</v>
      </c>
      <c r="E587" s="5" t="n">
        <v>1</v>
      </c>
      <c r="F587" s="5" t="s">
        <v>6698</v>
      </c>
      <c r="G587" s="13" t="s">
        <v>6699</v>
      </c>
      <c r="H587" s="5" t="s">
        <v>6700</v>
      </c>
      <c r="I587" s="13" t="s">
        <v>6701</v>
      </c>
      <c r="J587" s="5" t="s">
        <v>6702</v>
      </c>
      <c r="K587" s="5" t="s">
        <v>6703</v>
      </c>
      <c r="L587" s="13" t="s">
        <v>6704</v>
      </c>
      <c r="M587" s="13" t="s">
        <v>6705</v>
      </c>
      <c r="N587" s="5" t="n">
        <f aca="false">LEN(L587)</f>
        <v>25</v>
      </c>
      <c r="O587" s="5" t="n">
        <f aca="false">LEN(M587)</f>
        <v>25</v>
      </c>
      <c r="P587" s="14" t="n">
        <f aca="false">IF(N587=0,"",(N587-LEN(SUBSTITUTE(SUBSTITUTE(L587,"G",""),"C","")))/N587)</f>
        <v>0.52</v>
      </c>
      <c r="Q587" s="14" t="n">
        <f aca="false">IF(O587=0,"",(O587-LEN(SUBSTITUTE(SUBSTITUTE(M587,"G",""),"C","")))/O587)</f>
        <v>0.4</v>
      </c>
      <c r="R587" s="5" t="s">
        <v>650</v>
      </c>
      <c r="S587" s="15" t="s">
        <v>1677</v>
      </c>
      <c r="T587" s="5" t="n">
        <v>146</v>
      </c>
      <c r="U587" s="5" t="s">
        <v>1678</v>
      </c>
      <c r="V587" s="5" t="s">
        <v>588</v>
      </c>
      <c r="W587" s="5"/>
      <c r="X587" s="15" t="s">
        <v>1677</v>
      </c>
      <c r="Y587" s="5"/>
    </row>
    <row r="588" customFormat="false" ht="15" hidden="false" customHeight="false" outlineLevel="0" collapsed="false">
      <c r="A588" s="5" t="s">
        <v>6706</v>
      </c>
      <c r="B588" s="5" t="s">
        <v>645</v>
      </c>
      <c r="C588" s="5" t="s">
        <v>646</v>
      </c>
      <c r="D588" s="9" t="s">
        <v>66</v>
      </c>
      <c r="E588" s="5" t="n">
        <v>2</v>
      </c>
      <c r="F588" s="5" t="s">
        <v>6707</v>
      </c>
      <c r="G588" s="13" t="s">
        <v>6708</v>
      </c>
      <c r="H588" s="5" t="s">
        <v>6709</v>
      </c>
      <c r="I588" s="13" t="s">
        <v>6710</v>
      </c>
      <c r="J588" s="5" t="s">
        <v>6711</v>
      </c>
      <c r="K588" s="5" t="s">
        <v>6712</v>
      </c>
      <c r="L588" s="13" t="s">
        <v>6713</v>
      </c>
      <c r="M588" s="13" t="s">
        <v>6714</v>
      </c>
      <c r="N588" s="5" t="n">
        <f aca="false">LEN(L588)</f>
        <v>25</v>
      </c>
      <c r="O588" s="5" t="n">
        <f aca="false">LEN(M588)</f>
        <v>25</v>
      </c>
      <c r="P588" s="14" t="n">
        <f aca="false">IF(N588=0,"",(N588-LEN(SUBSTITUTE(SUBSTITUTE(L588,"G",""),"C","")))/N588)</f>
        <v>0.6</v>
      </c>
      <c r="Q588" s="14" t="n">
        <f aca="false">IF(O588=0,"",(O588-LEN(SUBSTITUTE(SUBSTITUTE(M588,"G",""),"C","")))/O588)</f>
        <v>0.6</v>
      </c>
      <c r="R588" s="5" t="s">
        <v>650</v>
      </c>
      <c r="S588" s="15" t="s">
        <v>1677</v>
      </c>
      <c r="T588" s="5" t="n">
        <v>216</v>
      </c>
      <c r="U588" s="5" t="s">
        <v>1678</v>
      </c>
      <c r="V588" s="5" t="s">
        <v>588</v>
      </c>
      <c r="W588" s="5"/>
      <c r="X588" s="15" t="s">
        <v>1677</v>
      </c>
      <c r="Y588" s="5"/>
    </row>
    <row r="589" customFormat="false" ht="15" hidden="false" customHeight="false" outlineLevel="0" collapsed="false">
      <c r="A589" s="5" t="s">
        <v>6715</v>
      </c>
      <c r="B589" s="5" t="s">
        <v>645</v>
      </c>
      <c r="C589" s="5" t="s">
        <v>646</v>
      </c>
      <c r="D589" s="9" t="s">
        <v>66</v>
      </c>
      <c r="E589" s="5" t="n">
        <v>3</v>
      </c>
      <c r="F589" s="5" t="s">
        <v>6716</v>
      </c>
      <c r="G589" s="13" t="s">
        <v>6717</v>
      </c>
      <c r="H589" s="5" t="s">
        <v>6718</v>
      </c>
      <c r="I589" s="13" t="s">
        <v>6719</v>
      </c>
      <c r="J589" s="5" t="s">
        <v>6720</v>
      </c>
      <c r="K589" s="5" t="s">
        <v>6721</v>
      </c>
      <c r="L589" s="13" t="s">
        <v>6722</v>
      </c>
      <c r="M589" s="13" t="s">
        <v>6723</v>
      </c>
      <c r="N589" s="5" t="n">
        <f aca="false">LEN(L589)</f>
        <v>25</v>
      </c>
      <c r="O589" s="5" t="n">
        <f aca="false">LEN(M589)</f>
        <v>25</v>
      </c>
      <c r="P589" s="14" t="n">
        <f aca="false">IF(N589=0,"",(N589-LEN(SUBSTITUTE(SUBSTITUTE(L589,"G",""),"C","")))/N589)</f>
        <v>0.64</v>
      </c>
      <c r="Q589" s="14" t="n">
        <f aca="false">IF(O589=0,"",(O589-LEN(SUBSTITUTE(SUBSTITUTE(M589,"G",""),"C","")))/O589)</f>
        <v>0.52</v>
      </c>
      <c r="R589" s="5" t="s">
        <v>650</v>
      </c>
      <c r="S589" s="15" t="s">
        <v>1677</v>
      </c>
      <c r="T589" s="5" t="n">
        <v>286</v>
      </c>
      <c r="U589" s="5" t="s">
        <v>1678</v>
      </c>
      <c r="V589" s="5" t="s">
        <v>588</v>
      </c>
      <c r="W589" s="5"/>
      <c r="X589" s="15" t="s">
        <v>1677</v>
      </c>
      <c r="Y589" s="5"/>
    </row>
    <row r="590" customFormat="false" ht="15" hidden="false" customHeight="false" outlineLevel="0" collapsed="false">
      <c r="A590" s="5" t="s">
        <v>6724</v>
      </c>
      <c r="B590" s="5" t="s">
        <v>645</v>
      </c>
      <c r="C590" s="5" t="s">
        <v>646</v>
      </c>
      <c r="D590" s="9" t="s">
        <v>66</v>
      </c>
      <c r="E590" s="5" t="n">
        <v>4</v>
      </c>
      <c r="F590" s="5" t="s">
        <v>6725</v>
      </c>
      <c r="G590" s="13" t="s">
        <v>6726</v>
      </c>
      <c r="H590" s="5" t="s">
        <v>6727</v>
      </c>
      <c r="I590" s="13" t="s">
        <v>6728</v>
      </c>
      <c r="J590" s="5" t="s">
        <v>6729</v>
      </c>
      <c r="K590" s="5" t="s">
        <v>6730</v>
      </c>
      <c r="L590" s="13" t="s">
        <v>6731</v>
      </c>
      <c r="M590" s="13" t="s">
        <v>6732</v>
      </c>
      <c r="N590" s="5" t="n">
        <f aca="false">LEN(L590)</f>
        <v>25</v>
      </c>
      <c r="O590" s="5" t="n">
        <f aca="false">LEN(M590)</f>
        <v>25</v>
      </c>
      <c r="P590" s="14" t="n">
        <f aca="false">IF(N590=0,"",(N590-LEN(SUBSTITUTE(SUBSTITUTE(L590,"G",""),"C","")))/N590)</f>
        <v>0.56</v>
      </c>
      <c r="Q590" s="14" t="n">
        <f aca="false">IF(O590=0,"",(O590-LEN(SUBSTITUTE(SUBSTITUTE(M590,"G",""),"C","")))/O590)</f>
        <v>0.64</v>
      </c>
      <c r="R590" s="5" t="s">
        <v>650</v>
      </c>
      <c r="S590" s="15" t="s">
        <v>1677</v>
      </c>
      <c r="T590" s="5" t="n">
        <v>356</v>
      </c>
      <c r="U590" s="5" t="s">
        <v>1678</v>
      </c>
      <c r="V590" s="5" t="s">
        <v>588</v>
      </c>
      <c r="W590" s="5"/>
      <c r="X590" s="15" t="s">
        <v>1677</v>
      </c>
      <c r="Y590" s="5"/>
    </row>
    <row r="591" customFormat="false" ht="15" hidden="false" customHeight="false" outlineLevel="0" collapsed="false">
      <c r="A591" s="5" t="s">
        <v>6733</v>
      </c>
      <c r="B591" s="5" t="s">
        <v>645</v>
      </c>
      <c r="C591" s="5" t="s">
        <v>646</v>
      </c>
      <c r="D591" s="9" t="s">
        <v>66</v>
      </c>
      <c r="E591" s="5" t="n">
        <v>5</v>
      </c>
      <c r="F591" s="5" t="s">
        <v>6734</v>
      </c>
      <c r="G591" s="13" t="s">
        <v>6735</v>
      </c>
      <c r="H591" s="5" t="s">
        <v>6736</v>
      </c>
      <c r="I591" s="13" t="s">
        <v>6737</v>
      </c>
      <c r="J591" s="5" t="s">
        <v>6738</v>
      </c>
      <c r="K591" s="5" t="s">
        <v>6739</v>
      </c>
      <c r="L591" s="13" t="s">
        <v>6740</v>
      </c>
      <c r="M591" s="13" t="s">
        <v>6741</v>
      </c>
      <c r="N591" s="5" t="n">
        <f aca="false">LEN(L591)</f>
        <v>25</v>
      </c>
      <c r="O591" s="5" t="n">
        <f aca="false">LEN(M591)</f>
        <v>25</v>
      </c>
      <c r="P591" s="14" t="n">
        <f aca="false">IF(N591=0,"",(N591-LEN(SUBSTITUTE(SUBSTITUTE(L591,"G",""),"C","")))/N591)</f>
        <v>0.72</v>
      </c>
      <c r="Q591" s="14" t="n">
        <f aca="false">IF(O591=0,"",(O591-LEN(SUBSTITUTE(SUBSTITUTE(M591,"G",""),"C","")))/O591)</f>
        <v>0.56</v>
      </c>
      <c r="R591" s="5" t="s">
        <v>650</v>
      </c>
      <c r="S591" s="15" t="s">
        <v>1677</v>
      </c>
      <c r="T591" s="5" t="n">
        <v>426</v>
      </c>
      <c r="U591" s="5" t="s">
        <v>1678</v>
      </c>
      <c r="V591" s="5" t="s">
        <v>588</v>
      </c>
      <c r="W591" s="5"/>
      <c r="X591" s="15" t="s">
        <v>1677</v>
      </c>
      <c r="Y591" s="5"/>
    </row>
    <row r="592" customFormat="false" ht="15" hidden="false" customHeight="false" outlineLevel="0" collapsed="false">
      <c r="A592" s="5" t="s">
        <v>6742</v>
      </c>
      <c r="B592" s="5" t="s">
        <v>645</v>
      </c>
      <c r="C592" s="5" t="s">
        <v>646</v>
      </c>
      <c r="D592" s="9" t="s">
        <v>66</v>
      </c>
      <c r="E592" s="5" t="n">
        <v>6</v>
      </c>
      <c r="F592" s="5" t="s">
        <v>6743</v>
      </c>
      <c r="G592" s="13" t="s">
        <v>6744</v>
      </c>
      <c r="H592" s="5" t="s">
        <v>6745</v>
      </c>
      <c r="I592" s="13" t="s">
        <v>6746</v>
      </c>
      <c r="J592" s="5" t="s">
        <v>6747</v>
      </c>
      <c r="K592" s="5" t="s">
        <v>6748</v>
      </c>
      <c r="L592" s="13" t="s">
        <v>6749</v>
      </c>
      <c r="M592" s="13" t="s">
        <v>6750</v>
      </c>
      <c r="N592" s="5" t="n">
        <f aca="false">LEN(L592)</f>
        <v>25</v>
      </c>
      <c r="O592" s="5" t="n">
        <f aca="false">LEN(M592)</f>
        <v>25</v>
      </c>
      <c r="P592" s="14" t="n">
        <f aca="false">IF(N592=0,"",(N592-LEN(SUBSTITUTE(SUBSTITUTE(L592,"G",""),"C","")))/N592)</f>
        <v>0.52</v>
      </c>
      <c r="Q592" s="14" t="n">
        <f aca="false">IF(O592=0,"",(O592-LEN(SUBSTITUTE(SUBSTITUTE(M592,"G",""),"C","")))/O592)</f>
        <v>0.4</v>
      </c>
      <c r="R592" s="5" t="s">
        <v>650</v>
      </c>
      <c r="S592" s="15" t="s">
        <v>1677</v>
      </c>
      <c r="T592" s="5" t="n">
        <v>496</v>
      </c>
      <c r="U592" s="5" t="s">
        <v>1678</v>
      </c>
      <c r="V592" s="5" t="s">
        <v>588</v>
      </c>
      <c r="W592" s="5"/>
      <c r="X592" s="15" t="s">
        <v>1677</v>
      </c>
      <c r="Y592" s="5"/>
    </row>
    <row r="593" customFormat="false" ht="15" hidden="false" customHeight="false" outlineLevel="0" collapsed="false">
      <c r="A593" s="5" t="s">
        <v>6751</v>
      </c>
      <c r="B593" s="5" t="s">
        <v>654</v>
      </c>
      <c r="C593" s="5" t="s">
        <v>655</v>
      </c>
      <c r="D593" s="9" t="s">
        <v>66</v>
      </c>
      <c r="E593" s="5" t="n">
        <v>1</v>
      </c>
      <c r="F593" s="5" t="s">
        <v>6752</v>
      </c>
      <c r="G593" s="13" t="s">
        <v>6753</v>
      </c>
      <c r="H593" s="5" t="s">
        <v>6754</v>
      </c>
      <c r="I593" s="13" t="s">
        <v>6755</v>
      </c>
      <c r="J593" s="5" t="s">
        <v>6756</v>
      </c>
      <c r="K593" s="5" t="s">
        <v>6757</v>
      </c>
      <c r="L593" s="13" t="s">
        <v>6758</v>
      </c>
      <c r="M593" s="13" t="s">
        <v>6759</v>
      </c>
      <c r="N593" s="5" t="n">
        <f aca="false">LEN(L593)</f>
        <v>25</v>
      </c>
      <c r="O593" s="5" t="n">
        <f aca="false">LEN(M593)</f>
        <v>25</v>
      </c>
      <c r="P593" s="14" t="n">
        <f aca="false">IF(N593=0,"",(N593-LEN(SUBSTITUTE(SUBSTITUTE(L593,"G",""),"C","")))/N593)</f>
        <v>0.8</v>
      </c>
      <c r="Q593" s="14" t="n">
        <f aca="false">IF(O593=0,"",(O593-LEN(SUBSTITUTE(SUBSTITUTE(M593,"G",""),"C","")))/O593)</f>
        <v>0.76</v>
      </c>
      <c r="R593" s="5" t="s">
        <v>660</v>
      </c>
      <c r="S593" s="15" t="s">
        <v>1677</v>
      </c>
      <c r="T593" s="5" t="n">
        <v>146</v>
      </c>
      <c r="U593" s="5" t="s">
        <v>1678</v>
      </c>
      <c r="V593" s="5" t="s">
        <v>154</v>
      </c>
      <c r="W593" s="5"/>
      <c r="X593" s="15" t="s">
        <v>1677</v>
      </c>
      <c r="Y593" s="5"/>
    </row>
    <row r="594" customFormat="false" ht="15" hidden="false" customHeight="false" outlineLevel="0" collapsed="false">
      <c r="A594" s="5" t="s">
        <v>6760</v>
      </c>
      <c r="B594" s="5" t="s">
        <v>654</v>
      </c>
      <c r="C594" s="5" t="s">
        <v>655</v>
      </c>
      <c r="D594" s="9" t="s">
        <v>66</v>
      </c>
      <c r="E594" s="5" t="n">
        <v>2</v>
      </c>
      <c r="F594" s="5" t="s">
        <v>6761</v>
      </c>
      <c r="G594" s="13" t="s">
        <v>6762</v>
      </c>
      <c r="H594" s="5" t="s">
        <v>6763</v>
      </c>
      <c r="I594" s="13" t="s">
        <v>6764</v>
      </c>
      <c r="J594" s="5" t="s">
        <v>6765</v>
      </c>
      <c r="K594" s="5" t="s">
        <v>6766</v>
      </c>
      <c r="L594" s="13" t="s">
        <v>6767</v>
      </c>
      <c r="M594" s="13" t="s">
        <v>6768</v>
      </c>
      <c r="N594" s="5" t="n">
        <f aca="false">LEN(L594)</f>
        <v>25</v>
      </c>
      <c r="O594" s="5" t="n">
        <f aca="false">LEN(M594)</f>
        <v>25</v>
      </c>
      <c r="P594" s="14" t="n">
        <f aca="false">IF(N594=0,"",(N594-LEN(SUBSTITUTE(SUBSTITUTE(L594,"G",""),"C","")))/N594)</f>
        <v>0.8</v>
      </c>
      <c r="Q594" s="14" t="n">
        <f aca="false">IF(O594=0,"",(O594-LEN(SUBSTITUTE(SUBSTITUTE(M594,"G",""),"C","")))/O594)</f>
        <v>0.72</v>
      </c>
      <c r="R594" s="5" t="s">
        <v>660</v>
      </c>
      <c r="S594" s="15" t="s">
        <v>1677</v>
      </c>
      <c r="T594" s="5" t="n">
        <v>216</v>
      </c>
      <c r="U594" s="5" t="s">
        <v>1678</v>
      </c>
      <c r="V594" s="5" t="s">
        <v>154</v>
      </c>
      <c r="W594" s="5"/>
      <c r="X594" s="15" t="s">
        <v>1677</v>
      </c>
      <c r="Y594" s="5"/>
    </row>
    <row r="595" customFormat="false" ht="15" hidden="false" customHeight="false" outlineLevel="0" collapsed="false">
      <c r="A595" s="5" t="s">
        <v>6769</v>
      </c>
      <c r="B595" s="5" t="s">
        <v>654</v>
      </c>
      <c r="C595" s="5" t="s">
        <v>655</v>
      </c>
      <c r="D595" s="9" t="s">
        <v>66</v>
      </c>
      <c r="E595" s="5" t="n">
        <v>3</v>
      </c>
      <c r="F595" s="5" t="s">
        <v>6770</v>
      </c>
      <c r="G595" s="13" t="s">
        <v>6771</v>
      </c>
      <c r="H595" s="5" t="s">
        <v>6772</v>
      </c>
      <c r="I595" s="13" t="s">
        <v>6773</v>
      </c>
      <c r="J595" s="5" t="s">
        <v>6774</v>
      </c>
      <c r="K595" s="5" t="s">
        <v>6775</v>
      </c>
      <c r="L595" s="13" t="s">
        <v>6776</v>
      </c>
      <c r="M595" s="13" t="s">
        <v>6777</v>
      </c>
      <c r="N595" s="5" t="n">
        <f aca="false">LEN(L595)</f>
        <v>25</v>
      </c>
      <c r="O595" s="5" t="n">
        <f aca="false">LEN(M595)</f>
        <v>25</v>
      </c>
      <c r="P595" s="14" t="n">
        <f aca="false">IF(N595=0,"",(N595-LEN(SUBSTITUTE(SUBSTITUTE(L595,"G",""),"C","")))/N595)</f>
        <v>0.68</v>
      </c>
      <c r="Q595" s="14" t="n">
        <f aca="false">IF(O595=0,"",(O595-LEN(SUBSTITUTE(SUBSTITUTE(M595,"G",""),"C","")))/O595)</f>
        <v>0.6</v>
      </c>
      <c r="R595" s="5" t="s">
        <v>660</v>
      </c>
      <c r="S595" s="15" t="s">
        <v>1677</v>
      </c>
      <c r="T595" s="5" t="n">
        <v>286</v>
      </c>
      <c r="U595" s="5" t="s">
        <v>1678</v>
      </c>
      <c r="V595" s="5" t="s">
        <v>154</v>
      </c>
      <c r="W595" s="5"/>
      <c r="X595" s="15" t="s">
        <v>1677</v>
      </c>
      <c r="Y595" s="5"/>
    </row>
    <row r="596" customFormat="false" ht="15" hidden="false" customHeight="false" outlineLevel="0" collapsed="false">
      <c r="A596" s="5" t="s">
        <v>6778</v>
      </c>
      <c r="B596" s="5" t="s">
        <v>654</v>
      </c>
      <c r="C596" s="5" t="s">
        <v>655</v>
      </c>
      <c r="D596" s="9" t="s">
        <v>66</v>
      </c>
      <c r="E596" s="5" t="n">
        <v>4</v>
      </c>
      <c r="F596" s="5" t="s">
        <v>6779</v>
      </c>
      <c r="G596" s="13" t="s">
        <v>6780</v>
      </c>
      <c r="H596" s="5" t="s">
        <v>6781</v>
      </c>
      <c r="I596" s="13" t="s">
        <v>6782</v>
      </c>
      <c r="J596" s="5" t="s">
        <v>6783</v>
      </c>
      <c r="K596" s="5" t="s">
        <v>6784</v>
      </c>
      <c r="L596" s="13" t="s">
        <v>6785</v>
      </c>
      <c r="M596" s="13" t="s">
        <v>6786</v>
      </c>
      <c r="N596" s="5" t="n">
        <f aca="false">LEN(L596)</f>
        <v>25</v>
      </c>
      <c r="O596" s="5" t="n">
        <f aca="false">LEN(M596)</f>
        <v>25</v>
      </c>
      <c r="P596" s="14" t="n">
        <f aca="false">IF(N596=0,"",(N596-LEN(SUBSTITUTE(SUBSTITUTE(L596,"G",""),"C","")))/N596)</f>
        <v>0.48</v>
      </c>
      <c r="Q596" s="14" t="n">
        <f aca="false">IF(O596=0,"",(O596-LEN(SUBSTITUTE(SUBSTITUTE(M596,"G",""),"C","")))/O596)</f>
        <v>0.52</v>
      </c>
      <c r="R596" s="5" t="s">
        <v>660</v>
      </c>
      <c r="S596" s="15" t="s">
        <v>1677</v>
      </c>
      <c r="T596" s="5" t="n">
        <v>356</v>
      </c>
      <c r="U596" s="5" t="s">
        <v>1678</v>
      </c>
      <c r="V596" s="5" t="s">
        <v>154</v>
      </c>
      <c r="W596" s="5"/>
      <c r="X596" s="15" t="s">
        <v>1677</v>
      </c>
      <c r="Y596" s="5"/>
    </row>
    <row r="597" customFormat="false" ht="15" hidden="false" customHeight="false" outlineLevel="0" collapsed="false">
      <c r="A597" s="5" t="s">
        <v>6787</v>
      </c>
      <c r="B597" s="5" t="s">
        <v>654</v>
      </c>
      <c r="C597" s="5" t="s">
        <v>655</v>
      </c>
      <c r="D597" s="9" t="s">
        <v>66</v>
      </c>
      <c r="E597" s="5" t="n">
        <v>5</v>
      </c>
      <c r="F597" s="5" t="s">
        <v>6788</v>
      </c>
      <c r="G597" s="13" t="s">
        <v>6789</v>
      </c>
      <c r="H597" s="5" t="s">
        <v>6790</v>
      </c>
      <c r="I597" s="13" t="s">
        <v>6791</v>
      </c>
      <c r="J597" s="5" t="s">
        <v>6792</v>
      </c>
      <c r="K597" s="5" t="s">
        <v>6793</v>
      </c>
      <c r="L597" s="13" t="s">
        <v>6794</v>
      </c>
      <c r="M597" s="13" t="s">
        <v>6795</v>
      </c>
      <c r="N597" s="5" t="n">
        <f aca="false">LEN(L597)</f>
        <v>25</v>
      </c>
      <c r="O597" s="5" t="n">
        <f aca="false">LEN(M597)</f>
        <v>25</v>
      </c>
      <c r="P597" s="14" t="n">
        <f aca="false">IF(N597=0,"",(N597-LEN(SUBSTITUTE(SUBSTITUTE(L597,"G",""),"C","")))/N597)</f>
        <v>0.56</v>
      </c>
      <c r="Q597" s="14" t="n">
        <f aca="false">IF(O597=0,"",(O597-LEN(SUBSTITUTE(SUBSTITUTE(M597,"G",""),"C","")))/O597)</f>
        <v>0.64</v>
      </c>
      <c r="R597" s="5" t="s">
        <v>660</v>
      </c>
      <c r="S597" s="15" t="s">
        <v>1677</v>
      </c>
      <c r="T597" s="5" t="n">
        <v>426</v>
      </c>
      <c r="U597" s="5" t="s">
        <v>1678</v>
      </c>
      <c r="V597" s="5" t="s">
        <v>154</v>
      </c>
      <c r="W597" s="5"/>
      <c r="X597" s="15" t="s">
        <v>1677</v>
      </c>
      <c r="Y597" s="5"/>
    </row>
    <row r="598" customFormat="false" ht="15" hidden="false" customHeight="false" outlineLevel="0" collapsed="false">
      <c r="A598" s="5" t="s">
        <v>6796</v>
      </c>
      <c r="B598" s="5" t="s">
        <v>654</v>
      </c>
      <c r="C598" s="5" t="s">
        <v>655</v>
      </c>
      <c r="D598" s="9" t="s">
        <v>66</v>
      </c>
      <c r="E598" s="5" t="n">
        <v>6</v>
      </c>
      <c r="F598" s="5" t="s">
        <v>6797</v>
      </c>
      <c r="G598" s="13" t="s">
        <v>6798</v>
      </c>
      <c r="H598" s="5" t="s">
        <v>6799</v>
      </c>
      <c r="I598" s="13" t="s">
        <v>6800</v>
      </c>
      <c r="J598" s="5" t="s">
        <v>6801</v>
      </c>
      <c r="K598" s="5" t="s">
        <v>6802</v>
      </c>
      <c r="L598" s="13" t="s">
        <v>6803</v>
      </c>
      <c r="M598" s="13" t="s">
        <v>6804</v>
      </c>
      <c r="N598" s="5" t="n">
        <f aca="false">LEN(L598)</f>
        <v>25</v>
      </c>
      <c r="O598" s="5" t="n">
        <f aca="false">LEN(M598)</f>
        <v>25</v>
      </c>
      <c r="P598" s="14" t="n">
        <f aca="false">IF(N598=0,"",(N598-LEN(SUBSTITUTE(SUBSTITUTE(L598,"G",""),"C","")))/N598)</f>
        <v>0.6</v>
      </c>
      <c r="Q598" s="14" t="n">
        <f aca="false">IF(O598=0,"",(O598-LEN(SUBSTITUTE(SUBSTITUTE(M598,"G",""),"C","")))/O598)</f>
        <v>0.6</v>
      </c>
      <c r="R598" s="5" t="s">
        <v>660</v>
      </c>
      <c r="S598" s="15" t="s">
        <v>1677</v>
      </c>
      <c r="T598" s="5" t="n">
        <v>496</v>
      </c>
      <c r="U598" s="5" t="s">
        <v>1678</v>
      </c>
      <c r="V598" s="5" t="s">
        <v>154</v>
      </c>
      <c r="W598" s="5"/>
      <c r="X598" s="15" t="s">
        <v>1677</v>
      </c>
      <c r="Y598" s="5"/>
    </row>
    <row r="599" customFormat="false" ht="15" hidden="false" customHeight="false" outlineLevel="0" collapsed="false">
      <c r="A599" s="5" t="s">
        <v>6805</v>
      </c>
      <c r="B599" s="5" t="s">
        <v>664</v>
      </c>
      <c r="C599" s="5" t="s">
        <v>105</v>
      </c>
      <c r="D599" s="9" t="s">
        <v>66</v>
      </c>
      <c r="E599" s="5" t="n">
        <v>1</v>
      </c>
      <c r="F599" s="5" t="s">
        <v>6806</v>
      </c>
      <c r="G599" s="13" t="s">
        <v>6807</v>
      </c>
      <c r="H599" s="5" t="s">
        <v>6808</v>
      </c>
      <c r="I599" s="13" t="s">
        <v>6809</v>
      </c>
      <c r="J599" s="5" t="s">
        <v>6810</v>
      </c>
      <c r="K599" s="5" t="s">
        <v>6811</v>
      </c>
      <c r="L599" s="13" t="s">
        <v>6812</v>
      </c>
      <c r="M599" s="13" t="s">
        <v>6813</v>
      </c>
      <c r="N599" s="5" t="n">
        <f aca="false">LEN(L599)</f>
        <v>25</v>
      </c>
      <c r="O599" s="5" t="n">
        <f aca="false">LEN(M599)</f>
        <v>25</v>
      </c>
      <c r="P599" s="14" t="n">
        <f aca="false">IF(N599=0,"",(N599-LEN(SUBSTITUTE(SUBSTITUTE(L599,"G",""),"C","")))/N599)</f>
        <v>0.76</v>
      </c>
      <c r="Q599" s="14" t="n">
        <f aca="false">IF(O599=0,"",(O599-LEN(SUBSTITUTE(SUBSTITUTE(M599,"G",""),"C","")))/O599)</f>
        <v>0.56</v>
      </c>
      <c r="R599" s="5" t="s">
        <v>109</v>
      </c>
      <c r="S599" s="15" t="s">
        <v>1677</v>
      </c>
      <c r="T599" s="5" t="n">
        <v>61</v>
      </c>
      <c r="U599" s="5" t="s">
        <v>1678</v>
      </c>
      <c r="V599" s="5" t="s">
        <v>588</v>
      </c>
      <c r="W599" s="5"/>
      <c r="X599" s="15" t="s">
        <v>1677</v>
      </c>
      <c r="Y599" s="5"/>
    </row>
    <row r="600" customFormat="false" ht="15" hidden="false" customHeight="false" outlineLevel="0" collapsed="false">
      <c r="A600" s="5" t="s">
        <v>6814</v>
      </c>
      <c r="B600" s="5" t="s">
        <v>664</v>
      </c>
      <c r="C600" s="5" t="s">
        <v>105</v>
      </c>
      <c r="D600" s="9" t="s">
        <v>66</v>
      </c>
      <c r="E600" s="5" t="n">
        <v>2</v>
      </c>
      <c r="F600" s="5" t="s">
        <v>6815</v>
      </c>
      <c r="G600" s="13" t="s">
        <v>6816</v>
      </c>
      <c r="H600" s="5" t="s">
        <v>6817</v>
      </c>
      <c r="I600" s="13" t="s">
        <v>6818</v>
      </c>
      <c r="J600" s="5" t="s">
        <v>6819</v>
      </c>
      <c r="K600" s="5" t="s">
        <v>6820</v>
      </c>
      <c r="L600" s="13" t="s">
        <v>6821</v>
      </c>
      <c r="M600" s="13" t="s">
        <v>6822</v>
      </c>
      <c r="N600" s="5" t="n">
        <f aca="false">LEN(L600)</f>
        <v>25</v>
      </c>
      <c r="O600" s="5" t="n">
        <f aca="false">LEN(M600)</f>
        <v>25</v>
      </c>
      <c r="P600" s="14" t="n">
        <f aca="false">IF(N600=0,"",(N600-LEN(SUBSTITUTE(SUBSTITUTE(L600,"G",""),"C","")))/N600)</f>
        <v>0.8</v>
      </c>
      <c r="Q600" s="14" t="n">
        <f aca="false">IF(O600=0,"",(O600-LEN(SUBSTITUTE(SUBSTITUTE(M600,"G",""),"C","")))/O600)</f>
        <v>0.76</v>
      </c>
      <c r="R600" s="5" t="s">
        <v>109</v>
      </c>
      <c r="S600" s="15" t="s">
        <v>1677</v>
      </c>
      <c r="T600" s="5" t="n">
        <v>117</v>
      </c>
      <c r="U600" s="5" t="s">
        <v>1678</v>
      </c>
      <c r="V600" s="5" t="s">
        <v>588</v>
      </c>
      <c r="W600" s="5"/>
      <c r="X600" s="15" t="s">
        <v>1677</v>
      </c>
      <c r="Y600" s="5"/>
    </row>
    <row r="601" customFormat="false" ht="15" hidden="false" customHeight="false" outlineLevel="0" collapsed="false">
      <c r="A601" s="5" t="s">
        <v>6823</v>
      </c>
      <c r="B601" s="5" t="s">
        <v>664</v>
      </c>
      <c r="C601" s="5" t="s">
        <v>105</v>
      </c>
      <c r="D601" s="9" t="s">
        <v>66</v>
      </c>
      <c r="E601" s="5" t="n">
        <v>3</v>
      </c>
      <c r="F601" s="5" t="s">
        <v>6824</v>
      </c>
      <c r="G601" s="13" t="s">
        <v>6825</v>
      </c>
      <c r="H601" s="5" t="s">
        <v>6826</v>
      </c>
      <c r="I601" s="13" t="s">
        <v>6827</v>
      </c>
      <c r="J601" s="5" t="s">
        <v>6828</v>
      </c>
      <c r="K601" s="5" t="s">
        <v>6829</v>
      </c>
      <c r="L601" s="13" t="s">
        <v>6830</v>
      </c>
      <c r="M601" s="13" t="s">
        <v>6831</v>
      </c>
      <c r="N601" s="5" t="n">
        <f aca="false">LEN(L601)</f>
        <v>25</v>
      </c>
      <c r="O601" s="5" t="n">
        <f aca="false">LEN(M601)</f>
        <v>25</v>
      </c>
      <c r="P601" s="14" t="n">
        <f aca="false">IF(N601=0,"",(N601-LEN(SUBSTITUTE(SUBSTITUTE(L601,"G",""),"C","")))/N601)</f>
        <v>0.6</v>
      </c>
      <c r="Q601" s="14" t="n">
        <f aca="false">IF(O601=0,"",(O601-LEN(SUBSTITUTE(SUBSTITUTE(M601,"G",""),"C","")))/O601)</f>
        <v>0.84</v>
      </c>
      <c r="R601" s="5" t="s">
        <v>6832</v>
      </c>
      <c r="S601" s="15" t="s">
        <v>1677</v>
      </c>
      <c r="T601" s="5" t="n">
        <v>292</v>
      </c>
      <c r="U601" s="5" t="s">
        <v>1678</v>
      </c>
      <c r="V601" s="5" t="s">
        <v>588</v>
      </c>
      <c r="W601" s="5"/>
      <c r="X601" s="8" t="s">
        <v>1769</v>
      </c>
      <c r="Y601" s="5"/>
    </row>
    <row r="602" customFormat="false" ht="15" hidden="false" customHeight="false" outlineLevel="0" collapsed="false">
      <c r="A602" s="5" t="s">
        <v>6833</v>
      </c>
      <c r="B602" s="5" t="s">
        <v>664</v>
      </c>
      <c r="C602" s="5" t="s">
        <v>105</v>
      </c>
      <c r="D602" s="9" t="s">
        <v>66</v>
      </c>
      <c r="E602" s="5" t="n">
        <v>4</v>
      </c>
      <c r="F602" s="5" t="s">
        <v>6834</v>
      </c>
      <c r="G602" s="13" t="s">
        <v>6835</v>
      </c>
      <c r="H602" s="5" t="s">
        <v>6836</v>
      </c>
      <c r="I602" s="13" t="s">
        <v>6837</v>
      </c>
      <c r="J602" s="5" t="s">
        <v>6838</v>
      </c>
      <c r="K602" s="5" t="s">
        <v>6839</v>
      </c>
      <c r="L602" s="13" t="s">
        <v>6840</v>
      </c>
      <c r="M602" s="13" t="s">
        <v>6841</v>
      </c>
      <c r="N602" s="5" t="n">
        <f aca="false">LEN(L602)</f>
        <v>25</v>
      </c>
      <c r="O602" s="5" t="n">
        <f aca="false">LEN(M602)</f>
        <v>25</v>
      </c>
      <c r="P602" s="14" t="n">
        <f aca="false">IF(N602=0,"",(N602-LEN(SUBSTITUTE(SUBSTITUTE(L602,"G",""),"C","")))/N602)</f>
        <v>0.92</v>
      </c>
      <c r="Q602" s="14" t="n">
        <f aca="false">IF(O602=0,"",(O602-LEN(SUBSTITUTE(SUBSTITUTE(M602,"G",""),"C","")))/O602)</f>
        <v>0.8</v>
      </c>
      <c r="R602" s="5" t="s">
        <v>109</v>
      </c>
      <c r="S602" s="15" t="s">
        <v>1677</v>
      </c>
      <c r="T602" s="5" t="n">
        <v>321</v>
      </c>
      <c r="U602" s="5" t="s">
        <v>1678</v>
      </c>
      <c r="V602" s="5" t="s">
        <v>588</v>
      </c>
      <c r="W602" s="5"/>
      <c r="X602" s="8" t="s">
        <v>1914</v>
      </c>
      <c r="Y602" s="5"/>
    </row>
    <row r="603" customFormat="false" ht="15" hidden="false" customHeight="false" outlineLevel="0" collapsed="false">
      <c r="A603" s="5" t="s">
        <v>6842</v>
      </c>
      <c r="B603" s="5" t="s">
        <v>664</v>
      </c>
      <c r="C603" s="5" t="s">
        <v>105</v>
      </c>
      <c r="D603" s="9" t="s">
        <v>66</v>
      </c>
      <c r="E603" s="5" t="n">
        <v>5</v>
      </c>
      <c r="F603" s="5" t="s">
        <v>6843</v>
      </c>
      <c r="G603" s="13" t="s">
        <v>6844</v>
      </c>
      <c r="H603" s="5" t="s">
        <v>6845</v>
      </c>
      <c r="I603" s="13" t="s">
        <v>6846</v>
      </c>
      <c r="J603" s="5" t="s">
        <v>6847</v>
      </c>
      <c r="K603" s="5" t="s">
        <v>6848</v>
      </c>
      <c r="L603" s="13" t="s">
        <v>6849</v>
      </c>
      <c r="M603" s="13" t="s">
        <v>6850</v>
      </c>
      <c r="N603" s="5" t="n">
        <f aca="false">LEN(L603)</f>
        <v>25</v>
      </c>
      <c r="O603" s="5" t="n">
        <f aca="false">LEN(M603)</f>
        <v>25</v>
      </c>
      <c r="P603" s="14" t="n">
        <f aca="false">IF(N603=0,"",(N603-LEN(SUBSTITUTE(SUBSTITUTE(L603,"G",""),"C","")))/N603)</f>
        <v>0.84</v>
      </c>
      <c r="Q603" s="14" t="n">
        <f aca="false">IF(O603=0,"",(O603-LEN(SUBSTITUTE(SUBSTITUTE(M603,"G",""),"C","")))/O603)</f>
        <v>0.8</v>
      </c>
      <c r="R603" s="5" t="s">
        <v>6832</v>
      </c>
      <c r="S603" s="15" t="s">
        <v>1677</v>
      </c>
      <c r="T603" s="5" t="n">
        <v>363</v>
      </c>
      <c r="U603" s="5" t="s">
        <v>1678</v>
      </c>
      <c r="V603" s="5" t="s">
        <v>588</v>
      </c>
      <c r="W603" s="5"/>
      <c r="X603" s="8" t="s">
        <v>2131</v>
      </c>
      <c r="Y603" s="5"/>
    </row>
    <row r="604" customFormat="false" ht="15" hidden="false" customHeight="false" outlineLevel="0" collapsed="false">
      <c r="A604" s="5" t="s">
        <v>6851</v>
      </c>
      <c r="B604" s="5" t="s">
        <v>664</v>
      </c>
      <c r="C604" s="5" t="s">
        <v>105</v>
      </c>
      <c r="D604" s="9" t="s">
        <v>66</v>
      </c>
      <c r="E604" s="5" t="n">
        <v>6</v>
      </c>
      <c r="F604" s="5" t="s">
        <v>6852</v>
      </c>
      <c r="G604" s="13" t="s">
        <v>6853</v>
      </c>
      <c r="H604" s="5" t="s">
        <v>6854</v>
      </c>
      <c r="I604" s="13" t="s">
        <v>6855</v>
      </c>
      <c r="J604" s="5" t="s">
        <v>6856</v>
      </c>
      <c r="K604" s="5" t="s">
        <v>6857</v>
      </c>
      <c r="L604" s="13" t="s">
        <v>6858</v>
      </c>
      <c r="M604" s="13" t="s">
        <v>6859</v>
      </c>
      <c r="N604" s="5" t="n">
        <f aca="false">LEN(L604)</f>
        <v>25</v>
      </c>
      <c r="O604" s="5" t="n">
        <f aca="false">LEN(M604)</f>
        <v>25</v>
      </c>
      <c r="P604" s="14" t="n">
        <f aca="false">IF(N604=0,"",(N604-LEN(SUBSTITUTE(SUBSTITUTE(L604,"G",""),"C","")))/N604)</f>
        <v>0.72</v>
      </c>
      <c r="Q604" s="14" t="n">
        <f aca="false">IF(O604=0,"",(O604-LEN(SUBSTITUTE(SUBSTITUTE(M604,"G",""),"C","")))/O604)</f>
        <v>0.92</v>
      </c>
      <c r="R604" s="5" t="s">
        <v>109</v>
      </c>
      <c r="S604" s="15" t="s">
        <v>1677</v>
      </c>
      <c r="T604" s="5" t="n">
        <v>398</v>
      </c>
      <c r="U604" s="5" t="s">
        <v>1678</v>
      </c>
      <c r="V604" s="5" t="s">
        <v>588</v>
      </c>
      <c r="W604" s="5"/>
      <c r="X604" s="8" t="s">
        <v>1914</v>
      </c>
      <c r="Y604" s="5"/>
    </row>
    <row r="605" customFormat="false" ht="15" hidden="false" customHeight="false" outlineLevel="0" collapsed="false">
      <c r="A605" s="5" t="s">
        <v>6860</v>
      </c>
      <c r="B605" s="5" t="s">
        <v>664</v>
      </c>
      <c r="C605" s="5" t="s">
        <v>105</v>
      </c>
      <c r="D605" s="9" t="s">
        <v>66</v>
      </c>
      <c r="E605" s="5" t="n">
        <v>7</v>
      </c>
      <c r="F605" s="5" t="s">
        <v>6861</v>
      </c>
      <c r="G605" s="13" t="s">
        <v>6862</v>
      </c>
      <c r="H605" s="5" t="s">
        <v>6863</v>
      </c>
      <c r="I605" s="13" t="s">
        <v>6864</v>
      </c>
      <c r="J605" s="5" t="s">
        <v>6865</v>
      </c>
      <c r="K605" s="5" t="s">
        <v>6866</v>
      </c>
      <c r="L605" s="13" t="s">
        <v>6867</v>
      </c>
      <c r="M605" s="13" t="s">
        <v>6868</v>
      </c>
      <c r="N605" s="5" t="n">
        <f aca="false">LEN(L605)</f>
        <v>25</v>
      </c>
      <c r="O605" s="5" t="n">
        <f aca="false">LEN(M605)</f>
        <v>25</v>
      </c>
      <c r="P605" s="14" t="n">
        <f aca="false">IF(N605=0,"",(N605-LEN(SUBSTITUTE(SUBSTITUTE(L605,"G",""),"C","")))/N605)</f>
        <v>0.6</v>
      </c>
      <c r="Q605" s="14" t="n">
        <f aca="false">IF(O605=0,"",(O605-LEN(SUBSTITUTE(SUBSTITUTE(M605,"G",""),"C","")))/O605)</f>
        <v>0.84</v>
      </c>
      <c r="R605" s="5" t="s">
        <v>109</v>
      </c>
      <c r="S605" s="15" t="s">
        <v>1677</v>
      </c>
      <c r="T605" s="5" t="n">
        <v>471</v>
      </c>
      <c r="U605" s="5" t="s">
        <v>1678</v>
      </c>
      <c r="V605" s="5" t="s">
        <v>588</v>
      </c>
      <c r="W605" s="5"/>
      <c r="X605" s="8" t="s">
        <v>1914</v>
      </c>
      <c r="Y605" s="5"/>
    </row>
    <row r="606" customFormat="false" ht="15" hidden="false" customHeight="false" outlineLevel="0" collapsed="false">
      <c r="A606" s="5" t="s">
        <v>6869</v>
      </c>
      <c r="B606" s="5" t="s">
        <v>664</v>
      </c>
      <c r="C606" s="5" t="s">
        <v>105</v>
      </c>
      <c r="D606" s="9" t="s">
        <v>66</v>
      </c>
      <c r="E606" s="5" t="n">
        <v>8</v>
      </c>
      <c r="F606" s="5" t="s">
        <v>6870</v>
      </c>
      <c r="G606" s="13" t="s">
        <v>6871</v>
      </c>
      <c r="H606" s="5" t="s">
        <v>6872</v>
      </c>
      <c r="I606" s="13" t="s">
        <v>6873</v>
      </c>
      <c r="J606" s="5" t="s">
        <v>6874</v>
      </c>
      <c r="K606" s="5" t="s">
        <v>6875</v>
      </c>
      <c r="L606" s="13" t="s">
        <v>6876</v>
      </c>
      <c r="M606" s="13" t="s">
        <v>6877</v>
      </c>
      <c r="N606" s="5" t="n">
        <f aca="false">LEN(L606)</f>
        <v>25</v>
      </c>
      <c r="O606" s="5" t="n">
        <f aca="false">LEN(M606)</f>
        <v>25</v>
      </c>
      <c r="P606" s="14" t="n">
        <f aca="false">IF(N606=0,"",(N606-LEN(SUBSTITUTE(SUBSTITUTE(L606,"G",""),"C","")))/N606)</f>
        <v>0.84</v>
      </c>
      <c r="Q606" s="14" t="n">
        <f aca="false">IF(O606=0,"",(O606-LEN(SUBSTITUTE(SUBSTITUTE(M606,"G",""),"C","")))/O606)</f>
        <v>0.84</v>
      </c>
      <c r="R606" s="5" t="s">
        <v>109</v>
      </c>
      <c r="S606" s="15" t="s">
        <v>1677</v>
      </c>
      <c r="T606" s="5" t="n">
        <v>543</v>
      </c>
      <c r="U606" s="5" t="s">
        <v>1678</v>
      </c>
      <c r="V606" s="5" t="s">
        <v>588</v>
      </c>
      <c r="W606" s="5"/>
      <c r="X606" s="15" t="s">
        <v>1677</v>
      </c>
      <c r="Y606" s="5"/>
    </row>
    <row r="607" customFormat="false" ht="15" hidden="false" customHeight="false" outlineLevel="0" collapsed="false">
      <c r="A607" s="5" t="s">
        <v>6878</v>
      </c>
      <c r="B607" s="5" t="s">
        <v>667</v>
      </c>
      <c r="C607" s="5" t="s">
        <v>668</v>
      </c>
      <c r="D607" s="9" t="s">
        <v>66</v>
      </c>
      <c r="E607" s="5" t="n">
        <v>1</v>
      </c>
      <c r="F607" s="5" t="s">
        <v>6879</v>
      </c>
      <c r="G607" s="13" t="s">
        <v>6880</v>
      </c>
      <c r="H607" s="5" t="s">
        <v>6881</v>
      </c>
      <c r="I607" s="13" t="s">
        <v>6882</v>
      </c>
      <c r="J607" s="5" t="s">
        <v>6883</v>
      </c>
      <c r="K607" s="5" t="s">
        <v>6884</v>
      </c>
      <c r="L607" s="13" t="s">
        <v>6885</v>
      </c>
      <c r="M607" s="13" t="s">
        <v>6886</v>
      </c>
      <c r="N607" s="5" t="n">
        <f aca="false">LEN(L607)</f>
        <v>25</v>
      </c>
      <c r="O607" s="5" t="n">
        <f aca="false">LEN(M607)</f>
        <v>25</v>
      </c>
      <c r="P607" s="14" t="n">
        <f aca="false">IF(N607=0,"",(N607-LEN(SUBSTITUTE(SUBSTITUTE(L607,"G",""),"C","")))/N607)</f>
        <v>0.16</v>
      </c>
      <c r="Q607" s="14" t="n">
        <f aca="false">IF(O607=0,"",(O607-LEN(SUBSTITUTE(SUBSTITUTE(M607,"G",""),"C","")))/O607)</f>
        <v>0.4</v>
      </c>
      <c r="R607" s="5" t="s">
        <v>672</v>
      </c>
      <c r="S607" s="15" t="s">
        <v>1677</v>
      </c>
      <c r="T607" s="5" t="n">
        <v>76</v>
      </c>
      <c r="U607" s="5" t="s">
        <v>1678</v>
      </c>
      <c r="V607" s="5" t="s">
        <v>588</v>
      </c>
      <c r="W607" s="5"/>
      <c r="X607" s="15" t="s">
        <v>1677</v>
      </c>
      <c r="Y607" s="5"/>
    </row>
    <row r="608" customFormat="false" ht="15" hidden="false" customHeight="false" outlineLevel="0" collapsed="false">
      <c r="A608" s="5" t="s">
        <v>6887</v>
      </c>
      <c r="B608" s="5" t="s">
        <v>667</v>
      </c>
      <c r="C608" s="5" t="s">
        <v>668</v>
      </c>
      <c r="D608" s="9" t="s">
        <v>66</v>
      </c>
      <c r="E608" s="5" t="n">
        <v>2</v>
      </c>
      <c r="F608" s="5" t="s">
        <v>6888</v>
      </c>
      <c r="G608" s="13" t="s">
        <v>6889</v>
      </c>
      <c r="H608" s="5" t="s">
        <v>6890</v>
      </c>
      <c r="I608" s="13" t="s">
        <v>6891</v>
      </c>
      <c r="J608" s="5" t="s">
        <v>6892</v>
      </c>
      <c r="K608" s="5" t="s">
        <v>6893</v>
      </c>
      <c r="L608" s="13" t="s">
        <v>6894</v>
      </c>
      <c r="M608" s="13" t="s">
        <v>6895</v>
      </c>
      <c r="N608" s="5" t="n">
        <f aca="false">LEN(L608)</f>
        <v>25</v>
      </c>
      <c r="O608" s="5" t="n">
        <f aca="false">LEN(M608)</f>
        <v>25</v>
      </c>
      <c r="P608" s="14" t="n">
        <f aca="false">IF(N608=0,"",(N608-LEN(SUBSTITUTE(SUBSTITUTE(L608,"G",""),"C","")))/N608)</f>
        <v>0.64</v>
      </c>
      <c r="Q608" s="14" t="n">
        <f aca="false">IF(O608=0,"",(O608-LEN(SUBSTITUTE(SUBSTITUTE(M608,"G",""),"C","")))/O608)</f>
        <v>0.36</v>
      </c>
      <c r="R608" s="5" t="s">
        <v>672</v>
      </c>
      <c r="S608" s="15" t="s">
        <v>1677</v>
      </c>
      <c r="T608" s="5" t="n">
        <v>146</v>
      </c>
      <c r="U608" s="5" t="s">
        <v>1678</v>
      </c>
      <c r="V608" s="5" t="s">
        <v>588</v>
      </c>
      <c r="W608" s="5"/>
      <c r="X608" s="15" t="s">
        <v>1677</v>
      </c>
      <c r="Y608" s="5"/>
    </row>
    <row r="609" customFormat="false" ht="15" hidden="false" customHeight="false" outlineLevel="0" collapsed="false">
      <c r="A609" s="5" t="s">
        <v>6896</v>
      </c>
      <c r="B609" s="5" t="s">
        <v>667</v>
      </c>
      <c r="C609" s="5" t="s">
        <v>668</v>
      </c>
      <c r="D609" s="9" t="s">
        <v>66</v>
      </c>
      <c r="E609" s="5" t="n">
        <v>3</v>
      </c>
      <c r="F609" s="5" t="s">
        <v>6897</v>
      </c>
      <c r="G609" s="13" t="s">
        <v>6898</v>
      </c>
      <c r="H609" s="5" t="s">
        <v>6899</v>
      </c>
      <c r="I609" s="13" t="s">
        <v>6900</v>
      </c>
      <c r="J609" s="5" t="s">
        <v>6901</v>
      </c>
      <c r="K609" s="5" t="s">
        <v>6902</v>
      </c>
      <c r="L609" s="13" t="s">
        <v>6903</v>
      </c>
      <c r="M609" s="13" t="s">
        <v>6904</v>
      </c>
      <c r="N609" s="5" t="n">
        <f aca="false">LEN(L609)</f>
        <v>25</v>
      </c>
      <c r="O609" s="5" t="n">
        <f aca="false">LEN(M609)</f>
        <v>25</v>
      </c>
      <c r="P609" s="14" t="n">
        <f aca="false">IF(N609=0,"",(N609-LEN(SUBSTITUTE(SUBSTITUTE(L609,"G",""),"C","")))/N609)</f>
        <v>0.28</v>
      </c>
      <c r="Q609" s="14" t="n">
        <f aca="false">IF(O609=0,"",(O609-LEN(SUBSTITUTE(SUBSTITUTE(M609,"G",""),"C","")))/O609)</f>
        <v>0.44</v>
      </c>
      <c r="R609" s="5" t="s">
        <v>672</v>
      </c>
      <c r="S609" s="15" t="s">
        <v>1677</v>
      </c>
      <c r="T609" s="5" t="n">
        <v>216</v>
      </c>
      <c r="U609" s="5" t="s">
        <v>1678</v>
      </c>
      <c r="V609" s="5" t="s">
        <v>588</v>
      </c>
      <c r="W609" s="5"/>
      <c r="X609" s="15" t="s">
        <v>1677</v>
      </c>
      <c r="Y609" s="5"/>
    </row>
    <row r="610" customFormat="false" ht="15" hidden="false" customHeight="false" outlineLevel="0" collapsed="false">
      <c r="A610" s="5" t="s">
        <v>6905</v>
      </c>
      <c r="B610" s="5" t="s">
        <v>667</v>
      </c>
      <c r="C610" s="5" t="s">
        <v>668</v>
      </c>
      <c r="D610" s="9" t="s">
        <v>66</v>
      </c>
      <c r="E610" s="5" t="n">
        <v>4</v>
      </c>
      <c r="F610" s="5" t="s">
        <v>6906</v>
      </c>
      <c r="G610" s="13" t="s">
        <v>6907</v>
      </c>
      <c r="H610" s="5" t="s">
        <v>6908</v>
      </c>
      <c r="I610" s="13" t="s">
        <v>6909</v>
      </c>
      <c r="J610" s="5" t="s">
        <v>6910</v>
      </c>
      <c r="K610" s="5" t="s">
        <v>6911</v>
      </c>
      <c r="L610" s="13" t="s">
        <v>6912</v>
      </c>
      <c r="M610" s="13" t="s">
        <v>6913</v>
      </c>
      <c r="N610" s="5" t="n">
        <f aca="false">LEN(L610)</f>
        <v>25</v>
      </c>
      <c r="O610" s="5" t="n">
        <f aca="false">LEN(M610)</f>
        <v>25</v>
      </c>
      <c r="P610" s="14" t="n">
        <f aca="false">IF(N610=0,"",(N610-LEN(SUBSTITUTE(SUBSTITUTE(L610,"G",""),"C","")))/N610)</f>
        <v>0.56</v>
      </c>
      <c r="Q610" s="14" t="n">
        <f aca="false">IF(O610=0,"",(O610-LEN(SUBSTITUTE(SUBSTITUTE(M610,"G",""),"C","")))/O610)</f>
        <v>0.44</v>
      </c>
      <c r="R610" s="5" t="s">
        <v>672</v>
      </c>
      <c r="S610" s="15" t="s">
        <v>1677</v>
      </c>
      <c r="T610" s="5" t="n">
        <v>286</v>
      </c>
      <c r="U610" s="5" t="s">
        <v>1678</v>
      </c>
      <c r="V610" s="5" t="s">
        <v>588</v>
      </c>
      <c r="W610" s="5"/>
      <c r="X610" s="15" t="s">
        <v>1677</v>
      </c>
      <c r="Y610" s="5"/>
    </row>
    <row r="611" customFormat="false" ht="15" hidden="false" customHeight="false" outlineLevel="0" collapsed="false">
      <c r="A611" s="5" t="s">
        <v>6914</v>
      </c>
      <c r="B611" s="5" t="s">
        <v>667</v>
      </c>
      <c r="C611" s="5" t="s">
        <v>668</v>
      </c>
      <c r="D611" s="9" t="s">
        <v>66</v>
      </c>
      <c r="E611" s="5" t="n">
        <v>5</v>
      </c>
      <c r="F611" s="5" t="s">
        <v>6915</v>
      </c>
      <c r="G611" s="13" t="s">
        <v>6916</v>
      </c>
      <c r="H611" s="5" t="s">
        <v>6917</v>
      </c>
      <c r="I611" s="13" t="s">
        <v>6918</v>
      </c>
      <c r="J611" s="5" t="s">
        <v>6919</v>
      </c>
      <c r="K611" s="5" t="s">
        <v>6920</v>
      </c>
      <c r="L611" s="13" t="s">
        <v>6921</v>
      </c>
      <c r="M611" s="13" t="s">
        <v>6922</v>
      </c>
      <c r="N611" s="5" t="n">
        <f aca="false">LEN(L611)</f>
        <v>25</v>
      </c>
      <c r="O611" s="5" t="n">
        <f aca="false">LEN(M611)</f>
        <v>25</v>
      </c>
      <c r="P611" s="14" t="n">
        <f aca="false">IF(N611=0,"",(N611-LEN(SUBSTITUTE(SUBSTITUTE(L611,"G",""),"C","")))/N611)</f>
        <v>0.36</v>
      </c>
      <c r="Q611" s="14" t="n">
        <f aca="false">IF(O611=0,"",(O611-LEN(SUBSTITUTE(SUBSTITUTE(M611,"G",""),"C","")))/O611)</f>
        <v>0.52</v>
      </c>
      <c r="R611" s="5" t="s">
        <v>672</v>
      </c>
      <c r="S611" s="15" t="s">
        <v>1677</v>
      </c>
      <c r="T611" s="5" t="n">
        <v>356</v>
      </c>
      <c r="U611" s="5" t="s">
        <v>1678</v>
      </c>
      <c r="V611" s="5" t="s">
        <v>588</v>
      </c>
      <c r="W611" s="5"/>
      <c r="X611" s="15" t="s">
        <v>1677</v>
      </c>
      <c r="Y611" s="5"/>
    </row>
    <row r="612" customFormat="false" ht="15" hidden="false" customHeight="false" outlineLevel="0" collapsed="false">
      <c r="A612" s="5" t="s">
        <v>6923</v>
      </c>
      <c r="B612" s="5" t="s">
        <v>667</v>
      </c>
      <c r="C612" s="5" t="s">
        <v>668</v>
      </c>
      <c r="D612" s="9" t="s">
        <v>66</v>
      </c>
      <c r="E612" s="5" t="n">
        <v>6</v>
      </c>
      <c r="F612" s="5" t="s">
        <v>6924</v>
      </c>
      <c r="G612" s="13" t="s">
        <v>6925</v>
      </c>
      <c r="H612" s="5" t="s">
        <v>6926</v>
      </c>
      <c r="I612" s="13" t="s">
        <v>6927</v>
      </c>
      <c r="J612" s="5" t="s">
        <v>6928</v>
      </c>
      <c r="K612" s="5" t="s">
        <v>6929</v>
      </c>
      <c r="L612" s="13" t="s">
        <v>6930</v>
      </c>
      <c r="M612" s="13" t="s">
        <v>6931</v>
      </c>
      <c r="N612" s="5" t="n">
        <f aca="false">LEN(L612)</f>
        <v>25</v>
      </c>
      <c r="O612" s="5" t="n">
        <f aca="false">LEN(M612)</f>
        <v>25</v>
      </c>
      <c r="P612" s="14" t="n">
        <f aca="false">IF(N612=0,"",(N612-LEN(SUBSTITUTE(SUBSTITUTE(L612,"G",""),"C","")))/N612)</f>
        <v>0.44</v>
      </c>
      <c r="Q612" s="14" t="n">
        <f aca="false">IF(O612=0,"",(O612-LEN(SUBSTITUTE(SUBSTITUTE(M612,"G",""),"C","")))/O612)</f>
        <v>0.4</v>
      </c>
      <c r="R612" s="5" t="s">
        <v>672</v>
      </c>
      <c r="S612" s="15" t="s">
        <v>1677</v>
      </c>
      <c r="T612" s="5" t="n">
        <v>426</v>
      </c>
      <c r="U612" s="5" t="s">
        <v>1678</v>
      </c>
      <c r="V612" s="5" t="s">
        <v>588</v>
      </c>
      <c r="W612" s="5"/>
      <c r="X612" s="15" t="s">
        <v>1677</v>
      </c>
      <c r="Y612" s="5"/>
    </row>
    <row r="613" customFormat="false" ht="15" hidden="false" customHeight="false" outlineLevel="0" collapsed="false">
      <c r="A613" s="5" t="s">
        <v>6932</v>
      </c>
      <c r="B613" s="5" t="s">
        <v>675</v>
      </c>
      <c r="C613" s="5" t="s">
        <v>676</v>
      </c>
      <c r="D613" s="9" t="s">
        <v>66</v>
      </c>
      <c r="E613" s="5" t="n">
        <v>1</v>
      </c>
      <c r="F613" s="5" t="s">
        <v>6933</v>
      </c>
      <c r="G613" s="13" t="s">
        <v>6934</v>
      </c>
      <c r="H613" s="5" t="s">
        <v>6935</v>
      </c>
      <c r="I613" s="13" t="s">
        <v>6936</v>
      </c>
      <c r="J613" s="5" t="s">
        <v>6937</v>
      </c>
      <c r="K613" s="5" t="s">
        <v>6938</v>
      </c>
      <c r="L613" s="13" t="s">
        <v>6939</v>
      </c>
      <c r="M613" s="13" t="s">
        <v>6940</v>
      </c>
      <c r="N613" s="5" t="n">
        <f aca="false">LEN(L613)</f>
        <v>25</v>
      </c>
      <c r="O613" s="5" t="n">
        <f aca="false">LEN(M613)</f>
        <v>25</v>
      </c>
      <c r="P613" s="14" t="n">
        <f aca="false">IF(N613=0,"",(N613-LEN(SUBSTITUTE(SUBSTITUTE(L613,"G",""),"C","")))/N613)</f>
        <v>0.72</v>
      </c>
      <c r="Q613" s="14" t="n">
        <f aca="false">IF(O613=0,"",(O613-LEN(SUBSTITUTE(SUBSTITUTE(M613,"G",""),"C","")))/O613)</f>
        <v>0.4</v>
      </c>
      <c r="R613" s="5" t="s">
        <v>679</v>
      </c>
      <c r="S613" s="15" t="s">
        <v>1677</v>
      </c>
      <c r="T613" s="5" t="n">
        <v>9</v>
      </c>
      <c r="U613" s="5" t="s">
        <v>1678</v>
      </c>
      <c r="V613" s="5" t="s">
        <v>588</v>
      </c>
      <c r="W613" s="5"/>
      <c r="X613" s="8" t="s">
        <v>2131</v>
      </c>
      <c r="Y613" s="5"/>
    </row>
    <row r="614" customFormat="false" ht="15" hidden="false" customHeight="false" outlineLevel="0" collapsed="false">
      <c r="A614" s="5" t="s">
        <v>6941</v>
      </c>
      <c r="B614" s="5" t="s">
        <v>675</v>
      </c>
      <c r="C614" s="5" t="s">
        <v>676</v>
      </c>
      <c r="D614" s="9" t="s">
        <v>66</v>
      </c>
      <c r="E614" s="5" t="n">
        <v>2</v>
      </c>
      <c r="F614" s="5" t="s">
        <v>6942</v>
      </c>
      <c r="G614" s="13" t="s">
        <v>6943</v>
      </c>
      <c r="H614" s="5" t="s">
        <v>6944</v>
      </c>
      <c r="I614" s="13" t="s">
        <v>6945</v>
      </c>
      <c r="J614" s="5" t="s">
        <v>6946</v>
      </c>
      <c r="K614" s="5" t="s">
        <v>6947</v>
      </c>
      <c r="L614" s="13" t="s">
        <v>6948</v>
      </c>
      <c r="M614" s="13" t="s">
        <v>6949</v>
      </c>
      <c r="N614" s="5" t="n">
        <f aca="false">LEN(L614)</f>
        <v>25</v>
      </c>
      <c r="O614" s="5" t="n">
        <f aca="false">LEN(M614)</f>
        <v>25</v>
      </c>
      <c r="P614" s="14" t="n">
        <f aca="false">IF(N614=0,"",(N614-LEN(SUBSTITUTE(SUBSTITUTE(L614,"G",""),"C","")))/N614)</f>
        <v>0.88</v>
      </c>
      <c r="Q614" s="14" t="n">
        <f aca="false">IF(O614=0,"",(O614-LEN(SUBSTITUTE(SUBSTITUTE(M614,"G",""),"C","")))/O614)</f>
        <v>0.64</v>
      </c>
      <c r="R614" s="5" t="s">
        <v>679</v>
      </c>
      <c r="S614" s="15" t="s">
        <v>1677</v>
      </c>
      <c r="T614" s="5" t="n">
        <v>142</v>
      </c>
      <c r="U614" s="5" t="s">
        <v>1678</v>
      </c>
      <c r="V614" s="5" t="s">
        <v>588</v>
      </c>
      <c r="W614" s="5"/>
      <c r="X614" s="8" t="s">
        <v>1769</v>
      </c>
      <c r="Y614" s="5"/>
    </row>
    <row r="615" customFormat="false" ht="15" hidden="false" customHeight="false" outlineLevel="0" collapsed="false">
      <c r="A615" s="5" t="s">
        <v>6950</v>
      </c>
      <c r="B615" s="5" t="s">
        <v>675</v>
      </c>
      <c r="C615" s="5" t="s">
        <v>676</v>
      </c>
      <c r="D615" s="9" t="s">
        <v>66</v>
      </c>
      <c r="E615" s="5" t="n">
        <v>3</v>
      </c>
      <c r="F615" s="5" t="s">
        <v>6951</v>
      </c>
      <c r="G615" s="13" t="s">
        <v>6952</v>
      </c>
      <c r="H615" s="5" t="s">
        <v>6953</v>
      </c>
      <c r="I615" s="13" t="s">
        <v>6954</v>
      </c>
      <c r="J615" s="5" t="s">
        <v>6955</v>
      </c>
      <c r="K615" s="5" t="s">
        <v>6956</v>
      </c>
      <c r="L615" s="13" t="s">
        <v>6957</v>
      </c>
      <c r="M615" s="13" t="s">
        <v>6958</v>
      </c>
      <c r="N615" s="5" t="n">
        <f aca="false">LEN(L615)</f>
        <v>25</v>
      </c>
      <c r="O615" s="5" t="n">
        <f aca="false">LEN(M615)</f>
        <v>25</v>
      </c>
      <c r="P615" s="14" t="n">
        <f aca="false">IF(N615=0,"",(N615-LEN(SUBSTITUTE(SUBSTITUTE(L615,"G",""),"C","")))/N615)</f>
        <v>0.44</v>
      </c>
      <c r="Q615" s="14" t="n">
        <f aca="false">IF(O615=0,"",(O615-LEN(SUBSTITUTE(SUBSTITUTE(M615,"G",""),"C","")))/O615)</f>
        <v>0.56</v>
      </c>
      <c r="R615" s="5" t="s">
        <v>679</v>
      </c>
      <c r="S615" s="15" t="s">
        <v>1677</v>
      </c>
      <c r="T615" s="5" t="n">
        <v>276</v>
      </c>
      <c r="U615" s="5" t="s">
        <v>1678</v>
      </c>
      <c r="V615" s="5" t="s">
        <v>588</v>
      </c>
      <c r="W615" s="5"/>
      <c r="X615" s="15" t="s">
        <v>1677</v>
      </c>
      <c r="Y615" s="5"/>
    </row>
    <row r="616" customFormat="false" ht="15" hidden="false" customHeight="false" outlineLevel="0" collapsed="false">
      <c r="A616" s="5" t="s">
        <v>6959</v>
      </c>
      <c r="B616" s="5" t="s">
        <v>675</v>
      </c>
      <c r="C616" s="5" t="s">
        <v>676</v>
      </c>
      <c r="D616" s="9" t="s">
        <v>66</v>
      </c>
      <c r="E616" s="5" t="n">
        <v>4</v>
      </c>
      <c r="F616" s="5" t="s">
        <v>6960</v>
      </c>
      <c r="G616" s="13" t="s">
        <v>6961</v>
      </c>
      <c r="H616" s="5" t="s">
        <v>6962</v>
      </c>
      <c r="I616" s="13" t="s">
        <v>6963</v>
      </c>
      <c r="J616" s="5" t="s">
        <v>6964</v>
      </c>
      <c r="K616" s="5" t="s">
        <v>6965</v>
      </c>
      <c r="L616" s="13" t="s">
        <v>6966</v>
      </c>
      <c r="M616" s="13" t="s">
        <v>6967</v>
      </c>
      <c r="N616" s="5" t="n">
        <f aca="false">LEN(L616)</f>
        <v>25</v>
      </c>
      <c r="O616" s="5" t="n">
        <f aca="false">LEN(M616)</f>
        <v>25</v>
      </c>
      <c r="P616" s="14" t="n">
        <f aca="false">IF(N616=0,"",(N616-LEN(SUBSTITUTE(SUBSTITUTE(L616,"G",""),"C","")))/N616)</f>
        <v>0.72</v>
      </c>
      <c r="Q616" s="14" t="n">
        <f aca="false">IF(O616=0,"",(O616-LEN(SUBSTITUTE(SUBSTITUTE(M616,"G",""),"C","")))/O616)</f>
        <v>0.72</v>
      </c>
      <c r="R616" s="5" t="s">
        <v>679</v>
      </c>
      <c r="S616" s="15" t="s">
        <v>1677</v>
      </c>
      <c r="T616" s="5" t="n">
        <v>343</v>
      </c>
      <c r="U616" s="5" t="s">
        <v>1678</v>
      </c>
      <c r="V616" s="5" t="s">
        <v>588</v>
      </c>
      <c r="W616" s="5"/>
      <c r="X616" s="15" t="s">
        <v>1677</v>
      </c>
      <c r="Y616" s="5"/>
    </row>
    <row r="617" customFormat="false" ht="15" hidden="false" customHeight="false" outlineLevel="0" collapsed="false">
      <c r="A617" s="5" t="s">
        <v>6968</v>
      </c>
      <c r="B617" s="5" t="s">
        <v>675</v>
      </c>
      <c r="C617" s="5" t="s">
        <v>676</v>
      </c>
      <c r="D617" s="9" t="s">
        <v>66</v>
      </c>
      <c r="E617" s="5" t="n">
        <v>5</v>
      </c>
      <c r="F617" s="5" t="s">
        <v>6969</v>
      </c>
      <c r="G617" s="13" t="s">
        <v>6970</v>
      </c>
      <c r="H617" s="5" t="s">
        <v>6971</v>
      </c>
      <c r="I617" s="13" t="s">
        <v>6972</v>
      </c>
      <c r="J617" s="5" t="s">
        <v>6973</v>
      </c>
      <c r="K617" s="5" t="s">
        <v>6974</v>
      </c>
      <c r="L617" s="13" t="s">
        <v>6975</v>
      </c>
      <c r="M617" s="13" t="s">
        <v>6976</v>
      </c>
      <c r="N617" s="5" t="n">
        <f aca="false">LEN(L617)</f>
        <v>25</v>
      </c>
      <c r="O617" s="5" t="n">
        <f aca="false">LEN(M617)</f>
        <v>25</v>
      </c>
      <c r="P617" s="14" t="n">
        <f aca="false">IF(N617=0,"",(N617-LEN(SUBSTITUTE(SUBSTITUTE(L617,"G",""),"C","")))/N617)</f>
        <v>0.48</v>
      </c>
      <c r="Q617" s="14" t="n">
        <f aca="false">IF(O617=0,"",(O617-LEN(SUBSTITUTE(SUBSTITUTE(M617,"G",""),"C","")))/O617)</f>
        <v>0.6</v>
      </c>
      <c r="R617" s="5" t="s">
        <v>679</v>
      </c>
      <c r="S617" s="15" t="s">
        <v>1677</v>
      </c>
      <c r="T617" s="5" t="n">
        <v>477</v>
      </c>
      <c r="U617" s="5" t="s">
        <v>1678</v>
      </c>
      <c r="V617" s="5" t="s">
        <v>588</v>
      </c>
      <c r="W617" s="5"/>
      <c r="X617" s="15" t="s">
        <v>1677</v>
      </c>
      <c r="Y617" s="5"/>
    </row>
    <row r="618" customFormat="false" ht="15" hidden="false" customHeight="false" outlineLevel="0" collapsed="false">
      <c r="A618" s="5" t="s">
        <v>6977</v>
      </c>
      <c r="B618" s="5" t="s">
        <v>675</v>
      </c>
      <c r="C618" s="5" t="s">
        <v>676</v>
      </c>
      <c r="D618" s="9" t="s">
        <v>66</v>
      </c>
      <c r="E618" s="5" t="n">
        <v>6</v>
      </c>
      <c r="F618" s="5" t="s">
        <v>6978</v>
      </c>
      <c r="G618" s="13" t="s">
        <v>6979</v>
      </c>
      <c r="H618" s="5" t="s">
        <v>6980</v>
      </c>
      <c r="I618" s="13" t="s">
        <v>6981</v>
      </c>
      <c r="J618" s="5" t="s">
        <v>6982</v>
      </c>
      <c r="K618" s="5" t="s">
        <v>6983</v>
      </c>
      <c r="L618" s="13" t="s">
        <v>6984</v>
      </c>
      <c r="M618" s="13" t="s">
        <v>6985</v>
      </c>
      <c r="N618" s="5" t="n">
        <f aca="false">LEN(L618)</f>
        <v>25</v>
      </c>
      <c r="O618" s="5" t="n">
        <f aca="false">LEN(M618)</f>
        <v>25</v>
      </c>
      <c r="P618" s="14" t="n">
        <f aca="false">IF(N618=0,"",(N618-LEN(SUBSTITUTE(SUBSTITUTE(L618,"G",""),"C","")))/N618)</f>
        <v>0.56</v>
      </c>
      <c r="Q618" s="14" t="n">
        <f aca="false">IF(O618=0,"",(O618-LEN(SUBSTITUTE(SUBSTITUTE(M618,"G",""),"C","")))/O618)</f>
        <v>0.56</v>
      </c>
      <c r="R618" s="5" t="s">
        <v>679</v>
      </c>
      <c r="S618" s="15" t="s">
        <v>1677</v>
      </c>
      <c r="T618" s="5" t="n">
        <v>542</v>
      </c>
      <c r="U618" s="5" t="s">
        <v>1678</v>
      </c>
      <c r="V618" s="5" t="s">
        <v>588</v>
      </c>
      <c r="W618" s="5"/>
      <c r="X618" s="8" t="s">
        <v>1769</v>
      </c>
      <c r="Y618" s="5"/>
    </row>
    <row r="619" customFormat="false" ht="15" hidden="false" customHeight="false" outlineLevel="0" collapsed="false">
      <c r="A619" s="5" t="s">
        <v>6986</v>
      </c>
      <c r="B619" s="5" t="s">
        <v>683</v>
      </c>
      <c r="C619" s="5" t="s">
        <v>684</v>
      </c>
      <c r="D619" s="9" t="s">
        <v>66</v>
      </c>
      <c r="E619" s="5" t="n">
        <v>1</v>
      </c>
      <c r="F619" s="5" t="s">
        <v>6987</v>
      </c>
      <c r="G619" s="13" t="s">
        <v>6988</v>
      </c>
      <c r="H619" s="5" t="s">
        <v>6989</v>
      </c>
      <c r="I619" s="13" t="s">
        <v>6990</v>
      </c>
      <c r="J619" s="5" t="s">
        <v>6991</v>
      </c>
      <c r="K619" s="5" t="s">
        <v>6992</v>
      </c>
      <c r="L619" s="13" t="s">
        <v>6993</v>
      </c>
      <c r="M619" s="13" t="s">
        <v>6994</v>
      </c>
      <c r="N619" s="5" t="n">
        <f aca="false">LEN(L619)</f>
        <v>25</v>
      </c>
      <c r="O619" s="5" t="n">
        <f aca="false">LEN(M619)</f>
        <v>25</v>
      </c>
      <c r="P619" s="14" t="n">
        <f aca="false">IF(N619=0,"",(N619-LEN(SUBSTITUTE(SUBSTITUTE(L619,"G",""),"C","")))/N619)</f>
        <v>0.6</v>
      </c>
      <c r="Q619" s="14" t="n">
        <f aca="false">IF(O619=0,"",(O619-LEN(SUBSTITUTE(SUBSTITUTE(M619,"G",""),"C","")))/O619)</f>
        <v>0.48</v>
      </c>
      <c r="R619" s="5" t="s">
        <v>686</v>
      </c>
      <c r="S619" s="15" t="s">
        <v>1677</v>
      </c>
      <c r="T619" s="5" t="n">
        <v>366</v>
      </c>
      <c r="U619" s="5" t="s">
        <v>1678</v>
      </c>
      <c r="V619" s="5" t="s">
        <v>588</v>
      </c>
      <c r="W619" s="5"/>
      <c r="X619" s="15" t="s">
        <v>1677</v>
      </c>
      <c r="Y619" s="5"/>
    </row>
    <row r="620" customFormat="false" ht="15" hidden="false" customHeight="false" outlineLevel="0" collapsed="false">
      <c r="A620" s="5" t="s">
        <v>6995</v>
      </c>
      <c r="B620" s="5" t="s">
        <v>683</v>
      </c>
      <c r="C620" s="5" t="s">
        <v>684</v>
      </c>
      <c r="D620" s="9" t="s">
        <v>66</v>
      </c>
      <c r="E620" s="5" t="n">
        <v>2</v>
      </c>
      <c r="F620" s="5" t="s">
        <v>6996</v>
      </c>
      <c r="G620" s="13" t="s">
        <v>6997</v>
      </c>
      <c r="H620" s="5" t="s">
        <v>6998</v>
      </c>
      <c r="I620" s="13" t="s">
        <v>6999</v>
      </c>
      <c r="J620" s="5" t="s">
        <v>7000</v>
      </c>
      <c r="K620" s="5" t="s">
        <v>7001</v>
      </c>
      <c r="L620" s="13" t="s">
        <v>7002</v>
      </c>
      <c r="M620" s="13" t="s">
        <v>7003</v>
      </c>
      <c r="N620" s="5" t="n">
        <f aca="false">LEN(L620)</f>
        <v>25</v>
      </c>
      <c r="O620" s="5" t="n">
        <f aca="false">LEN(M620)</f>
        <v>25</v>
      </c>
      <c r="P620" s="14" t="n">
        <f aca="false">IF(N620=0,"",(N620-LEN(SUBSTITUTE(SUBSTITUTE(L620,"G",""),"C","")))/N620)</f>
        <v>0.08</v>
      </c>
      <c r="Q620" s="14" t="n">
        <f aca="false">IF(O620=0,"",(O620-LEN(SUBSTITUTE(SUBSTITUTE(M620,"G",""),"C","")))/O620)</f>
        <v>0.4</v>
      </c>
      <c r="R620" s="5" t="s">
        <v>686</v>
      </c>
      <c r="S620" s="15" t="s">
        <v>1677</v>
      </c>
      <c r="T620" s="5" t="n">
        <v>426</v>
      </c>
      <c r="U620" s="5" t="s">
        <v>1678</v>
      </c>
      <c r="V620" s="5" t="s">
        <v>588</v>
      </c>
      <c r="W620" s="5"/>
      <c r="X620" s="15" t="s">
        <v>1677</v>
      </c>
      <c r="Y620" s="5"/>
    </row>
    <row r="621" customFormat="false" ht="15" hidden="false" customHeight="false" outlineLevel="0" collapsed="false">
      <c r="A621" s="5" t="s">
        <v>7004</v>
      </c>
      <c r="B621" s="5" t="s">
        <v>683</v>
      </c>
      <c r="C621" s="5" t="s">
        <v>684</v>
      </c>
      <c r="D621" s="9" t="s">
        <v>66</v>
      </c>
      <c r="E621" s="5" t="n">
        <v>3</v>
      </c>
      <c r="F621" s="5" t="s">
        <v>7005</v>
      </c>
      <c r="G621" s="13" t="s">
        <v>7006</v>
      </c>
      <c r="H621" s="5" t="s">
        <v>7007</v>
      </c>
      <c r="I621" s="13" t="s">
        <v>7008</v>
      </c>
      <c r="J621" s="5" t="s">
        <v>7009</v>
      </c>
      <c r="K621" s="5" t="s">
        <v>7010</v>
      </c>
      <c r="L621" s="13" t="s">
        <v>7011</v>
      </c>
      <c r="M621" s="13" t="s">
        <v>7012</v>
      </c>
      <c r="N621" s="5" t="n">
        <f aca="false">LEN(L621)</f>
        <v>25</v>
      </c>
      <c r="O621" s="5" t="n">
        <f aca="false">LEN(M621)</f>
        <v>25</v>
      </c>
      <c r="P621" s="14" t="n">
        <f aca="false">IF(N621=0,"",(N621-LEN(SUBSTITUTE(SUBSTITUTE(L621,"G",""),"C","")))/N621)</f>
        <v>0.28</v>
      </c>
      <c r="Q621" s="14" t="n">
        <f aca="false">IF(O621=0,"",(O621-LEN(SUBSTITUTE(SUBSTITUTE(M621,"G",""),"C","")))/O621)</f>
        <v>0.44</v>
      </c>
      <c r="R621" s="5" t="s">
        <v>686</v>
      </c>
      <c r="S621" s="15" t="s">
        <v>1677</v>
      </c>
      <c r="T621" s="5" t="n">
        <v>486</v>
      </c>
      <c r="U621" s="5" t="s">
        <v>1678</v>
      </c>
      <c r="V621" s="5" t="s">
        <v>588</v>
      </c>
      <c r="W621" s="5"/>
      <c r="X621" s="15" t="s">
        <v>1677</v>
      </c>
      <c r="Y621" s="5"/>
    </row>
    <row r="622" customFormat="false" ht="15" hidden="false" customHeight="false" outlineLevel="0" collapsed="false">
      <c r="A622" s="5" t="s">
        <v>7013</v>
      </c>
      <c r="B622" s="5" t="s">
        <v>683</v>
      </c>
      <c r="C622" s="5" t="s">
        <v>684</v>
      </c>
      <c r="D622" s="9" t="s">
        <v>66</v>
      </c>
      <c r="E622" s="5" t="n">
        <v>4</v>
      </c>
      <c r="F622" s="5" t="s">
        <v>7014</v>
      </c>
      <c r="G622" s="13" t="s">
        <v>7015</v>
      </c>
      <c r="H622" s="5" t="s">
        <v>7016</v>
      </c>
      <c r="I622" s="13" t="s">
        <v>7017</v>
      </c>
      <c r="J622" s="5" t="s">
        <v>7018</v>
      </c>
      <c r="K622" s="5" t="s">
        <v>7019</v>
      </c>
      <c r="L622" s="13" t="s">
        <v>7020</v>
      </c>
      <c r="M622" s="13" t="s">
        <v>7021</v>
      </c>
      <c r="N622" s="5" t="n">
        <f aca="false">LEN(L622)</f>
        <v>25</v>
      </c>
      <c r="O622" s="5" t="n">
        <f aca="false">LEN(M622)</f>
        <v>25</v>
      </c>
      <c r="P622" s="14" t="n">
        <f aca="false">IF(N622=0,"",(N622-LEN(SUBSTITUTE(SUBSTITUTE(L622,"G",""),"C","")))/N622)</f>
        <v>0.36</v>
      </c>
      <c r="Q622" s="14" t="n">
        <f aca="false">IF(O622=0,"",(O622-LEN(SUBSTITUTE(SUBSTITUTE(M622,"G",""),"C","")))/O622)</f>
        <v>0.48</v>
      </c>
      <c r="R622" s="5" t="s">
        <v>686</v>
      </c>
      <c r="S622" s="15" t="s">
        <v>1677</v>
      </c>
      <c r="T622" s="5" t="n">
        <v>546</v>
      </c>
      <c r="U622" s="5" t="s">
        <v>1678</v>
      </c>
      <c r="V622" s="5" t="s">
        <v>588</v>
      </c>
      <c r="W622" s="5"/>
      <c r="X622" s="15" t="s">
        <v>1677</v>
      </c>
      <c r="Y622" s="5"/>
    </row>
    <row r="623" customFormat="false" ht="15" hidden="false" customHeight="false" outlineLevel="0" collapsed="false">
      <c r="A623" s="5" t="s">
        <v>7022</v>
      </c>
      <c r="B623" s="5" t="s">
        <v>683</v>
      </c>
      <c r="C623" s="5" t="s">
        <v>684</v>
      </c>
      <c r="D623" s="9" t="s">
        <v>66</v>
      </c>
      <c r="E623" s="5" t="n">
        <v>5</v>
      </c>
      <c r="F623" s="5" t="s">
        <v>7023</v>
      </c>
      <c r="G623" s="13" t="s">
        <v>7024</v>
      </c>
      <c r="H623" s="5" t="s">
        <v>7025</v>
      </c>
      <c r="I623" s="13" t="s">
        <v>7026</v>
      </c>
      <c r="J623" s="5" t="s">
        <v>7027</v>
      </c>
      <c r="K623" s="5" t="s">
        <v>7028</v>
      </c>
      <c r="L623" s="13" t="s">
        <v>7029</v>
      </c>
      <c r="M623" s="13" t="s">
        <v>7030</v>
      </c>
      <c r="N623" s="5" t="n">
        <f aca="false">LEN(L623)</f>
        <v>25</v>
      </c>
      <c r="O623" s="5" t="n">
        <f aca="false">LEN(M623)</f>
        <v>25</v>
      </c>
      <c r="P623" s="14" t="n">
        <f aca="false">IF(N623=0,"",(N623-LEN(SUBSTITUTE(SUBSTITUTE(L623,"G",""),"C","")))/N623)</f>
        <v>0.4</v>
      </c>
      <c r="Q623" s="14" t="n">
        <f aca="false">IF(O623=0,"",(O623-LEN(SUBSTITUTE(SUBSTITUTE(M623,"G",""),"C","")))/O623)</f>
        <v>0.28</v>
      </c>
      <c r="R623" s="5" t="s">
        <v>686</v>
      </c>
      <c r="S623" s="15" t="s">
        <v>1677</v>
      </c>
      <c r="T623" s="5" t="n">
        <v>606</v>
      </c>
      <c r="U623" s="5" t="s">
        <v>1678</v>
      </c>
      <c r="V623" s="5" t="s">
        <v>588</v>
      </c>
      <c r="W623" s="5"/>
      <c r="X623" s="15" t="s">
        <v>1677</v>
      </c>
      <c r="Y623" s="5"/>
    </row>
    <row r="624" customFormat="false" ht="15" hidden="false" customHeight="false" outlineLevel="0" collapsed="false">
      <c r="A624" s="5" t="s">
        <v>7031</v>
      </c>
      <c r="B624" s="5" t="s">
        <v>683</v>
      </c>
      <c r="C624" s="5" t="s">
        <v>684</v>
      </c>
      <c r="D624" s="9" t="s">
        <v>66</v>
      </c>
      <c r="E624" s="5" t="n">
        <v>6</v>
      </c>
      <c r="F624" s="5" t="s">
        <v>7032</v>
      </c>
      <c r="G624" s="13" t="s">
        <v>7033</v>
      </c>
      <c r="H624" s="5" t="s">
        <v>7034</v>
      </c>
      <c r="I624" s="13" t="s">
        <v>7035</v>
      </c>
      <c r="J624" s="5" t="s">
        <v>7036</v>
      </c>
      <c r="K624" s="5" t="s">
        <v>7037</v>
      </c>
      <c r="L624" s="13" t="s">
        <v>7038</v>
      </c>
      <c r="M624" s="13" t="s">
        <v>7039</v>
      </c>
      <c r="N624" s="5" t="n">
        <f aca="false">LEN(L624)</f>
        <v>25</v>
      </c>
      <c r="O624" s="5" t="n">
        <f aca="false">LEN(M624)</f>
        <v>25</v>
      </c>
      <c r="P624" s="14" t="n">
        <f aca="false">IF(N624=0,"",(N624-LEN(SUBSTITUTE(SUBSTITUTE(L624,"G",""),"C","")))/N624)</f>
        <v>0.28</v>
      </c>
      <c r="Q624" s="14" t="n">
        <f aca="false">IF(O624=0,"",(O624-LEN(SUBSTITUTE(SUBSTITUTE(M624,"G",""),"C","")))/O624)</f>
        <v>0.4</v>
      </c>
      <c r="R624" s="5" t="s">
        <v>686</v>
      </c>
      <c r="S624" s="15" t="s">
        <v>1677</v>
      </c>
      <c r="T624" s="5" t="n">
        <v>666</v>
      </c>
      <c r="U624" s="5" t="s">
        <v>1678</v>
      </c>
      <c r="V624" s="5" t="s">
        <v>588</v>
      </c>
      <c r="W624" s="5"/>
      <c r="X624" s="15" t="s">
        <v>1677</v>
      </c>
      <c r="Y624" s="5"/>
    </row>
    <row r="625" customFormat="false" ht="15" hidden="false" customHeight="false" outlineLevel="0" collapsed="false">
      <c r="A625" s="5" t="s">
        <v>7040</v>
      </c>
      <c r="B625" s="5" t="s">
        <v>690</v>
      </c>
      <c r="C625" s="5" t="s">
        <v>691</v>
      </c>
      <c r="D625" s="9" t="s">
        <v>66</v>
      </c>
      <c r="E625" s="5" t="n">
        <v>1</v>
      </c>
      <c r="F625" s="5" t="s">
        <v>7041</v>
      </c>
      <c r="G625" s="13" t="s">
        <v>7042</v>
      </c>
      <c r="H625" s="5" t="s">
        <v>7043</v>
      </c>
      <c r="I625" s="13" t="s">
        <v>7044</v>
      </c>
      <c r="J625" s="5" t="s">
        <v>7045</v>
      </c>
      <c r="K625" s="5" t="s">
        <v>7046</v>
      </c>
      <c r="L625" s="13" t="s">
        <v>7047</v>
      </c>
      <c r="M625" s="13" t="s">
        <v>7048</v>
      </c>
      <c r="N625" s="5" t="n">
        <f aca="false">LEN(L625)</f>
        <v>25</v>
      </c>
      <c r="O625" s="5" t="n">
        <f aca="false">LEN(M625)</f>
        <v>25</v>
      </c>
      <c r="P625" s="14" t="n">
        <f aca="false">IF(N625=0,"",(N625-LEN(SUBSTITUTE(SUBSTITUTE(L625,"G",""),"C","")))/N625)</f>
        <v>0.44</v>
      </c>
      <c r="Q625" s="14" t="n">
        <f aca="false">IF(O625=0,"",(O625-LEN(SUBSTITUTE(SUBSTITUTE(M625,"G",""),"C","")))/O625)</f>
        <v>0.6</v>
      </c>
      <c r="R625" s="5" t="s">
        <v>696</v>
      </c>
      <c r="S625" s="15" t="s">
        <v>1677</v>
      </c>
      <c r="T625" s="5" t="n">
        <v>216</v>
      </c>
      <c r="U625" s="5" t="s">
        <v>1678</v>
      </c>
      <c r="V625" s="5" t="s">
        <v>588</v>
      </c>
      <c r="W625" s="5"/>
      <c r="X625" s="15" t="s">
        <v>1677</v>
      </c>
      <c r="Y625" s="5"/>
    </row>
    <row r="626" customFormat="false" ht="15" hidden="false" customHeight="false" outlineLevel="0" collapsed="false">
      <c r="A626" s="5" t="s">
        <v>7049</v>
      </c>
      <c r="B626" s="5" t="s">
        <v>690</v>
      </c>
      <c r="C626" s="5" t="s">
        <v>691</v>
      </c>
      <c r="D626" s="9" t="s">
        <v>66</v>
      </c>
      <c r="E626" s="5" t="n">
        <v>2</v>
      </c>
      <c r="F626" s="5" t="s">
        <v>7050</v>
      </c>
      <c r="G626" s="13" t="s">
        <v>7051</v>
      </c>
      <c r="H626" s="5" t="s">
        <v>7052</v>
      </c>
      <c r="I626" s="13" t="s">
        <v>7053</v>
      </c>
      <c r="J626" s="5" t="s">
        <v>7054</v>
      </c>
      <c r="K626" s="5" t="s">
        <v>7055</v>
      </c>
      <c r="L626" s="13" t="s">
        <v>7056</v>
      </c>
      <c r="M626" s="13" t="s">
        <v>7057</v>
      </c>
      <c r="N626" s="5" t="n">
        <f aca="false">LEN(L626)</f>
        <v>25</v>
      </c>
      <c r="O626" s="5" t="n">
        <f aca="false">LEN(M626)</f>
        <v>25</v>
      </c>
      <c r="P626" s="14" t="n">
        <f aca="false">IF(N626=0,"",(N626-LEN(SUBSTITUTE(SUBSTITUTE(L626,"G",""),"C","")))/N626)</f>
        <v>0.44</v>
      </c>
      <c r="Q626" s="14" t="n">
        <f aca="false">IF(O626=0,"",(O626-LEN(SUBSTITUTE(SUBSTITUTE(M626,"G",""),"C","")))/O626)</f>
        <v>0.4</v>
      </c>
      <c r="R626" s="5" t="s">
        <v>696</v>
      </c>
      <c r="S626" s="15" t="s">
        <v>1677</v>
      </c>
      <c r="T626" s="5" t="n">
        <v>286</v>
      </c>
      <c r="U626" s="5" t="s">
        <v>1678</v>
      </c>
      <c r="V626" s="5" t="s">
        <v>588</v>
      </c>
      <c r="W626" s="5"/>
      <c r="X626" s="15" t="s">
        <v>1677</v>
      </c>
      <c r="Y626" s="5"/>
    </row>
    <row r="627" customFormat="false" ht="15" hidden="false" customHeight="false" outlineLevel="0" collapsed="false">
      <c r="A627" s="5" t="s">
        <v>7058</v>
      </c>
      <c r="B627" s="5" t="s">
        <v>690</v>
      </c>
      <c r="C627" s="5" t="s">
        <v>691</v>
      </c>
      <c r="D627" s="9" t="s">
        <v>66</v>
      </c>
      <c r="E627" s="5" t="n">
        <v>3</v>
      </c>
      <c r="F627" s="5" t="s">
        <v>7059</v>
      </c>
      <c r="G627" s="13" t="s">
        <v>7060</v>
      </c>
      <c r="H627" s="5" t="s">
        <v>7061</v>
      </c>
      <c r="I627" s="13" t="s">
        <v>7062</v>
      </c>
      <c r="J627" s="5" t="s">
        <v>7063</v>
      </c>
      <c r="K627" s="5" t="s">
        <v>7064</v>
      </c>
      <c r="L627" s="13" t="s">
        <v>7065</v>
      </c>
      <c r="M627" s="13" t="s">
        <v>7066</v>
      </c>
      <c r="N627" s="5" t="n">
        <f aca="false">LEN(L627)</f>
        <v>25</v>
      </c>
      <c r="O627" s="5" t="n">
        <f aca="false">LEN(M627)</f>
        <v>25</v>
      </c>
      <c r="P627" s="14" t="n">
        <f aca="false">IF(N627=0,"",(N627-LEN(SUBSTITUTE(SUBSTITUTE(L627,"G",""),"C","")))/N627)</f>
        <v>0.4</v>
      </c>
      <c r="Q627" s="14" t="n">
        <f aca="false">IF(O627=0,"",(O627-LEN(SUBSTITUTE(SUBSTITUTE(M627,"G",""),"C","")))/O627)</f>
        <v>0.52</v>
      </c>
      <c r="R627" s="5" t="s">
        <v>696</v>
      </c>
      <c r="S627" s="15" t="s">
        <v>1677</v>
      </c>
      <c r="T627" s="5" t="n">
        <v>356</v>
      </c>
      <c r="U627" s="5" t="s">
        <v>1678</v>
      </c>
      <c r="V627" s="5" t="s">
        <v>588</v>
      </c>
      <c r="W627" s="5"/>
      <c r="X627" s="15" t="s">
        <v>1677</v>
      </c>
      <c r="Y627" s="5"/>
    </row>
    <row r="628" customFormat="false" ht="15" hidden="false" customHeight="false" outlineLevel="0" collapsed="false">
      <c r="A628" s="5" t="s">
        <v>7067</v>
      </c>
      <c r="B628" s="5" t="s">
        <v>690</v>
      </c>
      <c r="C628" s="5" t="s">
        <v>691</v>
      </c>
      <c r="D628" s="9" t="s">
        <v>66</v>
      </c>
      <c r="E628" s="5" t="n">
        <v>4</v>
      </c>
      <c r="F628" s="5" t="s">
        <v>7068</v>
      </c>
      <c r="G628" s="13" t="s">
        <v>7069</v>
      </c>
      <c r="H628" s="5" t="s">
        <v>7070</v>
      </c>
      <c r="I628" s="13" t="s">
        <v>7071</v>
      </c>
      <c r="J628" s="5" t="s">
        <v>7072</v>
      </c>
      <c r="K628" s="5" t="s">
        <v>7073</v>
      </c>
      <c r="L628" s="13" t="s">
        <v>7074</v>
      </c>
      <c r="M628" s="13" t="s">
        <v>7075</v>
      </c>
      <c r="N628" s="5" t="n">
        <f aca="false">LEN(L628)</f>
        <v>25</v>
      </c>
      <c r="O628" s="5" t="n">
        <f aca="false">LEN(M628)</f>
        <v>25</v>
      </c>
      <c r="P628" s="14" t="n">
        <f aca="false">IF(N628=0,"",(N628-LEN(SUBSTITUTE(SUBSTITUTE(L628,"G",""),"C","")))/N628)</f>
        <v>0.52</v>
      </c>
      <c r="Q628" s="14" t="n">
        <f aca="false">IF(O628=0,"",(O628-LEN(SUBSTITUTE(SUBSTITUTE(M628,"G",""),"C","")))/O628)</f>
        <v>0.44</v>
      </c>
      <c r="R628" s="5" t="s">
        <v>696</v>
      </c>
      <c r="S628" s="15" t="s">
        <v>1677</v>
      </c>
      <c r="T628" s="5" t="n">
        <v>426</v>
      </c>
      <c r="U628" s="5" t="s">
        <v>1678</v>
      </c>
      <c r="V628" s="5" t="s">
        <v>588</v>
      </c>
      <c r="W628" s="5"/>
      <c r="X628" s="15" t="s">
        <v>1677</v>
      </c>
      <c r="Y628" s="5"/>
    </row>
    <row r="629" customFormat="false" ht="15" hidden="false" customHeight="false" outlineLevel="0" collapsed="false">
      <c r="A629" s="5" t="s">
        <v>7076</v>
      </c>
      <c r="B629" s="5" t="s">
        <v>690</v>
      </c>
      <c r="C629" s="5" t="s">
        <v>691</v>
      </c>
      <c r="D629" s="9" t="s">
        <v>66</v>
      </c>
      <c r="E629" s="5" t="n">
        <v>5</v>
      </c>
      <c r="F629" s="5" t="s">
        <v>7077</v>
      </c>
      <c r="G629" s="13" t="s">
        <v>7078</v>
      </c>
      <c r="H629" s="5" t="s">
        <v>7079</v>
      </c>
      <c r="I629" s="13" t="s">
        <v>7080</v>
      </c>
      <c r="J629" s="5" t="s">
        <v>7081</v>
      </c>
      <c r="K629" s="5" t="s">
        <v>7082</v>
      </c>
      <c r="L629" s="13" t="s">
        <v>7083</v>
      </c>
      <c r="M629" s="13" t="s">
        <v>7084</v>
      </c>
      <c r="N629" s="5" t="n">
        <f aca="false">LEN(L629)</f>
        <v>25</v>
      </c>
      <c r="O629" s="5" t="n">
        <f aca="false">LEN(M629)</f>
        <v>25</v>
      </c>
      <c r="P629" s="14" t="n">
        <f aca="false">IF(N629=0,"",(N629-LEN(SUBSTITUTE(SUBSTITUTE(L629,"G",""),"C","")))/N629)</f>
        <v>0.44</v>
      </c>
      <c r="Q629" s="14" t="n">
        <f aca="false">IF(O629=0,"",(O629-LEN(SUBSTITUTE(SUBSTITUTE(M629,"G",""),"C","")))/O629)</f>
        <v>0.64</v>
      </c>
      <c r="R629" s="5" t="s">
        <v>696</v>
      </c>
      <c r="S629" s="15" t="s">
        <v>1677</v>
      </c>
      <c r="T629" s="5" t="n">
        <v>496</v>
      </c>
      <c r="U629" s="5" t="s">
        <v>1678</v>
      </c>
      <c r="V629" s="5" t="s">
        <v>588</v>
      </c>
      <c r="W629" s="5"/>
      <c r="X629" s="15" t="s">
        <v>1677</v>
      </c>
      <c r="Y629" s="5"/>
    </row>
    <row r="630" customFormat="false" ht="15" hidden="false" customHeight="false" outlineLevel="0" collapsed="false">
      <c r="A630" s="5" t="s">
        <v>7085</v>
      </c>
      <c r="B630" s="5" t="s">
        <v>690</v>
      </c>
      <c r="C630" s="5" t="s">
        <v>691</v>
      </c>
      <c r="D630" s="9" t="s">
        <v>66</v>
      </c>
      <c r="E630" s="5" t="n">
        <v>6</v>
      </c>
      <c r="F630" s="5" t="s">
        <v>7086</v>
      </c>
      <c r="G630" s="13" t="s">
        <v>7087</v>
      </c>
      <c r="H630" s="5" t="s">
        <v>7088</v>
      </c>
      <c r="I630" s="13" t="s">
        <v>7089</v>
      </c>
      <c r="J630" s="5" t="s">
        <v>7090</v>
      </c>
      <c r="K630" s="5" t="s">
        <v>7091</v>
      </c>
      <c r="L630" s="13" t="s">
        <v>7092</v>
      </c>
      <c r="M630" s="13" t="s">
        <v>7093</v>
      </c>
      <c r="N630" s="5" t="n">
        <f aca="false">LEN(L630)</f>
        <v>25</v>
      </c>
      <c r="O630" s="5" t="n">
        <f aca="false">LEN(M630)</f>
        <v>25</v>
      </c>
      <c r="P630" s="14" t="n">
        <f aca="false">IF(N630=0,"",(N630-LEN(SUBSTITUTE(SUBSTITUTE(L630,"G",""),"C","")))/N630)</f>
        <v>0.64</v>
      </c>
      <c r="Q630" s="14" t="n">
        <f aca="false">IF(O630=0,"",(O630-LEN(SUBSTITUTE(SUBSTITUTE(M630,"G",""),"C","")))/O630)</f>
        <v>0.48</v>
      </c>
      <c r="R630" s="5" t="s">
        <v>696</v>
      </c>
      <c r="S630" s="15" t="s">
        <v>1677</v>
      </c>
      <c r="T630" s="5" t="n">
        <v>566</v>
      </c>
      <c r="U630" s="5" t="s">
        <v>1678</v>
      </c>
      <c r="V630" s="5" t="s">
        <v>588</v>
      </c>
      <c r="W630" s="5"/>
      <c r="X630" s="15" t="s">
        <v>1677</v>
      </c>
      <c r="Y630" s="5"/>
    </row>
    <row r="631" customFormat="false" ht="15" hidden="false" customHeight="false" outlineLevel="0" collapsed="false">
      <c r="A631" s="5" t="s">
        <v>7094</v>
      </c>
      <c r="B631" s="5" t="s">
        <v>699</v>
      </c>
      <c r="C631" s="5" t="s">
        <v>570</v>
      </c>
      <c r="D631" s="9" t="s">
        <v>66</v>
      </c>
      <c r="E631" s="5" t="n">
        <v>1</v>
      </c>
      <c r="F631" s="5" t="s">
        <v>7095</v>
      </c>
      <c r="G631" s="13" t="s">
        <v>7096</v>
      </c>
      <c r="H631" s="5" t="s">
        <v>7097</v>
      </c>
      <c r="I631" s="13" t="s">
        <v>7098</v>
      </c>
      <c r="J631" s="5" t="s">
        <v>7099</v>
      </c>
      <c r="K631" s="5" t="s">
        <v>7100</v>
      </c>
      <c r="L631" s="13" t="s">
        <v>7101</v>
      </c>
      <c r="M631" s="13" t="s">
        <v>7102</v>
      </c>
      <c r="N631" s="5" t="n">
        <f aca="false">LEN(L631)</f>
        <v>25</v>
      </c>
      <c r="O631" s="5" t="n">
        <f aca="false">LEN(M631)</f>
        <v>25</v>
      </c>
      <c r="P631" s="14" t="n">
        <f aca="false">IF(N631=0,"",(N631-LEN(SUBSTITUTE(SUBSTITUTE(L631,"G",""),"C","")))/N631)</f>
        <v>0.48</v>
      </c>
      <c r="Q631" s="14" t="n">
        <f aca="false">IF(O631=0,"",(O631-LEN(SUBSTITUTE(SUBSTITUTE(M631,"G",""),"C","")))/O631)</f>
        <v>0.64</v>
      </c>
      <c r="R631" s="5" t="s">
        <v>702</v>
      </c>
      <c r="S631" s="15" t="s">
        <v>1677</v>
      </c>
      <c r="T631" s="5" t="n">
        <v>70</v>
      </c>
      <c r="U631" s="5" t="s">
        <v>1678</v>
      </c>
      <c r="V631" s="5" t="s">
        <v>588</v>
      </c>
      <c r="W631" s="5"/>
      <c r="X631" s="8" t="s">
        <v>1769</v>
      </c>
      <c r="Y631" s="5"/>
    </row>
    <row r="632" customFormat="false" ht="15" hidden="false" customHeight="false" outlineLevel="0" collapsed="false">
      <c r="A632" s="5" t="s">
        <v>7103</v>
      </c>
      <c r="B632" s="5" t="s">
        <v>699</v>
      </c>
      <c r="C632" s="5" t="s">
        <v>570</v>
      </c>
      <c r="D632" s="9" t="s">
        <v>66</v>
      </c>
      <c r="E632" s="5" t="n">
        <v>2</v>
      </c>
      <c r="F632" s="5" t="s">
        <v>7104</v>
      </c>
      <c r="G632" s="13" t="s">
        <v>7105</v>
      </c>
      <c r="H632" s="5" t="s">
        <v>7106</v>
      </c>
      <c r="I632" s="13" t="s">
        <v>7107</v>
      </c>
      <c r="J632" s="5" t="s">
        <v>7108</v>
      </c>
      <c r="K632" s="5" t="s">
        <v>7109</v>
      </c>
      <c r="L632" s="13" t="s">
        <v>7110</v>
      </c>
      <c r="M632" s="13" t="s">
        <v>7111</v>
      </c>
      <c r="N632" s="5" t="n">
        <f aca="false">LEN(L632)</f>
        <v>25</v>
      </c>
      <c r="O632" s="5" t="n">
        <f aca="false">LEN(M632)</f>
        <v>25</v>
      </c>
      <c r="P632" s="14" t="n">
        <f aca="false">IF(N632=0,"",(N632-LEN(SUBSTITUTE(SUBSTITUTE(L632,"G",""),"C","")))/N632)</f>
        <v>0.84</v>
      </c>
      <c r="Q632" s="14" t="n">
        <f aca="false">IF(O632=0,"",(O632-LEN(SUBSTITUTE(SUBSTITUTE(M632,"G",""),"C","")))/O632)</f>
        <v>0.64</v>
      </c>
      <c r="R632" s="5" t="s">
        <v>702</v>
      </c>
      <c r="S632" s="15" t="s">
        <v>1677</v>
      </c>
      <c r="T632" s="5" t="n">
        <v>137</v>
      </c>
      <c r="U632" s="5" t="s">
        <v>1678</v>
      </c>
      <c r="V632" s="5" t="s">
        <v>588</v>
      </c>
      <c r="W632" s="5"/>
      <c r="X632" s="15" t="s">
        <v>1677</v>
      </c>
      <c r="Y632" s="5"/>
    </row>
    <row r="633" customFormat="false" ht="15" hidden="false" customHeight="false" outlineLevel="0" collapsed="false">
      <c r="A633" s="5" t="s">
        <v>7112</v>
      </c>
      <c r="B633" s="5" t="s">
        <v>699</v>
      </c>
      <c r="C633" s="5" t="s">
        <v>570</v>
      </c>
      <c r="D633" s="9" t="s">
        <v>66</v>
      </c>
      <c r="E633" s="5" t="n">
        <v>3</v>
      </c>
      <c r="F633" s="5" t="s">
        <v>7113</v>
      </c>
      <c r="G633" s="13" t="s">
        <v>7114</v>
      </c>
      <c r="H633" s="5" t="s">
        <v>7115</v>
      </c>
      <c r="I633" s="13" t="s">
        <v>7116</v>
      </c>
      <c r="J633" s="5" t="s">
        <v>7117</v>
      </c>
      <c r="K633" s="5" t="s">
        <v>7118</v>
      </c>
      <c r="L633" s="13" t="s">
        <v>7119</v>
      </c>
      <c r="M633" s="13" t="s">
        <v>7120</v>
      </c>
      <c r="N633" s="5" t="n">
        <f aca="false">LEN(L633)</f>
        <v>25</v>
      </c>
      <c r="O633" s="5" t="n">
        <f aca="false">LEN(M633)</f>
        <v>25</v>
      </c>
      <c r="P633" s="14" t="n">
        <f aca="false">IF(N633=0,"",(N633-LEN(SUBSTITUTE(SUBSTITUTE(L633,"G",""),"C","")))/N633)</f>
        <v>0.76</v>
      </c>
      <c r="Q633" s="14" t="n">
        <f aca="false">IF(O633=0,"",(O633-LEN(SUBSTITUTE(SUBSTITUTE(M633,"G",""),"C","")))/O633)</f>
        <v>0.76</v>
      </c>
      <c r="R633" s="5" t="s">
        <v>702</v>
      </c>
      <c r="S633" s="15" t="s">
        <v>1677</v>
      </c>
      <c r="T633" s="5" t="n">
        <v>269</v>
      </c>
      <c r="U633" s="5" t="s">
        <v>1678</v>
      </c>
      <c r="V633" s="5" t="s">
        <v>588</v>
      </c>
      <c r="W633" s="5"/>
      <c r="X633" s="8" t="s">
        <v>1769</v>
      </c>
      <c r="Y633" s="5"/>
    </row>
    <row r="634" customFormat="false" ht="15" hidden="false" customHeight="false" outlineLevel="0" collapsed="false">
      <c r="A634" s="5" t="s">
        <v>7121</v>
      </c>
      <c r="B634" s="5" t="s">
        <v>699</v>
      </c>
      <c r="C634" s="5" t="s">
        <v>570</v>
      </c>
      <c r="D634" s="9" t="s">
        <v>66</v>
      </c>
      <c r="E634" s="5" t="n">
        <v>4</v>
      </c>
      <c r="F634" s="5" t="s">
        <v>7122</v>
      </c>
      <c r="G634" s="13" t="s">
        <v>7123</v>
      </c>
      <c r="H634" s="5" t="s">
        <v>7124</v>
      </c>
      <c r="I634" s="13" t="s">
        <v>7125</v>
      </c>
      <c r="J634" s="5" t="s">
        <v>7126</v>
      </c>
      <c r="K634" s="5" t="s">
        <v>7127</v>
      </c>
      <c r="L634" s="13" t="s">
        <v>7128</v>
      </c>
      <c r="M634" s="13" t="s">
        <v>7129</v>
      </c>
      <c r="N634" s="5" t="n">
        <f aca="false">LEN(L634)</f>
        <v>25</v>
      </c>
      <c r="O634" s="5" t="n">
        <f aca="false">LEN(M634)</f>
        <v>25</v>
      </c>
      <c r="P634" s="14" t="n">
        <f aca="false">IF(N634=0,"",(N634-LEN(SUBSTITUTE(SUBSTITUTE(L634,"G",""),"C","")))/N634)</f>
        <v>0.64</v>
      </c>
      <c r="Q634" s="14" t="n">
        <f aca="false">IF(O634=0,"",(O634-LEN(SUBSTITUTE(SUBSTITUTE(M634,"G",""),"C","")))/O634)</f>
        <v>0.68</v>
      </c>
      <c r="R634" s="5" t="s">
        <v>702</v>
      </c>
      <c r="S634" s="15" t="s">
        <v>1677</v>
      </c>
      <c r="T634" s="5" t="n">
        <v>335</v>
      </c>
      <c r="U634" s="5" t="s">
        <v>1678</v>
      </c>
      <c r="V634" s="5" t="s">
        <v>588</v>
      </c>
      <c r="W634" s="5"/>
      <c r="X634" s="15" t="s">
        <v>1677</v>
      </c>
      <c r="Y634" s="5"/>
    </row>
    <row r="635" customFormat="false" ht="15" hidden="false" customHeight="false" outlineLevel="0" collapsed="false">
      <c r="A635" s="5" t="s">
        <v>7130</v>
      </c>
      <c r="B635" s="5" t="s">
        <v>699</v>
      </c>
      <c r="C635" s="5" t="s">
        <v>570</v>
      </c>
      <c r="D635" s="9" t="s">
        <v>66</v>
      </c>
      <c r="E635" s="5" t="n">
        <v>5</v>
      </c>
      <c r="F635" s="5" t="s">
        <v>7131</v>
      </c>
      <c r="G635" s="13" t="s">
        <v>7132</v>
      </c>
      <c r="H635" s="5" t="s">
        <v>7133</v>
      </c>
      <c r="I635" s="13" t="s">
        <v>7134</v>
      </c>
      <c r="J635" s="5" t="s">
        <v>7135</v>
      </c>
      <c r="K635" s="5" t="s">
        <v>7136</v>
      </c>
      <c r="L635" s="13" t="s">
        <v>7137</v>
      </c>
      <c r="M635" s="13" t="s">
        <v>7138</v>
      </c>
      <c r="N635" s="5" t="n">
        <f aca="false">LEN(L635)</f>
        <v>25</v>
      </c>
      <c r="O635" s="5" t="n">
        <f aca="false">LEN(M635)</f>
        <v>25</v>
      </c>
      <c r="P635" s="14" t="n">
        <f aca="false">IF(N635=0,"",(N635-LEN(SUBSTITUTE(SUBSTITUTE(L635,"G",""),"C","")))/N635)</f>
        <v>0.48</v>
      </c>
      <c r="Q635" s="14" t="n">
        <f aca="false">IF(O635=0,"",(O635-LEN(SUBSTITUTE(SUBSTITUTE(M635,"G",""),"C","")))/O635)</f>
        <v>0.4</v>
      </c>
      <c r="R635" s="5" t="s">
        <v>702</v>
      </c>
      <c r="S635" s="15" t="s">
        <v>1677</v>
      </c>
      <c r="T635" s="5" t="n">
        <v>468</v>
      </c>
      <c r="U635" s="5" t="s">
        <v>1678</v>
      </c>
      <c r="V635" s="5" t="s">
        <v>588</v>
      </c>
      <c r="W635" s="5"/>
      <c r="X635" s="8" t="s">
        <v>2131</v>
      </c>
      <c r="Y635" s="5"/>
    </row>
    <row r="636" customFormat="false" ht="15" hidden="false" customHeight="false" outlineLevel="0" collapsed="false">
      <c r="A636" s="5" t="s">
        <v>7139</v>
      </c>
      <c r="B636" s="5" t="s">
        <v>704</v>
      </c>
      <c r="C636" s="5" t="s">
        <v>705</v>
      </c>
      <c r="D636" s="9" t="s">
        <v>66</v>
      </c>
      <c r="E636" s="5" t="n">
        <v>1</v>
      </c>
      <c r="F636" s="5" t="s">
        <v>7140</v>
      </c>
      <c r="G636" s="13" t="s">
        <v>7141</v>
      </c>
      <c r="H636" s="5" t="s">
        <v>7142</v>
      </c>
      <c r="I636" s="13" t="s">
        <v>7143</v>
      </c>
      <c r="J636" s="5" t="s">
        <v>2506</v>
      </c>
      <c r="K636" s="5" t="s">
        <v>2506</v>
      </c>
      <c r="L636" s="13" t="s">
        <v>7144</v>
      </c>
      <c r="M636" s="13" t="s">
        <v>7145</v>
      </c>
      <c r="N636" s="5" t="n">
        <f aca="false">LEN(L636)</f>
        <v>25</v>
      </c>
      <c r="O636" s="5" t="n">
        <f aca="false">LEN(M636)</f>
        <v>25</v>
      </c>
      <c r="P636" s="14" t="n">
        <f aca="false">IF(N636=0,"",(N636-LEN(SUBSTITUTE(SUBSTITUTE(L636,"G",""),"C","")))/N636)</f>
        <v>0.76</v>
      </c>
      <c r="Q636" s="14" t="n">
        <f aca="false">IF(O636=0,"",(O636-LEN(SUBSTITUTE(SUBSTITUTE(M636,"G",""),"C","")))/O636)</f>
        <v>0.72</v>
      </c>
      <c r="R636" s="5" t="s">
        <v>708</v>
      </c>
      <c r="S636" s="15" t="s">
        <v>1677</v>
      </c>
      <c r="T636" s="5" t="n">
        <v>1</v>
      </c>
      <c r="U636" s="5" t="s">
        <v>1678</v>
      </c>
      <c r="V636" s="5" t="s">
        <v>171</v>
      </c>
      <c r="W636" s="5" t="s">
        <v>171</v>
      </c>
      <c r="X636" s="15" t="s">
        <v>1677</v>
      </c>
      <c r="Y636" s="5"/>
    </row>
    <row r="637" customFormat="false" ht="15" hidden="false" customHeight="false" outlineLevel="0" collapsed="false">
      <c r="A637" s="5" t="s">
        <v>7146</v>
      </c>
      <c r="B637" s="5" t="s">
        <v>704</v>
      </c>
      <c r="C637" s="5" t="s">
        <v>705</v>
      </c>
      <c r="D637" s="9" t="s">
        <v>66</v>
      </c>
      <c r="E637" s="5" t="n">
        <v>2</v>
      </c>
      <c r="F637" s="5" t="s">
        <v>7147</v>
      </c>
      <c r="G637" s="13" t="s">
        <v>7148</v>
      </c>
      <c r="H637" s="5" t="s">
        <v>7149</v>
      </c>
      <c r="I637" s="13" t="s">
        <v>7150</v>
      </c>
      <c r="J637" s="5" t="s">
        <v>2506</v>
      </c>
      <c r="K637" s="5" t="s">
        <v>2506</v>
      </c>
      <c r="L637" s="13" t="s">
        <v>7151</v>
      </c>
      <c r="M637" s="13" t="s">
        <v>7152</v>
      </c>
      <c r="N637" s="5" t="n">
        <f aca="false">LEN(L637)</f>
        <v>25</v>
      </c>
      <c r="O637" s="5" t="n">
        <f aca="false">LEN(M637)</f>
        <v>25</v>
      </c>
      <c r="P637" s="14" t="n">
        <f aca="false">IF(N637=0,"",(N637-LEN(SUBSTITUTE(SUBSTITUTE(L637,"G",""),"C","")))/N637)</f>
        <v>0.8</v>
      </c>
      <c r="Q637" s="14" t="n">
        <f aca="false">IF(O637=0,"",(O637-LEN(SUBSTITUTE(SUBSTITUTE(M637,"G",""),"C","")))/O637)</f>
        <v>0.72</v>
      </c>
      <c r="R637" s="5" t="s">
        <v>708</v>
      </c>
      <c r="S637" s="15" t="s">
        <v>1677</v>
      </c>
      <c r="T637" s="5" t="n">
        <v>81</v>
      </c>
      <c r="U637" s="5" t="s">
        <v>1678</v>
      </c>
      <c r="V637" s="5" t="s">
        <v>171</v>
      </c>
      <c r="W637" s="5" t="s">
        <v>171</v>
      </c>
      <c r="X637" s="15" t="s">
        <v>1677</v>
      </c>
      <c r="Y637" s="5"/>
    </row>
    <row r="638" customFormat="false" ht="15" hidden="false" customHeight="false" outlineLevel="0" collapsed="false">
      <c r="A638" s="5" t="s">
        <v>7153</v>
      </c>
      <c r="B638" s="5" t="s">
        <v>704</v>
      </c>
      <c r="C638" s="5" t="s">
        <v>705</v>
      </c>
      <c r="D638" s="9" t="s">
        <v>66</v>
      </c>
      <c r="E638" s="5" t="n">
        <v>3</v>
      </c>
      <c r="F638" s="5" t="s">
        <v>7154</v>
      </c>
      <c r="G638" s="13" t="s">
        <v>7155</v>
      </c>
      <c r="H638" s="5" t="s">
        <v>7156</v>
      </c>
      <c r="I638" s="13" t="s">
        <v>7157</v>
      </c>
      <c r="J638" s="5" t="s">
        <v>2506</v>
      </c>
      <c r="K638" s="5" t="s">
        <v>2506</v>
      </c>
      <c r="L638" s="13" t="s">
        <v>7158</v>
      </c>
      <c r="M638" s="13" t="s">
        <v>7159</v>
      </c>
      <c r="N638" s="5" t="n">
        <f aca="false">LEN(L638)</f>
        <v>25</v>
      </c>
      <c r="O638" s="5" t="n">
        <f aca="false">LEN(M638)</f>
        <v>25</v>
      </c>
      <c r="P638" s="14" t="n">
        <f aca="false">IF(N638=0,"",(N638-LEN(SUBSTITUTE(SUBSTITUTE(L638,"G",""),"C","")))/N638)</f>
        <v>0.6</v>
      </c>
      <c r="Q638" s="14" t="n">
        <f aca="false">IF(O638=0,"",(O638-LEN(SUBSTITUTE(SUBSTITUTE(M638,"G",""),"C","")))/O638)</f>
        <v>0.76</v>
      </c>
      <c r="R638" s="5" t="s">
        <v>708</v>
      </c>
      <c r="S638" s="15" t="s">
        <v>1677</v>
      </c>
      <c r="T638" s="5" t="n">
        <v>161</v>
      </c>
      <c r="U638" s="5" t="s">
        <v>1678</v>
      </c>
      <c r="V638" s="5" t="s">
        <v>171</v>
      </c>
      <c r="W638" s="5" t="s">
        <v>171</v>
      </c>
      <c r="X638" s="15" t="s">
        <v>1677</v>
      </c>
      <c r="Y638" s="5"/>
    </row>
    <row r="639" customFormat="false" ht="15" hidden="false" customHeight="false" outlineLevel="0" collapsed="false">
      <c r="A639" s="5" t="s">
        <v>7160</v>
      </c>
      <c r="B639" s="5" t="s">
        <v>704</v>
      </c>
      <c r="C639" s="5" t="s">
        <v>705</v>
      </c>
      <c r="D639" s="9" t="s">
        <v>66</v>
      </c>
      <c r="E639" s="5" t="n">
        <v>4</v>
      </c>
      <c r="F639" s="5" t="s">
        <v>7161</v>
      </c>
      <c r="G639" s="13" t="s">
        <v>7162</v>
      </c>
      <c r="H639" s="5" t="s">
        <v>7163</v>
      </c>
      <c r="I639" s="13" t="s">
        <v>7164</v>
      </c>
      <c r="J639" s="5" t="s">
        <v>2506</v>
      </c>
      <c r="K639" s="5" t="s">
        <v>2506</v>
      </c>
      <c r="L639" s="13" t="s">
        <v>7165</v>
      </c>
      <c r="M639" s="13" t="s">
        <v>7166</v>
      </c>
      <c r="N639" s="5" t="n">
        <f aca="false">LEN(L639)</f>
        <v>25</v>
      </c>
      <c r="O639" s="5" t="n">
        <f aca="false">LEN(M639)</f>
        <v>25</v>
      </c>
      <c r="P639" s="14" t="n">
        <f aca="false">IF(N639=0,"",(N639-LEN(SUBSTITUTE(SUBSTITUTE(L639,"G",""),"C","")))/N639)</f>
        <v>0.8</v>
      </c>
      <c r="Q639" s="14" t="n">
        <f aca="false">IF(O639=0,"",(O639-LEN(SUBSTITUTE(SUBSTITUTE(M639,"G",""),"C","")))/O639)</f>
        <v>1</v>
      </c>
      <c r="R639" s="5" t="s">
        <v>708</v>
      </c>
      <c r="S639" s="15" t="s">
        <v>1677</v>
      </c>
      <c r="T639" s="5" t="n">
        <v>241</v>
      </c>
      <c r="U639" s="5" t="s">
        <v>1678</v>
      </c>
      <c r="V639" s="5" t="s">
        <v>171</v>
      </c>
      <c r="W639" s="5" t="s">
        <v>171</v>
      </c>
      <c r="X639" s="15" t="s">
        <v>1677</v>
      </c>
      <c r="Y639" s="5"/>
    </row>
    <row r="640" customFormat="false" ht="15" hidden="false" customHeight="false" outlineLevel="0" collapsed="false">
      <c r="A640" s="5" t="s">
        <v>7167</v>
      </c>
      <c r="B640" s="5" t="s">
        <v>704</v>
      </c>
      <c r="C640" s="5" t="s">
        <v>705</v>
      </c>
      <c r="D640" s="9" t="s">
        <v>66</v>
      </c>
      <c r="E640" s="5" t="n">
        <v>5</v>
      </c>
      <c r="F640" s="5" t="s">
        <v>7168</v>
      </c>
      <c r="G640" s="13" t="s">
        <v>7169</v>
      </c>
      <c r="H640" s="5" t="s">
        <v>7170</v>
      </c>
      <c r="I640" s="13" t="s">
        <v>7171</v>
      </c>
      <c r="J640" s="5" t="s">
        <v>2506</v>
      </c>
      <c r="K640" s="5" t="s">
        <v>2506</v>
      </c>
      <c r="L640" s="13" t="s">
        <v>7172</v>
      </c>
      <c r="M640" s="13" t="s">
        <v>7173</v>
      </c>
      <c r="N640" s="5" t="n">
        <f aca="false">LEN(L640)</f>
        <v>25</v>
      </c>
      <c r="O640" s="5" t="n">
        <f aca="false">LEN(M640)</f>
        <v>25</v>
      </c>
      <c r="P640" s="14" t="n">
        <f aca="false">IF(N640=0,"",(N640-LEN(SUBSTITUTE(SUBSTITUTE(L640,"G",""),"C","")))/N640)</f>
        <v>0.8</v>
      </c>
      <c r="Q640" s="14" t="n">
        <f aca="false">IF(O640=0,"",(O640-LEN(SUBSTITUTE(SUBSTITUTE(M640,"G",""),"C","")))/O640)</f>
        <v>0.96</v>
      </c>
      <c r="R640" s="5" t="s">
        <v>708</v>
      </c>
      <c r="S640" s="15" t="s">
        <v>1677</v>
      </c>
      <c r="T640" s="5" t="n">
        <v>321</v>
      </c>
      <c r="U640" s="5" t="s">
        <v>1678</v>
      </c>
      <c r="V640" s="5" t="s">
        <v>171</v>
      </c>
      <c r="W640" s="5" t="s">
        <v>171</v>
      </c>
      <c r="X640" s="15" t="s">
        <v>1677</v>
      </c>
      <c r="Y640" s="5"/>
    </row>
    <row r="641" customFormat="false" ht="15" hidden="false" customHeight="false" outlineLevel="0" collapsed="false">
      <c r="A641" s="5" t="s">
        <v>7174</v>
      </c>
      <c r="B641" s="5" t="s">
        <v>704</v>
      </c>
      <c r="C641" s="5" t="s">
        <v>705</v>
      </c>
      <c r="D641" s="9" t="s">
        <v>66</v>
      </c>
      <c r="E641" s="5" t="n">
        <v>6</v>
      </c>
      <c r="F641" s="5" t="s">
        <v>7175</v>
      </c>
      <c r="G641" s="13" t="s">
        <v>7176</v>
      </c>
      <c r="H641" s="5" t="s">
        <v>7177</v>
      </c>
      <c r="I641" s="13" t="s">
        <v>7178</v>
      </c>
      <c r="J641" s="5" t="s">
        <v>2506</v>
      </c>
      <c r="K641" s="5" t="s">
        <v>2506</v>
      </c>
      <c r="L641" s="13" t="s">
        <v>7179</v>
      </c>
      <c r="M641" s="13" t="s">
        <v>7180</v>
      </c>
      <c r="N641" s="5" t="n">
        <f aca="false">LEN(L641)</f>
        <v>25</v>
      </c>
      <c r="O641" s="5" t="n">
        <f aca="false">LEN(M641)</f>
        <v>25</v>
      </c>
      <c r="P641" s="14" t="n">
        <f aca="false">IF(N641=0,"",(N641-LEN(SUBSTITUTE(SUBSTITUTE(L641,"G",""),"C","")))/N641)</f>
        <v>0.84</v>
      </c>
      <c r="Q641" s="14" t="n">
        <f aca="false">IF(O641=0,"",(O641-LEN(SUBSTITUTE(SUBSTITUTE(M641,"G",""),"C","")))/O641)</f>
        <v>0.92</v>
      </c>
      <c r="R641" s="5" t="s">
        <v>708</v>
      </c>
      <c r="S641" s="15" t="s">
        <v>1677</v>
      </c>
      <c r="T641" s="5" t="n">
        <v>401</v>
      </c>
      <c r="U641" s="5" t="s">
        <v>1678</v>
      </c>
      <c r="V641" s="5" t="s">
        <v>171</v>
      </c>
      <c r="W641" s="5" t="s">
        <v>171</v>
      </c>
      <c r="X641" s="15" t="s">
        <v>1677</v>
      </c>
      <c r="Y641" s="5"/>
    </row>
    <row r="642" customFormat="false" ht="15" hidden="false" customHeight="false" outlineLevel="0" collapsed="false">
      <c r="A642" s="5" t="s">
        <v>7181</v>
      </c>
      <c r="B642" s="5" t="s">
        <v>704</v>
      </c>
      <c r="C642" s="5" t="s">
        <v>705</v>
      </c>
      <c r="D642" s="9" t="s">
        <v>66</v>
      </c>
      <c r="E642" s="5" t="n">
        <v>7</v>
      </c>
      <c r="F642" s="5" t="s">
        <v>7182</v>
      </c>
      <c r="G642" s="13" t="s">
        <v>7183</v>
      </c>
      <c r="H642" s="5" t="s">
        <v>7184</v>
      </c>
      <c r="I642" s="13" t="s">
        <v>7185</v>
      </c>
      <c r="J642" s="5" t="s">
        <v>2506</v>
      </c>
      <c r="K642" s="5" t="s">
        <v>2506</v>
      </c>
      <c r="L642" s="13" t="s">
        <v>7186</v>
      </c>
      <c r="M642" s="13" t="s">
        <v>7187</v>
      </c>
      <c r="N642" s="5" t="n">
        <f aca="false">LEN(L642)</f>
        <v>25</v>
      </c>
      <c r="O642" s="5" t="n">
        <f aca="false">LEN(M642)</f>
        <v>25</v>
      </c>
      <c r="P642" s="14" t="n">
        <f aca="false">IF(N642=0,"",(N642-LEN(SUBSTITUTE(SUBSTITUTE(L642,"G",""),"C","")))/N642)</f>
        <v>0.68</v>
      </c>
      <c r="Q642" s="14" t="n">
        <f aca="false">IF(O642=0,"",(O642-LEN(SUBSTITUTE(SUBSTITUTE(M642,"G",""),"C","")))/O642)</f>
        <v>0.48</v>
      </c>
      <c r="R642" s="5" t="s">
        <v>708</v>
      </c>
      <c r="S642" s="15" t="s">
        <v>1677</v>
      </c>
      <c r="T642" s="5" t="n">
        <v>481</v>
      </c>
      <c r="U642" s="5" t="s">
        <v>1678</v>
      </c>
      <c r="V642" s="5" t="s">
        <v>171</v>
      </c>
      <c r="W642" s="5" t="s">
        <v>171</v>
      </c>
      <c r="X642" s="15" t="s">
        <v>1677</v>
      </c>
      <c r="Y642" s="5"/>
    </row>
    <row r="643" customFormat="false" ht="15" hidden="false" customHeight="false" outlineLevel="0" collapsed="false">
      <c r="A643" s="5" t="s">
        <v>7188</v>
      </c>
      <c r="B643" s="5" t="s">
        <v>704</v>
      </c>
      <c r="C643" s="5" t="s">
        <v>705</v>
      </c>
      <c r="D643" s="9" t="s">
        <v>66</v>
      </c>
      <c r="E643" s="5" t="n">
        <v>8</v>
      </c>
      <c r="F643" s="5" t="s">
        <v>7189</v>
      </c>
      <c r="G643" s="13" t="s">
        <v>7190</v>
      </c>
      <c r="H643" s="5" t="s">
        <v>7191</v>
      </c>
      <c r="I643" s="13" t="s">
        <v>7192</v>
      </c>
      <c r="J643" s="5" t="s">
        <v>2506</v>
      </c>
      <c r="K643" s="5" t="s">
        <v>2506</v>
      </c>
      <c r="L643" s="13" t="s">
        <v>7193</v>
      </c>
      <c r="M643" s="13" t="s">
        <v>7194</v>
      </c>
      <c r="N643" s="5" t="n">
        <f aca="false">LEN(L643)</f>
        <v>25</v>
      </c>
      <c r="O643" s="5" t="n">
        <f aca="false">LEN(M643)</f>
        <v>25</v>
      </c>
      <c r="P643" s="14" t="n">
        <f aca="false">IF(N643=0,"",(N643-LEN(SUBSTITUTE(SUBSTITUTE(L643,"G",""),"C","")))/N643)</f>
        <v>0.6</v>
      </c>
      <c r="Q643" s="14" t="n">
        <f aca="false">IF(O643=0,"",(O643-LEN(SUBSTITUTE(SUBSTITUTE(M643,"G",""),"C","")))/O643)</f>
        <v>0.6</v>
      </c>
      <c r="R643" s="5" t="s">
        <v>708</v>
      </c>
      <c r="S643" s="15" t="s">
        <v>1677</v>
      </c>
      <c r="T643" s="5" t="n">
        <v>561</v>
      </c>
      <c r="U643" s="5" t="s">
        <v>1678</v>
      </c>
      <c r="V643" s="5" t="s">
        <v>171</v>
      </c>
      <c r="W643" s="5" t="s">
        <v>171</v>
      </c>
      <c r="X643" s="15" t="s">
        <v>1677</v>
      </c>
      <c r="Y643" s="5"/>
    </row>
    <row r="644" customFormat="false" ht="15" hidden="false" customHeight="false" outlineLevel="0" collapsed="false">
      <c r="A644" s="5" t="s">
        <v>7195</v>
      </c>
      <c r="B644" s="5" t="s">
        <v>704</v>
      </c>
      <c r="C644" s="5" t="s">
        <v>705</v>
      </c>
      <c r="D644" s="9" t="s">
        <v>66</v>
      </c>
      <c r="E644" s="5" t="n">
        <v>9</v>
      </c>
      <c r="F644" s="5" t="s">
        <v>7196</v>
      </c>
      <c r="G644" s="13" t="s">
        <v>7197</v>
      </c>
      <c r="H644" s="5" t="s">
        <v>7198</v>
      </c>
      <c r="I644" s="13" t="s">
        <v>7199</v>
      </c>
      <c r="J644" s="5" t="s">
        <v>2506</v>
      </c>
      <c r="K644" s="5" t="s">
        <v>2506</v>
      </c>
      <c r="L644" s="13" t="s">
        <v>7200</v>
      </c>
      <c r="M644" s="13" t="s">
        <v>7201</v>
      </c>
      <c r="N644" s="5" t="n">
        <f aca="false">LEN(L644)</f>
        <v>25</v>
      </c>
      <c r="O644" s="5" t="n">
        <f aca="false">LEN(M644)</f>
        <v>25</v>
      </c>
      <c r="P644" s="14" t="n">
        <f aca="false">IF(N644=0,"",(N644-LEN(SUBSTITUTE(SUBSTITUTE(L644,"G",""),"C","")))/N644)</f>
        <v>0.4</v>
      </c>
      <c r="Q644" s="14" t="n">
        <f aca="false">IF(O644=0,"",(O644-LEN(SUBSTITUTE(SUBSTITUTE(M644,"G",""),"C","")))/O644)</f>
        <v>0.4</v>
      </c>
      <c r="R644" s="5" t="s">
        <v>708</v>
      </c>
      <c r="S644" s="15" t="s">
        <v>1677</v>
      </c>
      <c r="T644" s="5" t="n">
        <v>641</v>
      </c>
      <c r="U644" s="5" t="s">
        <v>1678</v>
      </c>
      <c r="V644" s="5" t="s">
        <v>171</v>
      </c>
      <c r="W644" s="5" t="s">
        <v>171</v>
      </c>
      <c r="X644" s="15" t="s">
        <v>1677</v>
      </c>
      <c r="Y644" s="5"/>
    </row>
    <row r="645" customFormat="false" ht="15" hidden="false" customHeight="false" outlineLevel="0" collapsed="false">
      <c r="A645" s="5" t="s">
        <v>7202</v>
      </c>
      <c r="B645" s="5" t="s">
        <v>712</v>
      </c>
      <c r="C645" s="5" t="s">
        <v>713</v>
      </c>
      <c r="D645" s="9" t="s">
        <v>66</v>
      </c>
      <c r="E645" s="5" t="n">
        <v>1</v>
      </c>
      <c r="F645" s="5" t="s">
        <v>7203</v>
      </c>
      <c r="G645" s="13" t="s">
        <v>7204</v>
      </c>
      <c r="H645" s="5" t="s">
        <v>7205</v>
      </c>
      <c r="I645" s="13" t="s">
        <v>7206</v>
      </c>
      <c r="J645" s="5" t="s">
        <v>7207</v>
      </c>
      <c r="K645" s="5" t="s">
        <v>7208</v>
      </c>
      <c r="L645" s="13" t="s">
        <v>7209</v>
      </c>
      <c r="M645" s="13" t="s">
        <v>7210</v>
      </c>
      <c r="N645" s="5" t="n">
        <f aca="false">LEN(L645)</f>
        <v>25</v>
      </c>
      <c r="O645" s="5" t="n">
        <f aca="false">LEN(M645)</f>
        <v>25</v>
      </c>
      <c r="P645" s="14" t="n">
        <f aca="false">IF(N645=0,"",(N645-LEN(SUBSTITUTE(SUBSTITUTE(L645,"G",""),"C","")))/N645)</f>
        <v>0.76</v>
      </c>
      <c r="Q645" s="14" t="n">
        <f aca="false">IF(O645=0,"",(O645-LEN(SUBSTITUTE(SUBSTITUTE(M645,"G",""),"C","")))/O645)</f>
        <v>0.72</v>
      </c>
      <c r="R645" s="5" t="s">
        <v>718</v>
      </c>
      <c r="S645" s="15" t="s">
        <v>1677</v>
      </c>
      <c r="T645" s="5" t="n">
        <v>356</v>
      </c>
      <c r="U645" s="5" t="s">
        <v>1678</v>
      </c>
      <c r="V645" s="5" t="s">
        <v>588</v>
      </c>
      <c r="W645" s="5"/>
      <c r="X645" s="15" t="s">
        <v>1677</v>
      </c>
      <c r="Y645" s="5"/>
    </row>
    <row r="646" customFormat="false" ht="15" hidden="false" customHeight="false" outlineLevel="0" collapsed="false">
      <c r="A646" s="5" t="s">
        <v>7211</v>
      </c>
      <c r="B646" s="5" t="s">
        <v>712</v>
      </c>
      <c r="C646" s="5" t="s">
        <v>713</v>
      </c>
      <c r="D646" s="9" t="s">
        <v>66</v>
      </c>
      <c r="E646" s="5" t="n">
        <v>2</v>
      </c>
      <c r="F646" s="5" t="s">
        <v>7212</v>
      </c>
      <c r="G646" s="13" t="s">
        <v>7213</v>
      </c>
      <c r="H646" s="5" t="s">
        <v>7214</v>
      </c>
      <c r="I646" s="13" t="s">
        <v>7215</v>
      </c>
      <c r="J646" s="5" t="s">
        <v>7216</v>
      </c>
      <c r="K646" s="5" t="s">
        <v>7217</v>
      </c>
      <c r="L646" s="13" t="s">
        <v>7218</v>
      </c>
      <c r="M646" s="13" t="s">
        <v>7219</v>
      </c>
      <c r="N646" s="5" t="n">
        <f aca="false">LEN(L646)</f>
        <v>25</v>
      </c>
      <c r="O646" s="5" t="n">
        <f aca="false">LEN(M646)</f>
        <v>25</v>
      </c>
      <c r="P646" s="14" t="n">
        <f aca="false">IF(N646=0,"",(N646-LEN(SUBSTITUTE(SUBSTITUTE(L646,"G",""),"C","")))/N646)</f>
        <v>0.72</v>
      </c>
      <c r="Q646" s="14" t="n">
        <f aca="false">IF(O646=0,"",(O646-LEN(SUBSTITUTE(SUBSTITUTE(M646,"G",""),"C","")))/O646)</f>
        <v>0.4</v>
      </c>
      <c r="R646" s="5" t="s">
        <v>718</v>
      </c>
      <c r="S646" s="15" t="s">
        <v>1677</v>
      </c>
      <c r="T646" s="5" t="n">
        <v>426</v>
      </c>
      <c r="U646" s="5" t="s">
        <v>1678</v>
      </c>
      <c r="V646" s="5" t="s">
        <v>588</v>
      </c>
      <c r="W646" s="5"/>
      <c r="X646" s="15" t="s">
        <v>1677</v>
      </c>
      <c r="Y646" s="5"/>
    </row>
    <row r="647" customFormat="false" ht="15" hidden="false" customHeight="false" outlineLevel="0" collapsed="false">
      <c r="A647" s="5" t="s">
        <v>7220</v>
      </c>
      <c r="B647" s="5" t="s">
        <v>712</v>
      </c>
      <c r="C647" s="5" t="s">
        <v>713</v>
      </c>
      <c r="D647" s="9" t="s">
        <v>66</v>
      </c>
      <c r="E647" s="5" t="n">
        <v>3</v>
      </c>
      <c r="F647" s="5" t="s">
        <v>7221</v>
      </c>
      <c r="G647" s="13" t="s">
        <v>7222</v>
      </c>
      <c r="H647" s="5" t="s">
        <v>7223</v>
      </c>
      <c r="I647" s="13" t="s">
        <v>7224</v>
      </c>
      <c r="J647" s="5" t="s">
        <v>7225</v>
      </c>
      <c r="K647" s="5" t="s">
        <v>7226</v>
      </c>
      <c r="L647" s="13" t="s">
        <v>7227</v>
      </c>
      <c r="M647" s="13" t="s">
        <v>7228</v>
      </c>
      <c r="N647" s="5" t="n">
        <f aca="false">LEN(L647)</f>
        <v>25</v>
      </c>
      <c r="O647" s="5" t="n">
        <f aca="false">LEN(M647)</f>
        <v>25</v>
      </c>
      <c r="P647" s="14" t="n">
        <f aca="false">IF(N647=0,"",(N647-LEN(SUBSTITUTE(SUBSTITUTE(L647,"G",""),"C","")))/N647)</f>
        <v>0.48</v>
      </c>
      <c r="Q647" s="14" t="n">
        <f aca="false">IF(O647=0,"",(O647-LEN(SUBSTITUTE(SUBSTITUTE(M647,"G",""),"C","")))/O647)</f>
        <v>0.48</v>
      </c>
      <c r="R647" s="5" t="s">
        <v>718</v>
      </c>
      <c r="S647" s="15" t="s">
        <v>1677</v>
      </c>
      <c r="T647" s="5" t="n">
        <v>496</v>
      </c>
      <c r="U647" s="5" t="s">
        <v>1678</v>
      </c>
      <c r="V647" s="5" t="s">
        <v>588</v>
      </c>
      <c r="W647" s="5"/>
      <c r="X647" s="15" t="s">
        <v>1677</v>
      </c>
      <c r="Y647" s="5"/>
    </row>
    <row r="648" customFormat="false" ht="15" hidden="false" customHeight="false" outlineLevel="0" collapsed="false">
      <c r="A648" s="5" t="s">
        <v>7229</v>
      </c>
      <c r="B648" s="5" t="s">
        <v>712</v>
      </c>
      <c r="C648" s="5" t="s">
        <v>713</v>
      </c>
      <c r="D648" s="9" t="s">
        <v>66</v>
      </c>
      <c r="E648" s="5" t="n">
        <v>4</v>
      </c>
      <c r="F648" s="5" t="s">
        <v>7230</v>
      </c>
      <c r="G648" s="13" t="s">
        <v>7231</v>
      </c>
      <c r="H648" s="5" t="s">
        <v>7232</v>
      </c>
      <c r="I648" s="13" t="s">
        <v>7233</v>
      </c>
      <c r="J648" s="5" t="s">
        <v>7234</v>
      </c>
      <c r="K648" s="5" t="s">
        <v>7235</v>
      </c>
      <c r="L648" s="13" t="s">
        <v>7236</v>
      </c>
      <c r="M648" s="13" t="s">
        <v>7237</v>
      </c>
      <c r="N648" s="5" t="n">
        <f aca="false">LEN(L648)</f>
        <v>25</v>
      </c>
      <c r="O648" s="5" t="n">
        <f aca="false">LEN(M648)</f>
        <v>25</v>
      </c>
      <c r="P648" s="14" t="n">
        <f aca="false">IF(N648=0,"",(N648-LEN(SUBSTITUTE(SUBSTITUTE(L648,"G",""),"C","")))/N648)</f>
        <v>0.56</v>
      </c>
      <c r="Q648" s="14" t="n">
        <f aca="false">IF(O648=0,"",(O648-LEN(SUBSTITUTE(SUBSTITUTE(M648,"G",""),"C","")))/O648)</f>
        <v>0.52</v>
      </c>
      <c r="R648" s="5" t="s">
        <v>718</v>
      </c>
      <c r="S648" s="15" t="s">
        <v>1677</v>
      </c>
      <c r="T648" s="5" t="n">
        <v>566</v>
      </c>
      <c r="U648" s="5" t="s">
        <v>1678</v>
      </c>
      <c r="V648" s="5" t="s">
        <v>588</v>
      </c>
      <c r="W648" s="5"/>
      <c r="X648" s="15" t="s">
        <v>1677</v>
      </c>
      <c r="Y648" s="5"/>
    </row>
    <row r="649" customFormat="false" ht="15" hidden="false" customHeight="false" outlineLevel="0" collapsed="false">
      <c r="A649" s="5" t="s">
        <v>7238</v>
      </c>
      <c r="B649" s="5" t="s">
        <v>712</v>
      </c>
      <c r="C649" s="5" t="s">
        <v>713</v>
      </c>
      <c r="D649" s="9" t="s">
        <v>66</v>
      </c>
      <c r="E649" s="5" t="n">
        <v>5</v>
      </c>
      <c r="F649" s="5" t="s">
        <v>7239</v>
      </c>
      <c r="G649" s="13" t="s">
        <v>7240</v>
      </c>
      <c r="H649" s="5" t="s">
        <v>7241</v>
      </c>
      <c r="I649" s="13" t="s">
        <v>7242</v>
      </c>
      <c r="J649" s="5" t="s">
        <v>7243</v>
      </c>
      <c r="K649" s="5" t="s">
        <v>7244</v>
      </c>
      <c r="L649" s="13" t="s">
        <v>7245</v>
      </c>
      <c r="M649" s="13" t="s">
        <v>7246</v>
      </c>
      <c r="N649" s="5" t="n">
        <f aca="false">LEN(L649)</f>
        <v>25</v>
      </c>
      <c r="O649" s="5" t="n">
        <f aca="false">LEN(M649)</f>
        <v>25</v>
      </c>
      <c r="P649" s="14" t="n">
        <f aca="false">IF(N649=0,"",(N649-LEN(SUBSTITUTE(SUBSTITUTE(L649,"G",""),"C","")))/N649)</f>
        <v>0.64</v>
      </c>
      <c r="Q649" s="14" t="n">
        <f aca="false">IF(O649=0,"",(O649-LEN(SUBSTITUTE(SUBSTITUTE(M649,"G",""),"C","")))/O649)</f>
        <v>0.52</v>
      </c>
      <c r="R649" s="5" t="s">
        <v>718</v>
      </c>
      <c r="S649" s="15" t="s">
        <v>1677</v>
      </c>
      <c r="T649" s="5" t="n">
        <v>636</v>
      </c>
      <c r="U649" s="5" t="s">
        <v>1678</v>
      </c>
      <c r="V649" s="5" t="s">
        <v>588</v>
      </c>
      <c r="W649" s="5"/>
      <c r="X649" s="15" t="s">
        <v>1677</v>
      </c>
      <c r="Y649" s="5"/>
    </row>
    <row r="650" customFormat="false" ht="15" hidden="false" customHeight="false" outlineLevel="0" collapsed="false">
      <c r="A650" s="5" t="s">
        <v>7247</v>
      </c>
      <c r="B650" s="5" t="s">
        <v>712</v>
      </c>
      <c r="C650" s="5" t="s">
        <v>713</v>
      </c>
      <c r="D650" s="9" t="s">
        <v>66</v>
      </c>
      <c r="E650" s="5" t="n">
        <v>6</v>
      </c>
      <c r="F650" s="5" t="s">
        <v>7248</v>
      </c>
      <c r="G650" s="13" t="s">
        <v>7249</v>
      </c>
      <c r="H650" s="5" t="s">
        <v>7250</v>
      </c>
      <c r="I650" s="13" t="s">
        <v>7251</v>
      </c>
      <c r="J650" s="5" t="s">
        <v>7252</v>
      </c>
      <c r="K650" s="5" t="s">
        <v>7253</v>
      </c>
      <c r="L650" s="13" t="s">
        <v>7254</v>
      </c>
      <c r="M650" s="13" t="s">
        <v>7255</v>
      </c>
      <c r="N650" s="5" t="n">
        <f aca="false">LEN(L650)</f>
        <v>25</v>
      </c>
      <c r="O650" s="5" t="n">
        <f aca="false">LEN(M650)</f>
        <v>25</v>
      </c>
      <c r="P650" s="14" t="n">
        <f aca="false">IF(N650=0,"",(N650-LEN(SUBSTITUTE(SUBSTITUTE(L650,"G",""),"C","")))/N650)</f>
        <v>0.48</v>
      </c>
      <c r="Q650" s="14" t="n">
        <f aca="false">IF(O650=0,"",(O650-LEN(SUBSTITUTE(SUBSTITUTE(M650,"G",""),"C","")))/O650)</f>
        <v>0.64</v>
      </c>
      <c r="R650" s="5" t="s">
        <v>718</v>
      </c>
      <c r="S650" s="15" t="s">
        <v>1677</v>
      </c>
      <c r="T650" s="5" t="n">
        <v>706</v>
      </c>
      <c r="U650" s="5" t="s">
        <v>1678</v>
      </c>
      <c r="V650" s="5" t="s">
        <v>588</v>
      </c>
      <c r="W650" s="5"/>
      <c r="X650" s="15" t="s">
        <v>1677</v>
      </c>
      <c r="Y650" s="5"/>
    </row>
    <row r="651" customFormat="false" ht="15" hidden="false" customHeight="false" outlineLevel="0" collapsed="false">
      <c r="A651" s="5" t="s">
        <v>7256</v>
      </c>
      <c r="B651" s="5" t="s">
        <v>722</v>
      </c>
      <c r="C651" s="5" t="s">
        <v>723</v>
      </c>
      <c r="D651" s="9" t="s">
        <v>66</v>
      </c>
      <c r="E651" s="5" t="n">
        <v>1</v>
      </c>
      <c r="F651" s="5" t="s">
        <v>7257</v>
      </c>
      <c r="G651" s="13" t="s">
        <v>7258</v>
      </c>
      <c r="H651" s="5" t="s">
        <v>7259</v>
      </c>
      <c r="I651" s="13" t="s">
        <v>7260</v>
      </c>
      <c r="J651" s="5" t="s">
        <v>7261</v>
      </c>
      <c r="K651" s="5" t="s">
        <v>7262</v>
      </c>
      <c r="L651" s="13" t="s">
        <v>7263</v>
      </c>
      <c r="M651" s="13" t="s">
        <v>7264</v>
      </c>
      <c r="N651" s="5" t="n">
        <f aca="false">LEN(L651)</f>
        <v>25</v>
      </c>
      <c r="O651" s="5" t="n">
        <f aca="false">LEN(M651)</f>
        <v>25</v>
      </c>
      <c r="P651" s="14" t="n">
        <f aca="false">IF(N651=0,"",(N651-LEN(SUBSTITUTE(SUBSTITUTE(L651,"G",""),"C","")))/N651)</f>
        <v>0.6</v>
      </c>
      <c r="Q651" s="14" t="n">
        <f aca="false">IF(O651=0,"",(O651-LEN(SUBSTITUTE(SUBSTITUTE(M651,"G",""),"C","")))/O651)</f>
        <v>0.44</v>
      </c>
      <c r="R651" s="5" t="s">
        <v>727</v>
      </c>
      <c r="S651" s="15" t="s">
        <v>1677</v>
      </c>
      <c r="T651" s="5" t="n">
        <v>216</v>
      </c>
      <c r="U651" s="5" t="s">
        <v>1678</v>
      </c>
      <c r="V651" s="5" t="s">
        <v>588</v>
      </c>
      <c r="W651" s="5"/>
      <c r="X651" s="15" t="s">
        <v>1677</v>
      </c>
      <c r="Y651" s="5"/>
    </row>
    <row r="652" customFormat="false" ht="15" hidden="false" customHeight="false" outlineLevel="0" collapsed="false">
      <c r="A652" s="5" t="s">
        <v>7265</v>
      </c>
      <c r="B652" s="5" t="s">
        <v>722</v>
      </c>
      <c r="C652" s="5" t="s">
        <v>723</v>
      </c>
      <c r="D652" s="9" t="s">
        <v>66</v>
      </c>
      <c r="E652" s="5" t="n">
        <v>2</v>
      </c>
      <c r="F652" s="5" t="s">
        <v>7266</v>
      </c>
      <c r="G652" s="13" t="s">
        <v>7267</v>
      </c>
      <c r="H652" s="5" t="s">
        <v>7268</v>
      </c>
      <c r="I652" s="13" t="s">
        <v>7269</v>
      </c>
      <c r="J652" s="5" t="s">
        <v>7270</v>
      </c>
      <c r="K652" s="5" t="s">
        <v>7271</v>
      </c>
      <c r="L652" s="13" t="s">
        <v>7272</v>
      </c>
      <c r="M652" s="13" t="s">
        <v>7273</v>
      </c>
      <c r="N652" s="5" t="n">
        <f aca="false">LEN(L652)</f>
        <v>25</v>
      </c>
      <c r="O652" s="5" t="n">
        <f aca="false">LEN(M652)</f>
        <v>25</v>
      </c>
      <c r="P652" s="14" t="n">
        <f aca="false">IF(N652=0,"",(N652-LEN(SUBSTITUTE(SUBSTITUTE(L652,"G",""),"C","")))/N652)</f>
        <v>0.48</v>
      </c>
      <c r="Q652" s="14" t="n">
        <f aca="false">IF(O652=0,"",(O652-LEN(SUBSTITUTE(SUBSTITUTE(M652,"G",""),"C","")))/O652)</f>
        <v>0.4</v>
      </c>
      <c r="R652" s="5" t="s">
        <v>727</v>
      </c>
      <c r="S652" s="15" t="s">
        <v>1677</v>
      </c>
      <c r="T652" s="5" t="n">
        <v>286</v>
      </c>
      <c r="U652" s="5" t="s">
        <v>1678</v>
      </c>
      <c r="V652" s="5" t="s">
        <v>588</v>
      </c>
      <c r="W652" s="5"/>
      <c r="X652" s="15" t="s">
        <v>1677</v>
      </c>
      <c r="Y652" s="5"/>
    </row>
    <row r="653" customFormat="false" ht="15" hidden="false" customHeight="false" outlineLevel="0" collapsed="false">
      <c r="A653" s="5" t="s">
        <v>7274</v>
      </c>
      <c r="B653" s="5" t="s">
        <v>722</v>
      </c>
      <c r="C653" s="5" t="s">
        <v>723</v>
      </c>
      <c r="D653" s="9" t="s">
        <v>66</v>
      </c>
      <c r="E653" s="5" t="n">
        <v>3</v>
      </c>
      <c r="F653" s="5" t="s">
        <v>7275</v>
      </c>
      <c r="G653" s="13" t="s">
        <v>7276</v>
      </c>
      <c r="H653" s="5" t="s">
        <v>7277</v>
      </c>
      <c r="I653" s="13" t="s">
        <v>7278</v>
      </c>
      <c r="J653" s="5" t="s">
        <v>7279</v>
      </c>
      <c r="K653" s="5" t="s">
        <v>7280</v>
      </c>
      <c r="L653" s="13" t="s">
        <v>7281</v>
      </c>
      <c r="M653" s="13" t="s">
        <v>7282</v>
      </c>
      <c r="N653" s="5" t="n">
        <f aca="false">LEN(L653)</f>
        <v>25</v>
      </c>
      <c r="O653" s="5" t="n">
        <f aca="false">LEN(M653)</f>
        <v>25</v>
      </c>
      <c r="P653" s="14" t="n">
        <f aca="false">IF(N653=0,"",(N653-LEN(SUBSTITUTE(SUBSTITUTE(L653,"G",""),"C","")))/N653)</f>
        <v>0.52</v>
      </c>
      <c r="Q653" s="14" t="n">
        <f aca="false">IF(O653=0,"",(O653-LEN(SUBSTITUTE(SUBSTITUTE(M653,"G",""),"C","")))/O653)</f>
        <v>0.36</v>
      </c>
      <c r="R653" s="5" t="s">
        <v>727</v>
      </c>
      <c r="S653" s="15" t="s">
        <v>1677</v>
      </c>
      <c r="T653" s="5" t="n">
        <v>356</v>
      </c>
      <c r="U653" s="5" t="s">
        <v>1678</v>
      </c>
      <c r="V653" s="5" t="s">
        <v>588</v>
      </c>
      <c r="W653" s="5"/>
      <c r="X653" s="15" t="s">
        <v>1677</v>
      </c>
      <c r="Y653" s="5"/>
    </row>
    <row r="654" customFormat="false" ht="15" hidden="false" customHeight="false" outlineLevel="0" collapsed="false">
      <c r="A654" s="5" t="s">
        <v>7283</v>
      </c>
      <c r="B654" s="5" t="s">
        <v>722</v>
      </c>
      <c r="C654" s="5" t="s">
        <v>723</v>
      </c>
      <c r="D654" s="9" t="s">
        <v>66</v>
      </c>
      <c r="E654" s="5" t="n">
        <v>4</v>
      </c>
      <c r="F654" s="5" t="s">
        <v>7284</v>
      </c>
      <c r="G654" s="13" t="s">
        <v>7285</v>
      </c>
      <c r="H654" s="5" t="s">
        <v>7286</v>
      </c>
      <c r="I654" s="13" t="s">
        <v>7287</v>
      </c>
      <c r="J654" s="5" t="s">
        <v>7288</v>
      </c>
      <c r="K654" s="5" t="s">
        <v>7289</v>
      </c>
      <c r="L654" s="13" t="s">
        <v>7290</v>
      </c>
      <c r="M654" s="13" t="s">
        <v>7291</v>
      </c>
      <c r="N654" s="5" t="n">
        <f aca="false">LEN(L654)</f>
        <v>25</v>
      </c>
      <c r="O654" s="5" t="n">
        <f aca="false">LEN(M654)</f>
        <v>25</v>
      </c>
      <c r="P654" s="14" t="n">
        <f aca="false">IF(N654=0,"",(N654-LEN(SUBSTITUTE(SUBSTITUTE(L654,"G",""),"C","")))/N654)</f>
        <v>0.52</v>
      </c>
      <c r="Q654" s="14" t="n">
        <f aca="false">IF(O654=0,"",(O654-LEN(SUBSTITUTE(SUBSTITUTE(M654,"G",""),"C","")))/O654)</f>
        <v>0.6</v>
      </c>
      <c r="R654" s="5" t="s">
        <v>727</v>
      </c>
      <c r="S654" s="15" t="s">
        <v>1677</v>
      </c>
      <c r="T654" s="5" t="n">
        <v>426</v>
      </c>
      <c r="U654" s="5" t="s">
        <v>1678</v>
      </c>
      <c r="V654" s="5" t="s">
        <v>588</v>
      </c>
      <c r="W654" s="5"/>
      <c r="X654" s="15" t="s">
        <v>1677</v>
      </c>
      <c r="Y654" s="5"/>
    </row>
    <row r="655" customFormat="false" ht="15" hidden="false" customHeight="false" outlineLevel="0" collapsed="false">
      <c r="A655" s="5" t="s">
        <v>7292</v>
      </c>
      <c r="B655" s="5" t="s">
        <v>722</v>
      </c>
      <c r="C655" s="5" t="s">
        <v>723</v>
      </c>
      <c r="D655" s="9" t="s">
        <v>66</v>
      </c>
      <c r="E655" s="5" t="n">
        <v>5</v>
      </c>
      <c r="F655" s="5" t="s">
        <v>7293</v>
      </c>
      <c r="G655" s="13" t="s">
        <v>7294</v>
      </c>
      <c r="H655" s="5" t="s">
        <v>7295</v>
      </c>
      <c r="I655" s="13" t="s">
        <v>7296</v>
      </c>
      <c r="J655" s="5" t="s">
        <v>7297</v>
      </c>
      <c r="K655" s="5" t="s">
        <v>7298</v>
      </c>
      <c r="L655" s="13" t="s">
        <v>7299</v>
      </c>
      <c r="M655" s="13" t="s">
        <v>7300</v>
      </c>
      <c r="N655" s="5" t="n">
        <f aca="false">LEN(L655)</f>
        <v>25</v>
      </c>
      <c r="O655" s="5" t="n">
        <f aca="false">LEN(M655)</f>
        <v>25</v>
      </c>
      <c r="P655" s="14" t="n">
        <f aca="false">IF(N655=0,"",(N655-LEN(SUBSTITUTE(SUBSTITUTE(L655,"G",""),"C","")))/N655)</f>
        <v>0.44</v>
      </c>
      <c r="Q655" s="14" t="n">
        <f aca="false">IF(O655=0,"",(O655-LEN(SUBSTITUTE(SUBSTITUTE(M655,"G",""),"C","")))/O655)</f>
        <v>0.24</v>
      </c>
      <c r="R655" s="5" t="s">
        <v>727</v>
      </c>
      <c r="S655" s="15" t="s">
        <v>1677</v>
      </c>
      <c r="T655" s="5" t="n">
        <v>496</v>
      </c>
      <c r="U655" s="5" t="s">
        <v>1678</v>
      </c>
      <c r="V655" s="5" t="s">
        <v>588</v>
      </c>
      <c r="W655" s="5"/>
      <c r="X655" s="15" t="s">
        <v>1677</v>
      </c>
      <c r="Y655" s="5"/>
    </row>
    <row r="656" customFormat="false" ht="15" hidden="false" customHeight="false" outlineLevel="0" collapsed="false">
      <c r="A656" s="5" t="s">
        <v>7301</v>
      </c>
      <c r="B656" s="5" t="s">
        <v>722</v>
      </c>
      <c r="C656" s="5" t="s">
        <v>723</v>
      </c>
      <c r="D656" s="9" t="s">
        <v>66</v>
      </c>
      <c r="E656" s="5" t="n">
        <v>6</v>
      </c>
      <c r="F656" s="5" t="s">
        <v>7302</v>
      </c>
      <c r="G656" s="13" t="s">
        <v>7303</v>
      </c>
      <c r="H656" s="5" t="s">
        <v>7304</v>
      </c>
      <c r="I656" s="13" t="s">
        <v>7305</v>
      </c>
      <c r="J656" s="5" t="s">
        <v>7306</v>
      </c>
      <c r="K656" s="5" t="s">
        <v>7307</v>
      </c>
      <c r="L656" s="13" t="s">
        <v>7308</v>
      </c>
      <c r="M656" s="13" t="s">
        <v>7309</v>
      </c>
      <c r="N656" s="5" t="n">
        <f aca="false">LEN(L656)</f>
        <v>25</v>
      </c>
      <c r="O656" s="5" t="n">
        <f aca="false">LEN(M656)</f>
        <v>25</v>
      </c>
      <c r="P656" s="14" t="n">
        <f aca="false">IF(N656=0,"",(N656-LEN(SUBSTITUTE(SUBSTITUTE(L656,"G",""),"C","")))/N656)</f>
        <v>0.36</v>
      </c>
      <c r="Q656" s="14" t="n">
        <f aca="false">IF(O656=0,"",(O656-LEN(SUBSTITUTE(SUBSTITUTE(M656,"G",""),"C","")))/O656)</f>
        <v>0.68</v>
      </c>
      <c r="R656" s="5" t="s">
        <v>727</v>
      </c>
      <c r="S656" s="15" t="s">
        <v>1677</v>
      </c>
      <c r="T656" s="5" t="n">
        <v>566</v>
      </c>
      <c r="U656" s="5" t="s">
        <v>1678</v>
      </c>
      <c r="V656" s="5" t="s">
        <v>588</v>
      </c>
      <c r="W656" s="5"/>
      <c r="X656" s="15" t="s">
        <v>1677</v>
      </c>
      <c r="Y656" s="5"/>
    </row>
    <row r="657" customFormat="false" ht="15" hidden="false" customHeight="false" outlineLevel="0" collapsed="false">
      <c r="A657" s="5" t="s">
        <v>7310</v>
      </c>
      <c r="B657" s="5" t="s">
        <v>730</v>
      </c>
      <c r="C657" s="5" t="s">
        <v>731</v>
      </c>
      <c r="D657" s="9" t="s">
        <v>66</v>
      </c>
      <c r="E657" s="5" t="n">
        <v>1</v>
      </c>
      <c r="F657" s="5" t="s">
        <v>7311</v>
      </c>
      <c r="G657" s="13" t="s">
        <v>7312</v>
      </c>
      <c r="H657" s="5" t="s">
        <v>7313</v>
      </c>
      <c r="I657" s="13" t="s">
        <v>7314</v>
      </c>
      <c r="J657" s="5" t="s">
        <v>7315</v>
      </c>
      <c r="K657" s="5" t="s">
        <v>7316</v>
      </c>
      <c r="L657" s="13" t="s">
        <v>7317</v>
      </c>
      <c r="M657" s="13" t="s">
        <v>7318</v>
      </c>
      <c r="N657" s="5" t="n">
        <f aca="false">LEN(L657)</f>
        <v>25</v>
      </c>
      <c r="O657" s="5" t="n">
        <f aca="false">LEN(M657)</f>
        <v>25</v>
      </c>
      <c r="P657" s="14" t="n">
        <f aca="false">IF(N657=0,"",(N657-LEN(SUBSTITUTE(SUBSTITUTE(L657,"G",""),"C","")))/N657)</f>
        <v>0.6</v>
      </c>
      <c r="Q657" s="14" t="n">
        <f aca="false">IF(O657=0,"",(O657-LEN(SUBSTITUTE(SUBSTITUTE(M657,"G",""),"C","")))/O657)</f>
        <v>0.76</v>
      </c>
      <c r="R657" s="5" t="s">
        <v>735</v>
      </c>
      <c r="S657" s="15" t="s">
        <v>1677</v>
      </c>
      <c r="T657" s="5" t="n">
        <v>6</v>
      </c>
      <c r="U657" s="5" t="s">
        <v>1678</v>
      </c>
      <c r="V657" s="5" t="s">
        <v>588</v>
      </c>
      <c r="W657" s="5"/>
      <c r="X657" s="15" t="s">
        <v>1677</v>
      </c>
      <c r="Y657" s="5"/>
    </row>
    <row r="658" customFormat="false" ht="15" hidden="false" customHeight="false" outlineLevel="0" collapsed="false">
      <c r="A658" s="5" t="s">
        <v>7319</v>
      </c>
      <c r="B658" s="5" t="s">
        <v>730</v>
      </c>
      <c r="C658" s="5" t="s">
        <v>731</v>
      </c>
      <c r="D658" s="9" t="s">
        <v>66</v>
      </c>
      <c r="E658" s="5" t="n">
        <v>2</v>
      </c>
      <c r="F658" s="5" t="s">
        <v>7320</v>
      </c>
      <c r="G658" s="13" t="s">
        <v>7321</v>
      </c>
      <c r="H658" s="5" t="s">
        <v>7322</v>
      </c>
      <c r="I658" s="13" t="s">
        <v>7323</v>
      </c>
      <c r="J658" s="5" t="s">
        <v>7324</v>
      </c>
      <c r="K658" s="5" t="s">
        <v>7325</v>
      </c>
      <c r="L658" s="13" t="s">
        <v>7326</v>
      </c>
      <c r="M658" s="13" t="s">
        <v>7327</v>
      </c>
      <c r="N658" s="5" t="n">
        <f aca="false">LEN(L658)</f>
        <v>25</v>
      </c>
      <c r="O658" s="5" t="n">
        <f aca="false">LEN(M658)</f>
        <v>25</v>
      </c>
      <c r="P658" s="14" t="n">
        <f aca="false">IF(N658=0,"",(N658-LEN(SUBSTITUTE(SUBSTITUTE(L658,"G",""),"C","")))/N658)</f>
        <v>0.72</v>
      </c>
      <c r="Q658" s="14" t="n">
        <f aca="false">IF(O658=0,"",(O658-LEN(SUBSTITUTE(SUBSTITUTE(M658,"G",""),"C","")))/O658)</f>
        <v>0.48</v>
      </c>
      <c r="R658" s="5" t="s">
        <v>735</v>
      </c>
      <c r="S658" s="15" t="s">
        <v>1677</v>
      </c>
      <c r="T658" s="5" t="n">
        <v>76</v>
      </c>
      <c r="U658" s="5" t="s">
        <v>1678</v>
      </c>
      <c r="V658" s="5" t="s">
        <v>588</v>
      </c>
      <c r="W658" s="5"/>
      <c r="X658" s="15" t="s">
        <v>1677</v>
      </c>
      <c r="Y658" s="5"/>
    </row>
    <row r="659" customFormat="false" ht="15" hidden="false" customHeight="false" outlineLevel="0" collapsed="false">
      <c r="A659" s="5" t="s">
        <v>7328</v>
      </c>
      <c r="B659" s="5" t="s">
        <v>730</v>
      </c>
      <c r="C659" s="5" t="s">
        <v>731</v>
      </c>
      <c r="D659" s="9" t="s">
        <v>66</v>
      </c>
      <c r="E659" s="5" t="n">
        <v>3</v>
      </c>
      <c r="F659" s="5" t="s">
        <v>7329</v>
      </c>
      <c r="G659" s="13" t="s">
        <v>7330</v>
      </c>
      <c r="H659" s="5" t="s">
        <v>7331</v>
      </c>
      <c r="I659" s="13" t="s">
        <v>7332</v>
      </c>
      <c r="J659" s="5" t="s">
        <v>7333</v>
      </c>
      <c r="K659" s="5" t="s">
        <v>7334</v>
      </c>
      <c r="L659" s="13" t="s">
        <v>7335</v>
      </c>
      <c r="M659" s="13" t="s">
        <v>7336</v>
      </c>
      <c r="N659" s="5" t="n">
        <f aca="false">LEN(L659)</f>
        <v>25</v>
      </c>
      <c r="O659" s="5" t="n">
        <f aca="false">LEN(M659)</f>
        <v>25</v>
      </c>
      <c r="P659" s="14" t="n">
        <f aca="false">IF(N659=0,"",(N659-LEN(SUBSTITUTE(SUBSTITUTE(L659,"G",""),"C","")))/N659)</f>
        <v>0.52</v>
      </c>
      <c r="Q659" s="14" t="n">
        <f aca="false">IF(O659=0,"",(O659-LEN(SUBSTITUTE(SUBSTITUTE(M659,"G",""),"C","")))/O659)</f>
        <v>0.4</v>
      </c>
      <c r="R659" s="5" t="s">
        <v>735</v>
      </c>
      <c r="S659" s="15" t="s">
        <v>1677</v>
      </c>
      <c r="T659" s="5" t="n">
        <v>146</v>
      </c>
      <c r="U659" s="5" t="s">
        <v>1678</v>
      </c>
      <c r="V659" s="5" t="s">
        <v>588</v>
      </c>
      <c r="W659" s="5"/>
      <c r="X659" s="15" t="s">
        <v>1677</v>
      </c>
      <c r="Y659" s="5"/>
    </row>
    <row r="660" customFormat="false" ht="15" hidden="false" customHeight="false" outlineLevel="0" collapsed="false">
      <c r="A660" s="5" t="s">
        <v>7337</v>
      </c>
      <c r="B660" s="5" t="s">
        <v>730</v>
      </c>
      <c r="C660" s="5" t="s">
        <v>731</v>
      </c>
      <c r="D660" s="9" t="s">
        <v>66</v>
      </c>
      <c r="E660" s="5" t="n">
        <v>4</v>
      </c>
      <c r="F660" s="5" t="s">
        <v>7338</v>
      </c>
      <c r="G660" s="13" t="s">
        <v>7339</v>
      </c>
      <c r="H660" s="5" t="s">
        <v>7340</v>
      </c>
      <c r="I660" s="13" t="s">
        <v>7341</v>
      </c>
      <c r="J660" s="5" t="s">
        <v>7342</v>
      </c>
      <c r="K660" s="5" t="s">
        <v>7343</v>
      </c>
      <c r="L660" s="13" t="s">
        <v>7344</v>
      </c>
      <c r="M660" s="13" t="s">
        <v>7345</v>
      </c>
      <c r="N660" s="5" t="n">
        <f aca="false">LEN(L660)</f>
        <v>25</v>
      </c>
      <c r="O660" s="5" t="n">
        <f aca="false">LEN(M660)</f>
        <v>25</v>
      </c>
      <c r="P660" s="14" t="n">
        <f aca="false">IF(N660=0,"",(N660-LEN(SUBSTITUTE(SUBSTITUTE(L660,"G",""),"C","")))/N660)</f>
        <v>0.68</v>
      </c>
      <c r="Q660" s="14" t="n">
        <f aca="false">IF(O660=0,"",(O660-LEN(SUBSTITUTE(SUBSTITUTE(M660,"G",""),"C","")))/O660)</f>
        <v>0.76</v>
      </c>
      <c r="R660" s="5" t="s">
        <v>735</v>
      </c>
      <c r="S660" s="15" t="s">
        <v>1677</v>
      </c>
      <c r="T660" s="5" t="n">
        <v>216</v>
      </c>
      <c r="U660" s="5" t="s">
        <v>1678</v>
      </c>
      <c r="V660" s="5" t="s">
        <v>588</v>
      </c>
      <c r="W660" s="5"/>
      <c r="X660" s="15" t="s">
        <v>1677</v>
      </c>
      <c r="Y660" s="5"/>
    </row>
    <row r="661" customFormat="false" ht="15" hidden="false" customHeight="false" outlineLevel="0" collapsed="false">
      <c r="A661" s="5" t="s">
        <v>7346</v>
      </c>
      <c r="B661" s="5" t="s">
        <v>730</v>
      </c>
      <c r="C661" s="5" t="s">
        <v>731</v>
      </c>
      <c r="D661" s="9" t="s">
        <v>66</v>
      </c>
      <c r="E661" s="5" t="n">
        <v>5</v>
      </c>
      <c r="F661" s="5" t="s">
        <v>7347</v>
      </c>
      <c r="G661" s="13" t="s">
        <v>7348</v>
      </c>
      <c r="H661" s="5" t="s">
        <v>7349</v>
      </c>
      <c r="I661" s="13" t="s">
        <v>7350</v>
      </c>
      <c r="J661" s="5" t="s">
        <v>7351</v>
      </c>
      <c r="K661" s="5" t="s">
        <v>7352</v>
      </c>
      <c r="L661" s="13" t="s">
        <v>7353</v>
      </c>
      <c r="M661" s="13" t="s">
        <v>7354</v>
      </c>
      <c r="N661" s="5" t="n">
        <f aca="false">LEN(L661)</f>
        <v>25</v>
      </c>
      <c r="O661" s="5" t="n">
        <f aca="false">LEN(M661)</f>
        <v>25</v>
      </c>
      <c r="P661" s="14" t="n">
        <f aca="false">IF(N661=0,"",(N661-LEN(SUBSTITUTE(SUBSTITUTE(L661,"G",""),"C","")))/N661)</f>
        <v>0.88</v>
      </c>
      <c r="Q661" s="14" t="n">
        <f aca="false">IF(O661=0,"",(O661-LEN(SUBSTITUTE(SUBSTITUTE(M661,"G",""),"C","")))/O661)</f>
        <v>0.8</v>
      </c>
      <c r="R661" s="5" t="s">
        <v>735</v>
      </c>
      <c r="S661" s="15" t="s">
        <v>1677</v>
      </c>
      <c r="T661" s="5" t="n">
        <v>286</v>
      </c>
      <c r="U661" s="5" t="s">
        <v>1678</v>
      </c>
      <c r="V661" s="5" t="s">
        <v>588</v>
      </c>
      <c r="W661" s="5"/>
      <c r="X661" s="15" t="s">
        <v>1677</v>
      </c>
      <c r="Y661" s="5"/>
    </row>
    <row r="662" customFormat="false" ht="15" hidden="false" customHeight="false" outlineLevel="0" collapsed="false">
      <c r="A662" s="5" t="s">
        <v>7355</v>
      </c>
      <c r="B662" s="5" t="s">
        <v>730</v>
      </c>
      <c r="C662" s="5" t="s">
        <v>731</v>
      </c>
      <c r="D662" s="9" t="s">
        <v>66</v>
      </c>
      <c r="E662" s="5" t="n">
        <v>6</v>
      </c>
      <c r="F662" s="5" t="s">
        <v>7356</v>
      </c>
      <c r="G662" s="13" t="s">
        <v>7357</v>
      </c>
      <c r="H662" s="5" t="s">
        <v>7358</v>
      </c>
      <c r="I662" s="13" t="s">
        <v>7359</v>
      </c>
      <c r="J662" s="5" t="s">
        <v>7360</v>
      </c>
      <c r="K662" s="5" t="s">
        <v>7361</v>
      </c>
      <c r="L662" s="13" t="s">
        <v>7362</v>
      </c>
      <c r="M662" s="13" t="s">
        <v>7363</v>
      </c>
      <c r="N662" s="5" t="n">
        <f aca="false">LEN(L662)</f>
        <v>25</v>
      </c>
      <c r="O662" s="5" t="n">
        <f aca="false">LEN(M662)</f>
        <v>25</v>
      </c>
      <c r="P662" s="14" t="n">
        <f aca="false">IF(N662=0,"",(N662-LEN(SUBSTITUTE(SUBSTITUTE(L662,"G",""),"C","")))/N662)</f>
        <v>0.48</v>
      </c>
      <c r="Q662" s="14" t="n">
        <f aca="false">IF(O662=0,"",(O662-LEN(SUBSTITUTE(SUBSTITUTE(M662,"G",""),"C","")))/O662)</f>
        <v>0.52</v>
      </c>
      <c r="R662" s="5" t="s">
        <v>735</v>
      </c>
      <c r="S662" s="15" t="s">
        <v>1677</v>
      </c>
      <c r="T662" s="5" t="n">
        <v>356</v>
      </c>
      <c r="U662" s="5" t="s">
        <v>1678</v>
      </c>
      <c r="V662" s="5" t="s">
        <v>588</v>
      </c>
      <c r="W662" s="5"/>
      <c r="X662" s="15" t="s">
        <v>1677</v>
      </c>
      <c r="Y662" s="5"/>
    </row>
    <row r="663" customFormat="false" ht="15" hidden="false" customHeight="false" outlineLevel="0" collapsed="false">
      <c r="A663" s="5" t="s">
        <v>7364</v>
      </c>
      <c r="B663" s="5" t="s">
        <v>737</v>
      </c>
      <c r="C663" s="5" t="s">
        <v>738</v>
      </c>
      <c r="D663" s="9" t="s">
        <v>66</v>
      </c>
      <c r="E663" s="5" t="n">
        <v>1</v>
      </c>
      <c r="F663" s="5" t="s">
        <v>7365</v>
      </c>
      <c r="G663" s="13" t="s">
        <v>7366</v>
      </c>
      <c r="H663" s="5" t="s">
        <v>7367</v>
      </c>
      <c r="I663" s="13" t="s">
        <v>7368</v>
      </c>
      <c r="J663" s="5" t="s">
        <v>7369</v>
      </c>
      <c r="K663" s="5" t="s">
        <v>7370</v>
      </c>
      <c r="L663" s="13" t="s">
        <v>7371</v>
      </c>
      <c r="M663" s="13" t="s">
        <v>7372</v>
      </c>
      <c r="N663" s="5" t="n">
        <f aca="false">LEN(L663)</f>
        <v>25</v>
      </c>
      <c r="O663" s="5" t="n">
        <f aca="false">LEN(M663)</f>
        <v>25</v>
      </c>
      <c r="P663" s="14" t="n">
        <f aca="false">IF(N663=0,"",(N663-LEN(SUBSTITUTE(SUBSTITUTE(L663,"G",""),"C","")))/N663)</f>
        <v>0.76</v>
      </c>
      <c r="Q663" s="14" t="n">
        <f aca="false">IF(O663=0,"",(O663-LEN(SUBSTITUTE(SUBSTITUTE(M663,"G",""),"C","")))/O663)</f>
        <v>0.76</v>
      </c>
      <c r="R663" s="5" t="s">
        <v>741</v>
      </c>
      <c r="S663" s="15" t="s">
        <v>1677</v>
      </c>
      <c r="T663" s="5" t="n">
        <v>6</v>
      </c>
      <c r="U663" s="5" t="s">
        <v>1678</v>
      </c>
      <c r="V663" s="5" t="s">
        <v>588</v>
      </c>
      <c r="W663" s="5"/>
      <c r="X663" s="15" t="s">
        <v>1677</v>
      </c>
      <c r="Y663" s="5"/>
    </row>
    <row r="664" customFormat="false" ht="15" hidden="false" customHeight="false" outlineLevel="0" collapsed="false">
      <c r="A664" s="5" t="s">
        <v>7373</v>
      </c>
      <c r="B664" s="5" t="s">
        <v>737</v>
      </c>
      <c r="C664" s="5" t="s">
        <v>738</v>
      </c>
      <c r="D664" s="9" t="s">
        <v>66</v>
      </c>
      <c r="E664" s="5" t="n">
        <v>2</v>
      </c>
      <c r="F664" s="5" t="s">
        <v>7374</v>
      </c>
      <c r="G664" s="13" t="s">
        <v>7375</v>
      </c>
      <c r="H664" s="5" t="s">
        <v>7376</v>
      </c>
      <c r="I664" s="13" t="s">
        <v>7377</v>
      </c>
      <c r="J664" s="5" t="s">
        <v>7378</v>
      </c>
      <c r="K664" s="5" t="s">
        <v>7379</v>
      </c>
      <c r="L664" s="13" t="s">
        <v>7380</v>
      </c>
      <c r="M664" s="13" t="s">
        <v>7381</v>
      </c>
      <c r="N664" s="5" t="n">
        <f aca="false">LEN(L664)</f>
        <v>25</v>
      </c>
      <c r="O664" s="5" t="n">
        <f aca="false">LEN(M664)</f>
        <v>25</v>
      </c>
      <c r="P664" s="14" t="n">
        <f aca="false">IF(N664=0,"",(N664-LEN(SUBSTITUTE(SUBSTITUTE(L664,"G",""),"C","")))/N664)</f>
        <v>0.68</v>
      </c>
      <c r="Q664" s="14" t="n">
        <f aca="false">IF(O664=0,"",(O664-LEN(SUBSTITUTE(SUBSTITUTE(M664,"G",""),"C","")))/O664)</f>
        <v>0.52</v>
      </c>
      <c r="R664" s="5" t="s">
        <v>741</v>
      </c>
      <c r="S664" s="15" t="s">
        <v>1677</v>
      </c>
      <c r="T664" s="5" t="n">
        <v>98</v>
      </c>
      <c r="U664" s="5" t="s">
        <v>1678</v>
      </c>
      <c r="V664" s="5" t="s">
        <v>588</v>
      </c>
      <c r="W664" s="5"/>
      <c r="X664" s="15" t="s">
        <v>1677</v>
      </c>
      <c r="Y664" s="5"/>
    </row>
    <row r="665" customFormat="false" ht="15" hidden="false" customHeight="false" outlineLevel="0" collapsed="false">
      <c r="A665" s="5" t="s">
        <v>7382</v>
      </c>
      <c r="B665" s="5" t="s">
        <v>737</v>
      </c>
      <c r="C665" s="5" t="s">
        <v>738</v>
      </c>
      <c r="D665" s="9" t="s">
        <v>66</v>
      </c>
      <c r="E665" s="5" t="n">
        <v>3</v>
      </c>
      <c r="F665" s="5" t="s">
        <v>7383</v>
      </c>
      <c r="G665" s="13" t="s">
        <v>7384</v>
      </c>
      <c r="H665" s="5" t="s">
        <v>7385</v>
      </c>
      <c r="I665" s="13" t="s">
        <v>7386</v>
      </c>
      <c r="J665" s="5" t="s">
        <v>7387</v>
      </c>
      <c r="K665" s="5" t="s">
        <v>7388</v>
      </c>
      <c r="L665" s="13" t="s">
        <v>7389</v>
      </c>
      <c r="M665" s="13" t="s">
        <v>7390</v>
      </c>
      <c r="N665" s="5" t="n">
        <f aca="false">LEN(L665)</f>
        <v>25</v>
      </c>
      <c r="O665" s="5" t="n">
        <f aca="false">LEN(M665)</f>
        <v>25</v>
      </c>
      <c r="P665" s="14" t="n">
        <f aca="false">IF(N665=0,"",(N665-LEN(SUBSTITUTE(SUBSTITUTE(L665,"G",""),"C","")))/N665)</f>
        <v>0.64</v>
      </c>
      <c r="Q665" s="14" t="n">
        <f aca="false">IF(O665=0,"",(O665-LEN(SUBSTITUTE(SUBSTITUTE(M665,"G",""),"C","")))/O665)</f>
        <v>0.56</v>
      </c>
      <c r="R665" s="5" t="s">
        <v>741</v>
      </c>
      <c r="S665" s="15" t="s">
        <v>1677</v>
      </c>
      <c r="T665" s="5" t="n">
        <v>168</v>
      </c>
      <c r="U665" s="5" t="s">
        <v>1678</v>
      </c>
      <c r="V665" s="5" t="s">
        <v>588</v>
      </c>
      <c r="W665" s="5"/>
      <c r="X665" s="15" t="s">
        <v>1677</v>
      </c>
      <c r="Y665" s="5"/>
    </row>
    <row r="666" customFormat="false" ht="15" hidden="false" customHeight="false" outlineLevel="0" collapsed="false">
      <c r="A666" s="5" t="s">
        <v>7391</v>
      </c>
      <c r="B666" s="5" t="s">
        <v>737</v>
      </c>
      <c r="C666" s="5" t="s">
        <v>738</v>
      </c>
      <c r="D666" s="9" t="s">
        <v>66</v>
      </c>
      <c r="E666" s="5" t="n">
        <v>4</v>
      </c>
      <c r="F666" s="5" t="s">
        <v>7392</v>
      </c>
      <c r="G666" s="13" t="s">
        <v>7393</v>
      </c>
      <c r="H666" s="5" t="s">
        <v>7394</v>
      </c>
      <c r="I666" s="13" t="s">
        <v>7395</v>
      </c>
      <c r="J666" s="5" t="s">
        <v>7396</v>
      </c>
      <c r="K666" s="5" t="s">
        <v>7397</v>
      </c>
      <c r="L666" s="13" t="s">
        <v>7398</v>
      </c>
      <c r="M666" s="13" t="s">
        <v>7399</v>
      </c>
      <c r="N666" s="5" t="n">
        <f aca="false">LEN(L666)</f>
        <v>25</v>
      </c>
      <c r="O666" s="5" t="n">
        <f aca="false">LEN(M666)</f>
        <v>25</v>
      </c>
      <c r="P666" s="14" t="n">
        <f aca="false">IF(N666=0,"",(N666-LEN(SUBSTITUTE(SUBSTITUTE(L666,"G",""),"C","")))/N666)</f>
        <v>0.72</v>
      </c>
      <c r="Q666" s="14" t="n">
        <f aca="false">IF(O666=0,"",(O666-LEN(SUBSTITUTE(SUBSTITUTE(M666,"G",""),"C","")))/O666)</f>
        <v>0.6</v>
      </c>
      <c r="R666" s="5" t="s">
        <v>741</v>
      </c>
      <c r="S666" s="15" t="s">
        <v>1677</v>
      </c>
      <c r="T666" s="5" t="n">
        <v>238</v>
      </c>
      <c r="U666" s="5" t="s">
        <v>1678</v>
      </c>
      <c r="V666" s="5" t="s">
        <v>588</v>
      </c>
      <c r="W666" s="5"/>
      <c r="X666" s="15" t="s">
        <v>1677</v>
      </c>
      <c r="Y666" s="5"/>
    </row>
    <row r="667" customFormat="false" ht="15" hidden="false" customHeight="false" outlineLevel="0" collapsed="false">
      <c r="A667" s="5" t="s">
        <v>7400</v>
      </c>
      <c r="B667" s="5" t="s">
        <v>737</v>
      </c>
      <c r="C667" s="5" t="s">
        <v>738</v>
      </c>
      <c r="D667" s="9" t="s">
        <v>66</v>
      </c>
      <c r="E667" s="5" t="n">
        <v>5</v>
      </c>
      <c r="F667" s="5" t="s">
        <v>7401</v>
      </c>
      <c r="G667" s="13" t="s">
        <v>7402</v>
      </c>
      <c r="H667" s="5" t="s">
        <v>7403</v>
      </c>
      <c r="I667" s="13" t="s">
        <v>7404</v>
      </c>
      <c r="J667" s="5" t="s">
        <v>7405</v>
      </c>
      <c r="K667" s="5" t="s">
        <v>7406</v>
      </c>
      <c r="L667" s="13" t="s">
        <v>7407</v>
      </c>
      <c r="M667" s="13" t="s">
        <v>7408</v>
      </c>
      <c r="N667" s="5" t="n">
        <f aca="false">LEN(L667)</f>
        <v>25</v>
      </c>
      <c r="O667" s="5" t="n">
        <f aca="false">LEN(M667)</f>
        <v>25</v>
      </c>
      <c r="P667" s="14" t="n">
        <f aca="false">IF(N667=0,"",(N667-LEN(SUBSTITUTE(SUBSTITUTE(L667,"G",""),"C","")))/N667)</f>
        <v>0.6</v>
      </c>
      <c r="Q667" s="14" t="n">
        <f aca="false">IF(O667=0,"",(O667-LEN(SUBSTITUTE(SUBSTITUTE(M667,"G",""),"C","")))/O667)</f>
        <v>0.48</v>
      </c>
      <c r="R667" s="5" t="s">
        <v>741</v>
      </c>
      <c r="S667" s="15" t="s">
        <v>1677</v>
      </c>
      <c r="T667" s="5" t="n">
        <v>308</v>
      </c>
      <c r="U667" s="5" t="s">
        <v>1678</v>
      </c>
      <c r="V667" s="5" t="s">
        <v>588</v>
      </c>
      <c r="W667" s="5"/>
      <c r="X667" s="15" t="s">
        <v>1677</v>
      </c>
      <c r="Y667" s="5"/>
    </row>
    <row r="668" customFormat="false" ht="15" hidden="false" customHeight="false" outlineLevel="0" collapsed="false">
      <c r="A668" s="5" t="s">
        <v>7409</v>
      </c>
      <c r="B668" s="5" t="s">
        <v>737</v>
      </c>
      <c r="C668" s="5" t="s">
        <v>738</v>
      </c>
      <c r="D668" s="9" t="s">
        <v>66</v>
      </c>
      <c r="E668" s="5" t="n">
        <v>6</v>
      </c>
      <c r="F668" s="5" t="s">
        <v>7410</v>
      </c>
      <c r="G668" s="13" t="s">
        <v>7411</v>
      </c>
      <c r="H668" s="5" t="s">
        <v>7412</v>
      </c>
      <c r="I668" s="13" t="s">
        <v>7413</v>
      </c>
      <c r="J668" s="5" t="s">
        <v>7414</v>
      </c>
      <c r="K668" s="5" t="s">
        <v>7415</v>
      </c>
      <c r="L668" s="13" t="s">
        <v>7416</v>
      </c>
      <c r="M668" s="13" t="s">
        <v>7417</v>
      </c>
      <c r="N668" s="5" t="n">
        <f aca="false">LEN(L668)</f>
        <v>25</v>
      </c>
      <c r="O668" s="5" t="n">
        <f aca="false">LEN(M668)</f>
        <v>25</v>
      </c>
      <c r="P668" s="14" t="n">
        <f aca="false">IF(N668=0,"",(N668-LEN(SUBSTITUTE(SUBSTITUTE(L668,"G",""),"C","")))/N668)</f>
        <v>0.48</v>
      </c>
      <c r="Q668" s="14" t="n">
        <f aca="false">IF(O668=0,"",(O668-LEN(SUBSTITUTE(SUBSTITUTE(M668,"G",""),"C","")))/O668)</f>
        <v>0.44</v>
      </c>
      <c r="R668" s="5" t="s">
        <v>741</v>
      </c>
      <c r="S668" s="15" t="s">
        <v>1677</v>
      </c>
      <c r="T668" s="5" t="n">
        <v>378</v>
      </c>
      <c r="U668" s="5" t="s">
        <v>1678</v>
      </c>
      <c r="V668" s="5" t="s">
        <v>588</v>
      </c>
      <c r="W668" s="5"/>
      <c r="X668" s="15" t="s">
        <v>1677</v>
      </c>
      <c r="Y668" s="5"/>
    </row>
    <row r="669" customFormat="false" ht="15" hidden="false" customHeight="false" outlineLevel="0" collapsed="false">
      <c r="A669" s="5" t="s">
        <v>7418</v>
      </c>
      <c r="B669" s="5" t="s">
        <v>747</v>
      </c>
      <c r="C669" s="5" t="s">
        <v>748</v>
      </c>
      <c r="D669" s="9" t="s">
        <v>66</v>
      </c>
      <c r="E669" s="5" t="n">
        <v>1</v>
      </c>
      <c r="F669" s="5" t="s">
        <v>7419</v>
      </c>
      <c r="G669" s="13" t="s">
        <v>7420</v>
      </c>
      <c r="H669" s="5" t="s">
        <v>7421</v>
      </c>
      <c r="I669" s="13" t="s">
        <v>7422</v>
      </c>
      <c r="J669" s="5" t="s">
        <v>7423</v>
      </c>
      <c r="K669" s="5" t="s">
        <v>7424</v>
      </c>
      <c r="L669" s="13" t="s">
        <v>7425</v>
      </c>
      <c r="M669" s="13" t="s">
        <v>7426</v>
      </c>
      <c r="N669" s="5" t="n">
        <f aca="false">LEN(L669)</f>
        <v>25</v>
      </c>
      <c r="O669" s="5" t="n">
        <f aca="false">LEN(M669)</f>
        <v>25</v>
      </c>
      <c r="P669" s="14" t="n">
        <f aca="false">IF(N669=0,"",(N669-LEN(SUBSTITUTE(SUBSTITUTE(L669,"G",""),"C","")))/N669)</f>
        <v>0.28</v>
      </c>
      <c r="Q669" s="14" t="n">
        <f aca="false">IF(O669=0,"",(O669-LEN(SUBSTITUTE(SUBSTITUTE(M669,"G",""),"C","")))/O669)</f>
        <v>0.4</v>
      </c>
      <c r="R669" s="5" t="s">
        <v>751</v>
      </c>
      <c r="S669" s="15" t="s">
        <v>1677</v>
      </c>
      <c r="T669" s="5" t="n">
        <v>216</v>
      </c>
      <c r="U669" s="5" t="s">
        <v>1678</v>
      </c>
      <c r="V669" s="5" t="s">
        <v>154</v>
      </c>
      <c r="W669" s="5"/>
      <c r="X669" s="8" t="s">
        <v>2131</v>
      </c>
      <c r="Y669" s="5"/>
    </row>
    <row r="670" customFormat="false" ht="15" hidden="false" customHeight="false" outlineLevel="0" collapsed="false">
      <c r="A670" s="5" t="s">
        <v>7427</v>
      </c>
      <c r="B670" s="5" t="s">
        <v>747</v>
      </c>
      <c r="C670" s="5" t="s">
        <v>748</v>
      </c>
      <c r="D670" s="9" t="s">
        <v>66</v>
      </c>
      <c r="E670" s="5" t="n">
        <v>2</v>
      </c>
      <c r="F670" s="5" t="s">
        <v>7428</v>
      </c>
      <c r="G670" s="13" t="s">
        <v>7429</v>
      </c>
      <c r="H670" s="5" t="s">
        <v>7430</v>
      </c>
      <c r="I670" s="13" t="s">
        <v>7431</v>
      </c>
      <c r="J670" s="5" t="s">
        <v>7432</v>
      </c>
      <c r="K670" s="5" t="s">
        <v>7433</v>
      </c>
      <c r="L670" s="13" t="s">
        <v>7434</v>
      </c>
      <c r="M670" s="13" t="s">
        <v>7435</v>
      </c>
      <c r="N670" s="5" t="n">
        <f aca="false">LEN(L670)</f>
        <v>25</v>
      </c>
      <c r="O670" s="5" t="n">
        <f aca="false">LEN(M670)</f>
        <v>25</v>
      </c>
      <c r="P670" s="14" t="n">
        <f aca="false">IF(N670=0,"",(N670-LEN(SUBSTITUTE(SUBSTITUTE(L670,"G",""),"C","")))/N670)</f>
        <v>0.24</v>
      </c>
      <c r="Q670" s="14" t="n">
        <f aca="false">IF(O670=0,"",(O670-LEN(SUBSTITUTE(SUBSTITUTE(M670,"G",""),"C","")))/O670)</f>
        <v>0.2</v>
      </c>
      <c r="R670" s="5" t="s">
        <v>751</v>
      </c>
      <c r="S670" s="15" t="s">
        <v>1677</v>
      </c>
      <c r="T670" s="5" t="n">
        <v>286</v>
      </c>
      <c r="U670" s="5" t="s">
        <v>1678</v>
      </c>
      <c r="V670" s="5" t="s">
        <v>154</v>
      </c>
      <c r="W670" s="5"/>
      <c r="X670" s="8" t="s">
        <v>2131</v>
      </c>
      <c r="Y670" s="5"/>
    </row>
    <row r="671" customFormat="false" ht="15" hidden="false" customHeight="false" outlineLevel="0" collapsed="false">
      <c r="A671" s="5" t="s">
        <v>7436</v>
      </c>
      <c r="B671" s="5" t="s">
        <v>747</v>
      </c>
      <c r="C671" s="5" t="s">
        <v>748</v>
      </c>
      <c r="D671" s="9" t="s">
        <v>66</v>
      </c>
      <c r="E671" s="5" t="n">
        <v>3</v>
      </c>
      <c r="F671" s="5" t="s">
        <v>7437</v>
      </c>
      <c r="G671" s="13" t="s">
        <v>7438</v>
      </c>
      <c r="H671" s="5" t="s">
        <v>7439</v>
      </c>
      <c r="I671" s="13" t="s">
        <v>7440</v>
      </c>
      <c r="J671" s="5" t="s">
        <v>7441</v>
      </c>
      <c r="K671" s="5" t="s">
        <v>7442</v>
      </c>
      <c r="L671" s="13" t="s">
        <v>7443</v>
      </c>
      <c r="M671" s="13" t="s">
        <v>7444</v>
      </c>
      <c r="N671" s="5" t="n">
        <f aca="false">LEN(L671)</f>
        <v>25</v>
      </c>
      <c r="O671" s="5" t="n">
        <f aca="false">LEN(M671)</f>
        <v>25</v>
      </c>
      <c r="P671" s="14" t="n">
        <f aca="false">IF(N671=0,"",(N671-LEN(SUBSTITUTE(SUBSTITUTE(L671,"G",""),"C","")))/N671)</f>
        <v>0.32</v>
      </c>
      <c r="Q671" s="14" t="n">
        <f aca="false">IF(O671=0,"",(O671-LEN(SUBSTITUTE(SUBSTITUTE(M671,"G",""),"C","")))/O671)</f>
        <v>0.4</v>
      </c>
      <c r="R671" s="5" t="s">
        <v>751</v>
      </c>
      <c r="S671" s="15" t="s">
        <v>1677</v>
      </c>
      <c r="T671" s="5" t="n">
        <v>356</v>
      </c>
      <c r="U671" s="5" t="s">
        <v>1678</v>
      </c>
      <c r="V671" s="5" t="s">
        <v>154</v>
      </c>
      <c r="W671" s="5"/>
      <c r="X671" s="8" t="s">
        <v>2131</v>
      </c>
      <c r="Y671" s="5"/>
    </row>
    <row r="672" customFormat="false" ht="15" hidden="false" customHeight="false" outlineLevel="0" collapsed="false">
      <c r="A672" s="5" t="s">
        <v>7445</v>
      </c>
      <c r="B672" s="5" t="s">
        <v>747</v>
      </c>
      <c r="C672" s="5" t="s">
        <v>748</v>
      </c>
      <c r="D672" s="9" t="s">
        <v>66</v>
      </c>
      <c r="E672" s="5" t="n">
        <v>4</v>
      </c>
      <c r="F672" s="5" t="s">
        <v>7446</v>
      </c>
      <c r="G672" s="13" t="s">
        <v>7447</v>
      </c>
      <c r="H672" s="5" t="s">
        <v>7448</v>
      </c>
      <c r="I672" s="13" t="s">
        <v>7449</v>
      </c>
      <c r="J672" s="5" t="s">
        <v>7450</v>
      </c>
      <c r="K672" s="5" t="s">
        <v>7451</v>
      </c>
      <c r="L672" s="13" t="s">
        <v>7452</v>
      </c>
      <c r="M672" s="13" t="s">
        <v>7453</v>
      </c>
      <c r="N672" s="5" t="n">
        <f aca="false">LEN(L672)</f>
        <v>25</v>
      </c>
      <c r="O672" s="5" t="n">
        <f aca="false">LEN(M672)</f>
        <v>25</v>
      </c>
      <c r="P672" s="14" t="n">
        <f aca="false">IF(N672=0,"",(N672-LEN(SUBSTITUTE(SUBSTITUTE(L672,"G",""),"C","")))/N672)</f>
        <v>0.16</v>
      </c>
      <c r="Q672" s="14" t="n">
        <f aca="false">IF(O672=0,"",(O672-LEN(SUBSTITUTE(SUBSTITUTE(M672,"G",""),"C","")))/O672)</f>
        <v>0.32</v>
      </c>
      <c r="R672" s="5" t="s">
        <v>751</v>
      </c>
      <c r="S672" s="15" t="s">
        <v>1677</v>
      </c>
      <c r="T672" s="5" t="n">
        <v>426</v>
      </c>
      <c r="U672" s="5" t="s">
        <v>1678</v>
      </c>
      <c r="V672" s="5" t="s">
        <v>154</v>
      </c>
      <c r="W672" s="5"/>
      <c r="X672" s="8" t="s">
        <v>2131</v>
      </c>
      <c r="Y672" s="5"/>
    </row>
    <row r="673" customFormat="false" ht="15" hidden="false" customHeight="false" outlineLevel="0" collapsed="false">
      <c r="A673" s="5" t="s">
        <v>7454</v>
      </c>
      <c r="B673" s="5" t="s">
        <v>747</v>
      </c>
      <c r="C673" s="5" t="s">
        <v>748</v>
      </c>
      <c r="D673" s="9" t="s">
        <v>66</v>
      </c>
      <c r="E673" s="5" t="n">
        <v>5</v>
      </c>
      <c r="F673" s="5" t="s">
        <v>7455</v>
      </c>
      <c r="G673" s="13" t="s">
        <v>7456</v>
      </c>
      <c r="H673" s="5" t="s">
        <v>7457</v>
      </c>
      <c r="I673" s="13" t="s">
        <v>7458</v>
      </c>
      <c r="J673" s="5" t="s">
        <v>7459</v>
      </c>
      <c r="K673" s="5" t="s">
        <v>7460</v>
      </c>
      <c r="L673" s="13" t="s">
        <v>7461</v>
      </c>
      <c r="M673" s="13" t="s">
        <v>7462</v>
      </c>
      <c r="N673" s="5" t="n">
        <f aca="false">LEN(L673)</f>
        <v>25</v>
      </c>
      <c r="O673" s="5" t="n">
        <f aca="false">LEN(M673)</f>
        <v>25</v>
      </c>
      <c r="P673" s="14" t="n">
        <f aca="false">IF(N673=0,"",(N673-LEN(SUBSTITUTE(SUBSTITUTE(L673,"G",""),"C","")))/N673)</f>
        <v>0.48</v>
      </c>
      <c r="Q673" s="14" t="n">
        <f aca="false">IF(O673=0,"",(O673-LEN(SUBSTITUTE(SUBSTITUTE(M673,"G",""),"C","")))/O673)</f>
        <v>0.56</v>
      </c>
      <c r="R673" s="5" t="s">
        <v>751</v>
      </c>
      <c r="S673" s="15" t="s">
        <v>1677</v>
      </c>
      <c r="T673" s="5" t="n">
        <v>496</v>
      </c>
      <c r="U673" s="5" t="s">
        <v>1678</v>
      </c>
      <c r="V673" s="5" t="s">
        <v>154</v>
      </c>
      <c r="W673" s="5"/>
      <c r="X673" s="8" t="s">
        <v>2131</v>
      </c>
      <c r="Y673" s="5"/>
    </row>
    <row r="674" customFormat="false" ht="15" hidden="false" customHeight="false" outlineLevel="0" collapsed="false">
      <c r="A674" s="5" t="s">
        <v>7463</v>
      </c>
      <c r="B674" s="5" t="s">
        <v>747</v>
      </c>
      <c r="C674" s="5" t="s">
        <v>748</v>
      </c>
      <c r="D674" s="9" t="s">
        <v>66</v>
      </c>
      <c r="E674" s="5" t="n">
        <v>6</v>
      </c>
      <c r="F674" s="5" t="s">
        <v>7464</v>
      </c>
      <c r="G674" s="13" t="s">
        <v>7465</v>
      </c>
      <c r="H674" s="5" t="s">
        <v>7466</v>
      </c>
      <c r="I674" s="13" t="s">
        <v>7467</v>
      </c>
      <c r="J674" s="5" t="s">
        <v>7468</v>
      </c>
      <c r="K674" s="5" t="s">
        <v>7469</v>
      </c>
      <c r="L674" s="13" t="s">
        <v>7470</v>
      </c>
      <c r="M674" s="13" t="s">
        <v>7471</v>
      </c>
      <c r="N674" s="5" t="n">
        <f aca="false">LEN(L674)</f>
        <v>25</v>
      </c>
      <c r="O674" s="5" t="n">
        <f aca="false">LEN(M674)</f>
        <v>25</v>
      </c>
      <c r="P674" s="14" t="n">
        <f aca="false">IF(N674=0,"",(N674-LEN(SUBSTITUTE(SUBSTITUTE(L674,"G",""),"C","")))/N674)</f>
        <v>0.56</v>
      </c>
      <c r="Q674" s="14" t="n">
        <f aca="false">IF(O674=0,"",(O674-LEN(SUBSTITUTE(SUBSTITUTE(M674,"G",""),"C","")))/O674)</f>
        <v>0.56</v>
      </c>
      <c r="R674" s="5" t="s">
        <v>751</v>
      </c>
      <c r="S674" s="15" t="s">
        <v>1677</v>
      </c>
      <c r="T674" s="5" t="n">
        <v>566</v>
      </c>
      <c r="U674" s="5" t="s">
        <v>1678</v>
      </c>
      <c r="V674" s="5" t="s">
        <v>154</v>
      </c>
      <c r="W674" s="5"/>
      <c r="X674" s="8" t="s">
        <v>2131</v>
      </c>
      <c r="Y674" s="5"/>
    </row>
    <row r="675" customFormat="false" ht="15" hidden="false" customHeight="false" outlineLevel="0" collapsed="false">
      <c r="A675" s="5" t="s">
        <v>7472</v>
      </c>
      <c r="B675" s="5" t="s">
        <v>747</v>
      </c>
      <c r="C675" s="5" t="s">
        <v>748</v>
      </c>
      <c r="D675" s="9" t="s">
        <v>66</v>
      </c>
      <c r="E675" s="5" t="n">
        <v>7</v>
      </c>
      <c r="F675" s="5" t="s">
        <v>7473</v>
      </c>
      <c r="G675" s="13" t="s">
        <v>7474</v>
      </c>
      <c r="H675" s="5" t="s">
        <v>7475</v>
      </c>
      <c r="I675" s="13" t="s">
        <v>7476</v>
      </c>
      <c r="J675" s="5" t="s">
        <v>7477</v>
      </c>
      <c r="K675" s="5" t="s">
        <v>7478</v>
      </c>
      <c r="L675" s="13" t="s">
        <v>7479</v>
      </c>
      <c r="M675" s="13" t="s">
        <v>7480</v>
      </c>
      <c r="N675" s="5" t="n">
        <f aca="false">LEN(L675)</f>
        <v>25</v>
      </c>
      <c r="O675" s="5" t="n">
        <f aca="false">LEN(M675)</f>
        <v>25</v>
      </c>
      <c r="P675" s="14" t="n">
        <f aca="false">IF(N675=0,"",(N675-LEN(SUBSTITUTE(SUBSTITUTE(L675,"G",""),"C","")))/N675)</f>
        <v>0.28</v>
      </c>
      <c r="Q675" s="14" t="n">
        <f aca="false">IF(O675=0,"",(O675-LEN(SUBSTITUTE(SUBSTITUTE(M675,"G",""),"C","")))/O675)</f>
        <v>0.56</v>
      </c>
      <c r="R675" s="5" t="s">
        <v>751</v>
      </c>
      <c r="S675" s="15" t="s">
        <v>1677</v>
      </c>
      <c r="T675" s="5" t="n">
        <v>636</v>
      </c>
      <c r="U675" s="5" t="s">
        <v>1678</v>
      </c>
      <c r="V675" s="5" t="s">
        <v>154</v>
      </c>
      <c r="W675" s="5"/>
      <c r="X675" s="8" t="s">
        <v>2131</v>
      </c>
      <c r="Y675" s="5"/>
    </row>
    <row r="676" customFormat="false" ht="15" hidden="false" customHeight="false" outlineLevel="0" collapsed="false">
      <c r="A676" s="5" t="s">
        <v>7481</v>
      </c>
      <c r="B676" s="5" t="s">
        <v>747</v>
      </c>
      <c r="C676" s="5" t="s">
        <v>748</v>
      </c>
      <c r="D676" s="9" t="s">
        <v>66</v>
      </c>
      <c r="E676" s="5" t="n">
        <v>8</v>
      </c>
      <c r="F676" s="5" t="s">
        <v>7482</v>
      </c>
      <c r="G676" s="13" t="s">
        <v>7483</v>
      </c>
      <c r="H676" s="5" t="s">
        <v>7484</v>
      </c>
      <c r="I676" s="13" t="s">
        <v>7485</v>
      </c>
      <c r="J676" s="5" t="s">
        <v>7486</v>
      </c>
      <c r="K676" s="5" t="s">
        <v>7487</v>
      </c>
      <c r="L676" s="13" t="s">
        <v>7488</v>
      </c>
      <c r="M676" s="13" t="s">
        <v>7489</v>
      </c>
      <c r="N676" s="5" t="n">
        <f aca="false">LEN(L676)</f>
        <v>25</v>
      </c>
      <c r="O676" s="5" t="n">
        <f aca="false">LEN(M676)</f>
        <v>25</v>
      </c>
      <c r="P676" s="14" t="n">
        <f aca="false">IF(N676=0,"",(N676-LEN(SUBSTITUTE(SUBSTITUTE(L676,"G",""),"C","")))/N676)</f>
        <v>0.28</v>
      </c>
      <c r="Q676" s="14" t="n">
        <f aca="false">IF(O676=0,"",(O676-LEN(SUBSTITUTE(SUBSTITUTE(M676,"G",""),"C","")))/O676)</f>
        <v>0.4</v>
      </c>
      <c r="R676" s="5" t="s">
        <v>751</v>
      </c>
      <c r="S676" s="15" t="s">
        <v>1677</v>
      </c>
      <c r="T676" s="5" t="n">
        <v>706</v>
      </c>
      <c r="U676" s="5" t="s">
        <v>1678</v>
      </c>
      <c r="V676" s="5" t="s">
        <v>154</v>
      </c>
      <c r="W676" s="5"/>
      <c r="X676" s="8" t="s">
        <v>2131</v>
      </c>
      <c r="Y676" s="5"/>
    </row>
    <row r="677" customFormat="false" ht="15" hidden="false" customHeight="false" outlineLevel="0" collapsed="false">
      <c r="A677" s="5" t="s">
        <v>7490</v>
      </c>
      <c r="B677" s="5" t="s">
        <v>752</v>
      </c>
      <c r="C677" s="5" t="s">
        <v>237</v>
      </c>
      <c r="D677" s="9" t="s">
        <v>66</v>
      </c>
      <c r="E677" s="5" t="n">
        <v>1</v>
      </c>
      <c r="F677" s="5" t="s">
        <v>7491</v>
      </c>
      <c r="G677" s="13" t="s">
        <v>7492</v>
      </c>
      <c r="H677" s="5" t="s">
        <v>7493</v>
      </c>
      <c r="I677" s="13" t="s">
        <v>7494</v>
      </c>
      <c r="J677" s="5" t="s">
        <v>6005</v>
      </c>
      <c r="K677" s="5" t="s">
        <v>6005</v>
      </c>
      <c r="L677" s="13" t="s">
        <v>7495</v>
      </c>
      <c r="M677" s="13" t="s">
        <v>7496</v>
      </c>
      <c r="N677" s="5" t="n">
        <f aca="false">LEN(L677)</f>
        <v>25</v>
      </c>
      <c r="O677" s="5" t="n">
        <f aca="false">LEN(M677)</f>
        <v>25</v>
      </c>
      <c r="P677" s="14" t="n">
        <f aca="false">IF(N677=0,"",(N677-LEN(SUBSTITUTE(SUBSTITUTE(L677,"G",""),"C","")))/N677)</f>
        <v>0.4</v>
      </c>
      <c r="Q677" s="14" t="n">
        <f aca="false">IF(O677=0,"",(O677-LEN(SUBSTITUTE(SUBSTITUTE(M677,"G",""),"C","")))/O677)</f>
        <v>0.44</v>
      </c>
      <c r="R677" s="5" t="s">
        <v>240</v>
      </c>
      <c r="S677" s="15" t="s">
        <v>1677</v>
      </c>
      <c r="T677" s="5" t="n">
        <v>216</v>
      </c>
      <c r="U677" s="5" t="s">
        <v>1678</v>
      </c>
      <c r="V677" s="5" t="s">
        <v>573</v>
      </c>
      <c r="W677" s="5" t="s">
        <v>573</v>
      </c>
      <c r="X677" s="15" t="s">
        <v>1677</v>
      </c>
      <c r="Y677" s="5"/>
    </row>
    <row r="678" customFormat="false" ht="15" hidden="false" customHeight="false" outlineLevel="0" collapsed="false">
      <c r="A678" s="5" t="s">
        <v>7497</v>
      </c>
      <c r="B678" s="5" t="s">
        <v>752</v>
      </c>
      <c r="C678" s="5" t="s">
        <v>237</v>
      </c>
      <c r="D678" s="9" t="s">
        <v>66</v>
      </c>
      <c r="E678" s="5" t="n">
        <v>2</v>
      </c>
      <c r="F678" s="5" t="s">
        <v>7498</v>
      </c>
      <c r="G678" s="13" t="s">
        <v>7499</v>
      </c>
      <c r="H678" s="5" t="s">
        <v>7500</v>
      </c>
      <c r="I678" s="13" t="s">
        <v>7501</v>
      </c>
      <c r="J678" s="5" t="s">
        <v>6005</v>
      </c>
      <c r="K678" s="5" t="s">
        <v>6005</v>
      </c>
      <c r="L678" s="13" t="s">
        <v>7502</v>
      </c>
      <c r="M678" s="13" t="s">
        <v>7503</v>
      </c>
      <c r="N678" s="5" t="n">
        <f aca="false">LEN(L678)</f>
        <v>25</v>
      </c>
      <c r="O678" s="5" t="n">
        <f aca="false">LEN(M678)</f>
        <v>25</v>
      </c>
      <c r="P678" s="14" t="n">
        <f aca="false">IF(N678=0,"",(N678-LEN(SUBSTITUTE(SUBSTITUTE(L678,"G",""),"C","")))/N678)</f>
        <v>0.56</v>
      </c>
      <c r="Q678" s="14" t="n">
        <f aca="false">IF(O678=0,"",(O678-LEN(SUBSTITUTE(SUBSTITUTE(M678,"G",""),"C","")))/O678)</f>
        <v>0.68</v>
      </c>
      <c r="R678" s="5" t="s">
        <v>240</v>
      </c>
      <c r="S678" s="15" t="s">
        <v>1677</v>
      </c>
      <c r="T678" s="5" t="n">
        <v>296</v>
      </c>
      <c r="U678" s="5" t="s">
        <v>1678</v>
      </c>
      <c r="V678" s="5" t="s">
        <v>573</v>
      </c>
      <c r="W678" s="5" t="s">
        <v>573</v>
      </c>
      <c r="X678" s="15" t="s">
        <v>1677</v>
      </c>
      <c r="Y678" s="5"/>
    </row>
    <row r="679" customFormat="false" ht="15" hidden="false" customHeight="false" outlineLevel="0" collapsed="false">
      <c r="A679" s="5" t="s">
        <v>7504</v>
      </c>
      <c r="B679" s="5" t="s">
        <v>752</v>
      </c>
      <c r="C679" s="5" t="s">
        <v>237</v>
      </c>
      <c r="D679" s="9" t="s">
        <v>66</v>
      </c>
      <c r="E679" s="5" t="n">
        <v>3</v>
      </c>
      <c r="F679" s="5" t="s">
        <v>7505</v>
      </c>
      <c r="G679" s="13" t="s">
        <v>7506</v>
      </c>
      <c r="H679" s="5" t="s">
        <v>7507</v>
      </c>
      <c r="I679" s="13" t="s">
        <v>7508</v>
      </c>
      <c r="J679" s="5" t="s">
        <v>6005</v>
      </c>
      <c r="K679" s="5" t="s">
        <v>6005</v>
      </c>
      <c r="L679" s="13" t="s">
        <v>7509</v>
      </c>
      <c r="M679" s="13" t="s">
        <v>7510</v>
      </c>
      <c r="N679" s="5" t="n">
        <f aca="false">LEN(L679)</f>
        <v>25</v>
      </c>
      <c r="O679" s="5" t="n">
        <f aca="false">LEN(M679)</f>
        <v>25</v>
      </c>
      <c r="P679" s="14" t="n">
        <f aca="false">IF(N679=0,"",(N679-LEN(SUBSTITUTE(SUBSTITUTE(L679,"G",""),"C","")))/N679)</f>
        <v>0.44</v>
      </c>
      <c r="Q679" s="14" t="n">
        <f aca="false">IF(O679=0,"",(O679-LEN(SUBSTITUTE(SUBSTITUTE(M679,"G",""),"C","")))/O679)</f>
        <v>0.56</v>
      </c>
      <c r="R679" s="5" t="s">
        <v>240</v>
      </c>
      <c r="S679" s="8" t="s">
        <v>1914</v>
      </c>
      <c r="T679" s="5" t="n">
        <v>376</v>
      </c>
      <c r="U679" s="5" t="s">
        <v>4197</v>
      </c>
      <c r="V679" s="5" t="s">
        <v>573</v>
      </c>
      <c r="W679" s="5" t="s">
        <v>573</v>
      </c>
      <c r="X679" s="15" t="s">
        <v>1677</v>
      </c>
      <c r="Y679" s="8" t="s">
        <v>6318</v>
      </c>
    </row>
    <row r="680" customFormat="false" ht="15" hidden="false" customHeight="false" outlineLevel="0" collapsed="false">
      <c r="A680" s="5" t="s">
        <v>7511</v>
      </c>
      <c r="B680" s="5" t="s">
        <v>752</v>
      </c>
      <c r="C680" s="5" t="s">
        <v>237</v>
      </c>
      <c r="D680" s="9" t="s">
        <v>66</v>
      </c>
      <c r="E680" s="5" t="n">
        <v>4</v>
      </c>
      <c r="F680" s="5" t="s">
        <v>7512</v>
      </c>
      <c r="G680" s="13" t="s">
        <v>7513</v>
      </c>
      <c r="H680" s="5" t="s">
        <v>7514</v>
      </c>
      <c r="I680" s="13" t="s">
        <v>7515</v>
      </c>
      <c r="J680" s="5" t="s">
        <v>6005</v>
      </c>
      <c r="K680" s="5" t="s">
        <v>6005</v>
      </c>
      <c r="L680" s="13" t="s">
        <v>7516</v>
      </c>
      <c r="M680" s="13" t="s">
        <v>7517</v>
      </c>
      <c r="N680" s="5" t="n">
        <f aca="false">LEN(L680)</f>
        <v>25</v>
      </c>
      <c r="O680" s="5" t="n">
        <f aca="false">LEN(M680)</f>
        <v>25</v>
      </c>
      <c r="P680" s="14" t="n">
        <f aca="false">IF(N680=0,"",(N680-LEN(SUBSTITUTE(SUBSTITUTE(L680,"G",""),"C","")))/N680)</f>
        <v>0.8</v>
      </c>
      <c r="Q680" s="14" t="n">
        <f aca="false">IF(O680=0,"",(O680-LEN(SUBSTITUTE(SUBSTITUTE(M680,"G",""),"C","")))/O680)</f>
        <v>0.76</v>
      </c>
      <c r="R680" s="5" t="s">
        <v>240</v>
      </c>
      <c r="S680" s="8" t="s">
        <v>1769</v>
      </c>
      <c r="T680" s="5" t="n">
        <v>450</v>
      </c>
      <c r="U680" s="5" t="s">
        <v>4197</v>
      </c>
      <c r="V680" s="5" t="s">
        <v>573</v>
      </c>
      <c r="W680" s="5" t="s">
        <v>573</v>
      </c>
      <c r="X680" s="15" t="s">
        <v>1677</v>
      </c>
      <c r="Y680" s="8" t="s">
        <v>3168</v>
      </c>
    </row>
    <row r="681" customFormat="false" ht="15" hidden="false" customHeight="false" outlineLevel="0" collapsed="false">
      <c r="A681" s="5" t="s">
        <v>7518</v>
      </c>
      <c r="B681" s="5" t="s">
        <v>752</v>
      </c>
      <c r="C681" s="5" t="s">
        <v>237</v>
      </c>
      <c r="D681" s="9" t="s">
        <v>66</v>
      </c>
      <c r="E681" s="5" t="n">
        <v>5</v>
      </c>
      <c r="F681" s="5" t="s">
        <v>7519</v>
      </c>
      <c r="G681" s="13" t="s">
        <v>7520</v>
      </c>
      <c r="H681" s="5" t="s">
        <v>7521</v>
      </c>
      <c r="I681" s="13" t="s">
        <v>7522</v>
      </c>
      <c r="J681" s="5" t="s">
        <v>6005</v>
      </c>
      <c r="K681" s="5" t="s">
        <v>6005</v>
      </c>
      <c r="L681" s="13" t="s">
        <v>7523</v>
      </c>
      <c r="M681" s="13" t="s">
        <v>7524</v>
      </c>
      <c r="N681" s="5" t="n">
        <f aca="false">LEN(L681)</f>
        <v>25</v>
      </c>
      <c r="O681" s="5" t="n">
        <f aca="false">LEN(M681)</f>
        <v>25</v>
      </c>
      <c r="P681" s="14" t="n">
        <f aca="false">IF(N681=0,"",(N681-LEN(SUBSTITUTE(SUBSTITUTE(L681,"G",""),"C","")))/N681)</f>
        <v>0.64</v>
      </c>
      <c r="Q681" s="14" t="n">
        <f aca="false">IF(O681=0,"",(O681-LEN(SUBSTITUTE(SUBSTITUTE(M681,"G",""),"C","")))/O681)</f>
        <v>0.68</v>
      </c>
      <c r="R681" s="5" t="s">
        <v>240</v>
      </c>
      <c r="S681" s="8" t="s">
        <v>1914</v>
      </c>
      <c r="T681" s="5" t="n">
        <v>530</v>
      </c>
      <c r="U681" s="5" t="s">
        <v>4197</v>
      </c>
      <c r="V681" s="5" t="s">
        <v>573</v>
      </c>
      <c r="W681" s="5" t="s">
        <v>573</v>
      </c>
      <c r="X681" s="15" t="s">
        <v>1677</v>
      </c>
      <c r="Y681" s="8" t="s">
        <v>6318</v>
      </c>
    </row>
    <row r="682" customFormat="false" ht="15" hidden="false" customHeight="false" outlineLevel="0" collapsed="false">
      <c r="A682" s="5" t="s">
        <v>7525</v>
      </c>
      <c r="B682" s="5" t="s">
        <v>752</v>
      </c>
      <c r="C682" s="5" t="s">
        <v>237</v>
      </c>
      <c r="D682" s="9" t="s">
        <v>66</v>
      </c>
      <c r="E682" s="5" t="n">
        <v>6</v>
      </c>
      <c r="F682" s="5" t="s">
        <v>7526</v>
      </c>
      <c r="G682" s="13" t="s">
        <v>7527</v>
      </c>
      <c r="H682" s="5" t="s">
        <v>7528</v>
      </c>
      <c r="I682" s="13" t="s">
        <v>7529</v>
      </c>
      <c r="J682" s="5" t="s">
        <v>6005</v>
      </c>
      <c r="K682" s="5" t="s">
        <v>6005</v>
      </c>
      <c r="L682" s="13" t="s">
        <v>7530</v>
      </c>
      <c r="M682" s="13" t="s">
        <v>7531</v>
      </c>
      <c r="N682" s="5" t="n">
        <f aca="false">LEN(L682)</f>
        <v>25</v>
      </c>
      <c r="O682" s="5" t="n">
        <f aca="false">LEN(M682)</f>
        <v>25</v>
      </c>
      <c r="P682" s="14" t="n">
        <f aca="false">IF(N682=0,"",(N682-LEN(SUBSTITUTE(SUBSTITUTE(L682,"G",""),"C","")))/N682)</f>
        <v>0.72</v>
      </c>
      <c r="Q682" s="14" t="n">
        <f aca="false">IF(O682=0,"",(O682-LEN(SUBSTITUTE(SUBSTITUTE(M682,"G",""),"C","")))/O682)</f>
        <v>0.64</v>
      </c>
      <c r="R682" s="5" t="s">
        <v>240</v>
      </c>
      <c r="S682" s="8" t="s">
        <v>1914</v>
      </c>
      <c r="T682" s="5" t="n">
        <v>690</v>
      </c>
      <c r="U682" s="5" t="s">
        <v>4197</v>
      </c>
      <c r="V682" s="5" t="s">
        <v>573</v>
      </c>
      <c r="W682" s="5" t="s">
        <v>573</v>
      </c>
      <c r="X682" s="15" t="s">
        <v>1677</v>
      </c>
      <c r="Y682" s="8" t="s">
        <v>6318</v>
      </c>
    </row>
    <row r="683" customFormat="false" ht="15" hidden="false" customHeight="false" outlineLevel="0" collapsed="false">
      <c r="A683" s="5" t="s">
        <v>7532</v>
      </c>
      <c r="B683" s="5" t="s">
        <v>752</v>
      </c>
      <c r="C683" s="5" t="s">
        <v>237</v>
      </c>
      <c r="D683" s="9" t="s">
        <v>66</v>
      </c>
      <c r="E683" s="5" t="n">
        <v>7</v>
      </c>
      <c r="F683" s="5" t="s">
        <v>7533</v>
      </c>
      <c r="G683" s="13" t="s">
        <v>7534</v>
      </c>
      <c r="H683" s="5" t="s">
        <v>7535</v>
      </c>
      <c r="I683" s="13" t="s">
        <v>7536</v>
      </c>
      <c r="J683" s="5" t="s">
        <v>6005</v>
      </c>
      <c r="K683" s="5" t="s">
        <v>6005</v>
      </c>
      <c r="L683" s="13" t="s">
        <v>7537</v>
      </c>
      <c r="M683" s="13" t="s">
        <v>7538</v>
      </c>
      <c r="N683" s="5" t="n">
        <f aca="false">LEN(L683)</f>
        <v>25</v>
      </c>
      <c r="O683" s="5" t="n">
        <f aca="false">LEN(M683)</f>
        <v>25</v>
      </c>
      <c r="P683" s="14" t="n">
        <f aca="false">IF(N683=0,"",(N683-LEN(SUBSTITUTE(SUBSTITUTE(L683,"G",""),"C","")))/N683)</f>
        <v>0.6</v>
      </c>
      <c r="Q683" s="14" t="n">
        <f aca="false">IF(O683=0,"",(O683-LEN(SUBSTITUTE(SUBSTITUTE(M683,"G",""),"C","")))/O683)</f>
        <v>0.44</v>
      </c>
      <c r="R683" s="5" t="s">
        <v>240</v>
      </c>
      <c r="S683" s="15" t="s">
        <v>1677</v>
      </c>
      <c r="T683" s="5" t="n">
        <v>770</v>
      </c>
      <c r="U683" s="5" t="s">
        <v>1678</v>
      </c>
      <c r="V683" s="5" t="s">
        <v>573</v>
      </c>
      <c r="W683" s="5" t="s">
        <v>573</v>
      </c>
      <c r="X683" s="15" t="s">
        <v>1677</v>
      </c>
      <c r="Y683" s="5"/>
    </row>
    <row r="684" customFormat="false" ht="15" hidden="false" customHeight="false" outlineLevel="0" collapsed="false">
      <c r="A684" s="5" t="s">
        <v>7539</v>
      </c>
      <c r="B684" s="5" t="s">
        <v>752</v>
      </c>
      <c r="C684" s="5" t="s">
        <v>237</v>
      </c>
      <c r="D684" s="9" t="s">
        <v>66</v>
      </c>
      <c r="E684" s="5" t="n">
        <v>8</v>
      </c>
      <c r="F684" s="5" t="s">
        <v>7540</v>
      </c>
      <c r="G684" s="13" t="s">
        <v>7541</v>
      </c>
      <c r="H684" s="5" t="s">
        <v>7542</v>
      </c>
      <c r="I684" s="13" t="s">
        <v>7543</v>
      </c>
      <c r="J684" s="5" t="s">
        <v>6005</v>
      </c>
      <c r="K684" s="5" t="s">
        <v>6005</v>
      </c>
      <c r="L684" s="13" t="s">
        <v>7544</v>
      </c>
      <c r="M684" s="13" t="s">
        <v>7545</v>
      </c>
      <c r="N684" s="5" t="n">
        <f aca="false">LEN(L684)</f>
        <v>25</v>
      </c>
      <c r="O684" s="5" t="n">
        <f aca="false">LEN(M684)</f>
        <v>25</v>
      </c>
      <c r="P684" s="14" t="n">
        <f aca="false">IF(N684=0,"",(N684-LEN(SUBSTITUTE(SUBSTITUTE(L684,"G",""),"C","")))/N684)</f>
        <v>0.52</v>
      </c>
      <c r="Q684" s="14" t="n">
        <f aca="false">IF(O684=0,"",(O684-LEN(SUBSTITUTE(SUBSTITUTE(M684,"G",""),"C","")))/O684)</f>
        <v>0.64</v>
      </c>
      <c r="R684" s="5" t="s">
        <v>240</v>
      </c>
      <c r="S684" s="15" t="s">
        <v>1677</v>
      </c>
      <c r="T684" s="5" t="n">
        <v>850</v>
      </c>
      <c r="U684" s="5" t="s">
        <v>1678</v>
      </c>
      <c r="V684" s="5" t="s">
        <v>573</v>
      </c>
      <c r="W684" s="5" t="s">
        <v>573</v>
      </c>
      <c r="X684" s="15" t="s">
        <v>1677</v>
      </c>
      <c r="Y684" s="5"/>
    </row>
    <row r="685" customFormat="false" ht="15" hidden="false" customHeight="false" outlineLevel="0" collapsed="false">
      <c r="A685" s="5" t="s">
        <v>7546</v>
      </c>
      <c r="B685" s="5" t="s">
        <v>752</v>
      </c>
      <c r="C685" s="5" t="s">
        <v>237</v>
      </c>
      <c r="D685" s="9" t="s">
        <v>66</v>
      </c>
      <c r="E685" s="5" t="n">
        <v>9</v>
      </c>
      <c r="F685" s="5" t="s">
        <v>7547</v>
      </c>
      <c r="G685" s="13" t="s">
        <v>7548</v>
      </c>
      <c r="H685" s="5" t="s">
        <v>7549</v>
      </c>
      <c r="I685" s="13" t="s">
        <v>7550</v>
      </c>
      <c r="J685" s="5" t="s">
        <v>6005</v>
      </c>
      <c r="K685" s="5" t="s">
        <v>6005</v>
      </c>
      <c r="L685" s="13" t="s">
        <v>7551</v>
      </c>
      <c r="M685" s="13" t="s">
        <v>7552</v>
      </c>
      <c r="N685" s="5" t="n">
        <f aca="false">LEN(L685)</f>
        <v>25</v>
      </c>
      <c r="O685" s="5" t="n">
        <f aca="false">LEN(M685)</f>
        <v>25</v>
      </c>
      <c r="P685" s="14" t="n">
        <f aca="false">IF(N685=0,"",(N685-LEN(SUBSTITUTE(SUBSTITUTE(L685,"G",""),"C","")))/N685)</f>
        <v>0.72</v>
      </c>
      <c r="Q685" s="14" t="n">
        <f aca="false">IF(O685=0,"",(O685-LEN(SUBSTITUTE(SUBSTITUTE(M685,"G",""),"C","")))/O685)</f>
        <v>0.64</v>
      </c>
      <c r="R685" s="5"/>
      <c r="S685" s="8" t="s">
        <v>2131</v>
      </c>
      <c r="T685" s="5"/>
      <c r="U685" s="5" t="s">
        <v>4197</v>
      </c>
      <c r="V685" s="5" t="s">
        <v>573</v>
      </c>
      <c r="W685" s="5" t="s">
        <v>573</v>
      </c>
      <c r="X685" s="15" t="s">
        <v>1677</v>
      </c>
      <c r="Y685" s="5"/>
    </row>
    <row r="686" customFormat="false" ht="15" hidden="false" customHeight="false" outlineLevel="0" collapsed="false">
      <c r="A686" s="5" t="s">
        <v>7553</v>
      </c>
      <c r="B686" s="5" t="s">
        <v>752</v>
      </c>
      <c r="C686" s="5" t="s">
        <v>237</v>
      </c>
      <c r="D686" s="9" t="s">
        <v>66</v>
      </c>
      <c r="E686" s="5" t="n">
        <v>10</v>
      </c>
      <c r="F686" s="5" t="s">
        <v>7554</v>
      </c>
      <c r="G686" s="13" t="s">
        <v>7555</v>
      </c>
      <c r="H686" s="5" t="s">
        <v>7556</v>
      </c>
      <c r="I686" s="13" t="s">
        <v>7557</v>
      </c>
      <c r="J686" s="5" t="s">
        <v>6005</v>
      </c>
      <c r="K686" s="5" t="s">
        <v>6005</v>
      </c>
      <c r="L686" s="13" t="s">
        <v>7558</v>
      </c>
      <c r="M686" s="13" t="s">
        <v>7559</v>
      </c>
      <c r="N686" s="5" t="n">
        <f aca="false">LEN(L686)</f>
        <v>25</v>
      </c>
      <c r="O686" s="5" t="n">
        <f aca="false">LEN(M686)</f>
        <v>25</v>
      </c>
      <c r="P686" s="14" t="n">
        <f aca="false">IF(N686=0,"",(N686-LEN(SUBSTITUTE(SUBSTITUTE(L686,"G",""),"C","")))/N686)</f>
        <v>0.48</v>
      </c>
      <c r="Q686" s="14" t="n">
        <f aca="false">IF(O686=0,"",(O686-LEN(SUBSTITUTE(SUBSTITUTE(M686,"G",""),"C","")))/O686)</f>
        <v>0.4</v>
      </c>
      <c r="R686" s="5"/>
      <c r="S686" s="8" t="s">
        <v>2131</v>
      </c>
      <c r="T686" s="5"/>
      <c r="U686" s="5" t="s">
        <v>4197</v>
      </c>
      <c r="V686" s="5" t="s">
        <v>573</v>
      </c>
      <c r="W686" s="5" t="s">
        <v>573</v>
      </c>
      <c r="X686" s="15" t="s">
        <v>1677</v>
      </c>
      <c r="Y686" s="5"/>
    </row>
    <row r="687" customFormat="false" ht="15" hidden="false" customHeight="false" outlineLevel="0" collapsed="false">
      <c r="A687" s="5" t="s">
        <v>7560</v>
      </c>
      <c r="B687" s="5" t="s">
        <v>753</v>
      </c>
      <c r="C687" s="5" t="s">
        <v>754</v>
      </c>
      <c r="D687" s="9" t="s">
        <v>66</v>
      </c>
      <c r="E687" s="5" t="n">
        <v>1</v>
      </c>
      <c r="F687" s="5" t="s">
        <v>7561</v>
      </c>
      <c r="G687" s="13" t="s">
        <v>7562</v>
      </c>
      <c r="H687" s="5" t="s">
        <v>7563</v>
      </c>
      <c r="I687" s="13" t="s">
        <v>7564</v>
      </c>
      <c r="J687" s="5" t="s">
        <v>7565</v>
      </c>
      <c r="K687" s="5" t="s">
        <v>7566</v>
      </c>
      <c r="L687" s="13" t="s">
        <v>7567</v>
      </c>
      <c r="M687" s="13" t="s">
        <v>7568</v>
      </c>
      <c r="N687" s="5" t="n">
        <f aca="false">LEN(L687)</f>
        <v>25</v>
      </c>
      <c r="O687" s="5" t="n">
        <f aca="false">LEN(M687)</f>
        <v>25</v>
      </c>
      <c r="P687" s="14" t="n">
        <f aca="false">IF(N687=0,"",(N687-LEN(SUBSTITUTE(SUBSTITUTE(L687,"G",""),"C","")))/N687)</f>
        <v>0.76</v>
      </c>
      <c r="Q687" s="14" t="n">
        <f aca="false">IF(O687=0,"",(O687-LEN(SUBSTITUTE(SUBSTITUTE(M687,"G",""),"C","")))/O687)</f>
        <v>0.64</v>
      </c>
      <c r="R687" s="5" t="s">
        <v>760</v>
      </c>
      <c r="S687" s="15" t="s">
        <v>1677</v>
      </c>
      <c r="T687" s="5" t="n">
        <v>6</v>
      </c>
      <c r="U687" s="5" t="s">
        <v>1678</v>
      </c>
      <c r="V687" s="5" t="s">
        <v>588</v>
      </c>
      <c r="W687" s="5"/>
      <c r="X687" s="8" t="s">
        <v>1914</v>
      </c>
      <c r="Y687" s="5"/>
    </row>
    <row r="688" customFormat="false" ht="15" hidden="false" customHeight="false" outlineLevel="0" collapsed="false">
      <c r="A688" s="5" t="s">
        <v>7569</v>
      </c>
      <c r="B688" s="5" t="s">
        <v>753</v>
      </c>
      <c r="C688" s="5" t="s">
        <v>754</v>
      </c>
      <c r="D688" s="9" t="s">
        <v>66</v>
      </c>
      <c r="E688" s="5" t="n">
        <v>2</v>
      </c>
      <c r="F688" s="5" t="s">
        <v>7570</v>
      </c>
      <c r="G688" s="13" t="s">
        <v>7571</v>
      </c>
      <c r="H688" s="5" t="s">
        <v>7572</v>
      </c>
      <c r="I688" s="13" t="s">
        <v>7573</v>
      </c>
      <c r="J688" s="5" t="s">
        <v>7574</v>
      </c>
      <c r="K688" s="5" t="s">
        <v>7575</v>
      </c>
      <c r="L688" s="13" t="s">
        <v>7576</v>
      </c>
      <c r="M688" s="13" t="s">
        <v>7577</v>
      </c>
      <c r="N688" s="5" t="n">
        <f aca="false">LEN(L688)</f>
        <v>25</v>
      </c>
      <c r="O688" s="5" t="n">
        <f aca="false">LEN(M688)</f>
        <v>25</v>
      </c>
      <c r="P688" s="14" t="n">
        <f aca="false">IF(N688=0,"",(N688-LEN(SUBSTITUTE(SUBSTITUTE(L688,"G",""),"C","")))/N688)</f>
        <v>0.52</v>
      </c>
      <c r="Q688" s="14" t="n">
        <f aca="false">IF(O688=0,"",(O688-LEN(SUBSTITUTE(SUBSTITUTE(M688,"G",""),"C","")))/O688)</f>
        <v>0.36</v>
      </c>
      <c r="R688" s="5" t="s">
        <v>760</v>
      </c>
      <c r="S688" s="15" t="s">
        <v>1677</v>
      </c>
      <c r="T688" s="5" t="n">
        <v>76</v>
      </c>
      <c r="U688" s="5" t="s">
        <v>1678</v>
      </c>
      <c r="V688" s="5" t="s">
        <v>588</v>
      </c>
      <c r="W688" s="5"/>
      <c r="X688" s="15" t="s">
        <v>1677</v>
      </c>
      <c r="Y688" s="5"/>
    </row>
    <row r="689" customFormat="false" ht="15" hidden="false" customHeight="false" outlineLevel="0" collapsed="false">
      <c r="A689" s="5" t="s">
        <v>7578</v>
      </c>
      <c r="B689" s="5" t="s">
        <v>753</v>
      </c>
      <c r="C689" s="5" t="s">
        <v>754</v>
      </c>
      <c r="D689" s="9" t="s">
        <v>66</v>
      </c>
      <c r="E689" s="5" t="n">
        <v>3</v>
      </c>
      <c r="F689" s="5" t="s">
        <v>7579</v>
      </c>
      <c r="G689" s="13" t="s">
        <v>7580</v>
      </c>
      <c r="H689" s="5" t="s">
        <v>7581</v>
      </c>
      <c r="I689" s="13" t="s">
        <v>7582</v>
      </c>
      <c r="J689" s="5" t="s">
        <v>7583</v>
      </c>
      <c r="K689" s="5" t="s">
        <v>7584</v>
      </c>
      <c r="L689" s="13" t="s">
        <v>7585</v>
      </c>
      <c r="M689" s="13" t="s">
        <v>7586</v>
      </c>
      <c r="N689" s="5" t="n">
        <f aca="false">LEN(L689)</f>
        <v>25</v>
      </c>
      <c r="O689" s="5" t="n">
        <f aca="false">LEN(M689)</f>
        <v>25</v>
      </c>
      <c r="P689" s="14" t="n">
        <f aca="false">IF(N689=0,"",(N689-LEN(SUBSTITUTE(SUBSTITUTE(L689,"G",""),"C","")))/N689)</f>
        <v>0.4</v>
      </c>
      <c r="Q689" s="14" t="n">
        <f aca="false">IF(O689=0,"",(O689-LEN(SUBSTITUTE(SUBSTITUTE(M689,"G",""),"C","")))/O689)</f>
        <v>0.52</v>
      </c>
      <c r="R689" s="5" t="s">
        <v>760</v>
      </c>
      <c r="S689" s="15" t="s">
        <v>1677</v>
      </c>
      <c r="T689" s="5" t="n">
        <v>146</v>
      </c>
      <c r="U689" s="5" t="s">
        <v>1678</v>
      </c>
      <c r="V689" s="5" t="s">
        <v>588</v>
      </c>
      <c r="W689" s="5"/>
      <c r="X689" s="15" t="s">
        <v>1677</v>
      </c>
      <c r="Y689" s="5"/>
    </row>
    <row r="690" customFormat="false" ht="15" hidden="false" customHeight="false" outlineLevel="0" collapsed="false">
      <c r="A690" s="5" t="s">
        <v>7587</v>
      </c>
      <c r="B690" s="5" t="s">
        <v>753</v>
      </c>
      <c r="C690" s="5" t="s">
        <v>754</v>
      </c>
      <c r="D690" s="9" t="s">
        <v>66</v>
      </c>
      <c r="E690" s="5" t="n">
        <v>4</v>
      </c>
      <c r="F690" s="5" t="s">
        <v>7588</v>
      </c>
      <c r="G690" s="13" t="s">
        <v>7589</v>
      </c>
      <c r="H690" s="5" t="s">
        <v>7590</v>
      </c>
      <c r="I690" s="13" t="s">
        <v>7591</v>
      </c>
      <c r="J690" s="5" t="s">
        <v>5916</v>
      </c>
      <c r="K690" s="5" t="s">
        <v>5916</v>
      </c>
      <c r="L690" s="13" t="s">
        <v>7592</v>
      </c>
      <c r="M690" s="13" t="s">
        <v>7593</v>
      </c>
      <c r="N690" s="5" t="n">
        <f aca="false">LEN(L690)</f>
        <v>25</v>
      </c>
      <c r="O690" s="5" t="n">
        <f aca="false">LEN(M690)</f>
        <v>25</v>
      </c>
      <c r="P690" s="14" t="n">
        <f aca="false">IF(N690=0,"",(N690-LEN(SUBSTITUTE(SUBSTITUTE(L690,"G",""),"C","")))/N690)</f>
        <v>0.68</v>
      </c>
      <c r="Q690" s="14" t="n">
        <f aca="false">IF(O690=0,"",(O690-LEN(SUBSTITUTE(SUBSTITUTE(M690,"G",""),"C","")))/O690)</f>
        <v>0.76</v>
      </c>
      <c r="R690" s="5" t="s">
        <v>760</v>
      </c>
      <c r="S690" s="15" t="s">
        <v>1677</v>
      </c>
      <c r="T690" s="5" t="n">
        <v>228</v>
      </c>
      <c r="U690" s="5" t="s">
        <v>1678</v>
      </c>
      <c r="V690" s="5" t="s">
        <v>1094</v>
      </c>
      <c r="W690" s="5" t="s">
        <v>1094</v>
      </c>
      <c r="X690" s="15" t="s">
        <v>1677</v>
      </c>
      <c r="Y690" s="5"/>
    </row>
    <row r="691" customFormat="false" ht="15" hidden="false" customHeight="false" outlineLevel="0" collapsed="false">
      <c r="A691" s="5" t="s">
        <v>7594</v>
      </c>
      <c r="B691" s="5" t="s">
        <v>753</v>
      </c>
      <c r="C691" s="5" t="s">
        <v>754</v>
      </c>
      <c r="D691" s="9" t="s">
        <v>66</v>
      </c>
      <c r="E691" s="5" t="n">
        <v>5</v>
      </c>
      <c r="F691" s="5" t="s">
        <v>7595</v>
      </c>
      <c r="G691" s="13" t="s">
        <v>7596</v>
      </c>
      <c r="H691" s="5" t="s">
        <v>7597</v>
      </c>
      <c r="I691" s="13" t="s">
        <v>7598</v>
      </c>
      <c r="J691" s="5" t="s">
        <v>5916</v>
      </c>
      <c r="K691" s="5" t="s">
        <v>5916</v>
      </c>
      <c r="L691" s="13" t="s">
        <v>7599</v>
      </c>
      <c r="M691" s="13" t="s">
        <v>7600</v>
      </c>
      <c r="N691" s="5" t="n">
        <f aca="false">LEN(L691)</f>
        <v>25</v>
      </c>
      <c r="O691" s="5" t="n">
        <f aca="false">LEN(M691)</f>
        <v>25</v>
      </c>
      <c r="P691" s="14" t="n">
        <f aca="false">IF(N691=0,"",(N691-LEN(SUBSTITUTE(SUBSTITUTE(L691,"G",""),"C","")))/N691)</f>
        <v>0.68</v>
      </c>
      <c r="Q691" s="14" t="n">
        <f aca="false">IF(O691=0,"",(O691-LEN(SUBSTITUTE(SUBSTITUTE(M691,"G",""),"C","")))/O691)</f>
        <v>0.56</v>
      </c>
      <c r="R691" s="5" t="s">
        <v>760</v>
      </c>
      <c r="S691" s="8" t="s">
        <v>1914</v>
      </c>
      <c r="T691" s="5" t="n">
        <v>308</v>
      </c>
      <c r="U691" s="5" t="s">
        <v>4197</v>
      </c>
      <c r="V691" s="5" t="s">
        <v>1094</v>
      </c>
      <c r="W691" s="5" t="s">
        <v>1094</v>
      </c>
      <c r="X691" s="15" t="s">
        <v>1677</v>
      </c>
      <c r="Y691" s="8" t="s">
        <v>6318</v>
      </c>
    </row>
    <row r="692" customFormat="false" ht="15" hidden="false" customHeight="false" outlineLevel="0" collapsed="false">
      <c r="A692" s="5" t="s">
        <v>7601</v>
      </c>
      <c r="B692" s="5" t="s">
        <v>753</v>
      </c>
      <c r="C692" s="5" t="s">
        <v>754</v>
      </c>
      <c r="D692" s="9" t="s">
        <v>66</v>
      </c>
      <c r="E692" s="5" t="n">
        <v>6</v>
      </c>
      <c r="F692" s="5" t="s">
        <v>7602</v>
      </c>
      <c r="G692" s="13" t="s">
        <v>7603</v>
      </c>
      <c r="H692" s="5" t="s">
        <v>7604</v>
      </c>
      <c r="I692" s="13" t="s">
        <v>7605</v>
      </c>
      <c r="J692" s="5" t="s">
        <v>5916</v>
      </c>
      <c r="K692" s="5" t="s">
        <v>5916</v>
      </c>
      <c r="L692" s="13" t="s">
        <v>7606</v>
      </c>
      <c r="M692" s="13" t="s">
        <v>7607</v>
      </c>
      <c r="N692" s="5" t="n">
        <f aca="false">LEN(L692)</f>
        <v>25</v>
      </c>
      <c r="O692" s="5" t="n">
        <f aca="false">LEN(M692)</f>
        <v>25</v>
      </c>
      <c r="P692" s="14" t="n">
        <f aca="false">IF(N692=0,"",(N692-LEN(SUBSTITUTE(SUBSTITUTE(L692,"G",""),"C","")))/N692)</f>
        <v>0.4</v>
      </c>
      <c r="Q692" s="14" t="n">
        <f aca="false">IF(O692=0,"",(O692-LEN(SUBSTITUTE(SUBSTITUTE(M692,"G",""),"C","")))/O692)</f>
        <v>0.48</v>
      </c>
      <c r="R692" s="5" t="s">
        <v>760</v>
      </c>
      <c r="S692" s="15" t="s">
        <v>1677</v>
      </c>
      <c r="T692" s="5" t="n">
        <v>394</v>
      </c>
      <c r="U692" s="5" t="s">
        <v>1678</v>
      </c>
      <c r="V692" s="5" t="s">
        <v>1094</v>
      </c>
      <c r="W692" s="5" t="s">
        <v>1094</v>
      </c>
      <c r="X692" s="15" t="s">
        <v>1677</v>
      </c>
      <c r="Y692" s="5"/>
    </row>
    <row r="693" customFormat="false" ht="15" hidden="false" customHeight="false" outlineLevel="0" collapsed="false">
      <c r="A693" s="5" t="s">
        <v>7608</v>
      </c>
      <c r="B693" s="5" t="s">
        <v>753</v>
      </c>
      <c r="C693" s="5" t="s">
        <v>754</v>
      </c>
      <c r="D693" s="9" t="s">
        <v>66</v>
      </c>
      <c r="E693" s="5" t="n">
        <v>7</v>
      </c>
      <c r="F693" s="5" t="s">
        <v>7609</v>
      </c>
      <c r="G693" s="13" t="s">
        <v>7610</v>
      </c>
      <c r="H693" s="5" t="s">
        <v>7611</v>
      </c>
      <c r="I693" s="13" t="s">
        <v>7612</v>
      </c>
      <c r="J693" s="5" t="s">
        <v>5916</v>
      </c>
      <c r="K693" s="5" t="s">
        <v>5916</v>
      </c>
      <c r="L693" s="13" t="s">
        <v>7613</v>
      </c>
      <c r="M693" s="13" t="s">
        <v>7614</v>
      </c>
      <c r="N693" s="5" t="n">
        <f aca="false">LEN(L693)</f>
        <v>25</v>
      </c>
      <c r="O693" s="5" t="n">
        <f aca="false">LEN(M693)</f>
        <v>25</v>
      </c>
      <c r="P693" s="14" t="n">
        <f aca="false">IF(N693=0,"",(N693-LEN(SUBSTITUTE(SUBSTITUTE(L693,"G",""),"C","")))/N693)</f>
        <v>0.6</v>
      </c>
      <c r="Q693" s="14" t="n">
        <f aca="false">IF(O693=0,"",(O693-LEN(SUBSTITUTE(SUBSTITUTE(M693,"G",""),"C","")))/O693)</f>
        <v>0.44</v>
      </c>
      <c r="R693" s="5" t="s">
        <v>760</v>
      </c>
      <c r="S693" s="15" t="s">
        <v>1677</v>
      </c>
      <c r="T693" s="5" t="n">
        <v>474</v>
      </c>
      <c r="U693" s="5" t="s">
        <v>1678</v>
      </c>
      <c r="V693" s="5" t="s">
        <v>1094</v>
      </c>
      <c r="W693" s="5" t="s">
        <v>1094</v>
      </c>
      <c r="X693" s="15" t="s">
        <v>1677</v>
      </c>
      <c r="Y693" s="5"/>
    </row>
    <row r="694" customFormat="false" ht="15" hidden="false" customHeight="false" outlineLevel="0" collapsed="false">
      <c r="A694" s="5" t="s">
        <v>7615</v>
      </c>
      <c r="B694" s="5" t="s">
        <v>753</v>
      </c>
      <c r="C694" s="5" t="s">
        <v>754</v>
      </c>
      <c r="D694" s="9" t="s">
        <v>66</v>
      </c>
      <c r="E694" s="5" t="n">
        <v>8</v>
      </c>
      <c r="F694" s="5" t="s">
        <v>7616</v>
      </c>
      <c r="G694" s="13" t="s">
        <v>7617</v>
      </c>
      <c r="H694" s="5" t="s">
        <v>7618</v>
      </c>
      <c r="I694" s="13" t="s">
        <v>7619</v>
      </c>
      <c r="J694" s="5" t="s">
        <v>5916</v>
      </c>
      <c r="K694" s="5" t="s">
        <v>5916</v>
      </c>
      <c r="L694" s="13" t="s">
        <v>7620</v>
      </c>
      <c r="M694" s="13" t="s">
        <v>7621</v>
      </c>
      <c r="N694" s="5" t="n">
        <f aca="false">LEN(L694)</f>
        <v>25</v>
      </c>
      <c r="O694" s="5" t="n">
        <f aca="false">LEN(M694)</f>
        <v>25</v>
      </c>
      <c r="P694" s="14" t="n">
        <f aca="false">IF(N694=0,"",(N694-LEN(SUBSTITUTE(SUBSTITUTE(L694,"G",""),"C","")))/N694)</f>
        <v>0.4</v>
      </c>
      <c r="Q694" s="14" t="n">
        <f aca="false">IF(O694=0,"",(O694-LEN(SUBSTITUTE(SUBSTITUTE(M694,"G",""),"C","")))/O694)</f>
        <v>0.48</v>
      </c>
      <c r="R694" s="5" t="s">
        <v>760</v>
      </c>
      <c r="S694" s="15" t="s">
        <v>1677</v>
      </c>
      <c r="T694" s="5" t="n">
        <v>554</v>
      </c>
      <c r="U694" s="5" t="s">
        <v>1678</v>
      </c>
      <c r="V694" s="5" t="s">
        <v>1094</v>
      </c>
      <c r="W694" s="5" t="s">
        <v>1094</v>
      </c>
      <c r="X694" s="15" t="s">
        <v>1677</v>
      </c>
      <c r="Y694" s="5"/>
    </row>
    <row r="695" customFormat="false" ht="15" hidden="false" customHeight="false" outlineLevel="0" collapsed="false">
      <c r="A695" s="5" t="s">
        <v>7622</v>
      </c>
      <c r="B695" s="5" t="s">
        <v>753</v>
      </c>
      <c r="C695" s="5" t="s">
        <v>754</v>
      </c>
      <c r="D695" s="9" t="s">
        <v>66</v>
      </c>
      <c r="E695" s="5" t="n">
        <v>9</v>
      </c>
      <c r="F695" s="5" t="s">
        <v>7623</v>
      </c>
      <c r="G695" s="13" t="s">
        <v>7624</v>
      </c>
      <c r="H695" s="5" t="s">
        <v>7625</v>
      </c>
      <c r="I695" s="13" t="s">
        <v>7626</v>
      </c>
      <c r="J695" s="5" t="s">
        <v>5916</v>
      </c>
      <c r="K695" s="5" t="s">
        <v>5916</v>
      </c>
      <c r="L695" s="13" t="s">
        <v>7627</v>
      </c>
      <c r="M695" s="13" t="s">
        <v>7628</v>
      </c>
      <c r="N695" s="5" t="n">
        <f aca="false">LEN(L695)</f>
        <v>25</v>
      </c>
      <c r="O695" s="5" t="n">
        <f aca="false">LEN(M695)</f>
        <v>25</v>
      </c>
      <c r="P695" s="14" t="n">
        <f aca="false">IF(N695=0,"",(N695-LEN(SUBSTITUTE(SUBSTITUTE(L695,"G",""),"C","")))/N695)</f>
        <v>0.4</v>
      </c>
      <c r="Q695" s="14" t="n">
        <f aca="false">IF(O695=0,"",(O695-LEN(SUBSTITUTE(SUBSTITUTE(M695,"G",""),"C","")))/O695)</f>
        <v>0.64</v>
      </c>
      <c r="R695" s="5" t="s">
        <v>760</v>
      </c>
      <c r="S695" s="15" t="s">
        <v>1677</v>
      </c>
      <c r="T695" s="5" t="n">
        <v>650</v>
      </c>
      <c r="U695" s="5" t="s">
        <v>1678</v>
      </c>
      <c r="V695" s="5" t="s">
        <v>1094</v>
      </c>
      <c r="W695" s="5" t="s">
        <v>1094</v>
      </c>
      <c r="X695" s="15" t="s">
        <v>1677</v>
      </c>
      <c r="Y695" s="5"/>
    </row>
    <row r="696" customFormat="false" ht="15" hidden="false" customHeight="false" outlineLevel="0" collapsed="false">
      <c r="A696" s="5" t="s">
        <v>7629</v>
      </c>
      <c r="B696" s="5" t="s">
        <v>753</v>
      </c>
      <c r="C696" s="5" t="s">
        <v>754</v>
      </c>
      <c r="D696" s="9" t="s">
        <v>66</v>
      </c>
      <c r="E696" s="5" t="n">
        <v>10</v>
      </c>
      <c r="F696" s="5" t="s">
        <v>7630</v>
      </c>
      <c r="G696" s="13" t="s">
        <v>7631</v>
      </c>
      <c r="H696" s="5" t="s">
        <v>7632</v>
      </c>
      <c r="I696" s="13" t="s">
        <v>7633</v>
      </c>
      <c r="J696" s="5" t="s">
        <v>5916</v>
      </c>
      <c r="K696" s="5" t="s">
        <v>5916</v>
      </c>
      <c r="L696" s="13" t="s">
        <v>7634</v>
      </c>
      <c r="M696" s="13" t="s">
        <v>7635</v>
      </c>
      <c r="N696" s="5" t="n">
        <f aca="false">LEN(L696)</f>
        <v>25</v>
      </c>
      <c r="O696" s="5" t="n">
        <f aca="false">LEN(M696)</f>
        <v>25</v>
      </c>
      <c r="P696" s="14" t="n">
        <f aca="false">IF(N696=0,"",(N696-LEN(SUBSTITUTE(SUBSTITUTE(L696,"G",""),"C","")))/N696)</f>
        <v>0.52</v>
      </c>
      <c r="Q696" s="14" t="n">
        <f aca="false">IF(O696=0,"",(O696-LEN(SUBSTITUTE(SUBSTITUTE(M696,"G",""),"C","")))/O696)</f>
        <v>0.48</v>
      </c>
      <c r="R696" s="5" t="s">
        <v>760</v>
      </c>
      <c r="S696" s="15" t="s">
        <v>1677</v>
      </c>
      <c r="T696" s="5" t="n">
        <v>730</v>
      </c>
      <c r="U696" s="5" t="s">
        <v>1678</v>
      </c>
      <c r="V696" s="5" t="s">
        <v>1094</v>
      </c>
      <c r="W696" s="5" t="s">
        <v>1094</v>
      </c>
      <c r="X696" s="15" t="s">
        <v>1677</v>
      </c>
      <c r="Y696" s="5"/>
    </row>
    <row r="697" customFormat="false" ht="15" hidden="false" customHeight="false" outlineLevel="0" collapsed="false">
      <c r="A697" s="5" t="s">
        <v>7636</v>
      </c>
      <c r="B697" s="5" t="s">
        <v>753</v>
      </c>
      <c r="C697" s="5" t="s">
        <v>754</v>
      </c>
      <c r="D697" s="9" t="s">
        <v>66</v>
      </c>
      <c r="E697" s="5" t="n">
        <v>11</v>
      </c>
      <c r="F697" s="5" t="s">
        <v>7637</v>
      </c>
      <c r="G697" s="13" t="s">
        <v>7638</v>
      </c>
      <c r="H697" s="5" t="s">
        <v>7639</v>
      </c>
      <c r="I697" s="13" t="s">
        <v>7640</v>
      </c>
      <c r="J697" s="5" t="s">
        <v>5916</v>
      </c>
      <c r="K697" s="5" t="s">
        <v>5916</v>
      </c>
      <c r="L697" s="13" t="s">
        <v>7641</v>
      </c>
      <c r="M697" s="13" t="s">
        <v>7642</v>
      </c>
      <c r="N697" s="5" t="n">
        <f aca="false">LEN(L697)</f>
        <v>25</v>
      </c>
      <c r="O697" s="5" t="n">
        <f aca="false">LEN(M697)</f>
        <v>25</v>
      </c>
      <c r="P697" s="14" t="n">
        <f aca="false">IF(N697=0,"",(N697-LEN(SUBSTITUTE(SUBSTITUTE(L697,"G",""),"C","")))/N697)</f>
        <v>0.52</v>
      </c>
      <c r="Q697" s="14" t="n">
        <f aca="false">IF(O697=0,"",(O697-LEN(SUBSTITUTE(SUBSTITUTE(M697,"G",""),"C","")))/O697)</f>
        <v>0.56</v>
      </c>
      <c r="R697" s="5" t="s">
        <v>760</v>
      </c>
      <c r="S697" s="15" t="s">
        <v>1677</v>
      </c>
      <c r="T697" s="5" t="n">
        <v>810</v>
      </c>
      <c r="U697" s="5" t="s">
        <v>1678</v>
      </c>
      <c r="V697" s="5" t="s">
        <v>1094</v>
      </c>
      <c r="W697" s="5" t="s">
        <v>1094</v>
      </c>
      <c r="X697" s="15" t="s">
        <v>1677</v>
      </c>
      <c r="Y697" s="5"/>
    </row>
    <row r="698" customFormat="false" ht="15" hidden="false" customHeight="false" outlineLevel="0" collapsed="false">
      <c r="A698" s="5" t="s">
        <v>7643</v>
      </c>
      <c r="B698" s="5" t="s">
        <v>753</v>
      </c>
      <c r="C698" s="5" t="s">
        <v>754</v>
      </c>
      <c r="D698" s="9" t="s">
        <v>66</v>
      </c>
      <c r="E698" s="5" t="n">
        <v>12</v>
      </c>
      <c r="F698" s="5" t="s">
        <v>7644</v>
      </c>
      <c r="G698" s="13" t="s">
        <v>7645</v>
      </c>
      <c r="H698" s="5" t="s">
        <v>7646</v>
      </c>
      <c r="I698" s="13" t="s">
        <v>7647</v>
      </c>
      <c r="J698" s="5" t="s">
        <v>5916</v>
      </c>
      <c r="K698" s="5" t="s">
        <v>5916</v>
      </c>
      <c r="L698" s="13" t="s">
        <v>7648</v>
      </c>
      <c r="M698" s="13" t="s">
        <v>7649</v>
      </c>
      <c r="N698" s="5" t="n">
        <f aca="false">LEN(L698)</f>
        <v>25</v>
      </c>
      <c r="O698" s="5" t="n">
        <f aca="false">LEN(M698)</f>
        <v>25</v>
      </c>
      <c r="P698" s="14" t="n">
        <f aca="false">IF(N698=0,"",(N698-LEN(SUBSTITUTE(SUBSTITUTE(L698,"G",""),"C","")))/N698)</f>
        <v>0.6</v>
      </c>
      <c r="Q698" s="14" t="n">
        <f aca="false">IF(O698=0,"",(O698-LEN(SUBSTITUTE(SUBSTITUTE(M698,"G",""),"C","")))/O698)</f>
        <v>0.6</v>
      </c>
      <c r="R698" s="5" t="s">
        <v>760</v>
      </c>
      <c r="S698" s="15" t="s">
        <v>1677</v>
      </c>
      <c r="T698" s="5" t="n">
        <v>890</v>
      </c>
      <c r="U698" s="5" t="s">
        <v>1678</v>
      </c>
      <c r="V698" s="5" t="s">
        <v>1094</v>
      </c>
      <c r="W698" s="5" t="s">
        <v>1094</v>
      </c>
      <c r="X698" s="15" t="s">
        <v>1677</v>
      </c>
      <c r="Y698" s="5"/>
    </row>
    <row r="699" customFormat="false" ht="15" hidden="false" customHeight="false" outlineLevel="0" collapsed="false">
      <c r="A699" s="5" t="s">
        <v>7650</v>
      </c>
      <c r="B699" s="5" t="s">
        <v>753</v>
      </c>
      <c r="C699" s="5" t="s">
        <v>754</v>
      </c>
      <c r="D699" s="9" t="s">
        <v>66</v>
      </c>
      <c r="E699" s="5" t="n">
        <v>13</v>
      </c>
      <c r="F699" s="5" t="s">
        <v>7651</v>
      </c>
      <c r="G699" s="13" t="s">
        <v>7652</v>
      </c>
      <c r="H699" s="5" t="s">
        <v>7653</v>
      </c>
      <c r="I699" s="13" t="s">
        <v>7654</v>
      </c>
      <c r="J699" s="5" t="s">
        <v>5916</v>
      </c>
      <c r="K699" s="5" t="s">
        <v>5916</v>
      </c>
      <c r="L699" s="13" t="s">
        <v>7655</v>
      </c>
      <c r="M699" s="13" t="s">
        <v>7656</v>
      </c>
      <c r="N699" s="5" t="n">
        <f aca="false">LEN(L699)</f>
        <v>25</v>
      </c>
      <c r="O699" s="5" t="n">
        <f aca="false">LEN(M699)</f>
        <v>25</v>
      </c>
      <c r="P699" s="14" t="n">
        <f aca="false">IF(N699=0,"",(N699-LEN(SUBSTITUTE(SUBSTITUTE(L699,"G",""),"C","")))/N699)</f>
        <v>0.4</v>
      </c>
      <c r="Q699" s="14" t="n">
        <f aca="false">IF(O699=0,"",(O699-LEN(SUBSTITUTE(SUBSTITUTE(M699,"G",""),"C","")))/O699)</f>
        <v>0.4</v>
      </c>
      <c r="R699" s="5"/>
      <c r="S699" s="8" t="s">
        <v>2131</v>
      </c>
      <c r="T699" s="5"/>
      <c r="U699" s="5" t="s">
        <v>4197</v>
      </c>
      <c r="V699" s="5" t="s">
        <v>1094</v>
      </c>
      <c r="W699" s="5" t="s">
        <v>1094</v>
      </c>
      <c r="X699" s="15" t="s">
        <v>1677</v>
      </c>
      <c r="Y699" s="5"/>
    </row>
    <row r="700" customFormat="false" ht="15" hidden="false" customHeight="false" outlineLevel="0" collapsed="false">
      <c r="A700" s="5" t="s">
        <v>7657</v>
      </c>
      <c r="B700" s="5" t="s">
        <v>764</v>
      </c>
      <c r="C700" s="5" t="s">
        <v>765</v>
      </c>
      <c r="D700" s="9" t="s">
        <v>66</v>
      </c>
      <c r="E700" s="5" t="n">
        <v>1</v>
      </c>
      <c r="F700" s="5" t="s">
        <v>7658</v>
      </c>
      <c r="G700" s="13" t="s">
        <v>7659</v>
      </c>
      <c r="H700" s="5" t="s">
        <v>7660</v>
      </c>
      <c r="I700" s="13" t="s">
        <v>7661</v>
      </c>
      <c r="J700" s="5" t="s">
        <v>7662</v>
      </c>
      <c r="K700" s="5" t="s">
        <v>7663</v>
      </c>
      <c r="L700" s="13" t="s">
        <v>7664</v>
      </c>
      <c r="M700" s="13" t="s">
        <v>7665</v>
      </c>
      <c r="N700" s="5" t="n">
        <f aca="false">LEN(L700)</f>
        <v>25</v>
      </c>
      <c r="O700" s="5" t="n">
        <f aca="false">LEN(M700)</f>
        <v>25</v>
      </c>
      <c r="P700" s="14" t="n">
        <f aca="false">IF(N700=0,"",(N700-LEN(SUBSTITUTE(SUBSTITUTE(L700,"G",""),"C","")))/N700)</f>
        <v>0.28</v>
      </c>
      <c r="Q700" s="14" t="n">
        <f aca="false">IF(O700=0,"",(O700-LEN(SUBSTITUTE(SUBSTITUTE(M700,"G",""),"C","")))/O700)</f>
        <v>0.48</v>
      </c>
      <c r="R700" s="5" t="s">
        <v>768</v>
      </c>
      <c r="S700" s="15" t="s">
        <v>1677</v>
      </c>
      <c r="T700" s="5" t="n">
        <v>135</v>
      </c>
      <c r="U700" s="5" t="s">
        <v>1678</v>
      </c>
      <c r="V700" s="5" t="s">
        <v>588</v>
      </c>
      <c r="W700" s="5"/>
      <c r="X700" s="15" t="s">
        <v>1677</v>
      </c>
      <c r="Y700" s="5"/>
    </row>
    <row r="701" customFormat="false" ht="15" hidden="false" customHeight="false" outlineLevel="0" collapsed="false">
      <c r="A701" s="5" t="s">
        <v>7666</v>
      </c>
      <c r="B701" s="5" t="s">
        <v>764</v>
      </c>
      <c r="C701" s="5" t="s">
        <v>765</v>
      </c>
      <c r="D701" s="9" t="s">
        <v>66</v>
      </c>
      <c r="E701" s="5" t="n">
        <v>2</v>
      </c>
      <c r="F701" s="5" t="s">
        <v>7667</v>
      </c>
      <c r="G701" s="13" t="s">
        <v>7668</v>
      </c>
      <c r="H701" s="5" t="s">
        <v>7669</v>
      </c>
      <c r="I701" s="13" t="s">
        <v>7670</v>
      </c>
      <c r="J701" s="5" t="s">
        <v>7671</v>
      </c>
      <c r="K701" s="5" t="s">
        <v>7672</v>
      </c>
      <c r="L701" s="13" t="s">
        <v>7673</v>
      </c>
      <c r="M701" s="13" t="s">
        <v>7674</v>
      </c>
      <c r="N701" s="5" t="n">
        <f aca="false">LEN(L701)</f>
        <v>25</v>
      </c>
      <c r="O701" s="5" t="n">
        <f aca="false">LEN(M701)</f>
        <v>25</v>
      </c>
      <c r="P701" s="14" t="n">
        <f aca="false">IF(N701=0,"",(N701-LEN(SUBSTITUTE(SUBSTITUTE(L701,"G",""),"C","")))/N701)</f>
        <v>0.32</v>
      </c>
      <c r="Q701" s="14" t="n">
        <f aca="false">IF(O701=0,"",(O701-LEN(SUBSTITUTE(SUBSTITUTE(M701,"G",""),"C","")))/O701)</f>
        <v>0.32</v>
      </c>
      <c r="R701" s="5" t="s">
        <v>768</v>
      </c>
      <c r="S701" s="15" t="s">
        <v>1677</v>
      </c>
      <c r="T701" s="5" t="n">
        <v>202</v>
      </c>
      <c r="U701" s="5" t="s">
        <v>1678</v>
      </c>
      <c r="V701" s="5" t="s">
        <v>588</v>
      </c>
      <c r="W701" s="5"/>
      <c r="X701" s="15" t="s">
        <v>1677</v>
      </c>
      <c r="Y701" s="5"/>
    </row>
    <row r="702" customFormat="false" ht="15" hidden="false" customHeight="false" outlineLevel="0" collapsed="false">
      <c r="A702" s="5" t="s">
        <v>7675</v>
      </c>
      <c r="B702" s="5" t="s">
        <v>764</v>
      </c>
      <c r="C702" s="5" t="s">
        <v>765</v>
      </c>
      <c r="D702" s="9" t="s">
        <v>66</v>
      </c>
      <c r="E702" s="5" t="n">
        <v>3</v>
      </c>
      <c r="F702" s="5" t="s">
        <v>7676</v>
      </c>
      <c r="G702" s="13" t="s">
        <v>7677</v>
      </c>
      <c r="H702" s="5" t="s">
        <v>7678</v>
      </c>
      <c r="I702" s="13" t="s">
        <v>7679</v>
      </c>
      <c r="J702" s="5" t="s">
        <v>7680</v>
      </c>
      <c r="K702" s="5" t="s">
        <v>7681</v>
      </c>
      <c r="L702" s="13" t="s">
        <v>7682</v>
      </c>
      <c r="M702" s="13" t="s">
        <v>7683</v>
      </c>
      <c r="N702" s="5" t="n">
        <f aca="false">LEN(L702)</f>
        <v>25</v>
      </c>
      <c r="O702" s="5" t="n">
        <f aca="false">LEN(M702)</f>
        <v>25</v>
      </c>
      <c r="P702" s="14" t="n">
        <f aca="false">IF(N702=0,"",(N702-LEN(SUBSTITUTE(SUBSTITUTE(L702,"G",""),"C","")))/N702)</f>
        <v>0.48</v>
      </c>
      <c r="Q702" s="14" t="n">
        <f aca="false">IF(O702=0,"",(O702-LEN(SUBSTITUTE(SUBSTITUTE(M702,"G",""),"C","")))/O702)</f>
        <v>0.48</v>
      </c>
      <c r="R702" s="5" t="s">
        <v>768</v>
      </c>
      <c r="S702" s="15" t="s">
        <v>1677</v>
      </c>
      <c r="T702" s="5" t="n">
        <v>269</v>
      </c>
      <c r="U702" s="5" t="s">
        <v>1678</v>
      </c>
      <c r="V702" s="5" t="s">
        <v>588</v>
      </c>
      <c r="W702" s="5"/>
      <c r="X702" s="8" t="s">
        <v>1769</v>
      </c>
      <c r="Y702" s="5"/>
    </row>
    <row r="703" customFormat="false" ht="15" hidden="false" customHeight="false" outlineLevel="0" collapsed="false">
      <c r="A703" s="5" t="s">
        <v>7684</v>
      </c>
      <c r="B703" s="5" t="s">
        <v>764</v>
      </c>
      <c r="C703" s="5" t="s">
        <v>765</v>
      </c>
      <c r="D703" s="9" t="s">
        <v>66</v>
      </c>
      <c r="E703" s="5" t="n">
        <v>4</v>
      </c>
      <c r="F703" s="5" t="s">
        <v>7685</v>
      </c>
      <c r="G703" s="13" t="s">
        <v>7686</v>
      </c>
      <c r="H703" s="5" t="s">
        <v>7687</v>
      </c>
      <c r="I703" s="13" t="s">
        <v>7688</v>
      </c>
      <c r="J703" s="5" t="s">
        <v>7689</v>
      </c>
      <c r="K703" s="5" t="s">
        <v>7690</v>
      </c>
      <c r="L703" s="13" t="s">
        <v>7691</v>
      </c>
      <c r="M703" s="13" t="s">
        <v>7692</v>
      </c>
      <c r="N703" s="5" t="n">
        <f aca="false">LEN(L703)</f>
        <v>25</v>
      </c>
      <c r="O703" s="5" t="n">
        <f aca="false">LEN(M703)</f>
        <v>25</v>
      </c>
      <c r="P703" s="14" t="n">
        <f aca="false">IF(N703=0,"",(N703-LEN(SUBSTITUTE(SUBSTITUTE(L703,"G",""),"C","")))/N703)</f>
        <v>0.56</v>
      </c>
      <c r="Q703" s="14" t="n">
        <f aca="false">IF(O703=0,"",(O703-LEN(SUBSTITUTE(SUBSTITUTE(M703,"G",""),"C","")))/O703)</f>
        <v>0.56</v>
      </c>
      <c r="R703" s="5" t="s">
        <v>768</v>
      </c>
      <c r="S703" s="15" t="s">
        <v>1677</v>
      </c>
      <c r="T703" s="5" t="n">
        <v>336</v>
      </c>
      <c r="U703" s="5" t="s">
        <v>1678</v>
      </c>
      <c r="V703" s="5" t="s">
        <v>588</v>
      </c>
      <c r="W703" s="5"/>
      <c r="X703" s="8" t="s">
        <v>1914</v>
      </c>
      <c r="Y703" s="5"/>
    </row>
    <row r="704" customFormat="false" ht="15" hidden="false" customHeight="false" outlineLevel="0" collapsed="false">
      <c r="A704" s="5" t="s">
        <v>7693</v>
      </c>
      <c r="B704" s="5" t="s">
        <v>764</v>
      </c>
      <c r="C704" s="5" t="s">
        <v>765</v>
      </c>
      <c r="D704" s="9" t="s">
        <v>66</v>
      </c>
      <c r="E704" s="5" t="n">
        <v>5</v>
      </c>
      <c r="F704" s="5" t="s">
        <v>7694</v>
      </c>
      <c r="G704" s="13" t="s">
        <v>7695</v>
      </c>
      <c r="H704" s="5" t="s">
        <v>7696</v>
      </c>
      <c r="I704" s="13" t="s">
        <v>7697</v>
      </c>
      <c r="J704" s="5" t="s">
        <v>7698</v>
      </c>
      <c r="K704" s="5" t="s">
        <v>7699</v>
      </c>
      <c r="L704" s="13" t="s">
        <v>7700</v>
      </c>
      <c r="M704" s="13" t="s">
        <v>7701</v>
      </c>
      <c r="N704" s="5" t="n">
        <f aca="false">LEN(L704)</f>
        <v>25</v>
      </c>
      <c r="O704" s="5" t="n">
        <f aca="false">LEN(M704)</f>
        <v>25</v>
      </c>
      <c r="P704" s="14" t="n">
        <f aca="false">IF(N704=0,"",(N704-LEN(SUBSTITUTE(SUBSTITUTE(L704,"G",""),"C","")))/N704)</f>
        <v>0.64</v>
      </c>
      <c r="Q704" s="14" t="n">
        <f aca="false">IF(O704=0,"",(O704-LEN(SUBSTITUTE(SUBSTITUTE(M704,"G",""),"C","")))/O704)</f>
        <v>0.48</v>
      </c>
      <c r="R704" s="5" t="s">
        <v>768</v>
      </c>
      <c r="S704" s="15" t="s">
        <v>1677</v>
      </c>
      <c r="T704" s="5" t="n">
        <v>402</v>
      </c>
      <c r="U704" s="5" t="s">
        <v>1678</v>
      </c>
      <c r="V704" s="5" t="s">
        <v>588</v>
      </c>
      <c r="W704" s="5"/>
      <c r="X704" s="8" t="s">
        <v>1769</v>
      </c>
      <c r="Y704" s="5"/>
    </row>
    <row r="705" customFormat="false" ht="15" hidden="false" customHeight="false" outlineLevel="0" collapsed="false">
      <c r="A705" s="5" t="s">
        <v>7702</v>
      </c>
      <c r="B705" s="5" t="s">
        <v>764</v>
      </c>
      <c r="C705" s="5" t="s">
        <v>765</v>
      </c>
      <c r="D705" s="9" t="s">
        <v>66</v>
      </c>
      <c r="E705" s="5" t="n">
        <v>6</v>
      </c>
      <c r="F705" s="5" t="s">
        <v>7703</v>
      </c>
      <c r="G705" s="13" t="s">
        <v>7704</v>
      </c>
      <c r="H705" s="5" t="s">
        <v>7705</v>
      </c>
      <c r="I705" s="13" t="s">
        <v>7706</v>
      </c>
      <c r="J705" s="5" t="s">
        <v>7707</v>
      </c>
      <c r="K705" s="5" t="s">
        <v>7708</v>
      </c>
      <c r="L705" s="13" t="s">
        <v>7709</v>
      </c>
      <c r="M705" s="13" t="s">
        <v>7710</v>
      </c>
      <c r="N705" s="5" t="n">
        <f aca="false">LEN(L705)</f>
        <v>25</v>
      </c>
      <c r="O705" s="5" t="n">
        <f aca="false">LEN(M705)</f>
        <v>25</v>
      </c>
      <c r="P705" s="14" t="n">
        <f aca="false">IF(N705=0,"",(N705-LEN(SUBSTITUTE(SUBSTITUTE(L705,"G",""),"C","")))/N705)</f>
        <v>0.48</v>
      </c>
      <c r="Q705" s="14" t="n">
        <f aca="false">IF(O705=0,"",(O705-LEN(SUBSTITUTE(SUBSTITUTE(M705,"G",""),"C","")))/O705)</f>
        <v>0.56</v>
      </c>
      <c r="R705" s="5" t="s">
        <v>768</v>
      </c>
      <c r="S705" s="15" t="s">
        <v>1677</v>
      </c>
      <c r="T705" s="5" t="n">
        <v>470</v>
      </c>
      <c r="U705" s="5" t="s">
        <v>1678</v>
      </c>
      <c r="V705" s="5" t="s">
        <v>588</v>
      </c>
      <c r="W705" s="5"/>
      <c r="X705" s="15" t="s">
        <v>1677</v>
      </c>
      <c r="Y705" s="5"/>
    </row>
    <row r="706" customFormat="false" ht="15" hidden="false" customHeight="false" outlineLevel="0" collapsed="false">
      <c r="A706" s="5" t="s">
        <v>7711</v>
      </c>
      <c r="B706" s="5" t="s">
        <v>771</v>
      </c>
      <c r="C706" s="5" t="s">
        <v>772</v>
      </c>
      <c r="D706" s="9" t="s">
        <v>66</v>
      </c>
      <c r="E706" s="5" t="n">
        <v>1</v>
      </c>
      <c r="F706" s="5" t="s">
        <v>7712</v>
      </c>
      <c r="G706" s="13" t="s">
        <v>7713</v>
      </c>
      <c r="H706" s="5" t="s">
        <v>7714</v>
      </c>
      <c r="I706" s="13" t="s">
        <v>7715</v>
      </c>
      <c r="J706" s="5" t="s">
        <v>7716</v>
      </c>
      <c r="K706" s="5" t="s">
        <v>7717</v>
      </c>
      <c r="L706" s="13" t="s">
        <v>7718</v>
      </c>
      <c r="M706" s="13" t="s">
        <v>7719</v>
      </c>
      <c r="N706" s="5" t="n">
        <f aca="false">LEN(L706)</f>
        <v>25</v>
      </c>
      <c r="O706" s="5" t="n">
        <f aca="false">LEN(M706)</f>
        <v>25</v>
      </c>
      <c r="P706" s="14" t="n">
        <f aca="false">IF(N706=0,"",(N706-LEN(SUBSTITUTE(SUBSTITUTE(L706,"G",""),"C","")))/N706)</f>
        <v>0.68</v>
      </c>
      <c r="Q706" s="14" t="n">
        <f aca="false">IF(O706=0,"",(O706-LEN(SUBSTITUTE(SUBSTITUTE(M706,"G",""),"C","")))/O706)</f>
        <v>0.88</v>
      </c>
      <c r="R706" s="5" t="s">
        <v>776</v>
      </c>
      <c r="S706" s="15" t="s">
        <v>1677</v>
      </c>
      <c r="T706" s="5" t="n">
        <v>6</v>
      </c>
      <c r="U706" s="5" t="s">
        <v>1678</v>
      </c>
      <c r="V706" s="5" t="s">
        <v>588</v>
      </c>
      <c r="W706" s="5"/>
      <c r="X706" s="15" t="s">
        <v>1677</v>
      </c>
      <c r="Y706" s="5"/>
    </row>
    <row r="707" customFormat="false" ht="15" hidden="false" customHeight="false" outlineLevel="0" collapsed="false">
      <c r="A707" s="5" t="s">
        <v>7720</v>
      </c>
      <c r="B707" s="5" t="s">
        <v>771</v>
      </c>
      <c r="C707" s="5" t="s">
        <v>772</v>
      </c>
      <c r="D707" s="9" t="s">
        <v>66</v>
      </c>
      <c r="E707" s="5" t="n">
        <v>2</v>
      </c>
      <c r="F707" s="5" t="s">
        <v>7721</v>
      </c>
      <c r="G707" s="13" t="s">
        <v>7722</v>
      </c>
      <c r="H707" s="5" t="s">
        <v>7723</v>
      </c>
      <c r="I707" s="13" t="s">
        <v>7724</v>
      </c>
      <c r="J707" s="5" t="s">
        <v>7725</v>
      </c>
      <c r="K707" s="5" t="s">
        <v>7726</v>
      </c>
      <c r="L707" s="13" t="s">
        <v>7727</v>
      </c>
      <c r="M707" s="13" t="s">
        <v>7728</v>
      </c>
      <c r="N707" s="5" t="n">
        <f aca="false">LEN(L707)</f>
        <v>25</v>
      </c>
      <c r="O707" s="5" t="n">
        <f aca="false">LEN(M707)</f>
        <v>25</v>
      </c>
      <c r="P707" s="14" t="n">
        <f aca="false">IF(N707=0,"",(N707-LEN(SUBSTITUTE(SUBSTITUTE(L707,"G",""),"C","")))/N707)</f>
        <v>0.76</v>
      </c>
      <c r="Q707" s="14" t="n">
        <f aca="false">IF(O707=0,"",(O707-LEN(SUBSTITUTE(SUBSTITUTE(M707,"G",""),"C","")))/O707)</f>
        <v>0.56</v>
      </c>
      <c r="R707" s="5" t="s">
        <v>776</v>
      </c>
      <c r="S707" s="15" t="s">
        <v>1677</v>
      </c>
      <c r="T707" s="5" t="n">
        <v>76</v>
      </c>
      <c r="U707" s="5" t="s">
        <v>1678</v>
      </c>
      <c r="V707" s="5" t="s">
        <v>588</v>
      </c>
      <c r="W707" s="5"/>
      <c r="X707" s="15" t="s">
        <v>1677</v>
      </c>
      <c r="Y707" s="5"/>
    </row>
    <row r="708" customFormat="false" ht="15" hidden="false" customHeight="false" outlineLevel="0" collapsed="false">
      <c r="A708" s="5" t="s">
        <v>7729</v>
      </c>
      <c r="B708" s="5" t="s">
        <v>771</v>
      </c>
      <c r="C708" s="5" t="s">
        <v>772</v>
      </c>
      <c r="D708" s="9" t="s">
        <v>66</v>
      </c>
      <c r="E708" s="5" t="n">
        <v>3</v>
      </c>
      <c r="F708" s="5" t="s">
        <v>7730</v>
      </c>
      <c r="G708" s="13" t="s">
        <v>7731</v>
      </c>
      <c r="H708" s="5" t="s">
        <v>7732</v>
      </c>
      <c r="I708" s="13" t="s">
        <v>7733</v>
      </c>
      <c r="J708" s="5" t="s">
        <v>7734</v>
      </c>
      <c r="K708" s="5" t="s">
        <v>7735</v>
      </c>
      <c r="L708" s="13" t="s">
        <v>7736</v>
      </c>
      <c r="M708" s="13" t="s">
        <v>7737</v>
      </c>
      <c r="N708" s="5" t="n">
        <f aca="false">LEN(L708)</f>
        <v>25</v>
      </c>
      <c r="O708" s="5" t="n">
        <f aca="false">LEN(M708)</f>
        <v>25</v>
      </c>
      <c r="P708" s="14" t="n">
        <f aca="false">IF(N708=0,"",(N708-LEN(SUBSTITUTE(SUBSTITUTE(L708,"G",""),"C","")))/N708)</f>
        <v>0.84</v>
      </c>
      <c r="Q708" s="14" t="n">
        <f aca="false">IF(O708=0,"",(O708-LEN(SUBSTITUTE(SUBSTITUTE(M708,"G",""),"C","")))/O708)</f>
        <v>0.44</v>
      </c>
      <c r="R708" s="5" t="s">
        <v>776</v>
      </c>
      <c r="S708" s="15" t="s">
        <v>1677</v>
      </c>
      <c r="T708" s="5" t="n">
        <v>146</v>
      </c>
      <c r="U708" s="5" t="s">
        <v>1678</v>
      </c>
      <c r="V708" s="5" t="s">
        <v>588</v>
      </c>
      <c r="W708" s="5"/>
      <c r="X708" s="15" t="s">
        <v>1677</v>
      </c>
      <c r="Y708" s="5"/>
    </row>
    <row r="709" customFormat="false" ht="15" hidden="false" customHeight="false" outlineLevel="0" collapsed="false">
      <c r="A709" s="5" t="s">
        <v>7738</v>
      </c>
      <c r="B709" s="5" t="s">
        <v>771</v>
      </c>
      <c r="C709" s="5" t="s">
        <v>772</v>
      </c>
      <c r="D709" s="9" t="s">
        <v>66</v>
      </c>
      <c r="E709" s="5" t="n">
        <v>4</v>
      </c>
      <c r="F709" s="5" t="s">
        <v>7739</v>
      </c>
      <c r="G709" s="13" t="s">
        <v>7740</v>
      </c>
      <c r="H709" s="5" t="s">
        <v>7741</v>
      </c>
      <c r="I709" s="13" t="s">
        <v>7742</v>
      </c>
      <c r="J709" s="5" t="s">
        <v>7743</v>
      </c>
      <c r="K709" s="5" t="s">
        <v>7744</v>
      </c>
      <c r="L709" s="13" t="s">
        <v>7745</v>
      </c>
      <c r="M709" s="13" t="s">
        <v>7746</v>
      </c>
      <c r="N709" s="5" t="n">
        <f aca="false">LEN(L709)</f>
        <v>25</v>
      </c>
      <c r="O709" s="5" t="n">
        <f aca="false">LEN(M709)</f>
        <v>25</v>
      </c>
      <c r="P709" s="14" t="n">
        <f aca="false">IF(N709=0,"",(N709-LEN(SUBSTITUTE(SUBSTITUTE(L709,"G",""),"C","")))/N709)</f>
        <v>0.4</v>
      </c>
      <c r="Q709" s="14" t="n">
        <f aca="false">IF(O709=0,"",(O709-LEN(SUBSTITUTE(SUBSTITUTE(M709,"G",""),"C","")))/O709)</f>
        <v>0.8</v>
      </c>
      <c r="R709" s="5" t="s">
        <v>776</v>
      </c>
      <c r="S709" s="15" t="s">
        <v>1677</v>
      </c>
      <c r="T709" s="5" t="n">
        <v>216</v>
      </c>
      <c r="U709" s="5" t="s">
        <v>1678</v>
      </c>
      <c r="V709" s="5" t="s">
        <v>588</v>
      </c>
      <c r="W709" s="5"/>
      <c r="X709" s="15" t="s">
        <v>1677</v>
      </c>
      <c r="Y709" s="5"/>
    </row>
    <row r="710" customFormat="false" ht="15" hidden="false" customHeight="false" outlineLevel="0" collapsed="false">
      <c r="A710" s="5" t="s">
        <v>7747</v>
      </c>
      <c r="B710" s="5" t="s">
        <v>771</v>
      </c>
      <c r="C710" s="5" t="s">
        <v>772</v>
      </c>
      <c r="D710" s="9" t="s">
        <v>66</v>
      </c>
      <c r="E710" s="5" t="n">
        <v>5</v>
      </c>
      <c r="F710" s="5" t="s">
        <v>7748</v>
      </c>
      <c r="G710" s="13" t="s">
        <v>7749</v>
      </c>
      <c r="H710" s="5" t="s">
        <v>7750</v>
      </c>
      <c r="I710" s="13" t="s">
        <v>7751</v>
      </c>
      <c r="J710" s="5" t="s">
        <v>7752</v>
      </c>
      <c r="K710" s="5" t="s">
        <v>7753</v>
      </c>
      <c r="L710" s="13" t="s">
        <v>7754</v>
      </c>
      <c r="M710" s="13" t="s">
        <v>7755</v>
      </c>
      <c r="N710" s="5" t="n">
        <f aca="false">LEN(L710)</f>
        <v>25</v>
      </c>
      <c r="O710" s="5" t="n">
        <f aca="false">LEN(M710)</f>
        <v>25</v>
      </c>
      <c r="P710" s="14" t="n">
        <f aca="false">IF(N710=0,"",(N710-LEN(SUBSTITUTE(SUBSTITUTE(L710,"G",""),"C","")))/N710)</f>
        <v>0.52</v>
      </c>
      <c r="Q710" s="14" t="n">
        <f aca="false">IF(O710=0,"",(O710-LEN(SUBSTITUTE(SUBSTITUTE(M710,"G",""),"C","")))/O710)</f>
        <v>0.64</v>
      </c>
      <c r="R710" s="5" t="s">
        <v>776</v>
      </c>
      <c r="S710" s="15" t="s">
        <v>1677</v>
      </c>
      <c r="T710" s="5" t="n">
        <v>286</v>
      </c>
      <c r="U710" s="5" t="s">
        <v>1678</v>
      </c>
      <c r="V710" s="5" t="s">
        <v>588</v>
      </c>
      <c r="W710" s="5"/>
      <c r="X710" s="15" t="s">
        <v>1677</v>
      </c>
      <c r="Y710" s="5"/>
    </row>
    <row r="711" customFormat="false" ht="15" hidden="false" customHeight="false" outlineLevel="0" collapsed="false">
      <c r="A711" s="5" t="s">
        <v>7756</v>
      </c>
      <c r="B711" s="5" t="s">
        <v>771</v>
      </c>
      <c r="C711" s="5" t="s">
        <v>772</v>
      </c>
      <c r="D711" s="9" t="s">
        <v>66</v>
      </c>
      <c r="E711" s="5" t="n">
        <v>6</v>
      </c>
      <c r="F711" s="5" t="s">
        <v>7757</v>
      </c>
      <c r="G711" s="13" t="s">
        <v>7758</v>
      </c>
      <c r="H711" s="5" t="s">
        <v>7759</v>
      </c>
      <c r="I711" s="13" t="s">
        <v>7760</v>
      </c>
      <c r="J711" s="5" t="s">
        <v>7761</v>
      </c>
      <c r="K711" s="5" t="s">
        <v>7762</v>
      </c>
      <c r="L711" s="13" t="s">
        <v>7763</v>
      </c>
      <c r="M711" s="13" t="s">
        <v>7764</v>
      </c>
      <c r="N711" s="5" t="n">
        <f aca="false">LEN(L711)</f>
        <v>25</v>
      </c>
      <c r="O711" s="5" t="n">
        <f aca="false">LEN(M711)</f>
        <v>25</v>
      </c>
      <c r="P711" s="14" t="n">
        <f aca="false">IF(N711=0,"",(N711-LEN(SUBSTITUTE(SUBSTITUTE(L711,"G",""),"C","")))/N711)</f>
        <v>0.64</v>
      </c>
      <c r="Q711" s="14" t="n">
        <f aca="false">IF(O711=0,"",(O711-LEN(SUBSTITUTE(SUBSTITUTE(M711,"G",""),"C","")))/O711)</f>
        <v>0.52</v>
      </c>
      <c r="R711" s="5" t="s">
        <v>776</v>
      </c>
      <c r="S711" s="15" t="s">
        <v>1677</v>
      </c>
      <c r="T711" s="5" t="n">
        <v>356</v>
      </c>
      <c r="U711" s="5" t="s">
        <v>1678</v>
      </c>
      <c r="V711" s="5" t="s">
        <v>588</v>
      </c>
      <c r="W711" s="5"/>
      <c r="X711" s="15" t="s">
        <v>1677</v>
      </c>
      <c r="Y711" s="5"/>
    </row>
    <row r="712" customFormat="false" ht="15" hidden="false" customHeight="false" outlineLevel="0" collapsed="false">
      <c r="A712" s="5" t="s">
        <v>7765</v>
      </c>
      <c r="B712" s="5" t="s">
        <v>779</v>
      </c>
      <c r="C712" s="5" t="s">
        <v>780</v>
      </c>
      <c r="D712" s="9" t="s">
        <v>66</v>
      </c>
      <c r="E712" s="5" t="n">
        <v>1</v>
      </c>
      <c r="F712" s="5" t="s">
        <v>7766</v>
      </c>
      <c r="G712" s="13" t="s">
        <v>7767</v>
      </c>
      <c r="H712" s="5" t="s">
        <v>7768</v>
      </c>
      <c r="I712" s="13" t="s">
        <v>7769</v>
      </c>
      <c r="J712" s="5" t="s">
        <v>7770</v>
      </c>
      <c r="K712" s="5" t="s">
        <v>7771</v>
      </c>
      <c r="L712" s="13" t="s">
        <v>7772</v>
      </c>
      <c r="M712" s="13" t="s">
        <v>7773</v>
      </c>
      <c r="N712" s="5" t="n">
        <f aca="false">LEN(L712)</f>
        <v>25</v>
      </c>
      <c r="O712" s="5" t="n">
        <f aca="false">LEN(M712)</f>
        <v>25</v>
      </c>
      <c r="P712" s="14" t="n">
        <f aca="false">IF(N712=0,"",(N712-LEN(SUBSTITUTE(SUBSTITUTE(L712,"G",""),"C","")))/N712)</f>
        <v>0.4</v>
      </c>
      <c r="Q712" s="14" t="n">
        <f aca="false">IF(O712=0,"",(O712-LEN(SUBSTITUTE(SUBSTITUTE(M712,"G",""),"C","")))/O712)</f>
        <v>0.6</v>
      </c>
      <c r="R712" s="5" t="s">
        <v>783</v>
      </c>
      <c r="S712" s="15" t="s">
        <v>1677</v>
      </c>
      <c r="T712" s="5" t="n">
        <v>158</v>
      </c>
      <c r="U712" s="5" t="s">
        <v>1678</v>
      </c>
      <c r="V712" s="5" t="s">
        <v>453</v>
      </c>
      <c r="W712" s="5"/>
      <c r="X712" s="8" t="s">
        <v>1769</v>
      </c>
      <c r="Y712" s="5"/>
    </row>
    <row r="713" customFormat="false" ht="15" hidden="false" customHeight="false" outlineLevel="0" collapsed="false">
      <c r="A713" s="5" t="s">
        <v>7774</v>
      </c>
      <c r="B713" s="5" t="s">
        <v>779</v>
      </c>
      <c r="C713" s="5" t="s">
        <v>780</v>
      </c>
      <c r="D713" s="9" t="s">
        <v>66</v>
      </c>
      <c r="E713" s="5" t="n">
        <v>2</v>
      </c>
      <c r="F713" s="5" t="s">
        <v>7775</v>
      </c>
      <c r="G713" s="13" t="s">
        <v>7776</v>
      </c>
      <c r="H713" s="5" t="s">
        <v>7777</v>
      </c>
      <c r="I713" s="13" t="s">
        <v>7778</v>
      </c>
      <c r="J713" s="5" t="s">
        <v>7779</v>
      </c>
      <c r="K713" s="5" t="s">
        <v>7780</v>
      </c>
      <c r="L713" s="13" t="s">
        <v>7781</v>
      </c>
      <c r="M713" s="13" t="s">
        <v>7782</v>
      </c>
      <c r="N713" s="5" t="n">
        <f aca="false">LEN(L713)</f>
        <v>25</v>
      </c>
      <c r="O713" s="5" t="n">
        <f aca="false">LEN(M713)</f>
        <v>25</v>
      </c>
      <c r="P713" s="14" t="n">
        <f aca="false">IF(N713=0,"",(N713-LEN(SUBSTITUTE(SUBSTITUTE(L713,"G",""),"C","")))/N713)</f>
        <v>0.4</v>
      </c>
      <c r="Q713" s="14" t="n">
        <f aca="false">IF(O713=0,"",(O713-LEN(SUBSTITUTE(SUBSTITUTE(M713,"G",""),"C","")))/O713)</f>
        <v>0.44</v>
      </c>
      <c r="R713" s="5" t="s">
        <v>783</v>
      </c>
      <c r="S713" s="15" t="s">
        <v>1677</v>
      </c>
      <c r="T713" s="5" t="n">
        <v>234</v>
      </c>
      <c r="U713" s="5" t="s">
        <v>1678</v>
      </c>
      <c r="V713" s="5" t="s">
        <v>453</v>
      </c>
      <c r="W713" s="5"/>
      <c r="X713" s="15" t="s">
        <v>1677</v>
      </c>
      <c r="Y713" s="5"/>
    </row>
    <row r="714" customFormat="false" ht="15" hidden="false" customHeight="false" outlineLevel="0" collapsed="false">
      <c r="A714" s="5" t="s">
        <v>7783</v>
      </c>
      <c r="B714" s="5" t="s">
        <v>779</v>
      </c>
      <c r="C714" s="5" t="s">
        <v>780</v>
      </c>
      <c r="D714" s="9" t="s">
        <v>66</v>
      </c>
      <c r="E714" s="5" t="n">
        <v>3</v>
      </c>
      <c r="F714" s="5" t="s">
        <v>7784</v>
      </c>
      <c r="G714" s="13" t="s">
        <v>7785</v>
      </c>
      <c r="H714" s="5" t="s">
        <v>7786</v>
      </c>
      <c r="I714" s="13" t="s">
        <v>7787</v>
      </c>
      <c r="J714" s="5" t="s">
        <v>7788</v>
      </c>
      <c r="K714" s="5" t="s">
        <v>7789</v>
      </c>
      <c r="L714" s="13" t="s">
        <v>7790</v>
      </c>
      <c r="M714" s="13" t="s">
        <v>7791</v>
      </c>
      <c r="N714" s="5" t="n">
        <f aca="false">LEN(L714)</f>
        <v>25</v>
      </c>
      <c r="O714" s="5" t="n">
        <f aca="false">LEN(M714)</f>
        <v>25</v>
      </c>
      <c r="P714" s="14" t="n">
        <f aca="false">IF(N714=0,"",(N714-LEN(SUBSTITUTE(SUBSTITUTE(L714,"G",""),"C","")))/N714)</f>
        <v>0.72</v>
      </c>
      <c r="Q714" s="14" t="n">
        <f aca="false">IF(O714=0,"",(O714-LEN(SUBSTITUTE(SUBSTITUTE(M714,"G",""),"C","")))/O714)</f>
        <v>0.56</v>
      </c>
      <c r="R714" s="5" t="s">
        <v>783</v>
      </c>
      <c r="S714" s="15" t="s">
        <v>1677</v>
      </c>
      <c r="T714" s="5" t="n">
        <v>310</v>
      </c>
      <c r="U714" s="5" t="s">
        <v>1678</v>
      </c>
      <c r="V714" s="5" t="s">
        <v>453</v>
      </c>
      <c r="W714" s="5"/>
      <c r="X714" s="15" t="s">
        <v>1677</v>
      </c>
      <c r="Y714" s="5"/>
    </row>
    <row r="715" customFormat="false" ht="15" hidden="false" customHeight="false" outlineLevel="0" collapsed="false">
      <c r="A715" s="5" t="s">
        <v>7792</v>
      </c>
      <c r="B715" s="5" t="s">
        <v>779</v>
      </c>
      <c r="C715" s="5" t="s">
        <v>780</v>
      </c>
      <c r="D715" s="9" t="s">
        <v>66</v>
      </c>
      <c r="E715" s="5" t="n">
        <v>4</v>
      </c>
      <c r="F715" s="5" t="s">
        <v>7793</v>
      </c>
      <c r="G715" s="13" t="s">
        <v>7794</v>
      </c>
      <c r="H715" s="5" t="s">
        <v>7795</v>
      </c>
      <c r="I715" s="13" t="s">
        <v>7796</v>
      </c>
      <c r="J715" s="5" t="s">
        <v>7797</v>
      </c>
      <c r="K715" s="5" t="s">
        <v>7798</v>
      </c>
      <c r="L715" s="13" t="s">
        <v>7799</v>
      </c>
      <c r="M715" s="13" t="s">
        <v>7800</v>
      </c>
      <c r="N715" s="5" t="n">
        <f aca="false">LEN(L715)</f>
        <v>25</v>
      </c>
      <c r="O715" s="5" t="n">
        <f aca="false">LEN(M715)</f>
        <v>25</v>
      </c>
      <c r="P715" s="14" t="n">
        <f aca="false">IF(N715=0,"",(N715-LEN(SUBSTITUTE(SUBSTITUTE(L715,"G",""),"C","")))/N715)</f>
        <v>0.44</v>
      </c>
      <c r="Q715" s="14" t="n">
        <f aca="false">IF(O715=0,"",(O715-LEN(SUBSTITUTE(SUBSTITUTE(M715,"G",""),"C","")))/O715)</f>
        <v>0.52</v>
      </c>
      <c r="R715" s="5" t="s">
        <v>783</v>
      </c>
      <c r="S715" s="15" t="s">
        <v>1677</v>
      </c>
      <c r="T715" s="5" t="n">
        <v>386</v>
      </c>
      <c r="U715" s="5" t="s">
        <v>1678</v>
      </c>
      <c r="V715" s="5" t="s">
        <v>453</v>
      </c>
      <c r="W715" s="5"/>
      <c r="X715" s="15" t="s">
        <v>1677</v>
      </c>
      <c r="Y715" s="5"/>
    </row>
    <row r="716" customFormat="false" ht="15" hidden="false" customHeight="false" outlineLevel="0" collapsed="false">
      <c r="A716" s="5" t="s">
        <v>7801</v>
      </c>
      <c r="B716" s="5" t="s">
        <v>779</v>
      </c>
      <c r="C716" s="5" t="s">
        <v>780</v>
      </c>
      <c r="D716" s="9" t="s">
        <v>66</v>
      </c>
      <c r="E716" s="5" t="n">
        <v>5</v>
      </c>
      <c r="F716" s="5" t="s">
        <v>7802</v>
      </c>
      <c r="G716" s="13" t="s">
        <v>7803</v>
      </c>
      <c r="H716" s="5" t="s">
        <v>7804</v>
      </c>
      <c r="I716" s="13" t="s">
        <v>7805</v>
      </c>
      <c r="J716" s="5" t="s">
        <v>7806</v>
      </c>
      <c r="K716" s="5" t="s">
        <v>7807</v>
      </c>
      <c r="L716" s="13" t="s">
        <v>7808</v>
      </c>
      <c r="M716" s="13" t="s">
        <v>7809</v>
      </c>
      <c r="N716" s="5" t="n">
        <f aca="false">LEN(L716)</f>
        <v>25</v>
      </c>
      <c r="O716" s="5" t="n">
        <f aca="false">LEN(M716)</f>
        <v>25</v>
      </c>
      <c r="P716" s="14" t="n">
        <f aca="false">IF(N716=0,"",(N716-LEN(SUBSTITUTE(SUBSTITUTE(L716,"G",""),"C","")))/N716)</f>
        <v>0.32</v>
      </c>
      <c r="Q716" s="14" t="n">
        <f aca="false">IF(O716=0,"",(O716-LEN(SUBSTITUTE(SUBSTITUTE(M716,"G",""),"C","")))/O716)</f>
        <v>0.24</v>
      </c>
      <c r="R716" s="5" t="s">
        <v>783</v>
      </c>
      <c r="S716" s="15" t="s">
        <v>1677</v>
      </c>
      <c r="T716" s="5" t="n">
        <v>462</v>
      </c>
      <c r="U716" s="5" t="s">
        <v>1678</v>
      </c>
      <c r="V716" s="5" t="s">
        <v>453</v>
      </c>
      <c r="W716" s="5"/>
      <c r="X716" s="8" t="s">
        <v>1914</v>
      </c>
      <c r="Y716" s="5"/>
    </row>
    <row r="717" customFormat="false" ht="15" hidden="false" customHeight="false" outlineLevel="0" collapsed="false">
      <c r="A717" s="5" t="s">
        <v>7810</v>
      </c>
      <c r="B717" s="5" t="s">
        <v>779</v>
      </c>
      <c r="C717" s="5" t="s">
        <v>780</v>
      </c>
      <c r="D717" s="9" t="s">
        <v>66</v>
      </c>
      <c r="E717" s="5" t="n">
        <v>6</v>
      </c>
      <c r="F717" s="5" t="s">
        <v>7811</v>
      </c>
      <c r="G717" s="13" t="s">
        <v>7812</v>
      </c>
      <c r="H717" s="5" t="s">
        <v>7813</v>
      </c>
      <c r="I717" s="13" t="s">
        <v>7814</v>
      </c>
      <c r="J717" s="5" t="s">
        <v>7815</v>
      </c>
      <c r="K717" s="5" t="s">
        <v>7816</v>
      </c>
      <c r="L717" s="13" t="s">
        <v>7817</v>
      </c>
      <c r="M717" s="13" t="s">
        <v>7818</v>
      </c>
      <c r="N717" s="5" t="n">
        <f aca="false">LEN(L717)</f>
        <v>25</v>
      </c>
      <c r="O717" s="5" t="n">
        <f aca="false">LEN(M717)</f>
        <v>25</v>
      </c>
      <c r="P717" s="14" t="n">
        <f aca="false">IF(N717=0,"",(N717-LEN(SUBSTITUTE(SUBSTITUTE(L717,"G",""),"C","")))/N717)</f>
        <v>0.4</v>
      </c>
      <c r="Q717" s="14" t="n">
        <f aca="false">IF(O717=0,"",(O717-LEN(SUBSTITUTE(SUBSTITUTE(M717,"G",""),"C","")))/O717)</f>
        <v>0.48</v>
      </c>
      <c r="R717" s="5" t="s">
        <v>783</v>
      </c>
      <c r="S717" s="15" t="s">
        <v>1677</v>
      </c>
      <c r="T717" s="5" t="n">
        <v>538</v>
      </c>
      <c r="U717" s="5" t="s">
        <v>1678</v>
      </c>
      <c r="V717" s="5" t="s">
        <v>453</v>
      </c>
      <c r="W717" s="5"/>
      <c r="X717" s="15" t="s">
        <v>1677</v>
      </c>
      <c r="Y717" s="5"/>
    </row>
    <row r="718" customFormat="false" ht="15" hidden="false" customHeight="false" outlineLevel="0" collapsed="false">
      <c r="A718" s="5" t="s">
        <v>7819</v>
      </c>
      <c r="B718" s="5" t="s">
        <v>779</v>
      </c>
      <c r="C718" s="5" t="s">
        <v>780</v>
      </c>
      <c r="D718" s="9" t="s">
        <v>66</v>
      </c>
      <c r="E718" s="5" t="n">
        <v>7</v>
      </c>
      <c r="F718" s="5" t="s">
        <v>7820</v>
      </c>
      <c r="G718" s="13" t="s">
        <v>7821</v>
      </c>
      <c r="H718" s="5" t="s">
        <v>7822</v>
      </c>
      <c r="I718" s="13" t="s">
        <v>7823</v>
      </c>
      <c r="J718" s="5" t="s">
        <v>7824</v>
      </c>
      <c r="K718" s="5" t="s">
        <v>7825</v>
      </c>
      <c r="L718" s="13" t="s">
        <v>7826</v>
      </c>
      <c r="M718" s="13" t="s">
        <v>7827</v>
      </c>
      <c r="N718" s="5" t="n">
        <f aca="false">LEN(L718)</f>
        <v>25</v>
      </c>
      <c r="O718" s="5" t="n">
        <f aca="false">LEN(M718)</f>
        <v>25</v>
      </c>
      <c r="P718" s="14" t="n">
        <f aca="false">IF(N718=0,"",(N718-LEN(SUBSTITUTE(SUBSTITUTE(L718,"G",""),"C","")))/N718)</f>
        <v>0.52</v>
      </c>
      <c r="Q718" s="14" t="n">
        <f aca="false">IF(O718=0,"",(O718-LEN(SUBSTITUTE(SUBSTITUTE(M718,"G",""),"C","")))/O718)</f>
        <v>0.44</v>
      </c>
      <c r="R718" s="5" t="s">
        <v>783</v>
      </c>
      <c r="S718" s="15" t="s">
        <v>1677</v>
      </c>
      <c r="T718" s="5" t="n">
        <v>614</v>
      </c>
      <c r="U718" s="5" t="s">
        <v>1678</v>
      </c>
      <c r="V718" s="5" t="s">
        <v>453</v>
      </c>
      <c r="W718" s="5"/>
      <c r="X718" s="8" t="s">
        <v>1914</v>
      </c>
      <c r="Y718" s="5"/>
    </row>
    <row r="719" customFormat="false" ht="15" hidden="false" customHeight="false" outlineLevel="0" collapsed="false">
      <c r="A719" s="5" t="s">
        <v>7828</v>
      </c>
      <c r="B719" s="5" t="s">
        <v>779</v>
      </c>
      <c r="C719" s="5" t="s">
        <v>780</v>
      </c>
      <c r="D719" s="9" t="s">
        <v>66</v>
      </c>
      <c r="E719" s="5" t="n">
        <v>8</v>
      </c>
      <c r="F719" s="5" t="s">
        <v>7829</v>
      </c>
      <c r="G719" s="13" t="s">
        <v>7830</v>
      </c>
      <c r="H719" s="5" t="s">
        <v>7831</v>
      </c>
      <c r="I719" s="13" t="s">
        <v>7832</v>
      </c>
      <c r="J719" s="5" t="s">
        <v>7833</v>
      </c>
      <c r="K719" s="5" t="s">
        <v>7834</v>
      </c>
      <c r="L719" s="13" t="s">
        <v>7835</v>
      </c>
      <c r="M719" s="13" t="s">
        <v>7836</v>
      </c>
      <c r="N719" s="5" t="n">
        <f aca="false">LEN(L719)</f>
        <v>25</v>
      </c>
      <c r="O719" s="5" t="n">
        <f aca="false">LEN(M719)</f>
        <v>25</v>
      </c>
      <c r="P719" s="14" t="n">
        <f aca="false">IF(N719=0,"",(N719-LEN(SUBSTITUTE(SUBSTITUTE(L719,"G",""),"C","")))/N719)</f>
        <v>0.4</v>
      </c>
      <c r="Q719" s="14" t="n">
        <f aca="false">IF(O719=0,"",(O719-LEN(SUBSTITUTE(SUBSTITUTE(M719,"G",""),"C","")))/O719)</f>
        <v>0.52</v>
      </c>
      <c r="R719" s="5" t="s">
        <v>783</v>
      </c>
      <c r="S719" s="15" t="s">
        <v>1677</v>
      </c>
      <c r="T719" s="5" t="n">
        <v>690</v>
      </c>
      <c r="U719" s="5" t="s">
        <v>1678</v>
      </c>
      <c r="V719" s="5" t="s">
        <v>453</v>
      </c>
      <c r="W719" s="5"/>
      <c r="X719" s="15" t="s">
        <v>1677</v>
      </c>
      <c r="Y719" s="5"/>
    </row>
    <row r="720" customFormat="false" ht="15" hidden="false" customHeight="false" outlineLevel="0" collapsed="false">
      <c r="A720" s="5" t="s">
        <v>7837</v>
      </c>
      <c r="B720" s="5" t="s">
        <v>787</v>
      </c>
      <c r="C720" s="5" t="s">
        <v>788</v>
      </c>
      <c r="D720" s="9" t="s">
        <v>66</v>
      </c>
      <c r="E720" s="5" t="n">
        <v>1</v>
      </c>
      <c r="F720" s="5" t="s">
        <v>7838</v>
      </c>
      <c r="G720" s="13" t="s">
        <v>7839</v>
      </c>
      <c r="H720" s="5" t="s">
        <v>7840</v>
      </c>
      <c r="I720" s="13" t="s">
        <v>7841</v>
      </c>
      <c r="J720" s="5" t="s">
        <v>7842</v>
      </c>
      <c r="K720" s="5" t="s">
        <v>7843</v>
      </c>
      <c r="L720" s="13" t="s">
        <v>7844</v>
      </c>
      <c r="M720" s="13" t="s">
        <v>7845</v>
      </c>
      <c r="N720" s="5" t="n">
        <f aca="false">LEN(L720)</f>
        <v>25</v>
      </c>
      <c r="O720" s="5" t="n">
        <f aca="false">LEN(M720)</f>
        <v>25</v>
      </c>
      <c r="P720" s="14" t="n">
        <f aca="false">IF(N720=0,"",(N720-LEN(SUBSTITUTE(SUBSTITUTE(L720,"G",""),"C","")))/N720)</f>
        <v>0.4</v>
      </c>
      <c r="Q720" s="14" t="n">
        <f aca="false">IF(O720=0,"",(O720-LEN(SUBSTITUTE(SUBSTITUTE(M720,"G",""),"C","")))/O720)</f>
        <v>0.32</v>
      </c>
      <c r="R720" s="5" t="s">
        <v>792</v>
      </c>
      <c r="S720" s="15" t="s">
        <v>1677</v>
      </c>
      <c r="T720" s="5" t="n">
        <v>14</v>
      </c>
      <c r="U720" s="5" t="s">
        <v>2986</v>
      </c>
      <c r="V720" s="5" t="s">
        <v>588</v>
      </c>
      <c r="W720" s="5"/>
      <c r="X720" s="15" t="s">
        <v>1677</v>
      </c>
      <c r="Y720" s="5"/>
    </row>
    <row r="721" customFormat="false" ht="15" hidden="false" customHeight="false" outlineLevel="0" collapsed="false">
      <c r="A721" s="5" t="s">
        <v>7846</v>
      </c>
      <c r="B721" s="5" t="s">
        <v>787</v>
      </c>
      <c r="C721" s="5" t="s">
        <v>788</v>
      </c>
      <c r="D721" s="9" t="s">
        <v>66</v>
      </c>
      <c r="E721" s="5" t="n">
        <v>2</v>
      </c>
      <c r="F721" s="5" t="s">
        <v>7847</v>
      </c>
      <c r="G721" s="13" t="s">
        <v>7848</v>
      </c>
      <c r="H721" s="5" t="s">
        <v>7849</v>
      </c>
      <c r="I721" s="13" t="s">
        <v>7850</v>
      </c>
      <c r="J721" s="5" t="s">
        <v>7851</v>
      </c>
      <c r="K721" s="5" t="s">
        <v>7852</v>
      </c>
      <c r="L721" s="13" t="s">
        <v>7853</v>
      </c>
      <c r="M721" s="13" t="s">
        <v>7854</v>
      </c>
      <c r="N721" s="5" t="n">
        <f aca="false">LEN(L721)</f>
        <v>25</v>
      </c>
      <c r="O721" s="5" t="n">
        <f aca="false">LEN(M721)</f>
        <v>25</v>
      </c>
      <c r="P721" s="14" t="n">
        <f aca="false">IF(N721=0,"",(N721-LEN(SUBSTITUTE(SUBSTITUTE(L721,"G",""),"C","")))/N721)</f>
        <v>0.4</v>
      </c>
      <c r="Q721" s="14" t="n">
        <f aca="false">IF(O721=0,"",(O721-LEN(SUBSTITUTE(SUBSTITUTE(M721,"G",""),"C","")))/O721)</f>
        <v>0.36</v>
      </c>
      <c r="R721" s="5" t="s">
        <v>792</v>
      </c>
      <c r="S721" s="15" t="s">
        <v>1677</v>
      </c>
      <c r="T721" s="5" t="n">
        <v>22</v>
      </c>
      <c r="U721" s="5" t="s">
        <v>2986</v>
      </c>
      <c r="V721" s="5" t="s">
        <v>588</v>
      </c>
      <c r="W721" s="5"/>
      <c r="X721" s="15" t="s">
        <v>1677</v>
      </c>
      <c r="Y721" s="5"/>
    </row>
    <row r="722" customFormat="false" ht="15" hidden="false" customHeight="false" outlineLevel="0" collapsed="false">
      <c r="A722" s="5" t="s">
        <v>7855</v>
      </c>
      <c r="B722" s="5" t="s">
        <v>787</v>
      </c>
      <c r="C722" s="5" t="s">
        <v>788</v>
      </c>
      <c r="D722" s="9" t="s">
        <v>66</v>
      </c>
      <c r="E722" s="5" t="n">
        <v>3</v>
      </c>
      <c r="F722" s="5" t="s">
        <v>7856</v>
      </c>
      <c r="G722" s="13" t="s">
        <v>7857</v>
      </c>
      <c r="H722" s="5" t="s">
        <v>7858</v>
      </c>
      <c r="I722" s="13" t="s">
        <v>7859</v>
      </c>
      <c r="J722" s="5" t="s">
        <v>7860</v>
      </c>
      <c r="K722" s="5" t="s">
        <v>7861</v>
      </c>
      <c r="L722" s="13" t="s">
        <v>7862</v>
      </c>
      <c r="M722" s="13" t="s">
        <v>7863</v>
      </c>
      <c r="N722" s="5" t="n">
        <f aca="false">LEN(L722)</f>
        <v>25</v>
      </c>
      <c r="O722" s="5" t="n">
        <f aca="false">LEN(M722)</f>
        <v>25</v>
      </c>
      <c r="P722" s="14" t="n">
        <f aca="false">IF(N722=0,"",(N722-LEN(SUBSTITUTE(SUBSTITUTE(L722,"G",""),"C","")))/N722)</f>
        <v>0.36</v>
      </c>
      <c r="Q722" s="14" t="n">
        <f aca="false">IF(O722=0,"",(O722-LEN(SUBSTITUTE(SUBSTITUTE(M722,"G",""),"C","")))/O722)</f>
        <v>0.36</v>
      </c>
      <c r="R722" s="5" t="s">
        <v>792</v>
      </c>
      <c r="S722" s="15" t="s">
        <v>1677</v>
      </c>
      <c r="T722" s="5" t="n">
        <v>26</v>
      </c>
      <c r="U722" s="5" t="s">
        <v>2986</v>
      </c>
      <c r="V722" s="5" t="s">
        <v>588</v>
      </c>
      <c r="W722" s="5"/>
      <c r="X722" s="15" t="s">
        <v>1677</v>
      </c>
      <c r="Y722" s="5"/>
    </row>
    <row r="723" customFormat="false" ht="15" hidden="false" customHeight="false" outlineLevel="0" collapsed="false">
      <c r="A723" s="5" t="s">
        <v>7864</v>
      </c>
      <c r="B723" s="5" t="s">
        <v>787</v>
      </c>
      <c r="C723" s="5" t="s">
        <v>788</v>
      </c>
      <c r="D723" s="9" t="s">
        <v>66</v>
      </c>
      <c r="E723" s="5" t="n">
        <v>4</v>
      </c>
      <c r="F723" s="5" t="s">
        <v>7865</v>
      </c>
      <c r="G723" s="13" t="s">
        <v>7866</v>
      </c>
      <c r="H723" s="5" t="s">
        <v>7867</v>
      </c>
      <c r="I723" s="13" t="s">
        <v>7868</v>
      </c>
      <c r="J723" s="5" t="s">
        <v>7869</v>
      </c>
      <c r="K723" s="5" t="s">
        <v>7870</v>
      </c>
      <c r="L723" s="13" t="s">
        <v>7871</v>
      </c>
      <c r="M723" s="13" t="s">
        <v>7872</v>
      </c>
      <c r="N723" s="5" t="n">
        <f aca="false">LEN(L723)</f>
        <v>25</v>
      </c>
      <c r="O723" s="5" t="n">
        <f aca="false">LEN(M723)</f>
        <v>25</v>
      </c>
      <c r="P723" s="14" t="n">
        <f aca="false">IF(N723=0,"",(N723-LEN(SUBSTITUTE(SUBSTITUTE(L723,"G",""),"C","")))/N723)</f>
        <v>0.36</v>
      </c>
      <c r="Q723" s="14" t="n">
        <f aca="false">IF(O723=0,"",(O723-LEN(SUBSTITUTE(SUBSTITUTE(M723,"G",""),"C","")))/O723)</f>
        <v>0.32</v>
      </c>
      <c r="R723" s="5" t="s">
        <v>792</v>
      </c>
      <c r="S723" s="15" t="s">
        <v>1677</v>
      </c>
      <c r="T723" s="5" t="n">
        <v>30</v>
      </c>
      <c r="U723" s="5" t="s">
        <v>2986</v>
      </c>
      <c r="V723" s="5" t="s">
        <v>588</v>
      </c>
      <c r="W723" s="5"/>
      <c r="X723" s="15" t="s">
        <v>1677</v>
      </c>
      <c r="Y723" s="5"/>
    </row>
    <row r="724" customFormat="false" ht="15" hidden="false" customHeight="false" outlineLevel="0" collapsed="false">
      <c r="A724" s="5" t="s">
        <v>7873</v>
      </c>
      <c r="B724" s="5" t="s">
        <v>787</v>
      </c>
      <c r="C724" s="5" t="s">
        <v>788</v>
      </c>
      <c r="D724" s="9" t="s">
        <v>66</v>
      </c>
      <c r="E724" s="5" t="n">
        <v>5</v>
      </c>
      <c r="F724" s="5" t="s">
        <v>7874</v>
      </c>
      <c r="G724" s="13" t="s">
        <v>7875</v>
      </c>
      <c r="H724" s="5" t="s">
        <v>7876</v>
      </c>
      <c r="I724" s="13" t="s">
        <v>7877</v>
      </c>
      <c r="J724" s="5" t="s">
        <v>7878</v>
      </c>
      <c r="K724" s="5" t="s">
        <v>7879</v>
      </c>
      <c r="L724" s="13" t="s">
        <v>7880</v>
      </c>
      <c r="M724" s="13" t="s">
        <v>7881</v>
      </c>
      <c r="N724" s="5" t="n">
        <f aca="false">LEN(L724)</f>
        <v>25</v>
      </c>
      <c r="O724" s="5" t="n">
        <f aca="false">LEN(M724)</f>
        <v>25</v>
      </c>
      <c r="P724" s="14" t="n">
        <f aca="false">IF(N724=0,"",(N724-LEN(SUBSTITUTE(SUBSTITUTE(L724,"G",""),"C","")))/N724)</f>
        <v>0.36</v>
      </c>
      <c r="Q724" s="14" t="n">
        <f aca="false">IF(O724=0,"",(O724-LEN(SUBSTITUTE(SUBSTITUTE(M724,"G",""),"C","")))/O724)</f>
        <v>0.24</v>
      </c>
      <c r="R724" s="5" t="s">
        <v>792</v>
      </c>
      <c r="S724" s="15" t="s">
        <v>1677</v>
      </c>
      <c r="T724" s="5" t="n">
        <v>46</v>
      </c>
      <c r="U724" s="5" t="s">
        <v>1678</v>
      </c>
      <c r="V724" s="5" t="s">
        <v>588</v>
      </c>
      <c r="W724" s="5"/>
      <c r="X724" s="15" t="s">
        <v>1677</v>
      </c>
      <c r="Y724" s="5"/>
    </row>
    <row r="725" customFormat="false" ht="15" hidden="false" customHeight="false" outlineLevel="0" collapsed="false">
      <c r="A725" s="5" t="s">
        <v>7882</v>
      </c>
      <c r="B725" s="5" t="s">
        <v>787</v>
      </c>
      <c r="C725" s="5" t="s">
        <v>788</v>
      </c>
      <c r="D725" s="9" t="s">
        <v>66</v>
      </c>
      <c r="E725" s="5" t="n">
        <v>6</v>
      </c>
      <c r="F725" s="5" t="s">
        <v>7883</v>
      </c>
      <c r="G725" s="13" t="s">
        <v>7884</v>
      </c>
      <c r="H725" s="5" t="s">
        <v>7885</v>
      </c>
      <c r="I725" s="13" t="s">
        <v>7886</v>
      </c>
      <c r="J725" s="5" t="s">
        <v>7887</v>
      </c>
      <c r="K725" s="5" t="s">
        <v>7888</v>
      </c>
      <c r="L725" s="13" t="s">
        <v>7889</v>
      </c>
      <c r="M725" s="13" t="s">
        <v>7890</v>
      </c>
      <c r="N725" s="5" t="n">
        <f aca="false">LEN(L725)</f>
        <v>25</v>
      </c>
      <c r="O725" s="5" t="n">
        <f aca="false">LEN(M725)</f>
        <v>25</v>
      </c>
      <c r="P725" s="14" t="n">
        <f aca="false">IF(N725=0,"",(N725-LEN(SUBSTITUTE(SUBSTITUTE(L725,"G",""),"C","")))/N725)</f>
        <v>0.4</v>
      </c>
      <c r="Q725" s="14" t="n">
        <f aca="false">IF(O725=0,"",(O725-LEN(SUBSTITUTE(SUBSTITUTE(M725,"G",""),"C","")))/O725)</f>
        <v>0.36</v>
      </c>
      <c r="R725" s="5" t="s">
        <v>792</v>
      </c>
      <c r="S725" s="15" t="s">
        <v>1677</v>
      </c>
      <c r="T725" s="5" t="n">
        <v>216</v>
      </c>
      <c r="U725" s="5" t="s">
        <v>2986</v>
      </c>
      <c r="V725" s="5" t="s">
        <v>588</v>
      </c>
      <c r="W725" s="5"/>
      <c r="X725" s="15" t="s">
        <v>1677</v>
      </c>
      <c r="Y725" s="5"/>
    </row>
    <row r="726" customFormat="false" ht="15" hidden="false" customHeight="false" outlineLevel="0" collapsed="false">
      <c r="A726" s="5" t="s">
        <v>7891</v>
      </c>
      <c r="B726" s="5" t="s">
        <v>794</v>
      </c>
      <c r="C726" s="5" t="s">
        <v>795</v>
      </c>
      <c r="D726" s="9" t="s">
        <v>66</v>
      </c>
      <c r="E726" s="5" t="n">
        <v>1</v>
      </c>
      <c r="F726" s="5" t="s">
        <v>7892</v>
      </c>
      <c r="G726" s="13" t="s">
        <v>7893</v>
      </c>
      <c r="H726" s="5" t="s">
        <v>7894</v>
      </c>
      <c r="I726" s="13" t="s">
        <v>7895</v>
      </c>
      <c r="J726" s="5" t="s">
        <v>7896</v>
      </c>
      <c r="K726" s="5" t="s">
        <v>7897</v>
      </c>
      <c r="L726" s="13" t="s">
        <v>7898</v>
      </c>
      <c r="M726" s="13" t="s">
        <v>7899</v>
      </c>
      <c r="N726" s="5" t="n">
        <f aca="false">LEN(L726)</f>
        <v>25</v>
      </c>
      <c r="O726" s="5" t="n">
        <f aca="false">LEN(M726)</f>
        <v>25</v>
      </c>
      <c r="P726" s="14" t="n">
        <f aca="false">IF(N726=0,"",(N726-LEN(SUBSTITUTE(SUBSTITUTE(L726,"G",""),"C","")))/N726)</f>
        <v>0.6</v>
      </c>
      <c r="Q726" s="14" t="n">
        <f aca="false">IF(O726=0,"",(O726-LEN(SUBSTITUTE(SUBSTITUTE(M726,"G",""),"C","")))/O726)</f>
        <v>0.72</v>
      </c>
      <c r="R726" s="5"/>
      <c r="S726" s="8" t="s">
        <v>2131</v>
      </c>
      <c r="T726" s="5"/>
      <c r="U726" s="5" t="s">
        <v>2986</v>
      </c>
      <c r="V726" s="5" t="s">
        <v>154</v>
      </c>
      <c r="W726" s="5"/>
      <c r="X726" s="15" t="s">
        <v>1677</v>
      </c>
      <c r="Y726" s="5"/>
    </row>
    <row r="727" customFormat="false" ht="15" hidden="false" customHeight="false" outlineLevel="0" collapsed="false">
      <c r="A727" s="5" t="s">
        <v>7900</v>
      </c>
      <c r="B727" s="5" t="s">
        <v>794</v>
      </c>
      <c r="C727" s="5" t="s">
        <v>795</v>
      </c>
      <c r="D727" s="9" t="s">
        <v>66</v>
      </c>
      <c r="E727" s="5" t="n">
        <v>2</v>
      </c>
      <c r="F727" s="5" t="s">
        <v>7901</v>
      </c>
      <c r="G727" s="13" t="s">
        <v>7902</v>
      </c>
      <c r="H727" s="5" t="s">
        <v>7903</v>
      </c>
      <c r="I727" s="13" t="s">
        <v>7904</v>
      </c>
      <c r="J727" s="5" t="s">
        <v>7905</v>
      </c>
      <c r="K727" s="5" t="s">
        <v>7906</v>
      </c>
      <c r="L727" s="13" t="s">
        <v>7907</v>
      </c>
      <c r="M727" s="13" t="s">
        <v>7908</v>
      </c>
      <c r="N727" s="5" t="n">
        <f aca="false">LEN(L727)</f>
        <v>25</v>
      </c>
      <c r="O727" s="5" t="n">
        <f aca="false">LEN(M727)</f>
        <v>25</v>
      </c>
      <c r="P727" s="14" t="n">
        <f aca="false">IF(N727=0,"",(N727-LEN(SUBSTITUTE(SUBSTITUTE(L727,"G",""),"C","")))/N727)</f>
        <v>0.72</v>
      </c>
      <c r="Q727" s="14" t="n">
        <f aca="false">IF(O727=0,"",(O727-LEN(SUBSTITUTE(SUBSTITUTE(M727,"G",""),"C","")))/O727)</f>
        <v>0.56</v>
      </c>
      <c r="R727" s="5"/>
      <c r="S727" s="8" t="s">
        <v>2131</v>
      </c>
      <c r="T727" s="5"/>
      <c r="U727" s="5" t="s">
        <v>2986</v>
      </c>
      <c r="V727" s="5" t="s">
        <v>154</v>
      </c>
      <c r="W727" s="5"/>
      <c r="X727" s="15" t="s">
        <v>1677</v>
      </c>
      <c r="Y727" s="5"/>
    </row>
    <row r="728" customFormat="false" ht="15" hidden="false" customHeight="false" outlineLevel="0" collapsed="false">
      <c r="A728" s="5" t="s">
        <v>7909</v>
      </c>
      <c r="B728" s="5" t="s">
        <v>794</v>
      </c>
      <c r="C728" s="5" t="s">
        <v>795</v>
      </c>
      <c r="D728" s="9" t="s">
        <v>66</v>
      </c>
      <c r="E728" s="5" t="n">
        <v>3</v>
      </c>
      <c r="F728" s="5" t="s">
        <v>7910</v>
      </c>
      <c r="G728" s="13" t="s">
        <v>7911</v>
      </c>
      <c r="H728" s="5" t="s">
        <v>7912</v>
      </c>
      <c r="I728" s="13" t="s">
        <v>7913</v>
      </c>
      <c r="J728" s="5" t="s">
        <v>7914</v>
      </c>
      <c r="K728" s="5" t="s">
        <v>7915</v>
      </c>
      <c r="L728" s="13" t="s">
        <v>7916</v>
      </c>
      <c r="M728" s="13" t="s">
        <v>7917</v>
      </c>
      <c r="N728" s="5" t="n">
        <f aca="false">LEN(L728)</f>
        <v>25</v>
      </c>
      <c r="O728" s="5" t="n">
        <f aca="false">LEN(M728)</f>
        <v>25</v>
      </c>
      <c r="P728" s="14" t="n">
        <f aca="false">IF(N728=0,"",(N728-LEN(SUBSTITUTE(SUBSTITUTE(L728,"G",""),"C","")))/N728)</f>
        <v>0.68</v>
      </c>
      <c r="Q728" s="14" t="n">
        <f aca="false">IF(O728=0,"",(O728-LEN(SUBSTITUTE(SUBSTITUTE(M728,"G",""),"C","")))/O728)</f>
        <v>0.52</v>
      </c>
      <c r="R728" s="5"/>
      <c r="S728" s="8" t="s">
        <v>2131</v>
      </c>
      <c r="T728" s="5"/>
      <c r="U728" s="5" t="s">
        <v>2986</v>
      </c>
      <c r="V728" s="5" t="s">
        <v>154</v>
      </c>
      <c r="W728" s="5"/>
      <c r="X728" s="15" t="s">
        <v>1677</v>
      </c>
      <c r="Y728" s="5"/>
    </row>
    <row r="729" customFormat="false" ht="15" hidden="false" customHeight="false" outlineLevel="0" collapsed="false">
      <c r="A729" s="5" t="s">
        <v>7918</v>
      </c>
      <c r="B729" s="5" t="s">
        <v>794</v>
      </c>
      <c r="C729" s="5" t="s">
        <v>795</v>
      </c>
      <c r="D729" s="9" t="s">
        <v>66</v>
      </c>
      <c r="E729" s="5" t="n">
        <v>4</v>
      </c>
      <c r="F729" s="5" t="s">
        <v>7919</v>
      </c>
      <c r="G729" s="13" t="s">
        <v>7920</v>
      </c>
      <c r="H729" s="5" t="s">
        <v>7921</v>
      </c>
      <c r="I729" s="13" t="s">
        <v>7922</v>
      </c>
      <c r="J729" s="5" t="s">
        <v>7923</v>
      </c>
      <c r="K729" s="5" t="s">
        <v>7924</v>
      </c>
      <c r="L729" s="13" t="s">
        <v>7925</v>
      </c>
      <c r="M729" s="13" t="s">
        <v>7926</v>
      </c>
      <c r="N729" s="5" t="n">
        <f aca="false">LEN(L729)</f>
        <v>25</v>
      </c>
      <c r="O729" s="5" t="n">
        <f aca="false">LEN(M729)</f>
        <v>25</v>
      </c>
      <c r="P729" s="14" t="n">
        <f aca="false">IF(N729=0,"",(N729-LEN(SUBSTITUTE(SUBSTITUTE(L729,"G",""),"C","")))/N729)</f>
        <v>0.44</v>
      </c>
      <c r="Q729" s="14" t="n">
        <f aca="false">IF(O729=0,"",(O729-LEN(SUBSTITUTE(SUBSTITUTE(M729,"G",""),"C","")))/O729)</f>
        <v>0.56</v>
      </c>
      <c r="R729" s="5"/>
      <c r="S729" s="8" t="s">
        <v>2131</v>
      </c>
      <c r="T729" s="5"/>
      <c r="U729" s="5" t="s">
        <v>2986</v>
      </c>
      <c r="V729" s="5" t="s">
        <v>154</v>
      </c>
      <c r="W729" s="5"/>
      <c r="X729" s="15" t="s">
        <v>1677</v>
      </c>
      <c r="Y729" s="5"/>
    </row>
    <row r="730" customFormat="false" ht="15" hidden="false" customHeight="false" outlineLevel="0" collapsed="false">
      <c r="A730" s="5" t="s">
        <v>7927</v>
      </c>
      <c r="B730" s="5" t="s">
        <v>794</v>
      </c>
      <c r="C730" s="5" t="s">
        <v>795</v>
      </c>
      <c r="D730" s="9" t="s">
        <v>66</v>
      </c>
      <c r="E730" s="5" t="n">
        <v>5</v>
      </c>
      <c r="F730" s="5" t="s">
        <v>7928</v>
      </c>
      <c r="G730" s="13" t="s">
        <v>7929</v>
      </c>
      <c r="H730" s="5" t="s">
        <v>7930</v>
      </c>
      <c r="I730" s="13" t="s">
        <v>7931</v>
      </c>
      <c r="J730" s="5" t="s">
        <v>7932</v>
      </c>
      <c r="K730" s="5" t="s">
        <v>7933</v>
      </c>
      <c r="L730" s="13" t="s">
        <v>7934</v>
      </c>
      <c r="M730" s="13" t="s">
        <v>7935</v>
      </c>
      <c r="N730" s="5" t="n">
        <f aca="false">LEN(L730)</f>
        <v>25</v>
      </c>
      <c r="O730" s="5" t="n">
        <f aca="false">LEN(M730)</f>
        <v>25</v>
      </c>
      <c r="P730" s="14" t="n">
        <f aca="false">IF(N730=0,"",(N730-LEN(SUBSTITUTE(SUBSTITUTE(L730,"G",""),"C","")))/N730)</f>
        <v>0.68</v>
      </c>
      <c r="Q730" s="14" t="n">
        <f aca="false">IF(O730=0,"",(O730-LEN(SUBSTITUTE(SUBSTITUTE(M730,"G",""),"C","")))/O730)</f>
        <v>0.84</v>
      </c>
      <c r="R730" s="5"/>
      <c r="S730" s="8" t="s">
        <v>2131</v>
      </c>
      <c r="T730" s="5"/>
      <c r="U730" s="5" t="s">
        <v>2986</v>
      </c>
      <c r="V730" s="5" t="s">
        <v>154</v>
      </c>
      <c r="W730" s="5"/>
      <c r="X730" s="15" t="s">
        <v>1677</v>
      </c>
      <c r="Y730" s="5"/>
    </row>
    <row r="731" customFormat="false" ht="15" hidden="false" customHeight="false" outlineLevel="0" collapsed="false">
      <c r="A731" s="5" t="s">
        <v>7936</v>
      </c>
      <c r="B731" s="5" t="s">
        <v>799</v>
      </c>
      <c r="C731" s="5" t="s">
        <v>800</v>
      </c>
      <c r="D731" s="9" t="s">
        <v>66</v>
      </c>
      <c r="E731" s="5" t="n">
        <v>1</v>
      </c>
      <c r="F731" s="5" t="s">
        <v>7937</v>
      </c>
      <c r="G731" s="13" t="s">
        <v>7938</v>
      </c>
      <c r="H731" s="5" t="s">
        <v>7939</v>
      </c>
      <c r="I731" s="13" t="s">
        <v>7940</v>
      </c>
      <c r="J731" s="5" t="s">
        <v>7941</v>
      </c>
      <c r="K731" s="5" t="s">
        <v>7942</v>
      </c>
      <c r="L731" s="13" t="s">
        <v>7943</v>
      </c>
      <c r="M731" s="13" t="s">
        <v>7944</v>
      </c>
      <c r="N731" s="5" t="n">
        <f aca="false">LEN(L731)</f>
        <v>25</v>
      </c>
      <c r="O731" s="5" t="n">
        <f aca="false">LEN(M731)</f>
        <v>25</v>
      </c>
      <c r="P731" s="14" t="n">
        <f aca="false">IF(N731=0,"",(N731-LEN(SUBSTITUTE(SUBSTITUTE(L731,"G",""),"C","")))/N731)</f>
        <v>0.36</v>
      </c>
      <c r="Q731" s="14" t="n">
        <f aca="false">IF(O731=0,"",(O731-LEN(SUBSTITUTE(SUBSTITUTE(M731,"G",""),"C","")))/O731)</f>
        <v>0.48</v>
      </c>
      <c r="R731" s="5" t="s">
        <v>805</v>
      </c>
      <c r="S731" s="15" t="s">
        <v>1677</v>
      </c>
      <c r="T731" s="5" t="n">
        <v>6</v>
      </c>
      <c r="U731" s="5" t="s">
        <v>1678</v>
      </c>
      <c r="V731" s="5" t="s">
        <v>588</v>
      </c>
      <c r="W731" s="5"/>
      <c r="X731" s="15" t="s">
        <v>1677</v>
      </c>
      <c r="Y731" s="5"/>
    </row>
    <row r="732" customFormat="false" ht="15" hidden="false" customHeight="false" outlineLevel="0" collapsed="false">
      <c r="A732" s="5" t="s">
        <v>7945</v>
      </c>
      <c r="B732" s="5" t="s">
        <v>799</v>
      </c>
      <c r="C732" s="5" t="s">
        <v>800</v>
      </c>
      <c r="D732" s="9" t="s">
        <v>66</v>
      </c>
      <c r="E732" s="5" t="n">
        <v>2</v>
      </c>
      <c r="F732" s="5" t="s">
        <v>7946</v>
      </c>
      <c r="G732" s="13" t="s">
        <v>7947</v>
      </c>
      <c r="H732" s="5" t="s">
        <v>7948</v>
      </c>
      <c r="I732" s="13" t="s">
        <v>7949</v>
      </c>
      <c r="J732" s="5" t="s">
        <v>7950</v>
      </c>
      <c r="K732" s="5" t="s">
        <v>7951</v>
      </c>
      <c r="L732" s="13" t="s">
        <v>7952</v>
      </c>
      <c r="M732" s="13" t="s">
        <v>7953</v>
      </c>
      <c r="N732" s="5" t="n">
        <f aca="false">LEN(L732)</f>
        <v>25</v>
      </c>
      <c r="O732" s="5" t="n">
        <f aca="false">LEN(M732)</f>
        <v>25</v>
      </c>
      <c r="P732" s="14" t="n">
        <f aca="false">IF(N732=0,"",(N732-LEN(SUBSTITUTE(SUBSTITUTE(L732,"G",""),"C","")))/N732)</f>
        <v>0.68</v>
      </c>
      <c r="Q732" s="14" t="n">
        <f aca="false">IF(O732=0,"",(O732-LEN(SUBSTITUTE(SUBSTITUTE(M732,"G",""),"C","")))/O732)</f>
        <v>0.48</v>
      </c>
      <c r="R732" s="5" t="s">
        <v>805</v>
      </c>
      <c r="S732" s="15" t="s">
        <v>1677</v>
      </c>
      <c r="T732" s="5" t="n">
        <v>76</v>
      </c>
      <c r="U732" s="5" t="s">
        <v>1678</v>
      </c>
      <c r="V732" s="5" t="s">
        <v>588</v>
      </c>
      <c r="W732" s="5"/>
      <c r="X732" s="15" t="s">
        <v>1677</v>
      </c>
      <c r="Y732" s="5"/>
    </row>
    <row r="733" customFormat="false" ht="15" hidden="false" customHeight="false" outlineLevel="0" collapsed="false">
      <c r="A733" s="5" t="s">
        <v>7954</v>
      </c>
      <c r="B733" s="5" t="s">
        <v>799</v>
      </c>
      <c r="C733" s="5" t="s">
        <v>800</v>
      </c>
      <c r="D733" s="9" t="s">
        <v>66</v>
      </c>
      <c r="E733" s="5" t="n">
        <v>3</v>
      </c>
      <c r="F733" s="5" t="s">
        <v>7955</v>
      </c>
      <c r="G733" s="13" t="s">
        <v>7956</v>
      </c>
      <c r="H733" s="5" t="s">
        <v>7957</v>
      </c>
      <c r="I733" s="13" t="s">
        <v>7958</v>
      </c>
      <c r="J733" s="5" t="s">
        <v>7959</v>
      </c>
      <c r="K733" s="5" t="s">
        <v>7960</v>
      </c>
      <c r="L733" s="13" t="s">
        <v>7961</v>
      </c>
      <c r="M733" s="13" t="s">
        <v>7962</v>
      </c>
      <c r="N733" s="5" t="n">
        <f aca="false">LEN(L733)</f>
        <v>25</v>
      </c>
      <c r="O733" s="5" t="n">
        <f aca="false">LEN(M733)</f>
        <v>25</v>
      </c>
      <c r="P733" s="14" t="n">
        <f aca="false">IF(N733=0,"",(N733-LEN(SUBSTITUTE(SUBSTITUTE(L733,"G",""),"C","")))/N733)</f>
        <v>0.48</v>
      </c>
      <c r="Q733" s="14" t="n">
        <f aca="false">IF(O733=0,"",(O733-LEN(SUBSTITUTE(SUBSTITUTE(M733,"G",""),"C","")))/O733)</f>
        <v>0.52</v>
      </c>
      <c r="R733" s="5" t="s">
        <v>805</v>
      </c>
      <c r="S733" s="15" t="s">
        <v>1677</v>
      </c>
      <c r="T733" s="5" t="n">
        <v>146</v>
      </c>
      <c r="U733" s="5" t="s">
        <v>1678</v>
      </c>
      <c r="V733" s="5" t="s">
        <v>588</v>
      </c>
      <c r="W733" s="5"/>
      <c r="X733" s="15" t="s">
        <v>1677</v>
      </c>
      <c r="Y733" s="5"/>
    </row>
    <row r="734" customFormat="false" ht="15" hidden="false" customHeight="false" outlineLevel="0" collapsed="false">
      <c r="A734" s="5" t="s">
        <v>7963</v>
      </c>
      <c r="B734" s="5" t="s">
        <v>807</v>
      </c>
      <c r="C734" s="5" t="s">
        <v>808</v>
      </c>
      <c r="D734" s="9" t="s">
        <v>66</v>
      </c>
      <c r="E734" s="5" t="n">
        <v>1</v>
      </c>
      <c r="F734" s="5" t="s">
        <v>7964</v>
      </c>
      <c r="G734" s="13" t="s">
        <v>7965</v>
      </c>
      <c r="H734" s="5" t="s">
        <v>7966</v>
      </c>
      <c r="I734" s="13" t="s">
        <v>7967</v>
      </c>
      <c r="J734" s="5" t="s">
        <v>7968</v>
      </c>
      <c r="K734" s="5" t="s">
        <v>7969</v>
      </c>
      <c r="L734" s="13" t="s">
        <v>7970</v>
      </c>
      <c r="M734" s="13" t="s">
        <v>7971</v>
      </c>
      <c r="N734" s="5" t="n">
        <f aca="false">LEN(L734)</f>
        <v>25</v>
      </c>
      <c r="O734" s="5" t="n">
        <f aca="false">LEN(M734)</f>
        <v>25</v>
      </c>
      <c r="P734" s="14" t="n">
        <f aca="false">IF(N734=0,"",(N734-LEN(SUBSTITUTE(SUBSTITUTE(L734,"G",""),"C","")))/N734)</f>
        <v>0.68</v>
      </c>
      <c r="Q734" s="14" t="n">
        <f aca="false">IF(O734=0,"",(O734-LEN(SUBSTITUTE(SUBSTITUTE(M734,"G",""),"C","")))/O734)</f>
        <v>0.6</v>
      </c>
      <c r="R734" s="5" t="s">
        <v>811</v>
      </c>
      <c r="S734" s="15" t="s">
        <v>1677</v>
      </c>
      <c r="T734" s="5" t="n">
        <v>141</v>
      </c>
      <c r="U734" s="5" t="s">
        <v>1678</v>
      </c>
      <c r="V734" s="5" t="s">
        <v>588</v>
      </c>
      <c r="W734" s="5"/>
      <c r="X734" s="15" t="s">
        <v>1677</v>
      </c>
      <c r="Y734" s="5"/>
    </row>
    <row r="735" customFormat="false" ht="15" hidden="false" customHeight="false" outlineLevel="0" collapsed="false">
      <c r="A735" s="5" t="s">
        <v>7972</v>
      </c>
      <c r="B735" s="5" t="s">
        <v>807</v>
      </c>
      <c r="C735" s="5" t="s">
        <v>808</v>
      </c>
      <c r="D735" s="9" t="s">
        <v>66</v>
      </c>
      <c r="E735" s="5" t="n">
        <v>2</v>
      </c>
      <c r="F735" s="5" t="s">
        <v>7973</v>
      </c>
      <c r="G735" s="13" t="s">
        <v>7974</v>
      </c>
      <c r="H735" s="5" t="s">
        <v>7975</v>
      </c>
      <c r="I735" s="13" t="s">
        <v>7976</v>
      </c>
      <c r="J735" s="5" t="s">
        <v>7977</v>
      </c>
      <c r="K735" s="5" t="s">
        <v>7978</v>
      </c>
      <c r="L735" s="13" t="s">
        <v>7979</v>
      </c>
      <c r="M735" s="13" t="s">
        <v>7980</v>
      </c>
      <c r="N735" s="5" t="n">
        <f aca="false">LEN(L735)</f>
        <v>25</v>
      </c>
      <c r="O735" s="5" t="n">
        <f aca="false">LEN(M735)</f>
        <v>25</v>
      </c>
      <c r="P735" s="14" t="n">
        <f aca="false">IF(N735=0,"",(N735-LEN(SUBSTITUTE(SUBSTITUTE(L735,"G",""),"C","")))/N735)</f>
        <v>0.52</v>
      </c>
      <c r="Q735" s="14" t="n">
        <f aca="false">IF(O735=0,"",(O735-LEN(SUBSTITUTE(SUBSTITUTE(M735,"G",""),"C","")))/O735)</f>
        <v>0.36</v>
      </c>
      <c r="R735" s="5" t="s">
        <v>811</v>
      </c>
      <c r="S735" s="15" t="s">
        <v>1677</v>
      </c>
      <c r="T735" s="5" t="n">
        <v>275</v>
      </c>
      <c r="U735" s="5" t="s">
        <v>1678</v>
      </c>
      <c r="V735" s="5" t="s">
        <v>588</v>
      </c>
      <c r="W735" s="5"/>
      <c r="X735" s="15" t="s">
        <v>1677</v>
      </c>
      <c r="Y735" s="5"/>
    </row>
    <row r="736" customFormat="false" ht="15" hidden="false" customHeight="false" outlineLevel="0" collapsed="false">
      <c r="A736" s="5" t="s">
        <v>7981</v>
      </c>
      <c r="B736" s="5" t="s">
        <v>807</v>
      </c>
      <c r="C736" s="5" t="s">
        <v>808</v>
      </c>
      <c r="D736" s="9" t="s">
        <v>66</v>
      </c>
      <c r="E736" s="5" t="n">
        <v>3</v>
      </c>
      <c r="F736" s="5" t="s">
        <v>7982</v>
      </c>
      <c r="G736" s="13" t="s">
        <v>7983</v>
      </c>
      <c r="H736" s="5" t="s">
        <v>7984</v>
      </c>
      <c r="I736" s="13" t="s">
        <v>7985</v>
      </c>
      <c r="J736" s="5" t="s">
        <v>7986</v>
      </c>
      <c r="K736" s="5" t="s">
        <v>7987</v>
      </c>
      <c r="L736" s="13" t="s">
        <v>7988</v>
      </c>
      <c r="M736" s="13" t="s">
        <v>7989</v>
      </c>
      <c r="N736" s="5" t="n">
        <f aca="false">LEN(L736)</f>
        <v>25</v>
      </c>
      <c r="O736" s="5" t="n">
        <f aca="false">LEN(M736)</f>
        <v>25</v>
      </c>
      <c r="P736" s="14" t="n">
        <f aca="false">IF(N736=0,"",(N736-LEN(SUBSTITUTE(SUBSTITUTE(L736,"G",""),"C","")))/N736)</f>
        <v>0.36</v>
      </c>
      <c r="Q736" s="14" t="n">
        <f aca="false">IF(O736=0,"",(O736-LEN(SUBSTITUTE(SUBSTITUTE(M736,"G",""),"C","")))/O736)</f>
        <v>0.48</v>
      </c>
      <c r="R736" s="5" t="s">
        <v>811</v>
      </c>
      <c r="S736" s="15" t="s">
        <v>1677</v>
      </c>
      <c r="T736" s="5" t="n">
        <v>408</v>
      </c>
      <c r="U736" s="5" t="s">
        <v>1678</v>
      </c>
      <c r="V736" s="5" t="s">
        <v>588</v>
      </c>
      <c r="W736" s="5"/>
      <c r="X736" s="8" t="s">
        <v>2131</v>
      </c>
      <c r="Y736" s="5"/>
    </row>
    <row r="737" customFormat="false" ht="15" hidden="false" customHeight="false" outlineLevel="0" collapsed="false">
      <c r="A737" s="5" t="s">
        <v>7990</v>
      </c>
      <c r="B737" s="5" t="s">
        <v>807</v>
      </c>
      <c r="C737" s="5" t="s">
        <v>808</v>
      </c>
      <c r="D737" s="9" t="s">
        <v>66</v>
      </c>
      <c r="E737" s="5" t="n">
        <v>4</v>
      </c>
      <c r="F737" s="5" t="s">
        <v>7991</v>
      </c>
      <c r="G737" s="13" t="s">
        <v>7992</v>
      </c>
      <c r="H737" s="5" t="s">
        <v>7993</v>
      </c>
      <c r="I737" s="13" t="s">
        <v>7994</v>
      </c>
      <c r="J737" s="5" t="s">
        <v>7995</v>
      </c>
      <c r="K737" s="5" t="s">
        <v>7996</v>
      </c>
      <c r="L737" s="13" t="s">
        <v>7997</v>
      </c>
      <c r="M737" s="13" t="s">
        <v>7998</v>
      </c>
      <c r="N737" s="5" t="n">
        <f aca="false">LEN(L737)</f>
        <v>25</v>
      </c>
      <c r="O737" s="5" t="n">
        <f aca="false">LEN(M737)</f>
        <v>25</v>
      </c>
      <c r="P737" s="14" t="n">
        <f aca="false">IF(N737=0,"",(N737-LEN(SUBSTITUTE(SUBSTITUTE(L737,"G",""),"C","")))/N737)</f>
        <v>0.28</v>
      </c>
      <c r="Q737" s="14" t="n">
        <f aca="false">IF(O737=0,"",(O737-LEN(SUBSTITUTE(SUBSTITUTE(M737,"G",""),"C","")))/O737)</f>
        <v>0.36</v>
      </c>
      <c r="R737" s="5" t="s">
        <v>811</v>
      </c>
      <c r="S737" s="15" t="s">
        <v>1677</v>
      </c>
      <c r="T737" s="5" t="n">
        <v>541</v>
      </c>
      <c r="U737" s="5" t="s">
        <v>1678</v>
      </c>
      <c r="V737" s="5" t="s">
        <v>588</v>
      </c>
      <c r="W737" s="5"/>
      <c r="X737" s="15" t="s">
        <v>1677</v>
      </c>
      <c r="Y737" s="5"/>
    </row>
    <row r="738" customFormat="false" ht="15" hidden="false" customHeight="false" outlineLevel="0" collapsed="false">
      <c r="A738" s="5" t="s">
        <v>7999</v>
      </c>
      <c r="B738" s="5" t="s">
        <v>807</v>
      </c>
      <c r="C738" s="5" t="s">
        <v>808</v>
      </c>
      <c r="D738" s="9" t="s">
        <v>66</v>
      </c>
      <c r="E738" s="5" t="n">
        <v>5</v>
      </c>
      <c r="F738" s="5" t="s">
        <v>8000</v>
      </c>
      <c r="G738" s="13" t="s">
        <v>8001</v>
      </c>
      <c r="H738" s="5" t="s">
        <v>8002</v>
      </c>
      <c r="I738" s="13" t="s">
        <v>8003</v>
      </c>
      <c r="J738" s="5" t="s">
        <v>8004</v>
      </c>
      <c r="K738" s="5" t="s">
        <v>8005</v>
      </c>
      <c r="L738" s="13" t="s">
        <v>8006</v>
      </c>
      <c r="M738" s="13" t="s">
        <v>8007</v>
      </c>
      <c r="N738" s="5" t="n">
        <f aca="false">LEN(L738)</f>
        <v>25</v>
      </c>
      <c r="O738" s="5" t="n">
        <f aca="false">LEN(M738)</f>
        <v>25</v>
      </c>
      <c r="P738" s="14" t="n">
        <f aca="false">IF(N738=0,"",(N738-LEN(SUBSTITUTE(SUBSTITUTE(L738,"G",""),"C","")))/N738)</f>
        <v>0.48</v>
      </c>
      <c r="Q738" s="14" t="n">
        <f aca="false">IF(O738=0,"",(O738-LEN(SUBSTITUTE(SUBSTITUTE(M738,"G",""),"C","")))/O738)</f>
        <v>0.76</v>
      </c>
      <c r="R738" s="5" t="s">
        <v>811</v>
      </c>
      <c r="S738" s="15" t="s">
        <v>1677</v>
      </c>
      <c r="T738" s="5" t="n">
        <v>675</v>
      </c>
      <c r="U738" s="5" t="s">
        <v>1678</v>
      </c>
      <c r="V738" s="5" t="s">
        <v>588</v>
      </c>
      <c r="W738" s="5"/>
      <c r="X738" s="8" t="s">
        <v>1914</v>
      </c>
      <c r="Y738" s="5"/>
    </row>
    <row r="739" customFormat="false" ht="15" hidden="false" customHeight="false" outlineLevel="0" collapsed="false">
      <c r="A739" s="5" t="s">
        <v>8008</v>
      </c>
      <c r="B739" s="5" t="s">
        <v>815</v>
      </c>
      <c r="C739" s="5" t="s">
        <v>816</v>
      </c>
      <c r="D739" s="9" t="s">
        <v>66</v>
      </c>
      <c r="E739" s="5" t="n">
        <v>1</v>
      </c>
      <c r="F739" s="5" t="s">
        <v>8009</v>
      </c>
      <c r="G739" s="13" t="s">
        <v>8010</v>
      </c>
      <c r="H739" s="5" t="s">
        <v>8011</v>
      </c>
      <c r="I739" s="13" t="s">
        <v>8012</v>
      </c>
      <c r="J739" s="5" t="s">
        <v>8013</v>
      </c>
      <c r="K739" s="5" t="s">
        <v>8014</v>
      </c>
      <c r="L739" s="13" t="s">
        <v>8015</v>
      </c>
      <c r="M739" s="13" t="s">
        <v>8016</v>
      </c>
      <c r="N739" s="5" t="n">
        <f aca="false">LEN(L739)</f>
        <v>25</v>
      </c>
      <c r="O739" s="5" t="n">
        <f aca="false">LEN(M739)</f>
        <v>25</v>
      </c>
      <c r="P739" s="14" t="n">
        <f aca="false">IF(N739=0,"",(N739-LEN(SUBSTITUTE(SUBSTITUTE(L739,"G",""),"C","")))/N739)</f>
        <v>0.76</v>
      </c>
      <c r="Q739" s="14" t="n">
        <f aca="false">IF(O739=0,"",(O739-LEN(SUBSTITUTE(SUBSTITUTE(M739,"G",""),"C","")))/O739)</f>
        <v>0.72</v>
      </c>
      <c r="R739" s="5" t="s">
        <v>820</v>
      </c>
      <c r="S739" s="15" t="s">
        <v>1677</v>
      </c>
      <c r="T739" s="5" t="n">
        <v>79</v>
      </c>
      <c r="U739" s="5" t="s">
        <v>1678</v>
      </c>
      <c r="V739" s="5" t="s">
        <v>588</v>
      </c>
      <c r="W739" s="5"/>
      <c r="X739" s="8" t="s">
        <v>1769</v>
      </c>
      <c r="Y739" s="5"/>
    </row>
    <row r="740" customFormat="false" ht="15" hidden="false" customHeight="false" outlineLevel="0" collapsed="false">
      <c r="A740" s="5" t="s">
        <v>8017</v>
      </c>
      <c r="B740" s="5" t="s">
        <v>815</v>
      </c>
      <c r="C740" s="5" t="s">
        <v>816</v>
      </c>
      <c r="D740" s="9" t="s">
        <v>66</v>
      </c>
      <c r="E740" s="5" t="n">
        <v>2</v>
      </c>
      <c r="F740" s="5" t="s">
        <v>8018</v>
      </c>
      <c r="G740" s="13" t="s">
        <v>8019</v>
      </c>
      <c r="H740" s="5" t="s">
        <v>8020</v>
      </c>
      <c r="I740" s="13" t="s">
        <v>8021</v>
      </c>
      <c r="J740" s="5" t="s">
        <v>8022</v>
      </c>
      <c r="K740" s="5" t="s">
        <v>8023</v>
      </c>
      <c r="L740" s="13" t="s">
        <v>8024</v>
      </c>
      <c r="M740" s="13" t="s">
        <v>8025</v>
      </c>
      <c r="N740" s="5" t="n">
        <f aca="false">LEN(L740)</f>
        <v>25</v>
      </c>
      <c r="O740" s="5" t="n">
        <f aca="false">LEN(M740)</f>
        <v>25</v>
      </c>
      <c r="P740" s="14" t="n">
        <f aca="false">IF(N740=0,"",(N740-LEN(SUBSTITUTE(SUBSTITUTE(L740,"G",""),"C","")))/N740)</f>
        <v>0.64</v>
      </c>
      <c r="Q740" s="14" t="n">
        <f aca="false">IF(O740=0,"",(O740-LEN(SUBSTITUTE(SUBSTITUTE(M740,"G",""),"C","")))/O740)</f>
        <v>0.6</v>
      </c>
      <c r="R740" s="5" t="s">
        <v>820</v>
      </c>
      <c r="S740" s="15" t="s">
        <v>1677</v>
      </c>
      <c r="T740" s="5" t="n">
        <v>223</v>
      </c>
      <c r="U740" s="5" t="s">
        <v>1678</v>
      </c>
      <c r="V740" s="5" t="s">
        <v>588</v>
      </c>
      <c r="W740" s="5"/>
      <c r="X740" s="15" t="s">
        <v>1677</v>
      </c>
      <c r="Y740" s="5"/>
    </row>
    <row r="741" customFormat="false" ht="15" hidden="false" customHeight="false" outlineLevel="0" collapsed="false">
      <c r="A741" s="5" t="s">
        <v>8026</v>
      </c>
      <c r="B741" s="5" t="s">
        <v>815</v>
      </c>
      <c r="C741" s="5" t="s">
        <v>816</v>
      </c>
      <c r="D741" s="9" t="s">
        <v>66</v>
      </c>
      <c r="E741" s="5" t="n">
        <v>3</v>
      </c>
      <c r="F741" s="5" t="s">
        <v>8027</v>
      </c>
      <c r="G741" s="13" t="s">
        <v>8028</v>
      </c>
      <c r="H741" s="5" t="s">
        <v>8029</v>
      </c>
      <c r="I741" s="13" t="s">
        <v>8030</v>
      </c>
      <c r="J741" s="5" t="s">
        <v>8031</v>
      </c>
      <c r="K741" s="5" t="s">
        <v>8032</v>
      </c>
      <c r="L741" s="13" t="s">
        <v>8033</v>
      </c>
      <c r="M741" s="13" t="s">
        <v>8034</v>
      </c>
      <c r="N741" s="5" t="n">
        <f aca="false">LEN(L741)</f>
        <v>25</v>
      </c>
      <c r="O741" s="5" t="n">
        <f aca="false">LEN(M741)</f>
        <v>26</v>
      </c>
      <c r="P741" s="14" t="n">
        <f aca="false">IF(N741=0,"",(N741-LEN(SUBSTITUTE(SUBSTITUTE(L741,"G",""),"C","")))/N741)</f>
        <v>0.56</v>
      </c>
      <c r="Q741" s="14" t="n">
        <f aca="false">IF(O741=0,"",(O741-LEN(SUBSTITUTE(SUBSTITUTE(M741,"G",""),"C","")))/O741)</f>
        <v>0.730769230769231</v>
      </c>
      <c r="R741" s="5" t="s">
        <v>820</v>
      </c>
      <c r="S741" s="15" t="s">
        <v>1677</v>
      </c>
      <c r="T741" s="5" t="n">
        <v>369</v>
      </c>
      <c r="U741" s="5" t="s">
        <v>1678</v>
      </c>
      <c r="V741" s="5" t="s">
        <v>588</v>
      </c>
      <c r="W741" s="5"/>
      <c r="X741" s="8" t="s">
        <v>1769</v>
      </c>
      <c r="Y741" s="8" t="s">
        <v>8035</v>
      </c>
    </row>
    <row r="742" customFormat="false" ht="15" hidden="false" customHeight="false" outlineLevel="0" collapsed="false">
      <c r="A742" s="5" t="s">
        <v>8036</v>
      </c>
      <c r="B742" s="5" t="s">
        <v>815</v>
      </c>
      <c r="C742" s="5" t="s">
        <v>816</v>
      </c>
      <c r="D742" s="9" t="s">
        <v>66</v>
      </c>
      <c r="E742" s="5" t="n">
        <v>4</v>
      </c>
      <c r="F742" s="5" t="s">
        <v>8037</v>
      </c>
      <c r="G742" s="13" t="s">
        <v>8038</v>
      </c>
      <c r="H742" s="5" t="s">
        <v>8039</v>
      </c>
      <c r="I742" s="13" t="s">
        <v>8040</v>
      </c>
      <c r="J742" s="5" t="s">
        <v>8041</v>
      </c>
      <c r="K742" s="5" t="s">
        <v>8042</v>
      </c>
      <c r="L742" s="13" t="s">
        <v>8043</v>
      </c>
      <c r="M742" s="13" t="s">
        <v>8044</v>
      </c>
      <c r="N742" s="5" t="n">
        <f aca="false">LEN(L742)</f>
        <v>25</v>
      </c>
      <c r="O742" s="5" t="n">
        <f aca="false">LEN(M742)</f>
        <v>25</v>
      </c>
      <c r="P742" s="14" t="n">
        <f aca="false">IF(N742=0,"",(N742-LEN(SUBSTITUTE(SUBSTITUTE(L742,"G",""),"C","")))/N742)</f>
        <v>0.72</v>
      </c>
      <c r="Q742" s="14" t="n">
        <f aca="false">IF(O742=0,"",(O742-LEN(SUBSTITUTE(SUBSTITUTE(M742,"G",""),"C","")))/O742)</f>
        <v>0.72</v>
      </c>
      <c r="R742" s="5" t="s">
        <v>820</v>
      </c>
      <c r="S742" s="15" t="s">
        <v>1677</v>
      </c>
      <c r="T742" s="5" t="n">
        <v>512</v>
      </c>
      <c r="U742" s="5" t="s">
        <v>1678</v>
      </c>
      <c r="V742" s="5" t="s">
        <v>588</v>
      </c>
      <c r="W742" s="5"/>
      <c r="X742" s="8" t="s">
        <v>1769</v>
      </c>
      <c r="Y742" s="5"/>
    </row>
    <row r="743" customFormat="false" ht="15" hidden="false" customHeight="false" outlineLevel="0" collapsed="false">
      <c r="A743" s="5" t="s">
        <v>8045</v>
      </c>
      <c r="B743" s="5" t="s">
        <v>815</v>
      </c>
      <c r="C743" s="5" t="s">
        <v>816</v>
      </c>
      <c r="D743" s="9" t="s">
        <v>66</v>
      </c>
      <c r="E743" s="5" t="n">
        <v>5</v>
      </c>
      <c r="F743" s="5" t="s">
        <v>8046</v>
      </c>
      <c r="G743" s="13" t="s">
        <v>8047</v>
      </c>
      <c r="H743" s="5" t="s">
        <v>8048</v>
      </c>
      <c r="I743" s="13" t="s">
        <v>8049</v>
      </c>
      <c r="J743" s="5" t="s">
        <v>8050</v>
      </c>
      <c r="K743" s="5" t="s">
        <v>8051</v>
      </c>
      <c r="L743" s="13" t="s">
        <v>8052</v>
      </c>
      <c r="M743" s="13" t="s">
        <v>8053</v>
      </c>
      <c r="N743" s="5" t="n">
        <f aca="false">LEN(L743)</f>
        <v>25</v>
      </c>
      <c r="O743" s="5" t="n">
        <f aca="false">LEN(M743)</f>
        <v>25</v>
      </c>
      <c r="P743" s="14" t="n">
        <f aca="false">IF(N743=0,"",(N743-LEN(SUBSTITUTE(SUBSTITUTE(L743,"G",""),"C","")))/N743)</f>
        <v>0.64</v>
      </c>
      <c r="Q743" s="14" t="n">
        <f aca="false">IF(O743=0,"",(O743-LEN(SUBSTITUTE(SUBSTITUTE(M743,"G",""),"C","")))/O743)</f>
        <v>0.68</v>
      </c>
      <c r="R743" s="5" t="s">
        <v>820</v>
      </c>
      <c r="S743" s="15" t="s">
        <v>1677</v>
      </c>
      <c r="T743" s="5" t="n">
        <v>656</v>
      </c>
      <c r="U743" s="5" t="s">
        <v>1678</v>
      </c>
      <c r="V743" s="5" t="s">
        <v>588</v>
      </c>
      <c r="W743" s="5"/>
      <c r="X743" s="15" t="s">
        <v>1677</v>
      </c>
      <c r="Y743" s="5"/>
    </row>
    <row r="744" customFormat="false" ht="15" hidden="false" customHeight="false" outlineLevel="0" collapsed="false">
      <c r="A744" s="5" t="s">
        <v>8054</v>
      </c>
      <c r="B744" s="5" t="s">
        <v>825</v>
      </c>
      <c r="C744" s="5" t="s">
        <v>826</v>
      </c>
      <c r="D744" s="9" t="s">
        <v>66</v>
      </c>
      <c r="E744" s="5" t="n">
        <v>1</v>
      </c>
      <c r="F744" s="5" t="s">
        <v>8055</v>
      </c>
      <c r="G744" s="13" t="s">
        <v>8056</v>
      </c>
      <c r="H744" s="5" t="s">
        <v>8057</v>
      </c>
      <c r="I744" s="13" t="s">
        <v>8058</v>
      </c>
      <c r="J744" s="5" t="s">
        <v>8059</v>
      </c>
      <c r="K744" s="5" t="s">
        <v>8060</v>
      </c>
      <c r="L744" s="13" t="s">
        <v>8061</v>
      </c>
      <c r="M744" s="13" t="s">
        <v>8062</v>
      </c>
      <c r="N744" s="5" t="n">
        <f aca="false">LEN(L744)</f>
        <v>25</v>
      </c>
      <c r="O744" s="5" t="n">
        <f aca="false">LEN(M744)</f>
        <v>25</v>
      </c>
      <c r="P744" s="14" t="n">
        <f aca="false">IF(N744=0,"",(N744-LEN(SUBSTITUTE(SUBSTITUTE(L744,"G",""),"C","")))/N744)</f>
        <v>0.52</v>
      </c>
      <c r="Q744" s="14" t="n">
        <f aca="false">IF(O744=0,"",(O744-LEN(SUBSTITUTE(SUBSTITUTE(M744,"G",""),"C","")))/O744)</f>
        <v>0.52</v>
      </c>
      <c r="R744" s="5" t="s">
        <v>830</v>
      </c>
      <c r="S744" s="15" t="s">
        <v>1677</v>
      </c>
      <c r="T744" s="5" t="n">
        <v>146</v>
      </c>
      <c r="U744" s="5" t="s">
        <v>1678</v>
      </c>
      <c r="V744" s="5" t="s">
        <v>588</v>
      </c>
      <c r="W744" s="5"/>
      <c r="X744" s="15" t="s">
        <v>1677</v>
      </c>
      <c r="Y744" s="5"/>
    </row>
    <row r="745" customFormat="false" ht="15" hidden="false" customHeight="false" outlineLevel="0" collapsed="false">
      <c r="A745" s="5" t="s">
        <v>8063</v>
      </c>
      <c r="B745" s="5" t="s">
        <v>825</v>
      </c>
      <c r="C745" s="5" t="s">
        <v>826</v>
      </c>
      <c r="D745" s="9" t="s">
        <v>66</v>
      </c>
      <c r="E745" s="5" t="n">
        <v>2</v>
      </c>
      <c r="F745" s="5" t="s">
        <v>8064</v>
      </c>
      <c r="G745" s="13" t="s">
        <v>8065</v>
      </c>
      <c r="H745" s="5" t="s">
        <v>8066</v>
      </c>
      <c r="I745" s="13" t="s">
        <v>8067</v>
      </c>
      <c r="J745" s="5" t="s">
        <v>8068</v>
      </c>
      <c r="K745" s="5" t="s">
        <v>8069</v>
      </c>
      <c r="L745" s="13" t="s">
        <v>8070</v>
      </c>
      <c r="M745" s="13" t="s">
        <v>8071</v>
      </c>
      <c r="N745" s="5" t="n">
        <f aca="false">LEN(L745)</f>
        <v>25</v>
      </c>
      <c r="O745" s="5" t="n">
        <f aca="false">LEN(M745)</f>
        <v>25</v>
      </c>
      <c r="P745" s="14" t="n">
        <f aca="false">IF(N745=0,"",(N745-LEN(SUBSTITUTE(SUBSTITUTE(L745,"G",""),"C","")))/N745)</f>
        <v>0.64</v>
      </c>
      <c r="Q745" s="14" t="n">
        <f aca="false">IF(O745=0,"",(O745-LEN(SUBSTITUTE(SUBSTITUTE(M745,"G",""),"C","")))/O745)</f>
        <v>0.52</v>
      </c>
      <c r="R745" s="5" t="s">
        <v>830</v>
      </c>
      <c r="S745" s="15" t="s">
        <v>1677</v>
      </c>
      <c r="T745" s="5" t="n">
        <v>216</v>
      </c>
      <c r="U745" s="5" t="s">
        <v>1678</v>
      </c>
      <c r="V745" s="5" t="s">
        <v>588</v>
      </c>
      <c r="W745" s="5"/>
      <c r="X745" s="15" t="s">
        <v>1677</v>
      </c>
      <c r="Y745" s="5"/>
    </row>
    <row r="746" customFormat="false" ht="15" hidden="false" customHeight="false" outlineLevel="0" collapsed="false">
      <c r="A746" s="5" t="s">
        <v>8072</v>
      </c>
      <c r="B746" s="5" t="s">
        <v>825</v>
      </c>
      <c r="C746" s="5" t="s">
        <v>826</v>
      </c>
      <c r="D746" s="9" t="s">
        <v>66</v>
      </c>
      <c r="E746" s="5" t="n">
        <v>3</v>
      </c>
      <c r="F746" s="5" t="s">
        <v>8073</v>
      </c>
      <c r="G746" s="13" t="s">
        <v>8074</v>
      </c>
      <c r="H746" s="5" t="s">
        <v>8075</v>
      </c>
      <c r="I746" s="13" t="s">
        <v>8076</v>
      </c>
      <c r="J746" s="5" t="s">
        <v>8077</v>
      </c>
      <c r="K746" s="5" t="s">
        <v>8078</v>
      </c>
      <c r="L746" s="13" t="s">
        <v>8079</v>
      </c>
      <c r="M746" s="13" t="s">
        <v>8080</v>
      </c>
      <c r="N746" s="5" t="n">
        <f aca="false">LEN(L746)</f>
        <v>25</v>
      </c>
      <c r="O746" s="5" t="n">
        <f aca="false">LEN(M746)</f>
        <v>25</v>
      </c>
      <c r="P746" s="14" t="n">
        <f aca="false">IF(N746=0,"",(N746-LEN(SUBSTITUTE(SUBSTITUTE(L746,"G",""),"C","")))/N746)</f>
        <v>0.52</v>
      </c>
      <c r="Q746" s="14" t="n">
        <f aca="false">IF(O746=0,"",(O746-LEN(SUBSTITUTE(SUBSTITUTE(M746,"G",""),"C","")))/O746)</f>
        <v>0.6</v>
      </c>
      <c r="R746" s="5" t="s">
        <v>830</v>
      </c>
      <c r="S746" s="15" t="s">
        <v>1677</v>
      </c>
      <c r="T746" s="5" t="n">
        <v>286</v>
      </c>
      <c r="U746" s="5" t="s">
        <v>1678</v>
      </c>
      <c r="V746" s="5" t="s">
        <v>588</v>
      </c>
      <c r="W746" s="5"/>
      <c r="X746" s="15" t="s">
        <v>1677</v>
      </c>
      <c r="Y746" s="5"/>
    </row>
    <row r="747" customFormat="false" ht="15" hidden="false" customHeight="false" outlineLevel="0" collapsed="false">
      <c r="A747" s="5" t="s">
        <v>8081</v>
      </c>
      <c r="B747" s="5" t="s">
        <v>825</v>
      </c>
      <c r="C747" s="5" t="s">
        <v>826</v>
      </c>
      <c r="D747" s="9" t="s">
        <v>66</v>
      </c>
      <c r="E747" s="5" t="n">
        <v>4</v>
      </c>
      <c r="F747" s="5" t="s">
        <v>8082</v>
      </c>
      <c r="G747" s="13" t="s">
        <v>8083</v>
      </c>
      <c r="H747" s="5" t="s">
        <v>8084</v>
      </c>
      <c r="I747" s="13" t="s">
        <v>8085</v>
      </c>
      <c r="J747" s="5" t="s">
        <v>8086</v>
      </c>
      <c r="K747" s="5" t="s">
        <v>8087</v>
      </c>
      <c r="L747" s="13" t="s">
        <v>8088</v>
      </c>
      <c r="M747" s="13" t="s">
        <v>8089</v>
      </c>
      <c r="N747" s="5" t="n">
        <f aca="false">LEN(L747)</f>
        <v>25</v>
      </c>
      <c r="O747" s="5" t="n">
        <f aca="false">LEN(M747)</f>
        <v>25</v>
      </c>
      <c r="P747" s="14" t="n">
        <f aca="false">IF(N747=0,"",(N747-LEN(SUBSTITUTE(SUBSTITUTE(L747,"G",""),"C","")))/N747)</f>
        <v>0.36</v>
      </c>
      <c r="Q747" s="14" t="n">
        <f aca="false">IF(O747=0,"",(O747-LEN(SUBSTITUTE(SUBSTITUTE(M747,"G",""),"C","")))/O747)</f>
        <v>0.48</v>
      </c>
      <c r="R747" s="5" t="s">
        <v>830</v>
      </c>
      <c r="S747" s="15" t="s">
        <v>1677</v>
      </c>
      <c r="T747" s="5" t="n">
        <v>356</v>
      </c>
      <c r="U747" s="5" t="s">
        <v>1678</v>
      </c>
      <c r="V747" s="5" t="s">
        <v>588</v>
      </c>
      <c r="W747" s="5"/>
      <c r="X747" s="15" t="s">
        <v>1677</v>
      </c>
      <c r="Y747" s="5"/>
    </row>
    <row r="748" customFormat="false" ht="15" hidden="false" customHeight="false" outlineLevel="0" collapsed="false">
      <c r="A748" s="5" t="s">
        <v>8090</v>
      </c>
      <c r="B748" s="5" t="s">
        <v>825</v>
      </c>
      <c r="C748" s="5" t="s">
        <v>826</v>
      </c>
      <c r="D748" s="9" t="s">
        <v>66</v>
      </c>
      <c r="E748" s="5" t="n">
        <v>5</v>
      </c>
      <c r="F748" s="5" t="s">
        <v>8091</v>
      </c>
      <c r="G748" s="13" t="s">
        <v>8092</v>
      </c>
      <c r="H748" s="5" t="s">
        <v>8093</v>
      </c>
      <c r="I748" s="13" t="s">
        <v>8094</v>
      </c>
      <c r="J748" s="5" t="s">
        <v>8095</v>
      </c>
      <c r="K748" s="5" t="s">
        <v>8096</v>
      </c>
      <c r="L748" s="13" t="s">
        <v>8097</v>
      </c>
      <c r="M748" s="13" t="s">
        <v>8098</v>
      </c>
      <c r="N748" s="5" t="n">
        <f aca="false">LEN(L748)</f>
        <v>25</v>
      </c>
      <c r="O748" s="5" t="n">
        <f aca="false">LEN(M748)</f>
        <v>25</v>
      </c>
      <c r="P748" s="14" t="n">
        <f aca="false">IF(N748=0,"",(N748-LEN(SUBSTITUTE(SUBSTITUTE(L748,"G",""),"C","")))/N748)</f>
        <v>0.52</v>
      </c>
      <c r="Q748" s="14" t="n">
        <f aca="false">IF(O748=0,"",(O748-LEN(SUBSTITUTE(SUBSTITUTE(M748,"G",""),"C","")))/O748)</f>
        <v>0.64</v>
      </c>
      <c r="R748" s="5" t="s">
        <v>830</v>
      </c>
      <c r="S748" s="15" t="s">
        <v>1677</v>
      </c>
      <c r="T748" s="5" t="n">
        <v>426</v>
      </c>
      <c r="U748" s="5" t="s">
        <v>1678</v>
      </c>
      <c r="V748" s="5" t="s">
        <v>588</v>
      </c>
      <c r="W748" s="5"/>
      <c r="X748" s="15" t="s">
        <v>1677</v>
      </c>
      <c r="Y748" s="5"/>
    </row>
    <row r="749" customFormat="false" ht="15" hidden="false" customHeight="false" outlineLevel="0" collapsed="false">
      <c r="A749" s="5" t="s">
        <v>8099</v>
      </c>
      <c r="B749" s="5" t="s">
        <v>825</v>
      </c>
      <c r="C749" s="5" t="s">
        <v>826</v>
      </c>
      <c r="D749" s="9" t="s">
        <v>66</v>
      </c>
      <c r="E749" s="5" t="n">
        <v>6</v>
      </c>
      <c r="F749" s="5" t="s">
        <v>8100</v>
      </c>
      <c r="G749" s="13" t="s">
        <v>8101</v>
      </c>
      <c r="H749" s="5" t="s">
        <v>8102</v>
      </c>
      <c r="I749" s="13" t="s">
        <v>8103</v>
      </c>
      <c r="J749" s="5" t="s">
        <v>8104</v>
      </c>
      <c r="K749" s="5" t="s">
        <v>8105</v>
      </c>
      <c r="L749" s="13" t="s">
        <v>8106</v>
      </c>
      <c r="M749" s="13" t="s">
        <v>8107</v>
      </c>
      <c r="N749" s="5" t="n">
        <f aca="false">LEN(L749)</f>
        <v>25</v>
      </c>
      <c r="O749" s="5" t="n">
        <f aca="false">LEN(M749)</f>
        <v>25</v>
      </c>
      <c r="P749" s="14" t="n">
        <f aca="false">IF(N749=0,"",(N749-LEN(SUBSTITUTE(SUBSTITUTE(L749,"G",""),"C","")))/N749)</f>
        <v>0.8</v>
      </c>
      <c r="Q749" s="14" t="n">
        <f aca="false">IF(O749=0,"",(O749-LEN(SUBSTITUTE(SUBSTITUTE(M749,"G",""),"C","")))/O749)</f>
        <v>0.72</v>
      </c>
      <c r="R749" s="5" t="s">
        <v>830</v>
      </c>
      <c r="S749" s="15" t="s">
        <v>1677</v>
      </c>
      <c r="T749" s="5" t="n">
        <v>496</v>
      </c>
      <c r="U749" s="5" t="s">
        <v>1678</v>
      </c>
      <c r="V749" s="5" t="s">
        <v>588</v>
      </c>
      <c r="W749" s="5"/>
      <c r="X749" s="15" t="s">
        <v>1677</v>
      </c>
      <c r="Y749" s="5"/>
    </row>
    <row r="750" customFormat="false" ht="15" hidden="false" customHeight="false" outlineLevel="0" collapsed="false">
      <c r="A750" s="5" t="s">
        <v>8108</v>
      </c>
      <c r="B750" s="5" t="s">
        <v>832</v>
      </c>
      <c r="C750" s="5" t="s">
        <v>833</v>
      </c>
      <c r="D750" s="9" t="s">
        <v>66</v>
      </c>
      <c r="E750" s="5" t="n">
        <v>1</v>
      </c>
      <c r="F750" s="5" t="s">
        <v>8109</v>
      </c>
      <c r="G750" s="13" t="s">
        <v>8110</v>
      </c>
      <c r="H750" s="5" t="s">
        <v>8111</v>
      </c>
      <c r="I750" s="13" t="s">
        <v>8112</v>
      </c>
      <c r="J750" s="5" t="s">
        <v>8113</v>
      </c>
      <c r="K750" s="5" t="s">
        <v>8114</v>
      </c>
      <c r="L750" s="13" t="s">
        <v>8115</v>
      </c>
      <c r="M750" s="13" t="s">
        <v>8116</v>
      </c>
      <c r="N750" s="5" t="n">
        <f aca="false">LEN(L750)</f>
        <v>25</v>
      </c>
      <c r="O750" s="5" t="n">
        <f aca="false">LEN(M750)</f>
        <v>25</v>
      </c>
      <c r="P750" s="14" t="n">
        <f aca="false">IF(N750=0,"",(N750-LEN(SUBSTITUTE(SUBSTITUTE(L750,"G",""),"C","")))/N750)</f>
        <v>0.56</v>
      </c>
      <c r="Q750" s="14" t="n">
        <f aca="false">IF(O750=0,"",(O750-LEN(SUBSTITUTE(SUBSTITUTE(M750,"G",""),"C","")))/O750)</f>
        <v>0.64</v>
      </c>
      <c r="R750" s="5" t="s">
        <v>837</v>
      </c>
      <c r="S750" s="15" t="s">
        <v>1677</v>
      </c>
      <c r="T750" s="5" t="n">
        <v>76</v>
      </c>
      <c r="U750" s="5" t="s">
        <v>1678</v>
      </c>
      <c r="V750" s="5" t="s">
        <v>588</v>
      </c>
      <c r="W750" s="5"/>
      <c r="X750" s="15" t="s">
        <v>1677</v>
      </c>
      <c r="Y750" s="5"/>
    </row>
    <row r="751" customFormat="false" ht="15" hidden="false" customHeight="false" outlineLevel="0" collapsed="false">
      <c r="A751" s="5" t="s">
        <v>8117</v>
      </c>
      <c r="B751" s="5" t="s">
        <v>832</v>
      </c>
      <c r="C751" s="5" t="s">
        <v>833</v>
      </c>
      <c r="D751" s="9" t="s">
        <v>66</v>
      </c>
      <c r="E751" s="5" t="n">
        <v>2</v>
      </c>
      <c r="F751" s="5" t="s">
        <v>8118</v>
      </c>
      <c r="G751" s="13" t="s">
        <v>8119</v>
      </c>
      <c r="H751" s="5" t="s">
        <v>8120</v>
      </c>
      <c r="I751" s="13" t="s">
        <v>8121</v>
      </c>
      <c r="J751" s="5" t="s">
        <v>8122</v>
      </c>
      <c r="K751" s="5" t="s">
        <v>8123</v>
      </c>
      <c r="L751" s="13" t="s">
        <v>8124</v>
      </c>
      <c r="M751" s="13" t="s">
        <v>8125</v>
      </c>
      <c r="N751" s="5" t="n">
        <f aca="false">LEN(L751)</f>
        <v>25</v>
      </c>
      <c r="O751" s="5" t="n">
        <f aca="false">LEN(M751)</f>
        <v>25</v>
      </c>
      <c r="P751" s="14" t="n">
        <f aca="false">IF(N751=0,"",(N751-LEN(SUBSTITUTE(SUBSTITUTE(L751,"G",""),"C","")))/N751)</f>
        <v>0.52</v>
      </c>
      <c r="Q751" s="14" t="n">
        <f aca="false">IF(O751=0,"",(O751-LEN(SUBSTITUTE(SUBSTITUTE(M751,"G",""),"C","")))/O751)</f>
        <v>0.44</v>
      </c>
      <c r="R751" s="5" t="s">
        <v>837</v>
      </c>
      <c r="S751" s="15" t="s">
        <v>1677</v>
      </c>
      <c r="T751" s="5" t="n">
        <v>146</v>
      </c>
      <c r="U751" s="5" t="s">
        <v>1678</v>
      </c>
      <c r="V751" s="5" t="s">
        <v>588</v>
      </c>
      <c r="W751" s="5"/>
      <c r="X751" s="15" t="s">
        <v>1677</v>
      </c>
      <c r="Y751" s="5"/>
    </row>
    <row r="752" customFormat="false" ht="15" hidden="false" customHeight="false" outlineLevel="0" collapsed="false">
      <c r="A752" s="5" t="s">
        <v>8126</v>
      </c>
      <c r="B752" s="5" t="s">
        <v>832</v>
      </c>
      <c r="C752" s="5" t="s">
        <v>833</v>
      </c>
      <c r="D752" s="9" t="s">
        <v>66</v>
      </c>
      <c r="E752" s="5" t="n">
        <v>3</v>
      </c>
      <c r="F752" s="5" t="s">
        <v>8127</v>
      </c>
      <c r="G752" s="13" t="s">
        <v>8128</v>
      </c>
      <c r="H752" s="5" t="s">
        <v>8129</v>
      </c>
      <c r="I752" s="13" t="s">
        <v>8130</v>
      </c>
      <c r="J752" s="5" t="s">
        <v>8131</v>
      </c>
      <c r="K752" s="5" t="s">
        <v>8132</v>
      </c>
      <c r="L752" s="13" t="s">
        <v>8133</v>
      </c>
      <c r="M752" s="13" t="s">
        <v>8134</v>
      </c>
      <c r="N752" s="5" t="n">
        <f aca="false">LEN(L752)</f>
        <v>25</v>
      </c>
      <c r="O752" s="5" t="n">
        <f aca="false">LEN(M752)</f>
        <v>25</v>
      </c>
      <c r="P752" s="14" t="n">
        <f aca="false">IF(N752=0,"",(N752-LEN(SUBSTITUTE(SUBSTITUTE(L752,"G",""),"C","")))/N752)</f>
        <v>0.36</v>
      </c>
      <c r="Q752" s="14" t="n">
        <f aca="false">IF(O752=0,"",(O752-LEN(SUBSTITUTE(SUBSTITUTE(M752,"G",""),"C","")))/O752)</f>
        <v>0.36</v>
      </c>
      <c r="R752" s="5" t="s">
        <v>837</v>
      </c>
      <c r="S752" s="15" t="s">
        <v>1677</v>
      </c>
      <c r="T752" s="5" t="n">
        <v>216</v>
      </c>
      <c r="U752" s="5" t="s">
        <v>1678</v>
      </c>
      <c r="V752" s="5" t="s">
        <v>588</v>
      </c>
      <c r="W752" s="5"/>
      <c r="X752" s="15" t="s">
        <v>1677</v>
      </c>
      <c r="Y752" s="5"/>
    </row>
    <row r="753" customFormat="false" ht="15" hidden="false" customHeight="false" outlineLevel="0" collapsed="false">
      <c r="A753" s="5" t="s">
        <v>8135</v>
      </c>
      <c r="B753" s="5" t="s">
        <v>832</v>
      </c>
      <c r="C753" s="5" t="s">
        <v>833</v>
      </c>
      <c r="D753" s="9" t="s">
        <v>66</v>
      </c>
      <c r="E753" s="5" t="n">
        <v>4</v>
      </c>
      <c r="F753" s="5" t="s">
        <v>8136</v>
      </c>
      <c r="G753" s="13" t="s">
        <v>8137</v>
      </c>
      <c r="H753" s="5" t="s">
        <v>8138</v>
      </c>
      <c r="I753" s="13" t="s">
        <v>8139</v>
      </c>
      <c r="J753" s="5" t="s">
        <v>8140</v>
      </c>
      <c r="K753" s="5" t="s">
        <v>8141</v>
      </c>
      <c r="L753" s="13" t="s">
        <v>8142</v>
      </c>
      <c r="M753" s="13" t="s">
        <v>8143</v>
      </c>
      <c r="N753" s="5" t="n">
        <f aca="false">LEN(L753)</f>
        <v>25</v>
      </c>
      <c r="O753" s="5" t="n">
        <f aca="false">LEN(M753)</f>
        <v>25</v>
      </c>
      <c r="P753" s="14" t="n">
        <f aca="false">IF(N753=0,"",(N753-LEN(SUBSTITUTE(SUBSTITUTE(L753,"G",""),"C","")))/N753)</f>
        <v>0.52</v>
      </c>
      <c r="Q753" s="14" t="n">
        <f aca="false">IF(O753=0,"",(O753-LEN(SUBSTITUTE(SUBSTITUTE(M753,"G",""),"C","")))/O753)</f>
        <v>0.48</v>
      </c>
      <c r="R753" s="5" t="s">
        <v>837</v>
      </c>
      <c r="S753" s="15" t="s">
        <v>1677</v>
      </c>
      <c r="T753" s="5" t="n">
        <v>286</v>
      </c>
      <c r="U753" s="5" t="s">
        <v>1678</v>
      </c>
      <c r="V753" s="5" t="s">
        <v>588</v>
      </c>
      <c r="W753" s="5"/>
      <c r="X753" s="15" t="s">
        <v>1677</v>
      </c>
      <c r="Y753" s="5"/>
    </row>
    <row r="754" customFormat="false" ht="15" hidden="false" customHeight="false" outlineLevel="0" collapsed="false">
      <c r="A754" s="5" t="s">
        <v>8144</v>
      </c>
      <c r="B754" s="5" t="s">
        <v>832</v>
      </c>
      <c r="C754" s="5" t="s">
        <v>833</v>
      </c>
      <c r="D754" s="9" t="s">
        <v>66</v>
      </c>
      <c r="E754" s="5" t="n">
        <v>5</v>
      </c>
      <c r="F754" s="5" t="s">
        <v>8145</v>
      </c>
      <c r="G754" s="13" t="s">
        <v>8146</v>
      </c>
      <c r="H754" s="5" t="s">
        <v>8147</v>
      </c>
      <c r="I754" s="13" t="s">
        <v>8148</v>
      </c>
      <c r="J754" s="5" t="s">
        <v>8149</v>
      </c>
      <c r="K754" s="5" t="s">
        <v>8150</v>
      </c>
      <c r="L754" s="13" t="s">
        <v>8151</v>
      </c>
      <c r="M754" s="13" t="s">
        <v>8152</v>
      </c>
      <c r="N754" s="5" t="n">
        <f aca="false">LEN(L754)</f>
        <v>25</v>
      </c>
      <c r="O754" s="5" t="n">
        <f aca="false">LEN(M754)</f>
        <v>25</v>
      </c>
      <c r="P754" s="14" t="n">
        <f aca="false">IF(N754=0,"",(N754-LEN(SUBSTITUTE(SUBSTITUTE(L754,"G",""),"C","")))/N754)</f>
        <v>0.52</v>
      </c>
      <c r="Q754" s="14" t="n">
        <f aca="false">IF(O754=0,"",(O754-LEN(SUBSTITUTE(SUBSTITUTE(M754,"G",""),"C","")))/O754)</f>
        <v>0.68</v>
      </c>
      <c r="R754" s="5" t="s">
        <v>837</v>
      </c>
      <c r="S754" s="15" t="s">
        <v>1677</v>
      </c>
      <c r="T754" s="5" t="n">
        <v>356</v>
      </c>
      <c r="U754" s="5" t="s">
        <v>1678</v>
      </c>
      <c r="V754" s="5" t="s">
        <v>588</v>
      </c>
      <c r="W754" s="5"/>
      <c r="X754" s="15" t="s">
        <v>1677</v>
      </c>
      <c r="Y754" s="5"/>
    </row>
    <row r="755" customFormat="false" ht="15" hidden="false" customHeight="false" outlineLevel="0" collapsed="false">
      <c r="A755" s="5" t="s">
        <v>8153</v>
      </c>
      <c r="B755" s="5" t="s">
        <v>832</v>
      </c>
      <c r="C755" s="5" t="s">
        <v>833</v>
      </c>
      <c r="D755" s="9" t="s">
        <v>66</v>
      </c>
      <c r="E755" s="5" t="n">
        <v>6</v>
      </c>
      <c r="F755" s="5" t="s">
        <v>8154</v>
      </c>
      <c r="G755" s="13" t="s">
        <v>8155</v>
      </c>
      <c r="H755" s="5" t="s">
        <v>8156</v>
      </c>
      <c r="I755" s="13" t="s">
        <v>8157</v>
      </c>
      <c r="J755" s="5" t="s">
        <v>8158</v>
      </c>
      <c r="K755" s="5" t="s">
        <v>8159</v>
      </c>
      <c r="L755" s="13" t="s">
        <v>8160</v>
      </c>
      <c r="M755" s="13" t="s">
        <v>8161</v>
      </c>
      <c r="N755" s="5" t="n">
        <f aca="false">LEN(L755)</f>
        <v>25</v>
      </c>
      <c r="O755" s="5" t="n">
        <f aca="false">LEN(M755)</f>
        <v>25</v>
      </c>
      <c r="P755" s="14" t="n">
        <f aca="false">IF(N755=0,"",(N755-LEN(SUBSTITUTE(SUBSTITUTE(L755,"G",""),"C","")))/N755)</f>
        <v>0.6</v>
      </c>
      <c r="Q755" s="14" t="n">
        <f aca="false">IF(O755=0,"",(O755-LEN(SUBSTITUTE(SUBSTITUTE(M755,"G",""),"C","")))/O755)</f>
        <v>0.52</v>
      </c>
      <c r="R755" s="5" t="s">
        <v>837</v>
      </c>
      <c r="S755" s="15" t="s">
        <v>1677</v>
      </c>
      <c r="T755" s="5" t="n">
        <v>426</v>
      </c>
      <c r="U755" s="5" t="s">
        <v>1678</v>
      </c>
      <c r="V755" s="5" t="s">
        <v>588</v>
      </c>
      <c r="W755" s="5"/>
      <c r="X755" s="15" t="s">
        <v>1677</v>
      </c>
      <c r="Y755" s="5"/>
    </row>
    <row r="756" customFormat="false" ht="15" hidden="false" customHeight="false" outlineLevel="0" collapsed="false">
      <c r="A756" s="5" t="s">
        <v>8162</v>
      </c>
      <c r="B756" s="5" t="s">
        <v>840</v>
      </c>
      <c r="C756" s="5" t="s">
        <v>841</v>
      </c>
      <c r="D756" s="9" t="s">
        <v>66</v>
      </c>
      <c r="E756" s="5" t="n">
        <v>1</v>
      </c>
      <c r="F756" s="5" t="s">
        <v>8163</v>
      </c>
      <c r="G756" s="13" t="s">
        <v>8164</v>
      </c>
      <c r="H756" s="5" t="s">
        <v>8165</v>
      </c>
      <c r="I756" s="13" t="s">
        <v>8166</v>
      </c>
      <c r="J756" s="5" t="s">
        <v>8167</v>
      </c>
      <c r="K756" s="5" t="s">
        <v>8168</v>
      </c>
      <c r="L756" s="13" t="s">
        <v>8169</v>
      </c>
      <c r="M756" s="13" t="s">
        <v>8170</v>
      </c>
      <c r="N756" s="5" t="n">
        <f aca="false">LEN(L756)</f>
        <v>25</v>
      </c>
      <c r="O756" s="5" t="n">
        <f aca="false">LEN(M756)</f>
        <v>25</v>
      </c>
      <c r="P756" s="14" t="n">
        <f aca="false">IF(N756=0,"",(N756-LEN(SUBSTITUTE(SUBSTITUTE(L756,"G",""),"C","")))/N756)</f>
        <v>0.52</v>
      </c>
      <c r="Q756" s="14" t="n">
        <f aca="false">IF(O756=0,"",(O756-LEN(SUBSTITUTE(SUBSTITUTE(M756,"G",""),"C","")))/O756)</f>
        <v>0.84</v>
      </c>
      <c r="R756" s="5" t="s">
        <v>846</v>
      </c>
      <c r="S756" s="15" t="s">
        <v>1677</v>
      </c>
      <c r="T756" s="5" t="n">
        <v>6</v>
      </c>
      <c r="U756" s="5" t="s">
        <v>1678</v>
      </c>
      <c r="V756" s="5" t="s">
        <v>588</v>
      </c>
      <c r="W756" s="5"/>
      <c r="X756" s="15" t="s">
        <v>1677</v>
      </c>
      <c r="Y756" s="5"/>
    </row>
    <row r="757" customFormat="false" ht="15" hidden="false" customHeight="false" outlineLevel="0" collapsed="false">
      <c r="A757" s="5" t="s">
        <v>8171</v>
      </c>
      <c r="B757" s="5" t="s">
        <v>840</v>
      </c>
      <c r="C757" s="5" t="s">
        <v>841</v>
      </c>
      <c r="D757" s="9" t="s">
        <v>66</v>
      </c>
      <c r="E757" s="5" t="n">
        <v>2</v>
      </c>
      <c r="F757" s="5" t="s">
        <v>8172</v>
      </c>
      <c r="G757" s="13" t="s">
        <v>8173</v>
      </c>
      <c r="H757" s="5" t="s">
        <v>8174</v>
      </c>
      <c r="I757" s="13" t="s">
        <v>8175</v>
      </c>
      <c r="J757" s="5" t="s">
        <v>8176</v>
      </c>
      <c r="K757" s="5" t="s">
        <v>8177</v>
      </c>
      <c r="L757" s="13" t="s">
        <v>8178</v>
      </c>
      <c r="M757" s="13" t="s">
        <v>8179</v>
      </c>
      <c r="N757" s="5" t="n">
        <f aca="false">LEN(L757)</f>
        <v>25</v>
      </c>
      <c r="O757" s="5" t="n">
        <f aca="false">LEN(M757)</f>
        <v>25</v>
      </c>
      <c r="P757" s="14" t="n">
        <f aca="false">IF(N757=0,"",(N757-LEN(SUBSTITUTE(SUBSTITUTE(L757,"G",""),"C","")))/N757)</f>
        <v>0.4</v>
      </c>
      <c r="Q757" s="14" t="n">
        <f aca="false">IF(O757=0,"",(O757-LEN(SUBSTITUTE(SUBSTITUTE(M757,"G",""),"C","")))/O757)</f>
        <v>0.48</v>
      </c>
      <c r="R757" s="5" t="s">
        <v>846</v>
      </c>
      <c r="S757" s="15" t="s">
        <v>1677</v>
      </c>
      <c r="T757" s="5" t="n">
        <v>76</v>
      </c>
      <c r="U757" s="5" t="s">
        <v>1678</v>
      </c>
      <c r="V757" s="5" t="s">
        <v>588</v>
      </c>
      <c r="W757" s="5"/>
      <c r="X757" s="8" t="s">
        <v>1914</v>
      </c>
      <c r="Y757" s="5"/>
    </row>
    <row r="758" customFormat="false" ht="15" hidden="false" customHeight="false" outlineLevel="0" collapsed="false">
      <c r="A758" s="5" t="s">
        <v>8180</v>
      </c>
      <c r="B758" s="5" t="s">
        <v>840</v>
      </c>
      <c r="C758" s="5" t="s">
        <v>841</v>
      </c>
      <c r="D758" s="9" t="s">
        <v>66</v>
      </c>
      <c r="E758" s="5" t="n">
        <v>3</v>
      </c>
      <c r="F758" s="5" t="s">
        <v>8181</v>
      </c>
      <c r="G758" s="13" t="s">
        <v>8182</v>
      </c>
      <c r="H758" s="5" t="s">
        <v>8183</v>
      </c>
      <c r="I758" s="13" t="s">
        <v>8184</v>
      </c>
      <c r="J758" s="5" t="s">
        <v>8185</v>
      </c>
      <c r="K758" s="5" t="s">
        <v>8186</v>
      </c>
      <c r="L758" s="13" t="s">
        <v>8187</v>
      </c>
      <c r="M758" s="13" t="s">
        <v>8188</v>
      </c>
      <c r="N758" s="5" t="n">
        <f aca="false">LEN(L758)</f>
        <v>25</v>
      </c>
      <c r="O758" s="5" t="n">
        <f aca="false">LEN(M758)</f>
        <v>25</v>
      </c>
      <c r="P758" s="14" t="n">
        <f aca="false">IF(N758=0,"",(N758-LEN(SUBSTITUTE(SUBSTITUTE(L758,"G",""),"C","")))/N758)</f>
        <v>0.56</v>
      </c>
      <c r="Q758" s="14" t="n">
        <f aca="false">IF(O758=0,"",(O758-LEN(SUBSTITUTE(SUBSTITUTE(M758,"G",""),"C","")))/O758)</f>
        <v>0.68</v>
      </c>
      <c r="R758" s="5" t="s">
        <v>846</v>
      </c>
      <c r="S758" s="15" t="s">
        <v>1677</v>
      </c>
      <c r="T758" s="5" t="n">
        <v>146</v>
      </c>
      <c r="U758" s="5" t="s">
        <v>1678</v>
      </c>
      <c r="V758" s="5" t="s">
        <v>588</v>
      </c>
      <c r="W758" s="5"/>
      <c r="X758" s="8" t="s">
        <v>1914</v>
      </c>
      <c r="Y758" s="5"/>
    </row>
    <row r="759" customFormat="false" ht="15" hidden="false" customHeight="false" outlineLevel="0" collapsed="false">
      <c r="A759" s="5" t="s">
        <v>8189</v>
      </c>
      <c r="B759" s="5" t="s">
        <v>840</v>
      </c>
      <c r="C759" s="5" t="s">
        <v>841</v>
      </c>
      <c r="D759" s="9" t="s">
        <v>66</v>
      </c>
      <c r="E759" s="5" t="n">
        <v>4</v>
      </c>
      <c r="F759" s="5" t="s">
        <v>8190</v>
      </c>
      <c r="G759" s="13" t="s">
        <v>8191</v>
      </c>
      <c r="H759" s="5" t="s">
        <v>8192</v>
      </c>
      <c r="I759" s="13" t="s">
        <v>8193</v>
      </c>
      <c r="J759" s="5" t="s">
        <v>8194</v>
      </c>
      <c r="K759" s="5" t="s">
        <v>8195</v>
      </c>
      <c r="L759" s="13" t="s">
        <v>8196</v>
      </c>
      <c r="M759" s="13" t="s">
        <v>8197</v>
      </c>
      <c r="N759" s="5" t="n">
        <f aca="false">LEN(L759)</f>
        <v>25</v>
      </c>
      <c r="O759" s="5" t="n">
        <f aca="false">LEN(M759)</f>
        <v>25</v>
      </c>
      <c r="P759" s="14" t="n">
        <f aca="false">IF(N759=0,"",(N759-LEN(SUBSTITUTE(SUBSTITUTE(L759,"G",""),"C","")))/N759)</f>
        <v>0.6</v>
      </c>
      <c r="Q759" s="14" t="n">
        <f aca="false">IF(O759=0,"",(O759-LEN(SUBSTITUTE(SUBSTITUTE(M759,"G",""),"C","")))/O759)</f>
        <v>0.48</v>
      </c>
      <c r="R759" s="5" t="s">
        <v>846</v>
      </c>
      <c r="S759" s="15" t="s">
        <v>1677</v>
      </c>
      <c r="T759" s="5" t="n">
        <v>286</v>
      </c>
      <c r="U759" s="5" t="s">
        <v>1678</v>
      </c>
      <c r="V759" s="5" t="s">
        <v>154</v>
      </c>
      <c r="W759" s="5"/>
      <c r="X759" s="8" t="s">
        <v>2131</v>
      </c>
      <c r="Y759" s="5"/>
    </row>
    <row r="760" customFormat="false" ht="15" hidden="false" customHeight="false" outlineLevel="0" collapsed="false">
      <c r="A760" s="5" t="s">
        <v>8198</v>
      </c>
      <c r="B760" s="5" t="s">
        <v>840</v>
      </c>
      <c r="C760" s="5" t="s">
        <v>841</v>
      </c>
      <c r="D760" s="9" t="s">
        <v>66</v>
      </c>
      <c r="E760" s="5" t="n">
        <v>5</v>
      </c>
      <c r="F760" s="5" t="s">
        <v>8199</v>
      </c>
      <c r="G760" s="13" t="s">
        <v>8200</v>
      </c>
      <c r="H760" s="5" t="s">
        <v>8201</v>
      </c>
      <c r="I760" s="13" t="s">
        <v>8202</v>
      </c>
      <c r="J760" s="5" t="s">
        <v>8203</v>
      </c>
      <c r="K760" s="5" t="s">
        <v>8204</v>
      </c>
      <c r="L760" s="13" t="s">
        <v>8205</v>
      </c>
      <c r="M760" s="13" t="s">
        <v>8206</v>
      </c>
      <c r="N760" s="5" t="n">
        <f aca="false">LEN(L760)</f>
        <v>25</v>
      </c>
      <c r="O760" s="5" t="n">
        <f aca="false">LEN(M760)</f>
        <v>25</v>
      </c>
      <c r="P760" s="14" t="n">
        <f aca="false">IF(N760=0,"",(N760-LEN(SUBSTITUTE(SUBSTITUTE(L760,"G",""),"C","")))/N760)</f>
        <v>0.48</v>
      </c>
      <c r="Q760" s="14" t="n">
        <f aca="false">IF(O760=0,"",(O760-LEN(SUBSTITUTE(SUBSTITUTE(M760,"G",""),"C","")))/O760)</f>
        <v>0.44</v>
      </c>
      <c r="R760" s="5" t="s">
        <v>846</v>
      </c>
      <c r="S760" s="15" t="s">
        <v>1677</v>
      </c>
      <c r="T760" s="5" t="n">
        <v>356</v>
      </c>
      <c r="U760" s="5" t="s">
        <v>1678</v>
      </c>
      <c r="V760" s="5" t="s">
        <v>154</v>
      </c>
      <c r="W760" s="5"/>
      <c r="X760" s="15" t="s">
        <v>1677</v>
      </c>
      <c r="Y760" s="5"/>
    </row>
    <row r="761" customFormat="false" ht="15" hidden="false" customHeight="false" outlineLevel="0" collapsed="false">
      <c r="A761" s="5" t="s">
        <v>8207</v>
      </c>
      <c r="B761" s="5" t="s">
        <v>840</v>
      </c>
      <c r="C761" s="5" t="s">
        <v>841</v>
      </c>
      <c r="D761" s="9" t="s">
        <v>66</v>
      </c>
      <c r="E761" s="5" t="n">
        <v>6</v>
      </c>
      <c r="F761" s="5" t="s">
        <v>8208</v>
      </c>
      <c r="G761" s="13" t="s">
        <v>8209</v>
      </c>
      <c r="H761" s="5" t="s">
        <v>8210</v>
      </c>
      <c r="I761" s="13" t="s">
        <v>8211</v>
      </c>
      <c r="J761" s="5" t="s">
        <v>8212</v>
      </c>
      <c r="K761" s="5" t="s">
        <v>8213</v>
      </c>
      <c r="L761" s="13" t="s">
        <v>8214</v>
      </c>
      <c r="M761" s="13" t="s">
        <v>8215</v>
      </c>
      <c r="N761" s="5" t="n">
        <f aca="false">LEN(L761)</f>
        <v>25</v>
      </c>
      <c r="O761" s="5" t="n">
        <f aca="false">LEN(M761)</f>
        <v>25</v>
      </c>
      <c r="P761" s="14" t="n">
        <f aca="false">IF(N761=0,"",(N761-LEN(SUBSTITUTE(SUBSTITUTE(L761,"G",""),"C","")))/N761)</f>
        <v>0.52</v>
      </c>
      <c r="Q761" s="14" t="n">
        <f aca="false">IF(O761=0,"",(O761-LEN(SUBSTITUTE(SUBSTITUTE(M761,"G",""),"C","")))/O761)</f>
        <v>0.52</v>
      </c>
      <c r="R761" s="5" t="s">
        <v>846</v>
      </c>
      <c r="S761" s="15" t="s">
        <v>1677</v>
      </c>
      <c r="T761" s="5" t="n">
        <v>426</v>
      </c>
      <c r="U761" s="5" t="s">
        <v>1678</v>
      </c>
      <c r="V761" s="5" t="s">
        <v>154</v>
      </c>
      <c r="W761" s="5"/>
      <c r="X761" s="15" t="s">
        <v>1677</v>
      </c>
      <c r="Y761" s="5"/>
    </row>
    <row r="762" customFormat="false" ht="15" hidden="false" customHeight="false" outlineLevel="0" collapsed="false">
      <c r="A762" s="5" t="s">
        <v>8216</v>
      </c>
      <c r="B762" s="5" t="s">
        <v>840</v>
      </c>
      <c r="C762" s="5" t="s">
        <v>841</v>
      </c>
      <c r="D762" s="9" t="s">
        <v>66</v>
      </c>
      <c r="E762" s="5" t="n">
        <v>7</v>
      </c>
      <c r="F762" s="5" t="s">
        <v>8217</v>
      </c>
      <c r="G762" s="13" t="s">
        <v>8218</v>
      </c>
      <c r="H762" s="5" t="s">
        <v>8219</v>
      </c>
      <c r="I762" s="13" t="s">
        <v>8220</v>
      </c>
      <c r="J762" s="5" t="s">
        <v>8221</v>
      </c>
      <c r="K762" s="5" t="s">
        <v>8222</v>
      </c>
      <c r="L762" s="13" t="s">
        <v>8223</v>
      </c>
      <c r="M762" s="13" t="s">
        <v>8224</v>
      </c>
      <c r="N762" s="5" t="n">
        <f aca="false">LEN(L762)</f>
        <v>25</v>
      </c>
      <c r="O762" s="5" t="n">
        <f aca="false">LEN(M762)</f>
        <v>25</v>
      </c>
      <c r="P762" s="14" t="n">
        <f aca="false">IF(N762=0,"",(N762-LEN(SUBSTITUTE(SUBSTITUTE(L762,"G",""),"C","")))/N762)</f>
        <v>0.52</v>
      </c>
      <c r="Q762" s="14" t="n">
        <f aca="false">IF(O762=0,"",(O762-LEN(SUBSTITUTE(SUBSTITUTE(M762,"G",""),"C","")))/O762)</f>
        <v>0.32</v>
      </c>
      <c r="R762" s="5" t="s">
        <v>846</v>
      </c>
      <c r="S762" s="15" t="s">
        <v>1677</v>
      </c>
      <c r="T762" s="5" t="n">
        <v>496</v>
      </c>
      <c r="U762" s="5" t="s">
        <v>1678</v>
      </c>
      <c r="V762" s="5" t="s">
        <v>154</v>
      </c>
      <c r="W762" s="5"/>
      <c r="X762" s="15" t="s">
        <v>1677</v>
      </c>
      <c r="Y762" s="5"/>
    </row>
    <row r="763" customFormat="false" ht="15" hidden="false" customHeight="false" outlineLevel="0" collapsed="false">
      <c r="A763" s="5" t="s">
        <v>8225</v>
      </c>
      <c r="B763" s="5" t="s">
        <v>840</v>
      </c>
      <c r="C763" s="5" t="s">
        <v>841</v>
      </c>
      <c r="D763" s="9" t="s">
        <v>66</v>
      </c>
      <c r="E763" s="5" t="n">
        <v>8</v>
      </c>
      <c r="F763" s="5" t="s">
        <v>8226</v>
      </c>
      <c r="G763" s="13" t="s">
        <v>8227</v>
      </c>
      <c r="H763" s="5" t="s">
        <v>8228</v>
      </c>
      <c r="I763" s="13" t="s">
        <v>8229</v>
      </c>
      <c r="J763" s="5" t="s">
        <v>8230</v>
      </c>
      <c r="K763" s="5" t="s">
        <v>8231</v>
      </c>
      <c r="L763" s="13" t="s">
        <v>8232</v>
      </c>
      <c r="M763" s="13" t="s">
        <v>8233</v>
      </c>
      <c r="N763" s="5" t="n">
        <f aca="false">LEN(L763)</f>
        <v>25</v>
      </c>
      <c r="O763" s="5" t="n">
        <f aca="false">LEN(M763)</f>
        <v>25</v>
      </c>
      <c r="P763" s="14" t="n">
        <f aca="false">IF(N763=0,"",(N763-LEN(SUBSTITUTE(SUBSTITUTE(L763,"G",""),"C","")))/N763)</f>
        <v>0.6</v>
      </c>
      <c r="Q763" s="14" t="n">
        <f aca="false">IF(O763=0,"",(O763-LEN(SUBSTITUTE(SUBSTITUTE(M763,"G",""),"C","")))/O763)</f>
        <v>0.44</v>
      </c>
      <c r="R763" s="5" t="s">
        <v>846</v>
      </c>
      <c r="S763" s="15" t="s">
        <v>1677</v>
      </c>
      <c r="T763" s="5" t="n">
        <v>566</v>
      </c>
      <c r="U763" s="5" t="s">
        <v>1678</v>
      </c>
      <c r="V763" s="5" t="s">
        <v>154</v>
      </c>
      <c r="W763" s="5"/>
      <c r="X763" s="8" t="s">
        <v>1769</v>
      </c>
      <c r="Y763" s="5"/>
    </row>
    <row r="764" customFormat="false" ht="15" hidden="false" customHeight="false" outlineLevel="0" collapsed="false">
      <c r="A764" s="5" t="s">
        <v>8234</v>
      </c>
      <c r="B764" s="5" t="s">
        <v>849</v>
      </c>
      <c r="C764" s="5" t="s">
        <v>850</v>
      </c>
      <c r="D764" s="9" t="s">
        <v>66</v>
      </c>
      <c r="E764" s="5" t="n">
        <v>1</v>
      </c>
      <c r="F764" s="5" t="s">
        <v>8235</v>
      </c>
      <c r="G764" s="13" t="s">
        <v>8236</v>
      </c>
      <c r="H764" s="5" t="s">
        <v>8237</v>
      </c>
      <c r="I764" s="13" t="s">
        <v>8238</v>
      </c>
      <c r="J764" s="5" t="s">
        <v>8239</v>
      </c>
      <c r="K764" s="5" t="s">
        <v>8240</v>
      </c>
      <c r="L764" s="13" t="s">
        <v>8241</v>
      </c>
      <c r="M764" s="13" t="s">
        <v>8242</v>
      </c>
      <c r="N764" s="5" t="n">
        <f aca="false">LEN(L764)</f>
        <v>25</v>
      </c>
      <c r="O764" s="5" t="n">
        <f aca="false">LEN(M764)</f>
        <v>25</v>
      </c>
      <c r="P764" s="14" t="n">
        <f aca="false">IF(N764=0,"",(N764-LEN(SUBSTITUTE(SUBSTITUTE(L764,"G",""),"C","")))/N764)</f>
        <v>0.64</v>
      </c>
      <c r="Q764" s="14" t="n">
        <f aca="false">IF(O764=0,"",(O764-LEN(SUBSTITUTE(SUBSTITUTE(M764,"G",""),"C","")))/O764)</f>
        <v>0.72</v>
      </c>
      <c r="R764" s="5" t="s">
        <v>854</v>
      </c>
      <c r="S764" s="15" t="s">
        <v>1677</v>
      </c>
      <c r="T764" s="5" t="n">
        <v>76</v>
      </c>
      <c r="U764" s="5" t="s">
        <v>1678</v>
      </c>
      <c r="V764" s="5" t="s">
        <v>588</v>
      </c>
      <c r="W764" s="5"/>
      <c r="X764" s="15" t="s">
        <v>1677</v>
      </c>
      <c r="Y764" s="5"/>
    </row>
    <row r="765" customFormat="false" ht="15" hidden="false" customHeight="false" outlineLevel="0" collapsed="false">
      <c r="A765" s="5" t="s">
        <v>8243</v>
      </c>
      <c r="B765" s="5" t="s">
        <v>849</v>
      </c>
      <c r="C765" s="5" t="s">
        <v>850</v>
      </c>
      <c r="D765" s="9" t="s">
        <v>66</v>
      </c>
      <c r="E765" s="5" t="n">
        <v>2</v>
      </c>
      <c r="F765" s="5" t="s">
        <v>8244</v>
      </c>
      <c r="G765" s="13" t="s">
        <v>8245</v>
      </c>
      <c r="H765" s="5" t="s">
        <v>8246</v>
      </c>
      <c r="I765" s="13" t="s">
        <v>8247</v>
      </c>
      <c r="J765" s="5" t="s">
        <v>8248</v>
      </c>
      <c r="K765" s="5" t="s">
        <v>8249</v>
      </c>
      <c r="L765" s="13" t="s">
        <v>8250</v>
      </c>
      <c r="M765" s="13" t="s">
        <v>8251</v>
      </c>
      <c r="N765" s="5" t="n">
        <f aca="false">LEN(L765)</f>
        <v>25</v>
      </c>
      <c r="O765" s="5" t="n">
        <f aca="false">LEN(M765)</f>
        <v>25</v>
      </c>
      <c r="P765" s="14" t="n">
        <f aca="false">IF(N765=0,"",(N765-LEN(SUBSTITUTE(SUBSTITUTE(L765,"G",""),"C","")))/N765)</f>
        <v>0.64</v>
      </c>
      <c r="Q765" s="14" t="n">
        <f aca="false">IF(O765=0,"",(O765-LEN(SUBSTITUTE(SUBSTITUTE(M765,"G",""),"C","")))/O765)</f>
        <v>0.6</v>
      </c>
      <c r="R765" s="5" t="s">
        <v>854</v>
      </c>
      <c r="S765" s="15" t="s">
        <v>1677</v>
      </c>
      <c r="T765" s="5" t="n">
        <v>146</v>
      </c>
      <c r="U765" s="5" t="s">
        <v>1678</v>
      </c>
      <c r="V765" s="5" t="s">
        <v>588</v>
      </c>
      <c r="W765" s="5"/>
      <c r="X765" s="15" t="s">
        <v>1677</v>
      </c>
      <c r="Y765" s="5"/>
    </row>
    <row r="766" customFormat="false" ht="15" hidden="false" customHeight="false" outlineLevel="0" collapsed="false">
      <c r="A766" s="5" t="s">
        <v>8252</v>
      </c>
      <c r="B766" s="5" t="s">
        <v>849</v>
      </c>
      <c r="C766" s="5" t="s">
        <v>850</v>
      </c>
      <c r="D766" s="9" t="s">
        <v>66</v>
      </c>
      <c r="E766" s="5" t="n">
        <v>3</v>
      </c>
      <c r="F766" s="5" t="s">
        <v>8253</v>
      </c>
      <c r="G766" s="13" t="s">
        <v>8254</v>
      </c>
      <c r="H766" s="5" t="s">
        <v>8255</v>
      </c>
      <c r="I766" s="13" t="s">
        <v>8256</v>
      </c>
      <c r="J766" s="5" t="s">
        <v>8257</v>
      </c>
      <c r="K766" s="5" t="s">
        <v>8258</v>
      </c>
      <c r="L766" s="13" t="s">
        <v>8259</v>
      </c>
      <c r="M766" s="13" t="s">
        <v>8260</v>
      </c>
      <c r="N766" s="5" t="n">
        <f aca="false">LEN(L766)</f>
        <v>25</v>
      </c>
      <c r="O766" s="5" t="n">
        <f aca="false">LEN(M766)</f>
        <v>25</v>
      </c>
      <c r="P766" s="14" t="n">
        <f aca="false">IF(N766=0,"",(N766-LEN(SUBSTITUTE(SUBSTITUTE(L766,"G",""),"C","")))/N766)</f>
        <v>0.48</v>
      </c>
      <c r="Q766" s="14" t="n">
        <f aca="false">IF(O766=0,"",(O766-LEN(SUBSTITUTE(SUBSTITUTE(M766,"G",""),"C","")))/O766)</f>
        <v>0.48</v>
      </c>
      <c r="R766" s="5" t="s">
        <v>854</v>
      </c>
      <c r="S766" s="15" t="s">
        <v>1677</v>
      </c>
      <c r="T766" s="5" t="n">
        <v>216</v>
      </c>
      <c r="U766" s="5" t="s">
        <v>1678</v>
      </c>
      <c r="V766" s="5" t="s">
        <v>588</v>
      </c>
      <c r="W766" s="5"/>
      <c r="X766" s="15" t="s">
        <v>1677</v>
      </c>
      <c r="Y766" s="5"/>
    </row>
    <row r="767" customFormat="false" ht="15" hidden="false" customHeight="false" outlineLevel="0" collapsed="false">
      <c r="A767" s="5" t="s">
        <v>8261</v>
      </c>
      <c r="B767" s="5" t="s">
        <v>849</v>
      </c>
      <c r="C767" s="5" t="s">
        <v>850</v>
      </c>
      <c r="D767" s="9" t="s">
        <v>66</v>
      </c>
      <c r="E767" s="5" t="n">
        <v>4</v>
      </c>
      <c r="F767" s="5" t="s">
        <v>8262</v>
      </c>
      <c r="G767" s="13" t="s">
        <v>8263</v>
      </c>
      <c r="H767" s="5" t="s">
        <v>8264</v>
      </c>
      <c r="I767" s="13" t="s">
        <v>8265</v>
      </c>
      <c r="J767" s="5" t="s">
        <v>8266</v>
      </c>
      <c r="K767" s="5" t="s">
        <v>8267</v>
      </c>
      <c r="L767" s="13" t="s">
        <v>8268</v>
      </c>
      <c r="M767" s="13" t="s">
        <v>8269</v>
      </c>
      <c r="N767" s="5" t="n">
        <f aca="false">LEN(L767)</f>
        <v>25</v>
      </c>
      <c r="O767" s="5" t="n">
        <f aca="false">LEN(M767)</f>
        <v>25</v>
      </c>
      <c r="P767" s="14" t="n">
        <f aca="false">IF(N767=0,"",(N767-LEN(SUBSTITUTE(SUBSTITUTE(L767,"G",""),"C","")))/N767)</f>
        <v>0.52</v>
      </c>
      <c r="Q767" s="14" t="n">
        <f aca="false">IF(O767=0,"",(O767-LEN(SUBSTITUTE(SUBSTITUTE(M767,"G",""),"C","")))/O767)</f>
        <v>0.52</v>
      </c>
      <c r="R767" s="5" t="s">
        <v>854</v>
      </c>
      <c r="S767" s="15" t="s">
        <v>1677</v>
      </c>
      <c r="T767" s="5" t="n">
        <v>286</v>
      </c>
      <c r="U767" s="5" t="s">
        <v>1678</v>
      </c>
      <c r="V767" s="5" t="s">
        <v>588</v>
      </c>
      <c r="W767" s="5"/>
      <c r="X767" s="15" t="s">
        <v>1677</v>
      </c>
      <c r="Y767" s="5"/>
    </row>
    <row r="768" customFormat="false" ht="15" hidden="false" customHeight="false" outlineLevel="0" collapsed="false">
      <c r="A768" s="5" t="s">
        <v>8270</v>
      </c>
      <c r="B768" s="5" t="s">
        <v>849</v>
      </c>
      <c r="C768" s="5" t="s">
        <v>850</v>
      </c>
      <c r="D768" s="9" t="s">
        <v>66</v>
      </c>
      <c r="E768" s="5" t="n">
        <v>5</v>
      </c>
      <c r="F768" s="5" t="s">
        <v>8271</v>
      </c>
      <c r="G768" s="13" t="s">
        <v>8272</v>
      </c>
      <c r="H768" s="5" t="s">
        <v>8273</v>
      </c>
      <c r="I768" s="13" t="s">
        <v>8274</v>
      </c>
      <c r="J768" s="5" t="s">
        <v>8275</v>
      </c>
      <c r="K768" s="5" t="s">
        <v>8276</v>
      </c>
      <c r="L768" s="13" t="s">
        <v>8277</v>
      </c>
      <c r="M768" s="13" t="s">
        <v>8278</v>
      </c>
      <c r="N768" s="5" t="n">
        <f aca="false">LEN(L768)</f>
        <v>25</v>
      </c>
      <c r="O768" s="5" t="n">
        <f aca="false">LEN(M768)</f>
        <v>25</v>
      </c>
      <c r="P768" s="14" t="n">
        <f aca="false">IF(N768=0,"",(N768-LEN(SUBSTITUTE(SUBSTITUTE(L768,"G",""),"C","")))/N768)</f>
        <v>0.44</v>
      </c>
      <c r="Q768" s="14" t="n">
        <f aca="false">IF(O768=0,"",(O768-LEN(SUBSTITUTE(SUBSTITUTE(M768,"G",""),"C","")))/O768)</f>
        <v>0.72</v>
      </c>
      <c r="R768" s="5" t="s">
        <v>854</v>
      </c>
      <c r="S768" s="15" t="s">
        <v>1677</v>
      </c>
      <c r="T768" s="5" t="n">
        <v>356</v>
      </c>
      <c r="U768" s="5" t="s">
        <v>1678</v>
      </c>
      <c r="V768" s="5" t="s">
        <v>588</v>
      </c>
      <c r="W768" s="5"/>
      <c r="X768" s="15" t="s">
        <v>1677</v>
      </c>
      <c r="Y768" s="5"/>
    </row>
    <row r="769" customFormat="false" ht="15" hidden="false" customHeight="false" outlineLevel="0" collapsed="false">
      <c r="A769" s="5" t="s">
        <v>8279</v>
      </c>
      <c r="B769" s="5" t="s">
        <v>849</v>
      </c>
      <c r="C769" s="5" t="s">
        <v>850</v>
      </c>
      <c r="D769" s="9" t="s">
        <v>66</v>
      </c>
      <c r="E769" s="5" t="n">
        <v>6</v>
      </c>
      <c r="F769" s="5" t="s">
        <v>8280</v>
      </c>
      <c r="G769" s="13" t="s">
        <v>8281</v>
      </c>
      <c r="H769" s="5" t="s">
        <v>8282</v>
      </c>
      <c r="I769" s="13" t="s">
        <v>8283</v>
      </c>
      <c r="J769" s="5" t="s">
        <v>8284</v>
      </c>
      <c r="K769" s="5" t="s">
        <v>8285</v>
      </c>
      <c r="L769" s="13" t="s">
        <v>8286</v>
      </c>
      <c r="M769" s="13" t="s">
        <v>8287</v>
      </c>
      <c r="N769" s="5" t="n">
        <f aca="false">LEN(L769)</f>
        <v>25</v>
      </c>
      <c r="O769" s="5" t="n">
        <f aca="false">LEN(M769)</f>
        <v>25</v>
      </c>
      <c r="P769" s="14" t="n">
        <f aca="false">IF(N769=0,"",(N769-LEN(SUBSTITUTE(SUBSTITUTE(L769,"G",""),"C","")))/N769)</f>
        <v>0.52</v>
      </c>
      <c r="Q769" s="14" t="n">
        <f aca="false">IF(O769=0,"",(O769-LEN(SUBSTITUTE(SUBSTITUTE(M769,"G",""),"C","")))/O769)</f>
        <v>0.4</v>
      </c>
      <c r="R769" s="5" t="s">
        <v>854</v>
      </c>
      <c r="S769" s="15" t="s">
        <v>1677</v>
      </c>
      <c r="T769" s="5" t="n">
        <v>426</v>
      </c>
      <c r="U769" s="5" t="s">
        <v>1678</v>
      </c>
      <c r="V769" s="5" t="s">
        <v>588</v>
      </c>
      <c r="W769" s="5"/>
      <c r="X769" s="15" t="s">
        <v>1677</v>
      </c>
      <c r="Y769" s="5"/>
    </row>
    <row r="770" customFormat="false" ht="15" hidden="false" customHeight="false" outlineLevel="0" collapsed="false">
      <c r="A770" s="5" t="s">
        <v>8288</v>
      </c>
      <c r="B770" s="5" t="s">
        <v>857</v>
      </c>
      <c r="C770" s="5" t="s">
        <v>858</v>
      </c>
      <c r="D770" s="9" t="s">
        <v>66</v>
      </c>
      <c r="E770" s="5" t="n">
        <v>1</v>
      </c>
      <c r="F770" s="5" t="s">
        <v>8289</v>
      </c>
      <c r="G770" s="13" t="s">
        <v>8290</v>
      </c>
      <c r="H770" s="5" t="s">
        <v>8291</v>
      </c>
      <c r="I770" s="13" t="s">
        <v>8292</v>
      </c>
      <c r="J770" s="5" t="s">
        <v>8293</v>
      </c>
      <c r="K770" s="5" t="s">
        <v>8294</v>
      </c>
      <c r="L770" s="13" t="s">
        <v>8295</v>
      </c>
      <c r="M770" s="13" t="s">
        <v>8296</v>
      </c>
      <c r="N770" s="5" t="n">
        <f aca="false">LEN(L770)</f>
        <v>25</v>
      </c>
      <c r="O770" s="5" t="n">
        <f aca="false">LEN(M770)</f>
        <v>25</v>
      </c>
      <c r="P770" s="14" t="n">
        <f aca="false">IF(N770=0,"",(N770-LEN(SUBSTITUTE(SUBSTITUTE(L770,"G",""),"C","")))/N770)</f>
        <v>0.88</v>
      </c>
      <c r="Q770" s="14" t="n">
        <f aca="false">IF(O770=0,"",(O770-LEN(SUBSTITUTE(SUBSTITUTE(M770,"G",""),"C","")))/O770)</f>
        <v>0.76</v>
      </c>
      <c r="R770" s="5" t="s">
        <v>862</v>
      </c>
      <c r="S770" s="15" t="s">
        <v>1677</v>
      </c>
      <c r="T770" s="5" t="n">
        <v>216</v>
      </c>
      <c r="U770" s="5" t="s">
        <v>1678</v>
      </c>
      <c r="V770" s="5" t="s">
        <v>588</v>
      </c>
      <c r="W770" s="5"/>
      <c r="X770" s="15" t="s">
        <v>1677</v>
      </c>
      <c r="Y770" s="5"/>
    </row>
    <row r="771" customFormat="false" ht="15" hidden="false" customHeight="false" outlineLevel="0" collapsed="false">
      <c r="A771" s="5" t="s">
        <v>8297</v>
      </c>
      <c r="B771" s="5" t="s">
        <v>857</v>
      </c>
      <c r="C771" s="5" t="s">
        <v>858</v>
      </c>
      <c r="D771" s="9" t="s">
        <v>66</v>
      </c>
      <c r="E771" s="5" t="n">
        <v>2</v>
      </c>
      <c r="F771" s="5" t="s">
        <v>8298</v>
      </c>
      <c r="G771" s="13" t="s">
        <v>8299</v>
      </c>
      <c r="H771" s="5" t="s">
        <v>8300</v>
      </c>
      <c r="I771" s="13" t="s">
        <v>8301</v>
      </c>
      <c r="J771" s="5" t="s">
        <v>8302</v>
      </c>
      <c r="K771" s="5" t="s">
        <v>8303</v>
      </c>
      <c r="L771" s="13" t="s">
        <v>8304</v>
      </c>
      <c r="M771" s="13" t="s">
        <v>8305</v>
      </c>
      <c r="N771" s="5" t="n">
        <f aca="false">LEN(L771)</f>
        <v>25</v>
      </c>
      <c r="O771" s="5" t="n">
        <f aca="false">LEN(M771)</f>
        <v>25</v>
      </c>
      <c r="P771" s="14" t="n">
        <f aca="false">IF(N771=0,"",(N771-LEN(SUBSTITUTE(SUBSTITUTE(L771,"G",""),"C","")))/N771)</f>
        <v>0.76</v>
      </c>
      <c r="Q771" s="14" t="n">
        <f aca="false">IF(O771=0,"",(O771-LEN(SUBSTITUTE(SUBSTITUTE(M771,"G",""),"C","")))/O771)</f>
        <v>0.64</v>
      </c>
      <c r="R771" s="5" t="s">
        <v>862</v>
      </c>
      <c r="S771" s="15" t="s">
        <v>1677</v>
      </c>
      <c r="T771" s="5" t="n">
        <v>286</v>
      </c>
      <c r="U771" s="5" t="s">
        <v>1678</v>
      </c>
      <c r="V771" s="5" t="s">
        <v>588</v>
      </c>
      <c r="W771" s="5"/>
      <c r="X771" s="15" t="s">
        <v>1677</v>
      </c>
      <c r="Y771" s="5"/>
    </row>
    <row r="772" customFormat="false" ht="15" hidden="false" customHeight="false" outlineLevel="0" collapsed="false">
      <c r="A772" s="5" t="s">
        <v>8306</v>
      </c>
      <c r="B772" s="5" t="s">
        <v>857</v>
      </c>
      <c r="C772" s="5" t="s">
        <v>858</v>
      </c>
      <c r="D772" s="9" t="s">
        <v>66</v>
      </c>
      <c r="E772" s="5" t="n">
        <v>3</v>
      </c>
      <c r="F772" s="5" t="s">
        <v>8307</v>
      </c>
      <c r="G772" s="13" t="s">
        <v>8308</v>
      </c>
      <c r="H772" s="5" t="s">
        <v>8309</v>
      </c>
      <c r="I772" s="13" t="s">
        <v>8310</v>
      </c>
      <c r="J772" s="5" t="s">
        <v>8311</v>
      </c>
      <c r="K772" s="5" t="s">
        <v>8312</v>
      </c>
      <c r="L772" s="13" t="s">
        <v>8313</v>
      </c>
      <c r="M772" s="13" t="s">
        <v>8314</v>
      </c>
      <c r="N772" s="5" t="n">
        <f aca="false">LEN(L772)</f>
        <v>25</v>
      </c>
      <c r="O772" s="5" t="n">
        <f aca="false">LEN(M772)</f>
        <v>25</v>
      </c>
      <c r="P772" s="14" t="n">
        <f aca="false">IF(N772=0,"",(N772-LEN(SUBSTITUTE(SUBSTITUTE(L772,"G",""),"C","")))/N772)</f>
        <v>0.6</v>
      </c>
      <c r="Q772" s="14" t="n">
        <f aca="false">IF(O772=0,"",(O772-LEN(SUBSTITUTE(SUBSTITUTE(M772,"G",""),"C","")))/O772)</f>
        <v>0.56</v>
      </c>
      <c r="R772" s="5" t="s">
        <v>862</v>
      </c>
      <c r="S772" s="15" t="s">
        <v>1677</v>
      </c>
      <c r="T772" s="5" t="n">
        <v>356</v>
      </c>
      <c r="U772" s="5" t="s">
        <v>1678</v>
      </c>
      <c r="V772" s="5" t="s">
        <v>588</v>
      </c>
      <c r="W772" s="5"/>
      <c r="X772" s="15" t="s">
        <v>1677</v>
      </c>
      <c r="Y772" s="5"/>
    </row>
    <row r="773" customFormat="false" ht="15" hidden="false" customHeight="false" outlineLevel="0" collapsed="false">
      <c r="A773" s="5" t="s">
        <v>8315</v>
      </c>
      <c r="B773" s="5" t="s">
        <v>857</v>
      </c>
      <c r="C773" s="5" t="s">
        <v>858</v>
      </c>
      <c r="D773" s="9" t="s">
        <v>66</v>
      </c>
      <c r="E773" s="5" t="n">
        <v>4</v>
      </c>
      <c r="F773" s="5" t="s">
        <v>8316</v>
      </c>
      <c r="G773" s="13" t="s">
        <v>8317</v>
      </c>
      <c r="H773" s="5" t="s">
        <v>8318</v>
      </c>
      <c r="I773" s="13" t="s">
        <v>8319</v>
      </c>
      <c r="J773" s="5" t="s">
        <v>8320</v>
      </c>
      <c r="K773" s="5" t="s">
        <v>8321</v>
      </c>
      <c r="L773" s="13" t="s">
        <v>8322</v>
      </c>
      <c r="M773" s="13" t="s">
        <v>8323</v>
      </c>
      <c r="N773" s="5" t="n">
        <f aca="false">LEN(L773)</f>
        <v>25</v>
      </c>
      <c r="O773" s="5" t="n">
        <f aca="false">LEN(M773)</f>
        <v>25</v>
      </c>
      <c r="P773" s="14" t="n">
        <f aca="false">IF(N773=0,"",(N773-LEN(SUBSTITUTE(SUBSTITUTE(L773,"G",""),"C","")))/N773)</f>
        <v>0.8</v>
      </c>
      <c r="Q773" s="14" t="n">
        <f aca="false">IF(O773=0,"",(O773-LEN(SUBSTITUTE(SUBSTITUTE(M773,"G",""),"C","")))/O773)</f>
        <v>0.84</v>
      </c>
      <c r="R773" s="5" t="s">
        <v>862</v>
      </c>
      <c r="S773" s="15" t="s">
        <v>1677</v>
      </c>
      <c r="T773" s="5" t="n">
        <v>426</v>
      </c>
      <c r="U773" s="5" t="s">
        <v>1678</v>
      </c>
      <c r="V773" s="5" t="s">
        <v>588</v>
      </c>
      <c r="W773" s="5"/>
      <c r="X773" s="15" t="s">
        <v>1677</v>
      </c>
      <c r="Y773" s="5"/>
    </row>
    <row r="774" customFormat="false" ht="15" hidden="false" customHeight="false" outlineLevel="0" collapsed="false">
      <c r="A774" s="5" t="s">
        <v>8324</v>
      </c>
      <c r="B774" s="5" t="s">
        <v>857</v>
      </c>
      <c r="C774" s="5" t="s">
        <v>858</v>
      </c>
      <c r="D774" s="9" t="s">
        <v>66</v>
      </c>
      <c r="E774" s="5" t="n">
        <v>5</v>
      </c>
      <c r="F774" s="5" t="s">
        <v>8325</v>
      </c>
      <c r="G774" s="13" t="s">
        <v>8326</v>
      </c>
      <c r="H774" s="5" t="s">
        <v>8327</v>
      </c>
      <c r="I774" s="13" t="s">
        <v>8328</v>
      </c>
      <c r="J774" s="5" t="s">
        <v>8329</v>
      </c>
      <c r="K774" s="5" t="s">
        <v>8330</v>
      </c>
      <c r="L774" s="13" t="s">
        <v>8331</v>
      </c>
      <c r="M774" s="13" t="s">
        <v>8332</v>
      </c>
      <c r="N774" s="5" t="n">
        <f aca="false">LEN(L774)</f>
        <v>25</v>
      </c>
      <c r="O774" s="5" t="n">
        <f aca="false">LEN(M774)</f>
        <v>25</v>
      </c>
      <c r="P774" s="14" t="n">
        <f aca="false">IF(N774=0,"",(N774-LEN(SUBSTITUTE(SUBSTITUTE(L774,"G",""),"C","")))/N774)</f>
        <v>0.92</v>
      </c>
      <c r="Q774" s="14" t="n">
        <f aca="false">IF(O774=0,"",(O774-LEN(SUBSTITUTE(SUBSTITUTE(M774,"G",""),"C","")))/O774)</f>
        <v>0.52</v>
      </c>
      <c r="R774" s="5" t="s">
        <v>862</v>
      </c>
      <c r="S774" s="15" t="s">
        <v>1677</v>
      </c>
      <c r="T774" s="5" t="n">
        <v>496</v>
      </c>
      <c r="U774" s="5" t="s">
        <v>1678</v>
      </c>
      <c r="V774" s="5" t="s">
        <v>588</v>
      </c>
      <c r="W774" s="5"/>
      <c r="X774" s="15" t="s">
        <v>1677</v>
      </c>
      <c r="Y774" s="5"/>
    </row>
    <row r="775" customFormat="false" ht="15" hidden="false" customHeight="false" outlineLevel="0" collapsed="false">
      <c r="A775" s="5" t="s">
        <v>8333</v>
      </c>
      <c r="B775" s="5" t="s">
        <v>857</v>
      </c>
      <c r="C775" s="5" t="s">
        <v>858</v>
      </c>
      <c r="D775" s="9" t="s">
        <v>66</v>
      </c>
      <c r="E775" s="5" t="n">
        <v>6</v>
      </c>
      <c r="F775" s="5" t="s">
        <v>8334</v>
      </c>
      <c r="G775" s="13" t="s">
        <v>8335</v>
      </c>
      <c r="H775" s="5" t="s">
        <v>8336</v>
      </c>
      <c r="I775" s="13" t="s">
        <v>8337</v>
      </c>
      <c r="J775" s="5" t="s">
        <v>8338</v>
      </c>
      <c r="K775" s="5" t="s">
        <v>8339</v>
      </c>
      <c r="L775" s="13" t="s">
        <v>8340</v>
      </c>
      <c r="M775" s="13" t="s">
        <v>8341</v>
      </c>
      <c r="N775" s="5" t="n">
        <f aca="false">LEN(L775)</f>
        <v>25</v>
      </c>
      <c r="O775" s="5" t="n">
        <f aca="false">LEN(M775)</f>
        <v>25</v>
      </c>
      <c r="P775" s="14" t="n">
        <f aca="false">IF(N775=0,"",(N775-LEN(SUBSTITUTE(SUBSTITUTE(L775,"G",""),"C","")))/N775)</f>
        <v>0.72</v>
      </c>
      <c r="Q775" s="14" t="n">
        <f aca="false">IF(O775=0,"",(O775-LEN(SUBSTITUTE(SUBSTITUTE(M775,"G",""),"C","")))/O775)</f>
        <v>0.92</v>
      </c>
      <c r="R775" s="5" t="s">
        <v>862</v>
      </c>
      <c r="S775" s="15" t="s">
        <v>1677</v>
      </c>
      <c r="T775" s="5" t="n">
        <v>566</v>
      </c>
      <c r="U775" s="5" t="s">
        <v>1678</v>
      </c>
      <c r="V775" s="5" t="s">
        <v>588</v>
      </c>
      <c r="W775" s="5"/>
      <c r="X775" s="15" t="s">
        <v>1677</v>
      </c>
      <c r="Y775" s="5"/>
    </row>
    <row r="776" customFormat="false" ht="15" hidden="false" customHeight="false" outlineLevel="0" collapsed="false">
      <c r="A776" s="5" t="s">
        <v>8342</v>
      </c>
      <c r="B776" s="5" t="s">
        <v>864</v>
      </c>
      <c r="C776" s="5" t="s">
        <v>865</v>
      </c>
      <c r="D776" s="9" t="s">
        <v>66</v>
      </c>
      <c r="E776" s="5" t="n">
        <v>1</v>
      </c>
      <c r="F776" s="5" t="s">
        <v>8343</v>
      </c>
      <c r="G776" s="13" t="s">
        <v>8344</v>
      </c>
      <c r="H776" s="5" t="s">
        <v>8345</v>
      </c>
      <c r="I776" s="13" t="s">
        <v>8346</v>
      </c>
      <c r="J776" s="5" t="s">
        <v>8347</v>
      </c>
      <c r="K776" s="5" t="s">
        <v>8348</v>
      </c>
      <c r="L776" s="13" t="s">
        <v>8349</v>
      </c>
      <c r="M776" s="13" t="s">
        <v>8350</v>
      </c>
      <c r="N776" s="5" t="n">
        <f aca="false">LEN(L776)</f>
        <v>25</v>
      </c>
      <c r="O776" s="5" t="n">
        <f aca="false">LEN(M776)</f>
        <v>25</v>
      </c>
      <c r="P776" s="14" t="n">
        <f aca="false">IF(N776=0,"",(N776-LEN(SUBSTITUTE(SUBSTITUTE(L776,"G",""),"C","")))/N776)</f>
        <v>0.28</v>
      </c>
      <c r="Q776" s="14" t="n">
        <f aca="false">IF(O776=0,"",(O776-LEN(SUBSTITUTE(SUBSTITUTE(M776,"G",""),"C","")))/O776)</f>
        <v>0.56</v>
      </c>
      <c r="R776" s="5" t="s">
        <v>868</v>
      </c>
      <c r="S776" s="15" t="s">
        <v>1677</v>
      </c>
      <c r="T776" s="5" t="n">
        <v>6</v>
      </c>
      <c r="U776" s="5" t="s">
        <v>1678</v>
      </c>
      <c r="V776" s="5" t="s">
        <v>588</v>
      </c>
      <c r="W776" s="5"/>
      <c r="X776" s="15" t="s">
        <v>1677</v>
      </c>
      <c r="Y776" s="5"/>
    </row>
    <row r="777" customFormat="false" ht="15" hidden="false" customHeight="false" outlineLevel="0" collapsed="false">
      <c r="A777" s="5" t="s">
        <v>8351</v>
      </c>
      <c r="B777" s="5" t="s">
        <v>864</v>
      </c>
      <c r="C777" s="5" t="s">
        <v>865</v>
      </c>
      <c r="D777" s="9" t="s">
        <v>66</v>
      </c>
      <c r="E777" s="5" t="n">
        <v>2</v>
      </c>
      <c r="F777" s="5" t="s">
        <v>8352</v>
      </c>
      <c r="G777" s="13" t="s">
        <v>8353</v>
      </c>
      <c r="H777" s="5" t="s">
        <v>8354</v>
      </c>
      <c r="I777" s="13" t="s">
        <v>8355</v>
      </c>
      <c r="J777" s="5" t="s">
        <v>8356</v>
      </c>
      <c r="K777" s="5" t="s">
        <v>8357</v>
      </c>
      <c r="L777" s="13" t="s">
        <v>8358</v>
      </c>
      <c r="M777" s="13" t="s">
        <v>8359</v>
      </c>
      <c r="N777" s="5" t="n">
        <f aca="false">LEN(L777)</f>
        <v>25</v>
      </c>
      <c r="O777" s="5" t="n">
        <f aca="false">LEN(M777)</f>
        <v>25</v>
      </c>
      <c r="P777" s="14" t="n">
        <f aca="false">IF(N777=0,"",(N777-LEN(SUBSTITUTE(SUBSTITUTE(L777,"G",""),"C","")))/N777)</f>
        <v>0.36</v>
      </c>
      <c r="Q777" s="14" t="n">
        <f aca="false">IF(O777=0,"",(O777-LEN(SUBSTITUTE(SUBSTITUTE(M777,"G",""),"C","")))/O777)</f>
        <v>0.48</v>
      </c>
      <c r="R777" s="5" t="s">
        <v>868</v>
      </c>
      <c r="S777" s="15" t="s">
        <v>1677</v>
      </c>
      <c r="T777" s="5" t="n">
        <v>76</v>
      </c>
      <c r="U777" s="5" t="s">
        <v>1678</v>
      </c>
      <c r="V777" s="5" t="s">
        <v>588</v>
      </c>
      <c r="W777" s="5"/>
      <c r="X777" s="15" t="s">
        <v>1677</v>
      </c>
      <c r="Y777" s="5"/>
    </row>
    <row r="778" customFormat="false" ht="15" hidden="false" customHeight="false" outlineLevel="0" collapsed="false">
      <c r="A778" s="5" t="s">
        <v>8360</v>
      </c>
      <c r="B778" s="5" t="s">
        <v>864</v>
      </c>
      <c r="C778" s="5" t="s">
        <v>865</v>
      </c>
      <c r="D778" s="9" t="s">
        <v>66</v>
      </c>
      <c r="E778" s="5" t="n">
        <v>3</v>
      </c>
      <c r="F778" s="5" t="s">
        <v>8361</v>
      </c>
      <c r="G778" s="13" t="s">
        <v>8362</v>
      </c>
      <c r="H778" s="5" t="s">
        <v>8363</v>
      </c>
      <c r="I778" s="13" t="s">
        <v>8364</v>
      </c>
      <c r="J778" s="5" t="s">
        <v>8365</v>
      </c>
      <c r="K778" s="5" t="s">
        <v>8366</v>
      </c>
      <c r="L778" s="13" t="s">
        <v>8367</v>
      </c>
      <c r="M778" s="13" t="s">
        <v>8368</v>
      </c>
      <c r="N778" s="5" t="n">
        <f aca="false">LEN(L778)</f>
        <v>25</v>
      </c>
      <c r="O778" s="5" t="n">
        <f aca="false">LEN(M778)</f>
        <v>25</v>
      </c>
      <c r="P778" s="14" t="n">
        <f aca="false">IF(N778=0,"",(N778-LEN(SUBSTITUTE(SUBSTITUTE(L778,"G",""),"C","")))/N778)</f>
        <v>0.68</v>
      </c>
      <c r="Q778" s="14" t="n">
        <f aca="false">IF(O778=0,"",(O778-LEN(SUBSTITUTE(SUBSTITUTE(M778,"G",""),"C","")))/O778)</f>
        <v>0.68</v>
      </c>
      <c r="R778" s="5" t="s">
        <v>868</v>
      </c>
      <c r="S778" s="15" t="s">
        <v>1677</v>
      </c>
      <c r="T778" s="5" t="n">
        <v>146</v>
      </c>
      <c r="U778" s="5" t="s">
        <v>1678</v>
      </c>
      <c r="V778" s="5" t="s">
        <v>588</v>
      </c>
      <c r="W778" s="5"/>
      <c r="X778" s="15" t="s">
        <v>1677</v>
      </c>
      <c r="Y778" s="5"/>
    </row>
    <row r="779" customFormat="false" ht="15" hidden="false" customHeight="false" outlineLevel="0" collapsed="false">
      <c r="A779" s="5" t="s">
        <v>8369</v>
      </c>
      <c r="B779" s="5" t="s">
        <v>864</v>
      </c>
      <c r="C779" s="5" t="s">
        <v>865</v>
      </c>
      <c r="D779" s="9" t="s">
        <v>66</v>
      </c>
      <c r="E779" s="5" t="n">
        <v>4</v>
      </c>
      <c r="F779" s="5" t="s">
        <v>8370</v>
      </c>
      <c r="G779" s="13" t="s">
        <v>8371</v>
      </c>
      <c r="H779" s="5" t="s">
        <v>8372</v>
      </c>
      <c r="I779" s="13" t="s">
        <v>8373</v>
      </c>
      <c r="J779" s="5" t="s">
        <v>8374</v>
      </c>
      <c r="K779" s="5" t="s">
        <v>8375</v>
      </c>
      <c r="L779" s="13" t="s">
        <v>8376</v>
      </c>
      <c r="M779" s="13" t="s">
        <v>8377</v>
      </c>
      <c r="N779" s="5" t="n">
        <f aca="false">LEN(L779)</f>
        <v>25</v>
      </c>
      <c r="O779" s="5" t="n">
        <f aca="false">LEN(M779)</f>
        <v>25</v>
      </c>
      <c r="P779" s="14" t="n">
        <f aca="false">IF(N779=0,"",(N779-LEN(SUBSTITUTE(SUBSTITUTE(L779,"G",""),"C","")))/N779)</f>
        <v>0.6</v>
      </c>
      <c r="Q779" s="14" t="n">
        <f aca="false">IF(O779=0,"",(O779-LEN(SUBSTITUTE(SUBSTITUTE(M779,"G",""),"C","")))/O779)</f>
        <v>0.52</v>
      </c>
      <c r="R779" s="5" t="s">
        <v>868</v>
      </c>
      <c r="S779" s="15" t="s">
        <v>1677</v>
      </c>
      <c r="T779" s="5" t="n">
        <v>216</v>
      </c>
      <c r="U779" s="5" t="s">
        <v>1678</v>
      </c>
      <c r="V779" s="5" t="s">
        <v>588</v>
      </c>
      <c r="W779" s="5"/>
      <c r="X779" s="15" t="s">
        <v>1677</v>
      </c>
      <c r="Y779" s="5"/>
    </row>
    <row r="780" customFormat="false" ht="15" hidden="false" customHeight="false" outlineLevel="0" collapsed="false">
      <c r="A780" s="5" t="s">
        <v>8378</v>
      </c>
      <c r="B780" s="5" t="s">
        <v>864</v>
      </c>
      <c r="C780" s="5" t="s">
        <v>865</v>
      </c>
      <c r="D780" s="9" t="s">
        <v>66</v>
      </c>
      <c r="E780" s="5" t="n">
        <v>5</v>
      </c>
      <c r="F780" s="5" t="s">
        <v>8379</v>
      </c>
      <c r="G780" s="13" t="s">
        <v>8380</v>
      </c>
      <c r="H780" s="5" t="s">
        <v>8381</v>
      </c>
      <c r="I780" s="13" t="s">
        <v>8382</v>
      </c>
      <c r="J780" s="5" t="s">
        <v>8383</v>
      </c>
      <c r="K780" s="5" t="s">
        <v>8384</v>
      </c>
      <c r="L780" s="13" t="s">
        <v>8385</v>
      </c>
      <c r="M780" s="13" t="s">
        <v>8386</v>
      </c>
      <c r="N780" s="5" t="n">
        <f aca="false">LEN(L780)</f>
        <v>25</v>
      </c>
      <c r="O780" s="5" t="n">
        <f aca="false">LEN(M780)</f>
        <v>25</v>
      </c>
      <c r="P780" s="14" t="n">
        <f aca="false">IF(N780=0,"",(N780-LEN(SUBSTITUTE(SUBSTITUTE(L780,"G",""),"C","")))/N780)</f>
        <v>0.36</v>
      </c>
      <c r="Q780" s="14" t="n">
        <f aca="false">IF(O780=0,"",(O780-LEN(SUBSTITUTE(SUBSTITUTE(M780,"G",""),"C","")))/O780)</f>
        <v>0.56</v>
      </c>
      <c r="R780" s="5" t="s">
        <v>868</v>
      </c>
      <c r="S780" s="15" t="s">
        <v>1677</v>
      </c>
      <c r="T780" s="5" t="n">
        <v>286</v>
      </c>
      <c r="U780" s="5" t="s">
        <v>1678</v>
      </c>
      <c r="V780" s="5" t="s">
        <v>588</v>
      </c>
      <c r="W780" s="5"/>
      <c r="X780" s="15" t="s">
        <v>1677</v>
      </c>
      <c r="Y780" s="5"/>
    </row>
    <row r="781" customFormat="false" ht="15" hidden="false" customHeight="false" outlineLevel="0" collapsed="false">
      <c r="A781" s="5" t="s">
        <v>8387</v>
      </c>
      <c r="B781" s="5" t="s">
        <v>871</v>
      </c>
      <c r="C781" s="5" t="s">
        <v>872</v>
      </c>
      <c r="D781" s="9" t="s">
        <v>66</v>
      </c>
      <c r="E781" s="5" t="n">
        <v>1</v>
      </c>
      <c r="F781" s="5" t="s">
        <v>8388</v>
      </c>
      <c r="G781" s="13" t="s">
        <v>8389</v>
      </c>
      <c r="H781" s="5" t="s">
        <v>8390</v>
      </c>
      <c r="I781" s="13" t="s">
        <v>8391</v>
      </c>
      <c r="J781" s="5" t="s">
        <v>8392</v>
      </c>
      <c r="K781" s="5" t="s">
        <v>8393</v>
      </c>
      <c r="L781" s="13" t="s">
        <v>8394</v>
      </c>
      <c r="M781" s="13" t="s">
        <v>8395</v>
      </c>
      <c r="N781" s="5" t="n">
        <f aca="false">LEN(L781)</f>
        <v>22</v>
      </c>
      <c r="O781" s="5" t="n">
        <f aca="false">LEN(M781)</f>
        <v>25</v>
      </c>
      <c r="P781" s="14" t="n">
        <f aca="false">IF(N781=0,"",(N781-LEN(SUBSTITUTE(SUBSTITUTE(L781,"G",""),"C","")))/N781)</f>
        <v>0.727272727272727</v>
      </c>
      <c r="Q781" s="14" t="n">
        <f aca="false">IF(O781=0,"",(O781-LEN(SUBSTITUTE(SUBSTITUTE(M781,"G",""),"C","")))/O781)</f>
        <v>0.76</v>
      </c>
      <c r="R781" s="5" t="s">
        <v>876</v>
      </c>
      <c r="S781" s="15" t="s">
        <v>1677</v>
      </c>
      <c r="T781" s="5" t="n">
        <v>12</v>
      </c>
      <c r="U781" s="5" t="s">
        <v>2986</v>
      </c>
      <c r="V781" s="5" t="s">
        <v>588</v>
      </c>
      <c r="W781" s="5"/>
      <c r="X781" s="15" t="s">
        <v>1677</v>
      </c>
      <c r="Y781" s="8" t="s">
        <v>8396</v>
      </c>
    </row>
    <row r="782" customFormat="false" ht="15" hidden="false" customHeight="false" outlineLevel="0" collapsed="false">
      <c r="A782" s="5" t="s">
        <v>8397</v>
      </c>
      <c r="B782" s="5" t="s">
        <v>871</v>
      </c>
      <c r="C782" s="5" t="s">
        <v>872</v>
      </c>
      <c r="D782" s="9" t="s">
        <v>66</v>
      </c>
      <c r="E782" s="5" t="n">
        <v>2</v>
      </c>
      <c r="F782" s="5" t="s">
        <v>8398</v>
      </c>
      <c r="G782" s="13" t="s">
        <v>8399</v>
      </c>
      <c r="H782" s="5" t="s">
        <v>8400</v>
      </c>
      <c r="I782" s="13" t="s">
        <v>8401</v>
      </c>
      <c r="J782" s="5" t="s">
        <v>8402</v>
      </c>
      <c r="K782" s="5" t="s">
        <v>8403</v>
      </c>
      <c r="L782" s="13" t="s">
        <v>8404</v>
      </c>
      <c r="M782" s="13" t="s">
        <v>8405</v>
      </c>
      <c r="N782" s="5" t="n">
        <f aca="false">LEN(L782)</f>
        <v>25</v>
      </c>
      <c r="O782" s="5" t="n">
        <f aca="false">LEN(M782)</f>
        <v>25</v>
      </c>
      <c r="P782" s="14" t="n">
        <f aca="false">IF(N782=0,"",(N782-LEN(SUBSTITUTE(SUBSTITUTE(L782,"G",""),"C","")))/N782)</f>
        <v>0.84</v>
      </c>
      <c r="Q782" s="14" t="n">
        <f aca="false">IF(O782=0,"",(O782-LEN(SUBSTITUTE(SUBSTITUTE(M782,"G",""),"C","")))/O782)</f>
        <v>0.88</v>
      </c>
      <c r="R782" s="5" t="s">
        <v>876</v>
      </c>
      <c r="S782" s="15" t="s">
        <v>1677</v>
      </c>
      <c r="T782" s="5" t="n">
        <v>51</v>
      </c>
      <c r="U782" s="5" t="s">
        <v>1678</v>
      </c>
      <c r="V782" s="5" t="s">
        <v>8406</v>
      </c>
      <c r="W782" s="5"/>
      <c r="X782" s="15" t="s">
        <v>1677</v>
      </c>
      <c r="Y782" s="5"/>
    </row>
    <row r="783" customFormat="false" ht="15" hidden="false" customHeight="false" outlineLevel="0" collapsed="false">
      <c r="A783" s="5" t="s">
        <v>8407</v>
      </c>
      <c r="B783" s="5" t="s">
        <v>871</v>
      </c>
      <c r="C783" s="5" t="s">
        <v>872</v>
      </c>
      <c r="D783" s="9" t="s">
        <v>66</v>
      </c>
      <c r="E783" s="5" t="n">
        <v>3</v>
      </c>
      <c r="F783" s="5" t="s">
        <v>8408</v>
      </c>
      <c r="G783" s="13" t="s">
        <v>8409</v>
      </c>
      <c r="H783" s="5" t="s">
        <v>8410</v>
      </c>
      <c r="I783" s="13" t="s">
        <v>8411</v>
      </c>
      <c r="J783" s="5" t="s">
        <v>8412</v>
      </c>
      <c r="K783" s="5" t="s">
        <v>8413</v>
      </c>
      <c r="L783" s="13" t="s">
        <v>8414</v>
      </c>
      <c r="M783" s="13" t="s">
        <v>8415</v>
      </c>
      <c r="N783" s="5" t="n">
        <f aca="false">LEN(L783)</f>
        <v>25</v>
      </c>
      <c r="O783" s="5" t="n">
        <f aca="false">LEN(M783)</f>
        <v>25</v>
      </c>
      <c r="P783" s="14" t="n">
        <f aca="false">IF(N783=0,"",(N783-LEN(SUBSTITUTE(SUBSTITUTE(L783,"G",""),"C","")))/N783)</f>
        <v>0.92</v>
      </c>
      <c r="Q783" s="14" t="n">
        <f aca="false">IF(O783=0,"",(O783-LEN(SUBSTITUTE(SUBSTITUTE(M783,"G",""),"C","")))/O783)</f>
        <v>0.76</v>
      </c>
      <c r="R783" s="5" t="s">
        <v>876</v>
      </c>
      <c r="S783" s="15" t="s">
        <v>1677</v>
      </c>
      <c r="T783" s="5" t="n">
        <v>71</v>
      </c>
      <c r="U783" s="5" t="s">
        <v>1678</v>
      </c>
      <c r="V783" s="5" t="s">
        <v>588</v>
      </c>
      <c r="W783" s="5"/>
      <c r="X783" s="15" t="s">
        <v>1677</v>
      </c>
      <c r="Y783" s="5"/>
    </row>
    <row r="784" customFormat="false" ht="15" hidden="false" customHeight="false" outlineLevel="0" collapsed="false">
      <c r="A784" s="5" t="s">
        <v>8416</v>
      </c>
      <c r="B784" s="5" t="s">
        <v>871</v>
      </c>
      <c r="C784" s="5" t="s">
        <v>872</v>
      </c>
      <c r="D784" s="9" t="s">
        <v>66</v>
      </c>
      <c r="E784" s="5" t="n">
        <v>4</v>
      </c>
      <c r="F784" s="5" t="s">
        <v>8417</v>
      </c>
      <c r="G784" s="13" t="s">
        <v>8418</v>
      </c>
      <c r="H784" s="5" t="s">
        <v>8419</v>
      </c>
      <c r="I784" s="13" t="s">
        <v>8420</v>
      </c>
      <c r="J784" s="5" t="s">
        <v>8421</v>
      </c>
      <c r="K784" s="5" t="s">
        <v>8422</v>
      </c>
      <c r="L784" s="13" t="s">
        <v>8423</v>
      </c>
      <c r="M784" s="13" t="s">
        <v>8424</v>
      </c>
      <c r="N784" s="5" t="n">
        <f aca="false">LEN(L784)</f>
        <v>25</v>
      </c>
      <c r="O784" s="5" t="n">
        <f aca="false">LEN(M784)</f>
        <v>25</v>
      </c>
      <c r="P784" s="14" t="n">
        <f aca="false">IF(N784=0,"",(N784-LEN(SUBSTITUTE(SUBSTITUTE(L784,"G",""),"C","")))/N784)</f>
        <v>0.8</v>
      </c>
      <c r="Q784" s="14" t="n">
        <f aca="false">IF(O784=0,"",(O784-LEN(SUBSTITUTE(SUBSTITUTE(M784,"G",""),"C","")))/O784)</f>
        <v>0.68</v>
      </c>
      <c r="R784" s="5" t="s">
        <v>876</v>
      </c>
      <c r="S784" s="15" t="s">
        <v>1677</v>
      </c>
      <c r="T784" s="5" t="n">
        <v>131</v>
      </c>
      <c r="U784" s="5" t="s">
        <v>1678</v>
      </c>
      <c r="V784" s="5" t="s">
        <v>8406</v>
      </c>
      <c r="W784" s="5"/>
      <c r="X784" s="15" t="s">
        <v>1677</v>
      </c>
      <c r="Y784" s="5"/>
    </row>
    <row r="785" customFormat="false" ht="15" hidden="false" customHeight="false" outlineLevel="0" collapsed="false">
      <c r="A785" s="5" t="s">
        <v>8425</v>
      </c>
      <c r="B785" s="5" t="s">
        <v>871</v>
      </c>
      <c r="C785" s="5" t="s">
        <v>872</v>
      </c>
      <c r="D785" s="9" t="s">
        <v>66</v>
      </c>
      <c r="E785" s="5" t="n">
        <v>5</v>
      </c>
      <c r="F785" s="5" t="s">
        <v>8426</v>
      </c>
      <c r="G785" s="13" t="s">
        <v>8427</v>
      </c>
      <c r="H785" s="5" t="s">
        <v>8428</v>
      </c>
      <c r="I785" s="13" t="s">
        <v>8429</v>
      </c>
      <c r="J785" s="5" t="s">
        <v>8430</v>
      </c>
      <c r="K785" s="5" t="s">
        <v>8431</v>
      </c>
      <c r="L785" s="13" t="s">
        <v>8432</v>
      </c>
      <c r="M785" s="13" t="s">
        <v>8433</v>
      </c>
      <c r="N785" s="5" t="n">
        <f aca="false">LEN(L785)</f>
        <v>25</v>
      </c>
      <c r="O785" s="5" t="n">
        <f aca="false">LEN(M785)</f>
        <v>25</v>
      </c>
      <c r="P785" s="14" t="n">
        <f aca="false">IF(N785=0,"",(N785-LEN(SUBSTITUTE(SUBSTITUTE(L785,"G",""),"C","")))/N785)</f>
        <v>0.84</v>
      </c>
      <c r="Q785" s="14" t="n">
        <f aca="false">IF(O785=0,"",(O785-LEN(SUBSTITUTE(SUBSTITUTE(M785,"G",""),"C","")))/O785)</f>
        <v>0.72</v>
      </c>
      <c r="R785" s="5" t="s">
        <v>876</v>
      </c>
      <c r="S785" s="15" t="s">
        <v>1677</v>
      </c>
      <c r="T785" s="5" t="n">
        <v>137</v>
      </c>
      <c r="U785" s="5" t="s">
        <v>1678</v>
      </c>
      <c r="V785" s="5" t="s">
        <v>588</v>
      </c>
      <c r="W785" s="5"/>
      <c r="X785" s="15" t="s">
        <v>1677</v>
      </c>
      <c r="Y785" s="5"/>
    </row>
    <row r="786" customFormat="false" ht="15" hidden="false" customHeight="false" outlineLevel="0" collapsed="false">
      <c r="A786" s="5" t="s">
        <v>8434</v>
      </c>
      <c r="B786" s="5" t="s">
        <v>871</v>
      </c>
      <c r="C786" s="5" t="s">
        <v>872</v>
      </c>
      <c r="D786" s="9" t="s">
        <v>66</v>
      </c>
      <c r="E786" s="5" t="n">
        <v>6</v>
      </c>
      <c r="F786" s="5" t="s">
        <v>8435</v>
      </c>
      <c r="G786" s="13" t="s">
        <v>8436</v>
      </c>
      <c r="H786" s="5" t="s">
        <v>8437</v>
      </c>
      <c r="I786" s="13" t="s">
        <v>8438</v>
      </c>
      <c r="J786" s="5" t="s">
        <v>8439</v>
      </c>
      <c r="K786" s="5" t="s">
        <v>8440</v>
      </c>
      <c r="L786" s="13" t="s">
        <v>8441</v>
      </c>
      <c r="M786" s="13" t="s">
        <v>8442</v>
      </c>
      <c r="N786" s="5" t="n">
        <f aca="false">LEN(L786)</f>
        <v>25</v>
      </c>
      <c r="O786" s="5" t="n">
        <f aca="false">LEN(M786)</f>
        <v>25</v>
      </c>
      <c r="P786" s="14" t="n">
        <f aca="false">IF(N786=0,"",(N786-LEN(SUBSTITUTE(SUBSTITUTE(L786,"G",""),"C","")))/N786)</f>
        <v>0.68</v>
      </c>
      <c r="Q786" s="14" t="n">
        <f aca="false">IF(O786=0,"",(O786-LEN(SUBSTITUTE(SUBSTITUTE(M786,"G",""),"C","")))/O786)</f>
        <v>0.68</v>
      </c>
      <c r="R786" s="5" t="s">
        <v>876</v>
      </c>
      <c r="S786" s="15" t="s">
        <v>1677</v>
      </c>
      <c r="T786" s="5" t="n">
        <v>203</v>
      </c>
      <c r="U786" s="5" t="s">
        <v>1678</v>
      </c>
      <c r="V786" s="5" t="s">
        <v>588</v>
      </c>
      <c r="W786" s="5"/>
      <c r="X786" s="15" t="s">
        <v>1677</v>
      </c>
      <c r="Y786" s="5"/>
    </row>
    <row r="787" customFormat="false" ht="15" hidden="false" customHeight="false" outlineLevel="0" collapsed="false">
      <c r="A787" s="5" t="s">
        <v>8443</v>
      </c>
      <c r="B787" s="5" t="s">
        <v>871</v>
      </c>
      <c r="C787" s="5" t="s">
        <v>872</v>
      </c>
      <c r="D787" s="9" t="s">
        <v>66</v>
      </c>
      <c r="E787" s="5" t="n">
        <v>7</v>
      </c>
      <c r="F787" s="5" t="s">
        <v>8444</v>
      </c>
      <c r="G787" s="13" t="s">
        <v>8445</v>
      </c>
      <c r="H787" s="5" t="s">
        <v>8446</v>
      </c>
      <c r="I787" s="13" t="s">
        <v>8447</v>
      </c>
      <c r="J787" s="5" t="s">
        <v>8448</v>
      </c>
      <c r="K787" s="5" t="s">
        <v>8449</v>
      </c>
      <c r="L787" s="13" t="s">
        <v>8450</v>
      </c>
      <c r="M787" s="13" t="s">
        <v>8451</v>
      </c>
      <c r="N787" s="5" t="n">
        <f aca="false">LEN(L787)</f>
        <v>25</v>
      </c>
      <c r="O787" s="5" t="n">
        <f aca="false">LEN(M787)</f>
        <v>25</v>
      </c>
      <c r="P787" s="14" t="n">
        <f aca="false">IF(N787=0,"",(N787-LEN(SUBSTITUTE(SUBSTITUTE(L787,"G",""),"C","")))/N787)</f>
        <v>0.72</v>
      </c>
      <c r="Q787" s="14" t="n">
        <f aca="false">IF(O787=0,"",(O787-LEN(SUBSTITUTE(SUBSTITUTE(M787,"G",""),"C","")))/O787)</f>
        <v>0.72</v>
      </c>
      <c r="R787" s="5" t="s">
        <v>876</v>
      </c>
      <c r="S787" s="15" t="s">
        <v>1677</v>
      </c>
      <c r="T787" s="5" t="n">
        <v>211</v>
      </c>
      <c r="U787" s="5" t="s">
        <v>1678</v>
      </c>
      <c r="V787" s="5" t="s">
        <v>8406</v>
      </c>
      <c r="W787" s="5"/>
      <c r="X787" s="15" t="s">
        <v>1677</v>
      </c>
      <c r="Y787" s="5"/>
    </row>
    <row r="788" customFormat="false" ht="15" hidden="false" customHeight="false" outlineLevel="0" collapsed="false">
      <c r="A788" s="5" t="s">
        <v>8452</v>
      </c>
      <c r="B788" s="5" t="s">
        <v>871</v>
      </c>
      <c r="C788" s="5" t="s">
        <v>872</v>
      </c>
      <c r="D788" s="9" t="s">
        <v>66</v>
      </c>
      <c r="E788" s="5" t="n">
        <v>8</v>
      </c>
      <c r="F788" s="5" t="s">
        <v>8453</v>
      </c>
      <c r="G788" s="13" t="s">
        <v>8454</v>
      </c>
      <c r="H788" s="5" t="s">
        <v>8455</v>
      </c>
      <c r="I788" s="13" t="s">
        <v>8456</v>
      </c>
      <c r="J788" s="5" t="s">
        <v>8457</v>
      </c>
      <c r="K788" s="5" t="s">
        <v>8458</v>
      </c>
      <c r="L788" s="13" t="s">
        <v>8459</v>
      </c>
      <c r="M788" s="13" t="s">
        <v>8460</v>
      </c>
      <c r="N788" s="5" t="n">
        <f aca="false">LEN(L788)</f>
        <v>25</v>
      </c>
      <c r="O788" s="5" t="n">
        <f aca="false">LEN(M788)</f>
        <v>25</v>
      </c>
      <c r="P788" s="14" t="n">
        <f aca="false">IF(N788=0,"",(N788-LEN(SUBSTITUTE(SUBSTITUTE(L788,"G",""),"C","")))/N788)</f>
        <v>0.72</v>
      </c>
      <c r="Q788" s="14" t="n">
        <f aca="false">IF(O788=0,"",(O788-LEN(SUBSTITUTE(SUBSTITUTE(M788,"G",""),"C","")))/O788)</f>
        <v>0.8</v>
      </c>
      <c r="R788" s="5" t="s">
        <v>876</v>
      </c>
      <c r="S788" s="15" t="s">
        <v>1677</v>
      </c>
      <c r="T788" s="5" t="n">
        <v>291</v>
      </c>
      <c r="U788" s="5" t="s">
        <v>1678</v>
      </c>
      <c r="V788" s="5" t="s">
        <v>8406</v>
      </c>
      <c r="W788" s="5"/>
      <c r="X788" s="15" t="s">
        <v>1677</v>
      </c>
      <c r="Y788" s="5"/>
    </row>
    <row r="789" customFormat="false" ht="15" hidden="false" customHeight="false" outlineLevel="0" collapsed="false">
      <c r="A789" s="5" t="s">
        <v>8461</v>
      </c>
      <c r="B789" s="5" t="s">
        <v>871</v>
      </c>
      <c r="C789" s="5" t="s">
        <v>872</v>
      </c>
      <c r="D789" s="9" t="s">
        <v>66</v>
      </c>
      <c r="E789" s="5" t="n">
        <v>9</v>
      </c>
      <c r="F789" s="5" t="s">
        <v>8462</v>
      </c>
      <c r="G789" s="13" t="s">
        <v>8463</v>
      </c>
      <c r="H789" s="5" t="s">
        <v>8464</v>
      </c>
      <c r="I789" s="13" t="s">
        <v>8465</v>
      </c>
      <c r="J789" s="5" t="s">
        <v>8466</v>
      </c>
      <c r="K789" s="5" t="s">
        <v>8467</v>
      </c>
      <c r="L789" s="13" t="s">
        <v>8468</v>
      </c>
      <c r="M789" s="13" t="s">
        <v>8469</v>
      </c>
      <c r="N789" s="5" t="n">
        <f aca="false">LEN(L789)</f>
        <v>25</v>
      </c>
      <c r="O789" s="5" t="n">
        <f aca="false">LEN(M789)</f>
        <v>25</v>
      </c>
      <c r="P789" s="14" t="n">
        <f aca="false">IF(N789=0,"",(N789-LEN(SUBSTITUTE(SUBSTITUTE(L789,"G",""),"C","")))/N789)</f>
        <v>0.84</v>
      </c>
      <c r="Q789" s="14" t="n">
        <f aca="false">IF(O789=0,"",(O789-LEN(SUBSTITUTE(SUBSTITUTE(M789,"G",""),"C","")))/O789)</f>
        <v>0.68</v>
      </c>
      <c r="R789" s="5" t="s">
        <v>876</v>
      </c>
      <c r="S789" s="15" t="s">
        <v>1677</v>
      </c>
      <c r="T789" s="5" t="n">
        <v>333</v>
      </c>
      <c r="U789" s="5" t="s">
        <v>1678</v>
      </c>
      <c r="V789" s="5" t="s">
        <v>588</v>
      </c>
      <c r="W789" s="5"/>
      <c r="X789" s="15" t="s">
        <v>1677</v>
      </c>
      <c r="Y789" s="5"/>
    </row>
    <row r="790" customFormat="false" ht="15" hidden="false" customHeight="false" outlineLevel="0" collapsed="false">
      <c r="A790" s="5" t="s">
        <v>8470</v>
      </c>
      <c r="B790" s="5" t="s">
        <v>871</v>
      </c>
      <c r="C790" s="5" t="s">
        <v>872</v>
      </c>
      <c r="D790" s="9" t="s">
        <v>66</v>
      </c>
      <c r="E790" s="5" t="n">
        <v>10</v>
      </c>
      <c r="F790" s="5" t="s">
        <v>8471</v>
      </c>
      <c r="G790" s="13" t="s">
        <v>8472</v>
      </c>
      <c r="H790" s="5" t="s">
        <v>8473</v>
      </c>
      <c r="I790" s="13" t="s">
        <v>8474</v>
      </c>
      <c r="J790" s="5" t="s">
        <v>8475</v>
      </c>
      <c r="K790" s="5" t="s">
        <v>8476</v>
      </c>
      <c r="L790" s="13" t="s">
        <v>8477</v>
      </c>
      <c r="M790" s="13" t="s">
        <v>8478</v>
      </c>
      <c r="N790" s="5" t="n">
        <f aca="false">LEN(L790)</f>
        <v>25</v>
      </c>
      <c r="O790" s="5" t="n">
        <f aca="false">LEN(M790)</f>
        <v>25</v>
      </c>
      <c r="P790" s="14" t="n">
        <f aca="false">IF(N790=0,"",(N790-LEN(SUBSTITUTE(SUBSTITUTE(L790,"G",""),"C","")))/N790)</f>
        <v>0.72</v>
      </c>
      <c r="Q790" s="14" t="n">
        <f aca="false">IF(O790=0,"",(O790-LEN(SUBSTITUTE(SUBSTITUTE(M790,"G",""),"C","")))/O790)</f>
        <v>0.68</v>
      </c>
      <c r="R790" s="5" t="s">
        <v>876</v>
      </c>
      <c r="S790" s="15" t="s">
        <v>1677</v>
      </c>
      <c r="T790" s="5" t="n">
        <v>371</v>
      </c>
      <c r="U790" s="5" t="s">
        <v>1678</v>
      </c>
      <c r="V790" s="5" t="s">
        <v>8406</v>
      </c>
      <c r="W790" s="5"/>
      <c r="X790" s="15" t="s">
        <v>1677</v>
      </c>
      <c r="Y790" s="5"/>
    </row>
    <row r="791" customFormat="false" ht="15" hidden="false" customHeight="false" outlineLevel="0" collapsed="false">
      <c r="A791" s="5" t="s">
        <v>8479</v>
      </c>
      <c r="B791" s="5" t="s">
        <v>871</v>
      </c>
      <c r="C791" s="5" t="s">
        <v>872</v>
      </c>
      <c r="D791" s="9" t="s">
        <v>66</v>
      </c>
      <c r="E791" s="5" t="n">
        <v>11</v>
      </c>
      <c r="F791" s="5" t="s">
        <v>8480</v>
      </c>
      <c r="G791" s="13" t="s">
        <v>8481</v>
      </c>
      <c r="H791" s="5" t="s">
        <v>8482</v>
      </c>
      <c r="I791" s="13" t="s">
        <v>8483</v>
      </c>
      <c r="J791" s="5" t="s">
        <v>8484</v>
      </c>
      <c r="K791" s="5" t="s">
        <v>8485</v>
      </c>
      <c r="L791" s="13" t="s">
        <v>8486</v>
      </c>
      <c r="M791" s="13" t="s">
        <v>8487</v>
      </c>
      <c r="N791" s="5" t="n">
        <f aca="false">LEN(L791)</f>
        <v>25</v>
      </c>
      <c r="O791" s="5" t="n">
        <f aca="false">LEN(M791)</f>
        <v>25</v>
      </c>
      <c r="P791" s="14" t="n">
        <f aca="false">IF(N791=0,"",(N791-LEN(SUBSTITUTE(SUBSTITUTE(L791,"G",""),"C","")))/N791)</f>
        <v>0.64</v>
      </c>
      <c r="Q791" s="14" t="n">
        <f aca="false">IF(O791=0,"",(O791-LEN(SUBSTITUTE(SUBSTITUTE(M791,"G",""),"C","")))/O791)</f>
        <v>0.68</v>
      </c>
      <c r="R791" s="5" t="s">
        <v>876</v>
      </c>
      <c r="S791" s="15" t="s">
        <v>1677</v>
      </c>
      <c r="T791" s="5" t="n">
        <v>400</v>
      </c>
      <c r="U791" s="5" t="s">
        <v>1678</v>
      </c>
      <c r="V791" s="5" t="s">
        <v>588</v>
      </c>
      <c r="W791" s="5"/>
      <c r="X791" s="15" t="s">
        <v>1677</v>
      </c>
      <c r="Y791" s="5"/>
    </row>
    <row r="792" customFormat="false" ht="15" hidden="false" customHeight="false" outlineLevel="0" collapsed="false">
      <c r="A792" s="5" t="s">
        <v>8488</v>
      </c>
      <c r="B792" s="5" t="s">
        <v>871</v>
      </c>
      <c r="C792" s="5" t="s">
        <v>872</v>
      </c>
      <c r="D792" s="9" t="s">
        <v>66</v>
      </c>
      <c r="E792" s="5" t="n">
        <v>12</v>
      </c>
      <c r="F792" s="5" t="s">
        <v>8489</v>
      </c>
      <c r="G792" s="13" t="s">
        <v>8490</v>
      </c>
      <c r="H792" s="5" t="s">
        <v>8491</v>
      </c>
      <c r="I792" s="13" t="s">
        <v>8492</v>
      </c>
      <c r="J792" s="5" t="s">
        <v>8493</v>
      </c>
      <c r="K792" s="5" t="s">
        <v>8494</v>
      </c>
      <c r="L792" s="13" t="s">
        <v>8495</v>
      </c>
      <c r="M792" s="13" t="s">
        <v>8496</v>
      </c>
      <c r="N792" s="5" t="n">
        <f aca="false">LEN(L792)</f>
        <v>25</v>
      </c>
      <c r="O792" s="5" t="n">
        <f aca="false">LEN(M792)</f>
        <v>25</v>
      </c>
      <c r="P792" s="14" t="n">
        <f aca="false">IF(N792=0,"",(N792-LEN(SUBSTITUTE(SUBSTITUTE(L792,"G",""),"C","")))/N792)</f>
        <v>0.84</v>
      </c>
      <c r="Q792" s="14" t="n">
        <f aca="false">IF(O792=0,"",(O792-LEN(SUBSTITUTE(SUBSTITUTE(M792,"G",""),"C","")))/O792)</f>
        <v>0.68</v>
      </c>
      <c r="R792" s="5" t="s">
        <v>876</v>
      </c>
      <c r="S792" s="15" t="s">
        <v>1677</v>
      </c>
      <c r="T792" s="5" t="n">
        <v>451</v>
      </c>
      <c r="U792" s="5" t="s">
        <v>1678</v>
      </c>
      <c r="V792" s="5" t="s">
        <v>8406</v>
      </c>
      <c r="W792" s="5"/>
      <c r="X792" s="15" t="s">
        <v>1677</v>
      </c>
      <c r="Y792" s="5"/>
    </row>
    <row r="793" customFormat="false" ht="15" hidden="false" customHeight="false" outlineLevel="0" collapsed="false">
      <c r="A793" s="5" t="s">
        <v>8497</v>
      </c>
      <c r="B793" s="5" t="s">
        <v>871</v>
      </c>
      <c r="C793" s="5" t="s">
        <v>872</v>
      </c>
      <c r="D793" s="9" t="s">
        <v>66</v>
      </c>
      <c r="E793" s="5" t="n">
        <v>13</v>
      </c>
      <c r="F793" s="5" t="s">
        <v>8498</v>
      </c>
      <c r="G793" s="13" t="s">
        <v>8499</v>
      </c>
      <c r="H793" s="5" t="s">
        <v>8500</v>
      </c>
      <c r="I793" s="13" t="s">
        <v>8501</v>
      </c>
      <c r="J793" s="5" t="s">
        <v>8502</v>
      </c>
      <c r="K793" s="5" t="s">
        <v>8503</v>
      </c>
      <c r="L793" s="13" t="s">
        <v>8504</v>
      </c>
      <c r="M793" s="13" t="s">
        <v>8505</v>
      </c>
      <c r="N793" s="5" t="n">
        <f aca="false">LEN(L793)</f>
        <v>25</v>
      </c>
      <c r="O793" s="5" t="n">
        <f aca="false">LEN(M793)</f>
        <v>25</v>
      </c>
      <c r="P793" s="14" t="n">
        <f aca="false">IF(N793=0,"",(N793-LEN(SUBSTITUTE(SUBSTITUTE(L793,"G",""),"C","")))/N793)</f>
        <v>0.64</v>
      </c>
      <c r="Q793" s="14" t="n">
        <f aca="false">IF(O793=0,"",(O793-LEN(SUBSTITUTE(SUBSTITUTE(M793,"G",""),"C","")))/O793)</f>
        <v>0.6</v>
      </c>
      <c r="R793" s="5" t="s">
        <v>876</v>
      </c>
      <c r="S793" s="15" t="s">
        <v>1677</v>
      </c>
      <c r="T793" s="5" t="n">
        <v>531</v>
      </c>
      <c r="U793" s="5" t="s">
        <v>1678</v>
      </c>
      <c r="V793" s="5" t="s">
        <v>875</v>
      </c>
      <c r="W793" s="5"/>
      <c r="X793" s="15" t="s">
        <v>1677</v>
      </c>
      <c r="Y793" s="5"/>
    </row>
    <row r="794" customFormat="false" ht="15" hidden="false" customHeight="false" outlineLevel="0" collapsed="false">
      <c r="A794" s="5" t="s">
        <v>8506</v>
      </c>
      <c r="B794" s="5" t="s">
        <v>871</v>
      </c>
      <c r="C794" s="5" t="s">
        <v>872</v>
      </c>
      <c r="D794" s="9" t="s">
        <v>66</v>
      </c>
      <c r="E794" s="5" t="n">
        <v>14</v>
      </c>
      <c r="F794" s="5" t="s">
        <v>8507</v>
      </c>
      <c r="G794" s="13" t="s">
        <v>8508</v>
      </c>
      <c r="H794" s="5" t="s">
        <v>8509</v>
      </c>
      <c r="I794" s="13" t="s">
        <v>8510</v>
      </c>
      <c r="J794" s="5" t="s">
        <v>8511</v>
      </c>
      <c r="K794" s="5" t="s">
        <v>8512</v>
      </c>
      <c r="L794" s="13" t="s">
        <v>8513</v>
      </c>
      <c r="M794" s="13" t="s">
        <v>8514</v>
      </c>
      <c r="N794" s="5" t="n">
        <f aca="false">LEN(L794)</f>
        <v>25</v>
      </c>
      <c r="O794" s="5" t="n">
        <f aca="false">LEN(M794)</f>
        <v>25</v>
      </c>
      <c r="P794" s="14" t="n">
        <f aca="false">IF(N794=0,"",(N794-LEN(SUBSTITUTE(SUBSTITUTE(L794,"G",""),"C","")))/N794)</f>
        <v>0.64</v>
      </c>
      <c r="Q794" s="14" t="n">
        <f aca="false">IF(O794=0,"",(O794-LEN(SUBSTITUTE(SUBSTITUTE(M794,"G",""),"C","")))/O794)</f>
        <v>0.68</v>
      </c>
      <c r="R794" s="5" t="s">
        <v>876</v>
      </c>
      <c r="S794" s="15" t="s">
        <v>1677</v>
      </c>
      <c r="T794" s="5" t="n">
        <v>597</v>
      </c>
      <c r="U794" s="5" t="s">
        <v>1678</v>
      </c>
      <c r="V794" s="5" t="s">
        <v>588</v>
      </c>
      <c r="W794" s="5"/>
      <c r="X794" s="15" t="s">
        <v>1677</v>
      </c>
      <c r="Y794" s="5"/>
    </row>
    <row r="795" customFormat="false" ht="15" hidden="false" customHeight="false" outlineLevel="0" collapsed="false">
      <c r="A795" s="5" t="s">
        <v>8515</v>
      </c>
      <c r="B795" s="5" t="s">
        <v>871</v>
      </c>
      <c r="C795" s="5" t="s">
        <v>872</v>
      </c>
      <c r="D795" s="9" t="s">
        <v>66</v>
      </c>
      <c r="E795" s="5" t="n">
        <v>15</v>
      </c>
      <c r="F795" s="5" t="s">
        <v>8516</v>
      </c>
      <c r="G795" s="13" t="s">
        <v>8517</v>
      </c>
      <c r="H795" s="5" t="s">
        <v>8518</v>
      </c>
      <c r="I795" s="13" t="s">
        <v>8519</v>
      </c>
      <c r="J795" s="5" t="s">
        <v>8520</v>
      </c>
      <c r="K795" s="5" t="s">
        <v>8521</v>
      </c>
      <c r="L795" s="13" t="s">
        <v>8522</v>
      </c>
      <c r="M795" s="13" t="s">
        <v>8523</v>
      </c>
      <c r="N795" s="5" t="n">
        <f aca="false">LEN(L795)</f>
        <v>25</v>
      </c>
      <c r="O795" s="5" t="n">
        <f aca="false">LEN(M795)</f>
        <v>25</v>
      </c>
      <c r="P795" s="14" t="n">
        <f aca="false">IF(N795=0,"",(N795-LEN(SUBSTITUTE(SUBSTITUTE(L795,"G",""),"C","")))/N795)</f>
        <v>0.52</v>
      </c>
      <c r="Q795" s="14" t="n">
        <f aca="false">IF(O795=0,"",(O795-LEN(SUBSTITUTE(SUBSTITUTE(M795,"G",""),"C","")))/O795)</f>
        <v>0.8</v>
      </c>
      <c r="R795" s="5" t="s">
        <v>876</v>
      </c>
      <c r="S795" s="15" t="s">
        <v>1677</v>
      </c>
      <c r="T795" s="5" t="n">
        <v>611</v>
      </c>
      <c r="U795" s="5" t="s">
        <v>1678</v>
      </c>
      <c r="V795" s="5" t="s">
        <v>8406</v>
      </c>
      <c r="W795" s="5"/>
      <c r="X795" s="15" t="s">
        <v>1677</v>
      </c>
      <c r="Y795" s="5"/>
    </row>
    <row r="796" customFormat="false" ht="15" hidden="false" customHeight="false" outlineLevel="0" collapsed="false">
      <c r="A796" s="5" t="s">
        <v>8524</v>
      </c>
      <c r="B796" s="5" t="s">
        <v>871</v>
      </c>
      <c r="C796" s="5" t="s">
        <v>872</v>
      </c>
      <c r="D796" s="9" t="s">
        <v>66</v>
      </c>
      <c r="E796" s="5" t="n">
        <v>16</v>
      </c>
      <c r="F796" s="5" t="s">
        <v>8525</v>
      </c>
      <c r="G796" s="13" t="s">
        <v>8526</v>
      </c>
      <c r="H796" s="5" t="s">
        <v>8527</v>
      </c>
      <c r="I796" s="13" t="s">
        <v>8528</v>
      </c>
      <c r="J796" s="5" t="s">
        <v>8529</v>
      </c>
      <c r="K796" s="5" t="s">
        <v>8530</v>
      </c>
      <c r="L796" s="13" t="s">
        <v>8531</v>
      </c>
      <c r="M796" s="13" t="s">
        <v>8532</v>
      </c>
      <c r="N796" s="5" t="n">
        <f aca="false">LEN(L796)</f>
        <v>25</v>
      </c>
      <c r="O796" s="5" t="n">
        <f aca="false">LEN(M796)</f>
        <v>25</v>
      </c>
      <c r="P796" s="14" t="n">
        <f aca="false">IF(N796=0,"",(N796-LEN(SUBSTITUTE(SUBSTITUTE(L796,"G",""),"C","")))/N796)</f>
        <v>0.52</v>
      </c>
      <c r="Q796" s="14" t="n">
        <f aca="false">IF(O796=0,"",(O796-LEN(SUBSTITUTE(SUBSTITUTE(M796,"G",""),"C","")))/O796)</f>
        <v>0.72</v>
      </c>
      <c r="R796" s="5" t="s">
        <v>876</v>
      </c>
      <c r="S796" s="15" t="s">
        <v>1677</v>
      </c>
      <c r="T796" s="5" t="n">
        <v>660</v>
      </c>
      <c r="U796" s="5" t="s">
        <v>1678</v>
      </c>
      <c r="V796" s="5" t="s">
        <v>588</v>
      </c>
      <c r="W796" s="5"/>
      <c r="X796" s="15" t="s">
        <v>1677</v>
      </c>
      <c r="Y796" s="5"/>
    </row>
    <row r="797" customFormat="false" ht="15" hidden="false" customHeight="false" outlineLevel="0" collapsed="false">
      <c r="A797" s="5" t="s">
        <v>8533</v>
      </c>
      <c r="B797" s="5" t="s">
        <v>871</v>
      </c>
      <c r="C797" s="5" t="s">
        <v>872</v>
      </c>
      <c r="D797" s="9" t="s">
        <v>66</v>
      </c>
      <c r="E797" s="5" t="n">
        <v>17</v>
      </c>
      <c r="F797" s="5" t="s">
        <v>8534</v>
      </c>
      <c r="G797" s="13" t="s">
        <v>8535</v>
      </c>
      <c r="H797" s="5" t="s">
        <v>8536</v>
      </c>
      <c r="I797" s="13" t="s">
        <v>8537</v>
      </c>
      <c r="J797" s="5" t="s">
        <v>8538</v>
      </c>
      <c r="K797" s="5" t="s">
        <v>8539</v>
      </c>
      <c r="L797" s="13" t="s">
        <v>8540</v>
      </c>
      <c r="M797" s="13" t="s">
        <v>8541</v>
      </c>
      <c r="N797" s="5" t="n">
        <f aca="false">LEN(L797)</f>
        <v>25</v>
      </c>
      <c r="O797" s="5" t="n">
        <f aca="false">LEN(M797)</f>
        <v>25</v>
      </c>
      <c r="P797" s="14" t="n">
        <f aca="false">IF(N797=0,"",(N797-LEN(SUBSTITUTE(SUBSTITUTE(L797,"G",""),"C","")))/N797)</f>
        <v>0.76</v>
      </c>
      <c r="Q797" s="14" t="n">
        <f aca="false">IF(O797=0,"",(O797-LEN(SUBSTITUTE(SUBSTITUTE(M797,"G",""),"C","")))/O797)</f>
        <v>0.68</v>
      </c>
      <c r="R797" s="5" t="s">
        <v>876</v>
      </c>
      <c r="S797" s="15" t="s">
        <v>1677</v>
      </c>
      <c r="T797" s="5" t="n">
        <v>691</v>
      </c>
      <c r="U797" s="5" t="s">
        <v>1678</v>
      </c>
      <c r="V797" s="5" t="s">
        <v>8406</v>
      </c>
      <c r="W797" s="5"/>
      <c r="X797" s="15" t="s">
        <v>1677</v>
      </c>
      <c r="Y797" s="5"/>
    </row>
    <row r="798" customFormat="false" ht="15" hidden="false" customHeight="false" outlineLevel="0" collapsed="false">
      <c r="A798" s="5" t="s">
        <v>8542</v>
      </c>
      <c r="B798" s="5" t="s">
        <v>880</v>
      </c>
      <c r="C798" s="5" t="s">
        <v>881</v>
      </c>
      <c r="D798" s="9" t="s">
        <v>66</v>
      </c>
      <c r="E798" s="5" t="n">
        <v>1</v>
      </c>
      <c r="F798" s="5" t="s">
        <v>8543</v>
      </c>
      <c r="G798" s="13" t="s">
        <v>8544</v>
      </c>
      <c r="H798" s="5" t="s">
        <v>8545</v>
      </c>
      <c r="I798" s="13" t="s">
        <v>8546</v>
      </c>
      <c r="J798" s="5" t="s">
        <v>8547</v>
      </c>
      <c r="K798" s="5" t="s">
        <v>8548</v>
      </c>
      <c r="L798" s="13" t="s">
        <v>8549</v>
      </c>
      <c r="M798" s="13" t="s">
        <v>8550</v>
      </c>
      <c r="N798" s="5" t="n">
        <f aca="false">LEN(L798)</f>
        <v>25</v>
      </c>
      <c r="O798" s="5" t="n">
        <f aca="false">LEN(M798)</f>
        <v>25</v>
      </c>
      <c r="P798" s="14" t="n">
        <f aca="false">IF(N798=0,"",(N798-LEN(SUBSTITUTE(SUBSTITUTE(L798,"G",""),"C","")))/N798)</f>
        <v>0.56</v>
      </c>
      <c r="Q798" s="14" t="n">
        <f aca="false">IF(O798=0,"",(O798-LEN(SUBSTITUTE(SUBSTITUTE(M798,"G",""),"C","")))/O798)</f>
        <v>0.6</v>
      </c>
      <c r="R798" s="5" t="s">
        <v>885</v>
      </c>
      <c r="S798" s="15" t="s">
        <v>1677</v>
      </c>
      <c r="T798" s="5" t="n">
        <v>216</v>
      </c>
      <c r="U798" s="5" t="s">
        <v>1678</v>
      </c>
      <c r="V798" s="5" t="s">
        <v>154</v>
      </c>
      <c r="W798" s="5"/>
      <c r="X798" s="15" t="s">
        <v>1677</v>
      </c>
      <c r="Y798" s="5"/>
    </row>
    <row r="799" customFormat="false" ht="15" hidden="false" customHeight="false" outlineLevel="0" collapsed="false">
      <c r="A799" s="5" t="s">
        <v>8551</v>
      </c>
      <c r="B799" s="5" t="s">
        <v>880</v>
      </c>
      <c r="C799" s="5" t="s">
        <v>881</v>
      </c>
      <c r="D799" s="9" t="s">
        <v>66</v>
      </c>
      <c r="E799" s="5" t="n">
        <v>2</v>
      </c>
      <c r="F799" s="5" t="s">
        <v>8552</v>
      </c>
      <c r="G799" s="13" t="s">
        <v>8553</v>
      </c>
      <c r="H799" s="5" t="s">
        <v>8554</v>
      </c>
      <c r="I799" s="13" t="s">
        <v>8555</v>
      </c>
      <c r="J799" s="5" t="s">
        <v>8556</v>
      </c>
      <c r="K799" s="5" t="s">
        <v>8557</v>
      </c>
      <c r="L799" s="13" t="s">
        <v>8558</v>
      </c>
      <c r="M799" s="13" t="s">
        <v>8559</v>
      </c>
      <c r="N799" s="5" t="n">
        <f aca="false">LEN(L799)</f>
        <v>25</v>
      </c>
      <c r="O799" s="5" t="n">
        <f aca="false">LEN(M799)</f>
        <v>25</v>
      </c>
      <c r="P799" s="14" t="n">
        <f aca="false">IF(N799=0,"",(N799-LEN(SUBSTITUTE(SUBSTITUTE(L799,"G",""),"C","")))/N799)</f>
        <v>0.48</v>
      </c>
      <c r="Q799" s="14" t="n">
        <f aca="false">IF(O799=0,"",(O799-LEN(SUBSTITUTE(SUBSTITUTE(M799,"G",""),"C","")))/O799)</f>
        <v>0.52</v>
      </c>
      <c r="R799" s="5" t="s">
        <v>885</v>
      </c>
      <c r="S799" s="15" t="s">
        <v>1677</v>
      </c>
      <c r="T799" s="5" t="n">
        <v>286</v>
      </c>
      <c r="U799" s="5" t="s">
        <v>1678</v>
      </c>
      <c r="V799" s="5" t="s">
        <v>154</v>
      </c>
      <c r="W799" s="5"/>
      <c r="X799" s="15" t="s">
        <v>1677</v>
      </c>
      <c r="Y799" s="5"/>
    </row>
    <row r="800" customFormat="false" ht="15" hidden="false" customHeight="false" outlineLevel="0" collapsed="false">
      <c r="A800" s="5" t="s">
        <v>8560</v>
      </c>
      <c r="B800" s="5" t="s">
        <v>880</v>
      </c>
      <c r="C800" s="5" t="s">
        <v>881</v>
      </c>
      <c r="D800" s="9" t="s">
        <v>66</v>
      </c>
      <c r="E800" s="5" t="n">
        <v>3</v>
      </c>
      <c r="F800" s="5" t="s">
        <v>8561</v>
      </c>
      <c r="G800" s="13" t="s">
        <v>8562</v>
      </c>
      <c r="H800" s="5" t="s">
        <v>8563</v>
      </c>
      <c r="I800" s="13" t="s">
        <v>8564</v>
      </c>
      <c r="J800" s="5" t="s">
        <v>8565</v>
      </c>
      <c r="K800" s="5" t="s">
        <v>8566</v>
      </c>
      <c r="L800" s="13" t="s">
        <v>8567</v>
      </c>
      <c r="M800" s="13" t="s">
        <v>8568</v>
      </c>
      <c r="N800" s="5" t="n">
        <f aca="false">LEN(L800)</f>
        <v>25</v>
      </c>
      <c r="O800" s="5" t="n">
        <f aca="false">LEN(M800)</f>
        <v>25</v>
      </c>
      <c r="P800" s="14" t="n">
        <f aca="false">IF(N800=0,"",(N800-LEN(SUBSTITUTE(SUBSTITUTE(L800,"G",""),"C","")))/N800)</f>
        <v>0.52</v>
      </c>
      <c r="Q800" s="14" t="n">
        <f aca="false">IF(O800=0,"",(O800-LEN(SUBSTITUTE(SUBSTITUTE(M800,"G",""),"C","")))/O800)</f>
        <v>0.48</v>
      </c>
      <c r="R800" s="5" t="s">
        <v>885</v>
      </c>
      <c r="S800" s="15" t="s">
        <v>1677</v>
      </c>
      <c r="T800" s="5" t="n">
        <v>356</v>
      </c>
      <c r="U800" s="5" t="s">
        <v>1678</v>
      </c>
      <c r="V800" s="5" t="s">
        <v>154</v>
      </c>
      <c r="W800" s="5"/>
      <c r="X800" s="15" t="s">
        <v>1677</v>
      </c>
      <c r="Y800" s="5"/>
    </row>
    <row r="801" customFormat="false" ht="15" hidden="false" customHeight="false" outlineLevel="0" collapsed="false">
      <c r="A801" s="5" t="s">
        <v>8569</v>
      </c>
      <c r="B801" s="5" t="s">
        <v>880</v>
      </c>
      <c r="C801" s="5" t="s">
        <v>881</v>
      </c>
      <c r="D801" s="9" t="s">
        <v>66</v>
      </c>
      <c r="E801" s="5" t="n">
        <v>4</v>
      </c>
      <c r="F801" s="5" t="s">
        <v>8570</v>
      </c>
      <c r="G801" s="13" t="s">
        <v>8571</v>
      </c>
      <c r="H801" s="5" t="s">
        <v>8572</v>
      </c>
      <c r="I801" s="13" t="s">
        <v>8573</v>
      </c>
      <c r="J801" s="5" t="s">
        <v>8574</v>
      </c>
      <c r="K801" s="5" t="s">
        <v>8575</v>
      </c>
      <c r="L801" s="13" t="s">
        <v>8576</v>
      </c>
      <c r="M801" s="13" t="s">
        <v>8577</v>
      </c>
      <c r="N801" s="5" t="n">
        <f aca="false">LEN(L801)</f>
        <v>25</v>
      </c>
      <c r="O801" s="5" t="n">
        <f aca="false">LEN(M801)</f>
        <v>25</v>
      </c>
      <c r="P801" s="14" t="n">
        <f aca="false">IF(N801=0,"",(N801-LEN(SUBSTITUTE(SUBSTITUTE(L801,"G",""),"C","")))/N801)</f>
        <v>0.48</v>
      </c>
      <c r="Q801" s="14" t="n">
        <f aca="false">IF(O801=0,"",(O801-LEN(SUBSTITUTE(SUBSTITUTE(M801,"G",""),"C","")))/O801)</f>
        <v>0.56</v>
      </c>
      <c r="R801" s="5" t="s">
        <v>885</v>
      </c>
      <c r="S801" s="15" t="s">
        <v>1677</v>
      </c>
      <c r="T801" s="5" t="n">
        <v>426</v>
      </c>
      <c r="U801" s="5" t="s">
        <v>1678</v>
      </c>
      <c r="V801" s="5" t="s">
        <v>154</v>
      </c>
      <c r="W801" s="5"/>
      <c r="X801" s="15" t="s">
        <v>1677</v>
      </c>
      <c r="Y801" s="5"/>
    </row>
    <row r="802" customFormat="false" ht="15" hidden="false" customHeight="false" outlineLevel="0" collapsed="false">
      <c r="A802" s="5" t="s">
        <v>8578</v>
      </c>
      <c r="B802" s="5" t="s">
        <v>880</v>
      </c>
      <c r="C802" s="5" t="s">
        <v>881</v>
      </c>
      <c r="D802" s="9" t="s">
        <v>66</v>
      </c>
      <c r="E802" s="5" t="n">
        <v>5</v>
      </c>
      <c r="F802" s="5" t="s">
        <v>8579</v>
      </c>
      <c r="G802" s="13" t="s">
        <v>8580</v>
      </c>
      <c r="H802" s="5" t="s">
        <v>8581</v>
      </c>
      <c r="I802" s="13" t="s">
        <v>8582</v>
      </c>
      <c r="J802" s="5" t="s">
        <v>8583</v>
      </c>
      <c r="K802" s="5" t="s">
        <v>8584</v>
      </c>
      <c r="L802" s="13" t="s">
        <v>8585</v>
      </c>
      <c r="M802" s="13" t="s">
        <v>8586</v>
      </c>
      <c r="N802" s="5" t="n">
        <f aca="false">LEN(L802)</f>
        <v>25</v>
      </c>
      <c r="O802" s="5" t="n">
        <f aca="false">LEN(M802)</f>
        <v>25</v>
      </c>
      <c r="P802" s="14" t="n">
        <f aca="false">IF(N802=0,"",(N802-LEN(SUBSTITUTE(SUBSTITUTE(L802,"G",""),"C","")))/N802)</f>
        <v>0.52</v>
      </c>
      <c r="Q802" s="14" t="n">
        <f aca="false">IF(O802=0,"",(O802-LEN(SUBSTITUTE(SUBSTITUTE(M802,"G",""),"C","")))/O802)</f>
        <v>0.6</v>
      </c>
      <c r="R802" s="5" t="s">
        <v>885</v>
      </c>
      <c r="S802" s="15" t="s">
        <v>1677</v>
      </c>
      <c r="T802" s="5" t="n">
        <v>496</v>
      </c>
      <c r="U802" s="5" t="s">
        <v>1678</v>
      </c>
      <c r="V802" s="5" t="s">
        <v>154</v>
      </c>
      <c r="W802" s="5"/>
      <c r="X802" s="15" t="s">
        <v>1677</v>
      </c>
      <c r="Y802" s="5"/>
    </row>
    <row r="803" customFormat="false" ht="15" hidden="false" customHeight="false" outlineLevel="0" collapsed="false">
      <c r="A803" s="5" t="s">
        <v>8587</v>
      </c>
      <c r="B803" s="5" t="s">
        <v>880</v>
      </c>
      <c r="C803" s="5" t="s">
        <v>881</v>
      </c>
      <c r="D803" s="9" t="s">
        <v>66</v>
      </c>
      <c r="E803" s="5" t="n">
        <v>6</v>
      </c>
      <c r="F803" s="5" t="s">
        <v>8588</v>
      </c>
      <c r="G803" s="13" t="s">
        <v>8589</v>
      </c>
      <c r="H803" s="5" t="s">
        <v>8590</v>
      </c>
      <c r="I803" s="13" t="s">
        <v>8591</v>
      </c>
      <c r="J803" s="5" t="s">
        <v>8592</v>
      </c>
      <c r="K803" s="5" t="s">
        <v>8593</v>
      </c>
      <c r="L803" s="13" t="s">
        <v>8594</v>
      </c>
      <c r="M803" s="13" t="s">
        <v>8595</v>
      </c>
      <c r="N803" s="5" t="n">
        <f aca="false">LEN(L803)</f>
        <v>25</v>
      </c>
      <c r="O803" s="5" t="n">
        <f aca="false">LEN(M803)</f>
        <v>25</v>
      </c>
      <c r="P803" s="14" t="n">
        <f aca="false">IF(N803=0,"",(N803-LEN(SUBSTITUTE(SUBSTITUTE(L803,"G",""),"C","")))/N803)</f>
        <v>0.56</v>
      </c>
      <c r="Q803" s="14" t="n">
        <f aca="false">IF(O803=0,"",(O803-LEN(SUBSTITUTE(SUBSTITUTE(M803,"G",""),"C","")))/O803)</f>
        <v>0.4</v>
      </c>
      <c r="R803" s="5" t="s">
        <v>885</v>
      </c>
      <c r="S803" s="15" t="s">
        <v>1677</v>
      </c>
      <c r="T803" s="5" t="n">
        <v>566</v>
      </c>
      <c r="U803" s="5" t="s">
        <v>1678</v>
      </c>
      <c r="V803" s="5" t="s">
        <v>154</v>
      </c>
      <c r="W803" s="5"/>
      <c r="X803" s="15" t="s">
        <v>1677</v>
      </c>
      <c r="Y803" s="5"/>
    </row>
    <row r="804" customFormat="false" ht="15" hidden="false" customHeight="false" outlineLevel="0" collapsed="false">
      <c r="A804" s="5" t="s">
        <v>8596</v>
      </c>
      <c r="B804" s="5" t="s">
        <v>880</v>
      </c>
      <c r="C804" s="5" t="s">
        <v>881</v>
      </c>
      <c r="D804" s="9" t="s">
        <v>66</v>
      </c>
      <c r="E804" s="5" t="n">
        <v>7</v>
      </c>
      <c r="F804" s="5" t="s">
        <v>8597</v>
      </c>
      <c r="G804" s="13" t="s">
        <v>8598</v>
      </c>
      <c r="H804" s="5" t="s">
        <v>8599</v>
      </c>
      <c r="I804" s="13" t="s">
        <v>8600</v>
      </c>
      <c r="J804" s="5" t="s">
        <v>8601</v>
      </c>
      <c r="K804" s="5" t="s">
        <v>8602</v>
      </c>
      <c r="L804" s="13" t="s">
        <v>8603</v>
      </c>
      <c r="M804" s="13" t="s">
        <v>8604</v>
      </c>
      <c r="N804" s="5" t="n">
        <f aca="false">LEN(L804)</f>
        <v>25</v>
      </c>
      <c r="O804" s="5" t="n">
        <f aca="false">LEN(M804)</f>
        <v>25</v>
      </c>
      <c r="P804" s="14" t="n">
        <f aca="false">IF(N804=0,"",(N804-LEN(SUBSTITUTE(SUBSTITUTE(L804,"G",""),"C","")))/N804)</f>
        <v>0.52</v>
      </c>
      <c r="Q804" s="14" t="n">
        <f aca="false">IF(O804=0,"",(O804-LEN(SUBSTITUTE(SUBSTITUTE(M804,"G",""),"C","")))/O804)</f>
        <v>0.4</v>
      </c>
      <c r="R804" s="5" t="s">
        <v>885</v>
      </c>
      <c r="S804" s="15" t="s">
        <v>1677</v>
      </c>
      <c r="T804" s="5" t="n">
        <v>636</v>
      </c>
      <c r="U804" s="5" t="s">
        <v>1678</v>
      </c>
      <c r="V804" s="5" t="s">
        <v>154</v>
      </c>
      <c r="W804" s="5"/>
      <c r="X804" s="15" t="s">
        <v>1677</v>
      </c>
      <c r="Y804" s="5"/>
    </row>
    <row r="805" customFormat="false" ht="15" hidden="false" customHeight="false" outlineLevel="0" collapsed="false">
      <c r="A805" s="5" t="s">
        <v>8605</v>
      </c>
      <c r="B805" s="5" t="s">
        <v>880</v>
      </c>
      <c r="C805" s="5" t="s">
        <v>881</v>
      </c>
      <c r="D805" s="9" t="s">
        <v>66</v>
      </c>
      <c r="E805" s="5" t="n">
        <v>8</v>
      </c>
      <c r="F805" s="5" t="s">
        <v>8606</v>
      </c>
      <c r="G805" s="13" t="s">
        <v>8607</v>
      </c>
      <c r="H805" s="5" t="s">
        <v>8608</v>
      </c>
      <c r="I805" s="13" t="s">
        <v>8609</v>
      </c>
      <c r="J805" s="5" t="s">
        <v>8610</v>
      </c>
      <c r="K805" s="5" t="s">
        <v>8611</v>
      </c>
      <c r="L805" s="13" t="s">
        <v>8612</v>
      </c>
      <c r="M805" s="13" t="s">
        <v>8613</v>
      </c>
      <c r="N805" s="5" t="n">
        <f aca="false">LEN(L805)</f>
        <v>25</v>
      </c>
      <c r="O805" s="5" t="n">
        <f aca="false">LEN(M805)</f>
        <v>25</v>
      </c>
      <c r="P805" s="14" t="n">
        <f aca="false">IF(N805=0,"",(N805-LEN(SUBSTITUTE(SUBSTITUTE(L805,"G",""),"C","")))/N805)</f>
        <v>0.44</v>
      </c>
      <c r="Q805" s="14" t="n">
        <f aca="false">IF(O805=0,"",(O805-LEN(SUBSTITUTE(SUBSTITUTE(M805,"G",""),"C","")))/O805)</f>
        <v>0.32</v>
      </c>
      <c r="R805" s="5" t="s">
        <v>885</v>
      </c>
      <c r="S805" s="15" t="s">
        <v>1677</v>
      </c>
      <c r="T805" s="5" t="n">
        <v>706</v>
      </c>
      <c r="U805" s="5" t="s">
        <v>1678</v>
      </c>
      <c r="V805" s="5" t="s">
        <v>154</v>
      </c>
      <c r="W805" s="5"/>
      <c r="X805" s="15" t="s">
        <v>1677</v>
      </c>
      <c r="Y805" s="5"/>
    </row>
    <row r="806" customFormat="false" ht="15" hidden="false" customHeight="false" outlineLevel="0" collapsed="false">
      <c r="A806" s="5" t="s">
        <v>8614</v>
      </c>
      <c r="B806" s="5" t="s">
        <v>880</v>
      </c>
      <c r="C806" s="5" t="s">
        <v>881</v>
      </c>
      <c r="D806" s="9" t="s">
        <v>66</v>
      </c>
      <c r="E806" s="5" t="n">
        <v>9</v>
      </c>
      <c r="F806" s="5" t="s">
        <v>8615</v>
      </c>
      <c r="G806" s="13" t="s">
        <v>8616</v>
      </c>
      <c r="H806" s="5" t="s">
        <v>8617</v>
      </c>
      <c r="I806" s="13" t="s">
        <v>8618</v>
      </c>
      <c r="J806" s="5" t="s">
        <v>8619</v>
      </c>
      <c r="K806" s="5" t="s">
        <v>8620</v>
      </c>
      <c r="L806" s="13" t="s">
        <v>8621</v>
      </c>
      <c r="M806" s="13" t="s">
        <v>8622</v>
      </c>
      <c r="N806" s="5" t="n">
        <f aca="false">LEN(L806)</f>
        <v>25</v>
      </c>
      <c r="O806" s="5" t="n">
        <f aca="false">LEN(M806)</f>
        <v>25</v>
      </c>
      <c r="P806" s="14" t="n">
        <f aca="false">IF(N806=0,"",(N806-LEN(SUBSTITUTE(SUBSTITUTE(L806,"G",""),"C","")))/N806)</f>
        <v>0.64</v>
      </c>
      <c r="Q806" s="14" t="n">
        <f aca="false">IF(O806=0,"",(O806-LEN(SUBSTITUTE(SUBSTITUTE(M806,"G",""),"C","")))/O806)</f>
        <v>0.52</v>
      </c>
      <c r="R806" s="5" t="s">
        <v>885</v>
      </c>
      <c r="S806" s="15" t="s">
        <v>1677</v>
      </c>
      <c r="T806" s="5" t="n">
        <v>776</v>
      </c>
      <c r="U806" s="5" t="s">
        <v>1678</v>
      </c>
      <c r="V806" s="5" t="s">
        <v>154</v>
      </c>
      <c r="W806" s="5"/>
      <c r="X806" s="15" t="s">
        <v>1677</v>
      </c>
      <c r="Y806" s="5"/>
    </row>
    <row r="807" customFormat="false" ht="15" hidden="false" customHeight="false" outlineLevel="0" collapsed="false">
      <c r="A807" s="5" t="s">
        <v>8623</v>
      </c>
      <c r="B807" s="5" t="s">
        <v>880</v>
      </c>
      <c r="C807" s="5" t="s">
        <v>881</v>
      </c>
      <c r="D807" s="9" t="s">
        <v>66</v>
      </c>
      <c r="E807" s="5" t="n">
        <v>10</v>
      </c>
      <c r="F807" s="5" t="s">
        <v>8624</v>
      </c>
      <c r="G807" s="13" t="s">
        <v>8625</v>
      </c>
      <c r="H807" s="5" t="s">
        <v>8626</v>
      </c>
      <c r="I807" s="13" t="s">
        <v>8627</v>
      </c>
      <c r="J807" s="5" t="s">
        <v>8628</v>
      </c>
      <c r="K807" s="5" t="s">
        <v>8629</v>
      </c>
      <c r="L807" s="13" t="s">
        <v>8630</v>
      </c>
      <c r="M807" s="13" t="s">
        <v>8631</v>
      </c>
      <c r="N807" s="5" t="n">
        <f aca="false">LEN(L807)</f>
        <v>25</v>
      </c>
      <c r="O807" s="5" t="n">
        <f aca="false">LEN(M807)</f>
        <v>25</v>
      </c>
      <c r="P807" s="14" t="n">
        <f aca="false">IF(N807=0,"",(N807-LEN(SUBSTITUTE(SUBSTITUTE(L807,"G",""),"C","")))/N807)</f>
        <v>0.44</v>
      </c>
      <c r="Q807" s="14" t="n">
        <f aca="false">IF(O807=0,"",(O807-LEN(SUBSTITUTE(SUBSTITUTE(M807,"G",""),"C","")))/O807)</f>
        <v>0.4</v>
      </c>
      <c r="R807" s="5" t="s">
        <v>885</v>
      </c>
      <c r="S807" s="15" t="s">
        <v>1677</v>
      </c>
      <c r="T807" s="5" t="n">
        <v>846</v>
      </c>
      <c r="U807" s="5" t="s">
        <v>1678</v>
      </c>
      <c r="V807" s="5" t="s">
        <v>154</v>
      </c>
      <c r="W807" s="5"/>
      <c r="X807" s="15" t="s">
        <v>1677</v>
      </c>
      <c r="Y807" s="5"/>
    </row>
    <row r="808" customFormat="false" ht="15" hidden="false" customHeight="false" outlineLevel="0" collapsed="false">
      <c r="A808" s="5" t="s">
        <v>8632</v>
      </c>
      <c r="B808" s="5" t="s">
        <v>887</v>
      </c>
      <c r="C808" s="5" t="s">
        <v>380</v>
      </c>
      <c r="D808" s="9" t="s">
        <v>66</v>
      </c>
      <c r="E808" s="5" t="n">
        <v>1</v>
      </c>
      <c r="F808" s="5" t="s">
        <v>8633</v>
      </c>
      <c r="G808" s="13" t="s">
        <v>8634</v>
      </c>
      <c r="H808" s="5" t="s">
        <v>8635</v>
      </c>
      <c r="I808" s="13" t="s">
        <v>8636</v>
      </c>
      <c r="J808" s="5" t="s">
        <v>8637</v>
      </c>
      <c r="K808" s="5" t="s">
        <v>8638</v>
      </c>
      <c r="L808" s="13"/>
      <c r="M808" s="13"/>
      <c r="N808" s="5" t="n">
        <f aca="false">LEN(L808)</f>
        <v>0</v>
      </c>
      <c r="O808" s="5" t="n">
        <f aca="false">LEN(M808)</f>
        <v>0</v>
      </c>
      <c r="P808" s="14" t="str">
        <f aca="false">IF(N808=0,"",(N808-LEN(SUBSTITUTE(SUBSTITUTE(L808,"G",""),"C","")))/N808)</f>
        <v/>
      </c>
      <c r="Q808" s="14" t="str">
        <f aca="false">IF(O808=0,"",(O808-LEN(SUBSTITUTE(SUBSTITUTE(M808,"G",""),"C","")))/O808)</f>
        <v/>
      </c>
      <c r="R808" s="5"/>
      <c r="S808" s="8" t="s">
        <v>2131</v>
      </c>
      <c r="T808" s="5"/>
      <c r="U808" s="5" t="s">
        <v>2986</v>
      </c>
      <c r="V808" s="5" t="s">
        <v>588</v>
      </c>
      <c r="W808" s="5"/>
      <c r="X808" s="8" t="s">
        <v>2131</v>
      </c>
      <c r="Y808" s="8" t="s">
        <v>8639</v>
      </c>
    </row>
    <row r="809" customFormat="false" ht="15" hidden="false" customHeight="false" outlineLevel="0" collapsed="false">
      <c r="A809" s="5" t="s">
        <v>8640</v>
      </c>
      <c r="B809" s="5" t="s">
        <v>889</v>
      </c>
      <c r="C809" s="5" t="s">
        <v>890</v>
      </c>
      <c r="D809" s="9" t="s">
        <v>66</v>
      </c>
      <c r="E809" s="5" t="n">
        <v>1</v>
      </c>
      <c r="F809" s="5" t="s">
        <v>8641</v>
      </c>
      <c r="G809" s="13" t="s">
        <v>8642</v>
      </c>
      <c r="H809" s="5" t="s">
        <v>8643</v>
      </c>
      <c r="I809" s="13" t="s">
        <v>8644</v>
      </c>
      <c r="J809" s="5" t="s">
        <v>8645</v>
      </c>
      <c r="K809" s="5" t="s">
        <v>8646</v>
      </c>
      <c r="L809" s="13" t="s">
        <v>8647</v>
      </c>
      <c r="M809" s="13" t="s">
        <v>8648</v>
      </c>
      <c r="N809" s="5" t="n">
        <f aca="false">LEN(L809)</f>
        <v>25</v>
      </c>
      <c r="O809" s="5" t="n">
        <f aca="false">LEN(M809)</f>
        <v>25</v>
      </c>
      <c r="P809" s="14" t="n">
        <f aca="false">IF(N809=0,"",(N809-LEN(SUBSTITUTE(SUBSTITUTE(L809,"G",""),"C","")))/N809)</f>
        <v>0.64</v>
      </c>
      <c r="Q809" s="14" t="n">
        <f aca="false">IF(O809=0,"",(O809-LEN(SUBSTITUTE(SUBSTITUTE(M809,"G",""),"C","")))/O809)</f>
        <v>0.64</v>
      </c>
      <c r="R809" s="5" t="s">
        <v>895</v>
      </c>
      <c r="S809" s="15" t="s">
        <v>1677</v>
      </c>
      <c r="T809" s="5" t="n">
        <v>356</v>
      </c>
      <c r="U809" s="5" t="s">
        <v>1678</v>
      </c>
      <c r="V809" s="5" t="s">
        <v>588</v>
      </c>
      <c r="W809" s="5"/>
      <c r="X809" s="15" t="s">
        <v>1677</v>
      </c>
      <c r="Y809" s="5"/>
    </row>
    <row r="810" customFormat="false" ht="15" hidden="false" customHeight="false" outlineLevel="0" collapsed="false">
      <c r="A810" s="5" t="s">
        <v>8649</v>
      </c>
      <c r="B810" s="5" t="s">
        <v>889</v>
      </c>
      <c r="C810" s="5" t="s">
        <v>890</v>
      </c>
      <c r="D810" s="9" t="s">
        <v>66</v>
      </c>
      <c r="E810" s="5" t="n">
        <v>2</v>
      </c>
      <c r="F810" s="5" t="s">
        <v>8650</v>
      </c>
      <c r="G810" s="13" t="s">
        <v>8651</v>
      </c>
      <c r="H810" s="5" t="s">
        <v>8652</v>
      </c>
      <c r="I810" s="13" t="s">
        <v>8653</v>
      </c>
      <c r="J810" s="5" t="s">
        <v>8654</v>
      </c>
      <c r="K810" s="5" t="s">
        <v>8655</v>
      </c>
      <c r="L810" s="13" t="s">
        <v>8656</v>
      </c>
      <c r="M810" s="13" t="s">
        <v>8657</v>
      </c>
      <c r="N810" s="5" t="n">
        <f aca="false">LEN(L810)</f>
        <v>25</v>
      </c>
      <c r="O810" s="5" t="n">
        <f aca="false">LEN(M810)</f>
        <v>25</v>
      </c>
      <c r="P810" s="14" t="n">
        <f aca="false">IF(N810=0,"",(N810-LEN(SUBSTITUTE(SUBSTITUTE(L810,"G",""),"C","")))/N810)</f>
        <v>0.64</v>
      </c>
      <c r="Q810" s="14" t="n">
        <f aca="false">IF(O810=0,"",(O810-LEN(SUBSTITUTE(SUBSTITUTE(M810,"G",""),"C","")))/O810)</f>
        <v>0.52</v>
      </c>
      <c r="R810" s="5" t="s">
        <v>895</v>
      </c>
      <c r="S810" s="15" t="s">
        <v>1677</v>
      </c>
      <c r="T810" s="5" t="n">
        <v>426</v>
      </c>
      <c r="U810" s="5" t="s">
        <v>1678</v>
      </c>
      <c r="V810" s="5" t="s">
        <v>588</v>
      </c>
      <c r="W810" s="5"/>
      <c r="X810" s="15" t="s">
        <v>1677</v>
      </c>
      <c r="Y810" s="5"/>
    </row>
    <row r="811" customFormat="false" ht="15" hidden="false" customHeight="false" outlineLevel="0" collapsed="false">
      <c r="A811" s="5" t="s">
        <v>8658</v>
      </c>
      <c r="B811" s="5" t="s">
        <v>889</v>
      </c>
      <c r="C811" s="5" t="s">
        <v>890</v>
      </c>
      <c r="D811" s="9" t="s">
        <v>66</v>
      </c>
      <c r="E811" s="5" t="n">
        <v>3</v>
      </c>
      <c r="F811" s="5" t="s">
        <v>8659</v>
      </c>
      <c r="G811" s="13" t="s">
        <v>8660</v>
      </c>
      <c r="H811" s="5" t="s">
        <v>8661</v>
      </c>
      <c r="I811" s="13" t="s">
        <v>8662</v>
      </c>
      <c r="J811" s="5" t="s">
        <v>8663</v>
      </c>
      <c r="K811" s="5" t="s">
        <v>8664</v>
      </c>
      <c r="L811" s="13" t="s">
        <v>8665</v>
      </c>
      <c r="M811" s="13" t="s">
        <v>8666</v>
      </c>
      <c r="N811" s="5" t="n">
        <f aca="false">LEN(L811)</f>
        <v>25</v>
      </c>
      <c r="O811" s="5" t="n">
        <f aca="false">LEN(M811)</f>
        <v>25</v>
      </c>
      <c r="P811" s="14" t="n">
        <f aca="false">IF(N811=0,"",(N811-LEN(SUBSTITUTE(SUBSTITUTE(L811,"G",""),"C","")))/N811)</f>
        <v>0.28</v>
      </c>
      <c r="Q811" s="14" t="n">
        <f aca="false">IF(O811=0,"",(O811-LEN(SUBSTITUTE(SUBSTITUTE(M811,"G",""),"C","")))/O811)</f>
        <v>0.48</v>
      </c>
      <c r="R811" s="5" t="s">
        <v>895</v>
      </c>
      <c r="S811" s="15" t="s">
        <v>1677</v>
      </c>
      <c r="T811" s="5" t="n">
        <v>496</v>
      </c>
      <c r="U811" s="5" t="s">
        <v>1678</v>
      </c>
      <c r="V811" s="5" t="s">
        <v>588</v>
      </c>
      <c r="W811" s="5"/>
      <c r="X811" s="15" t="s">
        <v>1677</v>
      </c>
      <c r="Y811" s="5"/>
    </row>
    <row r="812" customFormat="false" ht="15" hidden="false" customHeight="false" outlineLevel="0" collapsed="false">
      <c r="A812" s="5" t="s">
        <v>8667</v>
      </c>
      <c r="B812" s="5" t="s">
        <v>889</v>
      </c>
      <c r="C812" s="5" t="s">
        <v>890</v>
      </c>
      <c r="D812" s="9" t="s">
        <v>66</v>
      </c>
      <c r="E812" s="5" t="n">
        <v>4</v>
      </c>
      <c r="F812" s="5" t="s">
        <v>8668</v>
      </c>
      <c r="G812" s="13" t="s">
        <v>8669</v>
      </c>
      <c r="H812" s="5" t="s">
        <v>8670</v>
      </c>
      <c r="I812" s="13" t="s">
        <v>8671</v>
      </c>
      <c r="J812" s="5" t="s">
        <v>8672</v>
      </c>
      <c r="K812" s="5" t="s">
        <v>8673</v>
      </c>
      <c r="L812" s="13" t="s">
        <v>8674</v>
      </c>
      <c r="M812" s="13" t="s">
        <v>8675</v>
      </c>
      <c r="N812" s="5" t="n">
        <f aca="false">LEN(L812)</f>
        <v>25</v>
      </c>
      <c r="O812" s="5" t="n">
        <f aca="false">LEN(M812)</f>
        <v>25</v>
      </c>
      <c r="P812" s="14" t="n">
        <f aca="false">IF(N812=0,"",(N812-LEN(SUBSTITUTE(SUBSTITUTE(L812,"G",""),"C","")))/N812)</f>
        <v>0.52</v>
      </c>
      <c r="Q812" s="14" t="n">
        <f aca="false">IF(O812=0,"",(O812-LEN(SUBSTITUTE(SUBSTITUTE(M812,"G",""),"C","")))/O812)</f>
        <v>0.68</v>
      </c>
      <c r="R812" s="5" t="s">
        <v>895</v>
      </c>
      <c r="S812" s="15" t="s">
        <v>1677</v>
      </c>
      <c r="T812" s="5" t="n">
        <v>566</v>
      </c>
      <c r="U812" s="5" t="s">
        <v>1678</v>
      </c>
      <c r="V812" s="5" t="s">
        <v>588</v>
      </c>
      <c r="W812" s="5"/>
      <c r="X812" s="15" t="s">
        <v>1677</v>
      </c>
      <c r="Y812" s="5"/>
    </row>
    <row r="813" customFormat="false" ht="15" hidden="false" customHeight="false" outlineLevel="0" collapsed="false">
      <c r="A813" s="5" t="s">
        <v>8676</v>
      </c>
      <c r="B813" s="5" t="s">
        <v>889</v>
      </c>
      <c r="C813" s="5" t="s">
        <v>890</v>
      </c>
      <c r="D813" s="9" t="s">
        <v>66</v>
      </c>
      <c r="E813" s="5" t="n">
        <v>5</v>
      </c>
      <c r="F813" s="5" t="s">
        <v>8677</v>
      </c>
      <c r="G813" s="13" t="s">
        <v>8678</v>
      </c>
      <c r="H813" s="5" t="s">
        <v>8679</v>
      </c>
      <c r="I813" s="13" t="s">
        <v>8680</v>
      </c>
      <c r="J813" s="5" t="s">
        <v>8681</v>
      </c>
      <c r="K813" s="5" t="s">
        <v>8682</v>
      </c>
      <c r="L813" s="13" t="s">
        <v>8683</v>
      </c>
      <c r="M813" s="13" t="s">
        <v>8684</v>
      </c>
      <c r="N813" s="5" t="n">
        <f aca="false">LEN(L813)</f>
        <v>25</v>
      </c>
      <c r="O813" s="5" t="n">
        <f aca="false">LEN(M813)</f>
        <v>25</v>
      </c>
      <c r="P813" s="14" t="n">
        <f aca="false">IF(N813=0,"",(N813-LEN(SUBSTITUTE(SUBSTITUTE(L813,"G",""),"C","")))/N813)</f>
        <v>0.52</v>
      </c>
      <c r="Q813" s="14" t="n">
        <f aca="false">IF(O813=0,"",(O813-LEN(SUBSTITUTE(SUBSTITUTE(M813,"G",""),"C","")))/O813)</f>
        <v>0.36</v>
      </c>
      <c r="R813" s="5" t="s">
        <v>895</v>
      </c>
      <c r="S813" s="15" t="s">
        <v>1677</v>
      </c>
      <c r="T813" s="5" t="n">
        <v>636</v>
      </c>
      <c r="U813" s="5" t="s">
        <v>1678</v>
      </c>
      <c r="V813" s="5" t="s">
        <v>588</v>
      </c>
      <c r="W813" s="5"/>
      <c r="X813" s="15" t="s">
        <v>1677</v>
      </c>
      <c r="Y813" s="5"/>
    </row>
    <row r="814" customFormat="false" ht="15" hidden="false" customHeight="false" outlineLevel="0" collapsed="false">
      <c r="A814" s="5" t="s">
        <v>8685</v>
      </c>
      <c r="B814" s="5" t="s">
        <v>889</v>
      </c>
      <c r="C814" s="5" t="s">
        <v>890</v>
      </c>
      <c r="D814" s="9" t="s">
        <v>66</v>
      </c>
      <c r="E814" s="5" t="n">
        <v>6</v>
      </c>
      <c r="F814" s="5" t="s">
        <v>8686</v>
      </c>
      <c r="G814" s="13" t="s">
        <v>8687</v>
      </c>
      <c r="H814" s="5" t="s">
        <v>8688</v>
      </c>
      <c r="I814" s="13" t="s">
        <v>8689</v>
      </c>
      <c r="J814" s="5" t="s">
        <v>8690</v>
      </c>
      <c r="K814" s="5" t="s">
        <v>8691</v>
      </c>
      <c r="L814" s="13" t="s">
        <v>8692</v>
      </c>
      <c r="M814" s="13" t="s">
        <v>8693</v>
      </c>
      <c r="N814" s="5" t="n">
        <f aca="false">LEN(L814)</f>
        <v>25</v>
      </c>
      <c r="O814" s="5" t="n">
        <f aca="false">LEN(M814)</f>
        <v>25</v>
      </c>
      <c r="P814" s="14" t="n">
        <f aca="false">IF(N814=0,"",(N814-LEN(SUBSTITUTE(SUBSTITUTE(L814,"G",""),"C","")))/N814)</f>
        <v>0.48</v>
      </c>
      <c r="Q814" s="14" t="n">
        <f aca="false">IF(O814=0,"",(O814-LEN(SUBSTITUTE(SUBSTITUTE(M814,"G",""),"C","")))/O814)</f>
        <v>0.64</v>
      </c>
      <c r="R814" s="5" t="s">
        <v>895</v>
      </c>
      <c r="S814" s="15" t="s">
        <v>1677</v>
      </c>
      <c r="T814" s="5" t="n">
        <v>706</v>
      </c>
      <c r="U814" s="5" t="s">
        <v>1678</v>
      </c>
      <c r="V814" s="5" t="s">
        <v>588</v>
      </c>
      <c r="W814" s="5"/>
      <c r="X814" s="15" t="s">
        <v>1677</v>
      </c>
      <c r="Y814" s="5"/>
    </row>
    <row r="815" customFormat="false" ht="15" hidden="false" customHeight="false" outlineLevel="0" collapsed="false">
      <c r="A815" s="5" t="s">
        <v>8694</v>
      </c>
      <c r="B815" s="5" t="s">
        <v>897</v>
      </c>
      <c r="C815" s="5" t="s">
        <v>898</v>
      </c>
      <c r="D815" s="9" t="s">
        <v>66</v>
      </c>
      <c r="E815" s="5" t="n">
        <v>1</v>
      </c>
      <c r="F815" s="5" t="s">
        <v>8695</v>
      </c>
      <c r="G815" s="13" t="s">
        <v>8696</v>
      </c>
      <c r="H815" s="5" t="s">
        <v>8697</v>
      </c>
      <c r="I815" s="13" t="s">
        <v>8698</v>
      </c>
      <c r="J815" s="5" t="s">
        <v>8699</v>
      </c>
      <c r="K815" s="5" t="s">
        <v>8700</v>
      </c>
      <c r="L815" s="13" t="s">
        <v>8701</v>
      </c>
      <c r="M815" s="13" t="s">
        <v>8702</v>
      </c>
      <c r="N815" s="5" t="n">
        <f aca="false">LEN(L815)</f>
        <v>25</v>
      </c>
      <c r="O815" s="5" t="n">
        <f aca="false">LEN(M815)</f>
        <v>25</v>
      </c>
      <c r="P815" s="14" t="n">
        <f aca="false">IF(N815=0,"",(N815-LEN(SUBSTITUTE(SUBSTITUTE(L815,"G",""),"C","")))/N815)</f>
        <v>0.4</v>
      </c>
      <c r="Q815" s="14" t="n">
        <f aca="false">IF(O815=0,"",(O815-LEN(SUBSTITUTE(SUBSTITUTE(M815,"G",""),"C","")))/O815)</f>
        <v>0.6</v>
      </c>
      <c r="R815" s="5" t="s">
        <v>901</v>
      </c>
      <c r="S815" s="15" t="s">
        <v>1677</v>
      </c>
      <c r="T815" s="5" t="n">
        <v>6</v>
      </c>
      <c r="U815" s="5" t="s">
        <v>1678</v>
      </c>
      <c r="V815" s="5" t="s">
        <v>588</v>
      </c>
      <c r="W815" s="5"/>
      <c r="X815" s="15" t="s">
        <v>1677</v>
      </c>
      <c r="Y815" s="5"/>
    </row>
    <row r="816" customFormat="false" ht="15" hidden="false" customHeight="false" outlineLevel="0" collapsed="false">
      <c r="A816" s="5" t="s">
        <v>8703</v>
      </c>
      <c r="B816" s="5" t="s">
        <v>897</v>
      </c>
      <c r="C816" s="5" t="s">
        <v>898</v>
      </c>
      <c r="D816" s="9" t="s">
        <v>66</v>
      </c>
      <c r="E816" s="5" t="n">
        <v>2</v>
      </c>
      <c r="F816" s="5" t="s">
        <v>8704</v>
      </c>
      <c r="G816" s="13" t="s">
        <v>8705</v>
      </c>
      <c r="H816" s="5" t="s">
        <v>8706</v>
      </c>
      <c r="I816" s="13" t="s">
        <v>8707</v>
      </c>
      <c r="J816" s="5" t="s">
        <v>8708</v>
      </c>
      <c r="K816" s="5" t="s">
        <v>8709</v>
      </c>
      <c r="L816" s="13" t="s">
        <v>8710</v>
      </c>
      <c r="M816" s="13" t="s">
        <v>8711</v>
      </c>
      <c r="N816" s="5" t="n">
        <f aca="false">LEN(L816)</f>
        <v>25</v>
      </c>
      <c r="O816" s="5" t="n">
        <f aca="false">LEN(M816)</f>
        <v>25</v>
      </c>
      <c r="P816" s="14" t="n">
        <f aca="false">IF(N816=0,"",(N816-LEN(SUBSTITUTE(SUBSTITUTE(L816,"G",""),"C","")))/N816)</f>
        <v>0.76</v>
      </c>
      <c r="Q816" s="14" t="n">
        <f aca="false">IF(O816=0,"",(O816-LEN(SUBSTITUTE(SUBSTITUTE(M816,"G",""),"C","")))/O816)</f>
        <v>0.76</v>
      </c>
      <c r="R816" s="5" t="s">
        <v>901</v>
      </c>
      <c r="S816" s="15" t="s">
        <v>1677</v>
      </c>
      <c r="T816" s="5" t="n">
        <v>76</v>
      </c>
      <c r="U816" s="5" t="s">
        <v>1678</v>
      </c>
      <c r="V816" s="5" t="s">
        <v>588</v>
      </c>
      <c r="W816" s="5"/>
      <c r="X816" s="8" t="s">
        <v>1914</v>
      </c>
      <c r="Y816" s="5"/>
    </row>
    <row r="817" customFormat="false" ht="15" hidden="false" customHeight="false" outlineLevel="0" collapsed="false">
      <c r="A817" s="5" t="s">
        <v>8712</v>
      </c>
      <c r="B817" s="5" t="s">
        <v>897</v>
      </c>
      <c r="C817" s="5" t="s">
        <v>898</v>
      </c>
      <c r="D817" s="9" t="s">
        <v>66</v>
      </c>
      <c r="E817" s="5" t="n">
        <v>3</v>
      </c>
      <c r="F817" s="5" t="s">
        <v>8713</v>
      </c>
      <c r="G817" s="13" t="s">
        <v>8714</v>
      </c>
      <c r="H817" s="5" t="s">
        <v>8715</v>
      </c>
      <c r="I817" s="13" t="s">
        <v>8716</v>
      </c>
      <c r="J817" s="5" t="s">
        <v>8717</v>
      </c>
      <c r="K817" s="5" t="s">
        <v>8718</v>
      </c>
      <c r="L817" s="13" t="s">
        <v>8719</v>
      </c>
      <c r="M817" s="13" t="s">
        <v>8720</v>
      </c>
      <c r="N817" s="5" t="n">
        <f aca="false">LEN(L817)</f>
        <v>25</v>
      </c>
      <c r="O817" s="5" t="n">
        <f aca="false">LEN(M817)</f>
        <v>25</v>
      </c>
      <c r="P817" s="14" t="n">
        <f aca="false">IF(N817=0,"",(N817-LEN(SUBSTITUTE(SUBSTITUTE(L817,"G",""),"C","")))/N817)</f>
        <v>0.32</v>
      </c>
      <c r="Q817" s="14" t="n">
        <f aca="false">IF(O817=0,"",(O817-LEN(SUBSTITUTE(SUBSTITUTE(M817,"G",""),"C","")))/O817)</f>
        <v>0.4</v>
      </c>
      <c r="R817" s="5" t="s">
        <v>901</v>
      </c>
      <c r="S817" s="15" t="s">
        <v>1677</v>
      </c>
      <c r="T817" s="5" t="n">
        <v>146</v>
      </c>
      <c r="U817" s="5" t="s">
        <v>1678</v>
      </c>
      <c r="V817" s="5" t="s">
        <v>588</v>
      </c>
      <c r="W817" s="5"/>
      <c r="X817" s="15" t="s">
        <v>1677</v>
      </c>
      <c r="Y817" s="5"/>
    </row>
    <row r="818" customFormat="false" ht="15" hidden="false" customHeight="false" outlineLevel="0" collapsed="false">
      <c r="A818" s="5" t="s">
        <v>8721</v>
      </c>
      <c r="B818" s="5" t="s">
        <v>904</v>
      </c>
      <c r="C818" s="5" t="s">
        <v>905</v>
      </c>
      <c r="D818" s="9" t="s">
        <v>66</v>
      </c>
      <c r="E818" s="5" t="n">
        <v>1</v>
      </c>
      <c r="F818" s="5" t="s">
        <v>8722</v>
      </c>
      <c r="G818" s="13" t="s">
        <v>8723</v>
      </c>
      <c r="H818" s="5" t="s">
        <v>8724</v>
      </c>
      <c r="I818" s="13" t="s">
        <v>8725</v>
      </c>
      <c r="J818" s="5" t="s">
        <v>8726</v>
      </c>
      <c r="K818" s="5" t="s">
        <v>8727</v>
      </c>
      <c r="L818" s="13" t="s">
        <v>8728</v>
      </c>
      <c r="M818" s="13" t="s">
        <v>8729</v>
      </c>
      <c r="N818" s="5" t="n">
        <f aca="false">LEN(L818)</f>
        <v>25</v>
      </c>
      <c r="O818" s="5" t="n">
        <f aca="false">LEN(M818)</f>
        <v>25</v>
      </c>
      <c r="P818" s="14" t="n">
        <f aca="false">IF(N818=0,"",(N818-LEN(SUBSTITUTE(SUBSTITUTE(L818,"G",""),"C","")))/N818)</f>
        <v>0.56</v>
      </c>
      <c r="Q818" s="14" t="n">
        <f aca="false">IF(O818=0,"",(O818-LEN(SUBSTITUTE(SUBSTITUTE(M818,"G",""),"C","")))/O818)</f>
        <v>0.64</v>
      </c>
      <c r="R818" s="5" t="s">
        <v>909</v>
      </c>
      <c r="S818" s="15" t="s">
        <v>1677</v>
      </c>
      <c r="T818" s="5" t="n">
        <v>216</v>
      </c>
      <c r="U818" s="5" t="s">
        <v>1678</v>
      </c>
      <c r="V818" s="5" t="s">
        <v>588</v>
      </c>
      <c r="W818" s="5"/>
      <c r="X818" s="15" t="s">
        <v>1677</v>
      </c>
      <c r="Y818" s="5"/>
    </row>
    <row r="819" customFormat="false" ht="15" hidden="false" customHeight="false" outlineLevel="0" collapsed="false">
      <c r="A819" s="5" t="s">
        <v>8730</v>
      </c>
      <c r="B819" s="5" t="s">
        <v>904</v>
      </c>
      <c r="C819" s="5" t="s">
        <v>905</v>
      </c>
      <c r="D819" s="9" t="s">
        <v>66</v>
      </c>
      <c r="E819" s="5" t="n">
        <v>2</v>
      </c>
      <c r="F819" s="5" t="s">
        <v>8731</v>
      </c>
      <c r="G819" s="13" t="s">
        <v>8732</v>
      </c>
      <c r="H819" s="5" t="s">
        <v>8733</v>
      </c>
      <c r="I819" s="13" t="s">
        <v>8734</v>
      </c>
      <c r="J819" s="5" t="s">
        <v>8735</v>
      </c>
      <c r="K819" s="5" t="s">
        <v>8736</v>
      </c>
      <c r="L819" s="13" t="s">
        <v>8737</v>
      </c>
      <c r="M819" s="13" t="s">
        <v>8738</v>
      </c>
      <c r="N819" s="5" t="n">
        <f aca="false">LEN(L819)</f>
        <v>25</v>
      </c>
      <c r="O819" s="5" t="n">
        <f aca="false">LEN(M819)</f>
        <v>25</v>
      </c>
      <c r="P819" s="14" t="n">
        <f aca="false">IF(N819=0,"",(N819-LEN(SUBSTITUTE(SUBSTITUTE(L819,"G",""),"C","")))/N819)</f>
        <v>0.68</v>
      </c>
      <c r="Q819" s="14" t="n">
        <f aca="false">IF(O819=0,"",(O819-LEN(SUBSTITUTE(SUBSTITUTE(M819,"G",""),"C","")))/O819)</f>
        <v>0.72</v>
      </c>
      <c r="R819" s="5" t="s">
        <v>909</v>
      </c>
      <c r="S819" s="15" t="s">
        <v>1677</v>
      </c>
      <c r="T819" s="5" t="n">
        <v>286</v>
      </c>
      <c r="U819" s="5" t="s">
        <v>1678</v>
      </c>
      <c r="V819" s="5" t="s">
        <v>588</v>
      </c>
      <c r="W819" s="5"/>
      <c r="X819" s="15" t="s">
        <v>1677</v>
      </c>
      <c r="Y819" s="5"/>
    </row>
    <row r="820" customFormat="false" ht="15" hidden="false" customHeight="false" outlineLevel="0" collapsed="false">
      <c r="A820" s="5" t="s">
        <v>8739</v>
      </c>
      <c r="B820" s="5" t="s">
        <v>904</v>
      </c>
      <c r="C820" s="5" t="s">
        <v>905</v>
      </c>
      <c r="D820" s="9" t="s">
        <v>66</v>
      </c>
      <c r="E820" s="5" t="n">
        <v>3</v>
      </c>
      <c r="F820" s="5" t="s">
        <v>8740</v>
      </c>
      <c r="G820" s="13" t="s">
        <v>8741</v>
      </c>
      <c r="H820" s="5" t="s">
        <v>8742</v>
      </c>
      <c r="I820" s="13" t="s">
        <v>8743</v>
      </c>
      <c r="J820" s="5" t="s">
        <v>8744</v>
      </c>
      <c r="K820" s="5" t="s">
        <v>8745</v>
      </c>
      <c r="L820" s="13" t="s">
        <v>8746</v>
      </c>
      <c r="M820" s="13" t="s">
        <v>8747</v>
      </c>
      <c r="N820" s="5" t="n">
        <f aca="false">LEN(L820)</f>
        <v>25</v>
      </c>
      <c r="O820" s="5" t="n">
        <f aca="false">LEN(M820)</f>
        <v>25</v>
      </c>
      <c r="P820" s="14" t="n">
        <f aca="false">IF(N820=0,"",(N820-LEN(SUBSTITUTE(SUBSTITUTE(L820,"G",""),"C","")))/N820)</f>
        <v>0.72</v>
      </c>
      <c r="Q820" s="14" t="n">
        <f aca="false">IF(O820=0,"",(O820-LEN(SUBSTITUTE(SUBSTITUTE(M820,"G",""),"C","")))/O820)</f>
        <v>0.76</v>
      </c>
      <c r="R820" s="5" t="s">
        <v>909</v>
      </c>
      <c r="S820" s="15" t="s">
        <v>1677</v>
      </c>
      <c r="T820" s="5" t="n">
        <v>356</v>
      </c>
      <c r="U820" s="5" t="s">
        <v>1678</v>
      </c>
      <c r="V820" s="5" t="s">
        <v>588</v>
      </c>
      <c r="W820" s="5"/>
      <c r="X820" s="15" t="s">
        <v>1677</v>
      </c>
      <c r="Y820" s="5"/>
    </row>
    <row r="821" customFormat="false" ht="15" hidden="false" customHeight="false" outlineLevel="0" collapsed="false">
      <c r="A821" s="5" t="s">
        <v>8748</v>
      </c>
      <c r="B821" s="5" t="s">
        <v>904</v>
      </c>
      <c r="C821" s="5" t="s">
        <v>905</v>
      </c>
      <c r="D821" s="9" t="s">
        <v>66</v>
      </c>
      <c r="E821" s="5" t="n">
        <v>4</v>
      </c>
      <c r="F821" s="5" t="s">
        <v>8749</v>
      </c>
      <c r="G821" s="13" t="s">
        <v>8750</v>
      </c>
      <c r="H821" s="5" t="s">
        <v>8751</v>
      </c>
      <c r="I821" s="13" t="s">
        <v>8752</v>
      </c>
      <c r="J821" s="5" t="s">
        <v>8753</v>
      </c>
      <c r="K821" s="5" t="s">
        <v>8754</v>
      </c>
      <c r="L821" s="13" t="s">
        <v>8755</v>
      </c>
      <c r="M821" s="13" t="s">
        <v>8756</v>
      </c>
      <c r="N821" s="5" t="n">
        <f aca="false">LEN(L821)</f>
        <v>25</v>
      </c>
      <c r="O821" s="5" t="n">
        <f aca="false">LEN(M821)</f>
        <v>25</v>
      </c>
      <c r="P821" s="14" t="n">
        <f aca="false">IF(N821=0,"",(N821-LEN(SUBSTITUTE(SUBSTITUTE(L821,"G",""),"C","")))/N821)</f>
        <v>0.64</v>
      </c>
      <c r="Q821" s="14" t="n">
        <f aca="false">IF(O821=0,"",(O821-LEN(SUBSTITUTE(SUBSTITUTE(M821,"G",""),"C","")))/O821)</f>
        <v>0.6</v>
      </c>
      <c r="R821" s="5" t="s">
        <v>909</v>
      </c>
      <c r="S821" s="15" t="s">
        <v>1677</v>
      </c>
      <c r="T821" s="5" t="n">
        <v>426</v>
      </c>
      <c r="U821" s="5" t="s">
        <v>1678</v>
      </c>
      <c r="V821" s="5" t="s">
        <v>588</v>
      </c>
      <c r="W821" s="5"/>
      <c r="X821" s="15" t="s">
        <v>1677</v>
      </c>
      <c r="Y821" s="5"/>
    </row>
    <row r="822" customFormat="false" ht="15" hidden="false" customHeight="false" outlineLevel="0" collapsed="false">
      <c r="A822" s="5" t="s">
        <v>8757</v>
      </c>
      <c r="B822" s="5" t="s">
        <v>904</v>
      </c>
      <c r="C822" s="5" t="s">
        <v>905</v>
      </c>
      <c r="D822" s="9" t="s">
        <v>66</v>
      </c>
      <c r="E822" s="5" t="n">
        <v>5</v>
      </c>
      <c r="F822" s="5" t="s">
        <v>8758</v>
      </c>
      <c r="G822" s="13" t="s">
        <v>8759</v>
      </c>
      <c r="H822" s="5" t="s">
        <v>8760</v>
      </c>
      <c r="I822" s="13" t="s">
        <v>8761</v>
      </c>
      <c r="J822" s="5" t="s">
        <v>8762</v>
      </c>
      <c r="K822" s="5" t="s">
        <v>8763</v>
      </c>
      <c r="L822" s="13" t="s">
        <v>8764</v>
      </c>
      <c r="M822" s="13" t="s">
        <v>8765</v>
      </c>
      <c r="N822" s="5" t="n">
        <f aca="false">LEN(L822)</f>
        <v>25</v>
      </c>
      <c r="O822" s="5" t="n">
        <f aca="false">LEN(M822)</f>
        <v>25</v>
      </c>
      <c r="P822" s="14" t="n">
        <f aca="false">IF(N822=0,"",(N822-LEN(SUBSTITUTE(SUBSTITUTE(L822,"G",""),"C","")))/N822)</f>
        <v>0.52</v>
      </c>
      <c r="Q822" s="14" t="n">
        <f aca="false">IF(O822=0,"",(O822-LEN(SUBSTITUTE(SUBSTITUTE(M822,"G",""),"C","")))/O822)</f>
        <v>0.72</v>
      </c>
      <c r="R822" s="5" t="s">
        <v>909</v>
      </c>
      <c r="S822" s="15" t="s">
        <v>1677</v>
      </c>
      <c r="T822" s="5" t="n">
        <v>496</v>
      </c>
      <c r="U822" s="5" t="s">
        <v>1678</v>
      </c>
      <c r="V822" s="5" t="s">
        <v>588</v>
      </c>
      <c r="W822" s="5"/>
      <c r="X822" s="15" t="s">
        <v>1677</v>
      </c>
      <c r="Y822" s="5"/>
    </row>
    <row r="823" customFormat="false" ht="15" hidden="false" customHeight="false" outlineLevel="0" collapsed="false">
      <c r="A823" s="5" t="s">
        <v>8766</v>
      </c>
      <c r="B823" s="5" t="s">
        <v>904</v>
      </c>
      <c r="C823" s="5" t="s">
        <v>905</v>
      </c>
      <c r="D823" s="9" t="s">
        <v>66</v>
      </c>
      <c r="E823" s="5" t="n">
        <v>6</v>
      </c>
      <c r="F823" s="5" t="s">
        <v>8767</v>
      </c>
      <c r="G823" s="13" t="s">
        <v>8768</v>
      </c>
      <c r="H823" s="5" t="s">
        <v>8769</v>
      </c>
      <c r="I823" s="13" t="s">
        <v>8770</v>
      </c>
      <c r="J823" s="5" t="s">
        <v>8771</v>
      </c>
      <c r="K823" s="5" t="s">
        <v>8772</v>
      </c>
      <c r="L823" s="13" t="s">
        <v>8773</v>
      </c>
      <c r="M823" s="13" t="s">
        <v>8774</v>
      </c>
      <c r="N823" s="5" t="n">
        <f aca="false">LEN(L823)</f>
        <v>25</v>
      </c>
      <c r="O823" s="5" t="n">
        <f aca="false">LEN(M823)</f>
        <v>25</v>
      </c>
      <c r="P823" s="14" t="n">
        <f aca="false">IF(N823=0,"",(N823-LEN(SUBSTITUTE(SUBSTITUTE(L823,"G",""),"C","")))/N823)</f>
        <v>0.44</v>
      </c>
      <c r="Q823" s="14" t="n">
        <f aca="false">IF(O823=0,"",(O823-LEN(SUBSTITUTE(SUBSTITUTE(M823,"G",""),"C","")))/O823)</f>
        <v>0.4</v>
      </c>
      <c r="R823" s="5" t="s">
        <v>909</v>
      </c>
      <c r="S823" s="15" t="s">
        <v>1677</v>
      </c>
      <c r="T823" s="5" t="n">
        <v>566</v>
      </c>
      <c r="U823" s="5" t="s">
        <v>1678</v>
      </c>
      <c r="V823" s="5" t="s">
        <v>588</v>
      </c>
      <c r="W823" s="5"/>
      <c r="X823" s="15" t="s">
        <v>1677</v>
      </c>
      <c r="Y823" s="5"/>
    </row>
    <row r="824" customFormat="false" ht="15" hidden="false" customHeight="false" outlineLevel="0" collapsed="false">
      <c r="A824" s="5" t="s">
        <v>8775</v>
      </c>
      <c r="B824" s="5" t="s">
        <v>913</v>
      </c>
      <c r="C824" s="5" t="s">
        <v>914</v>
      </c>
      <c r="D824" s="9" t="s">
        <v>66</v>
      </c>
      <c r="E824" s="5" t="n">
        <v>1</v>
      </c>
      <c r="F824" s="5" t="s">
        <v>8776</v>
      </c>
      <c r="G824" s="13" t="s">
        <v>8777</v>
      </c>
      <c r="H824" s="5" t="s">
        <v>8778</v>
      </c>
      <c r="I824" s="13" t="s">
        <v>8779</v>
      </c>
      <c r="J824" s="5" t="s">
        <v>8780</v>
      </c>
      <c r="K824" s="5" t="s">
        <v>8781</v>
      </c>
      <c r="L824" s="13" t="s">
        <v>8782</v>
      </c>
      <c r="M824" s="13" t="s">
        <v>8783</v>
      </c>
      <c r="N824" s="5" t="n">
        <f aca="false">LEN(L824)</f>
        <v>25</v>
      </c>
      <c r="O824" s="5" t="n">
        <f aca="false">LEN(M824)</f>
        <v>25</v>
      </c>
      <c r="P824" s="14" t="n">
        <f aca="false">IF(N824=0,"",(N824-LEN(SUBSTITUTE(SUBSTITUTE(L824,"G",""),"C","")))/N824)</f>
        <v>0.4</v>
      </c>
      <c r="Q824" s="14" t="n">
        <f aca="false">IF(O824=0,"",(O824-LEN(SUBSTITUTE(SUBSTITUTE(M824,"G",""),"C","")))/O824)</f>
        <v>0.32</v>
      </c>
      <c r="R824" s="5" t="s">
        <v>918</v>
      </c>
      <c r="S824" s="15" t="s">
        <v>1677</v>
      </c>
      <c r="T824" s="5" t="n">
        <v>6</v>
      </c>
      <c r="U824" s="5" t="s">
        <v>1678</v>
      </c>
      <c r="V824" s="5" t="s">
        <v>588</v>
      </c>
      <c r="W824" s="5"/>
      <c r="X824" s="15" t="s">
        <v>1677</v>
      </c>
      <c r="Y824" s="5"/>
    </row>
    <row r="825" customFormat="false" ht="15" hidden="false" customHeight="false" outlineLevel="0" collapsed="false">
      <c r="A825" s="5" t="s">
        <v>8784</v>
      </c>
      <c r="B825" s="5" t="s">
        <v>913</v>
      </c>
      <c r="C825" s="5" t="s">
        <v>914</v>
      </c>
      <c r="D825" s="9" t="s">
        <v>66</v>
      </c>
      <c r="E825" s="5" t="n">
        <v>2</v>
      </c>
      <c r="F825" s="5" t="s">
        <v>8785</v>
      </c>
      <c r="G825" s="13" t="s">
        <v>8786</v>
      </c>
      <c r="H825" s="5" t="s">
        <v>8787</v>
      </c>
      <c r="I825" s="13" t="s">
        <v>8788</v>
      </c>
      <c r="J825" s="5" t="s">
        <v>8789</v>
      </c>
      <c r="K825" s="5" t="s">
        <v>8790</v>
      </c>
      <c r="L825" s="13" t="s">
        <v>8791</v>
      </c>
      <c r="M825" s="13" t="s">
        <v>8792</v>
      </c>
      <c r="N825" s="5" t="n">
        <f aca="false">LEN(L825)</f>
        <v>25</v>
      </c>
      <c r="O825" s="5" t="n">
        <f aca="false">LEN(M825)</f>
        <v>25</v>
      </c>
      <c r="P825" s="14" t="n">
        <f aca="false">IF(N825=0,"",(N825-LEN(SUBSTITUTE(SUBSTITUTE(L825,"G",""),"C","")))/N825)</f>
        <v>0.36</v>
      </c>
      <c r="Q825" s="14" t="n">
        <f aca="false">IF(O825=0,"",(O825-LEN(SUBSTITUTE(SUBSTITUTE(M825,"G",""),"C","")))/O825)</f>
        <v>0.48</v>
      </c>
      <c r="R825" s="5" t="s">
        <v>918</v>
      </c>
      <c r="S825" s="15" t="s">
        <v>1677</v>
      </c>
      <c r="T825" s="5" t="n">
        <v>76</v>
      </c>
      <c r="U825" s="5" t="s">
        <v>1678</v>
      </c>
      <c r="V825" s="5" t="s">
        <v>588</v>
      </c>
      <c r="W825" s="5"/>
      <c r="X825" s="15" t="s">
        <v>1677</v>
      </c>
      <c r="Y825" s="5"/>
    </row>
    <row r="826" customFormat="false" ht="15" hidden="false" customHeight="false" outlineLevel="0" collapsed="false">
      <c r="A826" s="5" t="s">
        <v>8793</v>
      </c>
      <c r="B826" s="5" t="s">
        <v>913</v>
      </c>
      <c r="C826" s="5" t="s">
        <v>914</v>
      </c>
      <c r="D826" s="9" t="s">
        <v>66</v>
      </c>
      <c r="E826" s="5" t="n">
        <v>3</v>
      </c>
      <c r="F826" s="5" t="s">
        <v>8794</v>
      </c>
      <c r="G826" s="13" t="s">
        <v>8795</v>
      </c>
      <c r="H826" s="5" t="s">
        <v>8796</v>
      </c>
      <c r="I826" s="13" t="s">
        <v>8797</v>
      </c>
      <c r="J826" s="5" t="s">
        <v>8798</v>
      </c>
      <c r="K826" s="5" t="s">
        <v>8799</v>
      </c>
      <c r="L826" s="13" t="s">
        <v>8800</v>
      </c>
      <c r="M826" s="13" t="s">
        <v>8801</v>
      </c>
      <c r="N826" s="5" t="n">
        <f aca="false">LEN(L826)</f>
        <v>25</v>
      </c>
      <c r="O826" s="5" t="n">
        <f aca="false">LEN(M826)</f>
        <v>25</v>
      </c>
      <c r="P826" s="14" t="n">
        <f aca="false">IF(N826=0,"",(N826-LEN(SUBSTITUTE(SUBSTITUTE(L826,"G",""),"C","")))/N826)</f>
        <v>0.56</v>
      </c>
      <c r="Q826" s="14" t="n">
        <f aca="false">IF(O826=0,"",(O826-LEN(SUBSTITUTE(SUBSTITUTE(M826,"G",""),"C","")))/O826)</f>
        <v>0.44</v>
      </c>
      <c r="R826" s="5" t="s">
        <v>918</v>
      </c>
      <c r="S826" s="15" t="s">
        <v>1677</v>
      </c>
      <c r="T826" s="5" t="n">
        <v>146</v>
      </c>
      <c r="U826" s="5" t="s">
        <v>1678</v>
      </c>
      <c r="V826" s="5" t="s">
        <v>588</v>
      </c>
      <c r="W826" s="5"/>
      <c r="X826" s="15" t="s">
        <v>1677</v>
      </c>
      <c r="Y826" s="5"/>
    </row>
    <row r="827" customFormat="false" ht="15" hidden="false" customHeight="false" outlineLevel="0" collapsed="false">
      <c r="A827" s="5" t="s">
        <v>8802</v>
      </c>
      <c r="B827" s="5" t="s">
        <v>922</v>
      </c>
      <c r="C827" s="5" t="s">
        <v>434</v>
      </c>
      <c r="D827" s="9" t="s">
        <v>66</v>
      </c>
      <c r="E827" s="5" t="n">
        <v>1</v>
      </c>
      <c r="F827" s="5" t="s">
        <v>8803</v>
      </c>
      <c r="G827" s="13" t="s">
        <v>8804</v>
      </c>
      <c r="H827" s="5" t="s">
        <v>8805</v>
      </c>
      <c r="I827" s="13" t="s">
        <v>8806</v>
      </c>
      <c r="J827" s="5" t="s">
        <v>8807</v>
      </c>
      <c r="K827" s="5" t="s">
        <v>8808</v>
      </c>
      <c r="L827" s="13" t="s">
        <v>8809</v>
      </c>
      <c r="M827" s="13" t="s">
        <v>8810</v>
      </c>
      <c r="N827" s="5" t="n">
        <f aca="false">LEN(L827)</f>
        <v>25</v>
      </c>
      <c r="O827" s="5" t="n">
        <f aca="false">LEN(M827)</f>
        <v>25</v>
      </c>
      <c r="P827" s="14" t="n">
        <f aca="false">IF(N827=0,"",(N827-LEN(SUBSTITUTE(SUBSTITUTE(L827,"G",""),"C","")))/N827)</f>
        <v>0.52</v>
      </c>
      <c r="Q827" s="14" t="n">
        <f aca="false">IF(O827=0,"",(O827-LEN(SUBSTITUTE(SUBSTITUTE(M827,"G",""),"C","")))/O827)</f>
        <v>0.56</v>
      </c>
      <c r="R827" s="5" t="s">
        <v>439</v>
      </c>
      <c r="S827" s="15" t="s">
        <v>1677</v>
      </c>
      <c r="T827" s="5" t="n">
        <v>76</v>
      </c>
      <c r="U827" s="5" t="s">
        <v>1678</v>
      </c>
      <c r="V827" s="5" t="s">
        <v>588</v>
      </c>
      <c r="W827" s="5"/>
      <c r="X827" s="15" t="s">
        <v>1677</v>
      </c>
      <c r="Y827" s="5"/>
    </row>
    <row r="828" customFormat="false" ht="15" hidden="false" customHeight="false" outlineLevel="0" collapsed="false">
      <c r="A828" s="5" t="s">
        <v>8811</v>
      </c>
      <c r="B828" s="5" t="s">
        <v>922</v>
      </c>
      <c r="C828" s="5" t="s">
        <v>434</v>
      </c>
      <c r="D828" s="9" t="s">
        <v>66</v>
      </c>
      <c r="E828" s="5" t="n">
        <v>2</v>
      </c>
      <c r="F828" s="5" t="s">
        <v>8812</v>
      </c>
      <c r="G828" s="13" t="s">
        <v>8813</v>
      </c>
      <c r="H828" s="5" t="s">
        <v>8814</v>
      </c>
      <c r="I828" s="13" t="s">
        <v>8815</v>
      </c>
      <c r="J828" s="5" t="s">
        <v>8816</v>
      </c>
      <c r="K828" s="5" t="s">
        <v>8817</v>
      </c>
      <c r="L828" s="13" t="s">
        <v>8818</v>
      </c>
      <c r="M828" s="13" t="s">
        <v>8819</v>
      </c>
      <c r="N828" s="5" t="n">
        <f aca="false">LEN(L828)</f>
        <v>25</v>
      </c>
      <c r="O828" s="5" t="n">
        <f aca="false">LEN(M828)</f>
        <v>25</v>
      </c>
      <c r="P828" s="14" t="n">
        <f aca="false">IF(N828=0,"",(N828-LEN(SUBSTITUTE(SUBSTITUTE(L828,"G",""),"C","")))/N828)</f>
        <v>0.6</v>
      </c>
      <c r="Q828" s="14" t="n">
        <f aca="false">IF(O828=0,"",(O828-LEN(SUBSTITUTE(SUBSTITUTE(M828,"G",""),"C","")))/O828)</f>
        <v>0.6</v>
      </c>
      <c r="R828" s="5" t="s">
        <v>439</v>
      </c>
      <c r="S828" s="15" t="s">
        <v>1677</v>
      </c>
      <c r="T828" s="5" t="n">
        <v>146</v>
      </c>
      <c r="U828" s="5" t="s">
        <v>1678</v>
      </c>
      <c r="V828" s="5" t="s">
        <v>588</v>
      </c>
      <c r="W828" s="5"/>
      <c r="X828" s="15" t="s">
        <v>1677</v>
      </c>
      <c r="Y828" s="5"/>
    </row>
    <row r="829" customFormat="false" ht="15" hidden="false" customHeight="false" outlineLevel="0" collapsed="false">
      <c r="A829" s="5" t="s">
        <v>8820</v>
      </c>
      <c r="B829" s="5" t="s">
        <v>922</v>
      </c>
      <c r="C829" s="5" t="s">
        <v>434</v>
      </c>
      <c r="D829" s="9" t="s">
        <v>66</v>
      </c>
      <c r="E829" s="5" t="n">
        <v>3</v>
      </c>
      <c r="F829" s="5" t="s">
        <v>8821</v>
      </c>
      <c r="G829" s="13" t="s">
        <v>8822</v>
      </c>
      <c r="H829" s="5" t="s">
        <v>8823</v>
      </c>
      <c r="I829" s="13" t="s">
        <v>8824</v>
      </c>
      <c r="J829" s="5" t="s">
        <v>8825</v>
      </c>
      <c r="K829" s="5" t="s">
        <v>8826</v>
      </c>
      <c r="L829" s="13" t="s">
        <v>8827</v>
      </c>
      <c r="M829" s="13" t="s">
        <v>8828</v>
      </c>
      <c r="N829" s="5" t="n">
        <f aca="false">LEN(L829)</f>
        <v>25</v>
      </c>
      <c r="O829" s="5" t="n">
        <f aca="false">LEN(M829)</f>
        <v>25</v>
      </c>
      <c r="P829" s="14" t="n">
        <f aca="false">IF(N829=0,"",(N829-LEN(SUBSTITUTE(SUBSTITUTE(L829,"G",""),"C","")))/N829)</f>
        <v>0.32</v>
      </c>
      <c r="Q829" s="14" t="n">
        <f aca="false">IF(O829=0,"",(O829-LEN(SUBSTITUTE(SUBSTITUTE(M829,"G",""),"C","")))/O829)</f>
        <v>0.72</v>
      </c>
      <c r="R829" s="5" t="s">
        <v>439</v>
      </c>
      <c r="S829" s="15" t="s">
        <v>1677</v>
      </c>
      <c r="T829" s="5" t="n">
        <v>216</v>
      </c>
      <c r="U829" s="5" t="s">
        <v>1678</v>
      </c>
      <c r="V829" s="5" t="s">
        <v>588</v>
      </c>
      <c r="W829" s="5"/>
      <c r="X829" s="15" t="s">
        <v>1677</v>
      </c>
      <c r="Y829" s="5"/>
    </row>
    <row r="830" customFormat="false" ht="15" hidden="false" customHeight="false" outlineLevel="0" collapsed="false">
      <c r="A830" s="5" t="s">
        <v>8829</v>
      </c>
      <c r="B830" s="5" t="s">
        <v>922</v>
      </c>
      <c r="C830" s="5" t="s">
        <v>434</v>
      </c>
      <c r="D830" s="9" t="s">
        <v>66</v>
      </c>
      <c r="E830" s="5" t="n">
        <v>4</v>
      </c>
      <c r="F830" s="5" t="s">
        <v>8830</v>
      </c>
      <c r="G830" s="13" t="s">
        <v>8831</v>
      </c>
      <c r="H830" s="5" t="s">
        <v>8832</v>
      </c>
      <c r="I830" s="13" t="s">
        <v>8833</v>
      </c>
      <c r="J830" s="5" t="s">
        <v>8834</v>
      </c>
      <c r="K830" s="5" t="s">
        <v>8835</v>
      </c>
      <c r="L830" s="13" t="s">
        <v>8836</v>
      </c>
      <c r="M830" s="13" t="s">
        <v>8837</v>
      </c>
      <c r="N830" s="5" t="n">
        <f aca="false">LEN(L830)</f>
        <v>25</v>
      </c>
      <c r="O830" s="5" t="n">
        <f aca="false">LEN(M830)</f>
        <v>25</v>
      </c>
      <c r="P830" s="14" t="n">
        <f aca="false">IF(N830=0,"",(N830-LEN(SUBSTITUTE(SUBSTITUTE(L830,"G",""),"C","")))/N830)</f>
        <v>0.76</v>
      </c>
      <c r="Q830" s="14" t="n">
        <f aca="false">IF(O830=0,"",(O830-LEN(SUBSTITUTE(SUBSTITUTE(M830,"G",""),"C","")))/O830)</f>
        <v>0.64</v>
      </c>
      <c r="R830" s="5" t="s">
        <v>439</v>
      </c>
      <c r="S830" s="15" t="s">
        <v>1677</v>
      </c>
      <c r="T830" s="5" t="n">
        <v>286</v>
      </c>
      <c r="U830" s="5" t="s">
        <v>1678</v>
      </c>
      <c r="V830" s="5" t="s">
        <v>588</v>
      </c>
      <c r="W830" s="5"/>
      <c r="X830" s="15" t="s">
        <v>1677</v>
      </c>
      <c r="Y830" s="5"/>
    </row>
    <row r="831" customFormat="false" ht="15" hidden="false" customHeight="false" outlineLevel="0" collapsed="false">
      <c r="A831" s="5" t="s">
        <v>8838</v>
      </c>
      <c r="B831" s="5" t="s">
        <v>922</v>
      </c>
      <c r="C831" s="5" t="s">
        <v>434</v>
      </c>
      <c r="D831" s="9" t="s">
        <v>66</v>
      </c>
      <c r="E831" s="5" t="n">
        <v>5</v>
      </c>
      <c r="F831" s="5" t="s">
        <v>8839</v>
      </c>
      <c r="G831" s="13" t="s">
        <v>8840</v>
      </c>
      <c r="H831" s="5" t="s">
        <v>8841</v>
      </c>
      <c r="I831" s="13" t="s">
        <v>8842</v>
      </c>
      <c r="J831" s="5" t="s">
        <v>8843</v>
      </c>
      <c r="K831" s="5" t="s">
        <v>8844</v>
      </c>
      <c r="L831" s="13" t="s">
        <v>8845</v>
      </c>
      <c r="M831" s="13" t="s">
        <v>8846</v>
      </c>
      <c r="N831" s="5" t="n">
        <f aca="false">LEN(L831)</f>
        <v>25</v>
      </c>
      <c r="O831" s="5" t="n">
        <f aca="false">LEN(M831)</f>
        <v>25</v>
      </c>
      <c r="P831" s="14" t="n">
        <f aca="false">IF(N831=0,"",(N831-LEN(SUBSTITUTE(SUBSTITUTE(L831,"G",""),"C","")))/N831)</f>
        <v>0.56</v>
      </c>
      <c r="Q831" s="14" t="n">
        <f aca="false">IF(O831=0,"",(O831-LEN(SUBSTITUTE(SUBSTITUTE(M831,"G",""),"C","")))/O831)</f>
        <v>0.56</v>
      </c>
      <c r="R831" s="5" t="s">
        <v>439</v>
      </c>
      <c r="S831" s="15" t="s">
        <v>1677</v>
      </c>
      <c r="T831" s="5" t="n">
        <v>356</v>
      </c>
      <c r="U831" s="5" t="s">
        <v>1678</v>
      </c>
      <c r="V831" s="5" t="s">
        <v>588</v>
      </c>
      <c r="W831" s="5"/>
      <c r="X831" s="15" t="s">
        <v>1677</v>
      </c>
      <c r="Y831" s="5"/>
    </row>
    <row r="832" customFormat="false" ht="15" hidden="false" customHeight="false" outlineLevel="0" collapsed="false">
      <c r="A832" s="5" t="s">
        <v>8847</v>
      </c>
      <c r="B832" s="5" t="s">
        <v>922</v>
      </c>
      <c r="C832" s="5" t="s">
        <v>434</v>
      </c>
      <c r="D832" s="9" t="s">
        <v>66</v>
      </c>
      <c r="E832" s="5" t="n">
        <v>6</v>
      </c>
      <c r="F832" s="5" t="s">
        <v>8848</v>
      </c>
      <c r="G832" s="13" t="s">
        <v>8849</v>
      </c>
      <c r="H832" s="5" t="s">
        <v>8850</v>
      </c>
      <c r="I832" s="13" t="s">
        <v>8851</v>
      </c>
      <c r="J832" s="5" t="s">
        <v>8852</v>
      </c>
      <c r="K832" s="5" t="s">
        <v>8853</v>
      </c>
      <c r="L832" s="13" t="s">
        <v>8854</v>
      </c>
      <c r="M832" s="13" t="s">
        <v>8855</v>
      </c>
      <c r="N832" s="5" t="n">
        <f aca="false">LEN(L832)</f>
        <v>25</v>
      </c>
      <c r="O832" s="5" t="n">
        <f aca="false">LEN(M832)</f>
        <v>25</v>
      </c>
      <c r="P832" s="14" t="n">
        <f aca="false">IF(N832=0,"",(N832-LEN(SUBSTITUTE(SUBSTITUTE(L832,"G",""),"C","")))/N832)</f>
        <v>0.52</v>
      </c>
      <c r="Q832" s="14" t="n">
        <f aca="false">IF(O832=0,"",(O832-LEN(SUBSTITUTE(SUBSTITUTE(M832,"G",""),"C","")))/O832)</f>
        <v>0.68</v>
      </c>
      <c r="R832" s="5" t="s">
        <v>439</v>
      </c>
      <c r="S832" s="15" t="s">
        <v>1677</v>
      </c>
      <c r="T832" s="5" t="n">
        <v>426</v>
      </c>
      <c r="U832" s="5" t="s">
        <v>1678</v>
      </c>
      <c r="V832" s="5" t="s">
        <v>588</v>
      </c>
      <c r="W832" s="5"/>
      <c r="X832" s="15" t="s">
        <v>1677</v>
      </c>
      <c r="Y832" s="5"/>
    </row>
    <row r="833" customFormat="false" ht="15" hidden="false" customHeight="false" outlineLevel="0" collapsed="false">
      <c r="A833" s="5" t="s">
        <v>8856</v>
      </c>
      <c r="B833" s="5" t="s">
        <v>924</v>
      </c>
      <c r="C833" s="5" t="s">
        <v>925</v>
      </c>
      <c r="D833" s="9" t="s">
        <v>66</v>
      </c>
      <c r="E833" s="5" t="n">
        <v>1</v>
      </c>
      <c r="F833" s="5" t="s">
        <v>8857</v>
      </c>
      <c r="G833" s="13" t="s">
        <v>8858</v>
      </c>
      <c r="H833" s="5" t="s">
        <v>8859</v>
      </c>
      <c r="I833" s="13" t="s">
        <v>8860</v>
      </c>
      <c r="J833" s="5" t="s">
        <v>8861</v>
      </c>
      <c r="K833" s="5" t="s">
        <v>8862</v>
      </c>
      <c r="L833" s="13" t="s">
        <v>8863</v>
      </c>
      <c r="M833" s="13" t="s">
        <v>8864</v>
      </c>
      <c r="N833" s="5" t="n">
        <f aca="false">LEN(L833)</f>
        <v>25</v>
      </c>
      <c r="O833" s="5" t="n">
        <f aca="false">LEN(M833)</f>
        <v>25</v>
      </c>
      <c r="P833" s="14" t="n">
        <f aca="false">IF(N833=0,"",(N833-LEN(SUBSTITUTE(SUBSTITUTE(L833,"G",""),"C","")))/N833)</f>
        <v>0.36</v>
      </c>
      <c r="Q833" s="14" t="n">
        <f aca="false">IF(O833=0,"",(O833-LEN(SUBSTITUTE(SUBSTITUTE(M833,"G",""),"C","")))/O833)</f>
        <v>0.48</v>
      </c>
      <c r="R833" s="5" t="s">
        <v>929</v>
      </c>
      <c r="S833" s="15" t="s">
        <v>1677</v>
      </c>
      <c r="T833" s="5" t="n">
        <v>216</v>
      </c>
      <c r="U833" s="5" t="s">
        <v>1678</v>
      </c>
      <c r="V833" s="5" t="s">
        <v>154</v>
      </c>
      <c r="W833" s="5"/>
      <c r="X833" s="15" t="s">
        <v>1677</v>
      </c>
      <c r="Y833" s="5"/>
    </row>
    <row r="834" customFormat="false" ht="15" hidden="false" customHeight="false" outlineLevel="0" collapsed="false">
      <c r="A834" s="5" t="s">
        <v>8865</v>
      </c>
      <c r="B834" s="5" t="s">
        <v>924</v>
      </c>
      <c r="C834" s="5" t="s">
        <v>925</v>
      </c>
      <c r="D834" s="9" t="s">
        <v>66</v>
      </c>
      <c r="E834" s="5" t="n">
        <v>2</v>
      </c>
      <c r="F834" s="5" t="s">
        <v>8866</v>
      </c>
      <c r="G834" s="13" t="s">
        <v>8867</v>
      </c>
      <c r="H834" s="5" t="s">
        <v>8868</v>
      </c>
      <c r="I834" s="13" t="s">
        <v>8869</v>
      </c>
      <c r="J834" s="5" t="s">
        <v>8870</v>
      </c>
      <c r="K834" s="5" t="s">
        <v>8871</v>
      </c>
      <c r="L834" s="13" t="s">
        <v>8872</v>
      </c>
      <c r="M834" s="13" t="s">
        <v>8873</v>
      </c>
      <c r="N834" s="5" t="n">
        <f aca="false">LEN(L834)</f>
        <v>25</v>
      </c>
      <c r="O834" s="5" t="n">
        <f aca="false">LEN(M834)</f>
        <v>25</v>
      </c>
      <c r="P834" s="14" t="n">
        <f aca="false">IF(N834=0,"",(N834-LEN(SUBSTITUTE(SUBSTITUTE(L834,"G",""),"C","")))/N834)</f>
        <v>0.48</v>
      </c>
      <c r="Q834" s="14" t="n">
        <f aca="false">IF(O834=0,"",(O834-LEN(SUBSTITUTE(SUBSTITUTE(M834,"G",""),"C","")))/O834)</f>
        <v>0.36</v>
      </c>
      <c r="R834" s="5" t="s">
        <v>929</v>
      </c>
      <c r="S834" s="15" t="s">
        <v>1677</v>
      </c>
      <c r="T834" s="5" t="n">
        <v>286</v>
      </c>
      <c r="U834" s="5" t="s">
        <v>1678</v>
      </c>
      <c r="V834" s="5" t="s">
        <v>154</v>
      </c>
      <c r="W834" s="5"/>
      <c r="X834" s="15" t="s">
        <v>1677</v>
      </c>
      <c r="Y834" s="5"/>
    </row>
    <row r="835" customFormat="false" ht="15" hidden="false" customHeight="false" outlineLevel="0" collapsed="false">
      <c r="A835" s="5" t="s">
        <v>8874</v>
      </c>
      <c r="B835" s="5" t="s">
        <v>924</v>
      </c>
      <c r="C835" s="5" t="s">
        <v>925</v>
      </c>
      <c r="D835" s="9" t="s">
        <v>66</v>
      </c>
      <c r="E835" s="5" t="n">
        <v>3</v>
      </c>
      <c r="F835" s="5" t="s">
        <v>8875</v>
      </c>
      <c r="G835" s="13" t="s">
        <v>8876</v>
      </c>
      <c r="H835" s="5" t="s">
        <v>8877</v>
      </c>
      <c r="I835" s="13" t="s">
        <v>8878</v>
      </c>
      <c r="J835" s="5" t="s">
        <v>8879</v>
      </c>
      <c r="K835" s="5" t="s">
        <v>8880</v>
      </c>
      <c r="L835" s="13" t="s">
        <v>8881</v>
      </c>
      <c r="M835" s="13" t="s">
        <v>8882</v>
      </c>
      <c r="N835" s="5" t="n">
        <f aca="false">LEN(L835)</f>
        <v>25</v>
      </c>
      <c r="O835" s="5" t="n">
        <f aca="false">LEN(M835)</f>
        <v>25</v>
      </c>
      <c r="P835" s="14" t="n">
        <f aca="false">IF(N835=0,"",(N835-LEN(SUBSTITUTE(SUBSTITUTE(L835,"G",""),"C","")))/N835)</f>
        <v>0.32</v>
      </c>
      <c r="Q835" s="14" t="n">
        <f aca="false">IF(O835=0,"",(O835-LEN(SUBSTITUTE(SUBSTITUTE(M835,"G",""),"C","")))/O835)</f>
        <v>0.48</v>
      </c>
      <c r="R835" s="5" t="s">
        <v>929</v>
      </c>
      <c r="S835" s="15" t="s">
        <v>1677</v>
      </c>
      <c r="T835" s="5" t="n">
        <v>356</v>
      </c>
      <c r="U835" s="5" t="s">
        <v>1678</v>
      </c>
      <c r="V835" s="5" t="s">
        <v>154</v>
      </c>
      <c r="W835" s="5"/>
      <c r="X835" s="15" t="s">
        <v>1677</v>
      </c>
      <c r="Y835" s="5"/>
    </row>
    <row r="836" customFormat="false" ht="15" hidden="false" customHeight="false" outlineLevel="0" collapsed="false">
      <c r="A836" s="5" t="s">
        <v>8883</v>
      </c>
      <c r="B836" s="5" t="s">
        <v>924</v>
      </c>
      <c r="C836" s="5" t="s">
        <v>925</v>
      </c>
      <c r="D836" s="9" t="s">
        <v>66</v>
      </c>
      <c r="E836" s="5" t="n">
        <v>4</v>
      </c>
      <c r="F836" s="5" t="s">
        <v>8884</v>
      </c>
      <c r="G836" s="13" t="s">
        <v>8885</v>
      </c>
      <c r="H836" s="5" t="s">
        <v>8886</v>
      </c>
      <c r="I836" s="13" t="s">
        <v>8887</v>
      </c>
      <c r="J836" s="5" t="s">
        <v>8888</v>
      </c>
      <c r="K836" s="5" t="s">
        <v>8889</v>
      </c>
      <c r="L836" s="13" t="s">
        <v>8890</v>
      </c>
      <c r="M836" s="13" t="s">
        <v>8891</v>
      </c>
      <c r="N836" s="5" t="n">
        <f aca="false">LEN(L836)</f>
        <v>25</v>
      </c>
      <c r="O836" s="5" t="n">
        <f aca="false">LEN(M836)</f>
        <v>25</v>
      </c>
      <c r="P836" s="14" t="n">
        <f aca="false">IF(N836=0,"",(N836-LEN(SUBSTITUTE(SUBSTITUTE(L836,"G",""),"C","")))/N836)</f>
        <v>0.24</v>
      </c>
      <c r="Q836" s="14" t="n">
        <f aca="false">IF(O836=0,"",(O836-LEN(SUBSTITUTE(SUBSTITUTE(M836,"G",""),"C","")))/O836)</f>
        <v>0.44</v>
      </c>
      <c r="R836" s="5" t="s">
        <v>929</v>
      </c>
      <c r="S836" s="15" t="s">
        <v>1677</v>
      </c>
      <c r="T836" s="5" t="n">
        <v>426</v>
      </c>
      <c r="U836" s="5" t="s">
        <v>1678</v>
      </c>
      <c r="V836" s="5" t="s">
        <v>154</v>
      </c>
      <c r="W836" s="5"/>
      <c r="X836" s="15" t="s">
        <v>1677</v>
      </c>
      <c r="Y836" s="5"/>
    </row>
    <row r="837" customFormat="false" ht="15" hidden="false" customHeight="false" outlineLevel="0" collapsed="false">
      <c r="A837" s="5" t="s">
        <v>8892</v>
      </c>
      <c r="B837" s="5" t="s">
        <v>924</v>
      </c>
      <c r="C837" s="5" t="s">
        <v>925</v>
      </c>
      <c r="D837" s="9" t="s">
        <v>66</v>
      </c>
      <c r="E837" s="5" t="n">
        <v>5</v>
      </c>
      <c r="F837" s="5" t="s">
        <v>8893</v>
      </c>
      <c r="G837" s="13" t="s">
        <v>8894</v>
      </c>
      <c r="H837" s="5" t="s">
        <v>8895</v>
      </c>
      <c r="I837" s="13" t="s">
        <v>8896</v>
      </c>
      <c r="J837" s="5" t="s">
        <v>8897</v>
      </c>
      <c r="K837" s="5" t="s">
        <v>8898</v>
      </c>
      <c r="L837" s="13" t="s">
        <v>8899</v>
      </c>
      <c r="M837" s="13" t="s">
        <v>8900</v>
      </c>
      <c r="N837" s="5" t="n">
        <f aca="false">LEN(L837)</f>
        <v>25</v>
      </c>
      <c r="O837" s="5" t="n">
        <f aca="false">LEN(M837)</f>
        <v>25</v>
      </c>
      <c r="P837" s="14" t="n">
        <f aca="false">IF(N837=0,"",(N837-LEN(SUBSTITUTE(SUBSTITUTE(L837,"G",""),"C","")))/N837)</f>
        <v>0.36</v>
      </c>
      <c r="Q837" s="14" t="n">
        <f aca="false">IF(O837=0,"",(O837-LEN(SUBSTITUTE(SUBSTITUTE(M837,"G",""),"C","")))/O837)</f>
        <v>0.48</v>
      </c>
      <c r="R837" s="5" t="s">
        <v>929</v>
      </c>
      <c r="S837" s="15" t="s">
        <v>1677</v>
      </c>
      <c r="T837" s="5" t="n">
        <v>496</v>
      </c>
      <c r="U837" s="5" t="s">
        <v>1678</v>
      </c>
      <c r="V837" s="5" t="s">
        <v>154</v>
      </c>
      <c r="W837" s="5"/>
      <c r="X837" s="15" t="s">
        <v>1677</v>
      </c>
      <c r="Y837" s="5"/>
    </row>
    <row r="838" customFormat="false" ht="15" hidden="false" customHeight="false" outlineLevel="0" collapsed="false">
      <c r="A838" s="5" t="s">
        <v>8901</v>
      </c>
      <c r="B838" s="5" t="s">
        <v>932</v>
      </c>
      <c r="C838" s="5" t="s">
        <v>933</v>
      </c>
      <c r="D838" s="9" t="s">
        <v>66</v>
      </c>
      <c r="E838" s="5" t="n">
        <v>1</v>
      </c>
      <c r="F838" s="5" t="s">
        <v>8902</v>
      </c>
      <c r="G838" s="13" t="s">
        <v>8903</v>
      </c>
      <c r="H838" s="5" t="s">
        <v>8904</v>
      </c>
      <c r="I838" s="13" t="s">
        <v>8905</v>
      </c>
      <c r="J838" s="5" t="s">
        <v>8906</v>
      </c>
      <c r="K838" s="5" t="s">
        <v>8907</v>
      </c>
      <c r="L838" s="13" t="s">
        <v>8908</v>
      </c>
      <c r="M838" s="13" t="s">
        <v>8909</v>
      </c>
      <c r="N838" s="5" t="n">
        <f aca="false">LEN(L838)</f>
        <v>25</v>
      </c>
      <c r="O838" s="5" t="n">
        <f aca="false">LEN(M838)</f>
        <v>25</v>
      </c>
      <c r="P838" s="14" t="n">
        <f aca="false">IF(N838=0,"",(N838-LEN(SUBSTITUTE(SUBSTITUTE(L838,"G",""),"C","")))/N838)</f>
        <v>0.24</v>
      </c>
      <c r="Q838" s="14" t="n">
        <f aca="false">IF(O838=0,"",(O838-LEN(SUBSTITUTE(SUBSTITUTE(M838,"G",""),"C","")))/O838)</f>
        <v>0.32</v>
      </c>
      <c r="R838" s="5" t="s">
        <v>938</v>
      </c>
      <c r="S838" s="15" t="s">
        <v>1677</v>
      </c>
      <c r="T838" s="5" t="n">
        <v>216</v>
      </c>
      <c r="U838" s="5" t="s">
        <v>1678</v>
      </c>
      <c r="V838" s="5" t="s">
        <v>588</v>
      </c>
      <c r="W838" s="5"/>
      <c r="X838" s="15" t="s">
        <v>1677</v>
      </c>
      <c r="Y838" s="5"/>
    </row>
    <row r="839" customFormat="false" ht="15" hidden="false" customHeight="false" outlineLevel="0" collapsed="false">
      <c r="A839" s="5" t="s">
        <v>8910</v>
      </c>
      <c r="B839" s="5" t="s">
        <v>932</v>
      </c>
      <c r="C839" s="5" t="s">
        <v>933</v>
      </c>
      <c r="D839" s="9" t="s">
        <v>66</v>
      </c>
      <c r="E839" s="5" t="n">
        <v>2</v>
      </c>
      <c r="F839" s="5" t="s">
        <v>8911</v>
      </c>
      <c r="G839" s="13" t="s">
        <v>8912</v>
      </c>
      <c r="H839" s="5" t="s">
        <v>8913</v>
      </c>
      <c r="I839" s="13" t="s">
        <v>8914</v>
      </c>
      <c r="J839" s="5" t="s">
        <v>8915</v>
      </c>
      <c r="K839" s="5" t="s">
        <v>8916</v>
      </c>
      <c r="L839" s="13" t="s">
        <v>8917</v>
      </c>
      <c r="M839" s="13" t="s">
        <v>8918</v>
      </c>
      <c r="N839" s="5" t="n">
        <f aca="false">LEN(L839)</f>
        <v>25</v>
      </c>
      <c r="O839" s="5" t="n">
        <f aca="false">LEN(M839)</f>
        <v>25</v>
      </c>
      <c r="P839" s="14" t="n">
        <f aca="false">IF(N839=0,"",(N839-LEN(SUBSTITUTE(SUBSTITUTE(L839,"G",""),"C","")))/N839)</f>
        <v>0.36</v>
      </c>
      <c r="Q839" s="14" t="n">
        <f aca="false">IF(O839=0,"",(O839-LEN(SUBSTITUTE(SUBSTITUTE(M839,"G",""),"C","")))/O839)</f>
        <v>0.36</v>
      </c>
      <c r="R839" s="5" t="s">
        <v>938</v>
      </c>
      <c r="S839" s="15" t="s">
        <v>1677</v>
      </c>
      <c r="T839" s="5" t="n">
        <v>286</v>
      </c>
      <c r="U839" s="5" t="s">
        <v>1678</v>
      </c>
      <c r="V839" s="5" t="s">
        <v>588</v>
      </c>
      <c r="W839" s="5"/>
      <c r="X839" s="15" t="s">
        <v>1677</v>
      </c>
      <c r="Y839" s="5"/>
    </row>
    <row r="840" customFormat="false" ht="15" hidden="false" customHeight="false" outlineLevel="0" collapsed="false">
      <c r="A840" s="5" t="s">
        <v>8919</v>
      </c>
      <c r="B840" s="5" t="s">
        <v>932</v>
      </c>
      <c r="C840" s="5" t="s">
        <v>933</v>
      </c>
      <c r="D840" s="9" t="s">
        <v>66</v>
      </c>
      <c r="E840" s="5" t="n">
        <v>3</v>
      </c>
      <c r="F840" s="5" t="s">
        <v>8920</v>
      </c>
      <c r="G840" s="13" t="s">
        <v>8921</v>
      </c>
      <c r="H840" s="5" t="s">
        <v>8922</v>
      </c>
      <c r="I840" s="13" t="s">
        <v>8923</v>
      </c>
      <c r="J840" s="5" t="s">
        <v>8924</v>
      </c>
      <c r="K840" s="5" t="s">
        <v>8925</v>
      </c>
      <c r="L840" s="13" t="s">
        <v>8926</v>
      </c>
      <c r="M840" s="13" t="s">
        <v>8927</v>
      </c>
      <c r="N840" s="5" t="n">
        <f aca="false">LEN(L840)</f>
        <v>25</v>
      </c>
      <c r="O840" s="5" t="n">
        <f aca="false">LEN(M840)</f>
        <v>25</v>
      </c>
      <c r="P840" s="14" t="n">
        <f aca="false">IF(N840=0,"",(N840-LEN(SUBSTITUTE(SUBSTITUTE(L840,"G",""),"C","")))/N840)</f>
        <v>0.36</v>
      </c>
      <c r="Q840" s="14" t="n">
        <f aca="false">IF(O840=0,"",(O840-LEN(SUBSTITUTE(SUBSTITUTE(M840,"G",""),"C","")))/O840)</f>
        <v>0.4</v>
      </c>
      <c r="R840" s="5" t="s">
        <v>938</v>
      </c>
      <c r="S840" s="15" t="s">
        <v>1677</v>
      </c>
      <c r="T840" s="5" t="n">
        <v>356</v>
      </c>
      <c r="U840" s="5" t="s">
        <v>1678</v>
      </c>
      <c r="V840" s="5" t="s">
        <v>588</v>
      </c>
      <c r="W840" s="5"/>
      <c r="X840" s="15" t="s">
        <v>1677</v>
      </c>
      <c r="Y840" s="5"/>
    </row>
    <row r="841" customFormat="false" ht="15" hidden="false" customHeight="false" outlineLevel="0" collapsed="false">
      <c r="A841" s="5" t="s">
        <v>8928</v>
      </c>
      <c r="B841" s="5" t="s">
        <v>932</v>
      </c>
      <c r="C841" s="5" t="s">
        <v>933</v>
      </c>
      <c r="D841" s="9" t="s">
        <v>66</v>
      </c>
      <c r="E841" s="5" t="n">
        <v>4</v>
      </c>
      <c r="F841" s="5" t="s">
        <v>8929</v>
      </c>
      <c r="G841" s="13" t="s">
        <v>8930</v>
      </c>
      <c r="H841" s="5" t="s">
        <v>8931</v>
      </c>
      <c r="I841" s="13" t="s">
        <v>8932</v>
      </c>
      <c r="J841" s="5" t="s">
        <v>8933</v>
      </c>
      <c r="K841" s="5" t="s">
        <v>8934</v>
      </c>
      <c r="L841" s="13" t="s">
        <v>8935</v>
      </c>
      <c r="M841" s="13" t="s">
        <v>8936</v>
      </c>
      <c r="N841" s="5" t="n">
        <f aca="false">LEN(L841)</f>
        <v>25</v>
      </c>
      <c r="O841" s="5" t="n">
        <f aca="false">LEN(M841)</f>
        <v>25</v>
      </c>
      <c r="P841" s="14" t="n">
        <f aca="false">IF(N841=0,"",(N841-LEN(SUBSTITUTE(SUBSTITUTE(L841,"G",""),"C","")))/N841)</f>
        <v>0.56</v>
      </c>
      <c r="Q841" s="14" t="n">
        <f aca="false">IF(O841=0,"",(O841-LEN(SUBSTITUTE(SUBSTITUTE(M841,"G",""),"C","")))/O841)</f>
        <v>0.44</v>
      </c>
      <c r="R841" s="5" t="s">
        <v>938</v>
      </c>
      <c r="S841" s="15" t="s">
        <v>1677</v>
      </c>
      <c r="T841" s="5" t="n">
        <v>426</v>
      </c>
      <c r="U841" s="5" t="s">
        <v>1678</v>
      </c>
      <c r="V841" s="5" t="s">
        <v>588</v>
      </c>
      <c r="W841" s="5"/>
      <c r="X841" s="15" t="s">
        <v>1677</v>
      </c>
      <c r="Y841" s="5"/>
    </row>
    <row r="842" customFormat="false" ht="15" hidden="false" customHeight="false" outlineLevel="0" collapsed="false">
      <c r="A842" s="5" t="s">
        <v>8937</v>
      </c>
      <c r="B842" s="5" t="s">
        <v>932</v>
      </c>
      <c r="C842" s="5" t="s">
        <v>933</v>
      </c>
      <c r="D842" s="9" t="s">
        <v>66</v>
      </c>
      <c r="E842" s="5" t="n">
        <v>5</v>
      </c>
      <c r="F842" s="5" t="s">
        <v>8938</v>
      </c>
      <c r="G842" s="13" t="s">
        <v>8939</v>
      </c>
      <c r="H842" s="5" t="s">
        <v>8940</v>
      </c>
      <c r="I842" s="13" t="s">
        <v>8941</v>
      </c>
      <c r="J842" s="5" t="s">
        <v>8942</v>
      </c>
      <c r="K842" s="5" t="s">
        <v>8943</v>
      </c>
      <c r="L842" s="13" t="s">
        <v>8944</v>
      </c>
      <c r="M842" s="13" t="s">
        <v>8945</v>
      </c>
      <c r="N842" s="5" t="n">
        <f aca="false">LEN(L842)</f>
        <v>25</v>
      </c>
      <c r="O842" s="5" t="n">
        <f aca="false">LEN(M842)</f>
        <v>25</v>
      </c>
      <c r="P842" s="14" t="n">
        <f aca="false">IF(N842=0,"",(N842-LEN(SUBSTITUTE(SUBSTITUTE(L842,"G",""),"C","")))/N842)</f>
        <v>0.48</v>
      </c>
      <c r="Q842" s="14" t="n">
        <f aca="false">IF(O842=0,"",(O842-LEN(SUBSTITUTE(SUBSTITUTE(M842,"G",""),"C","")))/O842)</f>
        <v>0.32</v>
      </c>
      <c r="R842" s="5" t="s">
        <v>938</v>
      </c>
      <c r="S842" s="15" t="s">
        <v>1677</v>
      </c>
      <c r="T842" s="5" t="n">
        <v>496</v>
      </c>
      <c r="U842" s="5" t="s">
        <v>1678</v>
      </c>
      <c r="V842" s="5" t="s">
        <v>588</v>
      </c>
      <c r="W842" s="5"/>
      <c r="X842" s="15" t="s">
        <v>1677</v>
      </c>
      <c r="Y842" s="5"/>
    </row>
    <row r="843" customFormat="false" ht="15" hidden="false" customHeight="false" outlineLevel="0" collapsed="false">
      <c r="A843" s="5" t="s">
        <v>8946</v>
      </c>
      <c r="B843" s="5" t="s">
        <v>932</v>
      </c>
      <c r="C843" s="5" t="s">
        <v>933</v>
      </c>
      <c r="D843" s="9" t="s">
        <v>66</v>
      </c>
      <c r="E843" s="5" t="n">
        <v>6</v>
      </c>
      <c r="F843" s="5" t="s">
        <v>8947</v>
      </c>
      <c r="G843" s="13" t="s">
        <v>8948</v>
      </c>
      <c r="H843" s="5" t="s">
        <v>8949</v>
      </c>
      <c r="I843" s="13" t="s">
        <v>8950</v>
      </c>
      <c r="J843" s="5" t="s">
        <v>8951</v>
      </c>
      <c r="K843" s="5" t="s">
        <v>8952</v>
      </c>
      <c r="L843" s="13" t="s">
        <v>8953</v>
      </c>
      <c r="M843" s="13" t="s">
        <v>8954</v>
      </c>
      <c r="N843" s="5" t="n">
        <f aca="false">LEN(L843)</f>
        <v>25</v>
      </c>
      <c r="O843" s="5" t="n">
        <f aca="false">LEN(M843)</f>
        <v>25</v>
      </c>
      <c r="P843" s="14" t="n">
        <f aca="false">IF(N843=0,"",(N843-LEN(SUBSTITUTE(SUBSTITUTE(L843,"G",""),"C","")))/N843)</f>
        <v>0.4</v>
      </c>
      <c r="Q843" s="14" t="n">
        <f aca="false">IF(O843=0,"",(O843-LEN(SUBSTITUTE(SUBSTITUTE(M843,"G",""),"C","")))/O843)</f>
        <v>0.36</v>
      </c>
      <c r="R843" s="5" t="s">
        <v>938</v>
      </c>
      <c r="S843" s="15" t="s">
        <v>1677</v>
      </c>
      <c r="T843" s="5" t="n">
        <v>566</v>
      </c>
      <c r="U843" s="5" t="s">
        <v>1678</v>
      </c>
      <c r="V843" s="5" t="s">
        <v>588</v>
      </c>
      <c r="W843" s="5"/>
      <c r="X843" s="15" t="s">
        <v>1677</v>
      </c>
      <c r="Y843" s="5"/>
    </row>
    <row r="844" customFormat="false" ht="15" hidden="false" customHeight="false" outlineLevel="0" collapsed="false">
      <c r="A844" s="5" t="s">
        <v>8955</v>
      </c>
      <c r="B844" s="5" t="s">
        <v>940</v>
      </c>
      <c r="C844" s="5" t="s">
        <v>941</v>
      </c>
      <c r="D844" s="9" t="s">
        <v>66</v>
      </c>
      <c r="E844" s="5" t="n">
        <v>1</v>
      </c>
      <c r="F844" s="5" t="s">
        <v>8956</v>
      </c>
      <c r="G844" s="13" t="s">
        <v>8957</v>
      </c>
      <c r="H844" s="5" t="s">
        <v>8958</v>
      </c>
      <c r="I844" s="13" t="s">
        <v>8959</v>
      </c>
      <c r="J844" s="5" t="s">
        <v>8960</v>
      </c>
      <c r="K844" s="5" t="s">
        <v>8961</v>
      </c>
      <c r="L844" s="13" t="s">
        <v>8962</v>
      </c>
      <c r="M844" s="13" t="s">
        <v>8963</v>
      </c>
      <c r="N844" s="5" t="n">
        <f aca="false">LEN(L844)</f>
        <v>25</v>
      </c>
      <c r="O844" s="5" t="n">
        <f aca="false">LEN(M844)</f>
        <v>25</v>
      </c>
      <c r="P844" s="14" t="n">
        <f aca="false">IF(N844=0,"",(N844-LEN(SUBSTITUTE(SUBSTITUTE(L844,"G",""),"C","")))/N844)</f>
        <v>0.36</v>
      </c>
      <c r="Q844" s="14" t="n">
        <f aca="false">IF(O844=0,"",(O844-LEN(SUBSTITUTE(SUBSTITUTE(M844,"G",""),"C","")))/O844)</f>
        <v>0.68</v>
      </c>
      <c r="R844" s="5" t="s">
        <v>945</v>
      </c>
      <c r="S844" s="15" t="s">
        <v>1677</v>
      </c>
      <c r="T844" s="5" t="n">
        <v>216</v>
      </c>
      <c r="U844" s="5" t="s">
        <v>1678</v>
      </c>
      <c r="V844" s="5" t="s">
        <v>588</v>
      </c>
      <c r="W844" s="5"/>
      <c r="X844" s="15" t="s">
        <v>1677</v>
      </c>
      <c r="Y844" s="5"/>
    </row>
    <row r="845" customFormat="false" ht="15" hidden="false" customHeight="false" outlineLevel="0" collapsed="false">
      <c r="A845" s="5" t="s">
        <v>8964</v>
      </c>
      <c r="B845" s="5" t="s">
        <v>940</v>
      </c>
      <c r="C845" s="5" t="s">
        <v>941</v>
      </c>
      <c r="D845" s="9" t="s">
        <v>66</v>
      </c>
      <c r="E845" s="5" t="n">
        <v>2</v>
      </c>
      <c r="F845" s="5" t="s">
        <v>8965</v>
      </c>
      <c r="G845" s="13" t="s">
        <v>8966</v>
      </c>
      <c r="H845" s="5" t="s">
        <v>8967</v>
      </c>
      <c r="I845" s="13" t="s">
        <v>8968</v>
      </c>
      <c r="J845" s="5" t="s">
        <v>8969</v>
      </c>
      <c r="K845" s="5" t="s">
        <v>8970</v>
      </c>
      <c r="L845" s="13" t="s">
        <v>8971</v>
      </c>
      <c r="M845" s="13" t="s">
        <v>8972</v>
      </c>
      <c r="N845" s="5" t="n">
        <f aca="false">LEN(L845)</f>
        <v>25</v>
      </c>
      <c r="O845" s="5" t="n">
        <f aca="false">LEN(M845)</f>
        <v>25</v>
      </c>
      <c r="P845" s="14" t="n">
        <f aca="false">IF(N845=0,"",(N845-LEN(SUBSTITUTE(SUBSTITUTE(L845,"G",""),"C","")))/N845)</f>
        <v>0.52</v>
      </c>
      <c r="Q845" s="14" t="n">
        <f aca="false">IF(O845=0,"",(O845-LEN(SUBSTITUTE(SUBSTITUTE(M845,"G",""),"C","")))/O845)</f>
        <v>0.6</v>
      </c>
      <c r="R845" s="5" t="s">
        <v>945</v>
      </c>
      <c r="S845" s="15" t="s">
        <v>1677</v>
      </c>
      <c r="T845" s="5" t="n">
        <v>286</v>
      </c>
      <c r="U845" s="5" t="s">
        <v>1678</v>
      </c>
      <c r="V845" s="5" t="s">
        <v>588</v>
      </c>
      <c r="W845" s="5"/>
      <c r="X845" s="15" t="s">
        <v>1677</v>
      </c>
      <c r="Y845" s="5"/>
    </row>
    <row r="846" customFormat="false" ht="15" hidden="false" customHeight="false" outlineLevel="0" collapsed="false">
      <c r="A846" s="5" t="s">
        <v>8973</v>
      </c>
      <c r="B846" s="5" t="s">
        <v>940</v>
      </c>
      <c r="C846" s="5" t="s">
        <v>941</v>
      </c>
      <c r="D846" s="9" t="s">
        <v>66</v>
      </c>
      <c r="E846" s="5" t="n">
        <v>3</v>
      </c>
      <c r="F846" s="5" t="s">
        <v>8974</v>
      </c>
      <c r="G846" s="13" t="s">
        <v>8975</v>
      </c>
      <c r="H846" s="5" t="s">
        <v>8976</v>
      </c>
      <c r="I846" s="13" t="s">
        <v>8977</v>
      </c>
      <c r="J846" s="5" t="s">
        <v>8978</v>
      </c>
      <c r="K846" s="5" t="s">
        <v>8979</v>
      </c>
      <c r="L846" s="13" t="s">
        <v>8980</v>
      </c>
      <c r="M846" s="13" t="s">
        <v>8981</v>
      </c>
      <c r="N846" s="5" t="n">
        <f aca="false">LEN(L846)</f>
        <v>25</v>
      </c>
      <c r="O846" s="5" t="n">
        <f aca="false">LEN(M846)</f>
        <v>25</v>
      </c>
      <c r="P846" s="14" t="n">
        <f aca="false">IF(N846=0,"",(N846-LEN(SUBSTITUTE(SUBSTITUTE(L846,"G",""),"C","")))/N846)</f>
        <v>0.56</v>
      </c>
      <c r="Q846" s="14" t="n">
        <f aca="false">IF(O846=0,"",(O846-LEN(SUBSTITUTE(SUBSTITUTE(M846,"G",""),"C","")))/O846)</f>
        <v>0.56</v>
      </c>
      <c r="R846" s="5" t="s">
        <v>945</v>
      </c>
      <c r="S846" s="15" t="s">
        <v>1677</v>
      </c>
      <c r="T846" s="5" t="n">
        <v>356</v>
      </c>
      <c r="U846" s="5" t="s">
        <v>1678</v>
      </c>
      <c r="V846" s="5" t="s">
        <v>588</v>
      </c>
      <c r="W846" s="5"/>
      <c r="X846" s="15" t="s">
        <v>1677</v>
      </c>
      <c r="Y846" s="5"/>
    </row>
    <row r="847" customFormat="false" ht="15" hidden="false" customHeight="false" outlineLevel="0" collapsed="false">
      <c r="A847" s="5" t="s">
        <v>8982</v>
      </c>
      <c r="B847" s="5" t="s">
        <v>940</v>
      </c>
      <c r="C847" s="5" t="s">
        <v>941</v>
      </c>
      <c r="D847" s="9" t="s">
        <v>66</v>
      </c>
      <c r="E847" s="5" t="n">
        <v>4</v>
      </c>
      <c r="F847" s="5" t="s">
        <v>8983</v>
      </c>
      <c r="G847" s="13" t="s">
        <v>8984</v>
      </c>
      <c r="H847" s="5" t="s">
        <v>8985</v>
      </c>
      <c r="I847" s="13" t="s">
        <v>8986</v>
      </c>
      <c r="J847" s="5" t="s">
        <v>8987</v>
      </c>
      <c r="K847" s="5" t="s">
        <v>8988</v>
      </c>
      <c r="L847" s="13" t="s">
        <v>8989</v>
      </c>
      <c r="M847" s="13" t="s">
        <v>8990</v>
      </c>
      <c r="N847" s="5" t="n">
        <f aca="false">LEN(L847)</f>
        <v>25</v>
      </c>
      <c r="O847" s="5" t="n">
        <f aca="false">LEN(M847)</f>
        <v>25</v>
      </c>
      <c r="P847" s="14" t="n">
        <f aca="false">IF(N847=0,"",(N847-LEN(SUBSTITUTE(SUBSTITUTE(L847,"G",""),"C","")))/N847)</f>
        <v>0.84</v>
      </c>
      <c r="Q847" s="14" t="n">
        <f aca="false">IF(O847=0,"",(O847-LEN(SUBSTITUTE(SUBSTITUTE(M847,"G",""),"C","")))/O847)</f>
        <v>0.76</v>
      </c>
      <c r="R847" s="5" t="s">
        <v>945</v>
      </c>
      <c r="S847" s="15" t="s">
        <v>1677</v>
      </c>
      <c r="T847" s="5" t="n">
        <v>426</v>
      </c>
      <c r="U847" s="5" t="s">
        <v>1678</v>
      </c>
      <c r="V847" s="5" t="s">
        <v>588</v>
      </c>
      <c r="W847" s="5"/>
      <c r="X847" s="15" t="s">
        <v>1677</v>
      </c>
      <c r="Y847" s="5"/>
    </row>
    <row r="848" customFormat="false" ht="15" hidden="false" customHeight="false" outlineLevel="0" collapsed="false">
      <c r="A848" s="5" t="s">
        <v>8991</v>
      </c>
      <c r="B848" s="5" t="s">
        <v>940</v>
      </c>
      <c r="C848" s="5" t="s">
        <v>941</v>
      </c>
      <c r="D848" s="9" t="s">
        <v>66</v>
      </c>
      <c r="E848" s="5" t="n">
        <v>5</v>
      </c>
      <c r="F848" s="5" t="s">
        <v>8992</v>
      </c>
      <c r="G848" s="13" t="s">
        <v>8993</v>
      </c>
      <c r="H848" s="5" t="s">
        <v>8994</v>
      </c>
      <c r="I848" s="13" t="s">
        <v>8995</v>
      </c>
      <c r="J848" s="5" t="s">
        <v>8996</v>
      </c>
      <c r="K848" s="5" t="s">
        <v>8997</v>
      </c>
      <c r="L848" s="13" t="s">
        <v>8998</v>
      </c>
      <c r="M848" s="13" t="s">
        <v>8999</v>
      </c>
      <c r="N848" s="5" t="n">
        <f aca="false">LEN(L848)</f>
        <v>25</v>
      </c>
      <c r="O848" s="5" t="n">
        <f aca="false">LEN(M848)</f>
        <v>25</v>
      </c>
      <c r="P848" s="14" t="n">
        <f aca="false">IF(N848=0,"",(N848-LEN(SUBSTITUTE(SUBSTITUTE(L848,"G",""),"C","")))/N848)</f>
        <v>0.52</v>
      </c>
      <c r="Q848" s="14" t="n">
        <f aca="false">IF(O848=0,"",(O848-LEN(SUBSTITUTE(SUBSTITUTE(M848,"G",""),"C","")))/O848)</f>
        <v>0.6</v>
      </c>
      <c r="R848" s="5" t="s">
        <v>945</v>
      </c>
      <c r="S848" s="15" t="s">
        <v>1677</v>
      </c>
      <c r="T848" s="5" t="n">
        <v>496</v>
      </c>
      <c r="U848" s="5" t="s">
        <v>1678</v>
      </c>
      <c r="V848" s="5" t="s">
        <v>588</v>
      </c>
      <c r="W848" s="5"/>
      <c r="X848" s="15" t="s">
        <v>1677</v>
      </c>
      <c r="Y848" s="5"/>
    </row>
    <row r="849" customFormat="false" ht="15" hidden="false" customHeight="false" outlineLevel="0" collapsed="false">
      <c r="A849" s="5" t="s">
        <v>9000</v>
      </c>
      <c r="B849" s="5" t="s">
        <v>940</v>
      </c>
      <c r="C849" s="5" t="s">
        <v>941</v>
      </c>
      <c r="D849" s="9" t="s">
        <v>66</v>
      </c>
      <c r="E849" s="5" t="n">
        <v>6</v>
      </c>
      <c r="F849" s="5" t="s">
        <v>9001</v>
      </c>
      <c r="G849" s="13" t="s">
        <v>9002</v>
      </c>
      <c r="H849" s="5" t="s">
        <v>9003</v>
      </c>
      <c r="I849" s="13" t="s">
        <v>9004</v>
      </c>
      <c r="J849" s="5" t="s">
        <v>9005</v>
      </c>
      <c r="K849" s="5" t="s">
        <v>9006</v>
      </c>
      <c r="L849" s="13" t="s">
        <v>9007</v>
      </c>
      <c r="M849" s="13" t="s">
        <v>9008</v>
      </c>
      <c r="N849" s="5" t="n">
        <f aca="false">LEN(L849)</f>
        <v>25</v>
      </c>
      <c r="O849" s="5" t="n">
        <f aca="false">LEN(M849)</f>
        <v>25</v>
      </c>
      <c r="P849" s="14" t="n">
        <f aca="false">IF(N849=0,"",(N849-LEN(SUBSTITUTE(SUBSTITUTE(L849,"G",""),"C","")))/N849)</f>
        <v>0.32</v>
      </c>
      <c r="Q849" s="14" t="n">
        <f aca="false">IF(O849=0,"",(O849-LEN(SUBSTITUTE(SUBSTITUTE(M849,"G",""),"C","")))/O849)</f>
        <v>0.4</v>
      </c>
      <c r="R849" s="5" t="s">
        <v>945</v>
      </c>
      <c r="S849" s="15" t="s">
        <v>1677</v>
      </c>
      <c r="T849" s="5" t="n">
        <v>566</v>
      </c>
      <c r="U849" s="5" t="s">
        <v>1678</v>
      </c>
      <c r="V849" s="5" t="s">
        <v>588</v>
      </c>
      <c r="W849" s="5"/>
      <c r="X849" s="15" t="s">
        <v>1677</v>
      </c>
      <c r="Y849" s="5"/>
    </row>
    <row r="850" customFormat="false" ht="15" hidden="false" customHeight="false" outlineLevel="0" collapsed="false">
      <c r="A850" s="5" t="s">
        <v>9009</v>
      </c>
      <c r="B850" s="5" t="s">
        <v>947</v>
      </c>
      <c r="C850" s="5" t="s">
        <v>948</v>
      </c>
      <c r="D850" s="9" t="s">
        <v>66</v>
      </c>
      <c r="E850" s="5" t="n">
        <v>1</v>
      </c>
      <c r="F850" s="5" t="s">
        <v>9010</v>
      </c>
      <c r="G850" s="13" t="s">
        <v>9011</v>
      </c>
      <c r="H850" s="5" t="s">
        <v>9012</v>
      </c>
      <c r="I850" s="13" t="s">
        <v>9013</v>
      </c>
      <c r="J850" s="5" t="s">
        <v>9014</v>
      </c>
      <c r="K850" s="5" t="s">
        <v>9015</v>
      </c>
      <c r="L850" s="13" t="s">
        <v>9016</v>
      </c>
      <c r="M850" s="13" t="s">
        <v>9017</v>
      </c>
      <c r="N850" s="5" t="n">
        <f aca="false">LEN(L850)</f>
        <v>25</v>
      </c>
      <c r="O850" s="5" t="n">
        <f aca="false">LEN(M850)</f>
        <v>25</v>
      </c>
      <c r="P850" s="14" t="n">
        <f aca="false">IF(N850=0,"",(N850-LEN(SUBSTITUTE(SUBSTITUTE(L850,"G",""),"C","")))/N850)</f>
        <v>0.88</v>
      </c>
      <c r="Q850" s="14" t="n">
        <f aca="false">IF(O850=0,"",(O850-LEN(SUBSTITUTE(SUBSTITUTE(M850,"G",""),"C","")))/O850)</f>
        <v>0.76</v>
      </c>
      <c r="R850" s="5" t="s">
        <v>951</v>
      </c>
      <c r="S850" s="15" t="s">
        <v>1677</v>
      </c>
      <c r="T850" s="5" t="n">
        <v>6</v>
      </c>
      <c r="U850" s="5" t="s">
        <v>1678</v>
      </c>
      <c r="V850" s="5" t="s">
        <v>588</v>
      </c>
      <c r="W850" s="5"/>
      <c r="X850" s="15" t="s">
        <v>1677</v>
      </c>
      <c r="Y850" s="5"/>
    </row>
    <row r="851" customFormat="false" ht="15" hidden="false" customHeight="false" outlineLevel="0" collapsed="false">
      <c r="A851" s="5" t="s">
        <v>9018</v>
      </c>
      <c r="B851" s="5" t="s">
        <v>947</v>
      </c>
      <c r="C851" s="5" t="s">
        <v>948</v>
      </c>
      <c r="D851" s="9" t="s">
        <v>66</v>
      </c>
      <c r="E851" s="5" t="n">
        <v>2</v>
      </c>
      <c r="F851" s="5" t="s">
        <v>9019</v>
      </c>
      <c r="G851" s="13" t="s">
        <v>9020</v>
      </c>
      <c r="H851" s="5" t="s">
        <v>9021</v>
      </c>
      <c r="I851" s="13" t="s">
        <v>9022</v>
      </c>
      <c r="J851" s="5" t="s">
        <v>9023</v>
      </c>
      <c r="K851" s="5" t="s">
        <v>9024</v>
      </c>
      <c r="L851" s="13" t="s">
        <v>9025</v>
      </c>
      <c r="M851" s="13" t="s">
        <v>9026</v>
      </c>
      <c r="N851" s="5" t="n">
        <f aca="false">LEN(L851)</f>
        <v>25</v>
      </c>
      <c r="O851" s="5" t="n">
        <f aca="false">LEN(M851)</f>
        <v>25</v>
      </c>
      <c r="P851" s="14" t="n">
        <f aca="false">IF(N851=0,"",(N851-LEN(SUBSTITUTE(SUBSTITUTE(L851,"G",""),"C","")))/N851)</f>
        <v>0.6</v>
      </c>
      <c r="Q851" s="14" t="n">
        <f aca="false">IF(O851=0,"",(O851-LEN(SUBSTITUTE(SUBSTITUTE(M851,"G",""),"C","")))/O851)</f>
        <v>0.6</v>
      </c>
      <c r="R851" s="5" t="s">
        <v>951</v>
      </c>
      <c r="S851" s="15" t="s">
        <v>1677</v>
      </c>
      <c r="T851" s="5" t="n">
        <v>76</v>
      </c>
      <c r="U851" s="5" t="s">
        <v>1678</v>
      </c>
      <c r="V851" s="5" t="s">
        <v>588</v>
      </c>
      <c r="W851" s="5"/>
      <c r="X851" s="15" t="s">
        <v>1677</v>
      </c>
      <c r="Y851" s="5"/>
    </row>
    <row r="852" customFormat="false" ht="15" hidden="false" customHeight="false" outlineLevel="0" collapsed="false">
      <c r="A852" s="5" t="s">
        <v>9027</v>
      </c>
      <c r="B852" s="5" t="s">
        <v>947</v>
      </c>
      <c r="C852" s="5" t="s">
        <v>948</v>
      </c>
      <c r="D852" s="9" t="s">
        <v>66</v>
      </c>
      <c r="E852" s="5" t="n">
        <v>3</v>
      </c>
      <c r="F852" s="5" t="s">
        <v>9028</v>
      </c>
      <c r="G852" s="13" t="s">
        <v>9029</v>
      </c>
      <c r="H852" s="5" t="s">
        <v>9030</v>
      </c>
      <c r="I852" s="13" t="s">
        <v>9031</v>
      </c>
      <c r="J852" s="5" t="s">
        <v>9032</v>
      </c>
      <c r="K852" s="5" t="s">
        <v>9033</v>
      </c>
      <c r="L852" s="13" t="s">
        <v>9034</v>
      </c>
      <c r="M852" s="13" t="s">
        <v>9035</v>
      </c>
      <c r="N852" s="5" t="n">
        <f aca="false">LEN(L852)</f>
        <v>25</v>
      </c>
      <c r="O852" s="5" t="n">
        <f aca="false">LEN(M852)</f>
        <v>25</v>
      </c>
      <c r="P852" s="14" t="n">
        <f aca="false">IF(N852=0,"",(N852-LEN(SUBSTITUTE(SUBSTITUTE(L852,"G",""),"C","")))/N852)</f>
        <v>0.64</v>
      </c>
      <c r="Q852" s="14" t="n">
        <f aca="false">IF(O852=0,"",(O852-LEN(SUBSTITUTE(SUBSTITUTE(M852,"G",""),"C","")))/O852)</f>
        <v>0.68</v>
      </c>
      <c r="R852" s="5" t="s">
        <v>951</v>
      </c>
      <c r="S852" s="15" t="s">
        <v>1677</v>
      </c>
      <c r="T852" s="5" t="n">
        <v>146</v>
      </c>
      <c r="U852" s="5" t="s">
        <v>1678</v>
      </c>
      <c r="V852" s="5" t="s">
        <v>588</v>
      </c>
      <c r="W852" s="5"/>
      <c r="X852" s="15" t="s">
        <v>1677</v>
      </c>
      <c r="Y852" s="5"/>
    </row>
    <row r="853" customFormat="false" ht="15" hidden="false" customHeight="false" outlineLevel="0" collapsed="false">
      <c r="A853" s="5" t="s">
        <v>9036</v>
      </c>
      <c r="B853" s="5" t="s">
        <v>947</v>
      </c>
      <c r="C853" s="5" t="s">
        <v>948</v>
      </c>
      <c r="D853" s="9" t="s">
        <v>66</v>
      </c>
      <c r="E853" s="5" t="n">
        <v>4</v>
      </c>
      <c r="F853" s="5" t="s">
        <v>9037</v>
      </c>
      <c r="G853" s="13" t="s">
        <v>9038</v>
      </c>
      <c r="H853" s="5" t="s">
        <v>9039</v>
      </c>
      <c r="I853" s="13" t="s">
        <v>9040</v>
      </c>
      <c r="J853" s="5" t="s">
        <v>9041</v>
      </c>
      <c r="K853" s="5" t="s">
        <v>9042</v>
      </c>
      <c r="L853" s="13" t="s">
        <v>9043</v>
      </c>
      <c r="M853" s="13" t="s">
        <v>9044</v>
      </c>
      <c r="N853" s="5" t="n">
        <f aca="false">LEN(L853)</f>
        <v>25</v>
      </c>
      <c r="O853" s="5" t="n">
        <f aca="false">LEN(M853)</f>
        <v>25</v>
      </c>
      <c r="P853" s="14" t="n">
        <f aca="false">IF(N853=0,"",(N853-LEN(SUBSTITUTE(SUBSTITUTE(L853,"G",""),"C","")))/N853)</f>
        <v>0.64</v>
      </c>
      <c r="Q853" s="14" t="n">
        <f aca="false">IF(O853=0,"",(O853-LEN(SUBSTITUTE(SUBSTITUTE(M853,"G",""),"C","")))/O853)</f>
        <v>0.6</v>
      </c>
      <c r="R853" s="5" t="s">
        <v>951</v>
      </c>
      <c r="S853" s="15" t="s">
        <v>1677</v>
      </c>
      <c r="T853" s="5" t="n">
        <v>216</v>
      </c>
      <c r="U853" s="5" t="s">
        <v>1678</v>
      </c>
      <c r="V853" s="5" t="s">
        <v>588</v>
      </c>
      <c r="W853" s="5"/>
      <c r="X853" s="15" t="s">
        <v>1677</v>
      </c>
      <c r="Y853" s="5"/>
    </row>
    <row r="854" customFormat="false" ht="15" hidden="false" customHeight="false" outlineLevel="0" collapsed="false">
      <c r="A854" s="5" t="s">
        <v>9045</v>
      </c>
      <c r="B854" s="5" t="s">
        <v>947</v>
      </c>
      <c r="C854" s="5" t="s">
        <v>948</v>
      </c>
      <c r="D854" s="9" t="s">
        <v>66</v>
      </c>
      <c r="E854" s="5" t="n">
        <v>5</v>
      </c>
      <c r="F854" s="5" t="s">
        <v>9046</v>
      </c>
      <c r="G854" s="13" t="s">
        <v>9047</v>
      </c>
      <c r="H854" s="5" t="s">
        <v>9048</v>
      </c>
      <c r="I854" s="13" t="s">
        <v>9049</v>
      </c>
      <c r="J854" s="5" t="s">
        <v>9050</v>
      </c>
      <c r="K854" s="5" t="s">
        <v>9051</v>
      </c>
      <c r="L854" s="13" t="s">
        <v>9052</v>
      </c>
      <c r="M854" s="13" t="s">
        <v>9053</v>
      </c>
      <c r="N854" s="5" t="n">
        <f aca="false">LEN(L854)</f>
        <v>25</v>
      </c>
      <c r="O854" s="5" t="n">
        <f aca="false">LEN(M854)</f>
        <v>25</v>
      </c>
      <c r="P854" s="14" t="n">
        <f aca="false">IF(N854=0,"",(N854-LEN(SUBSTITUTE(SUBSTITUTE(L854,"G",""),"C","")))/N854)</f>
        <v>0.48</v>
      </c>
      <c r="Q854" s="14" t="n">
        <f aca="false">IF(O854=0,"",(O854-LEN(SUBSTITUTE(SUBSTITUTE(M854,"G",""),"C","")))/O854)</f>
        <v>0.56</v>
      </c>
      <c r="R854" s="5" t="s">
        <v>951</v>
      </c>
      <c r="S854" s="15" t="s">
        <v>1677</v>
      </c>
      <c r="T854" s="5" t="n">
        <v>286</v>
      </c>
      <c r="U854" s="5" t="s">
        <v>1678</v>
      </c>
      <c r="V854" s="5" t="s">
        <v>588</v>
      </c>
      <c r="W854" s="5"/>
      <c r="X854" s="15" t="s">
        <v>1677</v>
      </c>
      <c r="Y854" s="5"/>
    </row>
    <row r="855" customFormat="false" ht="15" hidden="false" customHeight="false" outlineLevel="0" collapsed="false">
      <c r="A855" s="5" t="s">
        <v>9054</v>
      </c>
      <c r="B855" s="5" t="s">
        <v>955</v>
      </c>
      <c r="C855" s="5" t="s">
        <v>956</v>
      </c>
      <c r="D855" s="9" t="s">
        <v>66</v>
      </c>
      <c r="E855" s="5" t="n">
        <v>1</v>
      </c>
      <c r="F855" s="5" t="s">
        <v>9055</v>
      </c>
      <c r="G855" s="13" t="s">
        <v>9056</v>
      </c>
      <c r="H855" s="5" t="s">
        <v>9057</v>
      </c>
      <c r="I855" s="13" t="s">
        <v>9058</v>
      </c>
      <c r="J855" s="5" t="s">
        <v>9059</v>
      </c>
      <c r="K855" s="5" t="s">
        <v>9060</v>
      </c>
      <c r="L855" s="13" t="s">
        <v>9061</v>
      </c>
      <c r="M855" s="13" t="s">
        <v>9062</v>
      </c>
      <c r="N855" s="5" t="n">
        <f aca="false">LEN(L855)</f>
        <v>25</v>
      </c>
      <c r="O855" s="5" t="n">
        <f aca="false">LEN(M855)</f>
        <v>25</v>
      </c>
      <c r="P855" s="14" t="n">
        <f aca="false">IF(N855=0,"",(N855-LEN(SUBSTITUTE(SUBSTITUTE(L855,"G",""),"C","")))/N855)</f>
        <v>0.52</v>
      </c>
      <c r="Q855" s="14" t="n">
        <f aca="false">IF(O855=0,"",(O855-LEN(SUBSTITUTE(SUBSTITUTE(M855,"G",""),"C","")))/O855)</f>
        <v>0.52</v>
      </c>
      <c r="R855" s="5" t="s">
        <v>960</v>
      </c>
      <c r="S855" s="15" t="s">
        <v>1677</v>
      </c>
      <c r="T855" s="5" t="n">
        <v>6</v>
      </c>
      <c r="U855" s="5" t="s">
        <v>1678</v>
      </c>
      <c r="V855" s="5" t="s">
        <v>588</v>
      </c>
      <c r="W855" s="5"/>
      <c r="X855" s="15" t="s">
        <v>1677</v>
      </c>
      <c r="Y855" s="5"/>
    </row>
    <row r="856" customFormat="false" ht="15" hidden="false" customHeight="false" outlineLevel="0" collapsed="false">
      <c r="A856" s="5" t="s">
        <v>9063</v>
      </c>
      <c r="B856" s="5" t="s">
        <v>955</v>
      </c>
      <c r="C856" s="5" t="s">
        <v>956</v>
      </c>
      <c r="D856" s="9" t="s">
        <v>66</v>
      </c>
      <c r="E856" s="5" t="n">
        <v>2</v>
      </c>
      <c r="F856" s="5" t="s">
        <v>9064</v>
      </c>
      <c r="G856" s="13" t="s">
        <v>9065</v>
      </c>
      <c r="H856" s="5" t="s">
        <v>9066</v>
      </c>
      <c r="I856" s="13" t="s">
        <v>9067</v>
      </c>
      <c r="J856" s="5" t="s">
        <v>9068</v>
      </c>
      <c r="K856" s="5" t="s">
        <v>9069</v>
      </c>
      <c r="L856" s="13" t="s">
        <v>9070</v>
      </c>
      <c r="M856" s="13" t="s">
        <v>9071</v>
      </c>
      <c r="N856" s="5" t="n">
        <f aca="false">LEN(L856)</f>
        <v>25</v>
      </c>
      <c r="O856" s="5" t="n">
        <f aca="false">LEN(M856)</f>
        <v>25</v>
      </c>
      <c r="P856" s="14" t="n">
        <f aca="false">IF(N856=0,"",(N856-LEN(SUBSTITUTE(SUBSTITUTE(L856,"G",""),"C","")))/N856)</f>
        <v>0.48</v>
      </c>
      <c r="Q856" s="14" t="n">
        <f aca="false">IF(O856=0,"",(O856-LEN(SUBSTITUTE(SUBSTITUTE(M856,"G",""),"C","")))/O856)</f>
        <v>0.6</v>
      </c>
      <c r="R856" s="5" t="s">
        <v>960</v>
      </c>
      <c r="S856" s="15" t="s">
        <v>1677</v>
      </c>
      <c r="T856" s="5" t="n">
        <v>76</v>
      </c>
      <c r="U856" s="5" t="s">
        <v>1678</v>
      </c>
      <c r="V856" s="5" t="s">
        <v>588</v>
      </c>
      <c r="W856" s="5"/>
      <c r="X856" s="15" t="s">
        <v>1677</v>
      </c>
      <c r="Y856" s="5"/>
    </row>
    <row r="857" customFormat="false" ht="15" hidden="false" customHeight="false" outlineLevel="0" collapsed="false">
      <c r="A857" s="5" t="s">
        <v>9072</v>
      </c>
      <c r="B857" s="5" t="s">
        <v>955</v>
      </c>
      <c r="C857" s="5" t="s">
        <v>956</v>
      </c>
      <c r="D857" s="9" t="s">
        <v>66</v>
      </c>
      <c r="E857" s="5" t="n">
        <v>3</v>
      </c>
      <c r="F857" s="5" t="s">
        <v>9073</v>
      </c>
      <c r="G857" s="13" t="s">
        <v>9074</v>
      </c>
      <c r="H857" s="5" t="s">
        <v>9075</v>
      </c>
      <c r="I857" s="13" t="s">
        <v>9076</v>
      </c>
      <c r="J857" s="5" t="s">
        <v>9077</v>
      </c>
      <c r="K857" s="5" t="s">
        <v>9078</v>
      </c>
      <c r="L857" s="13" t="s">
        <v>9079</v>
      </c>
      <c r="M857" s="13" t="s">
        <v>9080</v>
      </c>
      <c r="N857" s="5" t="n">
        <f aca="false">LEN(L857)</f>
        <v>25</v>
      </c>
      <c r="O857" s="5" t="n">
        <f aca="false">LEN(M857)</f>
        <v>25</v>
      </c>
      <c r="P857" s="14" t="n">
        <f aca="false">IF(N857=0,"",(N857-LEN(SUBSTITUTE(SUBSTITUTE(L857,"G",""),"C","")))/N857)</f>
        <v>0.44</v>
      </c>
      <c r="Q857" s="14" t="n">
        <f aca="false">IF(O857=0,"",(O857-LEN(SUBSTITUTE(SUBSTITUTE(M857,"G",""),"C","")))/O857)</f>
        <v>0.32</v>
      </c>
      <c r="R857" s="5" t="s">
        <v>960</v>
      </c>
      <c r="S857" s="15" t="s">
        <v>1677</v>
      </c>
      <c r="T857" s="5" t="n">
        <v>146</v>
      </c>
      <c r="U857" s="5" t="s">
        <v>1678</v>
      </c>
      <c r="V857" s="5" t="s">
        <v>588</v>
      </c>
      <c r="W857" s="5"/>
      <c r="X857" s="15" t="s">
        <v>1677</v>
      </c>
      <c r="Y857" s="5"/>
    </row>
    <row r="858" customFormat="false" ht="15" hidden="false" customHeight="false" outlineLevel="0" collapsed="false">
      <c r="A858" s="5" t="s">
        <v>9081</v>
      </c>
      <c r="B858" s="5" t="s">
        <v>955</v>
      </c>
      <c r="C858" s="5" t="s">
        <v>956</v>
      </c>
      <c r="D858" s="9" t="s">
        <v>66</v>
      </c>
      <c r="E858" s="5" t="n">
        <v>4</v>
      </c>
      <c r="F858" s="5" t="s">
        <v>9082</v>
      </c>
      <c r="G858" s="13" t="s">
        <v>9083</v>
      </c>
      <c r="H858" s="5" t="s">
        <v>9084</v>
      </c>
      <c r="I858" s="13" t="s">
        <v>9085</v>
      </c>
      <c r="J858" s="5" t="s">
        <v>9086</v>
      </c>
      <c r="K858" s="5" t="s">
        <v>9087</v>
      </c>
      <c r="L858" s="13" t="s">
        <v>9088</v>
      </c>
      <c r="M858" s="13" t="s">
        <v>9089</v>
      </c>
      <c r="N858" s="5" t="n">
        <f aca="false">LEN(L858)</f>
        <v>25</v>
      </c>
      <c r="O858" s="5" t="n">
        <f aca="false">LEN(M858)</f>
        <v>25</v>
      </c>
      <c r="P858" s="14" t="n">
        <f aca="false">IF(N858=0,"",(N858-LEN(SUBSTITUTE(SUBSTITUTE(L858,"G",""),"C","")))/N858)</f>
        <v>0.44</v>
      </c>
      <c r="Q858" s="14" t="n">
        <f aca="false">IF(O858=0,"",(O858-LEN(SUBSTITUTE(SUBSTITUTE(M858,"G",""),"C","")))/O858)</f>
        <v>0.48</v>
      </c>
      <c r="R858" s="5" t="s">
        <v>960</v>
      </c>
      <c r="S858" s="15" t="s">
        <v>1677</v>
      </c>
      <c r="T858" s="5" t="n">
        <v>216</v>
      </c>
      <c r="U858" s="5" t="s">
        <v>1678</v>
      </c>
      <c r="V858" s="5" t="s">
        <v>588</v>
      </c>
      <c r="W858" s="5"/>
      <c r="X858" s="15" t="s">
        <v>1677</v>
      </c>
      <c r="Y858" s="5"/>
    </row>
    <row r="859" customFormat="false" ht="15" hidden="false" customHeight="false" outlineLevel="0" collapsed="false">
      <c r="A859" s="5" t="s">
        <v>9090</v>
      </c>
      <c r="B859" s="5" t="s">
        <v>955</v>
      </c>
      <c r="C859" s="5" t="s">
        <v>956</v>
      </c>
      <c r="D859" s="9" t="s">
        <v>66</v>
      </c>
      <c r="E859" s="5" t="n">
        <v>5</v>
      </c>
      <c r="F859" s="5" t="s">
        <v>9091</v>
      </c>
      <c r="G859" s="13" t="s">
        <v>9092</v>
      </c>
      <c r="H859" s="5" t="s">
        <v>9093</v>
      </c>
      <c r="I859" s="13" t="s">
        <v>9094</v>
      </c>
      <c r="J859" s="5" t="s">
        <v>9095</v>
      </c>
      <c r="K859" s="5" t="s">
        <v>9096</v>
      </c>
      <c r="L859" s="13" t="s">
        <v>9097</v>
      </c>
      <c r="M859" s="13" t="s">
        <v>9098</v>
      </c>
      <c r="N859" s="5" t="n">
        <f aca="false">LEN(L859)</f>
        <v>25</v>
      </c>
      <c r="O859" s="5" t="n">
        <f aca="false">LEN(M859)</f>
        <v>25</v>
      </c>
      <c r="P859" s="14" t="n">
        <f aca="false">IF(N859=0,"",(N859-LEN(SUBSTITUTE(SUBSTITUTE(L859,"G",""),"C","")))/N859)</f>
        <v>0.4</v>
      </c>
      <c r="Q859" s="14" t="n">
        <f aca="false">IF(O859=0,"",(O859-LEN(SUBSTITUTE(SUBSTITUTE(M859,"G",""),"C","")))/O859)</f>
        <v>0.68</v>
      </c>
      <c r="R859" s="5" t="s">
        <v>960</v>
      </c>
      <c r="S859" s="15" t="s">
        <v>1677</v>
      </c>
      <c r="T859" s="5" t="n">
        <v>286</v>
      </c>
      <c r="U859" s="5" t="s">
        <v>1678</v>
      </c>
      <c r="V859" s="5" t="s">
        <v>588</v>
      </c>
      <c r="W859" s="5"/>
      <c r="X859" s="15" t="s">
        <v>1677</v>
      </c>
      <c r="Y859" s="5"/>
    </row>
    <row r="860" customFormat="false" ht="15" hidden="false" customHeight="false" outlineLevel="0" collapsed="false">
      <c r="A860" s="5" t="s">
        <v>9099</v>
      </c>
      <c r="B860" s="5" t="s">
        <v>955</v>
      </c>
      <c r="C860" s="5" t="s">
        <v>956</v>
      </c>
      <c r="D860" s="9" t="s">
        <v>66</v>
      </c>
      <c r="E860" s="5" t="n">
        <v>6</v>
      </c>
      <c r="F860" s="5" t="s">
        <v>9100</v>
      </c>
      <c r="G860" s="13" t="s">
        <v>9101</v>
      </c>
      <c r="H860" s="5" t="s">
        <v>9102</v>
      </c>
      <c r="I860" s="13" t="s">
        <v>9103</v>
      </c>
      <c r="J860" s="5" t="s">
        <v>9104</v>
      </c>
      <c r="K860" s="5" t="s">
        <v>9105</v>
      </c>
      <c r="L860" s="13" t="s">
        <v>9106</v>
      </c>
      <c r="M860" s="13" t="s">
        <v>9107</v>
      </c>
      <c r="N860" s="5" t="n">
        <f aca="false">LEN(L860)</f>
        <v>25</v>
      </c>
      <c r="O860" s="5" t="n">
        <f aca="false">LEN(M860)</f>
        <v>25</v>
      </c>
      <c r="P860" s="14" t="n">
        <f aca="false">IF(N860=0,"",(N860-LEN(SUBSTITUTE(SUBSTITUTE(L860,"G",""),"C","")))/N860)</f>
        <v>0.28</v>
      </c>
      <c r="Q860" s="14" t="n">
        <f aca="false">IF(O860=0,"",(O860-LEN(SUBSTITUTE(SUBSTITUTE(M860,"G",""),"C","")))/O860)</f>
        <v>0.36</v>
      </c>
      <c r="R860" s="5" t="s">
        <v>960</v>
      </c>
      <c r="S860" s="15" t="s">
        <v>1677</v>
      </c>
      <c r="T860" s="5" t="n">
        <v>356</v>
      </c>
      <c r="U860" s="5" t="s">
        <v>1678</v>
      </c>
      <c r="V860" s="5" t="s">
        <v>588</v>
      </c>
      <c r="W860" s="5"/>
      <c r="X860" s="15" t="s">
        <v>1677</v>
      </c>
      <c r="Y860" s="5"/>
    </row>
    <row r="861" customFormat="false" ht="15" hidden="false" customHeight="false" outlineLevel="0" collapsed="false">
      <c r="A861" s="5" t="s">
        <v>9108</v>
      </c>
      <c r="B861" s="5" t="s">
        <v>962</v>
      </c>
      <c r="C861" s="5" t="s">
        <v>963</v>
      </c>
      <c r="D861" s="9" t="s">
        <v>66</v>
      </c>
      <c r="E861" s="5" t="n">
        <v>1</v>
      </c>
      <c r="F861" s="5" t="s">
        <v>9109</v>
      </c>
      <c r="G861" s="13" t="s">
        <v>9110</v>
      </c>
      <c r="H861" s="5" t="s">
        <v>9111</v>
      </c>
      <c r="I861" s="13" t="s">
        <v>9112</v>
      </c>
      <c r="J861" s="5" t="s">
        <v>9113</v>
      </c>
      <c r="K861" s="5" t="s">
        <v>9114</v>
      </c>
      <c r="L861" s="13" t="s">
        <v>9115</v>
      </c>
      <c r="M861" s="13" t="s">
        <v>9116</v>
      </c>
      <c r="N861" s="5" t="n">
        <f aca="false">LEN(L861)</f>
        <v>25</v>
      </c>
      <c r="O861" s="5" t="n">
        <f aca="false">LEN(M861)</f>
        <v>25</v>
      </c>
      <c r="P861" s="14" t="n">
        <f aca="false">IF(N861=0,"",(N861-LEN(SUBSTITUTE(SUBSTITUTE(L861,"G",""),"C","")))/N861)</f>
        <v>0.4</v>
      </c>
      <c r="Q861" s="14" t="n">
        <f aca="false">IF(O861=0,"",(O861-LEN(SUBSTITUTE(SUBSTITUTE(M861,"G",""),"C","")))/O861)</f>
        <v>0.28</v>
      </c>
      <c r="R861" s="5" t="s">
        <v>968</v>
      </c>
      <c r="S861" s="15" t="s">
        <v>1677</v>
      </c>
      <c r="T861" s="5" t="n">
        <v>11</v>
      </c>
      <c r="U861" s="5" t="s">
        <v>1678</v>
      </c>
      <c r="V861" s="5" t="s">
        <v>588</v>
      </c>
      <c r="W861" s="5"/>
      <c r="X861" s="8" t="s">
        <v>1769</v>
      </c>
      <c r="Y861" s="5"/>
    </row>
    <row r="862" customFormat="false" ht="15" hidden="false" customHeight="false" outlineLevel="0" collapsed="false">
      <c r="A862" s="5" t="s">
        <v>9117</v>
      </c>
      <c r="B862" s="5" t="s">
        <v>962</v>
      </c>
      <c r="C862" s="5" t="s">
        <v>963</v>
      </c>
      <c r="D862" s="9" t="s">
        <v>66</v>
      </c>
      <c r="E862" s="5" t="n">
        <v>2</v>
      </c>
      <c r="F862" s="5" t="s">
        <v>9118</v>
      </c>
      <c r="G862" s="13" t="s">
        <v>9119</v>
      </c>
      <c r="H862" s="5" t="s">
        <v>9120</v>
      </c>
      <c r="I862" s="13" t="s">
        <v>9121</v>
      </c>
      <c r="J862" s="5" t="s">
        <v>9122</v>
      </c>
      <c r="K862" s="5" t="s">
        <v>9123</v>
      </c>
      <c r="L862" s="13" t="s">
        <v>9124</v>
      </c>
      <c r="M862" s="13" t="s">
        <v>9125</v>
      </c>
      <c r="N862" s="5" t="n">
        <f aca="false">LEN(L862)</f>
        <v>25</v>
      </c>
      <c r="O862" s="5" t="n">
        <f aca="false">LEN(M862)</f>
        <v>25</v>
      </c>
      <c r="P862" s="14" t="n">
        <f aca="false">IF(N862=0,"",(N862-LEN(SUBSTITUTE(SUBSTITUTE(L862,"G",""),"C","")))/N862)</f>
        <v>0.64</v>
      </c>
      <c r="Q862" s="14" t="n">
        <f aca="false">IF(O862=0,"",(O862-LEN(SUBSTITUTE(SUBSTITUTE(M862,"G",""),"C","")))/O862)</f>
        <v>0.56</v>
      </c>
      <c r="R862" s="5" t="s">
        <v>968</v>
      </c>
      <c r="S862" s="15" t="s">
        <v>1677</v>
      </c>
      <c r="T862" s="5" t="n">
        <v>76</v>
      </c>
      <c r="U862" s="5" t="s">
        <v>1678</v>
      </c>
      <c r="V862" s="5" t="s">
        <v>588</v>
      </c>
      <c r="W862" s="5"/>
      <c r="X862" s="8" t="s">
        <v>1769</v>
      </c>
      <c r="Y862" s="5"/>
    </row>
    <row r="863" customFormat="false" ht="15" hidden="false" customHeight="false" outlineLevel="0" collapsed="false">
      <c r="A863" s="5" t="s">
        <v>9126</v>
      </c>
      <c r="B863" s="5" t="s">
        <v>962</v>
      </c>
      <c r="C863" s="5" t="s">
        <v>963</v>
      </c>
      <c r="D863" s="9" t="s">
        <v>66</v>
      </c>
      <c r="E863" s="5" t="n">
        <v>3</v>
      </c>
      <c r="F863" s="5" t="s">
        <v>9127</v>
      </c>
      <c r="G863" s="13" t="s">
        <v>9128</v>
      </c>
      <c r="H863" s="5" t="s">
        <v>9129</v>
      </c>
      <c r="I863" s="13" t="s">
        <v>9130</v>
      </c>
      <c r="J863" s="5" t="s">
        <v>9131</v>
      </c>
      <c r="K863" s="5" t="s">
        <v>9132</v>
      </c>
      <c r="L863" s="13" t="s">
        <v>9133</v>
      </c>
      <c r="M863" s="13" t="s">
        <v>9134</v>
      </c>
      <c r="N863" s="5" t="n">
        <f aca="false">LEN(L863)</f>
        <v>25</v>
      </c>
      <c r="O863" s="5" t="n">
        <f aca="false">LEN(M863)</f>
        <v>25</v>
      </c>
      <c r="P863" s="14" t="n">
        <f aca="false">IF(N863=0,"",(N863-LEN(SUBSTITUTE(SUBSTITUTE(L863,"G",""),"C","")))/N863)</f>
        <v>0.48</v>
      </c>
      <c r="Q863" s="14" t="n">
        <f aca="false">IF(O863=0,"",(O863-LEN(SUBSTITUTE(SUBSTITUTE(M863,"G",""),"C","")))/O863)</f>
        <v>0.48</v>
      </c>
      <c r="R863" s="5" t="s">
        <v>968</v>
      </c>
      <c r="S863" s="15" t="s">
        <v>1677</v>
      </c>
      <c r="T863" s="5" t="n">
        <v>141</v>
      </c>
      <c r="U863" s="5" t="s">
        <v>1678</v>
      </c>
      <c r="V863" s="5" t="s">
        <v>588</v>
      </c>
      <c r="W863" s="5"/>
      <c r="X863" s="8" t="s">
        <v>1914</v>
      </c>
      <c r="Y863" s="5"/>
    </row>
    <row r="864" customFormat="false" ht="15" hidden="false" customHeight="false" outlineLevel="0" collapsed="false">
      <c r="A864" s="5" t="s">
        <v>9135</v>
      </c>
      <c r="B864" s="5" t="s">
        <v>962</v>
      </c>
      <c r="C864" s="5" t="s">
        <v>963</v>
      </c>
      <c r="D864" s="9" t="s">
        <v>66</v>
      </c>
      <c r="E864" s="5" t="n">
        <v>4</v>
      </c>
      <c r="F864" s="5" t="s">
        <v>9136</v>
      </c>
      <c r="G864" s="13" t="s">
        <v>9137</v>
      </c>
      <c r="H864" s="5" t="s">
        <v>9138</v>
      </c>
      <c r="I864" s="13" t="s">
        <v>9139</v>
      </c>
      <c r="J864" s="5" t="s">
        <v>9140</v>
      </c>
      <c r="K864" s="5" t="s">
        <v>9141</v>
      </c>
      <c r="L864" s="13" t="s">
        <v>9142</v>
      </c>
      <c r="M864" s="13" t="s">
        <v>9143</v>
      </c>
      <c r="N864" s="5" t="n">
        <f aca="false">LEN(L864)</f>
        <v>25</v>
      </c>
      <c r="O864" s="5" t="n">
        <f aca="false">LEN(M864)</f>
        <v>25</v>
      </c>
      <c r="P864" s="14" t="n">
        <f aca="false">IF(N864=0,"",(N864-LEN(SUBSTITUTE(SUBSTITUTE(L864,"G",""),"C","")))/N864)</f>
        <v>0.44</v>
      </c>
      <c r="Q864" s="14" t="n">
        <f aca="false">IF(O864=0,"",(O864-LEN(SUBSTITUTE(SUBSTITUTE(M864,"G",""),"C","")))/O864)</f>
        <v>0.72</v>
      </c>
      <c r="R864" s="5" t="s">
        <v>968</v>
      </c>
      <c r="S864" s="15" t="s">
        <v>1677</v>
      </c>
      <c r="T864" s="5" t="n">
        <v>206</v>
      </c>
      <c r="U864" s="5" t="s">
        <v>1678</v>
      </c>
      <c r="V864" s="5" t="s">
        <v>588</v>
      </c>
      <c r="W864" s="5"/>
      <c r="X864" s="15" t="s">
        <v>1677</v>
      </c>
      <c r="Y864" s="5"/>
    </row>
    <row r="865" customFormat="false" ht="15" hidden="false" customHeight="false" outlineLevel="0" collapsed="false">
      <c r="A865" s="5" t="s">
        <v>9144</v>
      </c>
      <c r="B865" s="5" t="s">
        <v>962</v>
      </c>
      <c r="C865" s="5" t="s">
        <v>963</v>
      </c>
      <c r="D865" s="9" t="s">
        <v>66</v>
      </c>
      <c r="E865" s="5" t="n">
        <v>5</v>
      </c>
      <c r="F865" s="5" t="s">
        <v>9145</v>
      </c>
      <c r="G865" s="13" t="s">
        <v>9146</v>
      </c>
      <c r="H865" s="5" t="s">
        <v>9147</v>
      </c>
      <c r="I865" s="13" t="s">
        <v>9148</v>
      </c>
      <c r="J865" s="5" t="s">
        <v>9149</v>
      </c>
      <c r="K865" s="5" t="s">
        <v>9150</v>
      </c>
      <c r="L865" s="13" t="s">
        <v>9151</v>
      </c>
      <c r="M865" s="13" t="s">
        <v>9152</v>
      </c>
      <c r="N865" s="5" t="n">
        <f aca="false">LEN(L865)</f>
        <v>25</v>
      </c>
      <c r="O865" s="5" t="n">
        <f aca="false">LEN(M865)</f>
        <v>25</v>
      </c>
      <c r="P865" s="14" t="n">
        <f aca="false">IF(N865=0,"",(N865-LEN(SUBSTITUTE(SUBSTITUTE(L865,"G",""),"C","")))/N865)</f>
        <v>0.56</v>
      </c>
      <c r="Q865" s="14" t="n">
        <f aca="false">IF(O865=0,"",(O865-LEN(SUBSTITUTE(SUBSTITUTE(M865,"G",""),"C","")))/O865)</f>
        <v>0.8</v>
      </c>
      <c r="R865" s="5" t="s">
        <v>968</v>
      </c>
      <c r="S865" s="15" t="s">
        <v>1677</v>
      </c>
      <c r="T865" s="5" t="n">
        <v>339</v>
      </c>
      <c r="U865" s="5" t="s">
        <v>1678</v>
      </c>
      <c r="V865" s="5" t="s">
        <v>588</v>
      </c>
      <c r="W865" s="5"/>
      <c r="X865" s="8" t="s">
        <v>1769</v>
      </c>
      <c r="Y865" s="5"/>
    </row>
    <row r="866" customFormat="false" ht="15" hidden="false" customHeight="false" outlineLevel="0" collapsed="false">
      <c r="A866" s="5" t="s">
        <v>9153</v>
      </c>
      <c r="B866" s="5" t="s">
        <v>962</v>
      </c>
      <c r="C866" s="5" t="s">
        <v>963</v>
      </c>
      <c r="D866" s="9" t="s">
        <v>66</v>
      </c>
      <c r="E866" s="5" t="n">
        <v>6</v>
      </c>
      <c r="F866" s="5" t="s">
        <v>9154</v>
      </c>
      <c r="G866" s="13" t="s">
        <v>9155</v>
      </c>
      <c r="H866" s="5" t="s">
        <v>9156</v>
      </c>
      <c r="I866" s="13" t="s">
        <v>9157</v>
      </c>
      <c r="J866" s="5" t="s">
        <v>9158</v>
      </c>
      <c r="K866" s="5" t="s">
        <v>9159</v>
      </c>
      <c r="L866" s="13" t="s">
        <v>9160</v>
      </c>
      <c r="M866" s="13" t="s">
        <v>9161</v>
      </c>
      <c r="N866" s="5" t="n">
        <f aca="false">LEN(L866)</f>
        <v>25</v>
      </c>
      <c r="O866" s="5" t="n">
        <f aca="false">LEN(M866)</f>
        <v>25</v>
      </c>
      <c r="P866" s="14" t="n">
        <f aca="false">IF(N866=0,"",(N866-LEN(SUBSTITUTE(SUBSTITUTE(L866,"G",""),"C","")))/N866)</f>
        <v>0.6</v>
      </c>
      <c r="Q866" s="14" t="n">
        <f aca="false">IF(O866=0,"",(O866-LEN(SUBSTITUTE(SUBSTITUTE(M866,"G",""),"C","")))/O866)</f>
        <v>0.48</v>
      </c>
      <c r="R866" s="5" t="s">
        <v>968</v>
      </c>
      <c r="S866" s="15" t="s">
        <v>1677</v>
      </c>
      <c r="T866" s="5" t="n">
        <v>404</v>
      </c>
      <c r="U866" s="5" t="s">
        <v>1678</v>
      </c>
      <c r="V866" s="5" t="s">
        <v>588</v>
      </c>
      <c r="W866" s="5"/>
      <c r="X866" s="8" t="s">
        <v>1769</v>
      </c>
      <c r="Y866" s="5"/>
    </row>
    <row r="867" customFormat="false" ht="15" hidden="false" customHeight="false" outlineLevel="0" collapsed="false">
      <c r="A867" s="5" t="s">
        <v>9162</v>
      </c>
      <c r="B867" s="5" t="s">
        <v>962</v>
      </c>
      <c r="C867" s="5" t="s">
        <v>963</v>
      </c>
      <c r="D867" s="9" t="s">
        <v>66</v>
      </c>
      <c r="E867" s="5" t="n">
        <v>7</v>
      </c>
      <c r="F867" s="5" t="s">
        <v>9163</v>
      </c>
      <c r="G867" s="13" t="s">
        <v>9164</v>
      </c>
      <c r="H867" s="5" t="s">
        <v>9165</v>
      </c>
      <c r="I867" s="13" t="s">
        <v>9166</v>
      </c>
      <c r="J867" s="5" t="s">
        <v>9167</v>
      </c>
      <c r="K867" s="5" t="s">
        <v>9168</v>
      </c>
      <c r="L867" s="13" t="s">
        <v>9169</v>
      </c>
      <c r="M867" s="13" t="s">
        <v>9170</v>
      </c>
      <c r="N867" s="5" t="n">
        <f aca="false">LEN(L867)</f>
        <v>25</v>
      </c>
      <c r="O867" s="5" t="n">
        <f aca="false">LEN(M867)</f>
        <v>25</v>
      </c>
      <c r="P867" s="14" t="n">
        <f aca="false">IF(N867=0,"",(N867-LEN(SUBSTITUTE(SUBSTITUTE(L867,"G",""),"C","")))/N867)</f>
        <v>0.56</v>
      </c>
      <c r="Q867" s="14" t="n">
        <f aca="false">IF(O867=0,"",(O867-LEN(SUBSTITUTE(SUBSTITUTE(M867,"G",""),"C","")))/O867)</f>
        <v>0.52</v>
      </c>
      <c r="R867" s="5" t="s">
        <v>968</v>
      </c>
      <c r="S867" s="15" t="s">
        <v>1677</v>
      </c>
      <c r="T867" s="5" t="n">
        <v>537</v>
      </c>
      <c r="U867" s="5" t="s">
        <v>1678</v>
      </c>
      <c r="V867" s="5" t="s">
        <v>588</v>
      </c>
      <c r="W867" s="5"/>
      <c r="X867" s="8" t="s">
        <v>1769</v>
      </c>
      <c r="Y867" s="5"/>
    </row>
    <row r="868" customFormat="false" ht="15" hidden="false" customHeight="false" outlineLevel="0" collapsed="false">
      <c r="A868" s="5" t="s">
        <v>9171</v>
      </c>
      <c r="B868" s="5" t="s">
        <v>962</v>
      </c>
      <c r="C868" s="5" t="s">
        <v>963</v>
      </c>
      <c r="D868" s="9" t="s">
        <v>66</v>
      </c>
      <c r="E868" s="5" t="n">
        <v>8</v>
      </c>
      <c r="F868" s="5" t="s">
        <v>9172</v>
      </c>
      <c r="G868" s="13" t="s">
        <v>9173</v>
      </c>
      <c r="H868" s="5" t="s">
        <v>9174</v>
      </c>
      <c r="I868" s="13" t="s">
        <v>9175</v>
      </c>
      <c r="J868" s="5" t="s">
        <v>9176</v>
      </c>
      <c r="K868" s="5" t="s">
        <v>9177</v>
      </c>
      <c r="L868" s="13" t="s">
        <v>9178</v>
      </c>
      <c r="M868" s="13" t="s">
        <v>9179</v>
      </c>
      <c r="N868" s="5" t="n">
        <f aca="false">LEN(L868)</f>
        <v>25</v>
      </c>
      <c r="O868" s="5" t="n">
        <f aca="false">LEN(M868)</f>
        <v>25</v>
      </c>
      <c r="P868" s="14" t="n">
        <f aca="false">IF(N868=0,"",(N868-LEN(SUBSTITUTE(SUBSTITUTE(L868,"G",""),"C","")))/N868)</f>
        <v>0.64</v>
      </c>
      <c r="Q868" s="14" t="n">
        <f aca="false">IF(O868=0,"",(O868-LEN(SUBSTITUTE(SUBSTITUTE(M868,"G",""),"C","")))/O868)</f>
        <v>0.48</v>
      </c>
      <c r="R868" s="5" t="s">
        <v>968</v>
      </c>
      <c r="S868" s="15" t="s">
        <v>1677</v>
      </c>
      <c r="T868" s="5" t="n">
        <v>603</v>
      </c>
      <c r="U868" s="5" t="s">
        <v>1678</v>
      </c>
      <c r="V868" s="5" t="s">
        <v>588</v>
      </c>
      <c r="W868" s="5"/>
      <c r="X868" s="15" t="s">
        <v>1677</v>
      </c>
      <c r="Y868" s="5"/>
    </row>
    <row r="869" customFormat="false" ht="15" hidden="false" customHeight="false" outlineLevel="0" collapsed="false">
      <c r="A869" s="5" t="s">
        <v>9180</v>
      </c>
      <c r="B869" s="5" t="s">
        <v>962</v>
      </c>
      <c r="C869" s="5" t="s">
        <v>963</v>
      </c>
      <c r="D869" s="9" t="s">
        <v>66</v>
      </c>
      <c r="E869" s="5" t="n">
        <v>9</v>
      </c>
      <c r="F869" s="5" t="s">
        <v>9181</v>
      </c>
      <c r="G869" s="13" t="s">
        <v>9182</v>
      </c>
      <c r="H869" s="5" t="s">
        <v>9183</v>
      </c>
      <c r="I869" s="13" t="s">
        <v>9184</v>
      </c>
      <c r="J869" s="5" t="s">
        <v>9185</v>
      </c>
      <c r="K869" s="5" t="s">
        <v>9186</v>
      </c>
      <c r="L869" s="13" t="s">
        <v>9187</v>
      </c>
      <c r="M869" s="13" t="s">
        <v>9188</v>
      </c>
      <c r="N869" s="5" t="n">
        <f aca="false">LEN(L869)</f>
        <v>25</v>
      </c>
      <c r="O869" s="5" t="n">
        <f aca="false">LEN(M869)</f>
        <v>25</v>
      </c>
      <c r="P869" s="14" t="n">
        <f aca="false">IF(N869=0,"",(N869-LEN(SUBSTITUTE(SUBSTITUTE(L869,"G",""),"C","")))/N869)</f>
        <v>0.6</v>
      </c>
      <c r="Q869" s="14" t="n">
        <f aca="false">IF(O869=0,"",(O869-LEN(SUBSTITUTE(SUBSTITUTE(M869,"G",""),"C","")))/O869)</f>
        <v>0.72</v>
      </c>
      <c r="R869" s="5" t="s">
        <v>968</v>
      </c>
      <c r="S869" s="15" t="s">
        <v>1677</v>
      </c>
      <c r="T869" s="5" t="n">
        <v>669</v>
      </c>
      <c r="U869" s="5" t="s">
        <v>1678</v>
      </c>
      <c r="V869" s="5" t="s">
        <v>588</v>
      </c>
      <c r="W869" s="5"/>
      <c r="X869" s="15" t="s">
        <v>1677</v>
      </c>
      <c r="Y869" s="5"/>
    </row>
    <row r="870" customFormat="false" ht="15" hidden="false" customHeight="false" outlineLevel="0" collapsed="false">
      <c r="A870" s="5" t="s">
        <v>9189</v>
      </c>
      <c r="B870" s="5" t="s">
        <v>962</v>
      </c>
      <c r="C870" s="5" t="s">
        <v>963</v>
      </c>
      <c r="D870" s="9" t="s">
        <v>66</v>
      </c>
      <c r="E870" s="5" t="n">
        <v>10</v>
      </c>
      <c r="F870" s="5" t="s">
        <v>9190</v>
      </c>
      <c r="G870" s="13" t="s">
        <v>9191</v>
      </c>
      <c r="H870" s="5" t="s">
        <v>9192</v>
      </c>
      <c r="I870" s="13" t="s">
        <v>9193</v>
      </c>
      <c r="J870" s="5" t="s">
        <v>9194</v>
      </c>
      <c r="K870" s="5" t="s">
        <v>9195</v>
      </c>
      <c r="L870" s="13" t="s">
        <v>9196</v>
      </c>
      <c r="M870" s="13" t="s">
        <v>9197</v>
      </c>
      <c r="N870" s="5" t="n">
        <f aca="false">LEN(L870)</f>
        <v>25</v>
      </c>
      <c r="O870" s="5" t="n">
        <f aca="false">LEN(M870)</f>
        <v>25</v>
      </c>
      <c r="P870" s="14" t="n">
        <f aca="false">IF(N870=0,"",(N870-LEN(SUBSTITUTE(SUBSTITUTE(L870,"G",""),"C","")))/N870)</f>
        <v>0.6</v>
      </c>
      <c r="Q870" s="14" t="n">
        <f aca="false">IF(O870=0,"",(O870-LEN(SUBSTITUTE(SUBSTITUTE(M870,"G",""),"C","")))/O870)</f>
        <v>0.72</v>
      </c>
      <c r="R870" s="5" t="s">
        <v>968</v>
      </c>
      <c r="S870" s="15" t="s">
        <v>1677</v>
      </c>
      <c r="T870" s="5" t="n">
        <v>735</v>
      </c>
      <c r="U870" s="5" t="s">
        <v>1678</v>
      </c>
      <c r="V870" s="5" t="s">
        <v>588</v>
      </c>
      <c r="W870" s="5"/>
      <c r="X870" s="8" t="s">
        <v>1914</v>
      </c>
      <c r="Y870" s="5"/>
    </row>
    <row r="871" customFormat="false" ht="15" hidden="false" customHeight="false" outlineLevel="0" collapsed="false">
      <c r="A871" s="5" t="s">
        <v>9198</v>
      </c>
      <c r="B871" s="5" t="s">
        <v>972</v>
      </c>
      <c r="C871" s="5" t="s">
        <v>973</v>
      </c>
      <c r="D871" s="9" t="s">
        <v>66</v>
      </c>
      <c r="E871" s="5" t="n">
        <v>1</v>
      </c>
      <c r="F871" s="5" t="s">
        <v>9199</v>
      </c>
      <c r="G871" s="13" t="s">
        <v>9200</v>
      </c>
      <c r="H871" s="5" t="s">
        <v>9201</v>
      </c>
      <c r="I871" s="13" t="s">
        <v>9202</v>
      </c>
      <c r="J871" s="5" t="s">
        <v>9203</v>
      </c>
      <c r="K871" s="5" t="s">
        <v>9204</v>
      </c>
      <c r="L871" s="13" t="s">
        <v>9205</v>
      </c>
      <c r="M871" s="13" t="s">
        <v>9206</v>
      </c>
      <c r="N871" s="5" t="n">
        <f aca="false">LEN(L871)</f>
        <v>25</v>
      </c>
      <c r="O871" s="5" t="n">
        <f aca="false">LEN(M871)</f>
        <v>25</v>
      </c>
      <c r="P871" s="14" t="n">
        <f aca="false">IF(N871=0,"",(N871-LEN(SUBSTITUTE(SUBSTITUTE(L871,"G",""),"C","")))/N871)</f>
        <v>0.64</v>
      </c>
      <c r="Q871" s="14" t="n">
        <f aca="false">IF(O871=0,"",(O871-LEN(SUBSTITUTE(SUBSTITUTE(M871,"G",""),"C","")))/O871)</f>
        <v>0.48</v>
      </c>
      <c r="R871" s="5" t="s">
        <v>978</v>
      </c>
      <c r="S871" s="15" t="s">
        <v>1677</v>
      </c>
      <c r="T871" s="5" t="n">
        <v>7</v>
      </c>
      <c r="U871" s="5" t="s">
        <v>1678</v>
      </c>
      <c r="V871" s="5" t="s">
        <v>588</v>
      </c>
      <c r="W871" s="5"/>
      <c r="X871" s="15" t="s">
        <v>1677</v>
      </c>
      <c r="Y871" s="5"/>
    </row>
    <row r="872" customFormat="false" ht="15" hidden="false" customHeight="false" outlineLevel="0" collapsed="false">
      <c r="A872" s="5" t="s">
        <v>9207</v>
      </c>
      <c r="B872" s="5" t="s">
        <v>972</v>
      </c>
      <c r="C872" s="5" t="s">
        <v>973</v>
      </c>
      <c r="D872" s="9" t="s">
        <v>66</v>
      </c>
      <c r="E872" s="5" t="n">
        <v>2</v>
      </c>
      <c r="F872" s="5" t="s">
        <v>9208</v>
      </c>
      <c r="G872" s="13" t="s">
        <v>9209</v>
      </c>
      <c r="H872" s="5" t="s">
        <v>9210</v>
      </c>
      <c r="I872" s="13" t="s">
        <v>9211</v>
      </c>
      <c r="J872" s="5" t="s">
        <v>9212</v>
      </c>
      <c r="K872" s="5" t="s">
        <v>9213</v>
      </c>
      <c r="L872" s="13" t="s">
        <v>9214</v>
      </c>
      <c r="M872" s="13" t="s">
        <v>9215</v>
      </c>
      <c r="N872" s="5" t="n">
        <f aca="false">LEN(L872)</f>
        <v>25</v>
      </c>
      <c r="O872" s="5" t="n">
        <f aca="false">LEN(M872)</f>
        <v>25</v>
      </c>
      <c r="P872" s="14" t="n">
        <f aca="false">IF(N872=0,"",(N872-LEN(SUBSTITUTE(SUBSTITUTE(L872,"G",""),"C","")))/N872)</f>
        <v>0.68</v>
      </c>
      <c r="Q872" s="14" t="n">
        <f aca="false">IF(O872=0,"",(O872-LEN(SUBSTITUTE(SUBSTITUTE(M872,"G",""),"C","")))/O872)</f>
        <v>0.68</v>
      </c>
      <c r="R872" s="5" t="s">
        <v>978</v>
      </c>
      <c r="S872" s="15" t="s">
        <v>1677</v>
      </c>
      <c r="T872" s="5" t="n">
        <v>79</v>
      </c>
      <c r="U872" s="5" t="s">
        <v>1678</v>
      </c>
      <c r="V872" s="5" t="s">
        <v>588</v>
      </c>
      <c r="W872" s="5"/>
      <c r="X872" s="15" t="s">
        <v>1677</v>
      </c>
      <c r="Y872" s="5"/>
    </row>
    <row r="873" customFormat="false" ht="15" hidden="false" customHeight="false" outlineLevel="0" collapsed="false">
      <c r="A873" s="5" t="s">
        <v>9216</v>
      </c>
      <c r="B873" s="5" t="s">
        <v>972</v>
      </c>
      <c r="C873" s="5" t="s">
        <v>973</v>
      </c>
      <c r="D873" s="9" t="s">
        <v>66</v>
      </c>
      <c r="E873" s="5" t="n">
        <v>3</v>
      </c>
      <c r="F873" s="5" t="s">
        <v>9217</v>
      </c>
      <c r="G873" s="13" t="s">
        <v>9218</v>
      </c>
      <c r="H873" s="5" t="s">
        <v>9219</v>
      </c>
      <c r="I873" s="13" t="s">
        <v>9220</v>
      </c>
      <c r="J873" s="5" t="s">
        <v>9221</v>
      </c>
      <c r="K873" s="5" t="s">
        <v>9222</v>
      </c>
      <c r="L873" s="13" t="s">
        <v>9223</v>
      </c>
      <c r="M873" s="13" t="s">
        <v>9224</v>
      </c>
      <c r="N873" s="5" t="n">
        <f aca="false">LEN(L873)</f>
        <v>25</v>
      </c>
      <c r="O873" s="5" t="n">
        <f aca="false">LEN(M873)</f>
        <v>25</v>
      </c>
      <c r="P873" s="14" t="n">
        <f aca="false">IF(N873=0,"",(N873-LEN(SUBSTITUTE(SUBSTITUTE(L873,"G",""),"C","")))/N873)</f>
        <v>0.52</v>
      </c>
      <c r="Q873" s="14" t="n">
        <f aca="false">IF(O873=0,"",(O873-LEN(SUBSTITUTE(SUBSTITUTE(M873,"G",""),"C","")))/O873)</f>
        <v>0.84</v>
      </c>
      <c r="R873" s="5" t="s">
        <v>978</v>
      </c>
      <c r="S873" s="15" t="s">
        <v>1677</v>
      </c>
      <c r="T873" s="5" t="n">
        <v>152</v>
      </c>
      <c r="U873" s="5" t="s">
        <v>1678</v>
      </c>
      <c r="V873" s="5" t="s">
        <v>588</v>
      </c>
      <c r="W873" s="5"/>
      <c r="X873" s="15" t="s">
        <v>1677</v>
      </c>
      <c r="Y873" s="5"/>
    </row>
    <row r="874" customFormat="false" ht="15" hidden="false" customHeight="false" outlineLevel="0" collapsed="false">
      <c r="A874" s="5" t="s">
        <v>9225</v>
      </c>
      <c r="B874" s="5" t="s">
        <v>972</v>
      </c>
      <c r="C874" s="5" t="s">
        <v>973</v>
      </c>
      <c r="D874" s="9" t="s">
        <v>66</v>
      </c>
      <c r="E874" s="5" t="n">
        <v>4</v>
      </c>
      <c r="F874" s="5" t="s">
        <v>9226</v>
      </c>
      <c r="G874" s="13" t="s">
        <v>9227</v>
      </c>
      <c r="H874" s="5" t="s">
        <v>9228</v>
      </c>
      <c r="I874" s="13" t="s">
        <v>9229</v>
      </c>
      <c r="J874" s="5" t="s">
        <v>9230</v>
      </c>
      <c r="K874" s="5" t="s">
        <v>9231</v>
      </c>
      <c r="L874" s="13" t="s">
        <v>9232</v>
      </c>
      <c r="M874" s="13" t="s">
        <v>9233</v>
      </c>
      <c r="N874" s="5" t="n">
        <f aca="false">LEN(L874)</f>
        <v>25</v>
      </c>
      <c r="O874" s="5" t="n">
        <f aca="false">LEN(M874)</f>
        <v>25</v>
      </c>
      <c r="P874" s="14" t="n">
        <f aca="false">IF(N874=0,"",(N874-LEN(SUBSTITUTE(SUBSTITUTE(L874,"G",""),"C","")))/N874)</f>
        <v>0.72</v>
      </c>
      <c r="Q874" s="14" t="n">
        <f aca="false">IF(O874=0,"",(O874-LEN(SUBSTITUTE(SUBSTITUTE(M874,"G",""),"C","")))/O874)</f>
        <v>0.68</v>
      </c>
      <c r="R874" s="5" t="s">
        <v>978</v>
      </c>
      <c r="S874" s="15" t="s">
        <v>1677</v>
      </c>
      <c r="T874" s="5" t="n">
        <v>223</v>
      </c>
      <c r="U874" s="5" t="s">
        <v>1678</v>
      </c>
      <c r="V874" s="5" t="s">
        <v>588</v>
      </c>
      <c r="W874" s="5"/>
      <c r="X874" s="15" t="s">
        <v>1677</v>
      </c>
      <c r="Y874" s="5"/>
    </row>
    <row r="875" customFormat="false" ht="15" hidden="false" customHeight="false" outlineLevel="0" collapsed="false">
      <c r="A875" s="5" t="s">
        <v>9234</v>
      </c>
      <c r="B875" s="5" t="s">
        <v>972</v>
      </c>
      <c r="C875" s="5" t="s">
        <v>973</v>
      </c>
      <c r="D875" s="9" t="s">
        <v>66</v>
      </c>
      <c r="E875" s="5" t="n">
        <v>5</v>
      </c>
      <c r="F875" s="5" t="s">
        <v>9235</v>
      </c>
      <c r="G875" s="13" t="s">
        <v>9236</v>
      </c>
      <c r="H875" s="5" t="s">
        <v>9237</v>
      </c>
      <c r="I875" s="13" t="s">
        <v>9238</v>
      </c>
      <c r="J875" s="5" t="s">
        <v>9239</v>
      </c>
      <c r="K875" s="5" t="s">
        <v>9240</v>
      </c>
      <c r="L875" s="13" t="s">
        <v>9241</v>
      </c>
      <c r="M875" s="13" t="s">
        <v>9242</v>
      </c>
      <c r="N875" s="5" t="n">
        <f aca="false">LEN(L875)</f>
        <v>25</v>
      </c>
      <c r="O875" s="5" t="n">
        <f aca="false">LEN(M875)</f>
        <v>25</v>
      </c>
      <c r="P875" s="14" t="n">
        <f aca="false">IF(N875=0,"",(N875-LEN(SUBSTITUTE(SUBSTITUTE(L875,"G",""),"C","")))/N875)</f>
        <v>0.48</v>
      </c>
      <c r="Q875" s="14" t="n">
        <f aca="false">IF(O875=0,"",(O875-LEN(SUBSTITUTE(SUBSTITUTE(M875,"G",""),"C","")))/O875)</f>
        <v>0.64</v>
      </c>
      <c r="R875" s="5" t="s">
        <v>978</v>
      </c>
      <c r="S875" s="15" t="s">
        <v>1677</v>
      </c>
      <c r="T875" s="5" t="n">
        <v>588</v>
      </c>
      <c r="U875" s="5" t="s">
        <v>1678</v>
      </c>
      <c r="V875" s="5" t="s">
        <v>588</v>
      </c>
      <c r="W875" s="5"/>
      <c r="X875" s="15" t="s">
        <v>1677</v>
      </c>
      <c r="Y875" s="5"/>
    </row>
    <row r="876" customFormat="false" ht="15" hidden="false" customHeight="false" outlineLevel="0" collapsed="false">
      <c r="A876" s="5" t="s">
        <v>9243</v>
      </c>
      <c r="B876" s="5" t="s">
        <v>972</v>
      </c>
      <c r="C876" s="5" t="s">
        <v>973</v>
      </c>
      <c r="D876" s="9" t="s">
        <v>66</v>
      </c>
      <c r="E876" s="5" t="n">
        <v>6</v>
      </c>
      <c r="F876" s="5" t="s">
        <v>9244</v>
      </c>
      <c r="G876" s="13" t="s">
        <v>9245</v>
      </c>
      <c r="H876" s="5" t="s">
        <v>9246</v>
      </c>
      <c r="I876" s="13" t="s">
        <v>9247</v>
      </c>
      <c r="J876" s="5" t="s">
        <v>9248</v>
      </c>
      <c r="K876" s="5" t="s">
        <v>9249</v>
      </c>
      <c r="L876" s="13" t="s">
        <v>9250</v>
      </c>
      <c r="M876" s="13" t="s">
        <v>9251</v>
      </c>
      <c r="N876" s="5" t="n">
        <f aca="false">LEN(L876)</f>
        <v>25</v>
      </c>
      <c r="O876" s="5" t="n">
        <f aca="false">LEN(M876)</f>
        <v>25</v>
      </c>
      <c r="P876" s="14" t="n">
        <f aca="false">IF(N876=0,"",(N876-LEN(SUBSTITUTE(SUBSTITUTE(L876,"G",""),"C","")))/N876)</f>
        <v>0.56</v>
      </c>
      <c r="Q876" s="14" t="n">
        <f aca="false">IF(O876=0,"",(O876-LEN(SUBSTITUTE(SUBSTITUTE(M876,"G",""),"C","")))/O876)</f>
        <v>0.48</v>
      </c>
      <c r="R876" s="5" t="s">
        <v>978</v>
      </c>
      <c r="S876" s="15" t="s">
        <v>1677</v>
      </c>
      <c r="T876" s="5" t="n">
        <v>658</v>
      </c>
      <c r="U876" s="5" t="s">
        <v>1678</v>
      </c>
      <c r="V876" s="5" t="s">
        <v>588</v>
      </c>
      <c r="W876" s="5"/>
      <c r="X876" s="15" t="s">
        <v>1677</v>
      </c>
      <c r="Y876" s="5"/>
    </row>
    <row r="877" customFormat="false" ht="15" hidden="false" customHeight="false" outlineLevel="0" collapsed="false">
      <c r="A877" s="5" t="s">
        <v>9252</v>
      </c>
      <c r="B877" s="5" t="s">
        <v>972</v>
      </c>
      <c r="C877" s="5" t="s">
        <v>973</v>
      </c>
      <c r="D877" s="9" t="s">
        <v>66</v>
      </c>
      <c r="E877" s="5" t="n">
        <v>7</v>
      </c>
      <c r="F877" s="5" t="s">
        <v>9253</v>
      </c>
      <c r="G877" s="13" t="s">
        <v>9254</v>
      </c>
      <c r="H877" s="5" t="s">
        <v>9255</v>
      </c>
      <c r="I877" s="13" t="s">
        <v>9256</v>
      </c>
      <c r="J877" s="5" t="s">
        <v>9257</v>
      </c>
      <c r="K877" s="5" t="s">
        <v>9258</v>
      </c>
      <c r="L877" s="13" t="s">
        <v>9259</v>
      </c>
      <c r="M877" s="13" t="s">
        <v>9260</v>
      </c>
      <c r="N877" s="5" t="n">
        <f aca="false">LEN(L877)</f>
        <v>25</v>
      </c>
      <c r="O877" s="5" t="n">
        <f aca="false">LEN(M877)</f>
        <v>25</v>
      </c>
      <c r="P877" s="14" t="n">
        <f aca="false">IF(N877=0,"",(N877-LEN(SUBSTITUTE(SUBSTITUTE(L877,"G",""),"C","")))/N877)</f>
        <v>0.44</v>
      </c>
      <c r="Q877" s="14" t="n">
        <f aca="false">IF(O877=0,"",(O877-LEN(SUBSTITUTE(SUBSTITUTE(M877,"G",""),"C","")))/O877)</f>
        <v>0.56</v>
      </c>
      <c r="R877" s="5" t="s">
        <v>978</v>
      </c>
      <c r="S877" s="15" t="s">
        <v>1677</v>
      </c>
      <c r="T877" s="5" t="n">
        <v>730</v>
      </c>
      <c r="U877" s="5" t="s">
        <v>1678</v>
      </c>
      <c r="V877" s="5" t="s">
        <v>588</v>
      </c>
      <c r="W877" s="5"/>
      <c r="X877" s="15" t="s">
        <v>1677</v>
      </c>
      <c r="Y877" s="5"/>
    </row>
    <row r="878" customFormat="false" ht="15" hidden="false" customHeight="false" outlineLevel="0" collapsed="false">
      <c r="A878" s="5" t="s">
        <v>9261</v>
      </c>
      <c r="B878" s="5" t="s">
        <v>972</v>
      </c>
      <c r="C878" s="5" t="s">
        <v>973</v>
      </c>
      <c r="D878" s="9" t="s">
        <v>66</v>
      </c>
      <c r="E878" s="5" t="n">
        <v>8</v>
      </c>
      <c r="F878" s="5" t="s">
        <v>9262</v>
      </c>
      <c r="G878" s="13" t="s">
        <v>9263</v>
      </c>
      <c r="H878" s="5" t="s">
        <v>9264</v>
      </c>
      <c r="I878" s="13" t="s">
        <v>9265</v>
      </c>
      <c r="J878" s="5" t="s">
        <v>9266</v>
      </c>
      <c r="K878" s="5" t="s">
        <v>9267</v>
      </c>
      <c r="L878" s="13" t="s">
        <v>9268</v>
      </c>
      <c r="M878" s="13" t="s">
        <v>9269</v>
      </c>
      <c r="N878" s="5" t="n">
        <f aca="false">LEN(L878)</f>
        <v>25</v>
      </c>
      <c r="O878" s="5" t="n">
        <f aca="false">LEN(M878)</f>
        <v>25</v>
      </c>
      <c r="P878" s="14" t="n">
        <f aca="false">IF(N878=0,"",(N878-LEN(SUBSTITUTE(SUBSTITUTE(L878,"G",""),"C","")))/N878)</f>
        <v>0.52</v>
      </c>
      <c r="Q878" s="14" t="n">
        <f aca="false">IF(O878=0,"",(O878-LEN(SUBSTITUTE(SUBSTITUTE(M878,"G",""),"C","")))/O878)</f>
        <v>0.6</v>
      </c>
      <c r="R878" s="5" t="s">
        <v>978</v>
      </c>
      <c r="S878" s="15" t="s">
        <v>1677</v>
      </c>
      <c r="T878" s="5" t="n">
        <v>803</v>
      </c>
      <c r="U878" s="5" t="s">
        <v>1678</v>
      </c>
      <c r="V878" s="5" t="s">
        <v>588</v>
      </c>
      <c r="W878" s="5"/>
      <c r="X878" s="8" t="s">
        <v>1769</v>
      </c>
      <c r="Y878" s="5"/>
    </row>
    <row r="879" customFormat="false" ht="15" hidden="false" customHeight="false" outlineLevel="0" collapsed="false">
      <c r="A879" s="5" t="s">
        <v>9270</v>
      </c>
      <c r="B879" s="5" t="s">
        <v>972</v>
      </c>
      <c r="C879" s="5" t="s">
        <v>973</v>
      </c>
      <c r="D879" s="9" t="s">
        <v>66</v>
      </c>
      <c r="E879" s="5" t="n">
        <v>9</v>
      </c>
      <c r="F879" s="5" t="s">
        <v>9271</v>
      </c>
      <c r="G879" s="13" t="s">
        <v>9272</v>
      </c>
      <c r="H879" s="5" t="s">
        <v>9273</v>
      </c>
      <c r="I879" s="13" t="s">
        <v>9274</v>
      </c>
      <c r="J879" s="5" t="s">
        <v>9275</v>
      </c>
      <c r="K879" s="5" t="s">
        <v>9276</v>
      </c>
      <c r="L879" s="13" t="s">
        <v>9277</v>
      </c>
      <c r="M879" s="13" t="s">
        <v>9278</v>
      </c>
      <c r="N879" s="5" t="n">
        <f aca="false">LEN(L879)</f>
        <v>25</v>
      </c>
      <c r="O879" s="5" t="n">
        <f aca="false">LEN(M879)</f>
        <v>25</v>
      </c>
      <c r="P879" s="14" t="n">
        <f aca="false">IF(N879=0,"",(N879-LEN(SUBSTITUTE(SUBSTITUTE(L879,"G",""),"C","")))/N879)</f>
        <v>0.68</v>
      </c>
      <c r="Q879" s="14" t="n">
        <f aca="false">IF(O879=0,"",(O879-LEN(SUBSTITUTE(SUBSTITUTE(M879,"G",""),"C","")))/O879)</f>
        <v>0.6</v>
      </c>
      <c r="R879" s="5" t="s">
        <v>978</v>
      </c>
      <c r="S879" s="15" t="s">
        <v>1677</v>
      </c>
      <c r="T879" s="5" t="n">
        <v>875</v>
      </c>
      <c r="U879" s="5" t="s">
        <v>1678</v>
      </c>
      <c r="V879" s="5" t="s">
        <v>588</v>
      </c>
      <c r="W879" s="5"/>
      <c r="X879" s="8" t="s">
        <v>2131</v>
      </c>
      <c r="Y879" s="5"/>
    </row>
    <row r="880" customFormat="false" ht="15" hidden="false" customHeight="false" outlineLevel="0" collapsed="false">
      <c r="A880" s="5" t="s">
        <v>9279</v>
      </c>
      <c r="B880" s="5" t="s">
        <v>972</v>
      </c>
      <c r="C880" s="5" t="s">
        <v>973</v>
      </c>
      <c r="D880" s="9" t="s">
        <v>66</v>
      </c>
      <c r="E880" s="5" t="n">
        <v>10</v>
      </c>
      <c r="F880" s="5" t="s">
        <v>9280</v>
      </c>
      <c r="G880" s="13" t="s">
        <v>9281</v>
      </c>
      <c r="H880" s="5" t="s">
        <v>9282</v>
      </c>
      <c r="I880" s="13" t="s">
        <v>9283</v>
      </c>
      <c r="J880" s="5" t="s">
        <v>9284</v>
      </c>
      <c r="K880" s="5" t="s">
        <v>9285</v>
      </c>
      <c r="L880" s="13" t="s">
        <v>9286</v>
      </c>
      <c r="M880" s="13" t="s">
        <v>9287</v>
      </c>
      <c r="N880" s="5" t="n">
        <f aca="false">LEN(L880)</f>
        <v>25</v>
      </c>
      <c r="O880" s="5" t="n">
        <f aca="false">LEN(M880)</f>
        <v>25</v>
      </c>
      <c r="P880" s="14" t="n">
        <f aca="false">IF(N880=0,"",(N880-LEN(SUBSTITUTE(SUBSTITUTE(L880,"G",""),"C","")))/N880)</f>
        <v>0.44</v>
      </c>
      <c r="Q880" s="14" t="n">
        <f aca="false">IF(O880=0,"",(O880-LEN(SUBSTITUTE(SUBSTITUTE(M880,"G",""),"C","")))/O880)</f>
        <v>0.56</v>
      </c>
      <c r="R880" s="5" t="s">
        <v>978</v>
      </c>
      <c r="S880" s="15" t="s">
        <v>1677</v>
      </c>
      <c r="T880" s="5" t="n">
        <v>949</v>
      </c>
      <c r="U880" s="5" t="s">
        <v>1678</v>
      </c>
      <c r="V880" s="5" t="s">
        <v>588</v>
      </c>
      <c r="W880" s="5"/>
      <c r="X880" s="15" t="s">
        <v>1677</v>
      </c>
      <c r="Y880" s="5"/>
    </row>
    <row r="881" customFormat="false" ht="15" hidden="false" customHeight="false" outlineLevel="0" collapsed="false">
      <c r="A881" s="5" t="s">
        <v>9288</v>
      </c>
      <c r="B881" s="5" t="s">
        <v>981</v>
      </c>
      <c r="C881" s="5" t="s">
        <v>982</v>
      </c>
      <c r="D881" s="9" t="s">
        <v>66</v>
      </c>
      <c r="E881" s="5" t="n">
        <v>1</v>
      </c>
      <c r="F881" s="5" t="s">
        <v>9289</v>
      </c>
      <c r="G881" s="13" t="s">
        <v>9290</v>
      </c>
      <c r="H881" s="5" t="s">
        <v>9291</v>
      </c>
      <c r="I881" s="13" t="s">
        <v>9292</v>
      </c>
      <c r="J881" s="5" t="s">
        <v>9293</v>
      </c>
      <c r="K881" s="5" t="s">
        <v>9294</v>
      </c>
      <c r="L881" s="13" t="s">
        <v>9295</v>
      </c>
      <c r="M881" s="13" t="s">
        <v>9296</v>
      </c>
      <c r="N881" s="5" t="n">
        <f aca="false">LEN(L881)</f>
        <v>25</v>
      </c>
      <c r="O881" s="5" t="n">
        <f aca="false">LEN(M881)</f>
        <v>25</v>
      </c>
      <c r="P881" s="14" t="n">
        <f aca="false">IF(N881=0,"",(N881-LEN(SUBSTITUTE(SUBSTITUTE(L881,"G",""),"C","")))/N881)</f>
        <v>0.76</v>
      </c>
      <c r="Q881" s="14" t="n">
        <f aca="false">IF(O881=0,"",(O881-LEN(SUBSTITUTE(SUBSTITUTE(M881,"G",""),"C","")))/O881)</f>
        <v>0.68</v>
      </c>
      <c r="R881" s="5" t="s">
        <v>986</v>
      </c>
      <c r="S881" s="15" t="s">
        <v>1677</v>
      </c>
      <c r="T881" s="5" t="n">
        <v>7</v>
      </c>
      <c r="U881" s="5" t="s">
        <v>1678</v>
      </c>
      <c r="V881" s="5" t="s">
        <v>588</v>
      </c>
      <c r="W881" s="5"/>
      <c r="X881" s="15" t="s">
        <v>1677</v>
      </c>
      <c r="Y881" s="5"/>
    </row>
    <row r="882" customFormat="false" ht="15" hidden="false" customHeight="false" outlineLevel="0" collapsed="false">
      <c r="A882" s="5" t="s">
        <v>9297</v>
      </c>
      <c r="B882" s="5" t="s">
        <v>981</v>
      </c>
      <c r="C882" s="5" t="s">
        <v>982</v>
      </c>
      <c r="D882" s="9" t="s">
        <v>66</v>
      </c>
      <c r="E882" s="5" t="n">
        <v>2</v>
      </c>
      <c r="F882" s="5" t="s">
        <v>9298</v>
      </c>
      <c r="G882" s="13" t="s">
        <v>9299</v>
      </c>
      <c r="H882" s="5" t="s">
        <v>9300</v>
      </c>
      <c r="I882" s="13" t="s">
        <v>9301</v>
      </c>
      <c r="J882" s="5" t="s">
        <v>9302</v>
      </c>
      <c r="K882" s="5" t="s">
        <v>9303</v>
      </c>
      <c r="L882" s="13" t="s">
        <v>9304</v>
      </c>
      <c r="M882" s="13" t="s">
        <v>9305</v>
      </c>
      <c r="N882" s="5" t="n">
        <f aca="false">LEN(L882)</f>
        <v>25</v>
      </c>
      <c r="O882" s="5" t="n">
        <f aca="false">LEN(M882)</f>
        <v>25</v>
      </c>
      <c r="P882" s="14" t="n">
        <f aca="false">IF(N882=0,"",(N882-LEN(SUBSTITUTE(SUBSTITUTE(L882,"G",""),"C","")))/N882)</f>
        <v>0.44</v>
      </c>
      <c r="Q882" s="14" t="n">
        <f aca="false">IF(O882=0,"",(O882-LEN(SUBSTITUTE(SUBSTITUTE(M882,"G",""),"C","")))/O882)</f>
        <v>0.32</v>
      </c>
      <c r="R882" s="5" t="s">
        <v>986</v>
      </c>
      <c r="S882" s="15" t="s">
        <v>1677</v>
      </c>
      <c r="T882" s="5" t="n">
        <v>136</v>
      </c>
      <c r="U882" s="5" t="s">
        <v>1678</v>
      </c>
      <c r="V882" s="5" t="s">
        <v>588</v>
      </c>
      <c r="W882" s="5"/>
      <c r="X882" s="8" t="s">
        <v>2131</v>
      </c>
      <c r="Y882" s="5"/>
    </row>
    <row r="883" customFormat="false" ht="15" hidden="false" customHeight="false" outlineLevel="0" collapsed="false">
      <c r="A883" s="5" t="s">
        <v>9306</v>
      </c>
      <c r="B883" s="5" t="s">
        <v>981</v>
      </c>
      <c r="C883" s="5" t="s">
        <v>982</v>
      </c>
      <c r="D883" s="9" t="s">
        <v>66</v>
      </c>
      <c r="E883" s="5" t="n">
        <v>3</v>
      </c>
      <c r="F883" s="5" t="s">
        <v>9307</v>
      </c>
      <c r="G883" s="13" t="s">
        <v>9308</v>
      </c>
      <c r="H883" s="5" t="s">
        <v>9309</v>
      </c>
      <c r="I883" s="13" t="s">
        <v>9310</v>
      </c>
      <c r="J883" s="5" t="s">
        <v>9311</v>
      </c>
      <c r="K883" s="5" t="s">
        <v>9312</v>
      </c>
      <c r="L883" s="13" t="s">
        <v>9313</v>
      </c>
      <c r="M883" s="13" t="s">
        <v>9314</v>
      </c>
      <c r="N883" s="5" t="n">
        <f aca="false">LEN(L883)</f>
        <v>25</v>
      </c>
      <c r="O883" s="5" t="n">
        <f aca="false">LEN(M883)</f>
        <v>25</v>
      </c>
      <c r="P883" s="14" t="n">
        <f aca="false">IF(N883=0,"",(N883-LEN(SUBSTITUTE(SUBSTITUTE(L883,"G",""),"C","")))/N883)</f>
        <v>0.32</v>
      </c>
      <c r="Q883" s="14" t="n">
        <f aca="false">IF(O883=0,"",(O883-LEN(SUBSTITUTE(SUBSTITUTE(M883,"G",""),"C","")))/O883)</f>
        <v>0.32</v>
      </c>
      <c r="R883" s="5" t="s">
        <v>986</v>
      </c>
      <c r="S883" s="15" t="s">
        <v>1677</v>
      </c>
      <c r="T883" s="5" t="n">
        <v>196</v>
      </c>
      <c r="U883" s="5" t="s">
        <v>1678</v>
      </c>
      <c r="V883" s="5" t="s">
        <v>588</v>
      </c>
      <c r="W883" s="5"/>
      <c r="X883" s="8" t="s">
        <v>2131</v>
      </c>
      <c r="Y883" s="5"/>
    </row>
    <row r="884" customFormat="false" ht="15" hidden="false" customHeight="false" outlineLevel="0" collapsed="false">
      <c r="A884" s="5" t="s">
        <v>9315</v>
      </c>
      <c r="B884" s="5" t="s">
        <v>989</v>
      </c>
      <c r="C884" s="5" t="s">
        <v>990</v>
      </c>
      <c r="D884" s="9" t="s">
        <v>66</v>
      </c>
      <c r="E884" s="5" t="n">
        <v>1</v>
      </c>
      <c r="F884" s="5" t="s">
        <v>9316</v>
      </c>
      <c r="G884" s="13" t="s">
        <v>9317</v>
      </c>
      <c r="H884" s="5" t="s">
        <v>9318</v>
      </c>
      <c r="I884" s="13" t="s">
        <v>9319</v>
      </c>
      <c r="J884" s="5" t="s">
        <v>9320</v>
      </c>
      <c r="K884" s="5" t="s">
        <v>9321</v>
      </c>
      <c r="L884" s="13" t="s">
        <v>9322</v>
      </c>
      <c r="M884" s="13" t="s">
        <v>9323</v>
      </c>
      <c r="N884" s="5" t="n">
        <f aca="false">LEN(L884)</f>
        <v>25</v>
      </c>
      <c r="O884" s="5" t="n">
        <f aca="false">LEN(M884)</f>
        <v>25</v>
      </c>
      <c r="P884" s="14" t="n">
        <f aca="false">IF(N884=0,"",(N884-LEN(SUBSTITUTE(SUBSTITUTE(L884,"G",""),"C","")))/N884)</f>
        <v>0.4</v>
      </c>
      <c r="Q884" s="14" t="n">
        <f aca="false">IF(O884=0,"",(O884-LEN(SUBSTITUTE(SUBSTITUTE(M884,"G",""),"C","")))/O884)</f>
        <v>0.44</v>
      </c>
      <c r="R884" s="5" t="s">
        <v>993</v>
      </c>
      <c r="S884" s="15" t="s">
        <v>1677</v>
      </c>
      <c r="T884" s="5" t="n">
        <v>12</v>
      </c>
      <c r="U884" s="5" t="s">
        <v>1678</v>
      </c>
      <c r="V884" s="5" t="s">
        <v>588</v>
      </c>
      <c r="W884" s="5"/>
      <c r="X884" s="8" t="s">
        <v>2131</v>
      </c>
      <c r="Y884" s="5"/>
    </row>
    <row r="885" customFormat="false" ht="15" hidden="false" customHeight="false" outlineLevel="0" collapsed="false">
      <c r="A885" s="5" t="s">
        <v>9324</v>
      </c>
      <c r="B885" s="5" t="s">
        <v>989</v>
      </c>
      <c r="C885" s="5" t="s">
        <v>990</v>
      </c>
      <c r="D885" s="9" t="s">
        <v>66</v>
      </c>
      <c r="E885" s="5" t="n">
        <v>2</v>
      </c>
      <c r="F885" s="5" t="s">
        <v>9325</v>
      </c>
      <c r="G885" s="13" t="s">
        <v>9326</v>
      </c>
      <c r="H885" s="5" t="s">
        <v>9327</v>
      </c>
      <c r="I885" s="13" t="s">
        <v>9328</v>
      </c>
      <c r="J885" s="5" t="s">
        <v>9329</v>
      </c>
      <c r="K885" s="5" t="s">
        <v>9330</v>
      </c>
      <c r="L885" s="13" t="s">
        <v>9331</v>
      </c>
      <c r="M885" s="13" t="s">
        <v>9332</v>
      </c>
      <c r="N885" s="5" t="n">
        <f aca="false">LEN(L885)</f>
        <v>25</v>
      </c>
      <c r="O885" s="5" t="n">
        <f aca="false">LEN(M885)</f>
        <v>25</v>
      </c>
      <c r="P885" s="14" t="n">
        <f aca="false">IF(N885=0,"",(N885-LEN(SUBSTITUTE(SUBSTITUTE(L885,"G",""),"C","")))/N885)</f>
        <v>0.6</v>
      </c>
      <c r="Q885" s="14" t="n">
        <f aca="false">IF(O885=0,"",(O885-LEN(SUBSTITUTE(SUBSTITUTE(M885,"G",""),"C","")))/O885)</f>
        <v>0.32</v>
      </c>
      <c r="R885" s="5" t="s">
        <v>993</v>
      </c>
      <c r="S885" s="15" t="s">
        <v>1677</v>
      </c>
      <c r="T885" s="5" t="n">
        <v>82</v>
      </c>
      <c r="U885" s="5" t="s">
        <v>1678</v>
      </c>
      <c r="V885" s="5" t="s">
        <v>588</v>
      </c>
      <c r="W885" s="5"/>
      <c r="X885" s="8" t="s">
        <v>2131</v>
      </c>
      <c r="Y885" s="5"/>
    </row>
    <row r="886" customFormat="false" ht="15" hidden="false" customHeight="false" outlineLevel="0" collapsed="false">
      <c r="A886" s="5" t="s">
        <v>9333</v>
      </c>
      <c r="B886" s="5" t="s">
        <v>989</v>
      </c>
      <c r="C886" s="5" t="s">
        <v>990</v>
      </c>
      <c r="D886" s="9" t="s">
        <v>66</v>
      </c>
      <c r="E886" s="5" t="n">
        <v>3</v>
      </c>
      <c r="F886" s="5" t="s">
        <v>9334</v>
      </c>
      <c r="G886" s="13" t="s">
        <v>9335</v>
      </c>
      <c r="H886" s="5" t="s">
        <v>9336</v>
      </c>
      <c r="I886" s="13" t="s">
        <v>9337</v>
      </c>
      <c r="J886" s="5" t="s">
        <v>9338</v>
      </c>
      <c r="K886" s="5" t="s">
        <v>9339</v>
      </c>
      <c r="L886" s="13" t="s">
        <v>9340</v>
      </c>
      <c r="M886" s="13" t="s">
        <v>9341</v>
      </c>
      <c r="N886" s="5" t="n">
        <f aca="false">LEN(L886)</f>
        <v>25</v>
      </c>
      <c r="O886" s="5" t="n">
        <f aca="false">LEN(M886)</f>
        <v>25</v>
      </c>
      <c r="P886" s="14" t="n">
        <f aca="false">IF(N886=0,"",(N886-LEN(SUBSTITUTE(SUBSTITUTE(L886,"G",""),"C","")))/N886)</f>
        <v>0.36</v>
      </c>
      <c r="Q886" s="14" t="n">
        <f aca="false">IF(O886=0,"",(O886-LEN(SUBSTITUTE(SUBSTITUTE(M886,"G",""),"C","")))/O886)</f>
        <v>0.44</v>
      </c>
      <c r="R886" s="5" t="s">
        <v>993</v>
      </c>
      <c r="S886" s="15" t="s">
        <v>1677</v>
      </c>
      <c r="T886" s="5" t="n">
        <v>152</v>
      </c>
      <c r="U886" s="5" t="s">
        <v>1678</v>
      </c>
      <c r="V886" s="5" t="s">
        <v>588</v>
      </c>
      <c r="W886" s="5"/>
      <c r="X886" s="8" t="s">
        <v>2131</v>
      </c>
      <c r="Y886" s="5"/>
    </row>
    <row r="887" customFormat="false" ht="15" hidden="false" customHeight="false" outlineLevel="0" collapsed="false">
      <c r="A887" s="5" t="s">
        <v>9342</v>
      </c>
      <c r="B887" s="5" t="s">
        <v>989</v>
      </c>
      <c r="C887" s="5" t="s">
        <v>990</v>
      </c>
      <c r="D887" s="9" t="s">
        <v>66</v>
      </c>
      <c r="E887" s="5" t="n">
        <v>4</v>
      </c>
      <c r="F887" s="5" t="s">
        <v>9343</v>
      </c>
      <c r="G887" s="13" t="s">
        <v>9344</v>
      </c>
      <c r="H887" s="5" t="s">
        <v>9345</v>
      </c>
      <c r="I887" s="13" t="s">
        <v>9346</v>
      </c>
      <c r="J887" s="5" t="s">
        <v>9347</v>
      </c>
      <c r="K887" s="5" t="s">
        <v>9348</v>
      </c>
      <c r="L887" s="13" t="s">
        <v>9349</v>
      </c>
      <c r="M887" s="13" t="s">
        <v>9350</v>
      </c>
      <c r="N887" s="5" t="n">
        <f aca="false">LEN(L887)</f>
        <v>25</v>
      </c>
      <c r="O887" s="5" t="n">
        <f aca="false">LEN(M887)</f>
        <v>25</v>
      </c>
      <c r="P887" s="14" t="n">
        <f aca="false">IF(N887=0,"",(N887-LEN(SUBSTITUTE(SUBSTITUTE(L887,"G",""),"C","")))/N887)</f>
        <v>0.76</v>
      </c>
      <c r="Q887" s="14" t="n">
        <f aca="false">IF(O887=0,"",(O887-LEN(SUBSTITUTE(SUBSTITUTE(M887,"G",""),"C","")))/O887)</f>
        <v>0.64</v>
      </c>
      <c r="R887" s="5" t="s">
        <v>993</v>
      </c>
      <c r="S887" s="15" t="s">
        <v>1677</v>
      </c>
      <c r="T887" s="5" t="n">
        <v>212</v>
      </c>
      <c r="U887" s="5" t="s">
        <v>1678</v>
      </c>
      <c r="V887" s="5" t="s">
        <v>588</v>
      </c>
      <c r="W887" s="5"/>
      <c r="X887" s="15" t="s">
        <v>1677</v>
      </c>
      <c r="Y887" s="5"/>
    </row>
    <row r="888" customFormat="false" ht="15" hidden="false" customHeight="false" outlineLevel="0" collapsed="false">
      <c r="A888" s="5" t="s">
        <v>9351</v>
      </c>
      <c r="B888" s="5" t="s">
        <v>989</v>
      </c>
      <c r="C888" s="5" t="s">
        <v>990</v>
      </c>
      <c r="D888" s="9" t="s">
        <v>66</v>
      </c>
      <c r="E888" s="5" t="n">
        <v>5</v>
      </c>
      <c r="F888" s="5" t="s">
        <v>9352</v>
      </c>
      <c r="G888" s="13" t="s">
        <v>9353</v>
      </c>
      <c r="H888" s="5" t="s">
        <v>9354</v>
      </c>
      <c r="I888" s="13" t="s">
        <v>9355</v>
      </c>
      <c r="J888" s="5" t="s">
        <v>9356</v>
      </c>
      <c r="K888" s="5" t="s">
        <v>9357</v>
      </c>
      <c r="L888" s="13" t="s">
        <v>9358</v>
      </c>
      <c r="M888" s="13" t="s">
        <v>9359</v>
      </c>
      <c r="N888" s="5" t="n">
        <f aca="false">LEN(L888)</f>
        <v>25</v>
      </c>
      <c r="O888" s="5" t="n">
        <f aca="false">LEN(M888)</f>
        <v>25</v>
      </c>
      <c r="P888" s="14" t="n">
        <f aca="false">IF(N888=0,"",(N888-LEN(SUBSTITUTE(SUBSTITUTE(L888,"G",""),"C","")))/N888)</f>
        <v>0.64</v>
      </c>
      <c r="Q888" s="14" t="n">
        <f aca="false">IF(O888=0,"",(O888-LEN(SUBSTITUTE(SUBSTITUTE(M888,"G",""),"C","")))/O888)</f>
        <v>0.44</v>
      </c>
      <c r="R888" s="5" t="s">
        <v>993</v>
      </c>
      <c r="S888" s="15" t="s">
        <v>1677</v>
      </c>
      <c r="T888" s="5" t="n">
        <v>446</v>
      </c>
      <c r="U888" s="5" t="s">
        <v>1678</v>
      </c>
      <c r="V888" s="5" t="s">
        <v>588</v>
      </c>
      <c r="W888" s="5"/>
      <c r="X888" s="8" t="s">
        <v>2131</v>
      </c>
      <c r="Y888" s="5"/>
    </row>
    <row r="889" customFormat="false" ht="15" hidden="false" customHeight="false" outlineLevel="0" collapsed="false">
      <c r="A889" s="5" t="s">
        <v>9360</v>
      </c>
      <c r="B889" s="5" t="s">
        <v>989</v>
      </c>
      <c r="C889" s="5" t="s">
        <v>990</v>
      </c>
      <c r="D889" s="9" t="s">
        <v>66</v>
      </c>
      <c r="E889" s="5" t="n">
        <v>6</v>
      </c>
      <c r="F889" s="5" t="s">
        <v>9361</v>
      </c>
      <c r="G889" s="13" t="s">
        <v>9362</v>
      </c>
      <c r="H889" s="5" t="s">
        <v>9363</v>
      </c>
      <c r="I889" s="13" t="s">
        <v>9364</v>
      </c>
      <c r="J889" s="5" t="s">
        <v>9365</v>
      </c>
      <c r="K889" s="5" t="s">
        <v>9366</v>
      </c>
      <c r="L889" s="13" t="s">
        <v>9367</v>
      </c>
      <c r="M889" s="13" t="s">
        <v>9368</v>
      </c>
      <c r="N889" s="5" t="n">
        <f aca="false">LEN(L889)</f>
        <v>25</v>
      </c>
      <c r="O889" s="5" t="n">
        <f aca="false">LEN(M889)</f>
        <v>25</v>
      </c>
      <c r="P889" s="14" t="n">
        <f aca="false">IF(N889=0,"",(N889-LEN(SUBSTITUTE(SUBSTITUTE(L889,"G",""),"C","")))/N889)</f>
        <v>0.4</v>
      </c>
      <c r="Q889" s="14" t="n">
        <f aca="false">IF(O889=0,"",(O889-LEN(SUBSTITUTE(SUBSTITUTE(M889,"G",""),"C","")))/O889)</f>
        <v>0.44</v>
      </c>
      <c r="R889" s="5" t="s">
        <v>993</v>
      </c>
      <c r="S889" s="15" t="s">
        <v>1677</v>
      </c>
      <c r="T889" s="5" t="n">
        <v>509</v>
      </c>
      <c r="U889" s="5" t="s">
        <v>1678</v>
      </c>
      <c r="V889" s="5" t="s">
        <v>588</v>
      </c>
      <c r="W889" s="5"/>
      <c r="X889" s="8" t="s">
        <v>2131</v>
      </c>
      <c r="Y889" s="5"/>
    </row>
    <row r="890" customFormat="false" ht="15" hidden="false" customHeight="false" outlineLevel="0" collapsed="false">
      <c r="A890" s="5" t="s">
        <v>9369</v>
      </c>
      <c r="B890" s="5" t="s">
        <v>989</v>
      </c>
      <c r="C890" s="5" t="s">
        <v>990</v>
      </c>
      <c r="D890" s="9" t="s">
        <v>66</v>
      </c>
      <c r="E890" s="5" t="n">
        <v>7</v>
      </c>
      <c r="F890" s="5" t="s">
        <v>9370</v>
      </c>
      <c r="G890" s="13" t="s">
        <v>9371</v>
      </c>
      <c r="H890" s="5" t="s">
        <v>9372</v>
      </c>
      <c r="I890" s="13" t="s">
        <v>9373</v>
      </c>
      <c r="J890" s="5" t="s">
        <v>9374</v>
      </c>
      <c r="K890" s="5" t="s">
        <v>9375</v>
      </c>
      <c r="L890" s="13" t="s">
        <v>9376</v>
      </c>
      <c r="M890" s="13" t="s">
        <v>9377</v>
      </c>
      <c r="N890" s="5" t="n">
        <f aca="false">LEN(L890)</f>
        <v>25</v>
      </c>
      <c r="O890" s="5" t="n">
        <f aca="false">LEN(M890)</f>
        <v>25</v>
      </c>
      <c r="P890" s="14" t="n">
        <f aca="false">IF(N890=0,"",(N890-LEN(SUBSTITUTE(SUBSTITUTE(L890,"G",""),"C","")))/N890)</f>
        <v>0.84</v>
      </c>
      <c r="Q890" s="14" t="n">
        <f aca="false">IF(O890=0,"",(O890-LEN(SUBSTITUTE(SUBSTITUTE(M890,"G",""),"C","")))/O890)</f>
        <v>0.68</v>
      </c>
      <c r="R890" s="5" t="s">
        <v>993</v>
      </c>
      <c r="S890" s="15" t="s">
        <v>1677</v>
      </c>
      <c r="T890" s="5" t="n">
        <v>1405</v>
      </c>
      <c r="U890" s="5" t="s">
        <v>1678</v>
      </c>
      <c r="V890" s="5" t="s">
        <v>588</v>
      </c>
      <c r="W890" s="5"/>
      <c r="X890" s="8" t="s">
        <v>2131</v>
      </c>
      <c r="Y890" s="5"/>
    </row>
    <row r="891" customFormat="false" ht="15" hidden="false" customHeight="false" outlineLevel="0" collapsed="false">
      <c r="A891" s="5" t="s">
        <v>9378</v>
      </c>
      <c r="B891" s="5" t="s">
        <v>989</v>
      </c>
      <c r="C891" s="5" t="s">
        <v>990</v>
      </c>
      <c r="D891" s="9" t="s">
        <v>66</v>
      </c>
      <c r="E891" s="5" t="n">
        <v>8</v>
      </c>
      <c r="F891" s="5" t="s">
        <v>9379</v>
      </c>
      <c r="G891" s="13" t="s">
        <v>9380</v>
      </c>
      <c r="H891" s="5" t="s">
        <v>9381</v>
      </c>
      <c r="I891" s="13" t="s">
        <v>9382</v>
      </c>
      <c r="J891" s="5" t="s">
        <v>9383</v>
      </c>
      <c r="K891" s="5" t="s">
        <v>9384</v>
      </c>
      <c r="L891" s="13" t="s">
        <v>9385</v>
      </c>
      <c r="M891" s="13" t="s">
        <v>9386</v>
      </c>
      <c r="N891" s="5" t="n">
        <f aca="false">LEN(L891)</f>
        <v>25</v>
      </c>
      <c r="O891" s="5" t="n">
        <f aca="false">LEN(M891)</f>
        <v>25</v>
      </c>
      <c r="P891" s="14" t="n">
        <f aca="false">IF(N891=0,"",(N891-LEN(SUBSTITUTE(SUBSTITUTE(L891,"G",""),"C","")))/N891)</f>
        <v>0.4</v>
      </c>
      <c r="Q891" s="14" t="n">
        <f aca="false">IF(O891=0,"",(O891-LEN(SUBSTITUTE(SUBSTITUTE(M891,"G",""),"C","")))/O891)</f>
        <v>0.24</v>
      </c>
      <c r="R891" s="5" t="s">
        <v>993</v>
      </c>
      <c r="S891" s="15" t="s">
        <v>1677</v>
      </c>
      <c r="T891" s="5" t="n">
        <v>1476</v>
      </c>
      <c r="U891" s="5" t="s">
        <v>1678</v>
      </c>
      <c r="V891" s="5" t="s">
        <v>588</v>
      </c>
      <c r="W891" s="5"/>
      <c r="X891" s="8" t="s">
        <v>2131</v>
      </c>
      <c r="Y891" s="5"/>
    </row>
    <row r="892" customFormat="false" ht="15" hidden="false" customHeight="false" outlineLevel="0" collapsed="false">
      <c r="A892" s="5" t="s">
        <v>9387</v>
      </c>
      <c r="B892" s="5" t="s">
        <v>989</v>
      </c>
      <c r="C892" s="5" t="s">
        <v>990</v>
      </c>
      <c r="D892" s="9" t="s">
        <v>66</v>
      </c>
      <c r="E892" s="5" t="n">
        <v>9</v>
      </c>
      <c r="F892" s="5" t="s">
        <v>9388</v>
      </c>
      <c r="G892" s="13" t="s">
        <v>9389</v>
      </c>
      <c r="H892" s="5" t="s">
        <v>9390</v>
      </c>
      <c r="I892" s="13" t="s">
        <v>9391</v>
      </c>
      <c r="J892" s="5" t="s">
        <v>9392</v>
      </c>
      <c r="K892" s="5" t="s">
        <v>9393</v>
      </c>
      <c r="L892" s="13" t="s">
        <v>9394</v>
      </c>
      <c r="M892" s="13" t="s">
        <v>9395</v>
      </c>
      <c r="N892" s="5" t="n">
        <f aca="false">LEN(L892)</f>
        <v>25</v>
      </c>
      <c r="O892" s="5" t="n">
        <f aca="false">LEN(M892)</f>
        <v>25</v>
      </c>
      <c r="P892" s="14" t="n">
        <f aca="false">IF(N892=0,"",(N892-LEN(SUBSTITUTE(SUBSTITUTE(L892,"G",""),"C","")))/N892)</f>
        <v>0.44</v>
      </c>
      <c r="Q892" s="14" t="n">
        <f aca="false">IF(O892=0,"",(O892-LEN(SUBSTITUTE(SUBSTITUTE(M892,"G",""),"C","")))/O892)</f>
        <v>0.32</v>
      </c>
      <c r="R892" s="5" t="s">
        <v>993</v>
      </c>
      <c r="S892" s="15" t="s">
        <v>1677</v>
      </c>
      <c r="T892" s="5" t="n">
        <v>1546</v>
      </c>
      <c r="U892" s="5" t="s">
        <v>1678</v>
      </c>
      <c r="V892" s="5" t="s">
        <v>588</v>
      </c>
      <c r="W892" s="5"/>
      <c r="X892" s="8" t="s">
        <v>2131</v>
      </c>
      <c r="Y892" s="5"/>
    </row>
    <row r="893" customFormat="false" ht="15" hidden="false" customHeight="false" outlineLevel="0" collapsed="false">
      <c r="A893" s="5" t="s">
        <v>9396</v>
      </c>
      <c r="B893" s="5" t="s">
        <v>989</v>
      </c>
      <c r="C893" s="5" t="s">
        <v>990</v>
      </c>
      <c r="D893" s="9" t="s">
        <v>66</v>
      </c>
      <c r="E893" s="5" t="n">
        <v>10</v>
      </c>
      <c r="F893" s="5" t="s">
        <v>9397</v>
      </c>
      <c r="G893" s="13" t="s">
        <v>9398</v>
      </c>
      <c r="H893" s="5" t="s">
        <v>9399</v>
      </c>
      <c r="I893" s="13" t="s">
        <v>9400</v>
      </c>
      <c r="J893" s="5" t="s">
        <v>9401</v>
      </c>
      <c r="K893" s="5" t="s">
        <v>9402</v>
      </c>
      <c r="L893" s="13" t="s">
        <v>9403</v>
      </c>
      <c r="M893" s="13" t="s">
        <v>9404</v>
      </c>
      <c r="N893" s="5" t="n">
        <f aca="false">LEN(L893)</f>
        <v>25</v>
      </c>
      <c r="O893" s="5" t="n">
        <f aca="false">LEN(M893)</f>
        <v>25</v>
      </c>
      <c r="P893" s="14" t="n">
        <f aca="false">IF(N893=0,"",(N893-LEN(SUBSTITUTE(SUBSTITUTE(L893,"G",""),"C","")))/N893)</f>
        <v>0.24</v>
      </c>
      <c r="Q893" s="14" t="n">
        <f aca="false">IF(O893=0,"",(O893-LEN(SUBSTITUTE(SUBSTITUTE(M893,"G",""),"C","")))/O893)</f>
        <v>0.08</v>
      </c>
      <c r="R893" s="5" t="s">
        <v>993</v>
      </c>
      <c r="S893" s="15" t="s">
        <v>1677</v>
      </c>
      <c r="T893" s="5" t="n">
        <v>1617</v>
      </c>
      <c r="U893" s="5" t="s">
        <v>1678</v>
      </c>
      <c r="V893" s="5" t="s">
        <v>588</v>
      </c>
      <c r="W893" s="5"/>
      <c r="X893" s="8" t="s">
        <v>2131</v>
      </c>
      <c r="Y893" s="5"/>
    </row>
    <row r="894" customFormat="false" ht="15" hidden="false" customHeight="false" outlineLevel="0" collapsed="false">
      <c r="A894" s="5" t="s">
        <v>9405</v>
      </c>
      <c r="B894" s="5" t="s">
        <v>995</v>
      </c>
      <c r="C894" s="5" t="s">
        <v>996</v>
      </c>
      <c r="D894" s="9" t="s">
        <v>66</v>
      </c>
      <c r="E894" s="5" t="n">
        <v>1</v>
      </c>
      <c r="F894" s="5" t="s">
        <v>9406</v>
      </c>
      <c r="G894" s="13" t="s">
        <v>9407</v>
      </c>
      <c r="H894" s="5" t="s">
        <v>9408</v>
      </c>
      <c r="I894" s="13" t="s">
        <v>9409</v>
      </c>
      <c r="J894" s="5" t="s">
        <v>9410</v>
      </c>
      <c r="K894" s="5" t="s">
        <v>9411</v>
      </c>
      <c r="L894" s="13" t="s">
        <v>9412</v>
      </c>
      <c r="M894" s="13" t="s">
        <v>9413</v>
      </c>
      <c r="N894" s="5" t="n">
        <f aca="false">LEN(L894)</f>
        <v>25</v>
      </c>
      <c r="O894" s="5" t="n">
        <f aca="false">LEN(M894)</f>
        <v>25</v>
      </c>
      <c r="P894" s="14" t="n">
        <f aca="false">IF(N894=0,"",(N894-LEN(SUBSTITUTE(SUBSTITUTE(L894,"G",""),"C","")))/N894)</f>
        <v>0.68</v>
      </c>
      <c r="Q894" s="14" t="n">
        <f aca="false">IF(O894=0,"",(O894-LEN(SUBSTITUTE(SUBSTITUTE(M894,"G",""),"C","")))/O894)</f>
        <v>0.88</v>
      </c>
      <c r="R894" s="5" t="s">
        <v>1000</v>
      </c>
      <c r="S894" s="15" t="s">
        <v>1677</v>
      </c>
      <c r="T894" s="5" t="n">
        <v>78</v>
      </c>
      <c r="U894" s="5" t="s">
        <v>1678</v>
      </c>
      <c r="V894" s="5" t="s">
        <v>588</v>
      </c>
      <c r="W894" s="5"/>
      <c r="X894" s="15" t="s">
        <v>1677</v>
      </c>
      <c r="Y894" s="5"/>
    </row>
    <row r="895" customFormat="false" ht="15" hidden="false" customHeight="false" outlineLevel="0" collapsed="false">
      <c r="A895" s="5" t="s">
        <v>9414</v>
      </c>
      <c r="B895" s="5" t="s">
        <v>995</v>
      </c>
      <c r="C895" s="5" t="s">
        <v>996</v>
      </c>
      <c r="D895" s="9" t="s">
        <v>66</v>
      </c>
      <c r="E895" s="5" t="n">
        <v>2</v>
      </c>
      <c r="F895" s="5" t="s">
        <v>9415</v>
      </c>
      <c r="G895" s="13" t="s">
        <v>9416</v>
      </c>
      <c r="H895" s="5" t="s">
        <v>9417</v>
      </c>
      <c r="I895" s="13" t="s">
        <v>9418</v>
      </c>
      <c r="J895" s="5" t="s">
        <v>9419</v>
      </c>
      <c r="K895" s="5" t="s">
        <v>9420</v>
      </c>
      <c r="L895" s="13" t="s">
        <v>9421</v>
      </c>
      <c r="M895" s="13" t="s">
        <v>9422</v>
      </c>
      <c r="N895" s="5" t="n">
        <f aca="false">LEN(L895)</f>
        <v>25</v>
      </c>
      <c r="O895" s="5" t="n">
        <f aca="false">LEN(M895)</f>
        <v>25</v>
      </c>
      <c r="P895" s="14" t="n">
        <f aca="false">IF(N895=0,"",(N895-LEN(SUBSTITUTE(SUBSTITUTE(L895,"G",""),"C","")))/N895)</f>
        <v>0.76</v>
      </c>
      <c r="Q895" s="14" t="n">
        <f aca="false">IF(O895=0,"",(O895-LEN(SUBSTITUTE(SUBSTITUTE(M895,"G",""),"C","")))/O895)</f>
        <v>0.8</v>
      </c>
      <c r="R895" s="5" t="s">
        <v>1000</v>
      </c>
      <c r="S895" s="15" t="s">
        <v>1677</v>
      </c>
      <c r="T895" s="5" t="n">
        <v>203</v>
      </c>
      <c r="U895" s="5" t="s">
        <v>1678</v>
      </c>
      <c r="V895" s="5" t="s">
        <v>588</v>
      </c>
      <c r="W895" s="5"/>
      <c r="X895" s="15" t="s">
        <v>1677</v>
      </c>
      <c r="Y895" s="5"/>
    </row>
    <row r="896" customFormat="false" ht="15" hidden="false" customHeight="false" outlineLevel="0" collapsed="false">
      <c r="A896" s="5" t="s">
        <v>9423</v>
      </c>
      <c r="B896" s="5" t="s">
        <v>995</v>
      </c>
      <c r="C896" s="5" t="s">
        <v>996</v>
      </c>
      <c r="D896" s="9" t="s">
        <v>66</v>
      </c>
      <c r="E896" s="5" t="n">
        <v>3</v>
      </c>
      <c r="F896" s="5" t="s">
        <v>9424</v>
      </c>
      <c r="G896" s="13" t="s">
        <v>9425</v>
      </c>
      <c r="H896" s="5" t="s">
        <v>9426</v>
      </c>
      <c r="I896" s="13" t="s">
        <v>9427</v>
      </c>
      <c r="J896" s="5" t="s">
        <v>9428</v>
      </c>
      <c r="K896" s="5" t="s">
        <v>9429</v>
      </c>
      <c r="L896" s="13" t="s">
        <v>9430</v>
      </c>
      <c r="M896" s="13" t="s">
        <v>9431</v>
      </c>
      <c r="N896" s="5" t="n">
        <f aca="false">LEN(L896)</f>
        <v>25</v>
      </c>
      <c r="O896" s="5" t="n">
        <f aca="false">LEN(M896)</f>
        <v>25</v>
      </c>
      <c r="P896" s="14" t="n">
        <f aca="false">IF(N896=0,"",(N896-LEN(SUBSTITUTE(SUBSTITUTE(L896,"G",""),"C","")))/N896)</f>
        <v>0.84</v>
      </c>
      <c r="Q896" s="14" t="n">
        <f aca="false">IF(O896=0,"",(O896-LEN(SUBSTITUTE(SUBSTITUTE(M896,"G",""),"C","")))/O896)</f>
        <v>0.8</v>
      </c>
      <c r="R896" s="5" t="s">
        <v>1000</v>
      </c>
      <c r="S896" s="15" t="s">
        <v>1677</v>
      </c>
      <c r="T896" s="5" t="n">
        <v>334</v>
      </c>
      <c r="U896" s="5" t="s">
        <v>1678</v>
      </c>
      <c r="V896" s="5" t="s">
        <v>588</v>
      </c>
      <c r="W896" s="5"/>
      <c r="X896" s="15" t="s">
        <v>1677</v>
      </c>
      <c r="Y896" s="5"/>
    </row>
    <row r="897" customFormat="false" ht="15" hidden="false" customHeight="false" outlineLevel="0" collapsed="false">
      <c r="A897" s="5" t="s">
        <v>9432</v>
      </c>
      <c r="B897" s="5" t="s">
        <v>995</v>
      </c>
      <c r="C897" s="5" t="s">
        <v>996</v>
      </c>
      <c r="D897" s="9" t="s">
        <v>66</v>
      </c>
      <c r="E897" s="5" t="n">
        <v>4</v>
      </c>
      <c r="F897" s="5" t="s">
        <v>9433</v>
      </c>
      <c r="G897" s="13" t="s">
        <v>9434</v>
      </c>
      <c r="H897" s="5" t="s">
        <v>9435</v>
      </c>
      <c r="I897" s="13" t="s">
        <v>9436</v>
      </c>
      <c r="J897" s="5" t="s">
        <v>9437</v>
      </c>
      <c r="K897" s="5" t="s">
        <v>9438</v>
      </c>
      <c r="L897" s="13" t="s">
        <v>9439</v>
      </c>
      <c r="M897" s="13" t="s">
        <v>9440</v>
      </c>
      <c r="N897" s="5" t="n">
        <f aca="false">LEN(L897)</f>
        <v>25</v>
      </c>
      <c r="O897" s="5" t="n">
        <f aca="false">LEN(M897)</f>
        <v>25</v>
      </c>
      <c r="P897" s="14" t="n">
        <f aca="false">IF(N897=0,"",(N897-LEN(SUBSTITUTE(SUBSTITUTE(L897,"G",""),"C","")))/N897)</f>
        <v>0.6</v>
      </c>
      <c r="Q897" s="14" t="n">
        <f aca="false">IF(O897=0,"",(O897-LEN(SUBSTITUTE(SUBSTITUTE(M897,"G",""),"C","")))/O897)</f>
        <v>0.68</v>
      </c>
      <c r="R897" s="5" t="s">
        <v>1000</v>
      </c>
      <c r="S897" s="15" t="s">
        <v>1677</v>
      </c>
      <c r="T897" s="5" t="n">
        <v>467</v>
      </c>
      <c r="U897" s="5" t="s">
        <v>1678</v>
      </c>
      <c r="V897" s="5" t="s">
        <v>588</v>
      </c>
      <c r="W897" s="5"/>
      <c r="X897" s="15" t="s">
        <v>1677</v>
      </c>
      <c r="Y897" s="5"/>
    </row>
    <row r="898" customFormat="false" ht="15" hidden="false" customHeight="false" outlineLevel="0" collapsed="false">
      <c r="A898" s="5" t="s">
        <v>9441</v>
      </c>
      <c r="B898" s="5" t="s">
        <v>995</v>
      </c>
      <c r="C898" s="5" t="s">
        <v>996</v>
      </c>
      <c r="D898" s="9" t="s">
        <v>66</v>
      </c>
      <c r="E898" s="5" t="n">
        <v>5</v>
      </c>
      <c r="F898" s="5" t="s">
        <v>9442</v>
      </c>
      <c r="G898" s="13" t="s">
        <v>9443</v>
      </c>
      <c r="H898" s="5" t="s">
        <v>9444</v>
      </c>
      <c r="I898" s="13" t="s">
        <v>9445</v>
      </c>
      <c r="J898" s="5" t="s">
        <v>9446</v>
      </c>
      <c r="K898" s="5" t="s">
        <v>9447</v>
      </c>
      <c r="L898" s="13" t="s">
        <v>9448</v>
      </c>
      <c r="M898" s="13" t="s">
        <v>9449</v>
      </c>
      <c r="N898" s="5" t="n">
        <f aca="false">LEN(L898)</f>
        <v>25</v>
      </c>
      <c r="O898" s="5" t="n">
        <f aca="false">LEN(M898)</f>
        <v>25</v>
      </c>
      <c r="P898" s="14" t="n">
        <f aca="false">IF(N898=0,"",(N898-LEN(SUBSTITUTE(SUBSTITUTE(L898,"G",""),"C","")))/N898)</f>
        <v>0.48</v>
      </c>
      <c r="Q898" s="14" t="n">
        <f aca="false">IF(O898=0,"",(O898-LEN(SUBSTITUTE(SUBSTITUTE(M898,"G",""),"C","")))/O898)</f>
        <v>0.56</v>
      </c>
      <c r="R898" s="5" t="s">
        <v>1000</v>
      </c>
      <c r="S898" s="15" t="s">
        <v>1677</v>
      </c>
      <c r="T898" s="5" t="n">
        <v>601</v>
      </c>
      <c r="U898" s="5" t="s">
        <v>1678</v>
      </c>
      <c r="V898" s="5" t="s">
        <v>588</v>
      </c>
      <c r="W898" s="5"/>
      <c r="X898" s="15" t="s">
        <v>1677</v>
      </c>
      <c r="Y898" s="5"/>
    </row>
    <row r="899" customFormat="false" ht="15" hidden="false" customHeight="false" outlineLevel="0" collapsed="false">
      <c r="A899" s="5" t="s">
        <v>9450</v>
      </c>
      <c r="B899" s="5" t="s">
        <v>995</v>
      </c>
      <c r="C899" s="5" t="s">
        <v>996</v>
      </c>
      <c r="D899" s="9" t="s">
        <v>66</v>
      </c>
      <c r="E899" s="5" t="n">
        <v>6</v>
      </c>
      <c r="F899" s="5" t="s">
        <v>9451</v>
      </c>
      <c r="G899" s="13" t="s">
        <v>9452</v>
      </c>
      <c r="H899" s="5" t="s">
        <v>9453</v>
      </c>
      <c r="I899" s="13" t="s">
        <v>9454</v>
      </c>
      <c r="J899" s="5" t="s">
        <v>9455</v>
      </c>
      <c r="K899" s="5" t="s">
        <v>9456</v>
      </c>
      <c r="L899" s="13" t="s">
        <v>9457</v>
      </c>
      <c r="M899" s="13" t="s">
        <v>9458</v>
      </c>
      <c r="N899" s="5" t="n">
        <f aca="false">LEN(L899)</f>
        <v>25</v>
      </c>
      <c r="O899" s="5" t="n">
        <f aca="false">LEN(M899)</f>
        <v>25</v>
      </c>
      <c r="P899" s="14" t="n">
        <f aca="false">IF(N899=0,"",(N899-LEN(SUBSTITUTE(SUBSTITUTE(L899,"G",""),"C","")))/N899)</f>
        <v>0.48</v>
      </c>
      <c r="Q899" s="14" t="n">
        <f aca="false">IF(O899=0,"",(O899-LEN(SUBSTITUTE(SUBSTITUTE(M899,"G",""),"C","")))/O899)</f>
        <v>0.56</v>
      </c>
      <c r="R899" s="5" t="s">
        <v>1000</v>
      </c>
      <c r="S899" s="15" t="s">
        <v>1677</v>
      </c>
      <c r="T899" s="5" t="n">
        <v>732</v>
      </c>
      <c r="U899" s="5" t="s">
        <v>1678</v>
      </c>
      <c r="V899" s="5" t="s">
        <v>588</v>
      </c>
      <c r="W899" s="5"/>
      <c r="X899" s="8" t="s">
        <v>1769</v>
      </c>
      <c r="Y899" s="5"/>
    </row>
    <row r="900" customFormat="false" ht="15" hidden="false" customHeight="false" outlineLevel="0" collapsed="false">
      <c r="A900" s="5" t="s">
        <v>9459</v>
      </c>
      <c r="B900" s="5" t="s">
        <v>1004</v>
      </c>
      <c r="C900" s="5" t="s">
        <v>1005</v>
      </c>
      <c r="D900" s="9" t="s">
        <v>66</v>
      </c>
      <c r="E900" s="5" t="n">
        <v>1</v>
      </c>
      <c r="F900" s="5" t="s">
        <v>9460</v>
      </c>
      <c r="G900" s="13" t="s">
        <v>9461</v>
      </c>
      <c r="H900" s="5" t="s">
        <v>9462</v>
      </c>
      <c r="I900" s="13" t="s">
        <v>9463</v>
      </c>
      <c r="J900" s="5" t="s">
        <v>9464</v>
      </c>
      <c r="K900" s="5" t="s">
        <v>9465</v>
      </c>
      <c r="L900" s="13" t="s">
        <v>9466</v>
      </c>
      <c r="M900" s="13" t="s">
        <v>9467</v>
      </c>
      <c r="N900" s="5" t="n">
        <f aca="false">LEN(L900)</f>
        <v>25</v>
      </c>
      <c r="O900" s="5" t="n">
        <f aca="false">LEN(M900)</f>
        <v>25</v>
      </c>
      <c r="P900" s="14" t="n">
        <f aca="false">IF(N900=0,"",(N900-LEN(SUBSTITUTE(SUBSTITUTE(L900,"G",""),"C","")))/N900)</f>
        <v>0.4</v>
      </c>
      <c r="Q900" s="14" t="n">
        <f aca="false">IF(O900=0,"",(O900-LEN(SUBSTITUTE(SUBSTITUTE(M900,"G",""),"C","")))/O900)</f>
        <v>0.44</v>
      </c>
      <c r="R900" s="5" t="s">
        <v>1009</v>
      </c>
      <c r="S900" s="15" t="s">
        <v>1677</v>
      </c>
      <c r="T900" s="5" t="n">
        <v>1</v>
      </c>
      <c r="U900" s="5" t="s">
        <v>1678</v>
      </c>
      <c r="V900" s="5" t="s">
        <v>500</v>
      </c>
      <c r="W900" s="5" t="s">
        <v>5150</v>
      </c>
      <c r="X900" s="15" t="s">
        <v>1677</v>
      </c>
      <c r="Y900" s="5"/>
    </row>
    <row r="901" customFormat="false" ht="15" hidden="false" customHeight="false" outlineLevel="0" collapsed="false">
      <c r="A901" s="5" t="s">
        <v>9468</v>
      </c>
      <c r="B901" s="5" t="s">
        <v>1004</v>
      </c>
      <c r="C901" s="5" t="s">
        <v>1005</v>
      </c>
      <c r="D901" s="9" t="s">
        <v>66</v>
      </c>
      <c r="E901" s="5" t="n">
        <v>2</v>
      </c>
      <c r="F901" s="5" t="s">
        <v>9469</v>
      </c>
      <c r="G901" s="13" t="s">
        <v>9470</v>
      </c>
      <c r="H901" s="5" t="s">
        <v>9471</v>
      </c>
      <c r="I901" s="13" t="s">
        <v>9472</v>
      </c>
      <c r="J901" s="5" t="s">
        <v>9473</v>
      </c>
      <c r="K901" s="5" t="s">
        <v>9474</v>
      </c>
      <c r="L901" s="13" t="s">
        <v>9475</v>
      </c>
      <c r="M901" s="13" t="s">
        <v>9476</v>
      </c>
      <c r="N901" s="5" t="n">
        <f aca="false">LEN(L901)</f>
        <v>25</v>
      </c>
      <c r="O901" s="5" t="n">
        <f aca="false">LEN(M901)</f>
        <v>25</v>
      </c>
      <c r="P901" s="14" t="n">
        <f aca="false">IF(N901=0,"",(N901-LEN(SUBSTITUTE(SUBSTITUTE(L901,"G",""),"C","")))/N901)</f>
        <v>0.72</v>
      </c>
      <c r="Q901" s="14" t="n">
        <f aca="false">IF(O901=0,"",(O901-LEN(SUBSTITUTE(SUBSTITUTE(M901,"G",""),"C","")))/O901)</f>
        <v>0.48</v>
      </c>
      <c r="R901" s="5" t="s">
        <v>1009</v>
      </c>
      <c r="S901" s="15" t="s">
        <v>1677</v>
      </c>
      <c r="T901" s="5" t="n">
        <v>81</v>
      </c>
      <c r="U901" s="5" t="s">
        <v>1678</v>
      </c>
      <c r="V901" s="5" t="s">
        <v>500</v>
      </c>
      <c r="W901" s="5" t="s">
        <v>5150</v>
      </c>
      <c r="X901" s="15" t="s">
        <v>1677</v>
      </c>
      <c r="Y901" s="5"/>
    </row>
    <row r="902" customFormat="false" ht="15" hidden="false" customHeight="false" outlineLevel="0" collapsed="false">
      <c r="A902" s="5" t="s">
        <v>9477</v>
      </c>
      <c r="B902" s="5" t="s">
        <v>1004</v>
      </c>
      <c r="C902" s="5" t="s">
        <v>1005</v>
      </c>
      <c r="D902" s="9" t="s">
        <v>66</v>
      </c>
      <c r="E902" s="5" t="n">
        <v>3</v>
      </c>
      <c r="F902" s="5" t="s">
        <v>9478</v>
      </c>
      <c r="G902" s="13" t="s">
        <v>9479</v>
      </c>
      <c r="H902" s="5" t="s">
        <v>9480</v>
      </c>
      <c r="I902" s="13" t="s">
        <v>9481</v>
      </c>
      <c r="J902" s="5" t="s">
        <v>9482</v>
      </c>
      <c r="K902" s="5" t="s">
        <v>9483</v>
      </c>
      <c r="L902" s="13" t="s">
        <v>9484</v>
      </c>
      <c r="M902" s="13" t="s">
        <v>9485</v>
      </c>
      <c r="N902" s="5" t="n">
        <f aca="false">LEN(L902)</f>
        <v>25</v>
      </c>
      <c r="O902" s="5" t="n">
        <f aca="false">LEN(M902)</f>
        <v>25</v>
      </c>
      <c r="P902" s="14" t="n">
        <f aca="false">IF(N902=0,"",(N902-LEN(SUBSTITUTE(SUBSTITUTE(L902,"G",""),"C","")))/N902)</f>
        <v>0.4</v>
      </c>
      <c r="Q902" s="14" t="n">
        <f aca="false">IF(O902=0,"",(O902-LEN(SUBSTITUTE(SUBSTITUTE(M902,"G",""),"C","")))/O902)</f>
        <v>0.48</v>
      </c>
      <c r="R902" s="5" t="s">
        <v>1009</v>
      </c>
      <c r="S902" s="15" t="s">
        <v>1677</v>
      </c>
      <c r="T902" s="5" t="n">
        <v>168</v>
      </c>
      <c r="U902" s="5" t="s">
        <v>1678</v>
      </c>
      <c r="V902" s="5" t="s">
        <v>500</v>
      </c>
      <c r="W902" s="5" t="s">
        <v>5150</v>
      </c>
      <c r="X902" s="15" t="s">
        <v>1677</v>
      </c>
      <c r="Y902" s="5"/>
    </row>
    <row r="903" customFormat="false" ht="15" hidden="false" customHeight="false" outlineLevel="0" collapsed="false">
      <c r="A903" s="5" t="s">
        <v>9486</v>
      </c>
      <c r="B903" s="5" t="s">
        <v>1004</v>
      </c>
      <c r="C903" s="5" t="s">
        <v>1005</v>
      </c>
      <c r="D903" s="9" t="s">
        <v>66</v>
      </c>
      <c r="E903" s="5" t="n">
        <v>4</v>
      </c>
      <c r="F903" s="5" t="s">
        <v>9487</v>
      </c>
      <c r="G903" s="13" t="s">
        <v>9488</v>
      </c>
      <c r="H903" s="5" t="s">
        <v>9489</v>
      </c>
      <c r="I903" s="13" t="s">
        <v>9490</v>
      </c>
      <c r="J903" s="5" t="s">
        <v>9491</v>
      </c>
      <c r="K903" s="5" t="s">
        <v>9492</v>
      </c>
      <c r="L903" s="13" t="s">
        <v>9493</v>
      </c>
      <c r="M903" s="13" t="s">
        <v>9494</v>
      </c>
      <c r="N903" s="5" t="n">
        <f aca="false">LEN(L903)</f>
        <v>25</v>
      </c>
      <c r="O903" s="5" t="n">
        <f aca="false">LEN(M903)</f>
        <v>25</v>
      </c>
      <c r="P903" s="14" t="n">
        <f aca="false">IF(N903=0,"",(N903-LEN(SUBSTITUTE(SUBSTITUTE(L903,"G",""),"C","")))/N903)</f>
        <v>0.4</v>
      </c>
      <c r="Q903" s="14" t="n">
        <f aca="false">IF(O903=0,"",(O903-LEN(SUBSTITUTE(SUBSTITUTE(M903,"G",""),"C","")))/O903)</f>
        <v>0.6</v>
      </c>
      <c r="R903" s="5" t="s">
        <v>1009</v>
      </c>
      <c r="S903" s="15" t="s">
        <v>1677</v>
      </c>
      <c r="T903" s="5" t="n">
        <v>279</v>
      </c>
      <c r="U903" s="5" t="s">
        <v>1678</v>
      </c>
      <c r="V903" s="5" t="s">
        <v>500</v>
      </c>
      <c r="W903" s="5" t="s">
        <v>5150</v>
      </c>
      <c r="X903" s="15" t="s">
        <v>1677</v>
      </c>
      <c r="Y903" s="5"/>
    </row>
    <row r="904" customFormat="false" ht="15" hidden="false" customHeight="false" outlineLevel="0" collapsed="false">
      <c r="A904" s="5" t="s">
        <v>9495</v>
      </c>
      <c r="B904" s="5" t="s">
        <v>1004</v>
      </c>
      <c r="C904" s="5" t="s">
        <v>1005</v>
      </c>
      <c r="D904" s="9" t="s">
        <v>66</v>
      </c>
      <c r="E904" s="5" t="n">
        <v>5</v>
      </c>
      <c r="F904" s="5" t="s">
        <v>9496</v>
      </c>
      <c r="G904" s="13" t="s">
        <v>9497</v>
      </c>
      <c r="H904" s="5" t="s">
        <v>9498</v>
      </c>
      <c r="I904" s="13" t="s">
        <v>9499</v>
      </c>
      <c r="J904" s="5" t="s">
        <v>9500</v>
      </c>
      <c r="K904" s="5" t="s">
        <v>9501</v>
      </c>
      <c r="L904" s="13" t="s">
        <v>9502</v>
      </c>
      <c r="M904" s="13" t="s">
        <v>9503</v>
      </c>
      <c r="N904" s="5" t="n">
        <f aca="false">LEN(L904)</f>
        <v>25</v>
      </c>
      <c r="O904" s="5" t="n">
        <f aca="false">LEN(M904)</f>
        <v>25</v>
      </c>
      <c r="P904" s="14" t="n">
        <f aca="false">IF(N904=0,"",(N904-LEN(SUBSTITUTE(SUBSTITUTE(L904,"G",""),"C","")))/N904)</f>
        <v>0.4</v>
      </c>
      <c r="Q904" s="14" t="n">
        <f aca="false">IF(O904=0,"",(O904-LEN(SUBSTITUTE(SUBSTITUTE(M904,"G",""),"C","")))/O904)</f>
        <v>0.48</v>
      </c>
      <c r="R904" s="5" t="s">
        <v>1009</v>
      </c>
      <c r="S904" s="15" t="s">
        <v>1677</v>
      </c>
      <c r="T904" s="5" t="n">
        <v>462</v>
      </c>
      <c r="U904" s="5" t="s">
        <v>1678</v>
      </c>
      <c r="V904" s="5" t="s">
        <v>500</v>
      </c>
      <c r="W904" s="5" t="s">
        <v>5150</v>
      </c>
      <c r="X904" s="15" t="s">
        <v>1677</v>
      </c>
      <c r="Y904" s="5"/>
    </row>
    <row r="905" customFormat="false" ht="15" hidden="false" customHeight="false" outlineLevel="0" collapsed="false">
      <c r="A905" s="5" t="s">
        <v>9504</v>
      </c>
      <c r="B905" s="5" t="s">
        <v>1004</v>
      </c>
      <c r="C905" s="5" t="s">
        <v>1005</v>
      </c>
      <c r="D905" s="9" t="s">
        <v>66</v>
      </c>
      <c r="E905" s="5" t="n">
        <v>6</v>
      </c>
      <c r="F905" s="5" t="s">
        <v>9505</v>
      </c>
      <c r="G905" s="13" t="s">
        <v>9506</v>
      </c>
      <c r="H905" s="5" t="s">
        <v>9507</v>
      </c>
      <c r="I905" s="13" t="s">
        <v>9508</v>
      </c>
      <c r="J905" s="5" t="s">
        <v>9509</v>
      </c>
      <c r="K905" s="5" t="s">
        <v>9510</v>
      </c>
      <c r="L905" s="13" t="s">
        <v>9511</v>
      </c>
      <c r="M905" s="13" t="s">
        <v>9512</v>
      </c>
      <c r="N905" s="5" t="n">
        <f aca="false">LEN(L905)</f>
        <v>25</v>
      </c>
      <c r="O905" s="5" t="n">
        <f aca="false">LEN(M905)</f>
        <v>25</v>
      </c>
      <c r="P905" s="14" t="n">
        <f aca="false">IF(N905=0,"",(N905-LEN(SUBSTITUTE(SUBSTITUTE(L905,"G",""),"C","")))/N905)</f>
        <v>0.4</v>
      </c>
      <c r="Q905" s="14" t="n">
        <f aca="false">IF(O905=0,"",(O905-LEN(SUBSTITUTE(SUBSTITUTE(M905,"G",""),"C","")))/O905)</f>
        <v>0.4</v>
      </c>
      <c r="R905" s="5" t="s">
        <v>1009</v>
      </c>
      <c r="S905" s="15" t="s">
        <v>1677</v>
      </c>
      <c r="T905" s="5" t="n">
        <v>547</v>
      </c>
      <c r="U905" s="5" t="s">
        <v>1678</v>
      </c>
      <c r="V905" s="5" t="s">
        <v>500</v>
      </c>
      <c r="W905" s="5" t="s">
        <v>5150</v>
      </c>
      <c r="X905" s="15" t="s">
        <v>1677</v>
      </c>
      <c r="Y905" s="5"/>
    </row>
    <row r="906" customFormat="false" ht="15" hidden="false" customHeight="false" outlineLevel="0" collapsed="false">
      <c r="A906" s="5" t="s">
        <v>9513</v>
      </c>
      <c r="B906" s="5" t="s">
        <v>1004</v>
      </c>
      <c r="C906" s="5" t="s">
        <v>1005</v>
      </c>
      <c r="D906" s="9" t="s">
        <v>66</v>
      </c>
      <c r="E906" s="5" t="n">
        <v>7</v>
      </c>
      <c r="F906" s="5" t="s">
        <v>9514</v>
      </c>
      <c r="G906" s="13" t="s">
        <v>9515</v>
      </c>
      <c r="H906" s="5" t="s">
        <v>9516</v>
      </c>
      <c r="I906" s="13" t="s">
        <v>9517</v>
      </c>
      <c r="J906" s="5" t="s">
        <v>9518</v>
      </c>
      <c r="K906" s="5" t="s">
        <v>9519</v>
      </c>
      <c r="L906" s="13" t="s">
        <v>9520</v>
      </c>
      <c r="M906" s="13" t="s">
        <v>9521</v>
      </c>
      <c r="N906" s="5" t="n">
        <f aca="false">LEN(L906)</f>
        <v>25</v>
      </c>
      <c r="O906" s="5" t="n">
        <f aca="false">LEN(M906)</f>
        <v>25</v>
      </c>
      <c r="P906" s="14" t="n">
        <f aca="false">IF(N906=0,"",(N906-LEN(SUBSTITUTE(SUBSTITUTE(L906,"G",""),"C","")))/N906)</f>
        <v>0.44</v>
      </c>
      <c r="Q906" s="14" t="n">
        <f aca="false">IF(O906=0,"",(O906-LEN(SUBSTITUTE(SUBSTITUTE(M906,"G",""),"C","")))/O906)</f>
        <v>0.4</v>
      </c>
      <c r="R906" s="5" t="s">
        <v>1009</v>
      </c>
      <c r="S906" s="15" t="s">
        <v>1677</v>
      </c>
      <c r="T906" s="5" t="n">
        <v>630</v>
      </c>
      <c r="U906" s="5" t="s">
        <v>1678</v>
      </c>
      <c r="V906" s="5" t="s">
        <v>500</v>
      </c>
      <c r="W906" s="5" t="s">
        <v>5150</v>
      </c>
      <c r="X906" s="15" t="s">
        <v>1677</v>
      </c>
      <c r="Y906" s="5"/>
    </row>
    <row r="907" customFormat="false" ht="15" hidden="false" customHeight="false" outlineLevel="0" collapsed="false">
      <c r="A907" s="5" t="s">
        <v>9522</v>
      </c>
      <c r="B907" s="5" t="s">
        <v>1004</v>
      </c>
      <c r="C907" s="5" t="s">
        <v>1005</v>
      </c>
      <c r="D907" s="9" t="s">
        <v>66</v>
      </c>
      <c r="E907" s="5" t="n">
        <v>8</v>
      </c>
      <c r="F907" s="5" t="s">
        <v>9523</v>
      </c>
      <c r="G907" s="13" t="s">
        <v>9524</v>
      </c>
      <c r="H907" s="5" t="s">
        <v>9525</v>
      </c>
      <c r="I907" s="13" t="s">
        <v>9526</v>
      </c>
      <c r="J907" s="5" t="s">
        <v>9527</v>
      </c>
      <c r="K907" s="5" t="s">
        <v>9528</v>
      </c>
      <c r="L907" s="13" t="s">
        <v>9529</v>
      </c>
      <c r="M907" s="13" t="s">
        <v>9530</v>
      </c>
      <c r="N907" s="5" t="n">
        <f aca="false">LEN(L907)</f>
        <v>25</v>
      </c>
      <c r="O907" s="5" t="n">
        <f aca="false">LEN(M907)</f>
        <v>25</v>
      </c>
      <c r="P907" s="14" t="n">
        <f aca="false">IF(N907=0,"",(N907-LEN(SUBSTITUTE(SUBSTITUTE(L907,"G",""),"C","")))/N907)</f>
        <v>0.4</v>
      </c>
      <c r="Q907" s="14" t="n">
        <f aca="false">IF(O907=0,"",(O907-LEN(SUBSTITUTE(SUBSTITUTE(M907,"G",""),"C","")))/O907)</f>
        <v>0.4</v>
      </c>
      <c r="R907" s="5" t="s">
        <v>1009</v>
      </c>
      <c r="S907" s="15" t="s">
        <v>1677</v>
      </c>
      <c r="T907" s="5" t="n">
        <v>729</v>
      </c>
      <c r="U907" s="5" t="s">
        <v>1678</v>
      </c>
      <c r="V907" s="5" t="s">
        <v>500</v>
      </c>
      <c r="W907" s="5" t="s">
        <v>5150</v>
      </c>
      <c r="X907" s="15" t="s">
        <v>1677</v>
      </c>
      <c r="Y907" s="5"/>
    </row>
    <row r="908" customFormat="false" ht="15" hidden="false" customHeight="false" outlineLevel="0" collapsed="false">
      <c r="A908" s="5" t="s">
        <v>9531</v>
      </c>
      <c r="B908" s="5" t="s">
        <v>1004</v>
      </c>
      <c r="C908" s="5" t="s">
        <v>1005</v>
      </c>
      <c r="D908" s="9" t="s">
        <v>66</v>
      </c>
      <c r="E908" s="5" t="n">
        <v>9</v>
      </c>
      <c r="F908" s="5" t="s">
        <v>9532</v>
      </c>
      <c r="G908" s="13" t="s">
        <v>9533</v>
      </c>
      <c r="H908" s="5" t="s">
        <v>9534</v>
      </c>
      <c r="I908" s="13" t="s">
        <v>9535</v>
      </c>
      <c r="J908" s="5" t="s">
        <v>9536</v>
      </c>
      <c r="K908" s="5" t="s">
        <v>9537</v>
      </c>
      <c r="L908" s="13" t="s">
        <v>9538</v>
      </c>
      <c r="M908" s="13" t="s">
        <v>9539</v>
      </c>
      <c r="N908" s="5" t="n">
        <f aca="false">LEN(L908)</f>
        <v>25</v>
      </c>
      <c r="O908" s="5" t="n">
        <f aca="false">LEN(M908)</f>
        <v>25</v>
      </c>
      <c r="P908" s="14" t="n">
        <f aca="false">IF(N908=0,"",(N908-LEN(SUBSTITUTE(SUBSTITUTE(L908,"G",""),"C","")))/N908)</f>
        <v>0.4</v>
      </c>
      <c r="Q908" s="14" t="n">
        <f aca="false">IF(O908=0,"",(O908-LEN(SUBSTITUTE(SUBSTITUTE(M908,"G",""),"C","")))/O908)</f>
        <v>0.4</v>
      </c>
      <c r="R908" s="5" t="s">
        <v>1009</v>
      </c>
      <c r="S908" s="15" t="s">
        <v>1677</v>
      </c>
      <c r="T908" s="5" t="n">
        <v>809</v>
      </c>
      <c r="U908" s="5" t="s">
        <v>1678</v>
      </c>
      <c r="V908" s="5" t="s">
        <v>500</v>
      </c>
      <c r="W908" s="5" t="s">
        <v>5150</v>
      </c>
      <c r="X908" s="15" t="s">
        <v>1677</v>
      </c>
      <c r="Y908" s="5"/>
    </row>
    <row r="909" customFormat="false" ht="15" hidden="false" customHeight="false" outlineLevel="0" collapsed="false">
      <c r="A909" s="5" t="s">
        <v>9540</v>
      </c>
      <c r="B909" s="5" t="s">
        <v>1004</v>
      </c>
      <c r="C909" s="5" t="s">
        <v>1005</v>
      </c>
      <c r="D909" s="9" t="s">
        <v>66</v>
      </c>
      <c r="E909" s="5" t="n">
        <v>10</v>
      </c>
      <c r="F909" s="5" t="s">
        <v>9541</v>
      </c>
      <c r="G909" s="13" t="s">
        <v>9542</v>
      </c>
      <c r="H909" s="5" t="s">
        <v>9543</v>
      </c>
      <c r="I909" s="13" t="s">
        <v>9544</v>
      </c>
      <c r="J909" s="5" t="s">
        <v>9545</v>
      </c>
      <c r="K909" s="5" t="s">
        <v>9546</v>
      </c>
      <c r="L909" s="13" t="s">
        <v>9547</v>
      </c>
      <c r="M909" s="13" t="s">
        <v>9548</v>
      </c>
      <c r="N909" s="5" t="n">
        <f aca="false">LEN(L909)</f>
        <v>25</v>
      </c>
      <c r="O909" s="5" t="n">
        <f aca="false">LEN(M909)</f>
        <v>25</v>
      </c>
      <c r="P909" s="14" t="n">
        <f aca="false">IF(N909=0,"",(N909-LEN(SUBSTITUTE(SUBSTITUTE(L909,"G",""),"C","")))/N909)</f>
        <v>0.64</v>
      </c>
      <c r="Q909" s="14" t="n">
        <f aca="false">IF(O909=0,"",(O909-LEN(SUBSTITUTE(SUBSTITUTE(M909,"G",""),"C","")))/O909)</f>
        <v>0.44</v>
      </c>
      <c r="R909" s="5" t="s">
        <v>1009</v>
      </c>
      <c r="S909" s="15" t="s">
        <v>1677</v>
      </c>
      <c r="T909" s="5" t="n">
        <v>889</v>
      </c>
      <c r="U909" s="5" t="s">
        <v>1678</v>
      </c>
      <c r="V909" s="5" t="s">
        <v>500</v>
      </c>
      <c r="W909" s="5" t="s">
        <v>5150</v>
      </c>
      <c r="X909" s="15" t="s">
        <v>1677</v>
      </c>
      <c r="Y909" s="5"/>
    </row>
    <row r="910" customFormat="false" ht="15" hidden="false" customHeight="false" outlineLevel="0" collapsed="false">
      <c r="A910" s="5" t="s">
        <v>9549</v>
      </c>
      <c r="B910" s="5" t="s">
        <v>1004</v>
      </c>
      <c r="C910" s="5" t="s">
        <v>1005</v>
      </c>
      <c r="D910" s="9" t="s">
        <v>66</v>
      </c>
      <c r="E910" s="5" t="n">
        <v>11</v>
      </c>
      <c r="F910" s="5" t="s">
        <v>9550</v>
      </c>
      <c r="G910" s="13" t="s">
        <v>9551</v>
      </c>
      <c r="H910" s="5" t="s">
        <v>9552</v>
      </c>
      <c r="I910" s="13" t="s">
        <v>9553</v>
      </c>
      <c r="J910" s="5" t="s">
        <v>9554</v>
      </c>
      <c r="K910" s="5" t="s">
        <v>9555</v>
      </c>
      <c r="L910" s="13" t="s">
        <v>9556</v>
      </c>
      <c r="M910" s="13" t="s">
        <v>9557</v>
      </c>
      <c r="N910" s="5" t="n">
        <f aca="false">LEN(L910)</f>
        <v>25</v>
      </c>
      <c r="O910" s="5" t="n">
        <f aca="false">LEN(M910)</f>
        <v>25</v>
      </c>
      <c r="P910" s="14" t="n">
        <f aca="false">IF(N910=0,"",(N910-LEN(SUBSTITUTE(SUBSTITUTE(L910,"G",""),"C","")))/N910)</f>
        <v>0.4</v>
      </c>
      <c r="Q910" s="14" t="n">
        <f aca="false">IF(O910=0,"",(O910-LEN(SUBSTITUTE(SUBSTITUTE(M910,"G",""),"C","")))/O910)</f>
        <v>0.48</v>
      </c>
      <c r="R910" s="5" t="s">
        <v>1009</v>
      </c>
      <c r="S910" s="15" t="s">
        <v>1677</v>
      </c>
      <c r="T910" s="5" t="n">
        <v>990</v>
      </c>
      <c r="U910" s="5" t="s">
        <v>1678</v>
      </c>
      <c r="V910" s="5" t="s">
        <v>5122</v>
      </c>
      <c r="W910" s="5"/>
      <c r="X910" s="15" t="s">
        <v>1677</v>
      </c>
      <c r="Y910" s="5"/>
    </row>
    <row r="911" customFormat="false" ht="15" hidden="false" customHeight="false" outlineLevel="0" collapsed="false">
      <c r="A911" s="5" t="s">
        <v>9558</v>
      </c>
      <c r="B911" s="5" t="s">
        <v>1012</v>
      </c>
      <c r="C911" s="5" t="s">
        <v>1013</v>
      </c>
      <c r="D911" s="9" t="s">
        <v>66</v>
      </c>
      <c r="E911" s="5" t="n">
        <v>1</v>
      </c>
      <c r="F911" s="5" t="s">
        <v>9559</v>
      </c>
      <c r="G911" s="13" t="s">
        <v>9560</v>
      </c>
      <c r="H911" s="5" t="s">
        <v>9561</v>
      </c>
      <c r="I911" s="13" t="s">
        <v>9562</v>
      </c>
      <c r="J911" s="5" t="s">
        <v>9563</v>
      </c>
      <c r="K911" s="5" t="s">
        <v>9564</v>
      </c>
      <c r="L911" s="13" t="s">
        <v>9565</v>
      </c>
      <c r="M911" s="13" t="s">
        <v>9566</v>
      </c>
      <c r="N911" s="5" t="n">
        <f aca="false">LEN(L911)</f>
        <v>25</v>
      </c>
      <c r="O911" s="5" t="n">
        <f aca="false">LEN(M911)</f>
        <v>25</v>
      </c>
      <c r="P911" s="14" t="n">
        <f aca="false">IF(N911=0,"",(N911-LEN(SUBSTITUTE(SUBSTITUTE(L911,"G",""),"C","")))/N911)</f>
        <v>0.72</v>
      </c>
      <c r="Q911" s="14" t="n">
        <f aca="false">IF(O911=0,"",(O911-LEN(SUBSTITUTE(SUBSTITUTE(M911,"G",""),"C","")))/O911)</f>
        <v>0.84</v>
      </c>
      <c r="R911" s="5" t="s">
        <v>1015</v>
      </c>
      <c r="S911" s="15" t="s">
        <v>1677</v>
      </c>
      <c r="T911" s="5" t="n">
        <v>74</v>
      </c>
      <c r="U911" s="5" t="s">
        <v>1678</v>
      </c>
      <c r="V911" s="5" t="s">
        <v>588</v>
      </c>
      <c r="W911" s="5"/>
      <c r="X911" s="15" t="s">
        <v>1677</v>
      </c>
      <c r="Y911" s="5"/>
    </row>
    <row r="912" customFormat="false" ht="15" hidden="false" customHeight="false" outlineLevel="0" collapsed="false">
      <c r="A912" s="5" t="s">
        <v>9567</v>
      </c>
      <c r="B912" s="5" t="s">
        <v>1012</v>
      </c>
      <c r="C912" s="5" t="s">
        <v>1013</v>
      </c>
      <c r="D912" s="9" t="s">
        <v>66</v>
      </c>
      <c r="E912" s="5" t="n">
        <v>2</v>
      </c>
      <c r="F912" s="5" t="s">
        <v>9568</v>
      </c>
      <c r="G912" s="13" t="s">
        <v>9569</v>
      </c>
      <c r="H912" s="5" t="s">
        <v>9570</v>
      </c>
      <c r="I912" s="13" t="s">
        <v>9571</v>
      </c>
      <c r="J912" s="5" t="s">
        <v>9572</v>
      </c>
      <c r="K912" s="5" t="s">
        <v>9573</v>
      </c>
      <c r="L912" s="13" t="s">
        <v>9574</v>
      </c>
      <c r="M912" s="13" t="s">
        <v>9575</v>
      </c>
      <c r="N912" s="5" t="n">
        <f aca="false">LEN(L912)</f>
        <v>24</v>
      </c>
      <c r="O912" s="5" t="n">
        <f aca="false">LEN(M912)</f>
        <v>25</v>
      </c>
      <c r="P912" s="14" t="n">
        <f aca="false">IF(N912=0,"",(N912-LEN(SUBSTITUTE(SUBSTITUTE(L912,"G",""),"C","")))/N912)</f>
        <v>0.833333333333333</v>
      </c>
      <c r="Q912" s="14" t="n">
        <f aca="false">IF(O912=0,"",(O912-LEN(SUBSTITUTE(SUBSTITUTE(M912,"G",""),"C","")))/O912)</f>
        <v>0.76</v>
      </c>
      <c r="R912" s="5" t="s">
        <v>1015</v>
      </c>
      <c r="S912" s="15" t="s">
        <v>1677</v>
      </c>
      <c r="T912" s="5" t="n">
        <v>205</v>
      </c>
      <c r="U912" s="5" t="s">
        <v>2986</v>
      </c>
      <c r="V912" s="5" t="s">
        <v>588</v>
      </c>
      <c r="W912" s="5"/>
      <c r="X912" s="15" t="s">
        <v>1677</v>
      </c>
      <c r="Y912" s="8" t="s">
        <v>2987</v>
      </c>
    </row>
    <row r="913" customFormat="false" ht="15" hidden="false" customHeight="false" outlineLevel="0" collapsed="false">
      <c r="A913" s="5" t="s">
        <v>9576</v>
      </c>
      <c r="B913" s="5" t="s">
        <v>1012</v>
      </c>
      <c r="C913" s="5" t="s">
        <v>1013</v>
      </c>
      <c r="D913" s="9" t="s">
        <v>66</v>
      </c>
      <c r="E913" s="5" t="n">
        <v>3</v>
      </c>
      <c r="F913" s="5" t="s">
        <v>9577</v>
      </c>
      <c r="G913" s="13" t="s">
        <v>9578</v>
      </c>
      <c r="H913" s="5" t="s">
        <v>9579</v>
      </c>
      <c r="I913" s="13" t="s">
        <v>9580</v>
      </c>
      <c r="J913" s="5" t="s">
        <v>9581</v>
      </c>
      <c r="K913" s="5" t="s">
        <v>9582</v>
      </c>
      <c r="L913" s="13" t="s">
        <v>9583</v>
      </c>
      <c r="M913" s="13" t="s">
        <v>9584</v>
      </c>
      <c r="N913" s="5" t="n">
        <f aca="false">LEN(L913)</f>
        <v>25</v>
      </c>
      <c r="O913" s="5" t="n">
        <f aca="false">LEN(M913)</f>
        <v>25</v>
      </c>
      <c r="P913" s="14" t="n">
        <f aca="false">IF(N913=0,"",(N913-LEN(SUBSTITUTE(SUBSTITUTE(L913,"G",""),"C","")))/N913)</f>
        <v>0.88</v>
      </c>
      <c r="Q913" s="14" t="n">
        <f aca="false">IF(O913=0,"",(O913-LEN(SUBSTITUTE(SUBSTITUTE(M913,"G",""),"C","")))/O913)</f>
        <v>0.6</v>
      </c>
      <c r="R913" s="5" t="s">
        <v>1015</v>
      </c>
      <c r="S913" s="15" t="s">
        <v>1677</v>
      </c>
      <c r="T913" s="5" t="n">
        <v>335</v>
      </c>
      <c r="U913" s="5" t="s">
        <v>1678</v>
      </c>
      <c r="V913" s="5" t="s">
        <v>588</v>
      </c>
      <c r="W913" s="5"/>
      <c r="X913" s="15" t="s">
        <v>1677</v>
      </c>
      <c r="Y913" s="5"/>
    </row>
    <row r="914" customFormat="false" ht="15" hidden="false" customHeight="false" outlineLevel="0" collapsed="false">
      <c r="A914" s="5" t="s">
        <v>9585</v>
      </c>
      <c r="B914" s="5" t="s">
        <v>1012</v>
      </c>
      <c r="C914" s="5" t="s">
        <v>1013</v>
      </c>
      <c r="D914" s="9" t="s">
        <v>66</v>
      </c>
      <c r="E914" s="5" t="n">
        <v>4</v>
      </c>
      <c r="F914" s="5" t="s">
        <v>9586</v>
      </c>
      <c r="G914" s="13" t="s">
        <v>9587</v>
      </c>
      <c r="H914" s="5" t="s">
        <v>9588</v>
      </c>
      <c r="I914" s="13" t="s">
        <v>9589</v>
      </c>
      <c r="J914" s="5" t="s">
        <v>9590</v>
      </c>
      <c r="K914" s="5" t="s">
        <v>9591</v>
      </c>
      <c r="L914" s="13" t="s">
        <v>9592</v>
      </c>
      <c r="M914" s="13" t="s">
        <v>9593</v>
      </c>
      <c r="N914" s="5" t="n">
        <f aca="false">LEN(L914)</f>
        <v>25</v>
      </c>
      <c r="O914" s="5" t="n">
        <f aca="false">LEN(M914)</f>
        <v>25</v>
      </c>
      <c r="P914" s="14" t="n">
        <f aca="false">IF(N914=0,"",(N914-LEN(SUBSTITUTE(SUBSTITUTE(L914,"G",""),"C","")))/N914)</f>
        <v>0.76</v>
      </c>
      <c r="Q914" s="14" t="n">
        <f aca="false">IF(O914=0,"",(O914-LEN(SUBSTITUTE(SUBSTITUTE(M914,"G",""),"C","")))/O914)</f>
        <v>0.84</v>
      </c>
      <c r="R914" s="5" t="s">
        <v>1015</v>
      </c>
      <c r="S914" s="15" t="s">
        <v>1677</v>
      </c>
      <c r="T914" s="5" t="n">
        <v>465</v>
      </c>
      <c r="U914" s="5" t="s">
        <v>1678</v>
      </c>
      <c r="V914" s="5" t="s">
        <v>588</v>
      </c>
      <c r="W914" s="5"/>
      <c r="X914" s="15" t="s">
        <v>1677</v>
      </c>
      <c r="Y914" s="5"/>
    </row>
    <row r="915" customFormat="false" ht="15" hidden="false" customHeight="false" outlineLevel="0" collapsed="false">
      <c r="A915" s="5" t="s">
        <v>9594</v>
      </c>
      <c r="B915" s="5" t="s">
        <v>1012</v>
      </c>
      <c r="C915" s="5" t="s">
        <v>1013</v>
      </c>
      <c r="D915" s="9" t="s">
        <v>66</v>
      </c>
      <c r="E915" s="5" t="n">
        <v>5</v>
      </c>
      <c r="F915" s="5" t="s">
        <v>9595</v>
      </c>
      <c r="G915" s="13" t="s">
        <v>9596</v>
      </c>
      <c r="H915" s="5" t="s">
        <v>9597</v>
      </c>
      <c r="I915" s="13" t="s">
        <v>9598</v>
      </c>
      <c r="J915" s="5" t="s">
        <v>9599</v>
      </c>
      <c r="K915" s="5" t="s">
        <v>9600</v>
      </c>
      <c r="L915" s="13" t="s">
        <v>9601</v>
      </c>
      <c r="M915" s="13" t="s">
        <v>9602</v>
      </c>
      <c r="N915" s="5" t="n">
        <f aca="false">LEN(L915)</f>
        <v>25</v>
      </c>
      <c r="O915" s="5" t="n">
        <f aca="false">LEN(M915)</f>
        <v>25</v>
      </c>
      <c r="P915" s="14" t="n">
        <f aca="false">IF(N915=0,"",(N915-LEN(SUBSTITUTE(SUBSTITUTE(L915,"G",""),"C","")))/N915)</f>
        <v>0.44</v>
      </c>
      <c r="Q915" s="14" t="n">
        <f aca="false">IF(O915=0,"",(O915-LEN(SUBSTITUTE(SUBSTITUTE(M915,"G",""),"C","")))/O915)</f>
        <v>0.6</v>
      </c>
      <c r="R915" s="5" t="s">
        <v>1015</v>
      </c>
      <c r="S915" s="15" t="s">
        <v>1677</v>
      </c>
      <c r="T915" s="5" t="n">
        <v>597</v>
      </c>
      <c r="U915" s="5" t="s">
        <v>1678</v>
      </c>
      <c r="V915" s="5" t="s">
        <v>588</v>
      </c>
      <c r="W915" s="5"/>
      <c r="X915" s="15" t="s">
        <v>1677</v>
      </c>
      <c r="Y915" s="5"/>
    </row>
    <row r="916" customFormat="false" ht="15" hidden="false" customHeight="false" outlineLevel="0" collapsed="false">
      <c r="A916" s="5" t="s">
        <v>9603</v>
      </c>
      <c r="B916" s="5" t="s">
        <v>1012</v>
      </c>
      <c r="C916" s="5" t="s">
        <v>1013</v>
      </c>
      <c r="D916" s="9" t="s">
        <v>66</v>
      </c>
      <c r="E916" s="5" t="n">
        <v>6</v>
      </c>
      <c r="F916" s="5" t="s">
        <v>9604</v>
      </c>
      <c r="G916" s="13" t="s">
        <v>9605</v>
      </c>
      <c r="H916" s="5" t="s">
        <v>9606</v>
      </c>
      <c r="I916" s="13" t="s">
        <v>9607</v>
      </c>
      <c r="J916" s="5" t="s">
        <v>9608</v>
      </c>
      <c r="K916" s="5" t="s">
        <v>9609</v>
      </c>
      <c r="L916" s="13" t="s">
        <v>9610</v>
      </c>
      <c r="M916" s="13" t="s">
        <v>9611</v>
      </c>
      <c r="N916" s="5" t="n">
        <f aca="false">LEN(L916)</f>
        <v>25</v>
      </c>
      <c r="O916" s="5" t="n">
        <f aca="false">LEN(M916)</f>
        <v>25</v>
      </c>
      <c r="P916" s="14" t="n">
        <f aca="false">IF(N916=0,"",(N916-LEN(SUBSTITUTE(SUBSTITUTE(L916,"G",""),"C","")))/N916)</f>
        <v>0.4</v>
      </c>
      <c r="Q916" s="14" t="n">
        <f aca="false">IF(O916=0,"",(O916-LEN(SUBSTITUTE(SUBSTITUTE(M916,"G",""),"C","")))/O916)</f>
        <v>0.56</v>
      </c>
      <c r="R916" s="5" t="s">
        <v>1015</v>
      </c>
      <c r="S916" s="15" t="s">
        <v>1677</v>
      </c>
      <c r="T916" s="5" t="n">
        <v>795</v>
      </c>
      <c r="U916" s="5" t="s">
        <v>1678</v>
      </c>
      <c r="V916" s="5" t="s">
        <v>588</v>
      </c>
      <c r="W916" s="5"/>
      <c r="X916" s="15" t="s">
        <v>1677</v>
      </c>
      <c r="Y916" s="5"/>
    </row>
    <row r="917" customFormat="false" ht="15" hidden="false" customHeight="false" outlineLevel="0" collapsed="false">
      <c r="A917" s="5" t="s">
        <v>9612</v>
      </c>
      <c r="B917" s="5" t="s">
        <v>1018</v>
      </c>
      <c r="C917" s="5" t="s">
        <v>1019</v>
      </c>
      <c r="D917" s="9" t="s">
        <v>66</v>
      </c>
      <c r="E917" s="5" t="n">
        <v>1</v>
      </c>
      <c r="F917" s="5" t="s">
        <v>9613</v>
      </c>
      <c r="G917" s="13" t="s">
        <v>9614</v>
      </c>
      <c r="H917" s="5" t="s">
        <v>9615</v>
      </c>
      <c r="I917" s="13" t="s">
        <v>9616</v>
      </c>
      <c r="J917" s="5" t="s">
        <v>9617</v>
      </c>
      <c r="K917" s="5" t="s">
        <v>9618</v>
      </c>
      <c r="L917" s="13" t="s">
        <v>9619</v>
      </c>
      <c r="M917" s="13" t="s">
        <v>9620</v>
      </c>
      <c r="N917" s="5" t="n">
        <f aca="false">LEN(L917)</f>
        <v>25</v>
      </c>
      <c r="O917" s="5" t="n">
        <f aca="false">LEN(M917)</f>
        <v>25</v>
      </c>
      <c r="P917" s="14" t="n">
        <f aca="false">IF(N917=0,"",(N917-LEN(SUBSTITUTE(SUBSTITUTE(L917,"G",""),"C","")))/N917)</f>
        <v>0.4</v>
      </c>
      <c r="Q917" s="14" t="n">
        <f aca="false">IF(O917=0,"",(O917-LEN(SUBSTITUTE(SUBSTITUTE(M917,"G",""),"C","")))/O917)</f>
        <v>0.52</v>
      </c>
      <c r="R917" s="5" t="s">
        <v>1022</v>
      </c>
      <c r="S917" s="15" t="s">
        <v>1677</v>
      </c>
      <c r="T917" s="5" t="n">
        <v>72</v>
      </c>
      <c r="U917" s="5" t="s">
        <v>1678</v>
      </c>
      <c r="V917" s="5" t="s">
        <v>588</v>
      </c>
      <c r="W917" s="5"/>
      <c r="X917" s="15" t="s">
        <v>1677</v>
      </c>
      <c r="Y917" s="5"/>
    </row>
    <row r="918" customFormat="false" ht="15" hidden="false" customHeight="false" outlineLevel="0" collapsed="false">
      <c r="A918" s="5" t="s">
        <v>9621</v>
      </c>
      <c r="B918" s="5" t="s">
        <v>1018</v>
      </c>
      <c r="C918" s="5" t="s">
        <v>1019</v>
      </c>
      <c r="D918" s="9" t="s">
        <v>66</v>
      </c>
      <c r="E918" s="5" t="n">
        <v>2</v>
      </c>
      <c r="F918" s="5" t="s">
        <v>9622</v>
      </c>
      <c r="G918" s="13" t="s">
        <v>9623</v>
      </c>
      <c r="H918" s="5" t="s">
        <v>9624</v>
      </c>
      <c r="I918" s="13" t="s">
        <v>9625</v>
      </c>
      <c r="J918" s="5" t="s">
        <v>9626</v>
      </c>
      <c r="K918" s="5" t="s">
        <v>9627</v>
      </c>
      <c r="L918" s="13" t="s">
        <v>9628</v>
      </c>
      <c r="M918" s="13" t="s">
        <v>9629</v>
      </c>
      <c r="N918" s="5" t="n">
        <f aca="false">LEN(L918)</f>
        <v>25</v>
      </c>
      <c r="O918" s="5" t="n">
        <f aca="false">LEN(M918)</f>
        <v>25</v>
      </c>
      <c r="P918" s="14" t="n">
        <f aca="false">IF(N918=0,"",(N918-LEN(SUBSTITUTE(SUBSTITUTE(L918,"G",""),"C","")))/N918)</f>
        <v>0.48</v>
      </c>
      <c r="Q918" s="14" t="n">
        <f aca="false">IF(O918=0,"",(O918-LEN(SUBSTITUTE(SUBSTITUTE(M918,"G",""),"C","")))/O918)</f>
        <v>0.48</v>
      </c>
      <c r="R918" s="5" t="s">
        <v>1022</v>
      </c>
      <c r="S918" s="15" t="s">
        <v>1677</v>
      </c>
      <c r="T918" s="5" t="n">
        <v>140</v>
      </c>
      <c r="U918" s="5" t="s">
        <v>1678</v>
      </c>
      <c r="V918" s="5" t="s">
        <v>588</v>
      </c>
      <c r="W918" s="5"/>
      <c r="X918" s="8" t="s">
        <v>1914</v>
      </c>
      <c r="Y918" s="5"/>
    </row>
    <row r="919" customFormat="false" ht="15" hidden="false" customHeight="false" outlineLevel="0" collapsed="false">
      <c r="A919" s="5" t="s">
        <v>9630</v>
      </c>
      <c r="B919" s="5" t="s">
        <v>1018</v>
      </c>
      <c r="C919" s="5" t="s">
        <v>1019</v>
      </c>
      <c r="D919" s="9" t="s">
        <v>66</v>
      </c>
      <c r="E919" s="5" t="n">
        <v>3</v>
      </c>
      <c r="F919" s="5" t="s">
        <v>9631</v>
      </c>
      <c r="G919" s="13" t="s">
        <v>9632</v>
      </c>
      <c r="H919" s="5" t="s">
        <v>9633</v>
      </c>
      <c r="I919" s="13" t="s">
        <v>9634</v>
      </c>
      <c r="J919" s="5" t="s">
        <v>9635</v>
      </c>
      <c r="K919" s="5" t="s">
        <v>9636</v>
      </c>
      <c r="L919" s="13" t="s">
        <v>9637</v>
      </c>
      <c r="M919" s="13" t="s">
        <v>9638</v>
      </c>
      <c r="N919" s="5" t="n">
        <f aca="false">LEN(L919)</f>
        <v>25</v>
      </c>
      <c r="O919" s="5" t="n">
        <f aca="false">LEN(M919)</f>
        <v>25</v>
      </c>
      <c r="P919" s="14" t="n">
        <f aca="false">IF(N919=0,"",(N919-LEN(SUBSTITUTE(SUBSTITUTE(L919,"G",""),"C","")))/N919)</f>
        <v>0.64</v>
      </c>
      <c r="Q919" s="14" t="n">
        <f aca="false">IF(O919=0,"",(O919-LEN(SUBSTITUTE(SUBSTITUTE(M919,"G",""),"C","")))/O919)</f>
        <v>0.48</v>
      </c>
      <c r="R919" s="5" t="s">
        <v>1022</v>
      </c>
      <c r="S919" s="15" t="s">
        <v>1677</v>
      </c>
      <c r="T919" s="5" t="n">
        <v>272</v>
      </c>
      <c r="U919" s="5" t="s">
        <v>1678</v>
      </c>
      <c r="V919" s="5" t="s">
        <v>588</v>
      </c>
      <c r="W919" s="5"/>
      <c r="X919" s="8" t="s">
        <v>1914</v>
      </c>
      <c r="Y919" s="5"/>
    </row>
    <row r="920" customFormat="false" ht="15" hidden="false" customHeight="false" outlineLevel="0" collapsed="false">
      <c r="A920" s="5" t="s">
        <v>9639</v>
      </c>
      <c r="B920" s="5" t="s">
        <v>1018</v>
      </c>
      <c r="C920" s="5" t="s">
        <v>1019</v>
      </c>
      <c r="D920" s="9" t="s">
        <v>66</v>
      </c>
      <c r="E920" s="5" t="n">
        <v>4</v>
      </c>
      <c r="F920" s="5" t="s">
        <v>9640</v>
      </c>
      <c r="G920" s="13" t="s">
        <v>9641</v>
      </c>
      <c r="H920" s="5" t="s">
        <v>9642</v>
      </c>
      <c r="I920" s="13" t="s">
        <v>9643</v>
      </c>
      <c r="J920" s="5" t="s">
        <v>9644</v>
      </c>
      <c r="K920" s="5" t="s">
        <v>9645</v>
      </c>
      <c r="L920" s="13" t="s">
        <v>9646</v>
      </c>
      <c r="M920" s="13" t="s">
        <v>9647</v>
      </c>
      <c r="N920" s="5" t="n">
        <f aca="false">LEN(L920)</f>
        <v>25</v>
      </c>
      <c r="O920" s="5" t="n">
        <f aca="false">LEN(M920)</f>
        <v>25</v>
      </c>
      <c r="P920" s="14" t="n">
        <f aca="false">IF(N920=0,"",(N920-LEN(SUBSTITUTE(SUBSTITUTE(L920,"G",""),"C","")))/N920)</f>
        <v>0.6</v>
      </c>
      <c r="Q920" s="14" t="n">
        <f aca="false">IF(O920=0,"",(O920-LEN(SUBSTITUTE(SUBSTITUTE(M920,"G",""),"C","")))/O920)</f>
        <v>0.64</v>
      </c>
      <c r="R920" s="5" t="s">
        <v>1022</v>
      </c>
      <c r="S920" s="15" t="s">
        <v>1677</v>
      </c>
      <c r="T920" s="5" t="n">
        <v>339</v>
      </c>
      <c r="U920" s="5" t="s">
        <v>1678</v>
      </c>
      <c r="V920" s="5" t="s">
        <v>588</v>
      </c>
      <c r="W920" s="5"/>
      <c r="X920" s="8" t="s">
        <v>1914</v>
      </c>
      <c r="Y920" s="5"/>
    </row>
    <row r="921" customFormat="false" ht="15" hidden="false" customHeight="false" outlineLevel="0" collapsed="false">
      <c r="A921" s="5" t="s">
        <v>9648</v>
      </c>
      <c r="B921" s="5" t="s">
        <v>1018</v>
      </c>
      <c r="C921" s="5" t="s">
        <v>1019</v>
      </c>
      <c r="D921" s="9" t="s">
        <v>66</v>
      </c>
      <c r="E921" s="5" t="n">
        <v>5</v>
      </c>
      <c r="F921" s="5" t="s">
        <v>9649</v>
      </c>
      <c r="G921" s="13" t="s">
        <v>9650</v>
      </c>
      <c r="H921" s="5" t="s">
        <v>9651</v>
      </c>
      <c r="I921" s="13" t="s">
        <v>9652</v>
      </c>
      <c r="J921" s="5" t="s">
        <v>9653</v>
      </c>
      <c r="K921" s="5" t="s">
        <v>9654</v>
      </c>
      <c r="L921" s="13" t="s">
        <v>9655</v>
      </c>
      <c r="M921" s="13" t="s">
        <v>9656</v>
      </c>
      <c r="N921" s="5" t="n">
        <f aca="false">LEN(L921)</f>
        <v>25</v>
      </c>
      <c r="O921" s="5" t="n">
        <f aca="false">LEN(M921)</f>
        <v>25</v>
      </c>
      <c r="P921" s="14" t="n">
        <f aca="false">IF(N921=0,"",(N921-LEN(SUBSTITUTE(SUBSTITUTE(L921,"G",""),"C","")))/N921)</f>
        <v>0.72</v>
      </c>
      <c r="Q921" s="14" t="n">
        <f aca="false">IF(O921=0,"",(O921-LEN(SUBSTITUTE(SUBSTITUTE(M921,"G",""),"C","")))/O921)</f>
        <v>0.6</v>
      </c>
      <c r="R921" s="5" t="s">
        <v>1022</v>
      </c>
      <c r="S921" s="15" t="s">
        <v>1677</v>
      </c>
      <c r="T921" s="5" t="n">
        <v>470</v>
      </c>
      <c r="U921" s="5" t="s">
        <v>1678</v>
      </c>
      <c r="V921" s="5" t="s">
        <v>588</v>
      </c>
      <c r="W921" s="5"/>
      <c r="X921" s="15" t="s">
        <v>1677</v>
      </c>
      <c r="Y921" s="5"/>
    </row>
    <row r="922" customFormat="false" ht="15" hidden="false" customHeight="false" outlineLevel="0" collapsed="false">
      <c r="A922" s="5" t="s">
        <v>9657</v>
      </c>
      <c r="B922" s="5" t="s">
        <v>1018</v>
      </c>
      <c r="C922" s="5" t="s">
        <v>1019</v>
      </c>
      <c r="D922" s="9" t="s">
        <v>66</v>
      </c>
      <c r="E922" s="5" t="n">
        <v>6</v>
      </c>
      <c r="F922" s="5" t="s">
        <v>9658</v>
      </c>
      <c r="G922" s="13" t="s">
        <v>9659</v>
      </c>
      <c r="H922" s="5" t="s">
        <v>9660</v>
      </c>
      <c r="I922" s="13" t="s">
        <v>9661</v>
      </c>
      <c r="J922" s="5" t="s">
        <v>9662</v>
      </c>
      <c r="K922" s="5" t="s">
        <v>9663</v>
      </c>
      <c r="L922" s="13" t="s">
        <v>9664</v>
      </c>
      <c r="M922" s="13" t="s">
        <v>9665</v>
      </c>
      <c r="N922" s="5" t="n">
        <f aca="false">LEN(L922)</f>
        <v>25</v>
      </c>
      <c r="O922" s="5" t="n">
        <f aca="false">LEN(M922)</f>
        <v>25</v>
      </c>
      <c r="P922" s="14" t="n">
        <f aca="false">IF(N922=0,"",(N922-LEN(SUBSTITUTE(SUBSTITUTE(L922,"G",""),"C","")))/N922)</f>
        <v>0.44</v>
      </c>
      <c r="Q922" s="14" t="n">
        <f aca="false">IF(O922=0,"",(O922-LEN(SUBSTITUTE(SUBSTITUTE(M922,"G",""),"C","")))/O922)</f>
        <v>0.52</v>
      </c>
      <c r="R922" s="5" t="s">
        <v>1022</v>
      </c>
      <c r="S922" s="15" t="s">
        <v>1677</v>
      </c>
      <c r="T922" s="5" t="n">
        <v>536</v>
      </c>
      <c r="U922" s="5" t="s">
        <v>1678</v>
      </c>
      <c r="V922" s="5" t="s">
        <v>588</v>
      </c>
      <c r="W922" s="5"/>
      <c r="X922" s="8" t="s">
        <v>1914</v>
      </c>
      <c r="Y922" s="5"/>
    </row>
    <row r="923" customFormat="false" ht="15" hidden="false" customHeight="false" outlineLevel="0" collapsed="false">
      <c r="A923" s="5" t="s">
        <v>9666</v>
      </c>
      <c r="B923" s="5" t="s">
        <v>1026</v>
      </c>
      <c r="C923" s="5" t="s">
        <v>1027</v>
      </c>
      <c r="D923" s="9" t="s">
        <v>66</v>
      </c>
      <c r="E923" s="5" t="n">
        <v>1</v>
      </c>
      <c r="F923" s="5" t="s">
        <v>9667</v>
      </c>
      <c r="G923" s="13" t="s">
        <v>9668</v>
      </c>
      <c r="H923" s="5" t="s">
        <v>9669</v>
      </c>
      <c r="I923" s="13" t="s">
        <v>9670</v>
      </c>
      <c r="J923" s="5" t="s">
        <v>9671</v>
      </c>
      <c r="K923" s="5" t="s">
        <v>9672</v>
      </c>
      <c r="L923" s="13" t="s">
        <v>9673</v>
      </c>
      <c r="M923" s="13" t="s">
        <v>9674</v>
      </c>
      <c r="N923" s="5" t="n">
        <f aca="false">LEN(L923)</f>
        <v>25</v>
      </c>
      <c r="O923" s="5" t="n">
        <f aca="false">LEN(M923)</f>
        <v>25</v>
      </c>
      <c r="P923" s="14" t="n">
        <f aca="false">IF(N923=0,"",(N923-LEN(SUBSTITUTE(SUBSTITUTE(L923,"G",""),"C","")))/N923)</f>
        <v>0.6</v>
      </c>
      <c r="Q923" s="14" t="n">
        <f aca="false">IF(O923=0,"",(O923-LEN(SUBSTITUTE(SUBSTITUTE(M923,"G",""),"C","")))/O923)</f>
        <v>0.88</v>
      </c>
      <c r="R923" s="5" t="s">
        <v>1029</v>
      </c>
      <c r="S923" s="15" t="s">
        <v>1677</v>
      </c>
      <c r="T923" s="5" t="n">
        <v>85</v>
      </c>
      <c r="U923" s="5" t="s">
        <v>1678</v>
      </c>
      <c r="V923" s="5" t="s">
        <v>588</v>
      </c>
      <c r="W923" s="5"/>
      <c r="X923" s="8" t="s">
        <v>1914</v>
      </c>
      <c r="Y923" s="5"/>
    </row>
    <row r="924" customFormat="false" ht="15" hidden="false" customHeight="false" outlineLevel="0" collapsed="false">
      <c r="A924" s="5" t="s">
        <v>9675</v>
      </c>
      <c r="B924" s="5" t="s">
        <v>1026</v>
      </c>
      <c r="C924" s="5" t="s">
        <v>1027</v>
      </c>
      <c r="D924" s="9" t="s">
        <v>66</v>
      </c>
      <c r="E924" s="5" t="n">
        <v>2</v>
      </c>
      <c r="F924" s="5" t="s">
        <v>9676</v>
      </c>
      <c r="G924" s="13" t="s">
        <v>9677</v>
      </c>
      <c r="H924" s="5" t="s">
        <v>9678</v>
      </c>
      <c r="I924" s="13" t="s">
        <v>9679</v>
      </c>
      <c r="J924" s="5" t="s">
        <v>9680</v>
      </c>
      <c r="K924" s="5" t="s">
        <v>9681</v>
      </c>
      <c r="L924" s="13" t="s">
        <v>9682</v>
      </c>
      <c r="M924" s="13" t="s">
        <v>9683</v>
      </c>
      <c r="N924" s="5" t="n">
        <f aca="false">LEN(L924)</f>
        <v>25</v>
      </c>
      <c r="O924" s="5" t="n">
        <f aca="false">LEN(M924)</f>
        <v>25</v>
      </c>
      <c r="P924" s="14" t="n">
        <f aca="false">IF(N924=0,"",(N924-LEN(SUBSTITUTE(SUBSTITUTE(L924,"G",""),"C","")))/N924)</f>
        <v>0.84</v>
      </c>
      <c r="Q924" s="14" t="n">
        <f aca="false">IF(O924=0,"",(O924-LEN(SUBSTITUTE(SUBSTITUTE(M924,"G",""),"C","")))/O924)</f>
        <v>0.56</v>
      </c>
      <c r="R924" s="5" t="s">
        <v>1029</v>
      </c>
      <c r="S924" s="15" t="s">
        <v>1677</v>
      </c>
      <c r="T924" s="5" t="n">
        <v>225</v>
      </c>
      <c r="U924" s="5" t="s">
        <v>1678</v>
      </c>
      <c r="V924" s="5" t="s">
        <v>588</v>
      </c>
      <c r="W924" s="5"/>
      <c r="X924" s="8" t="s">
        <v>1914</v>
      </c>
      <c r="Y924" s="5"/>
    </row>
    <row r="925" customFormat="false" ht="15" hidden="false" customHeight="false" outlineLevel="0" collapsed="false">
      <c r="A925" s="5" t="s">
        <v>9684</v>
      </c>
      <c r="B925" s="5" t="s">
        <v>1026</v>
      </c>
      <c r="C925" s="5" t="s">
        <v>1027</v>
      </c>
      <c r="D925" s="9" t="s">
        <v>66</v>
      </c>
      <c r="E925" s="5" t="n">
        <v>3</v>
      </c>
      <c r="F925" s="5" t="s">
        <v>9685</v>
      </c>
      <c r="G925" s="13" t="s">
        <v>9686</v>
      </c>
      <c r="H925" s="5" t="s">
        <v>9687</v>
      </c>
      <c r="I925" s="13" t="s">
        <v>9688</v>
      </c>
      <c r="J925" s="5" t="s">
        <v>9689</v>
      </c>
      <c r="K925" s="5" t="s">
        <v>9690</v>
      </c>
      <c r="L925" s="13" t="s">
        <v>9691</v>
      </c>
      <c r="M925" s="13" t="s">
        <v>9692</v>
      </c>
      <c r="N925" s="5" t="n">
        <f aca="false">LEN(L925)</f>
        <v>25</v>
      </c>
      <c r="O925" s="5" t="n">
        <f aca="false">LEN(M925)</f>
        <v>25</v>
      </c>
      <c r="P925" s="14" t="n">
        <f aca="false">IF(N925=0,"",(N925-LEN(SUBSTITUTE(SUBSTITUTE(L925,"G",""),"C","")))/N925)</f>
        <v>0.72</v>
      </c>
      <c r="Q925" s="14" t="n">
        <f aca="false">IF(O925=0,"",(O925-LEN(SUBSTITUTE(SUBSTITUTE(M925,"G",""),"C","")))/O925)</f>
        <v>0.84</v>
      </c>
      <c r="R925" s="5" t="s">
        <v>1029</v>
      </c>
      <c r="S925" s="15" t="s">
        <v>1677</v>
      </c>
      <c r="T925" s="5" t="n">
        <v>369</v>
      </c>
      <c r="U925" s="5" t="s">
        <v>1678</v>
      </c>
      <c r="V925" s="5" t="s">
        <v>588</v>
      </c>
      <c r="W925" s="5"/>
      <c r="X925" s="8" t="s">
        <v>2131</v>
      </c>
      <c r="Y925" s="5"/>
    </row>
    <row r="926" customFormat="false" ht="15" hidden="false" customHeight="false" outlineLevel="0" collapsed="false">
      <c r="A926" s="5" t="s">
        <v>9693</v>
      </c>
      <c r="B926" s="5" t="s">
        <v>1026</v>
      </c>
      <c r="C926" s="5" t="s">
        <v>1027</v>
      </c>
      <c r="D926" s="9" t="s">
        <v>66</v>
      </c>
      <c r="E926" s="5" t="n">
        <v>4</v>
      </c>
      <c r="F926" s="5" t="s">
        <v>9694</v>
      </c>
      <c r="G926" s="13" t="s">
        <v>9695</v>
      </c>
      <c r="H926" s="5" t="s">
        <v>9696</v>
      </c>
      <c r="I926" s="13" t="s">
        <v>9697</v>
      </c>
      <c r="J926" s="5" t="s">
        <v>9698</v>
      </c>
      <c r="K926" s="5" t="s">
        <v>9699</v>
      </c>
      <c r="L926" s="13" t="s">
        <v>9700</v>
      </c>
      <c r="M926" s="13" t="s">
        <v>9701</v>
      </c>
      <c r="N926" s="5" t="n">
        <f aca="false">LEN(L926)</f>
        <v>25</v>
      </c>
      <c r="O926" s="5" t="n">
        <f aca="false">LEN(M926)</f>
        <v>25</v>
      </c>
      <c r="P926" s="14" t="n">
        <f aca="false">IF(N926=0,"",(N926-LEN(SUBSTITUTE(SUBSTITUTE(L926,"G",""),"C","")))/N926)</f>
        <v>0.44</v>
      </c>
      <c r="Q926" s="14" t="n">
        <f aca="false">IF(O926=0,"",(O926-LEN(SUBSTITUTE(SUBSTITUTE(M926,"G",""),"C","")))/O926)</f>
        <v>0.44</v>
      </c>
      <c r="R926" s="5" t="s">
        <v>1029</v>
      </c>
      <c r="S926" s="15" t="s">
        <v>1677</v>
      </c>
      <c r="T926" s="5" t="n">
        <v>512</v>
      </c>
      <c r="U926" s="5" t="s">
        <v>1678</v>
      </c>
      <c r="V926" s="5" t="s">
        <v>588</v>
      </c>
      <c r="W926" s="5"/>
      <c r="X926" s="8" t="s">
        <v>1769</v>
      </c>
      <c r="Y926" s="5"/>
    </row>
    <row r="927" customFormat="false" ht="15" hidden="false" customHeight="false" outlineLevel="0" collapsed="false">
      <c r="A927" s="5" t="s">
        <v>9702</v>
      </c>
      <c r="B927" s="5" t="s">
        <v>1026</v>
      </c>
      <c r="C927" s="5" t="s">
        <v>1027</v>
      </c>
      <c r="D927" s="9" t="s">
        <v>66</v>
      </c>
      <c r="E927" s="5" t="n">
        <v>5</v>
      </c>
      <c r="F927" s="5" t="s">
        <v>9703</v>
      </c>
      <c r="G927" s="13" t="s">
        <v>9704</v>
      </c>
      <c r="H927" s="5" t="s">
        <v>9705</v>
      </c>
      <c r="I927" s="13" t="s">
        <v>9706</v>
      </c>
      <c r="J927" s="5" t="s">
        <v>9707</v>
      </c>
      <c r="K927" s="5" t="s">
        <v>9708</v>
      </c>
      <c r="L927" s="13" t="s">
        <v>9709</v>
      </c>
      <c r="M927" s="13" t="s">
        <v>9710</v>
      </c>
      <c r="N927" s="5" t="n">
        <f aca="false">LEN(L927)</f>
        <v>25</v>
      </c>
      <c r="O927" s="5" t="n">
        <f aca="false">LEN(M927)</f>
        <v>25</v>
      </c>
      <c r="P927" s="14" t="n">
        <f aca="false">IF(N927=0,"",(N927-LEN(SUBSTITUTE(SUBSTITUTE(L927,"G",""),"C","")))/N927)</f>
        <v>0.6</v>
      </c>
      <c r="Q927" s="14" t="n">
        <f aca="false">IF(O927=0,"",(O927-LEN(SUBSTITUTE(SUBSTITUTE(M927,"G",""),"C","")))/O927)</f>
        <v>0.8</v>
      </c>
      <c r="R927" s="5" t="s">
        <v>1029</v>
      </c>
      <c r="S927" s="15" t="s">
        <v>1677</v>
      </c>
      <c r="T927" s="5" t="n">
        <v>655</v>
      </c>
      <c r="U927" s="5" t="s">
        <v>1678</v>
      </c>
      <c r="V927" s="5" t="s">
        <v>588</v>
      </c>
      <c r="W927" s="5"/>
      <c r="X927" s="15" t="s">
        <v>1677</v>
      </c>
      <c r="Y927" s="5"/>
    </row>
    <row r="928" customFormat="false" ht="15" hidden="false" customHeight="false" outlineLevel="0" collapsed="false">
      <c r="A928" s="5" t="s">
        <v>9711</v>
      </c>
      <c r="B928" s="5" t="s">
        <v>1026</v>
      </c>
      <c r="C928" s="5" t="s">
        <v>1027</v>
      </c>
      <c r="D928" s="9" t="s">
        <v>66</v>
      </c>
      <c r="E928" s="5" t="n">
        <v>6</v>
      </c>
      <c r="F928" s="5" t="s">
        <v>9712</v>
      </c>
      <c r="G928" s="13" t="s">
        <v>9713</v>
      </c>
      <c r="H928" s="5" t="s">
        <v>9714</v>
      </c>
      <c r="I928" s="13" t="s">
        <v>9715</v>
      </c>
      <c r="J928" s="5" t="s">
        <v>9716</v>
      </c>
      <c r="K928" s="5" t="s">
        <v>9717</v>
      </c>
      <c r="L928" s="13" t="s">
        <v>9718</v>
      </c>
      <c r="M928" s="13" t="s">
        <v>9719</v>
      </c>
      <c r="N928" s="5" t="n">
        <f aca="false">LEN(L928)</f>
        <v>25</v>
      </c>
      <c r="O928" s="5" t="n">
        <f aca="false">LEN(M928)</f>
        <v>25</v>
      </c>
      <c r="P928" s="14" t="n">
        <f aca="false">IF(N928=0,"",(N928-LEN(SUBSTITUTE(SUBSTITUTE(L928,"G",""),"C","")))/N928)</f>
        <v>0.36</v>
      </c>
      <c r="Q928" s="14" t="n">
        <f aca="false">IF(O928=0,"",(O928-LEN(SUBSTITUTE(SUBSTITUTE(M928,"G",""),"C","")))/O928)</f>
        <v>0.44</v>
      </c>
      <c r="R928" s="5" t="s">
        <v>1029</v>
      </c>
      <c r="S928" s="15" t="s">
        <v>1677</v>
      </c>
      <c r="T928" s="5" t="n">
        <v>798</v>
      </c>
      <c r="U928" s="5" t="s">
        <v>1678</v>
      </c>
      <c r="V928" s="5" t="s">
        <v>588</v>
      </c>
      <c r="W928" s="5"/>
      <c r="X928" s="8" t="s">
        <v>1769</v>
      </c>
      <c r="Y928" s="5"/>
    </row>
    <row r="929" customFormat="false" ht="15" hidden="false" customHeight="false" outlineLevel="0" collapsed="false">
      <c r="A929" s="5" t="s">
        <v>9720</v>
      </c>
      <c r="B929" s="5" t="s">
        <v>1026</v>
      </c>
      <c r="C929" s="5" t="s">
        <v>1027</v>
      </c>
      <c r="D929" s="9" t="s">
        <v>66</v>
      </c>
      <c r="E929" s="5" t="n">
        <v>7</v>
      </c>
      <c r="F929" s="5" t="s">
        <v>9721</v>
      </c>
      <c r="G929" s="13" t="s">
        <v>9722</v>
      </c>
      <c r="H929" s="5" t="s">
        <v>9723</v>
      </c>
      <c r="I929" s="13" t="s">
        <v>9724</v>
      </c>
      <c r="J929" s="5" t="s">
        <v>9725</v>
      </c>
      <c r="K929" s="5" t="s">
        <v>9726</v>
      </c>
      <c r="L929" s="13" t="s">
        <v>9727</v>
      </c>
      <c r="M929" s="13" t="s">
        <v>9728</v>
      </c>
      <c r="N929" s="5" t="n">
        <f aca="false">LEN(L929)</f>
        <v>25</v>
      </c>
      <c r="O929" s="5" t="n">
        <f aca="false">LEN(M929)</f>
        <v>25</v>
      </c>
      <c r="P929" s="14" t="n">
        <f aca="false">IF(N929=0,"",(N929-LEN(SUBSTITUTE(SUBSTITUTE(L929,"G",""),"C","")))/N929)</f>
        <v>0.52</v>
      </c>
      <c r="Q929" s="14" t="n">
        <f aca="false">IF(O929=0,"",(O929-LEN(SUBSTITUTE(SUBSTITUTE(M929,"G",""),"C","")))/O929)</f>
        <v>0.64</v>
      </c>
      <c r="R929" s="5" t="s">
        <v>1029</v>
      </c>
      <c r="S929" s="15" t="s">
        <v>1677</v>
      </c>
      <c r="T929" s="5" t="n">
        <v>944</v>
      </c>
      <c r="U929" s="5" t="s">
        <v>1678</v>
      </c>
      <c r="V929" s="5" t="s">
        <v>588</v>
      </c>
      <c r="W929" s="5"/>
      <c r="X929" s="15" t="s">
        <v>1677</v>
      </c>
      <c r="Y929" s="5"/>
    </row>
    <row r="930" customFormat="false" ht="15" hidden="false" customHeight="false" outlineLevel="0" collapsed="false">
      <c r="A930" s="5" t="s">
        <v>9729</v>
      </c>
      <c r="B930" s="5" t="s">
        <v>1034</v>
      </c>
      <c r="C930" s="5" t="s">
        <v>1035</v>
      </c>
      <c r="D930" s="9" t="s">
        <v>66</v>
      </c>
      <c r="E930" s="5" t="n">
        <v>1</v>
      </c>
      <c r="F930" s="5" t="s">
        <v>9730</v>
      </c>
      <c r="G930" s="13" t="s">
        <v>9731</v>
      </c>
      <c r="H930" s="5" t="s">
        <v>9732</v>
      </c>
      <c r="I930" s="13" t="s">
        <v>9733</v>
      </c>
      <c r="J930" s="5" t="s">
        <v>9734</v>
      </c>
      <c r="K930" s="5" t="s">
        <v>9735</v>
      </c>
      <c r="L930" s="13" t="s">
        <v>9736</v>
      </c>
      <c r="M930" s="13" t="s">
        <v>9737</v>
      </c>
      <c r="N930" s="5" t="n">
        <f aca="false">LEN(L930)</f>
        <v>25</v>
      </c>
      <c r="O930" s="5" t="n">
        <f aca="false">LEN(M930)</f>
        <v>25</v>
      </c>
      <c r="P930" s="14" t="n">
        <f aca="false">IF(N930=0,"",(N930-LEN(SUBSTITUTE(SUBSTITUTE(L930,"G",""),"C","")))/N930)</f>
        <v>0.52</v>
      </c>
      <c r="Q930" s="14" t="n">
        <f aca="false">IF(O930=0,"",(O930-LEN(SUBSTITUTE(SUBSTITUTE(M930,"G",""),"C","")))/O930)</f>
        <v>0.56</v>
      </c>
      <c r="R930" s="5" t="s">
        <v>1037</v>
      </c>
      <c r="S930" s="15" t="s">
        <v>1677</v>
      </c>
      <c r="T930" s="5" t="n">
        <v>10</v>
      </c>
      <c r="U930" s="5" t="s">
        <v>1678</v>
      </c>
      <c r="V930" s="5" t="s">
        <v>588</v>
      </c>
      <c r="W930" s="5"/>
      <c r="X930" s="15" t="s">
        <v>1677</v>
      </c>
      <c r="Y930" s="5"/>
    </row>
    <row r="931" customFormat="false" ht="15" hidden="false" customHeight="false" outlineLevel="0" collapsed="false">
      <c r="A931" s="5" t="s">
        <v>9738</v>
      </c>
      <c r="B931" s="5" t="s">
        <v>1034</v>
      </c>
      <c r="C931" s="5" t="s">
        <v>1035</v>
      </c>
      <c r="D931" s="9" t="s">
        <v>66</v>
      </c>
      <c r="E931" s="5" t="n">
        <v>2</v>
      </c>
      <c r="F931" s="5" t="s">
        <v>9739</v>
      </c>
      <c r="G931" s="13" t="s">
        <v>9740</v>
      </c>
      <c r="H931" s="5" t="s">
        <v>9741</v>
      </c>
      <c r="I931" s="13" t="s">
        <v>9742</v>
      </c>
      <c r="J931" s="5" t="s">
        <v>9743</v>
      </c>
      <c r="K931" s="5" t="s">
        <v>9744</v>
      </c>
      <c r="L931" s="13" t="s">
        <v>9745</v>
      </c>
      <c r="M931" s="13" t="s">
        <v>9746</v>
      </c>
      <c r="N931" s="5" t="n">
        <f aca="false">LEN(L931)</f>
        <v>25</v>
      </c>
      <c r="O931" s="5" t="n">
        <f aca="false">LEN(M931)</f>
        <v>25</v>
      </c>
      <c r="P931" s="14" t="n">
        <f aca="false">IF(N931=0,"",(N931-LEN(SUBSTITUTE(SUBSTITUTE(L931,"G",""),"C","")))/N931)</f>
        <v>0.64</v>
      </c>
      <c r="Q931" s="14" t="n">
        <f aca="false">IF(O931=0,"",(O931-LEN(SUBSTITUTE(SUBSTITUTE(M931,"G",""),"C","")))/O931)</f>
        <v>0.68</v>
      </c>
      <c r="R931" s="5" t="s">
        <v>1037</v>
      </c>
      <c r="S931" s="15" t="s">
        <v>1677</v>
      </c>
      <c r="T931" s="5" t="n">
        <v>154</v>
      </c>
      <c r="U931" s="5" t="s">
        <v>1678</v>
      </c>
      <c r="V931" s="5" t="s">
        <v>588</v>
      </c>
      <c r="W931" s="5"/>
      <c r="X931" s="8" t="s">
        <v>1914</v>
      </c>
      <c r="Y931" s="5"/>
    </row>
    <row r="932" customFormat="false" ht="15" hidden="false" customHeight="false" outlineLevel="0" collapsed="false">
      <c r="A932" s="5" t="s">
        <v>9747</v>
      </c>
      <c r="B932" s="5" t="s">
        <v>1034</v>
      </c>
      <c r="C932" s="5" t="s">
        <v>1035</v>
      </c>
      <c r="D932" s="9" t="s">
        <v>66</v>
      </c>
      <c r="E932" s="5" t="n">
        <v>3</v>
      </c>
      <c r="F932" s="5" t="s">
        <v>9748</v>
      </c>
      <c r="G932" s="13" t="s">
        <v>9749</v>
      </c>
      <c r="H932" s="5" t="s">
        <v>9750</v>
      </c>
      <c r="I932" s="13" t="s">
        <v>9751</v>
      </c>
      <c r="J932" s="5" t="s">
        <v>9752</v>
      </c>
      <c r="K932" s="5" t="s">
        <v>9753</v>
      </c>
      <c r="L932" s="13" t="s">
        <v>9754</v>
      </c>
      <c r="M932" s="13" t="s">
        <v>9755</v>
      </c>
      <c r="N932" s="5" t="n">
        <f aca="false">LEN(L932)</f>
        <v>25</v>
      </c>
      <c r="O932" s="5" t="n">
        <f aca="false">LEN(M932)</f>
        <v>26</v>
      </c>
      <c r="P932" s="14" t="n">
        <f aca="false">IF(N932=0,"",(N932-LEN(SUBSTITUTE(SUBSTITUTE(L932,"G",""),"C","")))/N932)</f>
        <v>0.56</v>
      </c>
      <c r="Q932" s="14" t="n">
        <f aca="false">IF(O932=0,"",(O932-LEN(SUBSTITUTE(SUBSTITUTE(M932,"G",""),"C","")))/O932)</f>
        <v>0.269230769230769</v>
      </c>
      <c r="R932" s="5" t="s">
        <v>1037</v>
      </c>
      <c r="S932" s="15" t="s">
        <v>1677</v>
      </c>
      <c r="T932" s="5" t="n">
        <v>297</v>
      </c>
      <c r="U932" s="5" t="s">
        <v>1678</v>
      </c>
      <c r="V932" s="5" t="s">
        <v>588</v>
      </c>
      <c r="W932" s="5"/>
      <c r="X932" s="15" t="s">
        <v>1677</v>
      </c>
      <c r="Y932" s="8" t="s">
        <v>8035</v>
      </c>
    </row>
    <row r="933" customFormat="false" ht="15" hidden="false" customHeight="false" outlineLevel="0" collapsed="false">
      <c r="A933" s="5" t="s">
        <v>9756</v>
      </c>
      <c r="B933" s="5" t="s">
        <v>1034</v>
      </c>
      <c r="C933" s="5" t="s">
        <v>1035</v>
      </c>
      <c r="D933" s="9" t="s">
        <v>66</v>
      </c>
      <c r="E933" s="5" t="n">
        <v>4</v>
      </c>
      <c r="F933" s="5" t="s">
        <v>9757</v>
      </c>
      <c r="G933" s="13" t="s">
        <v>9758</v>
      </c>
      <c r="H933" s="5" t="s">
        <v>9759</v>
      </c>
      <c r="I933" s="13" t="s">
        <v>9760</v>
      </c>
      <c r="J933" s="5" t="s">
        <v>9761</v>
      </c>
      <c r="K933" s="5" t="s">
        <v>9762</v>
      </c>
      <c r="L933" s="13" t="s">
        <v>9763</v>
      </c>
      <c r="M933" s="13" t="s">
        <v>9764</v>
      </c>
      <c r="N933" s="5" t="n">
        <f aca="false">LEN(L933)</f>
        <v>25</v>
      </c>
      <c r="O933" s="5" t="n">
        <f aca="false">LEN(M933)</f>
        <v>25</v>
      </c>
      <c r="P933" s="14" t="n">
        <f aca="false">IF(N933=0,"",(N933-LEN(SUBSTITUTE(SUBSTITUTE(L933,"G",""),"C","")))/N933)</f>
        <v>0.44</v>
      </c>
      <c r="Q933" s="14" t="n">
        <f aca="false">IF(O933=0,"",(O933-LEN(SUBSTITUTE(SUBSTITUTE(M933,"G",""),"C","")))/O933)</f>
        <v>0.4</v>
      </c>
      <c r="R933" s="5" t="s">
        <v>1037</v>
      </c>
      <c r="S933" s="15" t="s">
        <v>1677</v>
      </c>
      <c r="T933" s="5" t="n">
        <v>442</v>
      </c>
      <c r="U933" s="5" t="s">
        <v>1678</v>
      </c>
      <c r="V933" s="5" t="s">
        <v>588</v>
      </c>
      <c r="W933" s="5"/>
      <c r="X933" s="15" t="s">
        <v>1677</v>
      </c>
      <c r="Y933" s="5"/>
    </row>
    <row r="934" customFormat="false" ht="15" hidden="false" customHeight="false" outlineLevel="0" collapsed="false">
      <c r="A934" s="5" t="s">
        <v>9765</v>
      </c>
      <c r="B934" s="5" t="s">
        <v>1034</v>
      </c>
      <c r="C934" s="5" t="s">
        <v>1035</v>
      </c>
      <c r="D934" s="9" t="s">
        <v>66</v>
      </c>
      <c r="E934" s="5" t="n">
        <v>5</v>
      </c>
      <c r="F934" s="5" t="s">
        <v>9766</v>
      </c>
      <c r="G934" s="13" t="s">
        <v>9767</v>
      </c>
      <c r="H934" s="5" t="s">
        <v>9768</v>
      </c>
      <c r="I934" s="13" t="s">
        <v>9769</v>
      </c>
      <c r="J934" s="5" t="s">
        <v>9770</v>
      </c>
      <c r="K934" s="5" t="s">
        <v>9771</v>
      </c>
      <c r="L934" s="13" t="s">
        <v>9772</v>
      </c>
      <c r="M934" s="13" t="s">
        <v>9773</v>
      </c>
      <c r="N934" s="5" t="n">
        <f aca="false">LEN(L934)</f>
        <v>25</v>
      </c>
      <c r="O934" s="5" t="n">
        <f aca="false">LEN(M934)</f>
        <v>25</v>
      </c>
      <c r="P934" s="14" t="n">
        <f aca="false">IF(N934=0,"",(N934-LEN(SUBSTITUTE(SUBSTITUTE(L934,"G",""),"C","")))/N934)</f>
        <v>0.68</v>
      </c>
      <c r="Q934" s="14" t="n">
        <f aca="false">IF(O934=0,"",(O934-LEN(SUBSTITUTE(SUBSTITUTE(M934,"G",""),"C","")))/O934)</f>
        <v>0.44</v>
      </c>
      <c r="R934" s="5" t="s">
        <v>1037</v>
      </c>
      <c r="S934" s="15" t="s">
        <v>1677</v>
      </c>
      <c r="T934" s="5" t="n">
        <v>589</v>
      </c>
      <c r="U934" s="5" t="s">
        <v>1678</v>
      </c>
      <c r="V934" s="5" t="s">
        <v>588</v>
      </c>
      <c r="W934" s="5"/>
      <c r="X934" s="15" t="s">
        <v>1677</v>
      </c>
      <c r="Y934" s="5"/>
    </row>
    <row r="935" customFormat="false" ht="15" hidden="false" customHeight="false" outlineLevel="0" collapsed="false">
      <c r="A935" s="5" t="s">
        <v>9774</v>
      </c>
      <c r="B935" s="5" t="s">
        <v>1034</v>
      </c>
      <c r="C935" s="5" t="s">
        <v>1035</v>
      </c>
      <c r="D935" s="9" t="s">
        <v>66</v>
      </c>
      <c r="E935" s="5" t="n">
        <v>6</v>
      </c>
      <c r="F935" s="5" t="s">
        <v>9775</v>
      </c>
      <c r="G935" s="13" t="s">
        <v>9776</v>
      </c>
      <c r="H935" s="5" t="s">
        <v>9777</v>
      </c>
      <c r="I935" s="13" t="s">
        <v>9778</v>
      </c>
      <c r="J935" s="5" t="s">
        <v>9779</v>
      </c>
      <c r="K935" s="5" t="s">
        <v>9780</v>
      </c>
      <c r="L935" s="13" t="s">
        <v>9781</v>
      </c>
      <c r="M935" s="13" t="s">
        <v>9782</v>
      </c>
      <c r="N935" s="5" t="n">
        <f aca="false">LEN(L935)</f>
        <v>25</v>
      </c>
      <c r="O935" s="5" t="n">
        <f aca="false">LEN(M935)</f>
        <v>25</v>
      </c>
      <c r="P935" s="14" t="n">
        <f aca="false">IF(N935=0,"",(N935-LEN(SUBSTITUTE(SUBSTITUTE(L935,"G",""),"C","")))/N935)</f>
        <v>0.32</v>
      </c>
      <c r="Q935" s="14" t="n">
        <f aca="false">IF(O935=0,"",(O935-LEN(SUBSTITUTE(SUBSTITUTE(M935,"G",""),"C","")))/O935)</f>
        <v>0.32</v>
      </c>
      <c r="R935" s="5" t="s">
        <v>1037</v>
      </c>
      <c r="S935" s="15" t="s">
        <v>1677</v>
      </c>
      <c r="T935" s="5" t="n">
        <v>662</v>
      </c>
      <c r="U935" s="5" t="s">
        <v>1678</v>
      </c>
      <c r="V935" s="5" t="s">
        <v>588</v>
      </c>
      <c r="W935" s="5"/>
      <c r="X935" s="15" t="s">
        <v>1677</v>
      </c>
      <c r="Y935" s="5"/>
    </row>
    <row r="936" customFormat="false" ht="15" hidden="false" customHeight="false" outlineLevel="0" collapsed="false">
      <c r="A936" s="5" t="s">
        <v>9783</v>
      </c>
      <c r="B936" s="5" t="s">
        <v>1040</v>
      </c>
      <c r="C936" s="5" t="s">
        <v>1041</v>
      </c>
      <c r="D936" s="9" t="s">
        <v>66</v>
      </c>
      <c r="E936" s="5" t="n">
        <v>1</v>
      </c>
      <c r="F936" s="5" t="s">
        <v>9784</v>
      </c>
      <c r="G936" s="13" t="s">
        <v>9785</v>
      </c>
      <c r="H936" s="5" t="s">
        <v>9786</v>
      </c>
      <c r="I936" s="13" t="s">
        <v>9787</v>
      </c>
      <c r="J936" s="5" t="s">
        <v>9788</v>
      </c>
      <c r="K936" s="5" t="s">
        <v>9789</v>
      </c>
      <c r="L936" s="13" t="s">
        <v>9790</v>
      </c>
      <c r="M936" s="13" t="s">
        <v>9791</v>
      </c>
      <c r="N936" s="5" t="n">
        <f aca="false">LEN(L936)</f>
        <v>25</v>
      </c>
      <c r="O936" s="5" t="n">
        <f aca="false">LEN(M936)</f>
        <v>25</v>
      </c>
      <c r="P936" s="14" t="n">
        <f aca="false">IF(N936=0,"",(N936-LEN(SUBSTITUTE(SUBSTITUTE(L936,"G",""),"C","")))/N936)</f>
        <v>0.48</v>
      </c>
      <c r="Q936" s="14" t="n">
        <f aca="false">IF(O936=0,"",(O936-LEN(SUBSTITUTE(SUBSTITUTE(M936,"G",""),"C","")))/O936)</f>
        <v>0.4</v>
      </c>
      <c r="R936" s="5" t="s">
        <v>1044</v>
      </c>
      <c r="S936" s="15" t="s">
        <v>1677</v>
      </c>
      <c r="T936" s="5" t="n">
        <v>82</v>
      </c>
      <c r="U936" s="5" t="s">
        <v>1678</v>
      </c>
      <c r="V936" s="5" t="s">
        <v>588</v>
      </c>
      <c r="W936" s="5"/>
      <c r="X936" s="15" t="s">
        <v>1677</v>
      </c>
      <c r="Y936" s="5"/>
    </row>
    <row r="937" customFormat="false" ht="15" hidden="false" customHeight="false" outlineLevel="0" collapsed="false">
      <c r="A937" s="5" t="s">
        <v>9792</v>
      </c>
      <c r="B937" s="5" t="s">
        <v>1040</v>
      </c>
      <c r="C937" s="5" t="s">
        <v>1041</v>
      </c>
      <c r="D937" s="9" t="s">
        <v>66</v>
      </c>
      <c r="E937" s="5" t="n">
        <v>2</v>
      </c>
      <c r="F937" s="5" t="s">
        <v>9793</v>
      </c>
      <c r="G937" s="13" t="s">
        <v>9794</v>
      </c>
      <c r="H937" s="5" t="s">
        <v>9795</v>
      </c>
      <c r="I937" s="13" t="s">
        <v>9796</v>
      </c>
      <c r="J937" s="5" t="s">
        <v>9797</v>
      </c>
      <c r="K937" s="5" t="s">
        <v>9798</v>
      </c>
      <c r="L937" s="13" t="s">
        <v>9799</v>
      </c>
      <c r="M937" s="13" t="s">
        <v>9800</v>
      </c>
      <c r="N937" s="5" t="n">
        <f aca="false">LEN(L937)</f>
        <v>25</v>
      </c>
      <c r="O937" s="5" t="n">
        <f aca="false">LEN(M937)</f>
        <v>25</v>
      </c>
      <c r="P937" s="14" t="n">
        <f aca="false">IF(N937=0,"",(N937-LEN(SUBSTITUTE(SUBSTITUTE(L937,"G",""),"C","")))/N937)</f>
        <v>0.4</v>
      </c>
      <c r="Q937" s="14" t="n">
        <f aca="false">IF(O937=0,"",(O937-LEN(SUBSTITUTE(SUBSTITUTE(M937,"G",""),"C","")))/O937)</f>
        <v>0.44</v>
      </c>
      <c r="R937" s="5" t="s">
        <v>1044</v>
      </c>
      <c r="S937" s="15" t="s">
        <v>1677</v>
      </c>
      <c r="T937" s="5" t="n">
        <v>228</v>
      </c>
      <c r="U937" s="5" t="s">
        <v>1678</v>
      </c>
      <c r="V937" s="5" t="s">
        <v>588</v>
      </c>
      <c r="W937" s="5"/>
      <c r="X937" s="8" t="s">
        <v>1914</v>
      </c>
      <c r="Y937" s="5"/>
    </row>
    <row r="938" customFormat="false" ht="15" hidden="false" customHeight="false" outlineLevel="0" collapsed="false">
      <c r="A938" s="5" t="s">
        <v>9801</v>
      </c>
      <c r="B938" s="5" t="s">
        <v>1040</v>
      </c>
      <c r="C938" s="5" t="s">
        <v>1041</v>
      </c>
      <c r="D938" s="9" t="s">
        <v>66</v>
      </c>
      <c r="E938" s="5" t="n">
        <v>3</v>
      </c>
      <c r="F938" s="5" t="s">
        <v>9802</v>
      </c>
      <c r="G938" s="13" t="s">
        <v>9803</v>
      </c>
      <c r="H938" s="5" t="s">
        <v>9804</v>
      </c>
      <c r="I938" s="13" t="s">
        <v>9805</v>
      </c>
      <c r="J938" s="5" t="s">
        <v>9806</v>
      </c>
      <c r="K938" s="5" t="s">
        <v>9807</v>
      </c>
      <c r="L938" s="13" t="s">
        <v>9808</v>
      </c>
      <c r="M938" s="13" t="s">
        <v>9809</v>
      </c>
      <c r="N938" s="5" t="n">
        <f aca="false">LEN(L938)</f>
        <v>25</v>
      </c>
      <c r="O938" s="5" t="n">
        <f aca="false">LEN(M938)</f>
        <v>25</v>
      </c>
      <c r="P938" s="14" t="n">
        <f aca="false">IF(N938=0,"",(N938-LEN(SUBSTITUTE(SUBSTITUTE(L938,"G",""),"C","")))/N938)</f>
        <v>0.44</v>
      </c>
      <c r="Q938" s="14" t="n">
        <f aca="false">IF(O938=0,"",(O938-LEN(SUBSTITUTE(SUBSTITUTE(M938,"G",""),"C","")))/O938)</f>
        <v>0.52</v>
      </c>
      <c r="R938" s="5" t="s">
        <v>1044</v>
      </c>
      <c r="S938" s="15" t="s">
        <v>1677</v>
      </c>
      <c r="T938" s="5" t="n">
        <v>374</v>
      </c>
      <c r="U938" s="5" t="s">
        <v>1678</v>
      </c>
      <c r="V938" s="5" t="s">
        <v>588</v>
      </c>
      <c r="W938" s="5"/>
      <c r="X938" s="15" t="s">
        <v>1677</v>
      </c>
      <c r="Y938" s="5"/>
    </row>
    <row r="939" customFormat="false" ht="15" hidden="false" customHeight="false" outlineLevel="0" collapsed="false">
      <c r="A939" s="5" t="s">
        <v>9810</v>
      </c>
      <c r="B939" s="5" t="s">
        <v>1040</v>
      </c>
      <c r="C939" s="5" t="s">
        <v>1041</v>
      </c>
      <c r="D939" s="9" t="s">
        <v>66</v>
      </c>
      <c r="E939" s="5" t="n">
        <v>4</v>
      </c>
      <c r="F939" s="5" t="s">
        <v>9811</v>
      </c>
      <c r="G939" s="13" t="s">
        <v>9812</v>
      </c>
      <c r="H939" s="5" t="s">
        <v>9813</v>
      </c>
      <c r="I939" s="13" t="s">
        <v>9814</v>
      </c>
      <c r="J939" s="5" t="s">
        <v>9815</v>
      </c>
      <c r="K939" s="5" t="s">
        <v>9816</v>
      </c>
      <c r="L939" s="13" t="s">
        <v>9817</v>
      </c>
      <c r="M939" s="13" t="s">
        <v>9818</v>
      </c>
      <c r="N939" s="5" t="n">
        <f aca="false">LEN(L939)</f>
        <v>25</v>
      </c>
      <c r="O939" s="5" t="n">
        <f aca="false">LEN(M939)</f>
        <v>25</v>
      </c>
      <c r="P939" s="14" t="n">
        <f aca="false">IF(N939=0,"",(N939-LEN(SUBSTITUTE(SUBSTITUTE(L939,"G",""),"C","")))/N939)</f>
        <v>0.32</v>
      </c>
      <c r="Q939" s="14" t="n">
        <f aca="false">IF(O939=0,"",(O939-LEN(SUBSTITUTE(SUBSTITUTE(M939,"G",""),"C","")))/O939)</f>
        <v>0.48</v>
      </c>
      <c r="R939" s="5" t="s">
        <v>1044</v>
      </c>
      <c r="S939" s="15" t="s">
        <v>1677</v>
      </c>
      <c r="T939" s="5" t="n">
        <v>521</v>
      </c>
      <c r="U939" s="5" t="s">
        <v>1678</v>
      </c>
      <c r="V939" s="5" t="s">
        <v>588</v>
      </c>
      <c r="W939" s="5"/>
      <c r="X939" s="15" t="s">
        <v>1677</v>
      </c>
      <c r="Y939" s="5"/>
    </row>
    <row r="940" customFormat="false" ht="15" hidden="false" customHeight="false" outlineLevel="0" collapsed="false">
      <c r="A940" s="5" t="s">
        <v>9819</v>
      </c>
      <c r="B940" s="5" t="s">
        <v>1040</v>
      </c>
      <c r="C940" s="5" t="s">
        <v>1041</v>
      </c>
      <c r="D940" s="9" t="s">
        <v>66</v>
      </c>
      <c r="E940" s="5" t="n">
        <v>5</v>
      </c>
      <c r="F940" s="5" t="s">
        <v>9820</v>
      </c>
      <c r="G940" s="13" t="s">
        <v>9821</v>
      </c>
      <c r="H940" s="5" t="s">
        <v>9822</v>
      </c>
      <c r="I940" s="13" t="s">
        <v>9823</v>
      </c>
      <c r="J940" s="5" t="s">
        <v>9824</v>
      </c>
      <c r="K940" s="5" t="s">
        <v>9825</v>
      </c>
      <c r="L940" s="13" t="s">
        <v>9826</v>
      </c>
      <c r="M940" s="13" t="s">
        <v>9827</v>
      </c>
      <c r="N940" s="5" t="n">
        <f aca="false">LEN(L940)</f>
        <v>25</v>
      </c>
      <c r="O940" s="5" t="n">
        <f aca="false">LEN(M940)</f>
        <v>25</v>
      </c>
      <c r="P940" s="14" t="n">
        <f aca="false">IF(N940=0,"",(N940-LEN(SUBSTITUTE(SUBSTITUTE(L940,"G",""),"C","")))/N940)</f>
        <v>0.48</v>
      </c>
      <c r="Q940" s="14" t="n">
        <f aca="false">IF(O940=0,"",(O940-LEN(SUBSTITUTE(SUBSTITUTE(M940,"G",""),"C","")))/O940)</f>
        <v>0.48</v>
      </c>
      <c r="R940" s="5" t="s">
        <v>1044</v>
      </c>
      <c r="S940" s="15" t="s">
        <v>1677</v>
      </c>
      <c r="T940" s="5" t="n">
        <v>666</v>
      </c>
      <c r="U940" s="5" t="s">
        <v>1678</v>
      </c>
      <c r="V940" s="5" t="s">
        <v>588</v>
      </c>
      <c r="W940" s="5"/>
      <c r="X940" s="15" t="s">
        <v>1677</v>
      </c>
      <c r="Y940" s="5"/>
    </row>
    <row r="941" customFormat="false" ht="15" hidden="false" customHeight="false" outlineLevel="0" collapsed="false">
      <c r="A941" s="5" t="s">
        <v>9828</v>
      </c>
      <c r="B941" s="5" t="s">
        <v>1048</v>
      </c>
      <c r="C941" s="5" t="s">
        <v>1049</v>
      </c>
      <c r="D941" s="10" t="s">
        <v>137</v>
      </c>
      <c r="E941" s="5" t="n">
        <v>1</v>
      </c>
      <c r="F941" s="5" t="s">
        <v>9829</v>
      </c>
      <c r="G941" s="13" t="s">
        <v>9830</v>
      </c>
      <c r="H941" s="5" t="s">
        <v>9831</v>
      </c>
      <c r="I941" s="13" t="s">
        <v>9832</v>
      </c>
      <c r="J941" s="5" t="s">
        <v>9833</v>
      </c>
      <c r="K941" s="5" t="s">
        <v>9834</v>
      </c>
      <c r="L941" s="13" t="s">
        <v>9835</v>
      </c>
      <c r="M941" s="13" t="s">
        <v>9836</v>
      </c>
      <c r="N941" s="5" t="n">
        <f aca="false">LEN(L941)</f>
        <v>25</v>
      </c>
      <c r="O941" s="5" t="n">
        <f aca="false">LEN(M941)</f>
        <v>25</v>
      </c>
      <c r="P941" s="14" t="n">
        <f aca="false">IF(N941=0,"",(N941-LEN(SUBSTITUTE(SUBSTITUTE(L941,"G",""),"C","")))/N941)</f>
        <v>0.76</v>
      </c>
      <c r="Q941" s="14" t="n">
        <f aca="false">IF(O941=0,"",(O941-LEN(SUBSTITUTE(SUBSTITUTE(M941,"G",""),"C","")))/O941)</f>
        <v>0.92</v>
      </c>
      <c r="R941" s="5" t="s">
        <v>1056</v>
      </c>
      <c r="S941" s="15" t="s">
        <v>1677</v>
      </c>
      <c r="T941" s="5" t="n">
        <v>146</v>
      </c>
      <c r="U941" s="5" t="s">
        <v>1678</v>
      </c>
      <c r="V941" s="5" t="s">
        <v>1055</v>
      </c>
      <c r="W941" s="5"/>
      <c r="X941" s="15" t="s">
        <v>1677</v>
      </c>
      <c r="Y941" s="5"/>
    </row>
    <row r="942" customFormat="false" ht="15" hidden="false" customHeight="false" outlineLevel="0" collapsed="false">
      <c r="A942" s="5" t="s">
        <v>9837</v>
      </c>
      <c r="B942" s="5" t="s">
        <v>1048</v>
      </c>
      <c r="C942" s="5" t="s">
        <v>1049</v>
      </c>
      <c r="D942" s="10" t="s">
        <v>137</v>
      </c>
      <c r="E942" s="5" t="n">
        <v>2</v>
      </c>
      <c r="F942" s="5" t="s">
        <v>9838</v>
      </c>
      <c r="G942" s="13" t="s">
        <v>9839</v>
      </c>
      <c r="H942" s="5" t="s">
        <v>9840</v>
      </c>
      <c r="I942" s="13" t="s">
        <v>9841</v>
      </c>
      <c r="J942" s="5" t="s">
        <v>9842</v>
      </c>
      <c r="K942" s="5" t="s">
        <v>9843</v>
      </c>
      <c r="L942" s="13" t="s">
        <v>9844</v>
      </c>
      <c r="M942" s="13" t="s">
        <v>9845</v>
      </c>
      <c r="N942" s="5" t="n">
        <f aca="false">LEN(L942)</f>
        <v>25</v>
      </c>
      <c r="O942" s="5" t="n">
        <f aca="false">LEN(M942)</f>
        <v>25</v>
      </c>
      <c r="P942" s="14" t="n">
        <f aca="false">IF(N942=0,"",(N942-LEN(SUBSTITUTE(SUBSTITUTE(L942,"G",""),"C","")))/N942)</f>
        <v>0.76</v>
      </c>
      <c r="Q942" s="14" t="n">
        <f aca="false">IF(O942=0,"",(O942-LEN(SUBSTITUTE(SUBSTITUTE(M942,"G",""),"C","")))/O942)</f>
        <v>0.76</v>
      </c>
      <c r="R942" s="5" t="s">
        <v>1056</v>
      </c>
      <c r="S942" s="15" t="s">
        <v>1677</v>
      </c>
      <c r="T942" s="5" t="n">
        <v>216</v>
      </c>
      <c r="U942" s="5" t="s">
        <v>1678</v>
      </c>
      <c r="V942" s="5" t="s">
        <v>1055</v>
      </c>
      <c r="W942" s="5"/>
      <c r="X942" s="15" t="s">
        <v>1677</v>
      </c>
      <c r="Y942" s="5"/>
    </row>
    <row r="943" customFormat="false" ht="15" hidden="false" customHeight="false" outlineLevel="0" collapsed="false">
      <c r="A943" s="5" t="s">
        <v>9846</v>
      </c>
      <c r="B943" s="5" t="s">
        <v>1048</v>
      </c>
      <c r="C943" s="5" t="s">
        <v>1049</v>
      </c>
      <c r="D943" s="10" t="s">
        <v>137</v>
      </c>
      <c r="E943" s="5" t="n">
        <v>3</v>
      </c>
      <c r="F943" s="5" t="s">
        <v>9847</v>
      </c>
      <c r="G943" s="13" t="s">
        <v>9848</v>
      </c>
      <c r="H943" s="5" t="s">
        <v>9849</v>
      </c>
      <c r="I943" s="13" t="s">
        <v>9850</v>
      </c>
      <c r="J943" s="5" t="s">
        <v>9851</v>
      </c>
      <c r="K943" s="5" t="s">
        <v>9852</v>
      </c>
      <c r="L943" s="13" t="s">
        <v>9853</v>
      </c>
      <c r="M943" s="13" t="s">
        <v>9854</v>
      </c>
      <c r="N943" s="5" t="n">
        <f aca="false">LEN(L943)</f>
        <v>25</v>
      </c>
      <c r="O943" s="5" t="n">
        <f aca="false">LEN(M943)</f>
        <v>25</v>
      </c>
      <c r="P943" s="14" t="n">
        <f aca="false">IF(N943=0,"",(N943-LEN(SUBSTITUTE(SUBSTITUTE(L943,"G",""),"C","")))/N943)</f>
        <v>0.72</v>
      </c>
      <c r="Q943" s="14" t="n">
        <f aca="false">IF(O943=0,"",(O943-LEN(SUBSTITUTE(SUBSTITUTE(M943,"G",""),"C","")))/O943)</f>
        <v>0.92</v>
      </c>
      <c r="R943" s="5" t="s">
        <v>1056</v>
      </c>
      <c r="S943" s="15" t="s">
        <v>1677</v>
      </c>
      <c r="T943" s="5" t="n">
        <v>286</v>
      </c>
      <c r="U943" s="5" t="s">
        <v>1678</v>
      </c>
      <c r="V943" s="5" t="s">
        <v>1055</v>
      </c>
      <c r="W943" s="5"/>
      <c r="X943" s="15" t="s">
        <v>1677</v>
      </c>
      <c r="Y943" s="5"/>
    </row>
    <row r="944" customFormat="false" ht="15" hidden="false" customHeight="false" outlineLevel="0" collapsed="false">
      <c r="A944" s="5" t="s">
        <v>9855</v>
      </c>
      <c r="B944" s="5" t="s">
        <v>1048</v>
      </c>
      <c r="C944" s="5" t="s">
        <v>1049</v>
      </c>
      <c r="D944" s="10" t="s">
        <v>137</v>
      </c>
      <c r="E944" s="5" t="n">
        <v>4</v>
      </c>
      <c r="F944" s="5" t="s">
        <v>9856</v>
      </c>
      <c r="G944" s="13" t="s">
        <v>9857</v>
      </c>
      <c r="H944" s="5" t="s">
        <v>9858</v>
      </c>
      <c r="I944" s="13" t="s">
        <v>9859</v>
      </c>
      <c r="J944" s="5" t="s">
        <v>9860</v>
      </c>
      <c r="K944" s="5" t="s">
        <v>9861</v>
      </c>
      <c r="L944" s="13" t="s">
        <v>9862</v>
      </c>
      <c r="M944" s="13" t="s">
        <v>9863</v>
      </c>
      <c r="N944" s="5" t="n">
        <f aca="false">LEN(L944)</f>
        <v>25</v>
      </c>
      <c r="O944" s="5" t="n">
        <f aca="false">LEN(M944)</f>
        <v>25</v>
      </c>
      <c r="P944" s="14" t="n">
        <f aca="false">IF(N944=0,"",(N944-LEN(SUBSTITUTE(SUBSTITUTE(L944,"G",""),"C","")))/N944)</f>
        <v>0.76</v>
      </c>
      <c r="Q944" s="14" t="n">
        <f aca="false">IF(O944=0,"",(O944-LEN(SUBSTITUTE(SUBSTITUTE(M944,"G",""),"C","")))/O944)</f>
        <v>0.6</v>
      </c>
      <c r="R944" s="5" t="s">
        <v>1056</v>
      </c>
      <c r="S944" s="15" t="s">
        <v>1677</v>
      </c>
      <c r="T944" s="5" t="n">
        <v>356</v>
      </c>
      <c r="U944" s="5" t="s">
        <v>1678</v>
      </c>
      <c r="V944" s="5" t="s">
        <v>1055</v>
      </c>
      <c r="W944" s="5"/>
      <c r="X944" s="15" t="s">
        <v>1677</v>
      </c>
      <c r="Y944" s="5"/>
    </row>
    <row r="945" customFormat="false" ht="15" hidden="false" customHeight="false" outlineLevel="0" collapsed="false">
      <c r="A945" s="5" t="s">
        <v>9864</v>
      </c>
      <c r="B945" s="5" t="s">
        <v>1048</v>
      </c>
      <c r="C945" s="5" t="s">
        <v>1049</v>
      </c>
      <c r="D945" s="10" t="s">
        <v>137</v>
      </c>
      <c r="E945" s="5" t="n">
        <v>5</v>
      </c>
      <c r="F945" s="5" t="s">
        <v>9865</v>
      </c>
      <c r="G945" s="13" t="s">
        <v>9866</v>
      </c>
      <c r="H945" s="5" t="s">
        <v>9867</v>
      </c>
      <c r="I945" s="13" t="s">
        <v>9868</v>
      </c>
      <c r="J945" s="5" t="s">
        <v>9869</v>
      </c>
      <c r="K945" s="5" t="s">
        <v>9870</v>
      </c>
      <c r="L945" s="13" t="s">
        <v>9871</v>
      </c>
      <c r="M945" s="13" t="s">
        <v>9872</v>
      </c>
      <c r="N945" s="5" t="n">
        <f aca="false">LEN(L945)</f>
        <v>25</v>
      </c>
      <c r="O945" s="5" t="n">
        <f aca="false">LEN(M945)</f>
        <v>25</v>
      </c>
      <c r="P945" s="14" t="n">
        <f aca="false">IF(N945=0,"",(N945-LEN(SUBSTITUTE(SUBSTITUTE(L945,"G",""),"C","")))/N945)</f>
        <v>0.84</v>
      </c>
      <c r="Q945" s="14" t="n">
        <f aca="false">IF(O945=0,"",(O945-LEN(SUBSTITUTE(SUBSTITUTE(M945,"G",""),"C","")))/O945)</f>
        <v>0.68</v>
      </c>
      <c r="R945" s="5" t="s">
        <v>1056</v>
      </c>
      <c r="S945" s="15" t="s">
        <v>1677</v>
      </c>
      <c r="T945" s="5" t="n">
        <v>426</v>
      </c>
      <c r="U945" s="5" t="s">
        <v>1678</v>
      </c>
      <c r="V945" s="5" t="s">
        <v>1055</v>
      </c>
      <c r="W945" s="5"/>
      <c r="X945" s="15" t="s">
        <v>1677</v>
      </c>
      <c r="Y945" s="5"/>
    </row>
    <row r="946" customFormat="false" ht="15" hidden="false" customHeight="false" outlineLevel="0" collapsed="false">
      <c r="A946" s="5" t="s">
        <v>9873</v>
      </c>
      <c r="B946" s="5" t="s">
        <v>1048</v>
      </c>
      <c r="C946" s="5" t="s">
        <v>1049</v>
      </c>
      <c r="D946" s="10" t="s">
        <v>137</v>
      </c>
      <c r="E946" s="5" t="n">
        <v>6</v>
      </c>
      <c r="F946" s="5" t="s">
        <v>9874</v>
      </c>
      <c r="G946" s="13" t="s">
        <v>9875</v>
      </c>
      <c r="H946" s="5" t="s">
        <v>9876</v>
      </c>
      <c r="I946" s="13" t="s">
        <v>9877</v>
      </c>
      <c r="J946" s="5" t="s">
        <v>9878</v>
      </c>
      <c r="K946" s="5" t="s">
        <v>9879</v>
      </c>
      <c r="L946" s="13" t="s">
        <v>9880</v>
      </c>
      <c r="M946" s="13" t="s">
        <v>9881</v>
      </c>
      <c r="N946" s="5" t="n">
        <f aca="false">LEN(L946)</f>
        <v>25</v>
      </c>
      <c r="O946" s="5" t="n">
        <f aca="false">LEN(M946)</f>
        <v>25</v>
      </c>
      <c r="P946" s="14" t="n">
        <f aca="false">IF(N946=0,"",(N946-LEN(SUBSTITUTE(SUBSTITUTE(L946,"G",""),"C","")))/N946)</f>
        <v>0.8</v>
      </c>
      <c r="Q946" s="14" t="n">
        <f aca="false">IF(O946=0,"",(O946-LEN(SUBSTITUTE(SUBSTITUTE(M946,"G",""),"C","")))/O946)</f>
        <v>0.84</v>
      </c>
      <c r="R946" s="5" t="s">
        <v>1056</v>
      </c>
      <c r="S946" s="15" t="s">
        <v>1677</v>
      </c>
      <c r="T946" s="5" t="n">
        <v>496</v>
      </c>
      <c r="U946" s="5" t="s">
        <v>1678</v>
      </c>
      <c r="V946" s="5" t="s">
        <v>1055</v>
      </c>
      <c r="W946" s="5"/>
      <c r="X946" s="15" t="s">
        <v>1677</v>
      </c>
      <c r="Y946" s="5"/>
    </row>
    <row r="947" customFormat="false" ht="15" hidden="false" customHeight="false" outlineLevel="0" collapsed="false">
      <c r="A947" s="5" t="s">
        <v>9882</v>
      </c>
      <c r="B947" s="5" t="s">
        <v>1059</v>
      </c>
      <c r="C947" s="5" t="s">
        <v>1060</v>
      </c>
      <c r="D947" s="10" t="s">
        <v>137</v>
      </c>
      <c r="E947" s="5" t="n">
        <v>1</v>
      </c>
      <c r="F947" s="5" t="s">
        <v>9883</v>
      </c>
      <c r="G947" s="13" t="s">
        <v>9884</v>
      </c>
      <c r="H947" s="5" t="s">
        <v>9885</v>
      </c>
      <c r="I947" s="13" t="s">
        <v>9886</v>
      </c>
      <c r="J947" s="5" t="s">
        <v>9887</v>
      </c>
      <c r="K947" s="5" t="s">
        <v>9888</v>
      </c>
      <c r="L947" s="13" t="s">
        <v>9889</v>
      </c>
      <c r="M947" s="13" t="s">
        <v>9890</v>
      </c>
      <c r="N947" s="5" t="n">
        <f aca="false">LEN(L947)</f>
        <v>25</v>
      </c>
      <c r="O947" s="5" t="n">
        <f aca="false">LEN(M947)</f>
        <v>25</v>
      </c>
      <c r="P947" s="14" t="n">
        <f aca="false">IF(N947=0,"",(N947-LEN(SUBSTITUTE(SUBSTITUTE(L947,"G",""),"C","")))/N947)</f>
        <v>0.36</v>
      </c>
      <c r="Q947" s="14" t="n">
        <f aca="false">IF(O947=0,"",(O947-LEN(SUBSTITUTE(SUBSTITUTE(M947,"G",""),"C","")))/O947)</f>
        <v>0.48</v>
      </c>
      <c r="R947" s="5" t="s">
        <v>1064</v>
      </c>
      <c r="S947" s="15" t="s">
        <v>1677</v>
      </c>
      <c r="T947" s="5" t="n">
        <v>146</v>
      </c>
      <c r="U947" s="5" t="s">
        <v>1678</v>
      </c>
      <c r="V947" s="5" t="s">
        <v>1055</v>
      </c>
      <c r="W947" s="5"/>
      <c r="X947" s="15" t="s">
        <v>1677</v>
      </c>
      <c r="Y947" s="5"/>
    </row>
    <row r="948" customFormat="false" ht="15" hidden="false" customHeight="false" outlineLevel="0" collapsed="false">
      <c r="A948" s="5" t="s">
        <v>9891</v>
      </c>
      <c r="B948" s="5" t="s">
        <v>1059</v>
      </c>
      <c r="C948" s="5" t="s">
        <v>1060</v>
      </c>
      <c r="D948" s="10" t="s">
        <v>137</v>
      </c>
      <c r="E948" s="5" t="n">
        <v>2</v>
      </c>
      <c r="F948" s="5" t="s">
        <v>9892</v>
      </c>
      <c r="G948" s="13" t="s">
        <v>9893</v>
      </c>
      <c r="H948" s="5" t="s">
        <v>9894</v>
      </c>
      <c r="I948" s="13" t="s">
        <v>9895</v>
      </c>
      <c r="J948" s="5" t="s">
        <v>9896</v>
      </c>
      <c r="K948" s="5" t="s">
        <v>9897</v>
      </c>
      <c r="L948" s="13" t="s">
        <v>9898</v>
      </c>
      <c r="M948" s="13" t="s">
        <v>9899</v>
      </c>
      <c r="N948" s="5" t="n">
        <f aca="false">LEN(L948)</f>
        <v>25</v>
      </c>
      <c r="O948" s="5" t="n">
        <f aca="false">LEN(M948)</f>
        <v>25</v>
      </c>
      <c r="P948" s="14" t="n">
        <f aca="false">IF(N948=0,"",(N948-LEN(SUBSTITUTE(SUBSTITUTE(L948,"G",""),"C","")))/N948)</f>
        <v>0.48</v>
      </c>
      <c r="Q948" s="14" t="n">
        <f aca="false">IF(O948=0,"",(O948-LEN(SUBSTITUTE(SUBSTITUTE(M948,"G",""),"C","")))/O948)</f>
        <v>0.4</v>
      </c>
      <c r="R948" s="5" t="s">
        <v>1064</v>
      </c>
      <c r="S948" s="15" t="s">
        <v>1677</v>
      </c>
      <c r="T948" s="5" t="n">
        <v>216</v>
      </c>
      <c r="U948" s="5" t="s">
        <v>1678</v>
      </c>
      <c r="V948" s="5" t="s">
        <v>1055</v>
      </c>
      <c r="W948" s="5"/>
      <c r="X948" s="15" t="s">
        <v>1677</v>
      </c>
      <c r="Y948" s="5"/>
    </row>
    <row r="949" customFormat="false" ht="15" hidden="false" customHeight="false" outlineLevel="0" collapsed="false">
      <c r="A949" s="5" t="s">
        <v>9900</v>
      </c>
      <c r="B949" s="5" t="s">
        <v>1059</v>
      </c>
      <c r="C949" s="5" t="s">
        <v>1060</v>
      </c>
      <c r="D949" s="10" t="s">
        <v>137</v>
      </c>
      <c r="E949" s="5" t="n">
        <v>3</v>
      </c>
      <c r="F949" s="5" t="s">
        <v>9901</v>
      </c>
      <c r="G949" s="13" t="s">
        <v>9902</v>
      </c>
      <c r="H949" s="5" t="s">
        <v>9903</v>
      </c>
      <c r="I949" s="13" t="s">
        <v>9904</v>
      </c>
      <c r="J949" s="5" t="s">
        <v>9905</v>
      </c>
      <c r="K949" s="5" t="s">
        <v>9906</v>
      </c>
      <c r="L949" s="13" t="s">
        <v>9907</v>
      </c>
      <c r="M949" s="13" t="s">
        <v>9908</v>
      </c>
      <c r="N949" s="5" t="n">
        <f aca="false">LEN(L949)</f>
        <v>25</v>
      </c>
      <c r="O949" s="5" t="n">
        <f aca="false">LEN(M949)</f>
        <v>25</v>
      </c>
      <c r="P949" s="14" t="n">
        <f aca="false">IF(N949=0,"",(N949-LEN(SUBSTITUTE(SUBSTITUTE(L949,"G",""),"C","")))/N949)</f>
        <v>0.36</v>
      </c>
      <c r="Q949" s="14" t="n">
        <f aca="false">IF(O949=0,"",(O949-LEN(SUBSTITUTE(SUBSTITUTE(M949,"G",""),"C","")))/O949)</f>
        <v>0.4</v>
      </c>
      <c r="R949" s="5" t="s">
        <v>1064</v>
      </c>
      <c r="S949" s="15" t="s">
        <v>1677</v>
      </c>
      <c r="T949" s="5" t="n">
        <v>286</v>
      </c>
      <c r="U949" s="5" t="s">
        <v>1678</v>
      </c>
      <c r="V949" s="5" t="s">
        <v>1055</v>
      </c>
      <c r="W949" s="5"/>
      <c r="X949" s="15" t="s">
        <v>1677</v>
      </c>
      <c r="Y949" s="5"/>
    </row>
    <row r="950" customFormat="false" ht="15" hidden="false" customHeight="false" outlineLevel="0" collapsed="false">
      <c r="A950" s="5" t="s">
        <v>9909</v>
      </c>
      <c r="B950" s="5" t="s">
        <v>1059</v>
      </c>
      <c r="C950" s="5" t="s">
        <v>1060</v>
      </c>
      <c r="D950" s="10" t="s">
        <v>137</v>
      </c>
      <c r="E950" s="5" t="n">
        <v>4</v>
      </c>
      <c r="F950" s="5" t="s">
        <v>9910</v>
      </c>
      <c r="G950" s="13" t="s">
        <v>9911</v>
      </c>
      <c r="H950" s="5" t="s">
        <v>9912</v>
      </c>
      <c r="I950" s="13" t="s">
        <v>9913</v>
      </c>
      <c r="J950" s="5" t="s">
        <v>9914</v>
      </c>
      <c r="K950" s="5" t="s">
        <v>9915</v>
      </c>
      <c r="L950" s="13" t="s">
        <v>9916</v>
      </c>
      <c r="M950" s="13" t="s">
        <v>9917</v>
      </c>
      <c r="N950" s="5" t="n">
        <f aca="false">LEN(L950)</f>
        <v>25</v>
      </c>
      <c r="O950" s="5" t="n">
        <f aca="false">LEN(M950)</f>
        <v>25</v>
      </c>
      <c r="P950" s="14" t="n">
        <f aca="false">IF(N950=0,"",(N950-LEN(SUBSTITUTE(SUBSTITUTE(L950,"G",""),"C","")))/N950)</f>
        <v>0.48</v>
      </c>
      <c r="Q950" s="14" t="n">
        <f aca="false">IF(O950=0,"",(O950-LEN(SUBSTITUTE(SUBSTITUTE(M950,"G",""),"C","")))/O950)</f>
        <v>0.36</v>
      </c>
      <c r="R950" s="5" t="s">
        <v>1064</v>
      </c>
      <c r="S950" s="15" t="s">
        <v>1677</v>
      </c>
      <c r="T950" s="5" t="n">
        <v>356</v>
      </c>
      <c r="U950" s="5" t="s">
        <v>1678</v>
      </c>
      <c r="V950" s="5" t="s">
        <v>1055</v>
      </c>
      <c r="W950" s="5"/>
      <c r="X950" s="15" t="s">
        <v>1677</v>
      </c>
      <c r="Y950" s="5"/>
    </row>
    <row r="951" customFormat="false" ht="15" hidden="false" customHeight="false" outlineLevel="0" collapsed="false">
      <c r="A951" s="5" t="s">
        <v>9918</v>
      </c>
      <c r="B951" s="5" t="s">
        <v>1059</v>
      </c>
      <c r="C951" s="5" t="s">
        <v>1060</v>
      </c>
      <c r="D951" s="10" t="s">
        <v>137</v>
      </c>
      <c r="E951" s="5" t="n">
        <v>5</v>
      </c>
      <c r="F951" s="5" t="s">
        <v>9919</v>
      </c>
      <c r="G951" s="13" t="s">
        <v>9920</v>
      </c>
      <c r="H951" s="5" t="s">
        <v>9921</v>
      </c>
      <c r="I951" s="13" t="s">
        <v>9922</v>
      </c>
      <c r="J951" s="5" t="s">
        <v>9923</v>
      </c>
      <c r="K951" s="5" t="s">
        <v>9924</v>
      </c>
      <c r="L951" s="13" t="s">
        <v>9925</v>
      </c>
      <c r="M951" s="13" t="s">
        <v>9926</v>
      </c>
      <c r="N951" s="5" t="n">
        <f aca="false">LEN(L951)</f>
        <v>25</v>
      </c>
      <c r="O951" s="5" t="n">
        <f aca="false">LEN(M951)</f>
        <v>25</v>
      </c>
      <c r="P951" s="14" t="n">
        <f aca="false">IF(N951=0,"",(N951-LEN(SUBSTITUTE(SUBSTITUTE(L951,"G",""),"C","")))/N951)</f>
        <v>0.36</v>
      </c>
      <c r="Q951" s="14" t="n">
        <f aca="false">IF(O951=0,"",(O951-LEN(SUBSTITUTE(SUBSTITUTE(M951,"G",""),"C","")))/O951)</f>
        <v>0.32</v>
      </c>
      <c r="R951" s="5" t="s">
        <v>1064</v>
      </c>
      <c r="S951" s="15" t="s">
        <v>1677</v>
      </c>
      <c r="T951" s="5" t="n">
        <v>426</v>
      </c>
      <c r="U951" s="5" t="s">
        <v>1678</v>
      </c>
      <c r="V951" s="5" t="s">
        <v>1055</v>
      </c>
      <c r="W951" s="5"/>
      <c r="X951" s="15" t="s">
        <v>1677</v>
      </c>
      <c r="Y951" s="5"/>
    </row>
    <row r="952" customFormat="false" ht="15" hidden="false" customHeight="false" outlineLevel="0" collapsed="false">
      <c r="A952" s="5" t="s">
        <v>9927</v>
      </c>
      <c r="B952" s="5" t="s">
        <v>1059</v>
      </c>
      <c r="C952" s="5" t="s">
        <v>1060</v>
      </c>
      <c r="D952" s="10" t="s">
        <v>137</v>
      </c>
      <c r="E952" s="5" t="n">
        <v>6</v>
      </c>
      <c r="F952" s="5" t="s">
        <v>9928</v>
      </c>
      <c r="G952" s="13" t="s">
        <v>9929</v>
      </c>
      <c r="H952" s="5" t="s">
        <v>9930</v>
      </c>
      <c r="I952" s="13" t="s">
        <v>9931</v>
      </c>
      <c r="J952" s="5" t="s">
        <v>9932</v>
      </c>
      <c r="K952" s="5" t="s">
        <v>9933</v>
      </c>
      <c r="L952" s="13" t="s">
        <v>9934</v>
      </c>
      <c r="M952" s="13" t="s">
        <v>9935</v>
      </c>
      <c r="N952" s="5" t="n">
        <f aca="false">LEN(L952)</f>
        <v>25</v>
      </c>
      <c r="O952" s="5" t="n">
        <f aca="false">LEN(M952)</f>
        <v>25</v>
      </c>
      <c r="P952" s="14" t="n">
        <f aca="false">IF(N952=0,"",(N952-LEN(SUBSTITUTE(SUBSTITUTE(L952,"G",""),"C","")))/N952)</f>
        <v>0.24</v>
      </c>
      <c r="Q952" s="14" t="n">
        <f aca="false">IF(O952=0,"",(O952-LEN(SUBSTITUTE(SUBSTITUTE(M952,"G",""),"C","")))/O952)</f>
        <v>0.56</v>
      </c>
      <c r="R952" s="5" t="s">
        <v>1064</v>
      </c>
      <c r="S952" s="15" t="s">
        <v>1677</v>
      </c>
      <c r="T952" s="5" t="n">
        <v>496</v>
      </c>
      <c r="U952" s="5" t="s">
        <v>1678</v>
      </c>
      <c r="V952" s="5" t="s">
        <v>1055</v>
      </c>
      <c r="W952" s="5"/>
      <c r="X952" s="15" t="s">
        <v>1677</v>
      </c>
      <c r="Y952" s="5"/>
    </row>
    <row r="953" customFormat="false" ht="15" hidden="false" customHeight="false" outlineLevel="0" collapsed="false">
      <c r="A953" s="5" t="s">
        <v>9936</v>
      </c>
      <c r="B953" s="5" t="s">
        <v>1067</v>
      </c>
      <c r="C953" s="5" t="s">
        <v>1068</v>
      </c>
      <c r="D953" s="10" t="s">
        <v>137</v>
      </c>
      <c r="E953" s="5" t="n">
        <v>1</v>
      </c>
      <c r="F953" s="5" t="s">
        <v>9937</v>
      </c>
      <c r="G953" s="13" t="s">
        <v>9938</v>
      </c>
      <c r="H953" s="5" t="s">
        <v>9939</v>
      </c>
      <c r="I953" s="13" t="s">
        <v>9940</v>
      </c>
      <c r="J953" s="5" t="s">
        <v>6005</v>
      </c>
      <c r="K953" s="5" t="s">
        <v>6005</v>
      </c>
      <c r="L953" s="13" t="s">
        <v>9941</v>
      </c>
      <c r="M953" s="13" t="s">
        <v>9942</v>
      </c>
      <c r="N953" s="5" t="n">
        <f aca="false">LEN(L953)</f>
        <v>25</v>
      </c>
      <c r="O953" s="5" t="n">
        <f aca="false">LEN(M953)</f>
        <v>25</v>
      </c>
      <c r="P953" s="14" t="n">
        <f aca="false">IF(N953=0,"",(N953-LEN(SUBSTITUTE(SUBSTITUTE(L953,"G",""),"C","")))/N953)</f>
        <v>0.4</v>
      </c>
      <c r="Q953" s="14" t="n">
        <f aca="false">IF(O953=0,"",(O953-LEN(SUBSTITUTE(SUBSTITUTE(M953,"G",""),"C","")))/O953)</f>
        <v>0.4</v>
      </c>
      <c r="R953" s="5" t="s">
        <v>1072</v>
      </c>
      <c r="S953" s="8" t="s">
        <v>1769</v>
      </c>
      <c r="T953" s="5" t="n">
        <v>-1</v>
      </c>
      <c r="U953" s="5" t="s">
        <v>4197</v>
      </c>
      <c r="V953" s="5" t="s">
        <v>573</v>
      </c>
      <c r="W953" s="5" t="s">
        <v>573</v>
      </c>
      <c r="X953" s="15" t="s">
        <v>1677</v>
      </c>
      <c r="Y953" s="8" t="s">
        <v>3168</v>
      </c>
    </row>
    <row r="954" customFormat="false" ht="15" hidden="false" customHeight="false" outlineLevel="0" collapsed="false">
      <c r="A954" s="5" t="s">
        <v>9943</v>
      </c>
      <c r="B954" s="5" t="s">
        <v>1067</v>
      </c>
      <c r="C954" s="5" t="s">
        <v>1068</v>
      </c>
      <c r="D954" s="10" t="s">
        <v>137</v>
      </c>
      <c r="E954" s="5" t="n">
        <v>2</v>
      </c>
      <c r="F954" s="5" t="s">
        <v>9944</v>
      </c>
      <c r="G954" s="13" t="s">
        <v>9945</v>
      </c>
      <c r="H954" s="5" t="s">
        <v>9946</v>
      </c>
      <c r="I954" s="13" t="s">
        <v>9947</v>
      </c>
      <c r="J954" s="5" t="s">
        <v>6005</v>
      </c>
      <c r="K954" s="5" t="s">
        <v>6005</v>
      </c>
      <c r="L954" s="13" t="s">
        <v>9948</v>
      </c>
      <c r="M954" s="13" t="s">
        <v>9949</v>
      </c>
      <c r="N954" s="5" t="n">
        <f aca="false">LEN(L954)</f>
        <v>25</v>
      </c>
      <c r="O954" s="5" t="n">
        <f aca="false">LEN(M954)</f>
        <v>25</v>
      </c>
      <c r="P954" s="14" t="n">
        <f aca="false">IF(N954=0,"",(N954-LEN(SUBSTITUTE(SUBSTITUTE(L954,"G",""),"C","")))/N954)</f>
        <v>0.52</v>
      </c>
      <c r="Q954" s="14" t="n">
        <f aca="false">IF(O954=0,"",(O954-LEN(SUBSTITUTE(SUBSTITUTE(M954,"G",""),"C","")))/O954)</f>
        <v>0.4</v>
      </c>
      <c r="R954" s="5" t="s">
        <v>1072</v>
      </c>
      <c r="S954" s="15" t="s">
        <v>1677</v>
      </c>
      <c r="T954" s="5" t="n">
        <v>127</v>
      </c>
      <c r="U954" s="5" t="s">
        <v>1678</v>
      </c>
      <c r="V954" s="5" t="s">
        <v>573</v>
      </c>
      <c r="W954" s="5" t="s">
        <v>573</v>
      </c>
      <c r="X954" s="15" t="s">
        <v>1677</v>
      </c>
      <c r="Y954" s="5"/>
    </row>
    <row r="955" customFormat="false" ht="15" hidden="false" customHeight="false" outlineLevel="0" collapsed="false">
      <c r="A955" s="5" t="s">
        <v>9950</v>
      </c>
      <c r="B955" s="5" t="s">
        <v>1067</v>
      </c>
      <c r="C955" s="5" t="s">
        <v>1068</v>
      </c>
      <c r="D955" s="10" t="s">
        <v>137</v>
      </c>
      <c r="E955" s="5" t="n">
        <v>3</v>
      </c>
      <c r="F955" s="5" t="s">
        <v>9951</v>
      </c>
      <c r="G955" s="13" t="s">
        <v>9952</v>
      </c>
      <c r="H955" s="5" t="s">
        <v>9953</v>
      </c>
      <c r="I955" s="13" t="s">
        <v>9954</v>
      </c>
      <c r="J955" s="5" t="s">
        <v>6005</v>
      </c>
      <c r="K955" s="5" t="s">
        <v>6005</v>
      </c>
      <c r="L955" s="13" t="s">
        <v>9955</v>
      </c>
      <c r="M955" s="13" t="s">
        <v>9956</v>
      </c>
      <c r="N955" s="5" t="n">
        <f aca="false">LEN(L955)</f>
        <v>25</v>
      </c>
      <c r="O955" s="5" t="n">
        <f aca="false">LEN(M955)</f>
        <v>25</v>
      </c>
      <c r="P955" s="14" t="n">
        <f aca="false">IF(N955=0,"",(N955-LEN(SUBSTITUTE(SUBSTITUTE(L955,"G",""),"C","")))/N955)</f>
        <v>0.4</v>
      </c>
      <c r="Q955" s="14" t="n">
        <f aca="false">IF(O955=0,"",(O955-LEN(SUBSTITUTE(SUBSTITUTE(M955,"G",""),"C","")))/O955)</f>
        <v>0.4</v>
      </c>
      <c r="R955" s="5" t="s">
        <v>1072</v>
      </c>
      <c r="S955" s="8" t="s">
        <v>1769</v>
      </c>
      <c r="T955" s="5" t="n">
        <v>266</v>
      </c>
      <c r="U955" s="5" t="s">
        <v>4197</v>
      </c>
      <c r="V955" s="5" t="s">
        <v>573</v>
      </c>
      <c r="W955" s="5" t="s">
        <v>573</v>
      </c>
      <c r="X955" s="15" t="s">
        <v>1677</v>
      </c>
      <c r="Y955" s="8" t="s">
        <v>3168</v>
      </c>
    </row>
    <row r="956" customFormat="false" ht="15" hidden="false" customHeight="false" outlineLevel="0" collapsed="false">
      <c r="A956" s="5" t="s">
        <v>9957</v>
      </c>
      <c r="B956" s="5" t="s">
        <v>1067</v>
      </c>
      <c r="C956" s="5" t="s">
        <v>1068</v>
      </c>
      <c r="D956" s="10" t="s">
        <v>137</v>
      </c>
      <c r="E956" s="5" t="n">
        <v>4</v>
      </c>
      <c r="F956" s="5" t="s">
        <v>9958</v>
      </c>
      <c r="G956" s="13" t="s">
        <v>9959</v>
      </c>
      <c r="H956" s="5" t="s">
        <v>9960</v>
      </c>
      <c r="I956" s="13" t="s">
        <v>9961</v>
      </c>
      <c r="J956" s="5" t="s">
        <v>6005</v>
      </c>
      <c r="K956" s="5" t="s">
        <v>6005</v>
      </c>
      <c r="L956" s="13" t="s">
        <v>9962</v>
      </c>
      <c r="M956" s="13" t="s">
        <v>9963</v>
      </c>
      <c r="N956" s="5" t="n">
        <f aca="false">LEN(L956)</f>
        <v>25</v>
      </c>
      <c r="O956" s="5" t="n">
        <f aca="false">LEN(M956)</f>
        <v>25</v>
      </c>
      <c r="P956" s="14" t="n">
        <f aca="false">IF(N956=0,"",(N956-LEN(SUBSTITUTE(SUBSTITUTE(L956,"G",""),"C","")))/N956)</f>
        <v>0.4</v>
      </c>
      <c r="Q956" s="14" t="n">
        <f aca="false">IF(O956=0,"",(O956-LEN(SUBSTITUTE(SUBSTITUTE(M956,"G",""),"C","")))/O956)</f>
        <v>0.56</v>
      </c>
      <c r="R956" s="5" t="s">
        <v>1072</v>
      </c>
      <c r="S956" s="15" t="s">
        <v>1677</v>
      </c>
      <c r="T956" s="5" t="n">
        <v>361</v>
      </c>
      <c r="U956" s="5" t="s">
        <v>1678</v>
      </c>
      <c r="V956" s="5" t="s">
        <v>573</v>
      </c>
      <c r="W956" s="5" t="s">
        <v>573</v>
      </c>
      <c r="X956" s="15" t="s">
        <v>1677</v>
      </c>
      <c r="Y956" s="5"/>
    </row>
    <row r="957" customFormat="false" ht="15" hidden="false" customHeight="false" outlineLevel="0" collapsed="false">
      <c r="A957" s="5" t="s">
        <v>9964</v>
      </c>
      <c r="B957" s="5" t="s">
        <v>1067</v>
      </c>
      <c r="C957" s="5" t="s">
        <v>1068</v>
      </c>
      <c r="D957" s="10" t="s">
        <v>137</v>
      </c>
      <c r="E957" s="5" t="n">
        <v>5</v>
      </c>
      <c r="F957" s="5" t="s">
        <v>9965</v>
      </c>
      <c r="G957" s="13" t="s">
        <v>9966</v>
      </c>
      <c r="H957" s="5" t="s">
        <v>9967</v>
      </c>
      <c r="I957" s="13" t="s">
        <v>9968</v>
      </c>
      <c r="J957" s="5" t="s">
        <v>6005</v>
      </c>
      <c r="K957" s="5" t="s">
        <v>6005</v>
      </c>
      <c r="L957" s="13" t="s">
        <v>9969</v>
      </c>
      <c r="M957" s="13" t="s">
        <v>9970</v>
      </c>
      <c r="N957" s="5" t="n">
        <f aca="false">LEN(L957)</f>
        <v>25</v>
      </c>
      <c r="O957" s="5" t="n">
        <f aca="false">LEN(M957)</f>
        <v>25</v>
      </c>
      <c r="P957" s="14" t="n">
        <f aca="false">IF(N957=0,"",(N957-LEN(SUBSTITUTE(SUBSTITUTE(L957,"G",""),"C","")))/N957)</f>
        <v>0.44</v>
      </c>
      <c r="Q957" s="14" t="n">
        <f aca="false">IF(O957=0,"",(O957-LEN(SUBSTITUTE(SUBSTITUTE(M957,"G",""),"C","")))/O957)</f>
        <v>0.56</v>
      </c>
      <c r="R957" s="5" t="s">
        <v>1072</v>
      </c>
      <c r="S957" s="8" t="s">
        <v>1914</v>
      </c>
      <c r="T957" s="5" t="n">
        <v>441</v>
      </c>
      <c r="U957" s="5" t="s">
        <v>4197</v>
      </c>
      <c r="V957" s="5" t="s">
        <v>573</v>
      </c>
      <c r="W957" s="5" t="s">
        <v>573</v>
      </c>
      <c r="X957" s="15" t="s">
        <v>1677</v>
      </c>
      <c r="Y957" s="8" t="s">
        <v>6318</v>
      </c>
    </row>
    <row r="958" customFormat="false" ht="15" hidden="false" customHeight="false" outlineLevel="0" collapsed="false">
      <c r="A958" s="5" t="s">
        <v>9971</v>
      </c>
      <c r="B958" s="5" t="s">
        <v>1067</v>
      </c>
      <c r="C958" s="5" t="s">
        <v>1068</v>
      </c>
      <c r="D958" s="10" t="s">
        <v>137</v>
      </c>
      <c r="E958" s="5" t="n">
        <v>6</v>
      </c>
      <c r="F958" s="5" t="s">
        <v>9972</v>
      </c>
      <c r="G958" s="13" t="s">
        <v>9973</v>
      </c>
      <c r="H958" s="5" t="s">
        <v>9974</v>
      </c>
      <c r="I958" s="13" t="s">
        <v>9975</v>
      </c>
      <c r="J958" s="5" t="s">
        <v>6005</v>
      </c>
      <c r="K958" s="5" t="s">
        <v>6005</v>
      </c>
      <c r="L958" s="13" t="s">
        <v>9976</v>
      </c>
      <c r="M958" s="13" t="s">
        <v>9977</v>
      </c>
      <c r="N958" s="5" t="n">
        <f aca="false">LEN(L958)</f>
        <v>25</v>
      </c>
      <c r="O958" s="5" t="n">
        <f aca="false">LEN(M958)</f>
        <v>25</v>
      </c>
      <c r="P958" s="14" t="n">
        <f aca="false">IF(N958=0,"",(N958-LEN(SUBSTITUTE(SUBSTITUTE(L958,"G",""),"C","")))/N958)</f>
        <v>0.4</v>
      </c>
      <c r="Q958" s="14" t="n">
        <f aca="false">IF(O958=0,"",(O958-LEN(SUBSTITUTE(SUBSTITUTE(M958,"G",""),"C","")))/O958)</f>
        <v>0.44</v>
      </c>
      <c r="R958" s="5" t="s">
        <v>1072</v>
      </c>
      <c r="S958" s="8" t="s">
        <v>1769</v>
      </c>
      <c r="T958" s="5" t="n">
        <v>684</v>
      </c>
      <c r="U958" s="5" t="s">
        <v>4197</v>
      </c>
      <c r="V958" s="5" t="s">
        <v>573</v>
      </c>
      <c r="W958" s="5" t="s">
        <v>573</v>
      </c>
      <c r="X958" s="15" t="s">
        <v>1677</v>
      </c>
      <c r="Y958" s="8" t="s">
        <v>3168</v>
      </c>
    </row>
    <row r="959" customFormat="false" ht="15" hidden="false" customHeight="false" outlineLevel="0" collapsed="false">
      <c r="A959" s="5" t="s">
        <v>9978</v>
      </c>
      <c r="B959" s="5" t="s">
        <v>1067</v>
      </c>
      <c r="C959" s="5" t="s">
        <v>1068</v>
      </c>
      <c r="D959" s="10" t="s">
        <v>137</v>
      </c>
      <c r="E959" s="5" t="n">
        <v>7</v>
      </c>
      <c r="F959" s="5" t="s">
        <v>9979</v>
      </c>
      <c r="G959" s="13" t="s">
        <v>9980</v>
      </c>
      <c r="H959" s="5" t="s">
        <v>9981</v>
      </c>
      <c r="I959" s="13" t="s">
        <v>9982</v>
      </c>
      <c r="J959" s="5" t="s">
        <v>6005</v>
      </c>
      <c r="K959" s="5" t="s">
        <v>6005</v>
      </c>
      <c r="L959" s="13" t="s">
        <v>9983</v>
      </c>
      <c r="M959" s="13" t="s">
        <v>9984</v>
      </c>
      <c r="N959" s="5" t="n">
        <f aca="false">LEN(L959)</f>
        <v>25</v>
      </c>
      <c r="O959" s="5" t="n">
        <f aca="false">LEN(M959)</f>
        <v>25</v>
      </c>
      <c r="P959" s="14" t="n">
        <f aca="false">IF(N959=0,"",(N959-LEN(SUBSTITUTE(SUBSTITUTE(L959,"G",""),"C","")))/N959)</f>
        <v>0.56</v>
      </c>
      <c r="Q959" s="14" t="n">
        <f aca="false">IF(O959=0,"",(O959-LEN(SUBSTITUTE(SUBSTITUTE(M959,"G",""),"C","")))/O959)</f>
        <v>0.48</v>
      </c>
      <c r="R959" s="5" t="s">
        <v>1072</v>
      </c>
      <c r="S959" s="8" t="s">
        <v>1914</v>
      </c>
      <c r="T959" s="5" t="n">
        <v>764</v>
      </c>
      <c r="U959" s="5" t="s">
        <v>4197</v>
      </c>
      <c r="V959" s="5" t="s">
        <v>573</v>
      </c>
      <c r="W959" s="5" t="s">
        <v>573</v>
      </c>
      <c r="X959" s="15" t="s">
        <v>1677</v>
      </c>
      <c r="Y959" s="8" t="s">
        <v>6318</v>
      </c>
    </row>
    <row r="960" customFormat="false" ht="15" hidden="false" customHeight="false" outlineLevel="0" collapsed="false">
      <c r="A960" s="5" t="s">
        <v>9985</v>
      </c>
      <c r="B960" s="5" t="s">
        <v>1067</v>
      </c>
      <c r="C960" s="5" t="s">
        <v>1068</v>
      </c>
      <c r="D960" s="10" t="s">
        <v>137</v>
      </c>
      <c r="E960" s="5" t="n">
        <v>8</v>
      </c>
      <c r="F960" s="5" t="s">
        <v>9986</v>
      </c>
      <c r="G960" s="13" t="s">
        <v>9987</v>
      </c>
      <c r="H960" s="5" t="s">
        <v>9988</v>
      </c>
      <c r="I960" s="13" t="s">
        <v>9989</v>
      </c>
      <c r="J960" s="5" t="s">
        <v>6005</v>
      </c>
      <c r="K960" s="5" t="s">
        <v>6005</v>
      </c>
      <c r="L960" s="13" t="s">
        <v>9990</v>
      </c>
      <c r="M960" s="13" t="s">
        <v>9991</v>
      </c>
      <c r="N960" s="5" t="n">
        <f aca="false">LEN(L960)</f>
        <v>25</v>
      </c>
      <c r="O960" s="5" t="n">
        <f aca="false">LEN(M960)</f>
        <v>25</v>
      </c>
      <c r="P960" s="14" t="n">
        <f aca="false">IF(N960=0,"",(N960-LEN(SUBSTITUTE(SUBSTITUTE(L960,"G",""),"C","")))/N960)</f>
        <v>0.4</v>
      </c>
      <c r="Q960" s="14" t="n">
        <f aca="false">IF(O960=0,"",(O960-LEN(SUBSTITUTE(SUBSTITUTE(M960,"G",""),"C","")))/O960)</f>
        <v>0.56</v>
      </c>
      <c r="R960" s="5" t="s">
        <v>1072</v>
      </c>
      <c r="S960" s="15" t="s">
        <v>1677</v>
      </c>
      <c r="T960" s="5" t="n">
        <v>844</v>
      </c>
      <c r="U960" s="5" t="s">
        <v>1678</v>
      </c>
      <c r="V960" s="5" t="s">
        <v>573</v>
      </c>
      <c r="W960" s="5" t="s">
        <v>573</v>
      </c>
      <c r="X960" s="15" t="s">
        <v>1677</v>
      </c>
      <c r="Y960" s="5"/>
    </row>
    <row r="961" customFormat="false" ht="15" hidden="false" customHeight="false" outlineLevel="0" collapsed="false">
      <c r="A961" s="5" t="s">
        <v>9992</v>
      </c>
      <c r="B961" s="5" t="s">
        <v>1067</v>
      </c>
      <c r="C961" s="5" t="s">
        <v>1068</v>
      </c>
      <c r="D961" s="10" t="s">
        <v>137</v>
      </c>
      <c r="E961" s="5" t="n">
        <v>9</v>
      </c>
      <c r="F961" s="5" t="s">
        <v>9993</v>
      </c>
      <c r="G961" s="13" t="s">
        <v>9994</v>
      </c>
      <c r="H961" s="5" t="s">
        <v>9995</v>
      </c>
      <c r="I961" s="13" t="s">
        <v>9996</v>
      </c>
      <c r="J961" s="5" t="s">
        <v>6005</v>
      </c>
      <c r="K961" s="5" t="s">
        <v>6005</v>
      </c>
      <c r="L961" s="13" t="s">
        <v>9997</v>
      </c>
      <c r="M961" s="13" t="s">
        <v>9998</v>
      </c>
      <c r="N961" s="5" t="n">
        <f aca="false">LEN(L961)</f>
        <v>25</v>
      </c>
      <c r="O961" s="5" t="n">
        <f aca="false">LEN(M961)</f>
        <v>25</v>
      </c>
      <c r="P961" s="14" t="n">
        <f aca="false">IF(N961=0,"",(N961-LEN(SUBSTITUTE(SUBSTITUTE(L961,"G",""),"C","")))/N961)</f>
        <v>0.4</v>
      </c>
      <c r="Q961" s="14" t="n">
        <f aca="false">IF(O961=0,"",(O961-LEN(SUBSTITUTE(SUBSTITUTE(M961,"G",""),"C","")))/O961)</f>
        <v>0.52</v>
      </c>
      <c r="R961" s="5" t="s">
        <v>1072</v>
      </c>
      <c r="S961" s="8" t="s">
        <v>1769</v>
      </c>
      <c r="T961" s="5" t="n">
        <v>924</v>
      </c>
      <c r="U961" s="5" t="s">
        <v>4197</v>
      </c>
      <c r="V961" s="5" t="s">
        <v>573</v>
      </c>
      <c r="W961" s="5" t="s">
        <v>573</v>
      </c>
      <c r="X961" s="15" t="s">
        <v>1677</v>
      </c>
      <c r="Y961" s="8" t="s">
        <v>3168</v>
      </c>
    </row>
    <row r="962" customFormat="false" ht="15" hidden="false" customHeight="false" outlineLevel="0" collapsed="false">
      <c r="A962" s="5" t="s">
        <v>9999</v>
      </c>
      <c r="B962" s="5" t="s">
        <v>1067</v>
      </c>
      <c r="C962" s="5" t="s">
        <v>1068</v>
      </c>
      <c r="D962" s="10" t="s">
        <v>137</v>
      </c>
      <c r="E962" s="5" t="n">
        <v>10</v>
      </c>
      <c r="F962" s="5" t="s">
        <v>10000</v>
      </c>
      <c r="G962" s="13" t="s">
        <v>10001</v>
      </c>
      <c r="H962" s="5" t="s">
        <v>10002</v>
      </c>
      <c r="I962" s="13" t="s">
        <v>10003</v>
      </c>
      <c r="J962" s="5" t="s">
        <v>6005</v>
      </c>
      <c r="K962" s="5" t="s">
        <v>6005</v>
      </c>
      <c r="L962" s="13" t="s">
        <v>10004</v>
      </c>
      <c r="M962" s="13" t="s">
        <v>10005</v>
      </c>
      <c r="N962" s="5" t="n">
        <f aca="false">LEN(L962)</f>
        <v>25</v>
      </c>
      <c r="O962" s="5" t="n">
        <f aca="false">LEN(M962)</f>
        <v>25</v>
      </c>
      <c r="P962" s="14" t="n">
        <f aca="false">IF(N962=0,"",(N962-LEN(SUBSTITUTE(SUBSTITUTE(L962,"G",""),"C","")))/N962)</f>
        <v>0.44</v>
      </c>
      <c r="Q962" s="14" t="n">
        <f aca="false">IF(O962=0,"",(O962-LEN(SUBSTITUTE(SUBSTITUTE(M962,"G",""),"C","")))/O962)</f>
        <v>0.48</v>
      </c>
      <c r="R962" s="5" t="s">
        <v>1072</v>
      </c>
      <c r="S962" s="8" t="s">
        <v>1914</v>
      </c>
      <c r="T962" s="5" t="n">
        <v>1004</v>
      </c>
      <c r="U962" s="5" t="s">
        <v>4197</v>
      </c>
      <c r="V962" s="5" t="s">
        <v>573</v>
      </c>
      <c r="W962" s="5" t="s">
        <v>573</v>
      </c>
      <c r="X962" s="15" t="s">
        <v>1677</v>
      </c>
      <c r="Y962" s="8" t="s">
        <v>6318</v>
      </c>
    </row>
    <row r="963" customFormat="false" ht="15" hidden="false" customHeight="false" outlineLevel="0" collapsed="false">
      <c r="A963" s="5" t="s">
        <v>10006</v>
      </c>
      <c r="B963" s="5" t="s">
        <v>1067</v>
      </c>
      <c r="C963" s="5" t="s">
        <v>1068</v>
      </c>
      <c r="D963" s="10" t="s">
        <v>137</v>
      </c>
      <c r="E963" s="5" t="n">
        <v>11</v>
      </c>
      <c r="F963" s="5" t="s">
        <v>10007</v>
      </c>
      <c r="G963" s="13" t="s">
        <v>10008</v>
      </c>
      <c r="H963" s="5" t="s">
        <v>10009</v>
      </c>
      <c r="I963" s="13" t="s">
        <v>10010</v>
      </c>
      <c r="J963" s="5" t="s">
        <v>6005</v>
      </c>
      <c r="K963" s="5" t="s">
        <v>6005</v>
      </c>
      <c r="L963" s="13" t="s">
        <v>10011</v>
      </c>
      <c r="M963" s="13" t="s">
        <v>10012</v>
      </c>
      <c r="N963" s="5" t="n">
        <f aca="false">LEN(L963)</f>
        <v>25</v>
      </c>
      <c r="O963" s="5" t="n">
        <f aca="false">LEN(M963)</f>
        <v>25</v>
      </c>
      <c r="P963" s="14" t="n">
        <f aca="false">IF(N963=0,"",(N963-LEN(SUBSTITUTE(SUBSTITUTE(L963,"G",""),"C","")))/N963)</f>
        <v>0.4</v>
      </c>
      <c r="Q963" s="14" t="n">
        <f aca="false">IF(O963=0,"",(O963-LEN(SUBSTITUTE(SUBSTITUTE(M963,"G",""),"C","")))/O963)</f>
        <v>0.44</v>
      </c>
      <c r="R963" s="5" t="s">
        <v>1072</v>
      </c>
      <c r="S963" s="8" t="s">
        <v>1914</v>
      </c>
      <c r="T963" s="5" t="n">
        <v>1093</v>
      </c>
      <c r="U963" s="5" t="s">
        <v>4197</v>
      </c>
      <c r="V963" s="5" t="s">
        <v>573</v>
      </c>
      <c r="W963" s="5" t="s">
        <v>573</v>
      </c>
      <c r="X963" s="15" t="s">
        <v>1677</v>
      </c>
      <c r="Y963" s="8" t="s">
        <v>6318</v>
      </c>
    </row>
    <row r="964" customFormat="false" ht="15" hidden="false" customHeight="false" outlineLevel="0" collapsed="false">
      <c r="A964" s="5" t="s">
        <v>10013</v>
      </c>
      <c r="B964" s="5" t="s">
        <v>1067</v>
      </c>
      <c r="C964" s="5" t="s">
        <v>1068</v>
      </c>
      <c r="D964" s="10" t="s">
        <v>137</v>
      </c>
      <c r="E964" s="5" t="n">
        <v>12</v>
      </c>
      <c r="F964" s="5" t="s">
        <v>10014</v>
      </c>
      <c r="G964" s="13" t="s">
        <v>10015</v>
      </c>
      <c r="H964" s="5" t="s">
        <v>10016</v>
      </c>
      <c r="I964" s="13" t="s">
        <v>10017</v>
      </c>
      <c r="J964" s="5" t="s">
        <v>6005</v>
      </c>
      <c r="K964" s="5" t="s">
        <v>6005</v>
      </c>
      <c r="L964" s="13" t="s">
        <v>10018</v>
      </c>
      <c r="M964" s="13" t="s">
        <v>10019</v>
      </c>
      <c r="N964" s="5" t="n">
        <f aca="false">LEN(L964)</f>
        <v>25</v>
      </c>
      <c r="O964" s="5" t="n">
        <f aca="false">LEN(M964)</f>
        <v>25</v>
      </c>
      <c r="P964" s="14" t="n">
        <f aca="false">IF(N964=0,"",(N964-LEN(SUBSTITUTE(SUBSTITUTE(L964,"G",""),"C","")))/N964)</f>
        <v>0.56</v>
      </c>
      <c r="Q964" s="14" t="n">
        <f aca="false">IF(O964=0,"",(O964-LEN(SUBSTITUTE(SUBSTITUTE(M964,"G",""),"C","")))/O964)</f>
        <v>0.6</v>
      </c>
      <c r="R964" s="5" t="s">
        <v>1072</v>
      </c>
      <c r="S964" s="15" t="s">
        <v>1677</v>
      </c>
      <c r="T964" s="5" t="n">
        <v>1173</v>
      </c>
      <c r="U964" s="5" t="s">
        <v>1678</v>
      </c>
      <c r="V964" s="5" t="s">
        <v>573</v>
      </c>
      <c r="W964" s="5" t="s">
        <v>573</v>
      </c>
      <c r="X964" s="15" t="s">
        <v>1677</v>
      </c>
      <c r="Y964" s="5"/>
    </row>
    <row r="965" customFormat="false" ht="15" hidden="false" customHeight="false" outlineLevel="0" collapsed="false">
      <c r="A965" s="5" t="s">
        <v>10020</v>
      </c>
      <c r="B965" s="5" t="s">
        <v>1067</v>
      </c>
      <c r="C965" s="5" t="s">
        <v>1068</v>
      </c>
      <c r="D965" s="10" t="s">
        <v>137</v>
      </c>
      <c r="E965" s="5" t="n">
        <v>13</v>
      </c>
      <c r="F965" s="5" t="s">
        <v>10021</v>
      </c>
      <c r="G965" s="13" t="s">
        <v>10022</v>
      </c>
      <c r="H965" s="5" t="s">
        <v>10023</v>
      </c>
      <c r="I965" s="13" t="s">
        <v>10024</v>
      </c>
      <c r="J965" s="5" t="s">
        <v>6005</v>
      </c>
      <c r="K965" s="5" t="s">
        <v>6005</v>
      </c>
      <c r="L965" s="13" t="s">
        <v>10025</v>
      </c>
      <c r="M965" s="13" t="s">
        <v>10026</v>
      </c>
      <c r="N965" s="5" t="n">
        <f aca="false">LEN(L965)</f>
        <v>25</v>
      </c>
      <c r="O965" s="5" t="n">
        <f aca="false">LEN(M965)</f>
        <v>25</v>
      </c>
      <c r="P965" s="14" t="n">
        <f aca="false">IF(N965=0,"",(N965-LEN(SUBSTITUTE(SUBSTITUTE(L965,"G",""),"C","")))/N965)</f>
        <v>0.52</v>
      </c>
      <c r="Q965" s="14" t="n">
        <f aca="false">IF(O965=0,"",(O965-LEN(SUBSTITUTE(SUBSTITUTE(M965,"G",""),"C","")))/O965)</f>
        <v>0.64</v>
      </c>
      <c r="R965" s="5" t="s">
        <v>1072</v>
      </c>
      <c r="S965" s="8" t="s">
        <v>1769</v>
      </c>
      <c r="T965" s="5" t="n">
        <v>1253</v>
      </c>
      <c r="U965" s="5" t="s">
        <v>4197</v>
      </c>
      <c r="V965" s="5" t="s">
        <v>573</v>
      </c>
      <c r="W965" s="5" t="s">
        <v>573</v>
      </c>
      <c r="X965" s="15" t="s">
        <v>1677</v>
      </c>
      <c r="Y965" s="8" t="s">
        <v>3168</v>
      </c>
    </row>
    <row r="966" customFormat="false" ht="15" hidden="false" customHeight="false" outlineLevel="0" collapsed="false">
      <c r="A966" s="5" t="s">
        <v>10027</v>
      </c>
      <c r="B966" s="5" t="s">
        <v>1067</v>
      </c>
      <c r="C966" s="5" t="s">
        <v>1068</v>
      </c>
      <c r="D966" s="10" t="s">
        <v>137</v>
      </c>
      <c r="E966" s="5" t="n">
        <v>14</v>
      </c>
      <c r="F966" s="5" t="s">
        <v>10028</v>
      </c>
      <c r="G966" s="13" t="s">
        <v>10029</v>
      </c>
      <c r="H966" s="5" t="s">
        <v>10030</v>
      </c>
      <c r="I966" s="13" t="s">
        <v>10031</v>
      </c>
      <c r="J966" s="5" t="s">
        <v>6005</v>
      </c>
      <c r="K966" s="5" t="s">
        <v>6005</v>
      </c>
      <c r="L966" s="13" t="s">
        <v>10032</v>
      </c>
      <c r="M966" s="13" t="s">
        <v>10033</v>
      </c>
      <c r="N966" s="5" t="n">
        <f aca="false">LEN(L966)</f>
        <v>25</v>
      </c>
      <c r="O966" s="5" t="n">
        <f aca="false">LEN(M966)</f>
        <v>25</v>
      </c>
      <c r="P966" s="14" t="n">
        <f aca="false">IF(N966=0,"",(N966-LEN(SUBSTITUTE(SUBSTITUTE(L966,"G",""),"C","")))/N966)</f>
        <v>0.68</v>
      </c>
      <c r="Q966" s="14" t="n">
        <f aca="false">IF(O966=0,"",(O966-LEN(SUBSTITUTE(SUBSTITUTE(M966,"G",""),"C","")))/O966)</f>
        <v>0.44</v>
      </c>
      <c r="R966" s="5" t="s">
        <v>1072</v>
      </c>
      <c r="S966" s="8" t="s">
        <v>1914</v>
      </c>
      <c r="T966" s="5" t="n">
        <v>1333</v>
      </c>
      <c r="U966" s="5" t="s">
        <v>4197</v>
      </c>
      <c r="V966" s="5" t="s">
        <v>573</v>
      </c>
      <c r="W966" s="5" t="s">
        <v>573</v>
      </c>
      <c r="X966" s="15" t="s">
        <v>1677</v>
      </c>
      <c r="Y966" s="8" t="s">
        <v>6318</v>
      </c>
    </row>
    <row r="967" customFormat="false" ht="15" hidden="false" customHeight="false" outlineLevel="0" collapsed="false">
      <c r="A967" s="5" t="s">
        <v>10034</v>
      </c>
      <c r="B967" s="5" t="s">
        <v>1067</v>
      </c>
      <c r="C967" s="5" t="s">
        <v>1068</v>
      </c>
      <c r="D967" s="10" t="s">
        <v>137</v>
      </c>
      <c r="E967" s="5" t="n">
        <v>15</v>
      </c>
      <c r="F967" s="5" t="s">
        <v>10035</v>
      </c>
      <c r="G967" s="13" t="s">
        <v>10036</v>
      </c>
      <c r="H967" s="5" t="s">
        <v>10037</v>
      </c>
      <c r="I967" s="13" t="s">
        <v>10038</v>
      </c>
      <c r="J967" s="5" t="s">
        <v>6005</v>
      </c>
      <c r="K967" s="5" t="s">
        <v>6005</v>
      </c>
      <c r="L967" s="13" t="s">
        <v>10039</v>
      </c>
      <c r="M967" s="13" t="s">
        <v>10040</v>
      </c>
      <c r="N967" s="5" t="n">
        <f aca="false">LEN(L967)</f>
        <v>25</v>
      </c>
      <c r="O967" s="5" t="n">
        <f aca="false">LEN(M967)</f>
        <v>25</v>
      </c>
      <c r="P967" s="14" t="n">
        <f aca="false">IF(N967=0,"",(N967-LEN(SUBSTITUTE(SUBSTITUTE(L967,"G",""),"C","")))/N967)</f>
        <v>0.56</v>
      </c>
      <c r="Q967" s="14" t="n">
        <f aca="false">IF(O967=0,"",(O967-LEN(SUBSTITUTE(SUBSTITUTE(M967,"G",""),"C","")))/O967)</f>
        <v>0.48</v>
      </c>
      <c r="R967" s="5" t="s">
        <v>1072</v>
      </c>
      <c r="S967" s="8" t="s">
        <v>1769</v>
      </c>
      <c r="T967" s="5" t="n">
        <v>1413</v>
      </c>
      <c r="U967" s="5" t="s">
        <v>4197</v>
      </c>
      <c r="V967" s="5" t="s">
        <v>573</v>
      </c>
      <c r="W967" s="5" t="s">
        <v>573</v>
      </c>
      <c r="X967" s="15" t="s">
        <v>1677</v>
      </c>
      <c r="Y967" s="8" t="s">
        <v>3168</v>
      </c>
    </row>
    <row r="968" customFormat="false" ht="15" hidden="false" customHeight="false" outlineLevel="0" collapsed="false">
      <c r="A968" s="5" t="s">
        <v>10041</v>
      </c>
      <c r="B968" s="5" t="s">
        <v>1077</v>
      </c>
      <c r="C968" s="5" t="s">
        <v>1078</v>
      </c>
      <c r="D968" s="10" t="s">
        <v>137</v>
      </c>
      <c r="E968" s="5" t="n">
        <v>1</v>
      </c>
      <c r="F968" s="5" t="s">
        <v>10042</v>
      </c>
      <c r="G968" s="13" t="s">
        <v>10043</v>
      </c>
      <c r="H968" s="5" t="s">
        <v>10044</v>
      </c>
      <c r="I968" s="13" t="s">
        <v>10045</v>
      </c>
      <c r="J968" s="5" t="s">
        <v>10046</v>
      </c>
      <c r="K968" s="5" t="s">
        <v>10047</v>
      </c>
      <c r="L968" s="13" t="s">
        <v>10048</v>
      </c>
      <c r="M968" s="13" t="s">
        <v>10049</v>
      </c>
      <c r="N968" s="5" t="n">
        <f aca="false">LEN(L968)</f>
        <v>25</v>
      </c>
      <c r="O968" s="5" t="n">
        <f aca="false">LEN(M968)</f>
        <v>25</v>
      </c>
      <c r="P968" s="14" t="n">
        <f aca="false">IF(N968=0,"",(N968-LEN(SUBSTITUTE(SUBSTITUTE(L968,"G",""),"C","")))/N968)</f>
        <v>0.44</v>
      </c>
      <c r="Q968" s="14" t="n">
        <f aca="false">IF(O968=0,"",(O968-LEN(SUBSTITUTE(SUBSTITUTE(M968,"G",""),"C","")))/O968)</f>
        <v>0.64</v>
      </c>
      <c r="R968" s="5" t="s">
        <v>1082</v>
      </c>
      <c r="S968" s="15" t="s">
        <v>1677</v>
      </c>
      <c r="T968" s="5" t="n">
        <v>216</v>
      </c>
      <c r="U968" s="5" t="s">
        <v>1678</v>
      </c>
      <c r="V968" s="5" t="s">
        <v>1055</v>
      </c>
      <c r="W968" s="5"/>
      <c r="X968" s="15" t="s">
        <v>1677</v>
      </c>
      <c r="Y968" s="5"/>
    </row>
    <row r="969" customFormat="false" ht="15" hidden="false" customHeight="false" outlineLevel="0" collapsed="false">
      <c r="A969" s="5" t="s">
        <v>10050</v>
      </c>
      <c r="B969" s="5" t="s">
        <v>1077</v>
      </c>
      <c r="C969" s="5" t="s">
        <v>1078</v>
      </c>
      <c r="D969" s="10" t="s">
        <v>137</v>
      </c>
      <c r="E969" s="5" t="n">
        <v>2</v>
      </c>
      <c r="F969" s="5" t="s">
        <v>10051</v>
      </c>
      <c r="G969" s="13" t="s">
        <v>10052</v>
      </c>
      <c r="H969" s="5" t="s">
        <v>10053</v>
      </c>
      <c r="I969" s="13" t="s">
        <v>10054</v>
      </c>
      <c r="J969" s="5" t="s">
        <v>10055</v>
      </c>
      <c r="K969" s="5" t="s">
        <v>10056</v>
      </c>
      <c r="L969" s="13" t="s">
        <v>10057</v>
      </c>
      <c r="M969" s="13" t="s">
        <v>10058</v>
      </c>
      <c r="N969" s="5" t="n">
        <f aca="false">LEN(L969)</f>
        <v>25</v>
      </c>
      <c r="O969" s="5" t="n">
        <f aca="false">LEN(M969)</f>
        <v>25</v>
      </c>
      <c r="P969" s="14" t="n">
        <f aca="false">IF(N969=0,"",(N969-LEN(SUBSTITUTE(SUBSTITUTE(L969,"G",""),"C","")))/N969)</f>
        <v>0.52</v>
      </c>
      <c r="Q969" s="14" t="n">
        <f aca="false">IF(O969=0,"",(O969-LEN(SUBSTITUTE(SUBSTITUTE(M969,"G",""),"C","")))/O969)</f>
        <v>0.48</v>
      </c>
      <c r="R969" s="5" t="s">
        <v>1082</v>
      </c>
      <c r="S969" s="15" t="s">
        <v>1677</v>
      </c>
      <c r="T969" s="5" t="n">
        <v>286</v>
      </c>
      <c r="U969" s="5" t="s">
        <v>1678</v>
      </c>
      <c r="V969" s="5" t="s">
        <v>1055</v>
      </c>
      <c r="W969" s="5"/>
      <c r="X969" s="15" t="s">
        <v>1677</v>
      </c>
      <c r="Y969" s="5"/>
    </row>
    <row r="970" customFormat="false" ht="15" hidden="false" customHeight="false" outlineLevel="0" collapsed="false">
      <c r="A970" s="5" t="s">
        <v>10059</v>
      </c>
      <c r="B970" s="5" t="s">
        <v>1077</v>
      </c>
      <c r="C970" s="5" t="s">
        <v>1078</v>
      </c>
      <c r="D970" s="10" t="s">
        <v>137</v>
      </c>
      <c r="E970" s="5" t="n">
        <v>3</v>
      </c>
      <c r="F970" s="5" t="s">
        <v>10060</v>
      </c>
      <c r="G970" s="13" t="s">
        <v>10061</v>
      </c>
      <c r="H970" s="5" t="s">
        <v>10062</v>
      </c>
      <c r="I970" s="13" t="s">
        <v>10063</v>
      </c>
      <c r="J970" s="5" t="s">
        <v>10064</v>
      </c>
      <c r="K970" s="5" t="s">
        <v>10065</v>
      </c>
      <c r="L970" s="13" t="s">
        <v>10066</v>
      </c>
      <c r="M970" s="13" t="s">
        <v>10067</v>
      </c>
      <c r="N970" s="5" t="n">
        <f aca="false">LEN(L970)</f>
        <v>25</v>
      </c>
      <c r="O970" s="5" t="n">
        <f aca="false">LEN(M970)</f>
        <v>25</v>
      </c>
      <c r="P970" s="14" t="n">
        <f aca="false">IF(N970=0,"",(N970-LEN(SUBSTITUTE(SUBSTITUTE(L970,"G",""),"C","")))/N970)</f>
        <v>0.6</v>
      </c>
      <c r="Q970" s="14" t="n">
        <f aca="false">IF(O970=0,"",(O970-LEN(SUBSTITUTE(SUBSTITUTE(M970,"G",""),"C","")))/O970)</f>
        <v>0.44</v>
      </c>
      <c r="R970" s="5" t="s">
        <v>1082</v>
      </c>
      <c r="S970" s="15" t="s">
        <v>1677</v>
      </c>
      <c r="T970" s="5" t="n">
        <v>356</v>
      </c>
      <c r="U970" s="5" t="s">
        <v>1678</v>
      </c>
      <c r="V970" s="5" t="s">
        <v>1055</v>
      </c>
      <c r="W970" s="5"/>
      <c r="X970" s="15" t="s">
        <v>1677</v>
      </c>
      <c r="Y970" s="5"/>
    </row>
    <row r="971" customFormat="false" ht="15" hidden="false" customHeight="false" outlineLevel="0" collapsed="false">
      <c r="A971" s="5" t="s">
        <v>10068</v>
      </c>
      <c r="B971" s="5" t="s">
        <v>1077</v>
      </c>
      <c r="C971" s="5" t="s">
        <v>1078</v>
      </c>
      <c r="D971" s="10" t="s">
        <v>137</v>
      </c>
      <c r="E971" s="5" t="n">
        <v>4</v>
      </c>
      <c r="F971" s="5" t="s">
        <v>10069</v>
      </c>
      <c r="G971" s="13" t="s">
        <v>10070</v>
      </c>
      <c r="H971" s="5" t="s">
        <v>10071</v>
      </c>
      <c r="I971" s="13" t="s">
        <v>10072</v>
      </c>
      <c r="J971" s="5" t="s">
        <v>10073</v>
      </c>
      <c r="K971" s="5" t="s">
        <v>10074</v>
      </c>
      <c r="L971" s="13" t="s">
        <v>10075</v>
      </c>
      <c r="M971" s="13" t="s">
        <v>10076</v>
      </c>
      <c r="N971" s="5" t="n">
        <f aca="false">LEN(L971)</f>
        <v>25</v>
      </c>
      <c r="O971" s="5" t="n">
        <f aca="false">LEN(M971)</f>
        <v>25</v>
      </c>
      <c r="P971" s="14" t="n">
        <f aca="false">IF(N971=0,"",(N971-LEN(SUBSTITUTE(SUBSTITUTE(L971,"G",""),"C","")))/N971)</f>
        <v>0.4</v>
      </c>
      <c r="Q971" s="14" t="n">
        <f aca="false">IF(O971=0,"",(O971-LEN(SUBSTITUTE(SUBSTITUTE(M971,"G",""),"C","")))/O971)</f>
        <v>0.4</v>
      </c>
      <c r="R971" s="5" t="s">
        <v>1082</v>
      </c>
      <c r="S971" s="15" t="s">
        <v>1677</v>
      </c>
      <c r="T971" s="5" t="n">
        <v>426</v>
      </c>
      <c r="U971" s="5" t="s">
        <v>1678</v>
      </c>
      <c r="V971" s="5" t="s">
        <v>1055</v>
      </c>
      <c r="W971" s="5"/>
      <c r="X971" s="15" t="s">
        <v>1677</v>
      </c>
      <c r="Y971" s="5"/>
    </row>
    <row r="972" customFormat="false" ht="15" hidden="false" customHeight="false" outlineLevel="0" collapsed="false">
      <c r="A972" s="5" t="s">
        <v>10077</v>
      </c>
      <c r="B972" s="5" t="s">
        <v>1077</v>
      </c>
      <c r="C972" s="5" t="s">
        <v>1078</v>
      </c>
      <c r="D972" s="10" t="s">
        <v>137</v>
      </c>
      <c r="E972" s="5" t="n">
        <v>5</v>
      </c>
      <c r="F972" s="5" t="s">
        <v>10078</v>
      </c>
      <c r="G972" s="13" t="s">
        <v>10079</v>
      </c>
      <c r="H972" s="5" t="s">
        <v>10080</v>
      </c>
      <c r="I972" s="13" t="s">
        <v>10081</v>
      </c>
      <c r="J972" s="5" t="s">
        <v>10082</v>
      </c>
      <c r="K972" s="5" t="s">
        <v>10083</v>
      </c>
      <c r="L972" s="13" t="s">
        <v>10084</v>
      </c>
      <c r="M972" s="13" t="s">
        <v>10085</v>
      </c>
      <c r="N972" s="5" t="n">
        <f aca="false">LEN(L972)</f>
        <v>25</v>
      </c>
      <c r="O972" s="5" t="n">
        <f aca="false">LEN(M972)</f>
        <v>25</v>
      </c>
      <c r="P972" s="14" t="n">
        <f aca="false">IF(N972=0,"",(N972-LEN(SUBSTITUTE(SUBSTITUTE(L972,"G",""),"C","")))/N972)</f>
        <v>0.44</v>
      </c>
      <c r="Q972" s="14" t="n">
        <f aca="false">IF(O972=0,"",(O972-LEN(SUBSTITUTE(SUBSTITUTE(M972,"G",""),"C","")))/O972)</f>
        <v>0.28</v>
      </c>
      <c r="R972" s="5" t="s">
        <v>1082</v>
      </c>
      <c r="S972" s="15" t="s">
        <v>1677</v>
      </c>
      <c r="T972" s="5" t="n">
        <v>496</v>
      </c>
      <c r="U972" s="5" t="s">
        <v>1678</v>
      </c>
      <c r="V972" s="5" t="s">
        <v>1055</v>
      </c>
      <c r="W972" s="5"/>
      <c r="X972" s="15" t="s">
        <v>1677</v>
      </c>
      <c r="Y972" s="5"/>
    </row>
    <row r="973" customFormat="false" ht="15" hidden="false" customHeight="false" outlineLevel="0" collapsed="false">
      <c r="A973" s="5" t="s">
        <v>10086</v>
      </c>
      <c r="B973" s="5" t="s">
        <v>1077</v>
      </c>
      <c r="C973" s="5" t="s">
        <v>1078</v>
      </c>
      <c r="D973" s="10" t="s">
        <v>137</v>
      </c>
      <c r="E973" s="5" t="n">
        <v>6</v>
      </c>
      <c r="F973" s="5" t="s">
        <v>10087</v>
      </c>
      <c r="G973" s="13" t="s">
        <v>10088</v>
      </c>
      <c r="H973" s="5" t="s">
        <v>10089</v>
      </c>
      <c r="I973" s="13" t="s">
        <v>10090</v>
      </c>
      <c r="J973" s="5" t="s">
        <v>10091</v>
      </c>
      <c r="K973" s="5" t="s">
        <v>10092</v>
      </c>
      <c r="L973" s="13" t="s">
        <v>10093</v>
      </c>
      <c r="M973" s="13" t="s">
        <v>10094</v>
      </c>
      <c r="N973" s="5" t="n">
        <f aca="false">LEN(L973)</f>
        <v>25</v>
      </c>
      <c r="O973" s="5" t="n">
        <f aca="false">LEN(M973)</f>
        <v>25</v>
      </c>
      <c r="P973" s="14" t="n">
        <f aca="false">IF(N973=0,"",(N973-LEN(SUBSTITUTE(SUBSTITUTE(L973,"G",""),"C","")))/N973)</f>
        <v>0.64</v>
      </c>
      <c r="Q973" s="14" t="n">
        <f aca="false">IF(O973=0,"",(O973-LEN(SUBSTITUTE(SUBSTITUTE(M973,"G",""),"C","")))/O973)</f>
        <v>0.6</v>
      </c>
      <c r="R973" s="5" t="s">
        <v>1082</v>
      </c>
      <c r="S973" s="15" t="s">
        <v>1677</v>
      </c>
      <c r="T973" s="5" t="n">
        <v>566</v>
      </c>
      <c r="U973" s="5" t="s">
        <v>1678</v>
      </c>
      <c r="V973" s="5" t="s">
        <v>1055</v>
      </c>
      <c r="W973" s="5"/>
      <c r="X973" s="15" t="s">
        <v>1677</v>
      </c>
      <c r="Y973" s="5"/>
    </row>
    <row r="974" customFormat="false" ht="15" hidden="false" customHeight="false" outlineLevel="0" collapsed="false">
      <c r="A974" s="5" t="s">
        <v>10095</v>
      </c>
      <c r="B974" s="5" t="s">
        <v>1085</v>
      </c>
      <c r="C974" s="5" t="s">
        <v>1086</v>
      </c>
      <c r="D974" s="10" t="s">
        <v>137</v>
      </c>
      <c r="E974" s="5" t="n">
        <v>1</v>
      </c>
      <c r="F974" s="5" t="s">
        <v>10096</v>
      </c>
      <c r="G974" s="13" t="s">
        <v>10097</v>
      </c>
      <c r="H974" s="5" t="s">
        <v>10098</v>
      </c>
      <c r="I974" s="13" t="s">
        <v>10099</v>
      </c>
      <c r="J974" s="5" t="s">
        <v>10100</v>
      </c>
      <c r="K974" s="5" t="s">
        <v>10101</v>
      </c>
      <c r="L974" s="13" t="s">
        <v>10102</v>
      </c>
      <c r="M974" s="13" t="s">
        <v>10103</v>
      </c>
      <c r="N974" s="5" t="n">
        <f aca="false">LEN(L974)</f>
        <v>25</v>
      </c>
      <c r="O974" s="5" t="n">
        <f aca="false">LEN(M974)</f>
        <v>25</v>
      </c>
      <c r="P974" s="14" t="n">
        <f aca="false">IF(N974=0,"",(N974-LEN(SUBSTITUTE(SUBSTITUTE(L974,"G",""),"C","")))/N974)</f>
        <v>0.76</v>
      </c>
      <c r="Q974" s="14" t="n">
        <f aca="false">IF(O974=0,"",(O974-LEN(SUBSTITUTE(SUBSTITUTE(M974,"G",""),"C","")))/O974)</f>
        <v>0.6</v>
      </c>
      <c r="R974" s="5" t="s">
        <v>1090</v>
      </c>
      <c r="S974" s="15" t="s">
        <v>1677</v>
      </c>
      <c r="T974" s="5" t="n">
        <v>216</v>
      </c>
      <c r="U974" s="5" t="s">
        <v>1678</v>
      </c>
      <c r="V974" s="5" t="s">
        <v>1055</v>
      </c>
      <c r="W974" s="5"/>
      <c r="X974" s="15" t="s">
        <v>1677</v>
      </c>
      <c r="Y974" s="5"/>
    </row>
    <row r="975" customFormat="false" ht="15" hidden="false" customHeight="false" outlineLevel="0" collapsed="false">
      <c r="A975" s="5" t="s">
        <v>10104</v>
      </c>
      <c r="B975" s="5" t="s">
        <v>1085</v>
      </c>
      <c r="C975" s="5" t="s">
        <v>1086</v>
      </c>
      <c r="D975" s="10" t="s">
        <v>137</v>
      </c>
      <c r="E975" s="5" t="n">
        <v>2</v>
      </c>
      <c r="F975" s="5" t="s">
        <v>10105</v>
      </c>
      <c r="G975" s="13" t="s">
        <v>10106</v>
      </c>
      <c r="H975" s="5" t="s">
        <v>10107</v>
      </c>
      <c r="I975" s="13" t="s">
        <v>10108</v>
      </c>
      <c r="J975" s="5" t="s">
        <v>10109</v>
      </c>
      <c r="K975" s="5" t="s">
        <v>10110</v>
      </c>
      <c r="L975" s="13" t="s">
        <v>10111</v>
      </c>
      <c r="M975" s="13" t="s">
        <v>10112</v>
      </c>
      <c r="N975" s="5" t="n">
        <f aca="false">LEN(L975)</f>
        <v>25</v>
      </c>
      <c r="O975" s="5" t="n">
        <f aca="false">LEN(M975)</f>
        <v>25</v>
      </c>
      <c r="P975" s="14" t="n">
        <f aca="false">IF(N975=0,"",(N975-LEN(SUBSTITUTE(SUBSTITUTE(L975,"G",""),"C","")))/N975)</f>
        <v>0.68</v>
      </c>
      <c r="Q975" s="14" t="n">
        <f aca="false">IF(O975=0,"",(O975-LEN(SUBSTITUTE(SUBSTITUTE(M975,"G",""),"C","")))/O975)</f>
        <v>0.56</v>
      </c>
      <c r="R975" s="5" t="s">
        <v>1090</v>
      </c>
      <c r="S975" s="15" t="s">
        <v>1677</v>
      </c>
      <c r="T975" s="5" t="n">
        <v>286</v>
      </c>
      <c r="U975" s="5" t="s">
        <v>1678</v>
      </c>
      <c r="V975" s="5" t="s">
        <v>1055</v>
      </c>
      <c r="W975" s="5"/>
      <c r="X975" s="15" t="s">
        <v>1677</v>
      </c>
      <c r="Y975" s="5"/>
    </row>
    <row r="976" customFormat="false" ht="15" hidden="false" customHeight="false" outlineLevel="0" collapsed="false">
      <c r="A976" s="5" t="s">
        <v>10113</v>
      </c>
      <c r="B976" s="5" t="s">
        <v>1085</v>
      </c>
      <c r="C976" s="5" t="s">
        <v>1086</v>
      </c>
      <c r="D976" s="10" t="s">
        <v>137</v>
      </c>
      <c r="E976" s="5" t="n">
        <v>3</v>
      </c>
      <c r="F976" s="5" t="s">
        <v>10114</v>
      </c>
      <c r="G976" s="13" t="s">
        <v>10115</v>
      </c>
      <c r="H976" s="5" t="s">
        <v>10116</v>
      </c>
      <c r="I976" s="13" t="s">
        <v>10117</v>
      </c>
      <c r="J976" s="5" t="s">
        <v>10118</v>
      </c>
      <c r="K976" s="5" t="s">
        <v>10119</v>
      </c>
      <c r="L976" s="13" t="s">
        <v>10120</v>
      </c>
      <c r="M976" s="13" t="s">
        <v>10121</v>
      </c>
      <c r="N976" s="5" t="n">
        <f aca="false">LEN(L976)</f>
        <v>25</v>
      </c>
      <c r="O976" s="5" t="n">
        <f aca="false">LEN(M976)</f>
        <v>25</v>
      </c>
      <c r="P976" s="14" t="n">
        <f aca="false">IF(N976=0,"",(N976-LEN(SUBSTITUTE(SUBSTITUTE(L976,"G",""),"C","")))/N976)</f>
        <v>0.48</v>
      </c>
      <c r="Q976" s="14" t="n">
        <f aca="false">IF(O976=0,"",(O976-LEN(SUBSTITUTE(SUBSTITUTE(M976,"G",""),"C","")))/O976)</f>
        <v>0.4</v>
      </c>
      <c r="R976" s="5" t="s">
        <v>1090</v>
      </c>
      <c r="S976" s="15" t="s">
        <v>1677</v>
      </c>
      <c r="T976" s="5" t="n">
        <v>356</v>
      </c>
      <c r="U976" s="5" t="s">
        <v>1678</v>
      </c>
      <c r="V976" s="5" t="s">
        <v>1055</v>
      </c>
      <c r="W976" s="5"/>
      <c r="X976" s="15" t="s">
        <v>1677</v>
      </c>
      <c r="Y976" s="5"/>
    </row>
    <row r="977" customFormat="false" ht="15" hidden="false" customHeight="false" outlineLevel="0" collapsed="false">
      <c r="A977" s="5" t="s">
        <v>10122</v>
      </c>
      <c r="B977" s="5" t="s">
        <v>1085</v>
      </c>
      <c r="C977" s="5" t="s">
        <v>1086</v>
      </c>
      <c r="D977" s="10" t="s">
        <v>137</v>
      </c>
      <c r="E977" s="5" t="n">
        <v>4</v>
      </c>
      <c r="F977" s="5" t="s">
        <v>10123</v>
      </c>
      <c r="G977" s="13" t="s">
        <v>10124</v>
      </c>
      <c r="H977" s="5" t="s">
        <v>10125</v>
      </c>
      <c r="I977" s="13" t="s">
        <v>10126</v>
      </c>
      <c r="J977" s="5" t="s">
        <v>10127</v>
      </c>
      <c r="K977" s="5" t="s">
        <v>10128</v>
      </c>
      <c r="L977" s="13" t="s">
        <v>10129</v>
      </c>
      <c r="M977" s="13" t="s">
        <v>10130</v>
      </c>
      <c r="N977" s="5" t="n">
        <f aca="false">LEN(L977)</f>
        <v>25</v>
      </c>
      <c r="O977" s="5" t="n">
        <f aca="false">LEN(M977)</f>
        <v>25</v>
      </c>
      <c r="P977" s="14" t="n">
        <f aca="false">IF(N977=0,"",(N977-LEN(SUBSTITUTE(SUBSTITUTE(L977,"G",""),"C","")))/N977)</f>
        <v>0.52</v>
      </c>
      <c r="Q977" s="14" t="n">
        <f aca="false">IF(O977=0,"",(O977-LEN(SUBSTITUTE(SUBSTITUTE(M977,"G",""),"C","")))/O977)</f>
        <v>0.52</v>
      </c>
      <c r="R977" s="5" t="s">
        <v>1090</v>
      </c>
      <c r="S977" s="15" t="s">
        <v>1677</v>
      </c>
      <c r="T977" s="5" t="n">
        <v>426</v>
      </c>
      <c r="U977" s="5" t="s">
        <v>1678</v>
      </c>
      <c r="V977" s="5" t="s">
        <v>1055</v>
      </c>
      <c r="W977" s="5"/>
      <c r="X977" s="15" t="s">
        <v>1677</v>
      </c>
      <c r="Y977" s="5"/>
    </row>
    <row r="978" customFormat="false" ht="15" hidden="false" customHeight="false" outlineLevel="0" collapsed="false">
      <c r="A978" s="5" t="s">
        <v>10131</v>
      </c>
      <c r="B978" s="5" t="s">
        <v>1085</v>
      </c>
      <c r="C978" s="5" t="s">
        <v>1086</v>
      </c>
      <c r="D978" s="10" t="s">
        <v>137</v>
      </c>
      <c r="E978" s="5" t="n">
        <v>5</v>
      </c>
      <c r="F978" s="5" t="s">
        <v>10132</v>
      </c>
      <c r="G978" s="13" t="s">
        <v>10133</v>
      </c>
      <c r="H978" s="5" t="s">
        <v>10134</v>
      </c>
      <c r="I978" s="13" t="s">
        <v>10135</v>
      </c>
      <c r="J978" s="5" t="s">
        <v>10136</v>
      </c>
      <c r="K978" s="5" t="s">
        <v>10137</v>
      </c>
      <c r="L978" s="13" t="s">
        <v>10138</v>
      </c>
      <c r="M978" s="13" t="s">
        <v>10139</v>
      </c>
      <c r="N978" s="5" t="n">
        <f aca="false">LEN(L978)</f>
        <v>25</v>
      </c>
      <c r="O978" s="5" t="n">
        <f aca="false">LEN(M978)</f>
        <v>25</v>
      </c>
      <c r="P978" s="14" t="n">
        <f aca="false">IF(N978=0,"",(N978-LEN(SUBSTITUTE(SUBSTITUTE(L978,"G",""),"C","")))/N978)</f>
        <v>0.4</v>
      </c>
      <c r="Q978" s="14" t="n">
        <f aca="false">IF(O978=0,"",(O978-LEN(SUBSTITUTE(SUBSTITUTE(M978,"G",""),"C","")))/O978)</f>
        <v>0.64</v>
      </c>
      <c r="R978" s="5" t="s">
        <v>1090</v>
      </c>
      <c r="S978" s="15" t="s">
        <v>1677</v>
      </c>
      <c r="T978" s="5" t="n">
        <v>496</v>
      </c>
      <c r="U978" s="5" t="s">
        <v>1678</v>
      </c>
      <c r="V978" s="5" t="s">
        <v>1055</v>
      </c>
      <c r="W978" s="5"/>
      <c r="X978" s="15" t="s">
        <v>1677</v>
      </c>
      <c r="Y978" s="5"/>
    </row>
    <row r="979" customFormat="false" ht="15" hidden="false" customHeight="false" outlineLevel="0" collapsed="false">
      <c r="A979" s="5" t="s">
        <v>10140</v>
      </c>
      <c r="B979" s="5" t="s">
        <v>1085</v>
      </c>
      <c r="C979" s="5" t="s">
        <v>1086</v>
      </c>
      <c r="D979" s="10" t="s">
        <v>137</v>
      </c>
      <c r="E979" s="5" t="n">
        <v>6</v>
      </c>
      <c r="F979" s="5" t="s">
        <v>10141</v>
      </c>
      <c r="G979" s="13" t="s">
        <v>10142</v>
      </c>
      <c r="H979" s="5" t="s">
        <v>10143</v>
      </c>
      <c r="I979" s="13" t="s">
        <v>10144</v>
      </c>
      <c r="J979" s="5" t="s">
        <v>10145</v>
      </c>
      <c r="K979" s="5" t="s">
        <v>10146</v>
      </c>
      <c r="L979" s="13" t="s">
        <v>10147</v>
      </c>
      <c r="M979" s="13" t="s">
        <v>10148</v>
      </c>
      <c r="N979" s="5" t="n">
        <f aca="false">LEN(L979)</f>
        <v>25</v>
      </c>
      <c r="O979" s="5" t="n">
        <f aca="false">LEN(M979)</f>
        <v>25</v>
      </c>
      <c r="P979" s="14" t="n">
        <f aca="false">IF(N979=0,"",(N979-LEN(SUBSTITUTE(SUBSTITUTE(L979,"G",""),"C","")))/N979)</f>
        <v>0.44</v>
      </c>
      <c r="Q979" s="14" t="n">
        <f aca="false">IF(O979=0,"",(O979-LEN(SUBSTITUTE(SUBSTITUTE(M979,"G",""),"C","")))/O979)</f>
        <v>0.6</v>
      </c>
      <c r="R979" s="5" t="s">
        <v>1090</v>
      </c>
      <c r="S979" s="15" t="s">
        <v>1677</v>
      </c>
      <c r="T979" s="5" t="n">
        <v>566</v>
      </c>
      <c r="U979" s="5" t="s">
        <v>1678</v>
      </c>
      <c r="V979" s="5" t="s">
        <v>1055</v>
      </c>
      <c r="W979" s="5"/>
      <c r="X979" s="15" t="s">
        <v>1677</v>
      </c>
      <c r="Y979" s="5"/>
    </row>
    <row r="980" customFormat="false" ht="15" hidden="false" customHeight="false" outlineLevel="0" collapsed="false">
      <c r="A980" s="5" t="s">
        <v>10149</v>
      </c>
      <c r="B980" s="5" t="s">
        <v>1093</v>
      </c>
      <c r="C980" s="5" t="s">
        <v>133</v>
      </c>
      <c r="D980" s="10" t="s">
        <v>137</v>
      </c>
      <c r="E980" s="5" t="n">
        <v>1</v>
      </c>
      <c r="F980" s="5" t="s">
        <v>10150</v>
      </c>
      <c r="G980" s="13" t="s">
        <v>10151</v>
      </c>
      <c r="H980" s="5" t="s">
        <v>10152</v>
      </c>
      <c r="I980" s="13" t="s">
        <v>10153</v>
      </c>
      <c r="J980" s="5" t="s">
        <v>5916</v>
      </c>
      <c r="K980" s="5" t="s">
        <v>5916</v>
      </c>
      <c r="L980" s="13" t="s">
        <v>10154</v>
      </c>
      <c r="M980" s="13" t="s">
        <v>10155</v>
      </c>
      <c r="N980" s="5" t="n">
        <f aca="false">LEN(L980)</f>
        <v>25</v>
      </c>
      <c r="O980" s="5" t="n">
        <f aca="false">LEN(M980)</f>
        <v>25</v>
      </c>
      <c r="P980" s="14" t="n">
        <f aca="false">IF(N980=0,"",(N980-LEN(SUBSTITUTE(SUBSTITUTE(L980,"G",""),"C","")))/N980)</f>
        <v>0.64</v>
      </c>
      <c r="Q980" s="14" t="n">
        <f aca="false">IF(O980=0,"",(O980-LEN(SUBSTITUTE(SUBSTITUTE(M980,"G",""),"C","")))/O980)</f>
        <v>0.84</v>
      </c>
      <c r="R980" s="5" t="s">
        <v>138</v>
      </c>
      <c r="S980" s="15" t="s">
        <v>1677</v>
      </c>
      <c r="T980" s="5" t="n">
        <v>51</v>
      </c>
      <c r="U980" s="5" t="s">
        <v>1678</v>
      </c>
      <c r="V980" s="5" t="s">
        <v>1094</v>
      </c>
      <c r="W980" s="5" t="s">
        <v>1094</v>
      </c>
      <c r="X980" s="15" t="s">
        <v>1677</v>
      </c>
      <c r="Y980" s="5"/>
    </row>
    <row r="981" customFormat="false" ht="15" hidden="false" customHeight="false" outlineLevel="0" collapsed="false">
      <c r="A981" s="5" t="s">
        <v>10156</v>
      </c>
      <c r="B981" s="5" t="s">
        <v>1093</v>
      </c>
      <c r="C981" s="5" t="s">
        <v>133</v>
      </c>
      <c r="D981" s="10" t="s">
        <v>137</v>
      </c>
      <c r="E981" s="5" t="n">
        <v>2</v>
      </c>
      <c r="F981" s="5" t="s">
        <v>10157</v>
      </c>
      <c r="G981" s="13" t="s">
        <v>10158</v>
      </c>
      <c r="H981" s="5" t="s">
        <v>10159</v>
      </c>
      <c r="I981" s="13" t="s">
        <v>10160</v>
      </c>
      <c r="J981" s="5" t="s">
        <v>5916</v>
      </c>
      <c r="K981" s="5" t="s">
        <v>5916</v>
      </c>
      <c r="L981" s="13" t="s">
        <v>10161</v>
      </c>
      <c r="M981" s="13" t="s">
        <v>10162</v>
      </c>
      <c r="N981" s="5" t="n">
        <f aca="false">LEN(L981)</f>
        <v>25</v>
      </c>
      <c r="O981" s="5" t="n">
        <f aca="false">LEN(M981)</f>
        <v>25</v>
      </c>
      <c r="P981" s="14" t="n">
        <f aca="false">IF(N981=0,"",(N981-LEN(SUBSTITUTE(SUBSTITUTE(L981,"G",""),"C","")))/N981)</f>
        <v>0.56</v>
      </c>
      <c r="Q981" s="14" t="n">
        <f aca="false">IF(O981=0,"",(O981-LEN(SUBSTITUTE(SUBSTITUTE(M981,"G",""),"C","")))/O981)</f>
        <v>0.68</v>
      </c>
      <c r="R981" s="5" t="s">
        <v>138</v>
      </c>
      <c r="S981" s="15" t="s">
        <v>1677</v>
      </c>
      <c r="T981" s="5" t="n">
        <v>131</v>
      </c>
      <c r="U981" s="5" t="s">
        <v>1678</v>
      </c>
      <c r="V981" s="5" t="s">
        <v>1094</v>
      </c>
      <c r="W981" s="5" t="s">
        <v>1094</v>
      </c>
      <c r="X981" s="15" t="s">
        <v>1677</v>
      </c>
      <c r="Y981" s="5"/>
    </row>
    <row r="982" customFormat="false" ht="15" hidden="false" customHeight="false" outlineLevel="0" collapsed="false">
      <c r="A982" s="5" t="s">
        <v>10163</v>
      </c>
      <c r="B982" s="5" t="s">
        <v>1093</v>
      </c>
      <c r="C982" s="5" t="s">
        <v>133</v>
      </c>
      <c r="D982" s="10" t="s">
        <v>137</v>
      </c>
      <c r="E982" s="5" t="n">
        <v>3</v>
      </c>
      <c r="F982" s="5" t="s">
        <v>10164</v>
      </c>
      <c r="G982" s="13" t="s">
        <v>10165</v>
      </c>
      <c r="H982" s="5" t="s">
        <v>10166</v>
      </c>
      <c r="I982" s="13" t="s">
        <v>10167</v>
      </c>
      <c r="J982" s="5" t="s">
        <v>5916</v>
      </c>
      <c r="K982" s="5" t="s">
        <v>5916</v>
      </c>
      <c r="L982" s="13" t="s">
        <v>10168</v>
      </c>
      <c r="M982" s="13" t="s">
        <v>10169</v>
      </c>
      <c r="N982" s="5" t="n">
        <f aca="false">LEN(L982)</f>
        <v>25</v>
      </c>
      <c r="O982" s="5" t="n">
        <f aca="false">LEN(M982)</f>
        <v>25</v>
      </c>
      <c r="P982" s="14" t="n">
        <f aca="false">IF(N982=0,"",(N982-LEN(SUBSTITUTE(SUBSTITUTE(L982,"G",""),"C","")))/N982)</f>
        <v>0.44</v>
      </c>
      <c r="Q982" s="14" t="n">
        <f aca="false">IF(O982=0,"",(O982-LEN(SUBSTITUTE(SUBSTITUTE(M982,"G",""),"C","")))/O982)</f>
        <v>0.4</v>
      </c>
      <c r="R982" s="5" t="s">
        <v>138</v>
      </c>
      <c r="S982" s="15" t="s">
        <v>1677</v>
      </c>
      <c r="T982" s="5" t="n">
        <v>211</v>
      </c>
      <c r="U982" s="5" t="s">
        <v>1678</v>
      </c>
      <c r="V982" s="5" t="s">
        <v>1094</v>
      </c>
      <c r="W982" s="5" t="s">
        <v>1094</v>
      </c>
      <c r="X982" s="15" t="s">
        <v>1677</v>
      </c>
      <c r="Y982" s="5"/>
    </row>
    <row r="983" customFormat="false" ht="15" hidden="false" customHeight="false" outlineLevel="0" collapsed="false">
      <c r="A983" s="5" t="s">
        <v>10170</v>
      </c>
      <c r="B983" s="5" t="s">
        <v>1093</v>
      </c>
      <c r="C983" s="5" t="s">
        <v>133</v>
      </c>
      <c r="D983" s="10" t="s">
        <v>137</v>
      </c>
      <c r="E983" s="5" t="n">
        <v>4</v>
      </c>
      <c r="F983" s="5" t="s">
        <v>10171</v>
      </c>
      <c r="G983" s="13" t="s">
        <v>10172</v>
      </c>
      <c r="H983" s="5" t="s">
        <v>10173</v>
      </c>
      <c r="I983" s="13" t="s">
        <v>10174</v>
      </c>
      <c r="J983" s="5" t="s">
        <v>5916</v>
      </c>
      <c r="K983" s="5" t="s">
        <v>5916</v>
      </c>
      <c r="L983" s="13" t="s">
        <v>10175</v>
      </c>
      <c r="M983" s="13" t="s">
        <v>10176</v>
      </c>
      <c r="N983" s="5" t="n">
        <f aca="false">LEN(L983)</f>
        <v>25</v>
      </c>
      <c r="O983" s="5" t="n">
        <f aca="false">LEN(M983)</f>
        <v>25</v>
      </c>
      <c r="P983" s="14" t="n">
        <f aca="false">IF(N983=0,"",(N983-LEN(SUBSTITUTE(SUBSTITUTE(L983,"G",""),"C","")))/N983)</f>
        <v>0.4</v>
      </c>
      <c r="Q983" s="14" t="n">
        <f aca="false">IF(O983=0,"",(O983-LEN(SUBSTITUTE(SUBSTITUTE(M983,"G",""),"C","")))/O983)</f>
        <v>0.68</v>
      </c>
      <c r="R983" s="5" t="s">
        <v>138</v>
      </c>
      <c r="S983" s="15" t="s">
        <v>1677</v>
      </c>
      <c r="T983" s="5" t="n">
        <v>308</v>
      </c>
      <c r="U983" s="5" t="s">
        <v>1678</v>
      </c>
      <c r="V983" s="5" t="s">
        <v>1094</v>
      </c>
      <c r="W983" s="5" t="s">
        <v>1094</v>
      </c>
      <c r="X983" s="15" t="s">
        <v>1677</v>
      </c>
      <c r="Y983" s="5"/>
    </row>
    <row r="984" customFormat="false" ht="15" hidden="false" customHeight="false" outlineLevel="0" collapsed="false">
      <c r="A984" s="5" t="s">
        <v>10177</v>
      </c>
      <c r="B984" s="5" t="s">
        <v>1093</v>
      </c>
      <c r="C984" s="5" t="s">
        <v>133</v>
      </c>
      <c r="D984" s="10" t="s">
        <v>137</v>
      </c>
      <c r="E984" s="5" t="n">
        <v>5</v>
      </c>
      <c r="F984" s="5" t="s">
        <v>10178</v>
      </c>
      <c r="G984" s="13" t="s">
        <v>10179</v>
      </c>
      <c r="H984" s="5" t="s">
        <v>10180</v>
      </c>
      <c r="I984" s="13" t="s">
        <v>10181</v>
      </c>
      <c r="J984" s="5" t="s">
        <v>5916</v>
      </c>
      <c r="K984" s="5" t="s">
        <v>5916</v>
      </c>
      <c r="L984" s="13" t="s">
        <v>10182</v>
      </c>
      <c r="M984" s="13" t="s">
        <v>10183</v>
      </c>
      <c r="N984" s="5" t="n">
        <f aca="false">LEN(L984)</f>
        <v>25</v>
      </c>
      <c r="O984" s="5" t="n">
        <f aca="false">LEN(M984)</f>
        <v>25</v>
      </c>
      <c r="P984" s="14" t="n">
        <f aca="false">IF(N984=0,"",(N984-LEN(SUBSTITUTE(SUBSTITUTE(L984,"G",""),"C","")))/N984)</f>
        <v>0.48</v>
      </c>
      <c r="Q984" s="14" t="n">
        <f aca="false">IF(O984=0,"",(O984-LEN(SUBSTITUTE(SUBSTITUTE(M984,"G",""),"C","")))/O984)</f>
        <v>0.64</v>
      </c>
      <c r="R984" s="5" t="s">
        <v>138</v>
      </c>
      <c r="S984" s="15" t="s">
        <v>1677</v>
      </c>
      <c r="T984" s="5" t="n">
        <v>388</v>
      </c>
      <c r="U984" s="5" t="s">
        <v>1678</v>
      </c>
      <c r="V984" s="5" t="s">
        <v>1094</v>
      </c>
      <c r="W984" s="5" t="s">
        <v>1094</v>
      </c>
      <c r="X984" s="15" t="s">
        <v>1677</v>
      </c>
      <c r="Y984" s="5"/>
    </row>
    <row r="985" customFormat="false" ht="15" hidden="false" customHeight="false" outlineLevel="0" collapsed="false">
      <c r="A985" s="5" t="s">
        <v>10184</v>
      </c>
      <c r="B985" s="5" t="s">
        <v>1093</v>
      </c>
      <c r="C985" s="5" t="s">
        <v>133</v>
      </c>
      <c r="D985" s="10" t="s">
        <v>137</v>
      </c>
      <c r="E985" s="5" t="n">
        <v>6</v>
      </c>
      <c r="F985" s="5" t="s">
        <v>10185</v>
      </c>
      <c r="G985" s="13" t="s">
        <v>10186</v>
      </c>
      <c r="H985" s="5" t="s">
        <v>10187</v>
      </c>
      <c r="I985" s="13" t="s">
        <v>10188</v>
      </c>
      <c r="J985" s="5" t="s">
        <v>5916</v>
      </c>
      <c r="K985" s="5" t="s">
        <v>5916</v>
      </c>
      <c r="L985" s="13" t="s">
        <v>10189</v>
      </c>
      <c r="M985" s="13" t="s">
        <v>10190</v>
      </c>
      <c r="N985" s="5" t="n">
        <f aca="false">LEN(L985)</f>
        <v>25</v>
      </c>
      <c r="O985" s="5" t="n">
        <f aca="false">LEN(M985)</f>
        <v>25</v>
      </c>
      <c r="P985" s="14" t="n">
        <f aca="false">IF(N985=0,"",(N985-LEN(SUBSTITUTE(SUBSTITUTE(L985,"G",""),"C","")))/N985)</f>
        <v>0.48</v>
      </c>
      <c r="Q985" s="14" t="n">
        <f aca="false">IF(O985=0,"",(O985-LEN(SUBSTITUTE(SUBSTITUTE(M985,"G",""),"C","")))/O985)</f>
        <v>0.44</v>
      </c>
      <c r="R985" s="5" t="s">
        <v>138</v>
      </c>
      <c r="S985" s="15" t="s">
        <v>1677</v>
      </c>
      <c r="T985" s="5" t="n">
        <v>468</v>
      </c>
      <c r="U985" s="5" t="s">
        <v>1678</v>
      </c>
      <c r="V985" s="5" t="s">
        <v>1094</v>
      </c>
      <c r="W985" s="5" t="s">
        <v>1094</v>
      </c>
      <c r="X985" s="15" t="s">
        <v>1677</v>
      </c>
      <c r="Y985" s="5"/>
    </row>
    <row r="986" customFormat="false" ht="15" hidden="false" customHeight="false" outlineLevel="0" collapsed="false">
      <c r="A986" s="5" t="s">
        <v>10191</v>
      </c>
      <c r="B986" s="5" t="s">
        <v>1093</v>
      </c>
      <c r="C986" s="5" t="s">
        <v>133</v>
      </c>
      <c r="D986" s="10" t="s">
        <v>137</v>
      </c>
      <c r="E986" s="5" t="n">
        <v>7</v>
      </c>
      <c r="F986" s="5" t="s">
        <v>10192</v>
      </c>
      <c r="G986" s="13" t="s">
        <v>10193</v>
      </c>
      <c r="H986" s="5" t="s">
        <v>10194</v>
      </c>
      <c r="I986" s="13" t="s">
        <v>10195</v>
      </c>
      <c r="J986" s="5" t="s">
        <v>5916</v>
      </c>
      <c r="K986" s="5" t="s">
        <v>5916</v>
      </c>
      <c r="L986" s="13" t="s">
        <v>10196</v>
      </c>
      <c r="M986" s="13" t="s">
        <v>10197</v>
      </c>
      <c r="N986" s="5" t="n">
        <f aca="false">LEN(L986)</f>
        <v>25</v>
      </c>
      <c r="O986" s="5" t="n">
        <f aca="false">LEN(M986)</f>
        <v>25</v>
      </c>
      <c r="P986" s="14" t="n">
        <f aca="false">IF(N986=0,"",(N986-LEN(SUBSTITUTE(SUBSTITUTE(L986,"G",""),"C","")))/N986)</f>
        <v>0.4</v>
      </c>
      <c r="Q986" s="14" t="n">
        <f aca="false">IF(O986=0,"",(O986-LEN(SUBSTITUTE(SUBSTITUTE(M986,"G",""),"C","")))/O986)</f>
        <v>0.4</v>
      </c>
      <c r="R986" s="5" t="s">
        <v>138</v>
      </c>
      <c r="S986" s="15" t="s">
        <v>1677</v>
      </c>
      <c r="T986" s="5" t="n">
        <v>572</v>
      </c>
      <c r="U986" s="5" t="s">
        <v>1678</v>
      </c>
      <c r="V986" s="5" t="s">
        <v>1094</v>
      </c>
      <c r="W986" s="5" t="s">
        <v>1094</v>
      </c>
      <c r="X986" s="15" t="s">
        <v>1677</v>
      </c>
      <c r="Y986" s="5"/>
    </row>
    <row r="987" customFormat="false" ht="15" hidden="false" customHeight="false" outlineLevel="0" collapsed="false">
      <c r="A987" s="5" t="s">
        <v>10198</v>
      </c>
      <c r="B987" s="5" t="s">
        <v>1093</v>
      </c>
      <c r="C987" s="5" t="s">
        <v>133</v>
      </c>
      <c r="D987" s="10" t="s">
        <v>137</v>
      </c>
      <c r="E987" s="5" t="n">
        <v>8</v>
      </c>
      <c r="F987" s="5" t="s">
        <v>10199</v>
      </c>
      <c r="G987" s="13" t="s">
        <v>10200</v>
      </c>
      <c r="H987" s="5" t="s">
        <v>10201</v>
      </c>
      <c r="I987" s="13" t="s">
        <v>10202</v>
      </c>
      <c r="J987" s="5" t="s">
        <v>5916</v>
      </c>
      <c r="K987" s="5" t="s">
        <v>5916</v>
      </c>
      <c r="L987" s="13" t="s">
        <v>10203</v>
      </c>
      <c r="M987" s="13" t="s">
        <v>10204</v>
      </c>
      <c r="N987" s="5" t="n">
        <f aca="false">LEN(L987)</f>
        <v>25</v>
      </c>
      <c r="O987" s="5" t="n">
        <f aca="false">LEN(M987)</f>
        <v>25</v>
      </c>
      <c r="P987" s="14" t="n">
        <f aca="false">IF(N987=0,"",(N987-LEN(SUBSTITUTE(SUBSTITUTE(L987,"G",""),"C","")))/N987)</f>
        <v>0.48</v>
      </c>
      <c r="Q987" s="14" t="n">
        <f aca="false">IF(O987=0,"",(O987-LEN(SUBSTITUTE(SUBSTITUTE(M987,"G",""),"C","")))/O987)</f>
        <v>0.52</v>
      </c>
      <c r="R987" s="5" t="s">
        <v>138</v>
      </c>
      <c r="S987" s="15" t="s">
        <v>1677</v>
      </c>
      <c r="T987" s="5" t="n">
        <v>652</v>
      </c>
      <c r="U987" s="5" t="s">
        <v>1678</v>
      </c>
      <c r="V987" s="5" t="s">
        <v>1094</v>
      </c>
      <c r="W987" s="5" t="s">
        <v>1094</v>
      </c>
      <c r="X987" s="15" t="s">
        <v>1677</v>
      </c>
      <c r="Y987" s="5"/>
    </row>
    <row r="988" customFormat="false" ht="15" hidden="false" customHeight="false" outlineLevel="0" collapsed="false">
      <c r="A988" s="5" t="s">
        <v>10205</v>
      </c>
      <c r="B988" s="5" t="s">
        <v>1093</v>
      </c>
      <c r="C988" s="5" t="s">
        <v>133</v>
      </c>
      <c r="D988" s="10" t="s">
        <v>137</v>
      </c>
      <c r="E988" s="5" t="n">
        <v>9</v>
      </c>
      <c r="F988" s="5" t="s">
        <v>10206</v>
      </c>
      <c r="G988" s="13" t="s">
        <v>10207</v>
      </c>
      <c r="H988" s="5" t="s">
        <v>10208</v>
      </c>
      <c r="I988" s="13" t="s">
        <v>10209</v>
      </c>
      <c r="J988" s="5" t="s">
        <v>5916</v>
      </c>
      <c r="K988" s="5" t="s">
        <v>5916</v>
      </c>
      <c r="L988" s="13" t="s">
        <v>10210</v>
      </c>
      <c r="M988" s="13" t="s">
        <v>10211</v>
      </c>
      <c r="N988" s="5" t="n">
        <f aca="false">LEN(L988)</f>
        <v>25</v>
      </c>
      <c r="O988" s="5" t="n">
        <f aca="false">LEN(M988)</f>
        <v>25</v>
      </c>
      <c r="P988" s="14" t="n">
        <f aca="false">IF(N988=0,"",(N988-LEN(SUBSTITUTE(SUBSTITUTE(L988,"G",""),"C","")))/N988)</f>
        <v>0.48</v>
      </c>
      <c r="Q988" s="14" t="n">
        <f aca="false">IF(O988=0,"",(O988-LEN(SUBSTITUTE(SUBSTITUTE(M988,"G",""),"C","")))/O988)</f>
        <v>0.4</v>
      </c>
      <c r="R988" s="5" t="s">
        <v>138</v>
      </c>
      <c r="S988" s="15" t="s">
        <v>1677</v>
      </c>
      <c r="T988" s="5" t="n">
        <v>750</v>
      </c>
      <c r="U988" s="5" t="s">
        <v>1678</v>
      </c>
      <c r="V988" s="5" t="s">
        <v>1094</v>
      </c>
      <c r="W988" s="5" t="s">
        <v>1094</v>
      </c>
      <c r="X988" s="15" t="s">
        <v>1677</v>
      </c>
      <c r="Y988" s="5"/>
    </row>
    <row r="989" customFormat="false" ht="15" hidden="false" customHeight="false" outlineLevel="0" collapsed="false">
      <c r="A989" s="5" t="s">
        <v>10212</v>
      </c>
      <c r="B989" s="5" t="s">
        <v>1093</v>
      </c>
      <c r="C989" s="5" t="s">
        <v>133</v>
      </c>
      <c r="D989" s="10" t="s">
        <v>137</v>
      </c>
      <c r="E989" s="5" t="n">
        <v>10</v>
      </c>
      <c r="F989" s="5" t="s">
        <v>10213</v>
      </c>
      <c r="G989" s="13" t="s">
        <v>10214</v>
      </c>
      <c r="H989" s="5" t="s">
        <v>10215</v>
      </c>
      <c r="I989" s="13" t="s">
        <v>10216</v>
      </c>
      <c r="J989" s="5" t="s">
        <v>5916</v>
      </c>
      <c r="K989" s="5" t="s">
        <v>5916</v>
      </c>
      <c r="L989" s="13" t="s">
        <v>10217</v>
      </c>
      <c r="M989" s="13" t="s">
        <v>10218</v>
      </c>
      <c r="N989" s="5" t="n">
        <f aca="false">LEN(L989)</f>
        <v>25</v>
      </c>
      <c r="O989" s="5" t="n">
        <f aca="false">LEN(M989)</f>
        <v>25</v>
      </c>
      <c r="P989" s="14" t="n">
        <f aca="false">IF(N989=0,"",(N989-LEN(SUBSTITUTE(SUBSTITUTE(L989,"G",""),"C","")))/N989)</f>
        <v>0.4</v>
      </c>
      <c r="Q989" s="14" t="n">
        <f aca="false">IF(O989=0,"",(O989-LEN(SUBSTITUTE(SUBSTITUTE(M989,"G",""),"C","")))/O989)</f>
        <v>0.52</v>
      </c>
      <c r="R989" s="5" t="s">
        <v>138</v>
      </c>
      <c r="S989" s="15" t="s">
        <v>1677</v>
      </c>
      <c r="T989" s="5" t="n">
        <v>839</v>
      </c>
      <c r="U989" s="5" t="s">
        <v>1678</v>
      </c>
      <c r="V989" s="5" t="s">
        <v>1094</v>
      </c>
      <c r="W989" s="5" t="s">
        <v>1094</v>
      </c>
      <c r="X989" s="15" t="s">
        <v>1677</v>
      </c>
      <c r="Y989" s="5"/>
    </row>
    <row r="990" customFormat="false" ht="15" hidden="false" customHeight="false" outlineLevel="0" collapsed="false">
      <c r="A990" s="5" t="s">
        <v>10219</v>
      </c>
      <c r="B990" s="5" t="s">
        <v>1095</v>
      </c>
      <c r="C990" s="5" t="s">
        <v>1096</v>
      </c>
      <c r="D990" s="10" t="s">
        <v>137</v>
      </c>
      <c r="E990" s="5" t="n">
        <v>1</v>
      </c>
      <c r="F990" s="5" t="s">
        <v>10220</v>
      </c>
      <c r="G990" s="13" t="s">
        <v>10221</v>
      </c>
      <c r="H990" s="5" t="s">
        <v>10222</v>
      </c>
      <c r="I990" s="13" t="s">
        <v>10223</v>
      </c>
      <c r="J990" s="5" t="s">
        <v>10224</v>
      </c>
      <c r="K990" s="5" t="s">
        <v>10225</v>
      </c>
      <c r="L990" s="13" t="s">
        <v>10226</v>
      </c>
      <c r="M990" s="13" t="s">
        <v>10227</v>
      </c>
      <c r="N990" s="5" t="n">
        <f aca="false">LEN(L990)</f>
        <v>25</v>
      </c>
      <c r="O990" s="5" t="n">
        <f aca="false">LEN(M990)</f>
        <v>25</v>
      </c>
      <c r="P990" s="14" t="n">
        <f aca="false">IF(N990=0,"",(N990-LEN(SUBSTITUTE(SUBSTITUTE(L990,"G",""),"C","")))/N990)</f>
        <v>0.6</v>
      </c>
      <c r="Q990" s="14" t="n">
        <f aca="false">IF(O990=0,"",(O990-LEN(SUBSTITUTE(SUBSTITUTE(M990,"G",""),"C","")))/O990)</f>
        <v>0.4</v>
      </c>
      <c r="R990" s="5" t="s">
        <v>1099</v>
      </c>
      <c r="S990" s="15" t="s">
        <v>1677</v>
      </c>
      <c r="T990" s="5" t="n">
        <v>225</v>
      </c>
      <c r="U990" s="5" t="s">
        <v>1678</v>
      </c>
      <c r="V990" s="5" t="s">
        <v>453</v>
      </c>
      <c r="W990" s="5"/>
      <c r="X990" s="15" t="s">
        <v>1677</v>
      </c>
      <c r="Y990" s="5"/>
    </row>
    <row r="991" customFormat="false" ht="15" hidden="false" customHeight="false" outlineLevel="0" collapsed="false">
      <c r="A991" s="5" t="s">
        <v>10228</v>
      </c>
      <c r="B991" s="5" t="s">
        <v>1095</v>
      </c>
      <c r="C991" s="5" t="s">
        <v>1096</v>
      </c>
      <c r="D991" s="10" t="s">
        <v>137</v>
      </c>
      <c r="E991" s="5" t="n">
        <v>2</v>
      </c>
      <c r="F991" s="5" t="s">
        <v>10229</v>
      </c>
      <c r="G991" s="13" t="s">
        <v>10230</v>
      </c>
      <c r="H991" s="5" t="s">
        <v>10231</v>
      </c>
      <c r="I991" s="13" t="s">
        <v>10232</v>
      </c>
      <c r="J991" s="5" t="s">
        <v>10233</v>
      </c>
      <c r="K991" s="5" t="s">
        <v>10234</v>
      </c>
      <c r="L991" s="13" t="s">
        <v>10235</v>
      </c>
      <c r="M991" s="13" t="s">
        <v>10236</v>
      </c>
      <c r="N991" s="5" t="n">
        <f aca="false">LEN(L991)</f>
        <v>25</v>
      </c>
      <c r="O991" s="5" t="n">
        <f aca="false">LEN(M991)</f>
        <v>25</v>
      </c>
      <c r="P991" s="14" t="n">
        <f aca="false">IF(N991=0,"",(N991-LEN(SUBSTITUTE(SUBSTITUTE(L991,"G",""),"C","")))/N991)</f>
        <v>0.44</v>
      </c>
      <c r="Q991" s="14" t="n">
        <f aca="false">IF(O991=0,"",(O991-LEN(SUBSTITUTE(SUBSTITUTE(M991,"G",""),"C","")))/O991)</f>
        <v>0.48</v>
      </c>
      <c r="R991" s="5" t="s">
        <v>1099</v>
      </c>
      <c r="S991" s="15" t="s">
        <v>1677</v>
      </c>
      <c r="T991" s="5" t="n">
        <v>298</v>
      </c>
      <c r="U991" s="5" t="s">
        <v>1678</v>
      </c>
      <c r="V991" s="5" t="s">
        <v>453</v>
      </c>
      <c r="W991" s="5"/>
      <c r="X991" s="15" t="s">
        <v>1677</v>
      </c>
      <c r="Y991" s="5"/>
    </row>
    <row r="992" customFormat="false" ht="15" hidden="false" customHeight="false" outlineLevel="0" collapsed="false">
      <c r="A992" s="5" t="s">
        <v>10237</v>
      </c>
      <c r="B992" s="5" t="s">
        <v>1095</v>
      </c>
      <c r="C992" s="5" t="s">
        <v>1096</v>
      </c>
      <c r="D992" s="10" t="s">
        <v>137</v>
      </c>
      <c r="E992" s="5" t="n">
        <v>3</v>
      </c>
      <c r="F992" s="5" t="s">
        <v>10238</v>
      </c>
      <c r="G992" s="13" t="s">
        <v>10239</v>
      </c>
      <c r="H992" s="5" t="s">
        <v>10240</v>
      </c>
      <c r="I992" s="13" t="s">
        <v>10241</v>
      </c>
      <c r="J992" s="5" t="s">
        <v>10242</v>
      </c>
      <c r="K992" s="5" t="s">
        <v>10243</v>
      </c>
      <c r="L992" s="13" t="s">
        <v>10244</v>
      </c>
      <c r="M992" s="13" t="s">
        <v>10245</v>
      </c>
      <c r="N992" s="5" t="n">
        <f aca="false">LEN(L992)</f>
        <v>25</v>
      </c>
      <c r="O992" s="5" t="n">
        <f aca="false">LEN(M992)</f>
        <v>25</v>
      </c>
      <c r="P992" s="14" t="n">
        <f aca="false">IF(N992=0,"",(N992-LEN(SUBSTITUTE(SUBSTITUTE(L992,"G",""),"C","")))/N992)</f>
        <v>0.52</v>
      </c>
      <c r="Q992" s="14" t="n">
        <f aca="false">IF(O992=0,"",(O992-LEN(SUBSTITUTE(SUBSTITUTE(M992,"G",""),"C","")))/O992)</f>
        <v>0.72</v>
      </c>
      <c r="R992" s="5" t="s">
        <v>1099</v>
      </c>
      <c r="S992" s="15" t="s">
        <v>1677</v>
      </c>
      <c r="T992" s="5" t="n">
        <v>371</v>
      </c>
      <c r="U992" s="5" t="s">
        <v>1678</v>
      </c>
      <c r="V992" s="5" t="s">
        <v>453</v>
      </c>
      <c r="W992" s="5"/>
      <c r="X992" s="15" t="s">
        <v>1677</v>
      </c>
      <c r="Y992" s="5"/>
    </row>
    <row r="993" customFormat="false" ht="15" hidden="false" customHeight="false" outlineLevel="0" collapsed="false">
      <c r="A993" s="5" t="s">
        <v>10246</v>
      </c>
      <c r="B993" s="5" t="s">
        <v>1095</v>
      </c>
      <c r="C993" s="5" t="s">
        <v>1096</v>
      </c>
      <c r="D993" s="10" t="s">
        <v>137</v>
      </c>
      <c r="E993" s="5" t="n">
        <v>4</v>
      </c>
      <c r="F993" s="5" t="s">
        <v>10247</v>
      </c>
      <c r="G993" s="13" t="s">
        <v>10248</v>
      </c>
      <c r="H993" s="5" t="s">
        <v>10249</v>
      </c>
      <c r="I993" s="13" t="s">
        <v>10250</v>
      </c>
      <c r="J993" s="5" t="s">
        <v>10251</v>
      </c>
      <c r="K993" s="5" t="s">
        <v>10252</v>
      </c>
      <c r="L993" s="13" t="s">
        <v>10253</v>
      </c>
      <c r="M993" s="13" t="s">
        <v>10254</v>
      </c>
      <c r="N993" s="5" t="n">
        <f aca="false">LEN(L993)</f>
        <v>25</v>
      </c>
      <c r="O993" s="5" t="n">
        <f aca="false">LEN(M993)</f>
        <v>25</v>
      </c>
      <c r="P993" s="14" t="n">
        <f aca="false">IF(N993=0,"",(N993-LEN(SUBSTITUTE(SUBSTITUTE(L993,"G",""),"C","")))/N993)</f>
        <v>0.36</v>
      </c>
      <c r="Q993" s="14" t="n">
        <f aca="false">IF(O993=0,"",(O993-LEN(SUBSTITUTE(SUBSTITUTE(M993,"G",""),"C","")))/O993)</f>
        <v>0.52</v>
      </c>
      <c r="R993" s="5" t="s">
        <v>1099</v>
      </c>
      <c r="S993" s="15" t="s">
        <v>1677</v>
      </c>
      <c r="T993" s="5" t="n">
        <v>444</v>
      </c>
      <c r="U993" s="5" t="s">
        <v>1678</v>
      </c>
      <c r="V993" s="5" t="s">
        <v>453</v>
      </c>
      <c r="W993" s="5"/>
      <c r="X993" s="15" t="s">
        <v>1677</v>
      </c>
      <c r="Y993" s="5"/>
    </row>
    <row r="994" customFormat="false" ht="15" hidden="false" customHeight="false" outlineLevel="0" collapsed="false">
      <c r="A994" s="5" t="s">
        <v>10255</v>
      </c>
      <c r="B994" s="5" t="s">
        <v>1095</v>
      </c>
      <c r="C994" s="5" t="s">
        <v>1096</v>
      </c>
      <c r="D994" s="10" t="s">
        <v>137</v>
      </c>
      <c r="E994" s="5" t="n">
        <v>5</v>
      </c>
      <c r="F994" s="5" t="s">
        <v>10256</v>
      </c>
      <c r="G994" s="13" t="s">
        <v>10257</v>
      </c>
      <c r="H994" s="5" t="s">
        <v>10258</v>
      </c>
      <c r="I994" s="13" t="s">
        <v>10259</v>
      </c>
      <c r="J994" s="5" t="s">
        <v>10260</v>
      </c>
      <c r="K994" s="5" t="s">
        <v>10261</v>
      </c>
      <c r="L994" s="13" t="s">
        <v>10262</v>
      </c>
      <c r="M994" s="13" t="s">
        <v>10263</v>
      </c>
      <c r="N994" s="5" t="n">
        <f aca="false">LEN(L994)</f>
        <v>25</v>
      </c>
      <c r="O994" s="5" t="n">
        <f aca="false">LEN(M994)</f>
        <v>25</v>
      </c>
      <c r="P994" s="14" t="n">
        <f aca="false">IF(N994=0,"",(N994-LEN(SUBSTITUTE(SUBSTITUTE(L994,"G",""),"C","")))/N994)</f>
        <v>0.4</v>
      </c>
      <c r="Q994" s="14" t="n">
        <f aca="false">IF(O994=0,"",(O994-LEN(SUBSTITUTE(SUBSTITUTE(M994,"G",""),"C","")))/O994)</f>
        <v>0.52</v>
      </c>
      <c r="R994" s="5" t="s">
        <v>1099</v>
      </c>
      <c r="S994" s="15" t="s">
        <v>1677</v>
      </c>
      <c r="T994" s="5" t="n">
        <v>517</v>
      </c>
      <c r="U994" s="5" t="s">
        <v>1678</v>
      </c>
      <c r="V994" s="5" t="s">
        <v>453</v>
      </c>
      <c r="W994" s="5"/>
      <c r="X994" s="15" t="s">
        <v>1677</v>
      </c>
      <c r="Y994" s="5"/>
    </row>
    <row r="995" customFormat="false" ht="15" hidden="false" customHeight="false" outlineLevel="0" collapsed="false">
      <c r="A995" s="5" t="s">
        <v>10264</v>
      </c>
      <c r="B995" s="5" t="s">
        <v>1095</v>
      </c>
      <c r="C995" s="5" t="s">
        <v>1096</v>
      </c>
      <c r="D995" s="10" t="s">
        <v>137</v>
      </c>
      <c r="E995" s="5" t="n">
        <v>6</v>
      </c>
      <c r="F995" s="5" t="s">
        <v>10265</v>
      </c>
      <c r="G995" s="13" t="s">
        <v>10266</v>
      </c>
      <c r="H995" s="5" t="s">
        <v>10267</v>
      </c>
      <c r="I995" s="13" t="s">
        <v>10268</v>
      </c>
      <c r="J995" s="5" t="s">
        <v>10269</v>
      </c>
      <c r="K995" s="5" t="s">
        <v>10270</v>
      </c>
      <c r="L995" s="13" t="s">
        <v>10271</v>
      </c>
      <c r="M995" s="13" t="s">
        <v>10272</v>
      </c>
      <c r="N995" s="5" t="n">
        <f aca="false">LEN(L995)</f>
        <v>25</v>
      </c>
      <c r="O995" s="5" t="n">
        <f aca="false">LEN(M995)</f>
        <v>25</v>
      </c>
      <c r="P995" s="14" t="n">
        <f aca="false">IF(N995=0,"",(N995-LEN(SUBSTITUTE(SUBSTITUTE(L995,"G",""),"C","")))/N995)</f>
        <v>0.48</v>
      </c>
      <c r="Q995" s="14" t="n">
        <f aca="false">IF(O995=0,"",(O995-LEN(SUBSTITUTE(SUBSTITUTE(M995,"G",""),"C","")))/O995)</f>
        <v>0.52</v>
      </c>
      <c r="R995" s="5" t="s">
        <v>1099</v>
      </c>
      <c r="S995" s="15" t="s">
        <v>1677</v>
      </c>
      <c r="T995" s="5" t="n">
        <v>590</v>
      </c>
      <c r="U995" s="5" t="s">
        <v>1678</v>
      </c>
      <c r="V995" s="5" t="s">
        <v>453</v>
      </c>
      <c r="W995" s="5"/>
      <c r="X995" s="15" t="s">
        <v>1677</v>
      </c>
      <c r="Y995" s="5"/>
    </row>
    <row r="996" customFormat="false" ht="15" hidden="false" customHeight="false" outlineLevel="0" collapsed="false">
      <c r="A996" s="5" t="s">
        <v>10273</v>
      </c>
      <c r="B996" s="5" t="s">
        <v>1095</v>
      </c>
      <c r="C996" s="5" t="s">
        <v>1096</v>
      </c>
      <c r="D996" s="10" t="s">
        <v>137</v>
      </c>
      <c r="E996" s="5" t="n">
        <v>7</v>
      </c>
      <c r="F996" s="5" t="s">
        <v>10274</v>
      </c>
      <c r="G996" s="13" t="s">
        <v>10275</v>
      </c>
      <c r="H996" s="5" t="s">
        <v>10276</v>
      </c>
      <c r="I996" s="13" t="s">
        <v>10277</v>
      </c>
      <c r="J996" s="5" t="s">
        <v>10278</v>
      </c>
      <c r="K996" s="5" t="s">
        <v>10279</v>
      </c>
      <c r="L996" s="13" t="s">
        <v>10280</v>
      </c>
      <c r="M996" s="13" t="s">
        <v>10281</v>
      </c>
      <c r="N996" s="5" t="n">
        <f aca="false">LEN(L996)</f>
        <v>25</v>
      </c>
      <c r="O996" s="5" t="n">
        <f aca="false">LEN(M996)</f>
        <v>25</v>
      </c>
      <c r="P996" s="14" t="n">
        <f aca="false">IF(N996=0,"",(N996-LEN(SUBSTITUTE(SUBSTITUTE(L996,"G",""),"C","")))/N996)</f>
        <v>0.84</v>
      </c>
      <c r="Q996" s="14" t="n">
        <f aca="false">IF(O996=0,"",(O996-LEN(SUBSTITUTE(SUBSTITUTE(M996,"G",""),"C","")))/O996)</f>
        <v>0.76</v>
      </c>
      <c r="R996" s="5" t="s">
        <v>1099</v>
      </c>
      <c r="S996" s="15" t="s">
        <v>1677</v>
      </c>
      <c r="T996" s="5" t="n">
        <v>663</v>
      </c>
      <c r="U996" s="5" t="s">
        <v>1678</v>
      </c>
      <c r="V996" s="5" t="s">
        <v>453</v>
      </c>
      <c r="W996" s="5"/>
      <c r="X996" s="15" t="s">
        <v>1677</v>
      </c>
      <c r="Y996" s="5"/>
    </row>
    <row r="997" customFormat="false" ht="15" hidden="false" customHeight="false" outlineLevel="0" collapsed="false">
      <c r="A997" s="5" t="s">
        <v>10282</v>
      </c>
      <c r="B997" s="5" t="s">
        <v>1095</v>
      </c>
      <c r="C997" s="5" t="s">
        <v>1096</v>
      </c>
      <c r="D997" s="10" t="s">
        <v>137</v>
      </c>
      <c r="E997" s="5" t="n">
        <v>8</v>
      </c>
      <c r="F997" s="5" t="s">
        <v>10283</v>
      </c>
      <c r="G997" s="13" t="s">
        <v>10284</v>
      </c>
      <c r="H997" s="5" t="s">
        <v>10285</v>
      </c>
      <c r="I997" s="13" t="s">
        <v>10286</v>
      </c>
      <c r="J997" s="5" t="s">
        <v>10287</v>
      </c>
      <c r="K997" s="5" t="s">
        <v>10288</v>
      </c>
      <c r="L997" s="13" t="s">
        <v>10289</v>
      </c>
      <c r="M997" s="13" t="s">
        <v>10290</v>
      </c>
      <c r="N997" s="5" t="n">
        <f aca="false">LEN(L997)</f>
        <v>25</v>
      </c>
      <c r="O997" s="5" t="n">
        <f aca="false">LEN(M997)</f>
        <v>25</v>
      </c>
      <c r="P997" s="14" t="n">
        <f aca="false">IF(N997=0,"",(N997-LEN(SUBSTITUTE(SUBSTITUTE(L997,"G",""),"C","")))/N997)</f>
        <v>0.76</v>
      </c>
      <c r="Q997" s="14" t="n">
        <f aca="false">IF(O997=0,"",(O997-LEN(SUBSTITUTE(SUBSTITUTE(M997,"G",""),"C","")))/O997)</f>
        <v>0.48</v>
      </c>
      <c r="R997" s="5" t="s">
        <v>1099</v>
      </c>
      <c r="S997" s="15" t="s">
        <v>1677</v>
      </c>
      <c r="T997" s="5" t="n">
        <v>736</v>
      </c>
      <c r="U997" s="5" t="s">
        <v>1678</v>
      </c>
      <c r="V997" s="5" t="s">
        <v>453</v>
      </c>
      <c r="W997" s="5"/>
      <c r="X997" s="15" t="s">
        <v>1677</v>
      </c>
      <c r="Y997" s="5"/>
    </row>
    <row r="998" customFormat="false" ht="15" hidden="false" customHeight="false" outlineLevel="0" collapsed="false">
      <c r="A998" s="5" t="s">
        <v>10291</v>
      </c>
      <c r="B998" s="5" t="s">
        <v>1103</v>
      </c>
      <c r="C998" s="5" t="s">
        <v>1104</v>
      </c>
      <c r="D998" s="10" t="s">
        <v>137</v>
      </c>
      <c r="E998" s="5" t="n">
        <v>1</v>
      </c>
      <c r="F998" s="5" t="s">
        <v>10292</v>
      </c>
      <c r="G998" s="13" t="s">
        <v>10293</v>
      </c>
      <c r="H998" s="5" t="s">
        <v>10294</v>
      </c>
      <c r="I998" s="13" t="s">
        <v>10295</v>
      </c>
      <c r="J998" s="5" t="s">
        <v>10296</v>
      </c>
      <c r="K998" s="5" t="s">
        <v>10297</v>
      </c>
      <c r="L998" s="13" t="s">
        <v>10298</v>
      </c>
      <c r="M998" s="13" t="s">
        <v>10299</v>
      </c>
      <c r="N998" s="5" t="n">
        <f aca="false">LEN(L998)</f>
        <v>25</v>
      </c>
      <c r="O998" s="5" t="n">
        <f aca="false">LEN(M998)</f>
        <v>25</v>
      </c>
      <c r="P998" s="14" t="n">
        <f aca="false">IF(N998=0,"",(N998-LEN(SUBSTITUTE(SUBSTITUTE(L998,"G",""),"C","")))/N998)</f>
        <v>0.72</v>
      </c>
      <c r="Q998" s="14" t="n">
        <f aca="false">IF(O998=0,"",(O998-LEN(SUBSTITUTE(SUBSTITUTE(M998,"G",""),"C","")))/O998)</f>
        <v>0.84</v>
      </c>
      <c r="R998" s="5" t="s">
        <v>1108</v>
      </c>
      <c r="S998" s="15" t="s">
        <v>1677</v>
      </c>
      <c r="T998" s="5" t="n">
        <v>16</v>
      </c>
      <c r="U998" s="5" t="s">
        <v>1678</v>
      </c>
      <c r="V998" s="5" t="s">
        <v>1055</v>
      </c>
      <c r="W998" s="5"/>
      <c r="X998" s="8" t="s">
        <v>2131</v>
      </c>
      <c r="Y998" s="5"/>
    </row>
    <row r="999" customFormat="false" ht="15" hidden="false" customHeight="false" outlineLevel="0" collapsed="false">
      <c r="A999" s="5" t="s">
        <v>10300</v>
      </c>
      <c r="B999" s="5" t="s">
        <v>1103</v>
      </c>
      <c r="C999" s="5" t="s">
        <v>1104</v>
      </c>
      <c r="D999" s="10" t="s">
        <v>137</v>
      </c>
      <c r="E999" s="5" t="n">
        <v>2</v>
      </c>
      <c r="F999" s="5" t="s">
        <v>10301</v>
      </c>
      <c r="G999" s="13" t="s">
        <v>10302</v>
      </c>
      <c r="H999" s="5" t="s">
        <v>10303</v>
      </c>
      <c r="I999" s="13" t="s">
        <v>10304</v>
      </c>
      <c r="J999" s="5" t="s">
        <v>10305</v>
      </c>
      <c r="K999" s="5" t="s">
        <v>10306</v>
      </c>
      <c r="L999" s="13" t="s">
        <v>10307</v>
      </c>
      <c r="M999" s="13" t="s">
        <v>10308</v>
      </c>
      <c r="N999" s="5" t="n">
        <f aca="false">LEN(L999)</f>
        <v>25</v>
      </c>
      <c r="O999" s="5" t="n">
        <f aca="false">LEN(M999)</f>
        <v>25</v>
      </c>
      <c r="P999" s="14" t="n">
        <f aca="false">IF(N999=0,"",(N999-LEN(SUBSTITUTE(SUBSTITUTE(L999,"G",""),"C","")))/N999)</f>
        <v>0.88</v>
      </c>
      <c r="Q999" s="14" t="n">
        <f aca="false">IF(O999=0,"",(O999-LEN(SUBSTITUTE(SUBSTITUTE(M999,"G",""),"C","")))/O999)</f>
        <v>0.6</v>
      </c>
      <c r="R999" s="5" t="s">
        <v>1108</v>
      </c>
      <c r="S999" s="15" t="s">
        <v>1677</v>
      </c>
      <c r="T999" s="5" t="n">
        <v>133</v>
      </c>
      <c r="U999" s="5" t="s">
        <v>1678</v>
      </c>
      <c r="V999" s="5" t="s">
        <v>1055</v>
      </c>
      <c r="W999" s="5"/>
      <c r="X999" s="8" t="s">
        <v>2131</v>
      </c>
      <c r="Y999" s="5"/>
    </row>
    <row r="1000" customFormat="false" ht="15" hidden="false" customHeight="false" outlineLevel="0" collapsed="false">
      <c r="A1000" s="5" t="s">
        <v>10309</v>
      </c>
      <c r="B1000" s="5" t="s">
        <v>1103</v>
      </c>
      <c r="C1000" s="5" t="s">
        <v>1104</v>
      </c>
      <c r="D1000" s="10" t="s">
        <v>137</v>
      </c>
      <c r="E1000" s="5" t="n">
        <v>3</v>
      </c>
      <c r="F1000" s="5" t="s">
        <v>10310</v>
      </c>
      <c r="G1000" s="13" t="s">
        <v>10311</v>
      </c>
      <c r="H1000" s="5" t="s">
        <v>10312</v>
      </c>
      <c r="I1000" s="13" t="s">
        <v>10313</v>
      </c>
      <c r="J1000" s="5" t="s">
        <v>10314</v>
      </c>
      <c r="K1000" s="5" t="s">
        <v>10315</v>
      </c>
      <c r="L1000" s="13" t="s">
        <v>10316</v>
      </c>
      <c r="M1000" s="13" t="s">
        <v>10317</v>
      </c>
      <c r="N1000" s="5" t="n">
        <f aca="false">LEN(L1000)</f>
        <v>25</v>
      </c>
      <c r="O1000" s="5" t="n">
        <f aca="false">LEN(M1000)</f>
        <v>25</v>
      </c>
      <c r="P1000" s="14" t="n">
        <f aca="false">IF(N1000=0,"",(N1000-LEN(SUBSTITUTE(SUBSTITUTE(L1000,"G",""),"C","")))/N1000)</f>
        <v>0.8</v>
      </c>
      <c r="Q1000" s="14" t="n">
        <f aca="false">IF(O1000=0,"",(O1000-LEN(SUBSTITUTE(SUBSTITUTE(M1000,"G",""),"C","")))/O1000)</f>
        <v>0.76</v>
      </c>
      <c r="R1000" s="5" t="s">
        <v>1108</v>
      </c>
      <c r="S1000" s="15" t="s">
        <v>1677</v>
      </c>
      <c r="T1000" s="5" t="n">
        <v>200</v>
      </c>
      <c r="U1000" s="5" t="s">
        <v>1678</v>
      </c>
      <c r="V1000" s="5" t="s">
        <v>1055</v>
      </c>
      <c r="W1000" s="5"/>
      <c r="X1000" s="8" t="s">
        <v>2131</v>
      </c>
      <c r="Y1000" s="5"/>
    </row>
    <row r="1001" customFormat="false" ht="15" hidden="false" customHeight="false" outlineLevel="0" collapsed="false">
      <c r="A1001" s="5" t="s">
        <v>10318</v>
      </c>
      <c r="B1001" s="5" t="s">
        <v>1103</v>
      </c>
      <c r="C1001" s="5" t="s">
        <v>1104</v>
      </c>
      <c r="D1001" s="10" t="s">
        <v>137</v>
      </c>
      <c r="E1001" s="5" t="n">
        <v>4</v>
      </c>
      <c r="F1001" s="5" t="s">
        <v>10319</v>
      </c>
      <c r="G1001" s="13" t="s">
        <v>10320</v>
      </c>
      <c r="H1001" s="5" t="s">
        <v>10321</v>
      </c>
      <c r="I1001" s="13" t="s">
        <v>10322</v>
      </c>
      <c r="J1001" s="5" t="s">
        <v>10323</v>
      </c>
      <c r="K1001" s="5" t="s">
        <v>10324</v>
      </c>
      <c r="L1001" s="13" t="s">
        <v>10325</v>
      </c>
      <c r="M1001" s="13" t="s">
        <v>10326</v>
      </c>
      <c r="N1001" s="5" t="n">
        <f aca="false">LEN(L1001)</f>
        <v>25</v>
      </c>
      <c r="O1001" s="5" t="n">
        <f aca="false">LEN(M1001)</f>
        <v>25</v>
      </c>
      <c r="P1001" s="14" t="n">
        <f aca="false">IF(N1001=0,"",(N1001-LEN(SUBSTITUTE(SUBSTITUTE(L1001,"G",""),"C","")))/N1001)</f>
        <v>0.72</v>
      </c>
      <c r="Q1001" s="14" t="n">
        <f aca="false">IF(O1001=0,"",(O1001-LEN(SUBSTITUTE(SUBSTITUTE(M1001,"G",""),"C","")))/O1001)</f>
        <v>0.6</v>
      </c>
      <c r="R1001" s="5" t="s">
        <v>1108</v>
      </c>
      <c r="S1001" s="15" t="s">
        <v>1677</v>
      </c>
      <c r="T1001" s="5" t="n">
        <v>333</v>
      </c>
      <c r="U1001" s="5" t="s">
        <v>1678</v>
      </c>
      <c r="V1001" s="5" t="s">
        <v>1055</v>
      </c>
      <c r="W1001" s="5"/>
      <c r="X1001" s="8" t="s">
        <v>2131</v>
      </c>
      <c r="Y1001" s="5"/>
    </row>
    <row r="1002" customFormat="false" ht="15" hidden="false" customHeight="false" outlineLevel="0" collapsed="false">
      <c r="A1002" s="5" t="s">
        <v>10327</v>
      </c>
      <c r="B1002" s="5" t="s">
        <v>1103</v>
      </c>
      <c r="C1002" s="5" t="s">
        <v>1104</v>
      </c>
      <c r="D1002" s="10" t="s">
        <v>137</v>
      </c>
      <c r="E1002" s="5" t="n">
        <v>5</v>
      </c>
      <c r="F1002" s="5" t="s">
        <v>10328</v>
      </c>
      <c r="G1002" s="13" t="s">
        <v>10329</v>
      </c>
      <c r="H1002" s="5" t="s">
        <v>10330</v>
      </c>
      <c r="I1002" s="13" t="s">
        <v>10331</v>
      </c>
      <c r="J1002" s="5" t="s">
        <v>10332</v>
      </c>
      <c r="K1002" s="5" t="s">
        <v>10333</v>
      </c>
      <c r="L1002" s="13" t="s">
        <v>10334</v>
      </c>
      <c r="M1002" s="13" t="s">
        <v>10335</v>
      </c>
      <c r="N1002" s="5" t="n">
        <f aca="false">LEN(L1002)</f>
        <v>25</v>
      </c>
      <c r="O1002" s="5" t="n">
        <f aca="false">LEN(M1002)</f>
        <v>25</v>
      </c>
      <c r="P1002" s="14" t="n">
        <f aca="false">IF(N1002=0,"",(N1002-LEN(SUBSTITUTE(SUBSTITUTE(L1002,"G",""),"C","")))/N1002)</f>
        <v>0.8</v>
      </c>
      <c r="Q1002" s="14" t="n">
        <f aca="false">IF(O1002=0,"",(O1002-LEN(SUBSTITUTE(SUBSTITUTE(M1002,"G",""),"C","")))/O1002)</f>
        <v>0.68</v>
      </c>
      <c r="R1002" s="5" t="s">
        <v>1108</v>
      </c>
      <c r="S1002" s="15" t="s">
        <v>1677</v>
      </c>
      <c r="T1002" s="5" t="n">
        <v>465</v>
      </c>
      <c r="U1002" s="5" t="s">
        <v>1678</v>
      </c>
      <c r="V1002" s="5" t="s">
        <v>1055</v>
      </c>
      <c r="W1002" s="5"/>
      <c r="X1002" s="8" t="s">
        <v>2131</v>
      </c>
      <c r="Y1002" s="5"/>
    </row>
    <row r="1003" customFormat="false" ht="15" hidden="false" customHeight="false" outlineLevel="0" collapsed="false">
      <c r="A1003" s="5" t="s">
        <v>10336</v>
      </c>
      <c r="B1003" s="5" t="s">
        <v>1103</v>
      </c>
      <c r="C1003" s="5" t="s">
        <v>1104</v>
      </c>
      <c r="D1003" s="10" t="s">
        <v>137</v>
      </c>
      <c r="E1003" s="5" t="n">
        <v>6</v>
      </c>
      <c r="F1003" s="5" t="s">
        <v>10337</v>
      </c>
      <c r="G1003" s="13" t="s">
        <v>10338</v>
      </c>
      <c r="H1003" s="5" t="s">
        <v>10339</v>
      </c>
      <c r="I1003" s="13" t="s">
        <v>10340</v>
      </c>
      <c r="J1003" s="5" t="s">
        <v>10341</v>
      </c>
      <c r="K1003" s="5" t="s">
        <v>10342</v>
      </c>
      <c r="L1003" s="13" t="s">
        <v>10343</v>
      </c>
      <c r="M1003" s="13" t="s">
        <v>10344</v>
      </c>
      <c r="N1003" s="5" t="n">
        <f aca="false">LEN(L1003)</f>
        <v>25</v>
      </c>
      <c r="O1003" s="5" t="n">
        <f aca="false">LEN(M1003)</f>
        <v>25</v>
      </c>
      <c r="P1003" s="14" t="n">
        <f aca="false">IF(N1003=0,"",(N1003-LEN(SUBSTITUTE(SUBSTITUTE(L1003,"G",""),"C","")))/N1003)</f>
        <v>0.68</v>
      </c>
      <c r="Q1003" s="14" t="n">
        <f aca="false">IF(O1003=0,"",(O1003-LEN(SUBSTITUTE(SUBSTITUTE(M1003,"G",""),"C","")))/O1003)</f>
        <v>0.6</v>
      </c>
      <c r="R1003" s="5" t="s">
        <v>1108</v>
      </c>
      <c r="S1003" s="15" t="s">
        <v>1677</v>
      </c>
      <c r="T1003" s="5" t="n">
        <v>597</v>
      </c>
      <c r="U1003" s="5" t="s">
        <v>1678</v>
      </c>
      <c r="V1003" s="5" t="s">
        <v>1055</v>
      </c>
      <c r="W1003" s="5"/>
      <c r="X1003" s="15" t="s">
        <v>1677</v>
      </c>
      <c r="Y1003" s="5"/>
    </row>
    <row r="1004" customFormat="false" ht="15" hidden="false" customHeight="false" outlineLevel="0" collapsed="false">
      <c r="A1004" s="5" t="s">
        <v>10345</v>
      </c>
      <c r="B1004" s="5" t="s">
        <v>1113</v>
      </c>
      <c r="C1004" s="5" t="s">
        <v>691</v>
      </c>
      <c r="D1004" s="10" t="s">
        <v>137</v>
      </c>
      <c r="E1004" s="5" t="n">
        <v>1</v>
      </c>
      <c r="F1004" s="5" t="s">
        <v>10346</v>
      </c>
      <c r="G1004" s="13" t="s">
        <v>10347</v>
      </c>
      <c r="H1004" s="5" t="s">
        <v>10348</v>
      </c>
      <c r="I1004" s="13" t="s">
        <v>10349</v>
      </c>
      <c r="J1004" s="5" t="s">
        <v>10350</v>
      </c>
      <c r="K1004" s="5" t="s">
        <v>10351</v>
      </c>
      <c r="L1004" s="13" t="s">
        <v>7047</v>
      </c>
      <c r="M1004" s="13" t="s">
        <v>7048</v>
      </c>
      <c r="N1004" s="5" t="n">
        <f aca="false">LEN(L1004)</f>
        <v>25</v>
      </c>
      <c r="O1004" s="5" t="n">
        <f aca="false">LEN(M1004)</f>
        <v>25</v>
      </c>
      <c r="P1004" s="14" t="n">
        <f aca="false">IF(N1004=0,"",(N1004-LEN(SUBSTITUTE(SUBSTITUTE(L1004,"G",""),"C","")))/N1004)</f>
        <v>0.44</v>
      </c>
      <c r="Q1004" s="14" t="n">
        <f aca="false">IF(O1004=0,"",(O1004-LEN(SUBSTITUTE(SUBSTITUTE(M1004,"G",""),"C","")))/O1004)</f>
        <v>0.6</v>
      </c>
      <c r="R1004" s="5" t="s">
        <v>696</v>
      </c>
      <c r="S1004" s="15" t="s">
        <v>1677</v>
      </c>
      <c r="T1004" s="5" t="n">
        <v>216</v>
      </c>
      <c r="U1004" s="5" t="s">
        <v>1678</v>
      </c>
      <c r="V1004" s="5" t="s">
        <v>1055</v>
      </c>
      <c r="W1004" s="5"/>
      <c r="X1004" s="15" t="s">
        <v>1677</v>
      </c>
      <c r="Y1004" s="5"/>
    </row>
    <row r="1005" customFormat="false" ht="15" hidden="false" customHeight="false" outlineLevel="0" collapsed="false">
      <c r="A1005" s="5" t="s">
        <v>10352</v>
      </c>
      <c r="B1005" s="5" t="s">
        <v>1113</v>
      </c>
      <c r="C1005" s="5" t="s">
        <v>691</v>
      </c>
      <c r="D1005" s="10" t="s">
        <v>137</v>
      </c>
      <c r="E1005" s="5" t="n">
        <v>2</v>
      </c>
      <c r="F1005" s="5" t="s">
        <v>10353</v>
      </c>
      <c r="G1005" s="13" t="s">
        <v>10354</v>
      </c>
      <c r="H1005" s="5" t="s">
        <v>10355</v>
      </c>
      <c r="I1005" s="13" t="s">
        <v>10356</v>
      </c>
      <c r="J1005" s="5" t="s">
        <v>10357</v>
      </c>
      <c r="K1005" s="5" t="s">
        <v>10358</v>
      </c>
      <c r="L1005" s="13" t="s">
        <v>7056</v>
      </c>
      <c r="M1005" s="13" t="s">
        <v>7057</v>
      </c>
      <c r="N1005" s="5" t="n">
        <f aca="false">LEN(L1005)</f>
        <v>25</v>
      </c>
      <c r="O1005" s="5" t="n">
        <f aca="false">LEN(M1005)</f>
        <v>25</v>
      </c>
      <c r="P1005" s="14" t="n">
        <f aca="false">IF(N1005=0,"",(N1005-LEN(SUBSTITUTE(SUBSTITUTE(L1005,"G",""),"C","")))/N1005)</f>
        <v>0.44</v>
      </c>
      <c r="Q1005" s="14" t="n">
        <f aca="false">IF(O1005=0,"",(O1005-LEN(SUBSTITUTE(SUBSTITUTE(M1005,"G",""),"C","")))/O1005)</f>
        <v>0.4</v>
      </c>
      <c r="R1005" s="5" t="s">
        <v>696</v>
      </c>
      <c r="S1005" s="15" t="s">
        <v>1677</v>
      </c>
      <c r="T1005" s="5" t="n">
        <v>286</v>
      </c>
      <c r="U1005" s="5" t="s">
        <v>1678</v>
      </c>
      <c r="V1005" s="5" t="s">
        <v>1055</v>
      </c>
      <c r="W1005" s="5"/>
      <c r="X1005" s="15" t="s">
        <v>1677</v>
      </c>
      <c r="Y1005" s="5"/>
    </row>
    <row r="1006" customFormat="false" ht="15" hidden="false" customHeight="false" outlineLevel="0" collapsed="false">
      <c r="A1006" s="5" t="s">
        <v>10359</v>
      </c>
      <c r="B1006" s="5" t="s">
        <v>1113</v>
      </c>
      <c r="C1006" s="5" t="s">
        <v>691</v>
      </c>
      <c r="D1006" s="10" t="s">
        <v>137</v>
      </c>
      <c r="E1006" s="5" t="n">
        <v>3</v>
      </c>
      <c r="F1006" s="5" t="s">
        <v>10360</v>
      </c>
      <c r="G1006" s="13" t="s">
        <v>10361</v>
      </c>
      <c r="H1006" s="5" t="s">
        <v>10362</v>
      </c>
      <c r="I1006" s="13" t="s">
        <v>10363</v>
      </c>
      <c r="J1006" s="5" t="s">
        <v>10364</v>
      </c>
      <c r="K1006" s="5" t="s">
        <v>10365</v>
      </c>
      <c r="L1006" s="13" t="s">
        <v>7065</v>
      </c>
      <c r="M1006" s="13" t="s">
        <v>7066</v>
      </c>
      <c r="N1006" s="5" t="n">
        <f aca="false">LEN(L1006)</f>
        <v>25</v>
      </c>
      <c r="O1006" s="5" t="n">
        <f aca="false">LEN(M1006)</f>
        <v>25</v>
      </c>
      <c r="P1006" s="14" t="n">
        <f aca="false">IF(N1006=0,"",(N1006-LEN(SUBSTITUTE(SUBSTITUTE(L1006,"G",""),"C","")))/N1006)</f>
        <v>0.4</v>
      </c>
      <c r="Q1006" s="14" t="n">
        <f aca="false">IF(O1006=0,"",(O1006-LEN(SUBSTITUTE(SUBSTITUTE(M1006,"G",""),"C","")))/O1006)</f>
        <v>0.52</v>
      </c>
      <c r="R1006" s="5" t="s">
        <v>696</v>
      </c>
      <c r="S1006" s="15" t="s">
        <v>1677</v>
      </c>
      <c r="T1006" s="5" t="n">
        <v>356</v>
      </c>
      <c r="U1006" s="5" t="s">
        <v>1678</v>
      </c>
      <c r="V1006" s="5" t="s">
        <v>1055</v>
      </c>
      <c r="W1006" s="5"/>
      <c r="X1006" s="15" t="s">
        <v>1677</v>
      </c>
      <c r="Y1006" s="5"/>
    </row>
    <row r="1007" customFormat="false" ht="15" hidden="false" customHeight="false" outlineLevel="0" collapsed="false">
      <c r="A1007" s="5" t="s">
        <v>10366</v>
      </c>
      <c r="B1007" s="5" t="s">
        <v>1113</v>
      </c>
      <c r="C1007" s="5" t="s">
        <v>691</v>
      </c>
      <c r="D1007" s="10" t="s">
        <v>137</v>
      </c>
      <c r="E1007" s="5" t="n">
        <v>4</v>
      </c>
      <c r="F1007" s="5" t="s">
        <v>10367</v>
      </c>
      <c r="G1007" s="13" t="s">
        <v>10368</v>
      </c>
      <c r="H1007" s="5" t="s">
        <v>10369</v>
      </c>
      <c r="I1007" s="13" t="s">
        <v>10370</v>
      </c>
      <c r="J1007" s="5" t="s">
        <v>10371</v>
      </c>
      <c r="K1007" s="5" t="s">
        <v>10372</v>
      </c>
      <c r="L1007" s="13" t="s">
        <v>7074</v>
      </c>
      <c r="M1007" s="13" t="s">
        <v>7075</v>
      </c>
      <c r="N1007" s="5" t="n">
        <f aca="false">LEN(L1007)</f>
        <v>25</v>
      </c>
      <c r="O1007" s="5" t="n">
        <f aca="false">LEN(M1007)</f>
        <v>25</v>
      </c>
      <c r="P1007" s="14" t="n">
        <f aca="false">IF(N1007=0,"",(N1007-LEN(SUBSTITUTE(SUBSTITUTE(L1007,"G",""),"C","")))/N1007)</f>
        <v>0.52</v>
      </c>
      <c r="Q1007" s="14" t="n">
        <f aca="false">IF(O1007=0,"",(O1007-LEN(SUBSTITUTE(SUBSTITUTE(M1007,"G",""),"C","")))/O1007)</f>
        <v>0.44</v>
      </c>
      <c r="R1007" s="5" t="s">
        <v>696</v>
      </c>
      <c r="S1007" s="15" t="s">
        <v>1677</v>
      </c>
      <c r="T1007" s="5" t="n">
        <v>426</v>
      </c>
      <c r="U1007" s="5" t="s">
        <v>1678</v>
      </c>
      <c r="V1007" s="5" t="s">
        <v>1055</v>
      </c>
      <c r="W1007" s="5"/>
      <c r="X1007" s="15" t="s">
        <v>1677</v>
      </c>
      <c r="Y1007" s="5"/>
    </row>
    <row r="1008" customFormat="false" ht="15" hidden="false" customHeight="false" outlineLevel="0" collapsed="false">
      <c r="A1008" s="5" t="s">
        <v>10373</v>
      </c>
      <c r="B1008" s="5" t="s">
        <v>1113</v>
      </c>
      <c r="C1008" s="5" t="s">
        <v>691</v>
      </c>
      <c r="D1008" s="10" t="s">
        <v>137</v>
      </c>
      <c r="E1008" s="5" t="n">
        <v>5</v>
      </c>
      <c r="F1008" s="5" t="s">
        <v>10374</v>
      </c>
      <c r="G1008" s="13" t="s">
        <v>10375</v>
      </c>
      <c r="H1008" s="5" t="s">
        <v>10376</v>
      </c>
      <c r="I1008" s="13" t="s">
        <v>10377</v>
      </c>
      <c r="J1008" s="5" t="s">
        <v>10378</v>
      </c>
      <c r="K1008" s="5" t="s">
        <v>10379</v>
      </c>
      <c r="L1008" s="13" t="s">
        <v>7083</v>
      </c>
      <c r="M1008" s="13" t="s">
        <v>7084</v>
      </c>
      <c r="N1008" s="5" t="n">
        <f aca="false">LEN(L1008)</f>
        <v>25</v>
      </c>
      <c r="O1008" s="5" t="n">
        <f aca="false">LEN(M1008)</f>
        <v>25</v>
      </c>
      <c r="P1008" s="14" t="n">
        <f aca="false">IF(N1008=0,"",(N1008-LEN(SUBSTITUTE(SUBSTITUTE(L1008,"G",""),"C","")))/N1008)</f>
        <v>0.44</v>
      </c>
      <c r="Q1008" s="14" t="n">
        <f aca="false">IF(O1008=0,"",(O1008-LEN(SUBSTITUTE(SUBSTITUTE(M1008,"G",""),"C","")))/O1008)</f>
        <v>0.64</v>
      </c>
      <c r="R1008" s="5" t="s">
        <v>696</v>
      </c>
      <c r="S1008" s="15" t="s">
        <v>1677</v>
      </c>
      <c r="T1008" s="5" t="n">
        <v>496</v>
      </c>
      <c r="U1008" s="5" t="s">
        <v>1678</v>
      </c>
      <c r="V1008" s="5" t="s">
        <v>1055</v>
      </c>
      <c r="W1008" s="5"/>
      <c r="X1008" s="15" t="s">
        <v>1677</v>
      </c>
      <c r="Y1008" s="5"/>
    </row>
    <row r="1009" customFormat="false" ht="15" hidden="false" customHeight="false" outlineLevel="0" collapsed="false">
      <c r="A1009" s="5" t="s">
        <v>10380</v>
      </c>
      <c r="B1009" s="5" t="s">
        <v>1113</v>
      </c>
      <c r="C1009" s="5" t="s">
        <v>691</v>
      </c>
      <c r="D1009" s="10" t="s">
        <v>137</v>
      </c>
      <c r="E1009" s="5" t="n">
        <v>6</v>
      </c>
      <c r="F1009" s="5" t="s">
        <v>10381</v>
      </c>
      <c r="G1009" s="13" t="s">
        <v>10382</v>
      </c>
      <c r="H1009" s="5" t="s">
        <v>10383</v>
      </c>
      <c r="I1009" s="13" t="s">
        <v>10384</v>
      </c>
      <c r="J1009" s="5" t="s">
        <v>10385</v>
      </c>
      <c r="K1009" s="5" t="s">
        <v>10386</v>
      </c>
      <c r="L1009" s="13" t="s">
        <v>7092</v>
      </c>
      <c r="M1009" s="13" t="s">
        <v>7093</v>
      </c>
      <c r="N1009" s="5" t="n">
        <f aca="false">LEN(L1009)</f>
        <v>25</v>
      </c>
      <c r="O1009" s="5" t="n">
        <f aca="false">LEN(M1009)</f>
        <v>25</v>
      </c>
      <c r="P1009" s="14" t="n">
        <f aca="false">IF(N1009=0,"",(N1009-LEN(SUBSTITUTE(SUBSTITUTE(L1009,"G",""),"C","")))/N1009)</f>
        <v>0.64</v>
      </c>
      <c r="Q1009" s="14" t="n">
        <f aca="false">IF(O1009=0,"",(O1009-LEN(SUBSTITUTE(SUBSTITUTE(M1009,"G",""),"C","")))/O1009)</f>
        <v>0.48</v>
      </c>
      <c r="R1009" s="5" t="s">
        <v>696</v>
      </c>
      <c r="S1009" s="15" t="s">
        <v>1677</v>
      </c>
      <c r="T1009" s="5" t="n">
        <v>566</v>
      </c>
      <c r="U1009" s="5" t="s">
        <v>1678</v>
      </c>
      <c r="V1009" s="5" t="s">
        <v>1055</v>
      </c>
      <c r="W1009" s="5"/>
      <c r="X1009" s="15" t="s">
        <v>1677</v>
      </c>
      <c r="Y1009" s="5"/>
    </row>
    <row r="1010" customFormat="false" ht="15" hidden="false" customHeight="false" outlineLevel="0" collapsed="false">
      <c r="A1010" s="5" t="s">
        <v>10387</v>
      </c>
      <c r="B1010" s="5" t="s">
        <v>1115</v>
      </c>
      <c r="C1010" s="5" t="s">
        <v>1116</v>
      </c>
      <c r="D1010" s="10" t="s">
        <v>137</v>
      </c>
      <c r="E1010" s="5" t="n">
        <v>1</v>
      </c>
      <c r="F1010" s="5" t="s">
        <v>10388</v>
      </c>
      <c r="G1010" s="13" t="s">
        <v>10389</v>
      </c>
      <c r="H1010" s="5" t="s">
        <v>10390</v>
      </c>
      <c r="I1010" s="13" t="s">
        <v>10391</v>
      </c>
      <c r="J1010" s="5" t="s">
        <v>4316</v>
      </c>
      <c r="K1010" s="5" t="s">
        <v>4316</v>
      </c>
      <c r="L1010" s="13" t="s">
        <v>10392</v>
      </c>
      <c r="M1010" s="13" t="s">
        <v>10393</v>
      </c>
      <c r="N1010" s="5" t="n">
        <f aca="false">LEN(L1010)</f>
        <v>25</v>
      </c>
      <c r="O1010" s="5" t="n">
        <f aca="false">LEN(M1010)</f>
        <v>25</v>
      </c>
      <c r="P1010" s="14" t="n">
        <f aca="false">IF(N1010=0,"",(N1010-LEN(SUBSTITUTE(SUBSTITUTE(L1010,"G",""),"C","")))/N1010)</f>
        <v>0.64</v>
      </c>
      <c r="Q1010" s="14" t="n">
        <f aca="false">IF(O1010=0,"",(O1010-LEN(SUBSTITUTE(SUBSTITUTE(M1010,"G",""),"C","")))/O1010)</f>
        <v>0.6</v>
      </c>
      <c r="R1010" s="5" t="s">
        <v>1119</v>
      </c>
      <c r="S1010" s="15" t="s">
        <v>1677</v>
      </c>
      <c r="T1010" s="5" t="n">
        <v>1</v>
      </c>
      <c r="U1010" s="5" t="s">
        <v>1678</v>
      </c>
      <c r="V1010" s="5" t="s">
        <v>395</v>
      </c>
      <c r="W1010" s="5" t="s">
        <v>395</v>
      </c>
      <c r="X1010" s="15" t="s">
        <v>1677</v>
      </c>
      <c r="Y1010" s="5"/>
    </row>
    <row r="1011" customFormat="false" ht="15" hidden="false" customHeight="false" outlineLevel="0" collapsed="false">
      <c r="A1011" s="5" t="s">
        <v>10394</v>
      </c>
      <c r="B1011" s="5" t="s">
        <v>1115</v>
      </c>
      <c r="C1011" s="5" t="s">
        <v>1116</v>
      </c>
      <c r="D1011" s="10" t="s">
        <v>137</v>
      </c>
      <c r="E1011" s="5" t="n">
        <v>2</v>
      </c>
      <c r="F1011" s="5" t="s">
        <v>10395</v>
      </c>
      <c r="G1011" s="13" t="s">
        <v>10396</v>
      </c>
      <c r="H1011" s="5" t="s">
        <v>10397</v>
      </c>
      <c r="I1011" s="13" t="s">
        <v>10398</v>
      </c>
      <c r="J1011" s="5" t="s">
        <v>4316</v>
      </c>
      <c r="K1011" s="5" t="s">
        <v>4316</v>
      </c>
      <c r="L1011" s="13" t="s">
        <v>10399</v>
      </c>
      <c r="M1011" s="13" t="s">
        <v>10400</v>
      </c>
      <c r="N1011" s="5" t="n">
        <f aca="false">LEN(L1011)</f>
        <v>25</v>
      </c>
      <c r="O1011" s="5" t="n">
        <f aca="false">LEN(M1011)</f>
        <v>25</v>
      </c>
      <c r="P1011" s="14" t="n">
        <f aca="false">IF(N1011=0,"",(N1011-LEN(SUBSTITUTE(SUBSTITUTE(L1011,"G",""),"C","")))/N1011)</f>
        <v>0.6</v>
      </c>
      <c r="Q1011" s="14" t="n">
        <f aca="false">IF(O1011=0,"",(O1011-LEN(SUBSTITUTE(SUBSTITUTE(M1011,"G",""),"C","")))/O1011)</f>
        <v>0.68</v>
      </c>
      <c r="R1011" s="5" t="s">
        <v>1119</v>
      </c>
      <c r="S1011" s="15" t="s">
        <v>1677</v>
      </c>
      <c r="T1011" s="5" t="n">
        <v>81</v>
      </c>
      <c r="U1011" s="5" t="s">
        <v>1678</v>
      </c>
      <c r="V1011" s="5" t="s">
        <v>395</v>
      </c>
      <c r="W1011" s="5" t="s">
        <v>395</v>
      </c>
      <c r="X1011" s="15" t="s">
        <v>1677</v>
      </c>
      <c r="Y1011" s="5"/>
    </row>
    <row r="1012" customFormat="false" ht="15" hidden="false" customHeight="false" outlineLevel="0" collapsed="false">
      <c r="A1012" s="5" t="s">
        <v>10401</v>
      </c>
      <c r="B1012" s="5" t="s">
        <v>1115</v>
      </c>
      <c r="C1012" s="5" t="s">
        <v>1116</v>
      </c>
      <c r="D1012" s="10" t="s">
        <v>137</v>
      </c>
      <c r="E1012" s="5" t="n">
        <v>3</v>
      </c>
      <c r="F1012" s="5" t="s">
        <v>10402</v>
      </c>
      <c r="G1012" s="13" t="s">
        <v>10403</v>
      </c>
      <c r="H1012" s="5" t="s">
        <v>10404</v>
      </c>
      <c r="I1012" s="13" t="s">
        <v>10405</v>
      </c>
      <c r="J1012" s="5" t="s">
        <v>4316</v>
      </c>
      <c r="K1012" s="5" t="s">
        <v>4316</v>
      </c>
      <c r="L1012" s="13" t="s">
        <v>10406</v>
      </c>
      <c r="M1012" s="13" t="s">
        <v>10407</v>
      </c>
      <c r="N1012" s="5" t="n">
        <f aca="false">LEN(L1012)</f>
        <v>25</v>
      </c>
      <c r="O1012" s="5" t="n">
        <f aca="false">LEN(M1012)</f>
        <v>25</v>
      </c>
      <c r="P1012" s="14" t="n">
        <f aca="false">IF(N1012=0,"",(N1012-LEN(SUBSTITUTE(SUBSTITUTE(L1012,"G",""),"C","")))/N1012)</f>
        <v>0.64</v>
      </c>
      <c r="Q1012" s="14" t="n">
        <f aca="false">IF(O1012=0,"",(O1012-LEN(SUBSTITUTE(SUBSTITUTE(M1012,"G",""),"C","")))/O1012)</f>
        <v>0.68</v>
      </c>
      <c r="R1012" s="5" t="s">
        <v>1119</v>
      </c>
      <c r="S1012" s="15" t="s">
        <v>1677</v>
      </c>
      <c r="T1012" s="5" t="n">
        <v>161</v>
      </c>
      <c r="U1012" s="5" t="s">
        <v>1678</v>
      </c>
      <c r="V1012" s="5" t="s">
        <v>395</v>
      </c>
      <c r="W1012" s="5" t="s">
        <v>395</v>
      </c>
      <c r="X1012" s="15" t="s">
        <v>1677</v>
      </c>
      <c r="Y1012" s="5"/>
    </row>
    <row r="1013" customFormat="false" ht="15" hidden="false" customHeight="false" outlineLevel="0" collapsed="false">
      <c r="A1013" s="5" t="s">
        <v>10408</v>
      </c>
      <c r="B1013" s="5" t="s">
        <v>1115</v>
      </c>
      <c r="C1013" s="5" t="s">
        <v>1116</v>
      </c>
      <c r="D1013" s="10" t="s">
        <v>137</v>
      </c>
      <c r="E1013" s="5" t="n">
        <v>4</v>
      </c>
      <c r="F1013" s="5" t="s">
        <v>10409</v>
      </c>
      <c r="G1013" s="13" t="s">
        <v>10410</v>
      </c>
      <c r="H1013" s="5" t="s">
        <v>10411</v>
      </c>
      <c r="I1013" s="13" t="s">
        <v>10412</v>
      </c>
      <c r="J1013" s="5" t="s">
        <v>4316</v>
      </c>
      <c r="K1013" s="5" t="s">
        <v>4316</v>
      </c>
      <c r="L1013" s="13" t="s">
        <v>10413</v>
      </c>
      <c r="M1013" s="13" t="s">
        <v>10414</v>
      </c>
      <c r="N1013" s="5" t="n">
        <f aca="false">LEN(L1013)</f>
        <v>25</v>
      </c>
      <c r="O1013" s="5" t="n">
        <f aca="false">LEN(M1013)</f>
        <v>25</v>
      </c>
      <c r="P1013" s="14" t="n">
        <f aca="false">IF(N1013=0,"",(N1013-LEN(SUBSTITUTE(SUBSTITUTE(L1013,"G",""),"C","")))/N1013)</f>
        <v>0.56</v>
      </c>
      <c r="Q1013" s="14" t="n">
        <f aca="false">IF(O1013=0,"",(O1013-LEN(SUBSTITUTE(SUBSTITUTE(M1013,"G",""),"C","")))/O1013)</f>
        <v>0.52</v>
      </c>
      <c r="R1013" s="5" t="s">
        <v>1119</v>
      </c>
      <c r="S1013" s="15" t="s">
        <v>1677</v>
      </c>
      <c r="T1013" s="5" t="n">
        <v>241</v>
      </c>
      <c r="U1013" s="5" t="s">
        <v>1678</v>
      </c>
      <c r="V1013" s="5" t="s">
        <v>395</v>
      </c>
      <c r="W1013" s="5" t="s">
        <v>395</v>
      </c>
      <c r="X1013" s="15" t="s">
        <v>1677</v>
      </c>
      <c r="Y1013" s="5"/>
    </row>
    <row r="1014" customFormat="false" ht="15" hidden="false" customHeight="false" outlineLevel="0" collapsed="false">
      <c r="A1014" s="5" t="s">
        <v>10415</v>
      </c>
      <c r="B1014" s="5" t="s">
        <v>1115</v>
      </c>
      <c r="C1014" s="5" t="s">
        <v>1116</v>
      </c>
      <c r="D1014" s="10" t="s">
        <v>137</v>
      </c>
      <c r="E1014" s="5" t="n">
        <v>5</v>
      </c>
      <c r="F1014" s="5" t="s">
        <v>10416</v>
      </c>
      <c r="G1014" s="13" t="s">
        <v>10417</v>
      </c>
      <c r="H1014" s="5" t="s">
        <v>10418</v>
      </c>
      <c r="I1014" s="13" t="s">
        <v>10419</v>
      </c>
      <c r="J1014" s="5" t="s">
        <v>4316</v>
      </c>
      <c r="K1014" s="5" t="s">
        <v>4316</v>
      </c>
      <c r="L1014" s="13" t="s">
        <v>10420</v>
      </c>
      <c r="M1014" s="13" t="s">
        <v>10421</v>
      </c>
      <c r="N1014" s="5" t="n">
        <f aca="false">LEN(L1014)</f>
        <v>25</v>
      </c>
      <c r="O1014" s="5" t="n">
        <f aca="false">LEN(M1014)</f>
        <v>25</v>
      </c>
      <c r="P1014" s="14" t="n">
        <f aca="false">IF(N1014=0,"",(N1014-LEN(SUBSTITUTE(SUBSTITUTE(L1014,"G",""),"C","")))/N1014)</f>
        <v>0.68</v>
      </c>
      <c r="Q1014" s="14" t="n">
        <f aca="false">IF(O1014=0,"",(O1014-LEN(SUBSTITUTE(SUBSTITUTE(M1014,"G",""),"C","")))/O1014)</f>
        <v>0.92</v>
      </c>
      <c r="R1014" s="5" t="s">
        <v>1119</v>
      </c>
      <c r="S1014" s="15" t="s">
        <v>1677</v>
      </c>
      <c r="T1014" s="5" t="n">
        <v>321</v>
      </c>
      <c r="U1014" s="5" t="s">
        <v>1678</v>
      </c>
      <c r="V1014" s="5" t="s">
        <v>395</v>
      </c>
      <c r="W1014" s="5" t="s">
        <v>395</v>
      </c>
      <c r="X1014" s="15" t="s">
        <v>1677</v>
      </c>
      <c r="Y1014" s="5"/>
    </row>
    <row r="1015" customFormat="false" ht="15" hidden="false" customHeight="false" outlineLevel="0" collapsed="false">
      <c r="A1015" s="5" t="s">
        <v>10422</v>
      </c>
      <c r="B1015" s="5" t="s">
        <v>1115</v>
      </c>
      <c r="C1015" s="5" t="s">
        <v>1116</v>
      </c>
      <c r="D1015" s="10" t="s">
        <v>137</v>
      </c>
      <c r="E1015" s="5" t="n">
        <v>6</v>
      </c>
      <c r="F1015" s="5" t="s">
        <v>10423</v>
      </c>
      <c r="G1015" s="13" t="s">
        <v>10424</v>
      </c>
      <c r="H1015" s="5" t="s">
        <v>10425</v>
      </c>
      <c r="I1015" s="13" t="s">
        <v>10426</v>
      </c>
      <c r="J1015" s="5" t="s">
        <v>4316</v>
      </c>
      <c r="K1015" s="5" t="s">
        <v>4316</v>
      </c>
      <c r="L1015" s="13" t="s">
        <v>10427</v>
      </c>
      <c r="M1015" s="13" t="s">
        <v>10428</v>
      </c>
      <c r="N1015" s="5" t="n">
        <f aca="false">LEN(L1015)</f>
        <v>25</v>
      </c>
      <c r="O1015" s="5" t="n">
        <f aca="false">LEN(M1015)</f>
        <v>25</v>
      </c>
      <c r="P1015" s="14" t="n">
        <f aca="false">IF(N1015=0,"",(N1015-LEN(SUBSTITUTE(SUBSTITUTE(L1015,"G",""),"C","")))/N1015)</f>
        <v>0.6</v>
      </c>
      <c r="Q1015" s="14" t="n">
        <f aca="false">IF(O1015=0,"",(O1015-LEN(SUBSTITUTE(SUBSTITUTE(M1015,"G",""),"C","")))/O1015)</f>
        <v>0.56</v>
      </c>
      <c r="R1015" s="5" t="s">
        <v>1119</v>
      </c>
      <c r="S1015" s="15" t="s">
        <v>1677</v>
      </c>
      <c r="T1015" s="5" t="n">
        <v>401</v>
      </c>
      <c r="U1015" s="5" t="s">
        <v>1678</v>
      </c>
      <c r="V1015" s="5" t="s">
        <v>395</v>
      </c>
      <c r="W1015" s="5" t="s">
        <v>395</v>
      </c>
      <c r="X1015" s="15" t="s">
        <v>1677</v>
      </c>
      <c r="Y1015" s="5"/>
    </row>
    <row r="1016" customFormat="false" ht="15" hidden="false" customHeight="false" outlineLevel="0" collapsed="false">
      <c r="A1016" s="5" t="s">
        <v>10429</v>
      </c>
      <c r="B1016" s="5" t="s">
        <v>1115</v>
      </c>
      <c r="C1016" s="5" t="s">
        <v>1116</v>
      </c>
      <c r="D1016" s="10" t="s">
        <v>137</v>
      </c>
      <c r="E1016" s="5" t="n">
        <v>7</v>
      </c>
      <c r="F1016" s="5" t="s">
        <v>10430</v>
      </c>
      <c r="G1016" s="13" t="s">
        <v>10431</v>
      </c>
      <c r="H1016" s="5" t="s">
        <v>10432</v>
      </c>
      <c r="I1016" s="13" t="s">
        <v>10433</v>
      </c>
      <c r="J1016" s="5" t="s">
        <v>4316</v>
      </c>
      <c r="K1016" s="5" t="s">
        <v>4316</v>
      </c>
      <c r="L1016" s="13" t="s">
        <v>10434</v>
      </c>
      <c r="M1016" s="13" t="s">
        <v>10435</v>
      </c>
      <c r="N1016" s="5" t="n">
        <f aca="false">LEN(L1016)</f>
        <v>25</v>
      </c>
      <c r="O1016" s="5" t="n">
        <f aca="false">LEN(M1016)</f>
        <v>25</v>
      </c>
      <c r="P1016" s="14" t="n">
        <f aca="false">IF(N1016=0,"",(N1016-LEN(SUBSTITUTE(SUBSTITUTE(L1016,"G",""),"C","")))/N1016)</f>
        <v>0.6</v>
      </c>
      <c r="Q1016" s="14" t="n">
        <f aca="false">IF(O1016=0,"",(O1016-LEN(SUBSTITUTE(SUBSTITUTE(M1016,"G",""),"C","")))/O1016)</f>
        <v>0.68</v>
      </c>
      <c r="R1016" s="5" t="s">
        <v>1119</v>
      </c>
      <c r="S1016" s="15" t="s">
        <v>1677</v>
      </c>
      <c r="T1016" s="5" t="n">
        <v>481</v>
      </c>
      <c r="U1016" s="5" t="s">
        <v>1678</v>
      </c>
      <c r="V1016" s="5" t="s">
        <v>395</v>
      </c>
      <c r="W1016" s="5" t="s">
        <v>395</v>
      </c>
      <c r="X1016" s="15" t="s">
        <v>1677</v>
      </c>
      <c r="Y1016" s="5"/>
    </row>
    <row r="1017" customFormat="false" ht="15" hidden="false" customHeight="false" outlineLevel="0" collapsed="false">
      <c r="A1017" s="5" t="s">
        <v>10436</v>
      </c>
      <c r="B1017" s="5" t="s">
        <v>1115</v>
      </c>
      <c r="C1017" s="5" t="s">
        <v>1116</v>
      </c>
      <c r="D1017" s="10" t="s">
        <v>137</v>
      </c>
      <c r="E1017" s="5" t="n">
        <v>8</v>
      </c>
      <c r="F1017" s="5" t="s">
        <v>10437</v>
      </c>
      <c r="G1017" s="13" t="s">
        <v>10438</v>
      </c>
      <c r="H1017" s="5" t="s">
        <v>10439</v>
      </c>
      <c r="I1017" s="13" t="s">
        <v>10440</v>
      </c>
      <c r="J1017" s="5" t="s">
        <v>4316</v>
      </c>
      <c r="K1017" s="5" t="s">
        <v>4316</v>
      </c>
      <c r="L1017" s="13" t="s">
        <v>10441</v>
      </c>
      <c r="M1017" s="13" t="s">
        <v>10442</v>
      </c>
      <c r="N1017" s="5" t="n">
        <f aca="false">LEN(L1017)</f>
        <v>25</v>
      </c>
      <c r="O1017" s="5" t="n">
        <f aca="false">LEN(M1017)</f>
        <v>25</v>
      </c>
      <c r="P1017" s="14" t="n">
        <f aca="false">IF(N1017=0,"",(N1017-LEN(SUBSTITUTE(SUBSTITUTE(L1017,"G",""),"C","")))/N1017)</f>
        <v>0.68</v>
      </c>
      <c r="Q1017" s="14" t="n">
        <f aca="false">IF(O1017=0,"",(O1017-LEN(SUBSTITUTE(SUBSTITUTE(M1017,"G",""),"C","")))/O1017)</f>
        <v>0.48</v>
      </c>
      <c r="R1017" s="5" t="s">
        <v>1119</v>
      </c>
      <c r="S1017" s="15" t="s">
        <v>1677</v>
      </c>
      <c r="T1017" s="5" t="n">
        <v>561</v>
      </c>
      <c r="U1017" s="5" t="s">
        <v>1678</v>
      </c>
      <c r="V1017" s="5" t="s">
        <v>395</v>
      </c>
      <c r="W1017" s="5" t="s">
        <v>395</v>
      </c>
      <c r="X1017" s="15" t="s">
        <v>1677</v>
      </c>
      <c r="Y1017" s="5"/>
    </row>
    <row r="1018" customFormat="false" ht="15" hidden="false" customHeight="false" outlineLevel="0" collapsed="false">
      <c r="A1018" s="5" t="s">
        <v>10443</v>
      </c>
      <c r="B1018" s="5" t="s">
        <v>1115</v>
      </c>
      <c r="C1018" s="5" t="s">
        <v>1116</v>
      </c>
      <c r="D1018" s="10" t="s">
        <v>137</v>
      </c>
      <c r="E1018" s="5" t="n">
        <v>9</v>
      </c>
      <c r="F1018" s="5" t="s">
        <v>10444</v>
      </c>
      <c r="G1018" s="13" t="s">
        <v>10445</v>
      </c>
      <c r="H1018" s="5" t="s">
        <v>10446</v>
      </c>
      <c r="I1018" s="13" t="s">
        <v>10447</v>
      </c>
      <c r="J1018" s="5" t="s">
        <v>4316</v>
      </c>
      <c r="K1018" s="5" t="s">
        <v>4316</v>
      </c>
      <c r="L1018" s="13" t="s">
        <v>10448</v>
      </c>
      <c r="M1018" s="13" t="s">
        <v>10449</v>
      </c>
      <c r="N1018" s="5" t="n">
        <f aca="false">LEN(L1018)</f>
        <v>25</v>
      </c>
      <c r="O1018" s="5" t="n">
        <f aca="false">LEN(M1018)</f>
        <v>25</v>
      </c>
      <c r="P1018" s="14" t="n">
        <f aca="false">IF(N1018=0,"",(N1018-LEN(SUBSTITUTE(SUBSTITUTE(L1018,"G",""),"C","")))/N1018)</f>
        <v>0.4</v>
      </c>
      <c r="Q1018" s="14" t="n">
        <f aca="false">IF(O1018=0,"",(O1018-LEN(SUBSTITUTE(SUBSTITUTE(M1018,"G",""),"C","")))/O1018)</f>
        <v>0.44</v>
      </c>
      <c r="R1018" s="5" t="s">
        <v>1119</v>
      </c>
      <c r="S1018" s="15" t="s">
        <v>1677</v>
      </c>
      <c r="T1018" s="5" t="n">
        <v>649</v>
      </c>
      <c r="U1018" s="5" t="s">
        <v>1678</v>
      </c>
      <c r="V1018" s="5" t="s">
        <v>395</v>
      </c>
      <c r="W1018" s="5" t="s">
        <v>395</v>
      </c>
      <c r="X1018" s="15" t="s">
        <v>1677</v>
      </c>
      <c r="Y1018" s="5"/>
    </row>
    <row r="1019" customFormat="false" ht="15" hidden="false" customHeight="false" outlineLevel="0" collapsed="false">
      <c r="A1019" s="5" t="s">
        <v>10450</v>
      </c>
      <c r="B1019" s="5" t="s">
        <v>1122</v>
      </c>
      <c r="C1019" s="5" t="s">
        <v>192</v>
      </c>
      <c r="D1019" s="10" t="s">
        <v>137</v>
      </c>
      <c r="E1019" s="5" t="n">
        <v>1</v>
      </c>
      <c r="F1019" s="5" t="s">
        <v>10451</v>
      </c>
      <c r="G1019" s="13" t="s">
        <v>10452</v>
      </c>
      <c r="H1019" s="5" t="s">
        <v>10453</v>
      </c>
      <c r="I1019" s="13" t="s">
        <v>10454</v>
      </c>
      <c r="J1019" s="5" t="s">
        <v>10455</v>
      </c>
      <c r="K1019" s="5" t="s">
        <v>10456</v>
      </c>
      <c r="L1019" s="13" t="s">
        <v>2687</v>
      </c>
      <c r="M1019" s="13" t="s">
        <v>2688</v>
      </c>
      <c r="N1019" s="5" t="n">
        <f aca="false">LEN(L1019)</f>
        <v>25</v>
      </c>
      <c r="O1019" s="5" t="n">
        <f aca="false">LEN(M1019)</f>
        <v>25</v>
      </c>
      <c r="P1019" s="14" t="n">
        <f aca="false">IF(N1019=0,"",(N1019-LEN(SUBSTITUTE(SUBSTITUTE(L1019,"G",""),"C","")))/N1019)</f>
        <v>0.64</v>
      </c>
      <c r="Q1019" s="14" t="n">
        <f aca="false">IF(O1019=0,"",(O1019-LEN(SUBSTITUTE(SUBSTITUTE(M1019,"G",""),"C","")))/O1019)</f>
        <v>0.76</v>
      </c>
      <c r="R1019" s="5" t="s">
        <v>195</v>
      </c>
      <c r="S1019" s="15" t="s">
        <v>1677</v>
      </c>
      <c r="T1019" s="5" t="n">
        <v>6</v>
      </c>
      <c r="U1019" s="5" t="s">
        <v>1678</v>
      </c>
      <c r="V1019" s="5" t="s">
        <v>1055</v>
      </c>
      <c r="W1019" s="5"/>
      <c r="X1019" s="15" t="s">
        <v>1677</v>
      </c>
      <c r="Y1019" s="5"/>
    </row>
    <row r="1020" customFormat="false" ht="15" hidden="false" customHeight="false" outlineLevel="0" collapsed="false">
      <c r="A1020" s="5" t="s">
        <v>10457</v>
      </c>
      <c r="B1020" s="5" t="s">
        <v>1122</v>
      </c>
      <c r="C1020" s="5" t="s">
        <v>192</v>
      </c>
      <c r="D1020" s="10" t="s">
        <v>137</v>
      </c>
      <c r="E1020" s="5" t="n">
        <v>2</v>
      </c>
      <c r="F1020" s="5" t="s">
        <v>10458</v>
      </c>
      <c r="G1020" s="13" t="s">
        <v>10459</v>
      </c>
      <c r="H1020" s="5" t="s">
        <v>10460</v>
      </c>
      <c r="I1020" s="13" t="s">
        <v>10461</v>
      </c>
      <c r="J1020" s="5" t="s">
        <v>10462</v>
      </c>
      <c r="K1020" s="5" t="s">
        <v>10463</v>
      </c>
      <c r="L1020" s="13" t="s">
        <v>2696</v>
      </c>
      <c r="M1020" s="13" t="s">
        <v>2697</v>
      </c>
      <c r="N1020" s="5" t="n">
        <f aca="false">LEN(L1020)</f>
        <v>25</v>
      </c>
      <c r="O1020" s="5" t="n">
        <f aca="false">LEN(M1020)</f>
        <v>25</v>
      </c>
      <c r="P1020" s="14" t="n">
        <f aca="false">IF(N1020=0,"",(N1020-LEN(SUBSTITUTE(SUBSTITUTE(L1020,"G",""),"C","")))/N1020)</f>
        <v>0.4</v>
      </c>
      <c r="Q1020" s="14" t="n">
        <f aca="false">IF(O1020=0,"",(O1020-LEN(SUBSTITUTE(SUBSTITUTE(M1020,"G",""),"C","")))/O1020)</f>
        <v>0.44</v>
      </c>
      <c r="R1020" s="5" t="s">
        <v>195</v>
      </c>
      <c r="S1020" s="15" t="s">
        <v>1677</v>
      </c>
      <c r="T1020" s="5" t="n">
        <v>72</v>
      </c>
      <c r="U1020" s="5" t="s">
        <v>1678</v>
      </c>
      <c r="V1020" s="5" t="s">
        <v>1055</v>
      </c>
      <c r="W1020" s="5"/>
      <c r="X1020" s="8" t="s">
        <v>1769</v>
      </c>
      <c r="Y1020" s="5"/>
    </row>
    <row r="1021" customFormat="false" ht="15" hidden="false" customHeight="false" outlineLevel="0" collapsed="false">
      <c r="A1021" s="5" t="s">
        <v>10464</v>
      </c>
      <c r="B1021" s="5" t="s">
        <v>1122</v>
      </c>
      <c r="C1021" s="5" t="s">
        <v>192</v>
      </c>
      <c r="D1021" s="10" t="s">
        <v>137</v>
      </c>
      <c r="E1021" s="5" t="n">
        <v>3</v>
      </c>
      <c r="F1021" s="5" t="s">
        <v>10465</v>
      </c>
      <c r="G1021" s="13" t="s">
        <v>10466</v>
      </c>
      <c r="H1021" s="5" t="s">
        <v>10467</v>
      </c>
      <c r="I1021" s="13" t="s">
        <v>10468</v>
      </c>
      <c r="J1021" s="5" t="s">
        <v>10469</v>
      </c>
      <c r="K1021" s="5" t="s">
        <v>10470</v>
      </c>
      <c r="L1021" s="13" t="s">
        <v>2705</v>
      </c>
      <c r="M1021" s="13" t="s">
        <v>2706</v>
      </c>
      <c r="N1021" s="5" t="n">
        <f aca="false">LEN(L1021)</f>
        <v>25</v>
      </c>
      <c r="O1021" s="5" t="n">
        <f aca="false">LEN(M1021)</f>
        <v>25</v>
      </c>
      <c r="P1021" s="14" t="n">
        <f aca="false">IF(N1021=0,"",(N1021-LEN(SUBSTITUTE(SUBSTITUTE(L1021,"G",""),"C","")))/N1021)</f>
        <v>0.52</v>
      </c>
      <c r="Q1021" s="14" t="n">
        <f aca="false">IF(O1021=0,"",(O1021-LEN(SUBSTITUTE(SUBSTITUTE(M1021,"G",""),"C","")))/O1021)</f>
        <v>0.48</v>
      </c>
      <c r="R1021" s="5" t="s">
        <v>195</v>
      </c>
      <c r="S1021" s="15" t="s">
        <v>1677</v>
      </c>
      <c r="T1021" s="5" t="n">
        <v>138</v>
      </c>
      <c r="U1021" s="5" t="s">
        <v>1678</v>
      </c>
      <c r="V1021" s="5" t="s">
        <v>1055</v>
      </c>
      <c r="W1021" s="5"/>
      <c r="X1021" s="8" t="s">
        <v>1914</v>
      </c>
      <c r="Y1021" s="5"/>
    </row>
    <row r="1022" customFormat="false" ht="15" hidden="false" customHeight="false" outlineLevel="0" collapsed="false">
      <c r="A1022" s="5" t="s">
        <v>10471</v>
      </c>
      <c r="B1022" s="5" t="s">
        <v>1122</v>
      </c>
      <c r="C1022" s="5" t="s">
        <v>192</v>
      </c>
      <c r="D1022" s="10" t="s">
        <v>137</v>
      </c>
      <c r="E1022" s="5" t="n">
        <v>4</v>
      </c>
      <c r="F1022" s="5" t="s">
        <v>10472</v>
      </c>
      <c r="G1022" s="13" t="s">
        <v>10473</v>
      </c>
      <c r="H1022" s="5" t="s">
        <v>10474</v>
      </c>
      <c r="I1022" s="13" t="s">
        <v>10475</v>
      </c>
      <c r="J1022" s="5" t="s">
        <v>10476</v>
      </c>
      <c r="K1022" s="5" t="s">
        <v>10477</v>
      </c>
      <c r="L1022" s="13" t="s">
        <v>2714</v>
      </c>
      <c r="M1022" s="13" t="s">
        <v>2715</v>
      </c>
      <c r="N1022" s="5" t="n">
        <f aca="false">LEN(L1022)</f>
        <v>25</v>
      </c>
      <c r="O1022" s="5" t="n">
        <f aca="false">LEN(M1022)</f>
        <v>25</v>
      </c>
      <c r="P1022" s="14" t="n">
        <f aca="false">IF(N1022=0,"",(N1022-LEN(SUBSTITUTE(SUBSTITUTE(L1022,"G",""),"C","")))/N1022)</f>
        <v>0.44</v>
      </c>
      <c r="Q1022" s="14" t="n">
        <f aca="false">IF(O1022=0,"",(O1022-LEN(SUBSTITUTE(SUBSTITUTE(M1022,"G",""),"C","")))/O1022)</f>
        <v>0.52</v>
      </c>
      <c r="R1022" s="5" t="s">
        <v>195</v>
      </c>
      <c r="S1022" s="15" t="s">
        <v>1677</v>
      </c>
      <c r="T1022" s="5" t="n">
        <v>205</v>
      </c>
      <c r="U1022" s="5" t="s">
        <v>1678</v>
      </c>
      <c r="V1022" s="5" t="s">
        <v>1055</v>
      </c>
      <c r="W1022" s="5"/>
      <c r="X1022" s="15" t="s">
        <v>1677</v>
      </c>
      <c r="Y1022" s="5"/>
    </row>
    <row r="1023" customFormat="false" ht="15" hidden="false" customHeight="false" outlineLevel="0" collapsed="false">
      <c r="A1023" s="5" t="s">
        <v>10478</v>
      </c>
      <c r="B1023" s="5" t="s">
        <v>1122</v>
      </c>
      <c r="C1023" s="5" t="s">
        <v>192</v>
      </c>
      <c r="D1023" s="10" t="s">
        <v>137</v>
      </c>
      <c r="E1023" s="5" t="n">
        <v>5</v>
      </c>
      <c r="F1023" s="5" t="s">
        <v>10479</v>
      </c>
      <c r="G1023" s="13" t="s">
        <v>10480</v>
      </c>
      <c r="H1023" s="5" t="s">
        <v>10481</v>
      </c>
      <c r="I1023" s="13" t="s">
        <v>10482</v>
      </c>
      <c r="J1023" s="5" t="s">
        <v>10483</v>
      </c>
      <c r="K1023" s="5" t="s">
        <v>10484</v>
      </c>
      <c r="L1023" s="13" t="s">
        <v>2723</v>
      </c>
      <c r="M1023" s="13" t="s">
        <v>2724</v>
      </c>
      <c r="N1023" s="5" t="n">
        <f aca="false">LEN(L1023)</f>
        <v>25</v>
      </c>
      <c r="O1023" s="5" t="n">
        <f aca="false">LEN(M1023)</f>
        <v>25</v>
      </c>
      <c r="P1023" s="14" t="n">
        <f aca="false">IF(N1023=0,"",(N1023-LEN(SUBSTITUTE(SUBSTITUTE(L1023,"G",""),"C","")))/N1023)</f>
        <v>0.44</v>
      </c>
      <c r="Q1023" s="14" t="n">
        <f aca="false">IF(O1023=0,"",(O1023-LEN(SUBSTITUTE(SUBSTITUTE(M1023,"G",""),"C","")))/O1023)</f>
        <v>0.32</v>
      </c>
      <c r="R1023" s="5" t="s">
        <v>195</v>
      </c>
      <c r="S1023" s="15" t="s">
        <v>1677</v>
      </c>
      <c r="T1023" s="5" t="n">
        <v>272</v>
      </c>
      <c r="U1023" s="5" t="s">
        <v>1678</v>
      </c>
      <c r="V1023" s="5" t="s">
        <v>1055</v>
      </c>
      <c r="W1023" s="5"/>
      <c r="X1023" s="15" t="s">
        <v>1677</v>
      </c>
      <c r="Y1023" s="5"/>
    </row>
    <row r="1024" customFormat="false" ht="15" hidden="false" customHeight="false" outlineLevel="0" collapsed="false">
      <c r="A1024" s="5" t="s">
        <v>10485</v>
      </c>
      <c r="B1024" s="5" t="s">
        <v>1122</v>
      </c>
      <c r="C1024" s="5" t="s">
        <v>192</v>
      </c>
      <c r="D1024" s="10" t="s">
        <v>137</v>
      </c>
      <c r="E1024" s="5" t="n">
        <v>6</v>
      </c>
      <c r="F1024" s="5" t="s">
        <v>10486</v>
      </c>
      <c r="G1024" s="13" t="s">
        <v>10487</v>
      </c>
      <c r="H1024" s="5" t="s">
        <v>10488</v>
      </c>
      <c r="I1024" s="13" t="s">
        <v>10489</v>
      </c>
      <c r="J1024" s="5" t="s">
        <v>10490</v>
      </c>
      <c r="K1024" s="5" t="s">
        <v>10491</v>
      </c>
      <c r="L1024" s="13" t="s">
        <v>2732</v>
      </c>
      <c r="M1024" s="13" t="s">
        <v>2733</v>
      </c>
      <c r="N1024" s="5" t="n">
        <f aca="false">LEN(L1024)</f>
        <v>25</v>
      </c>
      <c r="O1024" s="5" t="n">
        <f aca="false">LEN(M1024)</f>
        <v>25</v>
      </c>
      <c r="P1024" s="14" t="n">
        <f aca="false">IF(N1024=0,"",(N1024-LEN(SUBSTITUTE(SUBSTITUTE(L1024,"G",""),"C","")))/N1024)</f>
        <v>0.52</v>
      </c>
      <c r="Q1024" s="14" t="n">
        <f aca="false">IF(O1024=0,"",(O1024-LEN(SUBSTITUTE(SUBSTITUTE(M1024,"G",""),"C","")))/O1024)</f>
        <v>0.4</v>
      </c>
      <c r="R1024" s="5" t="s">
        <v>195</v>
      </c>
      <c r="S1024" s="15" t="s">
        <v>1677</v>
      </c>
      <c r="T1024" s="5" t="n">
        <v>338</v>
      </c>
      <c r="U1024" s="5" t="s">
        <v>1678</v>
      </c>
      <c r="V1024" s="5" t="s">
        <v>1055</v>
      </c>
      <c r="W1024" s="5"/>
      <c r="X1024" s="8" t="s">
        <v>1914</v>
      </c>
      <c r="Y1024" s="5"/>
    </row>
    <row r="1025" customFormat="false" ht="15" hidden="false" customHeight="false" outlineLevel="0" collapsed="false">
      <c r="A1025" s="5" t="s">
        <v>10492</v>
      </c>
      <c r="B1025" s="5" t="s">
        <v>1122</v>
      </c>
      <c r="C1025" s="5" t="s">
        <v>192</v>
      </c>
      <c r="D1025" s="10" t="s">
        <v>137</v>
      </c>
      <c r="E1025" s="5" t="n">
        <v>7</v>
      </c>
      <c r="F1025" s="5" t="s">
        <v>10493</v>
      </c>
      <c r="G1025" s="13" t="s">
        <v>10494</v>
      </c>
      <c r="H1025" s="5" t="s">
        <v>10495</v>
      </c>
      <c r="I1025" s="13" t="s">
        <v>10496</v>
      </c>
      <c r="J1025" s="5" t="s">
        <v>10497</v>
      </c>
      <c r="K1025" s="5" t="s">
        <v>10498</v>
      </c>
      <c r="L1025" s="13" t="s">
        <v>2741</v>
      </c>
      <c r="M1025" s="13" t="s">
        <v>2742</v>
      </c>
      <c r="N1025" s="5" t="n">
        <f aca="false">LEN(L1025)</f>
        <v>25</v>
      </c>
      <c r="O1025" s="5" t="n">
        <f aca="false">LEN(M1025)</f>
        <v>25</v>
      </c>
      <c r="P1025" s="14" t="n">
        <f aca="false">IF(N1025=0,"",(N1025-LEN(SUBSTITUTE(SUBSTITUTE(L1025,"G",""),"C","")))/N1025)</f>
        <v>0.24</v>
      </c>
      <c r="Q1025" s="14" t="n">
        <f aca="false">IF(O1025=0,"",(O1025-LEN(SUBSTITUTE(SUBSTITUTE(M1025,"G",""),"C","")))/O1025)</f>
        <v>0.6</v>
      </c>
      <c r="R1025" s="5" t="s">
        <v>195</v>
      </c>
      <c r="S1025" s="15" t="s">
        <v>1677</v>
      </c>
      <c r="T1025" s="5" t="n">
        <v>406</v>
      </c>
      <c r="U1025" s="5" t="s">
        <v>1678</v>
      </c>
      <c r="V1025" s="5" t="s">
        <v>1055</v>
      </c>
      <c r="W1025" s="5"/>
      <c r="X1025" s="8" t="s">
        <v>1914</v>
      </c>
      <c r="Y1025" s="5"/>
    </row>
    <row r="1026" customFormat="false" ht="15" hidden="false" customHeight="false" outlineLevel="0" collapsed="false">
      <c r="A1026" s="5" t="s">
        <v>10499</v>
      </c>
      <c r="B1026" s="5" t="s">
        <v>1125</v>
      </c>
      <c r="C1026" s="5" t="s">
        <v>1126</v>
      </c>
      <c r="D1026" s="10" t="s">
        <v>137</v>
      </c>
      <c r="E1026" s="5" t="n">
        <v>1</v>
      </c>
      <c r="F1026" s="5" t="s">
        <v>10500</v>
      </c>
      <c r="G1026" s="13" t="s">
        <v>10501</v>
      </c>
      <c r="H1026" s="5" t="s">
        <v>10502</v>
      </c>
      <c r="I1026" s="13" t="s">
        <v>10503</v>
      </c>
      <c r="J1026" s="5" t="s">
        <v>2506</v>
      </c>
      <c r="K1026" s="5" t="s">
        <v>2506</v>
      </c>
      <c r="L1026" s="13" t="s">
        <v>10504</v>
      </c>
      <c r="M1026" s="13" t="s">
        <v>10505</v>
      </c>
      <c r="N1026" s="5" t="n">
        <f aca="false">LEN(L1026)</f>
        <v>25</v>
      </c>
      <c r="O1026" s="5" t="n">
        <f aca="false">LEN(M1026)</f>
        <v>25</v>
      </c>
      <c r="P1026" s="14" t="n">
        <f aca="false">IF(N1026=0,"",(N1026-LEN(SUBSTITUTE(SUBSTITUTE(L1026,"G",""),"C","")))/N1026)</f>
        <v>0.64</v>
      </c>
      <c r="Q1026" s="14" t="n">
        <f aca="false">IF(O1026=0,"",(O1026-LEN(SUBSTITUTE(SUBSTITUTE(M1026,"G",""),"C","")))/O1026)</f>
        <v>0.84</v>
      </c>
      <c r="R1026" s="5" t="s">
        <v>1129</v>
      </c>
      <c r="S1026" s="15" t="s">
        <v>1677</v>
      </c>
      <c r="T1026" s="5" t="n">
        <v>1</v>
      </c>
      <c r="U1026" s="5" t="s">
        <v>1678</v>
      </c>
      <c r="V1026" s="5" t="s">
        <v>171</v>
      </c>
      <c r="W1026" s="5" t="s">
        <v>171</v>
      </c>
      <c r="X1026" s="15" t="s">
        <v>1677</v>
      </c>
      <c r="Y1026" s="5"/>
    </row>
    <row r="1027" customFormat="false" ht="15" hidden="false" customHeight="false" outlineLevel="0" collapsed="false">
      <c r="A1027" s="5" t="s">
        <v>10506</v>
      </c>
      <c r="B1027" s="5" t="s">
        <v>1125</v>
      </c>
      <c r="C1027" s="5" t="s">
        <v>1126</v>
      </c>
      <c r="D1027" s="10" t="s">
        <v>137</v>
      </c>
      <c r="E1027" s="5" t="n">
        <v>2</v>
      </c>
      <c r="F1027" s="5" t="s">
        <v>10507</v>
      </c>
      <c r="G1027" s="13" t="s">
        <v>10508</v>
      </c>
      <c r="H1027" s="5" t="s">
        <v>10509</v>
      </c>
      <c r="I1027" s="13" t="s">
        <v>10510</v>
      </c>
      <c r="J1027" s="5" t="s">
        <v>2506</v>
      </c>
      <c r="K1027" s="5" t="s">
        <v>2506</v>
      </c>
      <c r="L1027" s="13" t="s">
        <v>10511</v>
      </c>
      <c r="M1027" s="13" t="s">
        <v>10512</v>
      </c>
      <c r="N1027" s="5" t="n">
        <f aca="false">LEN(L1027)</f>
        <v>25</v>
      </c>
      <c r="O1027" s="5" t="n">
        <f aca="false">LEN(M1027)</f>
        <v>25</v>
      </c>
      <c r="P1027" s="14" t="n">
        <f aca="false">IF(N1027=0,"",(N1027-LEN(SUBSTITUTE(SUBSTITUTE(L1027,"G",""),"C","")))/N1027)</f>
        <v>0.68</v>
      </c>
      <c r="Q1027" s="14" t="n">
        <f aca="false">IF(O1027=0,"",(O1027-LEN(SUBSTITUTE(SUBSTITUTE(M1027,"G",""),"C","")))/O1027)</f>
        <v>0.72</v>
      </c>
      <c r="R1027" s="5" t="s">
        <v>1129</v>
      </c>
      <c r="S1027" s="15" t="s">
        <v>1677</v>
      </c>
      <c r="T1027" s="5" t="n">
        <v>81</v>
      </c>
      <c r="U1027" s="5" t="s">
        <v>1678</v>
      </c>
      <c r="V1027" s="5" t="s">
        <v>171</v>
      </c>
      <c r="W1027" s="5" t="s">
        <v>171</v>
      </c>
      <c r="X1027" s="15" t="s">
        <v>1677</v>
      </c>
      <c r="Y1027" s="5"/>
    </row>
    <row r="1028" customFormat="false" ht="15" hidden="false" customHeight="false" outlineLevel="0" collapsed="false">
      <c r="A1028" s="5" t="s">
        <v>10513</v>
      </c>
      <c r="B1028" s="5" t="s">
        <v>1125</v>
      </c>
      <c r="C1028" s="5" t="s">
        <v>1126</v>
      </c>
      <c r="D1028" s="10" t="s">
        <v>137</v>
      </c>
      <c r="E1028" s="5" t="n">
        <v>3</v>
      </c>
      <c r="F1028" s="5" t="s">
        <v>10514</v>
      </c>
      <c r="G1028" s="13" t="s">
        <v>10515</v>
      </c>
      <c r="H1028" s="5" t="s">
        <v>10516</v>
      </c>
      <c r="I1028" s="13" t="s">
        <v>10517</v>
      </c>
      <c r="J1028" s="5" t="s">
        <v>2506</v>
      </c>
      <c r="K1028" s="5" t="s">
        <v>2506</v>
      </c>
      <c r="L1028" s="13" t="s">
        <v>10518</v>
      </c>
      <c r="M1028" s="13" t="s">
        <v>10519</v>
      </c>
      <c r="N1028" s="5" t="n">
        <f aca="false">LEN(L1028)</f>
        <v>25</v>
      </c>
      <c r="O1028" s="5" t="n">
        <f aca="false">LEN(M1028)</f>
        <v>25</v>
      </c>
      <c r="P1028" s="14" t="n">
        <f aca="false">IF(N1028=0,"",(N1028-LEN(SUBSTITUTE(SUBSTITUTE(L1028,"G",""),"C","")))/N1028)</f>
        <v>0.6</v>
      </c>
      <c r="Q1028" s="14" t="n">
        <f aca="false">IF(O1028=0,"",(O1028-LEN(SUBSTITUTE(SUBSTITUTE(M1028,"G",""),"C","")))/O1028)</f>
        <v>0.52</v>
      </c>
      <c r="R1028" s="5" t="s">
        <v>1129</v>
      </c>
      <c r="S1028" s="15" t="s">
        <v>1677</v>
      </c>
      <c r="T1028" s="5" t="n">
        <v>161</v>
      </c>
      <c r="U1028" s="5" t="s">
        <v>1678</v>
      </c>
      <c r="V1028" s="5" t="s">
        <v>171</v>
      </c>
      <c r="W1028" s="5" t="s">
        <v>171</v>
      </c>
      <c r="X1028" s="15" t="s">
        <v>1677</v>
      </c>
      <c r="Y1028" s="5"/>
    </row>
    <row r="1029" customFormat="false" ht="15" hidden="false" customHeight="false" outlineLevel="0" collapsed="false">
      <c r="A1029" s="5" t="s">
        <v>10520</v>
      </c>
      <c r="B1029" s="5" t="s">
        <v>1125</v>
      </c>
      <c r="C1029" s="5" t="s">
        <v>1126</v>
      </c>
      <c r="D1029" s="10" t="s">
        <v>137</v>
      </c>
      <c r="E1029" s="5" t="n">
        <v>4</v>
      </c>
      <c r="F1029" s="5" t="s">
        <v>10521</v>
      </c>
      <c r="G1029" s="13" t="s">
        <v>10522</v>
      </c>
      <c r="H1029" s="5" t="s">
        <v>10523</v>
      </c>
      <c r="I1029" s="13" t="s">
        <v>10524</v>
      </c>
      <c r="J1029" s="5" t="s">
        <v>2506</v>
      </c>
      <c r="K1029" s="5" t="s">
        <v>2506</v>
      </c>
      <c r="L1029" s="13" t="s">
        <v>10525</v>
      </c>
      <c r="M1029" s="13" t="s">
        <v>10526</v>
      </c>
      <c r="N1029" s="5" t="n">
        <f aca="false">LEN(L1029)</f>
        <v>25</v>
      </c>
      <c r="O1029" s="5" t="n">
        <f aca="false">LEN(M1029)</f>
        <v>25</v>
      </c>
      <c r="P1029" s="14" t="n">
        <f aca="false">IF(N1029=0,"",(N1029-LEN(SUBSTITUTE(SUBSTITUTE(L1029,"G",""),"C","")))/N1029)</f>
        <v>0.76</v>
      </c>
      <c r="Q1029" s="14" t="n">
        <f aca="false">IF(O1029=0,"",(O1029-LEN(SUBSTITUTE(SUBSTITUTE(M1029,"G",""),"C","")))/O1029)</f>
        <v>0.76</v>
      </c>
      <c r="R1029" s="5" t="s">
        <v>1129</v>
      </c>
      <c r="S1029" s="15" t="s">
        <v>1677</v>
      </c>
      <c r="T1029" s="5" t="n">
        <v>241</v>
      </c>
      <c r="U1029" s="5" t="s">
        <v>1678</v>
      </c>
      <c r="V1029" s="5" t="s">
        <v>171</v>
      </c>
      <c r="W1029" s="5" t="s">
        <v>171</v>
      </c>
      <c r="X1029" s="15" t="s">
        <v>1677</v>
      </c>
      <c r="Y1029" s="5"/>
    </row>
    <row r="1030" customFormat="false" ht="15" hidden="false" customHeight="false" outlineLevel="0" collapsed="false">
      <c r="A1030" s="5" t="s">
        <v>10527</v>
      </c>
      <c r="B1030" s="5" t="s">
        <v>1125</v>
      </c>
      <c r="C1030" s="5" t="s">
        <v>1126</v>
      </c>
      <c r="D1030" s="10" t="s">
        <v>137</v>
      </c>
      <c r="E1030" s="5" t="n">
        <v>5</v>
      </c>
      <c r="F1030" s="5" t="s">
        <v>10528</v>
      </c>
      <c r="G1030" s="13" t="s">
        <v>10529</v>
      </c>
      <c r="H1030" s="5" t="s">
        <v>10530</v>
      </c>
      <c r="I1030" s="13" t="s">
        <v>10531</v>
      </c>
      <c r="J1030" s="5" t="s">
        <v>2506</v>
      </c>
      <c r="K1030" s="5" t="s">
        <v>2506</v>
      </c>
      <c r="L1030" s="13" t="s">
        <v>10532</v>
      </c>
      <c r="M1030" s="13" t="s">
        <v>10533</v>
      </c>
      <c r="N1030" s="5" t="n">
        <f aca="false">LEN(L1030)</f>
        <v>25</v>
      </c>
      <c r="O1030" s="5" t="n">
        <f aca="false">LEN(M1030)</f>
        <v>25</v>
      </c>
      <c r="P1030" s="14" t="n">
        <f aca="false">IF(N1030=0,"",(N1030-LEN(SUBSTITUTE(SUBSTITUTE(L1030,"G",""),"C","")))/N1030)</f>
        <v>0.72</v>
      </c>
      <c r="Q1030" s="14" t="n">
        <f aca="false">IF(O1030=0,"",(O1030-LEN(SUBSTITUTE(SUBSTITUTE(M1030,"G",""),"C","")))/O1030)</f>
        <v>0.88</v>
      </c>
      <c r="R1030" s="5" t="s">
        <v>1129</v>
      </c>
      <c r="S1030" s="15" t="s">
        <v>1677</v>
      </c>
      <c r="T1030" s="5" t="n">
        <v>321</v>
      </c>
      <c r="U1030" s="5" t="s">
        <v>1678</v>
      </c>
      <c r="V1030" s="5" t="s">
        <v>171</v>
      </c>
      <c r="W1030" s="5" t="s">
        <v>171</v>
      </c>
      <c r="X1030" s="15" t="s">
        <v>1677</v>
      </c>
      <c r="Y1030" s="5"/>
    </row>
    <row r="1031" customFormat="false" ht="15" hidden="false" customHeight="false" outlineLevel="0" collapsed="false">
      <c r="A1031" s="5" t="s">
        <v>10534</v>
      </c>
      <c r="B1031" s="5" t="s">
        <v>1125</v>
      </c>
      <c r="C1031" s="5" t="s">
        <v>1126</v>
      </c>
      <c r="D1031" s="10" t="s">
        <v>137</v>
      </c>
      <c r="E1031" s="5" t="n">
        <v>6</v>
      </c>
      <c r="F1031" s="5" t="s">
        <v>10535</v>
      </c>
      <c r="G1031" s="13" t="s">
        <v>10536</v>
      </c>
      <c r="H1031" s="5" t="s">
        <v>10537</v>
      </c>
      <c r="I1031" s="13" t="s">
        <v>10538</v>
      </c>
      <c r="J1031" s="5" t="s">
        <v>2506</v>
      </c>
      <c r="K1031" s="5" t="s">
        <v>2506</v>
      </c>
      <c r="L1031" s="13" t="s">
        <v>10539</v>
      </c>
      <c r="M1031" s="13" t="s">
        <v>10540</v>
      </c>
      <c r="N1031" s="5" t="n">
        <f aca="false">LEN(L1031)</f>
        <v>25</v>
      </c>
      <c r="O1031" s="5" t="n">
        <f aca="false">LEN(M1031)</f>
        <v>25</v>
      </c>
      <c r="P1031" s="14" t="n">
        <f aca="false">IF(N1031=0,"",(N1031-LEN(SUBSTITUTE(SUBSTITUTE(L1031,"G",""),"C","")))/N1031)</f>
        <v>0.84</v>
      </c>
      <c r="Q1031" s="14" t="n">
        <f aca="false">IF(O1031=0,"",(O1031-LEN(SUBSTITUTE(SUBSTITUTE(M1031,"G",""),"C","")))/O1031)</f>
        <v>0.6</v>
      </c>
      <c r="R1031" s="5" t="s">
        <v>1129</v>
      </c>
      <c r="S1031" s="15" t="s">
        <v>1677</v>
      </c>
      <c r="T1031" s="5" t="n">
        <v>401</v>
      </c>
      <c r="U1031" s="5" t="s">
        <v>1678</v>
      </c>
      <c r="V1031" s="5" t="s">
        <v>171</v>
      </c>
      <c r="W1031" s="5" t="s">
        <v>171</v>
      </c>
      <c r="X1031" s="15" t="s">
        <v>1677</v>
      </c>
      <c r="Y1031" s="5"/>
    </row>
    <row r="1032" customFormat="false" ht="15" hidden="false" customHeight="false" outlineLevel="0" collapsed="false">
      <c r="A1032" s="5" t="s">
        <v>10541</v>
      </c>
      <c r="B1032" s="5" t="s">
        <v>1125</v>
      </c>
      <c r="C1032" s="5" t="s">
        <v>1126</v>
      </c>
      <c r="D1032" s="10" t="s">
        <v>137</v>
      </c>
      <c r="E1032" s="5" t="n">
        <v>7</v>
      </c>
      <c r="F1032" s="5" t="s">
        <v>10542</v>
      </c>
      <c r="G1032" s="13" t="s">
        <v>10543</v>
      </c>
      <c r="H1032" s="5" t="s">
        <v>10544</v>
      </c>
      <c r="I1032" s="13" t="s">
        <v>10545</v>
      </c>
      <c r="J1032" s="5" t="s">
        <v>2506</v>
      </c>
      <c r="K1032" s="5" t="s">
        <v>2506</v>
      </c>
      <c r="L1032" s="13" t="s">
        <v>10546</v>
      </c>
      <c r="M1032" s="13" t="s">
        <v>10547</v>
      </c>
      <c r="N1032" s="5" t="n">
        <f aca="false">LEN(L1032)</f>
        <v>25</v>
      </c>
      <c r="O1032" s="5" t="n">
        <f aca="false">LEN(M1032)</f>
        <v>25</v>
      </c>
      <c r="P1032" s="14" t="n">
        <f aca="false">IF(N1032=0,"",(N1032-LEN(SUBSTITUTE(SUBSTITUTE(L1032,"G",""),"C","")))/N1032)</f>
        <v>0.8</v>
      </c>
      <c r="Q1032" s="14" t="n">
        <f aca="false">IF(O1032=0,"",(O1032-LEN(SUBSTITUTE(SUBSTITUTE(M1032,"G",""),"C","")))/O1032)</f>
        <v>0.56</v>
      </c>
      <c r="R1032" s="5" t="s">
        <v>1129</v>
      </c>
      <c r="S1032" s="15" t="s">
        <v>1677</v>
      </c>
      <c r="T1032" s="5" t="n">
        <v>481</v>
      </c>
      <c r="U1032" s="5" t="s">
        <v>1678</v>
      </c>
      <c r="V1032" s="5" t="s">
        <v>171</v>
      </c>
      <c r="W1032" s="5" t="s">
        <v>171</v>
      </c>
      <c r="X1032" s="15" t="s">
        <v>1677</v>
      </c>
      <c r="Y1032" s="5"/>
    </row>
    <row r="1033" customFormat="false" ht="15" hidden="false" customHeight="false" outlineLevel="0" collapsed="false">
      <c r="A1033" s="5" t="s">
        <v>10548</v>
      </c>
      <c r="B1033" s="5" t="s">
        <v>1125</v>
      </c>
      <c r="C1033" s="5" t="s">
        <v>1126</v>
      </c>
      <c r="D1033" s="10" t="s">
        <v>137</v>
      </c>
      <c r="E1033" s="5" t="n">
        <v>8</v>
      </c>
      <c r="F1033" s="5" t="s">
        <v>10549</v>
      </c>
      <c r="G1033" s="13" t="s">
        <v>10550</v>
      </c>
      <c r="H1033" s="5" t="s">
        <v>10551</v>
      </c>
      <c r="I1033" s="13" t="s">
        <v>10552</v>
      </c>
      <c r="J1033" s="5" t="s">
        <v>2506</v>
      </c>
      <c r="K1033" s="5" t="s">
        <v>2506</v>
      </c>
      <c r="L1033" s="13" t="s">
        <v>10553</v>
      </c>
      <c r="M1033" s="13" t="s">
        <v>10554</v>
      </c>
      <c r="N1033" s="5" t="n">
        <f aca="false">LEN(L1033)</f>
        <v>25</v>
      </c>
      <c r="O1033" s="5" t="n">
        <f aca="false">LEN(M1033)</f>
        <v>25</v>
      </c>
      <c r="P1033" s="14" t="n">
        <f aca="false">IF(N1033=0,"",(N1033-LEN(SUBSTITUTE(SUBSTITUTE(L1033,"G",""),"C","")))/N1033)</f>
        <v>0.6</v>
      </c>
      <c r="Q1033" s="14" t="n">
        <f aca="false">IF(O1033=0,"",(O1033-LEN(SUBSTITUTE(SUBSTITUTE(M1033,"G",""),"C","")))/O1033)</f>
        <v>0.64</v>
      </c>
      <c r="R1033" s="5" t="s">
        <v>1129</v>
      </c>
      <c r="S1033" s="15" t="s">
        <v>1677</v>
      </c>
      <c r="T1033" s="5" t="n">
        <v>561</v>
      </c>
      <c r="U1033" s="5" t="s">
        <v>1678</v>
      </c>
      <c r="V1033" s="5" t="s">
        <v>171</v>
      </c>
      <c r="W1033" s="5" t="s">
        <v>171</v>
      </c>
      <c r="X1033" s="15" t="s">
        <v>1677</v>
      </c>
      <c r="Y1033" s="5"/>
    </row>
    <row r="1034" customFormat="false" ht="15" hidden="false" customHeight="false" outlineLevel="0" collapsed="false">
      <c r="A1034" s="5" t="s">
        <v>10555</v>
      </c>
      <c r="B1034" s="5" t="s">
        <v>1125</v>
      </c>
      <c r="C1034" s="5" t="s">
        <v>1126</v>
      </c>
      <c r="D1034" s="10" t="s">
        <v>137</v>
      </c>
      <c r="E1034" s="5" t="n">
        <v>9</v>
      </c>
      <c r="F1034" s="5" t="s">
        <v>10556</v>
      </c>
      <c r="G1034" s="13" t="s">
        <v>10557</v>
      </c>
      <c r="H1034" s="5" t="s">
        <v>10558</v>
      </c>
      <c r="I1034" s="13" t="s">
        <v>10559</v>
      </c>
      <c r="J1034" s="5" t="s">
        <v>2506</v>
      </c>
      <c r="K1034" s="5" t="s">
        <v>2506</v>
      </c>
      <c r="L1034" s="13" t="s">
        <v>10560</v>
      </c>
      <c r="M1034" s="13" t="s">
        <v>10561</v>
      </c>
      <c r="N1034" s="5" t="n">
        <f aca="false">LEN(L1034)</f>
        <v>25</v>
      </c>
      <c r="O1034" s="5" t="n">
        <f aca="false">LEN(M1034)</f>
        <v>25</v>
      </c>
      <c r="P1034" s="14" t="n">
        <f aca="false">IF(N1034=0,"",(N1034-LEN(SUBSTITUTE(SUBSTITUTE(L1034,"G",""),"C","")))/N1034)</f>
        <v>0.56</v>
      </c>
      <c r="Q1034" s="14" t="n">
        <f aca="false">IF(O1034=0,"",(O1034-LEN(SUBSTITUTE(SUBSTITUTE(M1034,"G",""),"C","")))/O1034)</f>
        <v>0.68</v>
      </c>
      <c r="R1034" s="5" t="s">
        <v>1129</v>
      </c>
      <c r="S1034" s="15" t="s">
        <v>1677</v>
      </c>
      <c r="T1034" s="5" t="n">
        <v>641</v>
      </c>
      <c r="U1034" s="5" t="s">
        <v>1678</v>
      </c>
      <c r="V1034" s="5" t="s">
        <v>171</v>
      </c>
      <c r="W1034" s="5" t="s">
        <v>171</v>
      </c>
      <c r="X1034" s="15" t="s">
        <v>1677</v>
      </c>
      <c r="Y1034" s="5"/>
    </row>
    <row r="1035" customFormat="false" ht="15" hidden="false" customHeight="false" outlineLevel="0" collapsed="false">
      <c r="A1035" s="5" t="s">
        <v>10562</v>
      </c>
      <c r="B1035" s="5" t="s">
        <v>1125</v>
      </c>
      <c r="C1035" s="5" t="s">
        <v>1126</v>
      </c>
      <c r="D1035" s="10" t="s">
        <v>137</v>
      </c>
      <c r="E1035" s="5" t="n">
        <v>10</v>
      </c>
      <c r="F1035" s="5" t="s">
        <v>10563</v>
      </c>
      <c r="G1035" s="13" t="s">
        <v>10564</v>
      </c>
      <c r="H1035" s="5" t="s">
        <v>10565</v>
      </c>
      <c r="I1035" s="13" t="s">
        <v>10566</v>
      </c>
      <c r="J1035" s="5" t="s">
        <v>2506</v>
      </c>
      <c r="K1035" s="5" t="s">
        <v>2506</v>
      </c>
      <c r="L1035" s="13" t="s">
        <v>10567</v>
      </c>
      <c r="M1035" s="13" t="s">
        <v>10568</v>
      </c>
      <c r="N1035" s="5" t="n">
        <f aca="false">LEN(L1035)</f>
        <v>25</v>
      </c>
      <c r="O1035" s="5" t="n">
        <f aca="false">LEN(M1035)</f>
        <v>25</v>
      </c>
      <c r="P1035" s="14" t="n">
        <f aca="false">IF(N1035=0,"",(N1035-LEN(SUBSTITUTE(SUBSTITUTE(L1035,"G",""),"C","")))/N1035)</f>
        <v>0.64</v>
      </c>
      <c r="Q1035" s="14" t="n">
        <f aca="false">IF(O1035=0,"",(O1035-LEN(SUBSTITUTE(SUBSTITUTE(M1035,"G",""),"C","")))/O1035)</f>
        <v>1</v>
      </c>
      <c r="R1035" s="5" t="s">
        <v>1129</v>
      </c>
      <c r="S1035" s="15" t="s">
        <v>1677</v>
      </c>
      <c r="T1035" s="5" t="n">
        <v>721</v>
      </c>
      <c r="U1035" s="5" t="s">
        <v>1678</v>
      </c>
      <c r="V1035" s="5" t="s">
        <v>171</v>
      </c>
      <c r="W1035" s="5" t="s">
        <v>171</v>
      </c>
      <c r="X1035" s="15" t="s">
        <v>1677</v>
      </c>
      <c r="Y1035" s="5"/>
    </row>
    <row r="1036" customFormat="false" ht="15" hidden="false" customHeight="false" outlineLevel="0" collapsed="false">
      <c r="A1036" s="5" t="s">
        <v>10569</v>
      </c>
      <c r="B1036" s="5" t="s">
        <v>1132</v>
      </c>
      <c r="C1036" s="5" t="s">
        <v>1133</v>
      </c>
      <c r="D1036" s="10" t="s">
        <v>137</v>
      </c>
      <c r="E1036" s="5" t="n">
        <v>1</v>
      </c>
      <c r="F1036" s="5" t="s">
        <v>10570</v>
      </c>
      <c r="G1036" s="13" t="s">
        <v>10571</v>
      </c>
      <c r="H1036" s="5" t="s">
        <v>10572</v>
      </c>
      <c r="I1036" s="13" t="s">
        <v>10573</v>
      </c>
      <c r="J1036" s="5" t="s">
        <v>10574</v>
      </c>
      <c r="K1036" s="5" t="s">
        <v>10575</v>
      </c>
      <c r="L1036" s="13" t="s">
        <v>10576</v>
      </c>
      <c r="M1036" s="13" t="s">
        <v>10577</v>
      </c>
      <c r="N1036" s="5" t="n">
        <f aca="false">LEN(L1036)</f>
        <v>25</v>
      </c>
      <c r="O1036" s="5" t="n">
        <f aca="false">LEN(M1036)</f>
        <v>25</v>
      </c>
      <c r="P1036" s="14" t="n">
        <f aca="false">IF(N1036=0,"",(N1036-LEN(SUBSTITUTE(SUBSTITUTE(L1036,"G",""),"C","")))/N1036)</f>
        <v>0.44</v>
      </c>
      <c r="Q1036" s="14" t="n">
        <f aca="false">IF(O1036=0,"",(O1036-LEN(SUBSTITUTE(SUBSTITUTE(M1036,"G",""),"C","")))/O1036)</f>
        <v>0.6</v>
      </c>
      <c r="R1036" s="5" t="s">
        <v>1137</v>
      </c>
      <c r="S1036" s="15" t="s">
        <v>1677</v>
      </c>
      <c r="T1036" s="5" t="n">
        <v>135</v>
      </c>
      <c r="U1036" s="5" t="s">
        <v>1678</v>
      </c>
      <c r="V1036" s="5" t="s">
        <v>1055</v>
      </c>
      <c r="W1036" s="5"/>
      <c r="X1036" s="8" t="s">
        <v>1769</v>
      </c>
      <c r="Y1036" s="5"/>
    </row>
    <row r="1037" customFormat="false" ht="15" hidden="false" customHeight="false" outlineLevel="0" collapsed="false">
      <c r="A1037" s="5" t="s">
        <v>10578</v>
      </c>
      <c r="B1037" s="5" t="s">
        <v>1132</v>
      </c>
      <c r="C1037" s="5" t="s">
        <v>1133</v>
      </c>
      <c r="D1037" s="10" t="s">
        <v>137</v>
      </c>
      <c r="E1037" s="5" t="n">
        <v>2</v>
      </c>
      <c r="F1037" s="5" t="s">
        <v>10579</v>
      </c>
      <c r="G1037" s="13" t="s">
        <v>10580</v>
      </c>
      <c r="H1037" s="5" t="s">
        <v>10581</v>
      </c>
      <c r="I1037" s="13" t="s">
        <v>10582</v>
      </c>
      <c r="J1037" s="5" t="s">
        <v>10583</v>
      </c>
      <c r="K1037" s="5" t="s">
        <v>10584</v>
      </c>
      <c r="L1037" s="13" t="s">
        <v>10585</v>
      </c>
      <c r="M1037" s="13" t="s">
        <v>10586</v>
      </c>
      <c r="N1037" s="5" t="n">
        <f aca="false">LEN(L1037)</f>
        <v>25</v>
      </c>
      <c r="O1037" s="5" t="n">
        <f aca="false">LEN(M1037)</f>
        <v>25</v>
      </c>
      <c r="P1037" s="14" t="n">
        <f aca="false">IF(N1037=0,"",(N1037-LEN(SUBSTITUTE(SUBSTITUTE(L1037,"G",""),"C","")))/N1037)</f>
        <v>0.72</v>
      </c>
      <c r="Q1037" s="14" t="n">
        <f aca="false">IF(O1037=0,"",(O1037-LEN(SUBSTITUTE(SUBSTITUTE(M1037,"G",""),"C","")))/O1037)</f>
        <v>0.72</v>
      </c>
      <c r="R1037" s="5" t="s">
        <v>1137</v>
      </c>
      <c r="S1037" s="15" t="s">
        <v>1677</v>
      </c>
      <c r="T1037" s="5" t="n">
        <v>268</v>
      </c>
      <c r="U1037" s="5" t="s">
        <v>1678</v>
      </c>
      <c r="V1037" s="5" t="s">
        <v>1055</v>
      </c>
      <c r="W1037" s="5"/>
      <c r="X1037" s="15" t="s">
        <v>1677</v>
      </c>
      <c r="Y1037" s="5"/>
    </row>
    <row r="1038" customFormat="false" ht="15" hidden="false" customHeight="false" outlineLevel="0" collapsed="false">
      <c r="A1038" s="5" t="s">
        <v>10587</v>
      </c>
      <c r="B1038" s="5" t="s">
        <v>1132</v>
      </c>
      <c r="C1038" s="5" t="s">
        <v>1133</v>
      </c>
      <c r="D1038" s="10" t="s">
        <v>137</v>
      </c>
      <c r="E1038" s="5" t="n">
        <v>3</v>
      </c>
      <c r="F1038" s="5" t="s">
        <v>10588</v>
      </c>
      <c r="G1038" s="13" t="s">
        <v>10589</v>
      </c>
      <c r="H1038" s="5" t="s">
        <v>10590</v>
      </c>
      <c r="I1038" s="13" t="s">
        <v>10591</v>
      </c>
      <c r="J1038" s="5" t="s">
        <v>10592</v>
      </c>
      <c r="K1038" s="5" t="s">
        <v>10593</v>
      </c>
      <c r="L1038" s="13" t="s">
        <v>10594</v>
      </c>
      <c r="M1038" s="13" t="s">
        <v>10595</v>
      </c>
      <c r="N1038" s="5" t="n">
        <f aca="false">LEN(L1038)</f>
        <v>25</v>
      </c>
      <c r="O1038" s="5" t="n">
        <f aca="false">LEN(M1038)</f>
        <v>25</v>
      </c>
      <c r="P1038" s="14" t="n">
        <f aca="false">IF(N1038=0,"",(N1038-LEN(SUBSTITUTE(SUBSTITUTE(L1038,"G",""),"C","")))/N1038)</f>
        <v>0.76</v>
      </c>
      <c r="Q1038" s="14" t="n">
        <f aca="false">IF(O1038=0,"",(O1038-LEN(SUBSTITUTE(SUBSTITUTE(M1038,"G",""),"C","")))/O1038)</f>
        <v>0.84</v>
      </c>
      <c r="R1038" s="5" t="s">
        <v>1137</v>
      </c>
      <c r="S1038" s="15" t="s">
        <v>1677</v>
      </c>
      <c r="T1038" s="5" t="n">
        <v>402</v>
      </c>
      <c r="U1038" s="5" t="s">
        <v>1678</v>
      </c>
      <c r="V1038" s="5" t="s">
        <v>1055</v>
      </c>
      <c r="W1038" s="5"/>
      <c r="X1038" s="15" t="s">
        <v>1677</v>
      </c>
      <c r="Y1038" s="5"/>
    </row>
    <row r="1039" customFormat="false" ht="15" hidden="false" customHeight="false" outlineLevel="0" collapsed="false">
      <c r="A1039" s="5" t="s">
        <v>10596</v>
      </c>
      <c r="B1039" s="5" t="s">
        <v>1132</v>
      </c>
      <c r="C1039" s="5" t="s">
        <v>1133</v>
      </c>
      <c r="D1039" s="10" t="s">
        <v>137</v>
      </c>
      <c r="E1039" s="5" t="n">
        <v>4</v>
      </c>
      <c r="F1039" s="5" t="s">
        <v>10597</v>
      </c>
      <c r="G1039" s="13" t="s">
        <v>10598</v>
      </c>
      <c r="H1039" s="5" t="s">
        <v>10599</v>
      </c>
      <c r="I1039" s="13" t="s">
        <v>10600</v>
      </c>
      <c r="J1039" s="5" t="s">
        <v>10601</v>
      </c>
      <c r="K1039" s="5" t="s">
        <v>10602</v>
      </c>
      <c r="L1039" s="13" t="s">
        <v>10603</v>
      </c>
      <c r="M1039" s="13" t="s">
        <v>10604</v>
      </c>
      <c r="N1039" s="5" t="n">
        <f aca="false">LEN(L1039)</f>
        <v>25</v>
      </c>
      <c r="O1039" s="5" t="n">
        <f aca="false">LEN(M1039)</f>
        <v>25</v>
      </c>
      <c r="P1039" s="14" t="n">
        <f aca="false">IF(N1039=0,"",(N1039-LEN(SUBSTITUTE(SUBSTITUTE(L1039,"G",""),"C","")))/N1039)</f>
        <v>0.8</v>
      </c>
      <c r="Q1039" s="14" t="n">
        <f aca="false">IF(O1039=0,"",(O1039-LEN(SUBSTITUTE(SUBSTITUTE(M1039,"G",""),"C","")))/O1039)</f>
        <v>0.4</v>
      </c>
      <c r="R1039" s="5" t="s">
        <v>1137</v>
      </c>
      <c r="S1039" s="15" t="s">
        <v>1677</v>
      </c>
      <c r="T1039" s="5" t="n">
        <v>535</v>
      </c>
      <c r="U1039" s="5" t="s">
        <v>1678</v>
      </c>
      <c r="V1039" s="5" t="s">
        <v>1055</v>
      </c>
      <c r="W1039" s="5"/>
      <c r="X1039" s="8" t="s">
        <v>2131</v>
      </c>
      <c r="Y1039" s="5"/>
    </row>
    <row r="1040" customFormat="false" ht="15" hidden="false" customHeight="false" outlineLevel="0" collapsed="false">
      <c r="A1040" s="5" t="s">
        <v>10605</v>
      </c>
      <c r="B1040" s="5" t="s">
        <v>1132</v>
      </c>
      <c r="C1040" s="5" t="s">
        <v>1133</v>
      </c>
      <c r="D1040" s="10" t="s">
        <v>137</v>
      </c>
      <c r="E1040" s="5" t="n">
        <v>5</v>
      </c>
      <c r="F1040" s="5" t="s">
        <v>10606</v>
      </c>
      <c r="G1040" s="13" t="s">
        <v>10607</v>
      </c>
      <c r="H1040" s="5" t="s">
        <v>10608</v>
      </c>
      <c r="I1040" s="13" t="s">
        <v>10609</v>
      </c>
      <c r="J1040" s="5" t="s">
        <v>10610</v>
      </c>
      <c r="K1040" s="5" t="s">
        <v>10611</v>
      </c>
      <c r="L1040" s="13" t="s">
        <v>10612</v>
      </c>
      <c r="M1040" s="13" t="s">
        <v>10613</v>
      </c>
      <c r="N1040" s="5" t="n">
        <f aca="false">LEN(L1040)</f>
        <v>25</v>
      </c>
      <c r="O1040" s="5" t="n">
        <f aca="false">LEN(M1040)</f>
        <v>25</v>
      </c>
      <c r="P1040" s="14" t="n">
        <f aca="false">IF(N1040=0,"",(N1040-LEN(SUBSTITUTE(SUBSTITUTE(L1040,"G",""),"C","")))/N1040)</f>
        <v>0.68</v>
      </c>
      <c r="Q1040" s="14" t="n">
        <f aca="false">IF(O1040=0,"",(O1040-LEN(SUBSTITUTE(SUBSTITUTE(M1040,"G",""),"C","")))/O1040)</f>
        <v>0.68</v>
      </c>
      <c r="R1040" s="5" t="s">
        <v>1137</v>
      </c>
      <c r="S1040" s="15" t="s">
        <v>1677</v>
      </c>
      <c r="T1040" s="5" t="n">
        <v>671</v>
      </c>
      <c r="U1040" s="5" t="s">
        <v>1678</v>
      </c>
      <c r="V1040" s="5" t="s">
        <v>1055</v>
      </c>
      <c r="W1040" s="5"/>
      <c r="X1040" s="8" t="s">
        <v>1769</v>
      </c>
      <c r="Y1040" s="5"/>
    </row>
    <row r="1041" customFormat="false" ht="15" hidden="false" customHeight="false" outlineLevel="0" collapsed="false">
      <c r="A1041" s="5" t="s">
        <v>10614</v>
      </c>
      <c r="B1041" s="5" t="s">
        <v>1132</v>
      </c>
      <c r="C1041" s="5" t="s">
        <v>1133</v>
      </c>
      <c r="D1041" s="10" t="s">
        <v>137</v>
      </c>
      <c r="E1041" s="5" t="n">
        <v>6</v>
      </c>
      <c r="F1041" s="5" t="s">
        <v>10615</v>
      </c>
      <c r="G1041" s="13" t="s">
        <v>10616</v>
      </c>
      <c r="H1041" s="5" t="s">
        <v>10617</v>
      </c>
      <c r="I1041" s="13" t="s">
        <v>10618</v>
      </c>
      <c r="J1041" s="5" t="s">
        <v>10619</v>
      </c>
      <c r="K1041" s="5" t="s">
        <v>10620</v>
      </c>
      <c r="L1041" s="13" t="s">
        <v>10621</v>
      </c>
      <c r="M1041" s="13" t="s">
        <v>10622</v>
      </c>
      <c r="N1041" s="5" t="n">
        <f aca="false">LEN(L1041)</f>
        <v>25</v>
      </c>
      <c r="O1041" s="5" t="n">
        <f aca="false">LEN(M1041)</f>
        <v>25</v>
      </c>
      <c r="P1041" s="14" t="n">
        <f aca="false">IF(N1041=0,"",(N1041-LEN(SUBSTITUTE(SUBSTITUTE(L1041,"G",""),"C","")))/N1041)</f>
        <v>0.52</v>
      </c>
      <c r="Q1041" s="14" t="n">
        <f aca="false">IF(O1041=0,"",(O1041-LEN(SUBSTITUTE(SUBSTITUTE(M1041,"G",""),"C","")))/O1041)</f>
        <v>0.4</v>
      </c>
      <c r="R1041" s="5" t="s">
        <v>1137</v>
      </c>
      <c r="S1041" s="15" t="s">
        <v>1677</v>
      </c>
      <c r="T1041" s="5" t="n">
        <v>804</v>
      </c>
      <c r="U1041" s="5" t="s">
        <v>1678</v>
      </c>
      <c r="V1041" s="5" t="s">
        <v>1055</v>
      </c>
      <c r="W1041" s="5"/>
      <c r="X1041" s="8" t="s">
        <v>2131</v>
      </c>
      <c r="Y1041" s="5"/>
    </row>
    <row r="1042" customFormat="false" ht="15" hidden="false" customHeight="false" outlineLevel="0" collapsed="false">
      <c r="A1042" s="5" t="s">
        <v>10623</v>
      </c>
      <c r="B1042" s="5" t="s">
        <v>1140</v>
      </c>
      <c r="C1042" s="5" t="s">
        <v>772</v>
      </c>
      <c r="D1042" s="10" t="s">
        <v>137</v>
      </c>
      <c r="E1042" s="5" t="n">
        <v>1</v>
      </c>
      <c r="F1042" s="5" t="s">
        <v>10624</v>
      </c>
      <c r="G1042" s="13" t="s">
        <v>10625</v>
      </c>
      <c r="H1042" s="5" t="s">
        <v>10626</v>
      </c>
      <c r="I1042" s="13" t="s">
        <v>10627</v>
      </c>
      <c r="J1042" s="5" t="s">
        <v>10628</v>
      </c>
      <c r="K1042" s="5" t="s">
        <v>10629</v>
      </c>
      <c r="L1042" s="13" t="s">
        <v>7745</v>
      </c>
      <c r="M1042" s="13" t="s">
        <v>7746</v>
      </c>
      <c r="N1042" s="5" t="n">
        <f aca="false">LEN(L1042)</f>
        <v>25</v>
      </c>
      <c r="O1042" s="5" t="n">
        <f aca="false">LEN(M1042)</f>
        <v>25</v>
      </c>
      <c r="P1042" s="14" t="n">
        <f aca="false">IF(N1042=0,"",(N1042-LEN(SUBSTITUTE(SUBSTITUTE(L1042,"G",""),"C","")))/N1042)</f>
        <v>0.4</v>
      </c>
      <c r="Q1042" s="14" t="n">
        <f aca="false">IF(O1042=0,"",(O1042-LEN(SUBSTITUTE(SUBSTITUTE(M1042,"G",""),"C","")))/O1042)</f>
        <v>0.8</v>
      </c>
      <c r="R1042" s="5" t="s">
        <v>776</v>
      </c>
      <c r="S1042" s="15" t="s">
        <v>1677</v>
      </c>
      <c r="T1042" s="5" t="n">
        <v>216</v>
      </c>
      <c r="U1042" s="5" t="s">
        <v>1678</v>
      </c>
      <c r="V1042" s="5" t="s">
        <v>154</v>
      </c>
      <c r="W1042" s="5"/>
      <c r="X1042" s="15" t="s">
        <v>1677</v>
      </c>
      <c r="Y1042" s="5"/>
    </row>
    <row r="1043" customFormat="false" ht="15" hidden="false" customHeight="false" outlineLevel="0" collapsed="false">
      <c r="A1043" s="5" t="s">
        <v>10630</v>
      </c>
      <c r="B1043" s="5" t="s">
        <v>1140</v>
      </c>
      <c r="C1043" s="5" t="s">
        <v>772</v>
      </c>
      <c r="D1043" s="10" t="s">
        <v>137</v>
      </c>
      <c r="E1043" s="5" t="n">
        <v>2</v>
      </c>
      <c r="F1043" s="5" t="s">
        <v>10631</v>
      </c>
      <c r="G1043" s="13" t="s">
        <v>10632</v>
      </c>
      <c r="H1043" s="5" t="s">
        <v>10633</v>
      </c>
      <c r="I1043" s="13" t="s">
        <v>10634</v>
      </c>
      <c r="J1043" s="5" t="s">
        <v>10635</v>
      </c>
      <c r="K1043" s="5" t="s">
        <v>10636</v>
      </c>
      <c r="L1043" s="13" t="s">
        <v>7754</v>
      </c>
      <c r="M1043" s="13" t="s">
        <v>7755</v>
      </c>
      <c r="N1043" s="5" t="n">
        <f aca="false">LEN(L1043)</f>
        <v>25</v>
      </c>
      <c r="O1043" s="5" t="n">
        <f aca="false">LEN(M1043)</f>
        <v>25</v>
      </c>
      <c r="P1043" s="14" t="n">
        <f aca="false">IF(N1043=0,"",(N1043-LEN(SUBSTITUTE(SUBSTITUTE(L1043,"G",""),"C","")))/N1043)</f>
        <v>0.52</v>
      </c>
      <c r="Q1043" s="14" t="n">
        <f aca="false">IF(O1043=0,"",(O1043-LEN(SUBSTITUTE(SUBSTITUTE(M1043,"G",""),"C","")))/O1043)</f>
        <v>0.64</v>
      </c>
      <c r="R1043" s="5" t="s">
        <v>776</v>
      </c>
      <c r="S1043" s="15" t="s">
        <v>1677</v>
      </c>
      <c r="T1043" s="5" t="n">
        <v>286</v>
      </c>
      <c r="U1043" s="5" t="s">
        <v>1678</v>
      </c>
      <c r="V1043" s="5" t="s">
        <v>154</v>
      </c>
      <c r="W1043" s="5"/>
      <c r="X1043" s="15" t="s">
        <v>1677</v>
      </c>
      <c r="Y1043" s="5"/>
    </row>
    <row r="1044" customFormat="false" ht="15" hidden="false" customHeight="false" outlineLevel="0" collapsed="false">
      <c r="A1044" s="5" t="s">
        <v>10637</v>
      </c>
      <c r="B1044" s="5" t="s">
        <v>1140</v>
      </c>
      <c r="C1044" s="5" t="s">
        <v>772</v>
      </c>
      <c r="D1044" s="10" t="s">
        <v>137</v>
      </c>
      <c r="E1044" s="5" t="n">
        <v>3</v>
      </c>
      <c r="F1044" s="5" t="s">
        <v>10638</v>
      </c>
      <c r="G1044" s="13" t="s">
        <v>10639</v>
      </c>
      <c r="H1044" s="5" t="s">
        <v>10640</v>
      </c>
      <c r="I1044" s="13" t="s">
        <v>10641</v>
      </c>
      <c r="J1044" s="5" t="s">
        <v>10642</v>
      </c>
      <c r="K1044" s="5" t="s">
        <v>10643</v>
      </c>
      <c r="L1044" s="13" t="s">
        <v>7763</v>
      </c>
      <c r="M1044" s="13" t="s">
        <v>7764</v>
      </c>
      <c r="N1044" s="5" t="n">
        <f aca="false">LEN(L1044)</f>
        <v>25</v>
      </c>
      <c r="O1044" s="5" t="n">
        <f aca="false">LEN(M1044)</f>
        <v>25</v>
      </c>
      <c r="P1044" s="14" t="n">
        <f aca="false">IF(N1044=0,"",(N1044-LEN(SUBSTITUTE(SUBSTITUTE(L1044,"G",""),"C","")))/N1044)</f>
        <v>0.64</v>
      </c>
      <c r="Q1044" s="14" t="n">
        <f aca="false">IF(O1044=0,"",(O1044-LEN(SUBSTITUTE(SUBSTITUTE(M1044,"G",""),"C","")))/O1044)</f>
        <v>0.52</v>
      </c>
      <c r="R1044" s="5" t="s">
        <v>776</v>
      </c>
      <c r="S1044" s="15" t="s">
        <v>1677</v>
      </c>
      <c r="T1044" s="5" t="n">
        <v>356</v>
      </c>
      <c r="U1044" s="5" t="s">
        <v>1678</v>
      </c>
      <c r="V1044" s="5" t="s">
        <v>154</v>
      </c>
      <c r="W1044" s="5"/>
      <c r="X1044" s="15" t="s">
        <v>1677</v>
      </c>
      <c r="Y1044" s="5"/>
    </row>
    <row r="1045" customFormat="false" ht="15" hidden="false" customHeight="false" outlineLevel="0" collapsed="false">
      <c r="A1045" s="5" t="s">
        <v>10644</v>
      </c>
      <c r="B1045" s="5" t="s">
        <v>1140</v>
      </c>
      <c r="C1045" s="5" t="s">
        <v>772</v>
      </c>
      <c r="D1045" s="10" t="s">
        <v>137</v>
      </c>
      <c r="E1045" s="5" t="n">
        <v>4</v>
      </c>
      <c r="F1045" s="5" t="s">
        <v>10645</v>
      </c>
      <c r="G1045" s="13" t="s">
        <v>10646</v>
      </c>
      <c r="H1045" s="5" t="s">
        <v>10647</v>
      </c>
      <c r="I1045" s="13" t="s">
        <v>10648</v>
      </c>
      <c r="J1045" s="5" t="s">
        <v>10649</v>
      </c>
      <c r="K1045" s="5" t="s">
        <v>10650</v>
      </c>
      <c r="L1045" s="13" t="s">
        <v>10651</v>
      </c>
      <c r="M1045" s="13" t="s">
        <v>10652</v>
      </c>
      <c r="N1045" s="5" t="n">
        <f aca="false">LEN(L1045)</f>
        <v>25</v>
      </c>
      <c r="O1045" s="5" t="n">
        <f aca="false">LEN(M1045)</f>
        <v>25</v>
      </c>
      <c r="P1045" s="14" t="n">
        <f aca="false">IF(N1045=0,"",(N1045-LEN(SUBSTITUTE(SUBSTITUTE(L1045,"G",""),"C","")))/N1045)</f>
        <v>0.68</v>
      </c>
      <c r="Q1045" s="14" t="n">
        <f aca="false">IF(O1045=0,"",(O1045-LEN(SUBSTITUTE(SUBSTITUTE(M1045,"G",""),"C","")))/O1045)</f>
        <v>0.68</v>
      </c>
      <c r="R1045" s="5" t="s">
        <v>776</v>
      </c>
      <c r="S1045" s="15" t="s">
        <v>1677</v>
      </c>
      <c r="T1045" s="5" t="n">
        <v>426</v>
      </c>
      <c r="U1045" s="5" t="s">
        <v>1678</v>
      </c>
      <c r="V1045" s="5" t="s">
        <v>154</v>
      </c>
      <c r="W1045" s="5"/>
      <c r="X1045" s="15" t="s">
        <v>1677</v>
      </c>
      <c r="Y1045" s="5"/>
    </row>
    <row r="1046" customFormat="false" ht="15" hidden="false" customHeight="false" outlineLevel="0" collapsed="false">
      <c r="A1046" s="5" t="s">
        <v>10653</v>
      </c>
      <c r="B1046" s="5" t="s">
        <v>1140</v>
      </c>
      <c r="C1046" s="5" t="s">
        <v>772</v>
      </c>
      <c r="D1046" s="10" t="s">
        <v>137</v>
      </c>
      <c r="E1046" s="5" t="n">
        <v>5</v>
      </c>
      <c r="F1046" s="5" t="s">
        <v>10654</v>
      </c>
      <c r="G1046" s="13" t="s">
        <v>10655</v>
      </c>
      <c r="H1046" s="5" t="s">
        <v>10656</v>
      </c>
      <c r="I1046" s="13" t="s">
        <v>10657</v>
      </c>
      <c r="J1046" s="5" t="s">
        <v>10658</v>
      </c>
      <c r="K1046" s="5" t="s">
        <v>10659</v>
      </c>
      <c r="L1046" s="13" t="s">
        <v>10660</v>
      </c>
      <c r="M1046" s="13" t="s">
        <v>10661</v>
      </c>
      <c r="N1046" s="5" t="n">
        <f aca="false">LEN(L1046)</f>
        <v>25</v>
      </c>
      <c r="O1046" s="5" t="n">
        <f aca="false">LEN(M1046)</f>
        <v>25</v>
      </c>
      <c r="P1046" s="14" t="n">
        <f aca="false">IF(N1046=0,"",(N1046-LEN(SUBSTITUTE(SUBSTITUTE(L1046,"G",""),"C","")))/N1046)</f>
        <v>0.52</v>
      </c>
      <c r="Q1046" s="14" t="n">
        <f aca="false">IF(O1046=0,"",(O1046-LEN(SUBSTITUTE(SUBSTITUTE(M1046,"G",""),"C","")))/O1046)</f>
        <v>0.36</v>
      </c>
      <c r="R1046" s="5" t="s">
        <v>776</v>
      </c>
      <c r="S1046" s="15" t="s">
        <v>1677</v>
      </c>
      <c r="T1046" s="5" t="n">
        <v>496</v>
      </c>
      <c r="U1046" s="5" t="s">
        <v>1678</v>
      </c>
      <c r="V1046" s="5" t="s">
        <v>154</v>
      </c>
      <c r="W1046" s="5"/>
      <c r="X1046" s="15" t="s">
        <v>1677</v>
      </c>
      <c r="Y1046" s="5"/>
    </row>
    <row r="1047" customFormat="false" ht="15" hidden="false" customHeight="false" outlineLevel="0" collapsed="false">
      <c r="A1047" s="5" t="s">
        <v>10662</v>
      </c>
      <c r="B1047" s="5" t="s">
        <v>1140</v>
      </c>
      <c r="C1047" s="5" t="s">
        <v>772</v>
      </c>
      <c r="D1047" s="10" t="s">
        <v>137</v>
      </c>
      <c r="E1047" s="5" t="n">
        <v>6</v>
      </c>
      <c r="F1047" s="5" t="s">
        <v>10663</v>
      </c>
      <c r="G1047" s="13" t="s">
        <v>10664</v>
      </c>
      <c r="H1047" s="5" t="s">
        <v>10665</v>
      </c>
      <c r="I1047" s="13" t="s">
        <v>10666</v>
      </c>
      <c r="J1047" s="5" t="s">
        <v>10667</v>
      </c>
      <c r="K1047" s="5" t="s">
        <v>10668</v>
      </c>
      <c r="L1047" s="13" t="s">
        <v>10669</v>
      </c>
      <c r="M1047" s="13" t="s">
        <v>10670</v>
      </c>
      <c r="N1047" s="5" t="n">
        <f aca="false">LEN(L1047)</f>
        <v>25</v>
      </c>
      <c r="O1047" s="5" t="n">
        <f aca="false">LEN(M1047)</f>
        <v>25</v>
      </c>
      <c r="P1047" s="14" t="n">
        <f aca="false">IF(N1047=0,"",(N1047-LEN(SUBSTITUTE(SUBSTITUTE(L1047,"G",""),"C","")))/N1047)</f>
        <v>0.44</v>
      </c>
      <c r="Q1047" s="14" t="n">
        <f aca="false">IF(O1047=0,"",(O1047-LEN(SUBSTITUTE(SUBSTITUTE(M1047,"G",""),"C","")))/O1047)</f>
        <v>0.56</v>
      </c>
      <c r="R1047" s="5" t="s">
        <v>776</v>
      </c>
      <c r="S1047" s="15" t="s">
        <v>1677</v>
      </c>
      <c r="T1047" s="5" t="n">
        <v>566</v>
      </c>
      <c r="U1047" s="5" t="s">
        <v>1678</v>
      </c>
      <c r="V1047" s="5" t="s">
        <v>154</v>
      </c>
      <c r="W1047" s="5"/>
      <c r="X1047" s="15" t="s">
        <v>1677</v>
      </c>
      <c r="Y1047" s="5"/>
    </row>
    <row r="1048" customFormat="false" ht="15" hidden="false" customHeight="false" outlineLevel="0" collapsed="false">
      <c r="A1048" s="5" t="s">
        <v>10671</v>
      </c>
      <c r="B1048" s="5" t="s">
        <v>1142</v>
      </c>
      <c r="C1048" s="5" t="s">
        <v>252</v>
      </c>
      <c r="D1048" s="10" t="s">
        <v>137</v>
      </c>
      <c r="E1048" s="5" t="n">
        <v>1</v>
      </c>
      <c r="F1048" s="5" t="s">
        <v>10672</v>
      </c>
      <c r="G1048" s="13" t="s">
        <v>10673</v>
      </c>
      <c r="H1048" s="5" t="s">
        <v>10674</v>
      </c>
      <c r="I1048" s="13" t="s">
        <v>10675</v>
      </c>
      <c r="J1048" s="5" t="s">
        <v>10676</v>
      </c>
      <c r="K1048" s="5" t="s">
        <v>10677</v>
      </c>
      <c r="L1048" s="13" t="s">
        <v>3139</v>
      </c>
      <c r="M1048" s="13" t="s">
        <v>3140</v>
      </c>
      <c r="N1048" s="5" t="n">
        <f aca="false">LEN(L1048)</f>
        <v>25</v>
      </c>
      <c r="O1048" s="5" t="n">
        <f aca="false">LEN(M1048)</f>
        <v>25</v>
      </c>
      <c r="P1048" s="14" t="n">
        <f aca="false">IF(N1048=0,"",(N1048-LEN(SUBSTITUTE(SUBSTITUTE(L1048,"G",""),"C","")))/N1048)</f>
        <v>0.68</v>
      </c>
      <c r="Q1048" s="14" t="n">
        <f aca="false">IF(O1048=0,"",(O1048-LEN(SUBSTITUTE(SUBSTITUTE(M1048,"G",""),"C","")))/O1048)</f>
        <v>0.68</v>
      </c>
      <c r="R1048" s="5" t="s">
        <v>256</v>
      </c>
      <c r="S1048" s="15" t="s">
        <v>1677</v>
      </c>
      <c r="T1048" s="5" t="n">
        <v>732</v>
      </c>
      <c r="U1048" s="5" t="s">
        <v>1678</v>
      </c>
      <c r="V1048" s="5" t="s">
        <v>1055</v>
      </c>
      <c r="W1048" s="5"/>
      <c r="X1048" s="15" t="s">
        <v>1677</v>
      </c>
      <c r="Y1048" s="5"/>
    </row>
    <row r="1049" customFormat="false" ht="15" hidden="false" customHeight="false" outlineLevel="0" collapsed="false">
      <c r="A1049" s="5" t="s">
        <v>10678</v>
      </c>
      <c r="B1049" s="5" t="s">
        <v>1142</v>
      </c>
      <c r="C1049" s="5" t="s">
        <v>252</v>
      </c>
      <c r="D1049" s="10" t="s">
        <v>137</v>
      </c>
      <c r="E1049" s="5" t="n">
        <v>2</v>
      </c>
      <c r="F1049" s="5" t="s">
        <v>10679</v>
      </c>
      <c r="G1049" s="13" t="s">
        <v>10680</v>
      </c>
      <c r="H1049" s="5" t="s">
        <v>10681</v>
      </c>
      <c r="I1049" s="13" t="s">
        <v>10682</v>
      </c>
      <c r="J1049" s="5" t="s">
        <v>10683</v>
      </c>
      <c r="K1049" s="5" t="s">
        <v>10684</v>
      </c>
      <c r="L1049" s="13" t="s">
        <v>3148</v>
      </c>
      <c r="M1049" s="13" t="s">
        <v>3149</v>
      </c>
      <c r="N1049" s="5" t="n">
        <f aca="false">LEN(L1049)</f>
        <v>25</v>
      </c>
      <c r="O1049" s="5" t="n">
        <f aca="false">LEN(M1049)</f>
        <v>25</v>
      </c>
      <c r="P1049" s="14" t="n">
        <f aca="false">IF(N1049=0,"",(N1049-LEN(SUBSTITUTE(SUBSTITUTE(L1049,"G",""),"C","")))/N1049)</f>
        <v>0.72</v>
      </c>
      <c r="Q1049" s="14" t="n">
        <f aca="false">IF(O1049=0,"",(O1049-LEN(SUBSTITUTE(SUBSTITUTE(M1049,"G",""),"C","")))/O1049)</f>
        <v>0.52</v>
      </c>
      <c r="R1049" s="5" t="s">
        <v>256</v>
      </c>
      <c r="S1049" s="15" t="s">
        <v>1677</v>
      </c>
      <c r="T1049" s="5" t="n">
        <v>863</v>
      </c>
      <c r="U1049" s="5" t="s">
        <v>1678</v>
      </c>
      <c r="V1049" s="5" t="s">
        <v>1055</v>
      </c>
      <c r="W1049" s="5"/>
      <c r="X1049" s="15" t="s">
        <v>1677</v>
      </c>
      <c r="Y1049" s="5"/>
    </row>
    <row r="1050" customFormat="false" ht="15" hidden="false" customHeight="false" outlineLevel="0" collapsed="false">
      <c r="A1050" s="5" t="s">
        <v>10685</v>
      </c>
      <c r="B1050" s="5" t="s">
        <v>1142</v>
      </c>
      <c r="C1050" s="5" t="s">
        <v>252</v>
      </c>
      <c r="D1050" s="10" t="s">
        <v>137</v>
      </c>
      <c r="E1050" s="5" t="n">
        <v>3</v>
      </c>
      <c r="F1050" s="5" t="s">
        <v>10686</v>
      </c>
      <c r="G1050" s="13" t="s">
        <v>10687</v>
      </c>
      <c r="H1050" s="5" t="s">
        <v>10688</v>
      </c>
      <c r="I1050" s="13" t="s">
        <v>10689</v>
      </c>
      <c r="J1050" s="5" t="s">
        <v>10690</v>
      </c>
      <c r="K1050" s="5" t="s">
        <v>10691</v>
      </c>
      <c r="L1050" s="13" t="s">
        <v>3157</v>
      </c>
      <c r="M1050" s="13" t="s">
        <v>3158</v>
      </c>
      <c r="N1050" s="5" t="n">
        <f aca="false">LEN(L1050)</f>
        <v>25</v>
      </c>
      <c r="O1050" s="5" t="n">
        <f aca="false">LEN(M1050)</f>
        <v>25</v>
      </c>
      <c r="P1050" s="14" t="n">
        <f aca="false">IF(N1050=0,"",(N1050-LEN(SUBSTITUTE(SUBSTITUTE(L1050,"G",""),"C","")))/N1050)</f>
        <v>0.52</v>
      </c>
      <c r="Q1050" s="14" t="n">
        <f aca="false">IF(O1050=0,"",(O1050-LEN(SUBSTITUTE(SUBSTITUTE(M1050,"G",""),"C","")))/O1050)</f>
        <v>0.48</v>
      </c>
      <c r="R1050" s="5" t="s">
        <v>256</v>
      </c>
      <c r="S1050" s="15" t="s">
        <v>1677</v>
      </c>
      <c r="T1050" s="5" t="n">
        <v>995</v>
      </c>
      <c r="U1050" s="5" t="s">
        <v>1678</v>
      </c>
      <c r="V1050" s="5" t="s">
        <v>1055</v>
      </c>
      <c r="W1050" s="5"/>
      <c r="X1050" s="15" t="s">
        <v>1677</v>
      </c>
      <c r="Y1050" s="5"/>
    </row>
    <row r="1051" customFormat="false" ht="15" hidden="false" customHeight="false" outlineLevel="0" collapsed="false">
      <c r="A1051" s="5" t="s">
        <v>10692</v>
      </c>
      <c r="B1051" s="5" t="s">
        <v>1142</v>
      </c>
      <c r="C1051" s="5" t="s">
        <v>252</v>
      </c>
      <c r="D1051" s="10" t="s">
        <v>137</v>
      </c>
      <c r="E1051" s="5" t="n">
        <v>4</v>
      </c>
      <c r="F1051" s="5" t="s">
        <v>10693</v>
      </c>
      <c r="G1051" s="13" t="s">
        <v>10694</v>
      </c>
      <c r="H1051" s="5" t="s">
        <v>10695</v>
      </c>
      <c r="I1051" s="13" t="s">
        <v>10696</v>
      </c>
      <c r="J1051" s="5" t="s">
        <v>10697</v>
      </c>
      <c r="K1051" s="5" t="s">
        <v>10698</v>
      </c>
      <c r="L1051" s="13" t="s">
        <v>3166</v>
      </c>
      <c r="M1051" s="13" t="s">
        <v>3167</v>
      </c>
      <c r="N1051" s="5" t="n">
        <f aca="false">LEN(L1051)</f>
        <v>25</v>
      </c>
      <c r="O1051" s="5" t="n">
        <f aca="false">LEN(M1051)</f>
        <v>25</v>
      </c>
      <c r="P1051" s="14" t="n">
        <f aca="false">IF(N1051=0,"",(N1051-LEN(SUBSTITUTE(SUBSTITUTE(L1051,"G",""),"C","")))/N1051)</f>
        <v>0.6</v>
      </c>
      <c r="Q1051" s="14" t="n">
        <f aca="false">IF(O1051=0,"",(O1051-LEN(SUBSTITUTE(SUBSTITUTE(M1051,"G",""),"C","")))/O1051)</f>
        <v>0.88</v>
      </c>
      <c r="R1051" s="5" t="s">
        <v>256</v>
      </c>
      <c r="S1051" s="8" t="s">
        <v>1769</v>
      </c>
      <c r="T1051" s="5" t="n">
        <v>1114</v>
      </c>
      <c r="U1051" s="5" t="s">
        <v>2986</v>
      </c>
      <c r="V1051" s="5" t="s">
        <v>1055</v>
      </c>
      <c r="W1051" s="5"/>
      <c r="X1051" s="8" t="s">
        <v>1769</v>
      </c>
      <c r="Y1051" s="8" t="s">
        <v>10699</v>
      </c>
    </row>
    <row r="1052" customFormat="false" ht="15" hidden="false" customHeight="false" outlineLevel="0" collapsed="false">
      <c r="A1052" s="5" t="s">
        <v>10700</v>
      </c>
      <c r="B1052" s="5" t="s">
        <v>1142</v>
      </c>
      <c r="C1052" s="5" t="s">
        <v>252</v>
      </c>
      <c r="D1052" s="10" t="s">
        <v>137</v>
      </c>
      <c r="E1052" s="5" t="n">
        <v>5</v>
      </c>
      <c r="F1052" s="5" t="s">
        <v>10701</v>
      </c>
      <c r="G1052" s="13" t="s">
        <v>10702</v>
      </c>
      <c r="H1052" s="5" t="s">
        <v>10703</v>
      </c>
      <c r="I1052" s="13" t="s">
        <v>10704</v>
      </c>
      <c r="J1052" s="5" t="s">
        <v>10705</v>
      </c>
      <c r="K1052" s="5" t="s">
        <v>10706</v>
      </c>
      <c r="L1052" s="13" t="s">
        <v>3176</v>
      </c>
      <c r="M1052" s="13" t="s">
        <v>3177</v>
      </c>
      <c r="N1052" s="5" t="n">
        <f aca="false">LEN(L1052)</f>
        <v>25</v>
      </c>
      <c r="O1052" s="5" t="n">
        <f aca="false">LEN(M1052)</f>
        <v>25</v>
      </c>
      <c r="P1052" s="14" t="n">
        <f aca="false">IF(N1052=0,"",(N1052-LEN(SUBSTITUTE(SUBSTITUTE(L1052,"G",""),"C","")))/N1052)</f>
        <v>0.6</v>
      </c>
      <c r="Q1052" s="14" t="n">
        <f aca="false">IF(O1052=0,"",(O1052-LEN(SUBSTITUTE(SUBSTITUTE(M1052,"G",""),"C","")))/O1052)</f>
        <v>0.68</v>
      </c>
      <c r="R1052" s="5" t="s">
        <v>256</v>
      </c>
      <c r="S1052" s="15" t="s">
        <v>1677</v>
      </c>
      <c r="T1052" s="5" t="n">
        <v>1178</v>
      </c>
      <c r="U1052" s="5" t="s">
        <v>1678</v>
      </c>
      <c r="V1052" s="5" t="s">
        <v>1055</v>
      </c>
      <c r="W1052" s="5"/>
      <c r="X1052" s="15" t="s">
        <v>1677</v>
      </c>
      <c r="Y1052" s="5"/>
    </row>
    <row r="1053" customFormat="false" ht="15" hidden="false" customHeight="false" outlineLevel="0" collapsed="false">
      <c r="A1053" s="5" t="s">
        <v>10707</v>
      </c>
      <c r="B1053" s="5" t="s">
        <v>1142</v>
      </c>
      <c r="C1053" s="5" t="s">
        <v>252</v>
      </c>
      <c r="D1053" s="10" t="s">
        <v>137</v>
      </c>
      <c r="E1053" s="5" t="n">
        <v>6</v>
      </c>
      <c r="F1053" s="5" t="s">
        <v>10708</v>
      </c>
      <c r="G1053" s="13" t="s">
        <v>10709</v>
      </c>
      <c r="H1053" s="5" t="s">
        <v>10710</v>
      </c>
      <c r="I1053" s="13" t="s">
        <v>10711</v>
      </c>
      <c r="J1053" s="5" t="s">
        <v>10712</v>
      </c>
      <c r="K1053" s="5" t="s">
        <v>10713</v>
      </c>
      <c r="L1053" s="13" t="s">
        <v>3185</v>
      </c>
      <c r="M1053" s="13" t="s">
        <v>3186</v>
      </c>
      <c r="N1053" s="5" t="n">
        <f aca="false">LEN(L1053)</f>
        <v>25</v>
      </c>
      <c r="O1053" s="5" t="n">
        <f aca="false">LEN(M1053)</f>
        <v>25</v>
      </c>
      <c r="P1053" s="14" t="n">
        <f aca="false">IF(N1053=0,"",(N1053-LEN(SUBSTITUTE(SUBSTITUTE(L1053,"G",""),"C","")))/N1053)</f>
        <v>0.64</v>
      </c>
      <c r="Q1053" s="14" t="n">
        <f aca="false">IF(O1053=0,"",(O1053-LEN(SUBSTITUTE(SUBSTITUTE(M1053,"G",""),"C","")))/O1053)</f>
        <v>0.6</v>
      </c>
      <c r="R1053" s="5" t="s">
        <v>256</v>
      </c>
      <c r="S1053" s="15" t="s">
        <v>1677</v>
      </c>
      <c r="T1053" s="5" t="n">
        <v>1240</v>
      </c>
      <c r="U1053" s="5" t="s">
        <v>1678</v>
      </c>
      <c r="V1053" s="5" t="s">
        <v>1055</v>
      </c>
      <c r="W1053" s="5"/>
      <c r="X1053" s="15" t="s">
        <v>1677</v>
      </c>
      <c r="Y1053" s="5"/>
    </row>
    <row r="1054" customFormat="false" ht="15" hidden="false" customHeight="false" outlineLevel="0" collapsed="false">
      <c r="A1054" s="5" t="s">
        <v>10714</v>
      </c>
      <c r="B1054" s="5" t="s">
        <v>1143</v>
      </c>
      <c r="C1054" s="5" t="s">
        <v>1144</v>
      </c>
      <c r="D1054" s="10" t="s">
        <v>137</v>
      </c>
      <c r="E1054" s="5" t="n">
        <v>1</v>
      </c>
      <c r="F1054" s="5" t="s">
        <v>10715</v>
      </c>
      <c r="G1054" s="13" t="s">
        <v>10716</v>
      </c>
      <c r="H1054" s="5" t="s">
        <v>10717</v>
      </c>
      <c r="I1054" s="13" t="s">
        <v>10718</v>
      </c>
      <c r="J1054" s="5" t="s">
        <v>10719</v>
      </c>
      <c r="K1054" s="5" t="s">
        <v>10720</v>
      </c>
      <c r="L1054" s="13" t="s">
        <v>10721</v>
      </c>
      <c r="M1054" s="13" t="s">
        <v>10722</v>
      </c>
      <c r="N1054" s="5" t="n">
        <f aca="false">LEN(L1054)</f>
        <v>25</v>
      </c>
      <c r="O1054" s="5" t="n">
        <f aca="false">LEN(M1054)</f>
        <v>25</v>
      </c>
      <c r="P1054" s="14" t="n">
        <f aca="false">IF(N1054=0,"",(N1054-LEN(SUBSTITUTE(SUBSTITUTE(L1054,"G",""),"C","")))/N1054)</f>
        <v>0.36</v>
      </c>
      <c r="Q1054" s="14" t="n">
        <f aca="false">IF(O1054=0,"",(O1054-LEN(SUBSTITUTE(SUBSTITUTE(M1054,"G",""),"C","")))/O1054)</f>
        <v>0.56</v>
      </c>
      <c r="R1054" s="5" t="s">
        <v>1148</v>
      </c>
      <c r="S1054" s="15" t="s">
        <v>1677</v>
      </c>
      <c r="T1054" s="5" t="n">
        <v>146</v>
      </c>
      <c r="U1054" s="5" t="s">
        <v>1678</v>
      </c>
      <c r="V1054" s="5" t="s">
        <v>1055</v>
      </c>
      <c r="W1054" s="5"/>
      <c r="X1054" s="15" t="s">
        <v>1677</v>
      </c>
      <c r="Y1054" s="5"/>
    </row>
    <row r="1055" customFormat="false" ht="15" hidden="false" customHeight="false" outlineLevel="0" collapsed="false">
      <c r="A1055" s="5" t="s">
        <v>10723</v>
      </c>
      <c r="B1055" s="5" t="s">
        <v>1143</v>
      </c>
      <c r="C1055" s="5" t="s">
        <v>1144</v>
      </c>
      <c r="D1055" s="10" t="s">
        <v>137</v>
      </c>
      <c r="E1055" s="5" t="n">
        <v>2</v>
      </c>
      <c r="F1055" s="5" t="s">
        <v>10724</v>
      </c>
      <c r="G1055" s="13" t="s">
        <v>10725</v>
      </c>
      <c r="H1055" s="5" t="s">
        <v>10726</v>
      </c>
      <c r="I1055" s="13" t="s">
        <v>10727</v>
      </c>
      <c r="J1055" s="5" t="s">
        <v>10728</v>
      </c>
      <c r="K1055" s="5" t="s">
        <v>10729</v>
      </c>
      <c r="L1055" s="13" t="s">
        <v>10730</v>
      </c>
      <c r="M1055" s="13" t="s">
        <v>10731</v>
      </c>
      <c r="N1055" s="5" t="n">
        <f aca="false">LEN(L1055)</f>
        <v>25</v>
      </c>
      <c r="O1055" s="5" t="n">
        <f aca="false">LEN(M1055)</f>
        <v>25</v>
      </c>
      <c r="P1055" s="14" t="n">
        <f aca="false">IF(N1055=0,"",(N1055-LEN(SUBSTITUTE(SUBSTITUTE(L1055,"G",""),"C","")))/N1055)</f>
        <v>0.36</v>
      </c>
      <c r="Q1055" s="14" t="n">
        <f aca="false">IF(O1055=0,"",(O1055-LEN(SUBSTITUTE(SUBSTITUTE(M1055,"G",""),"C","")))/O1055)</f>
        <v>0.48</v>
      </c>
      <c r="R1055" s="5" t="s">
        <v>1148</v>
      </c>
      <c r="S1055" s="15" t="s">
        <v>1677</v>
      </c>
      <c r="T1055" s="5" t="n">
        <v>216</v>
      </c>
      <c r="U1055" s="5" t="s">
        <v>1678</v>
      </c>
      <c r="V1055" s="5" t="s">
        <v>1055</v>
      </c>
      <c r="W1055" s="5"/>
      <c r="X1055" s="15" t="s">
        <v>1677</v>
      </c>
      <c r="Y1055" s="5"/>
    </row>
    <row r="1056" customFormat="false" ht="15" hidden="false" customHeight="false" outlineLevel="0" collapsed="false">
      <c r="A1056" s="5" t="s">
        <v>10732</v>
      </c>
      <c r="B1056" s="5" t="s">
        <v>1143</v>
      </c>
      <c r="C1056" s="5" t="s">
        <v>1144</v>
      </c>
      <c r="D1056" s="10" t="s">
        <v>137</v>
      </c>
      <c r="E1056" s="5" t="n">
        <v>3</v>
      </c>
      <c r="F1056" s="5" t="s">
        <v>10733</v>
      </c>
      <c r="G1056" s="13" t="s">
        <v>10734</v>
      </c>
      <c r="H1056" s="5" t="s">
        <v>10735</v>
      </c>
      <c r="I1056" s="13" t="s">
        <v>10736</v>
      </c>
      <c r="J1056" s="5" t="s">
        <v>10737</v>
      </c>
      <c r="K1056" s="5" t="s">
        <v>10738</v>
      </c>
      <c r="L1056" s="13" t="s">
        <v>10739</v>
      </c>
      <c r="M1056" s="13" t="s">
        <v>10740</v>
      </c>
      <c r="N1056" s="5" t="n">
        <f aca="false">LEN(L1056)</f>
        <v>25</v>
      </c>
      <c r="O1056" s="5" t="n">
        <f aca="false">LEN(M1056)</f>
        <v>25</v>
      </c>
      <c r="P1056" s="14" t="n">
        <f aca="false">IF(N1056=0,"",(N1056-LEN(SUBSTITUTE(SUBSTITUTE(L1056,"G",""),"C","")))/N1056)</f>
        <v>0.48</v>
      </c>
      <c r="Q1056" s="14" t="n">
        <f aca="false">IF(O1056=0,"",(O1056-LEN(SUBSTITUTE(SUBSTITUTE(M1056,"G",""),"C","")))/O1056)</f>
        <v>0.52</v>
      </c>
      <c r="R1056" s="5" t="s">
        <v>1148</v>
      </c>
      <c r="S1056" s="15" t="s">
        <v>1677</v>
      </c>
      <c r="T1056" s="5" t="n">
        <v>286</v>
      </c>
      <c r="U1056" s="5" t="s">
        <v>1678</v>
      </c>
      <c r="V1056" s="5" t="s">
        <v>1055</v>
      </c>
      <c r="W1056" s="5"/>
      <c r="X1056" s="15" t="s">
        <v>1677</v>
      </c>
      <c r="Y1056" s="5"/>
    </row>
    <row r="1057" customFormat="false" ht="15" hidden="false" customHeight="false" outlineLevel="0" collapsed="false">
      <c r="A1057" s="5" t="s">
        <v>10741</v>
      </c>
      <c r="B1057" s="5" t="s">
        <v>1143</v>
      </c>
      <c r="C1057" s="5" t="s">
        <v>1144</v>
      </c>
      <c r="D1057" s="10" t="s">
        <v>137</v>
      </c>
      <c r="E1057" s="5" t="n">
        <v>4</v>
      </c>
      <c r="F1057" s="5" t="s">
        <v>10742</v>
      </c>
      <c r="G1057" s="13" t="s">
        <v>10743</v>
      </c>
      <c r="H1057" s="5" t="s">
        <v>10744</v>
      </c>
      <c r="I1057" s="13" t="s">
        <v>10745</v>
      </c>
      <c r="J1057" s="5" t="s">
        <v>10746</v>
      </c>
      <c r="K1057" s="5" t="s">
        <v>10747</v>
      </c>
      <c r="L1057" s="13" t="s">
        <v>10748</v>
      </c>
      <c r="M1057" s="13" t="s">
        <v>10749</v>
      </c>
      <c r="N1057" s="5" t="n">
        <f aca="false">LEN(L1057)</f>
        <v>25</v>
      </c>
      <c r="O1057" s="5" t="n">
        <f aca="false">LEN(M1057)</f>
        <v>25</v>
      </c>
      <c r="P1057" s="14" t="n">
        <f aca="false">IF(N1057=0,"",(N1057-LEN(SUBSTITUTE(SUBSTITUTE(L1057,"G",""),"C","")))/N1057)</f>
        <v>0.4</v>
      </c>
      <c r="Q1057" s="14" t="n">
        <f aca="false">IF(O1057=0,"",(O1057-LEN(SUBSTITUTE(SUBSTITUTE(M1057,"G",""),"C","")))/O1057)</f>
        <v>0.48</v>
      </c>
      <c r="R1057" s="5" t="s">
        <v>1148</v>
      </c>
      <c r="S1057" s="15" t="s">
        <v>1677</v>
      </c>
      <c r="T1057" s="5" t="n">
        <v>356</v>
      </c>
      <c r="U1057" s="5" t="s">
        <v>1678</v>
      </c>
      <c r="V1057" s="5" t="s">
        <v>1055</v>
      </c>
      <c r="W1057" s="5"/>
      <c r="X1057" s="15" t="s">
        <v>1677</v>
      </c>
      <c r="Y1057" s="5"/>
    </row>
    <row r="1058" customFormat="false" ht="15" hidden="false" customHeight="false" outlineLevel="0" collapsed="false">
      <c r="A1058" s="5" t="s">
        <v>10750</v>
      </c>
      <c r="B1058" s="5" t="s">
        <v>1143</v>
      </c>
      <c r="C1058" s="5" t="s">
        <v>1144</v>
      </c>
      <c r="D1058" s="10" t="s">
        <v>137</v>
      </c>
      <c r="E1058" s="5" t="n">
        <v>5</v>
      </c>
      <c r="F1058" s="5" t="s">
        <v>10751</v>
      </c>
      <c r="G1058" s="13" t="s">
        <v>10752</v>
      </c>
      <c r="H1058" s="5" t="s">
        <v>10753</v>
      </c>
      <c r="I1058" s="13" t="s">
        <v>10754</v>
      </c>
      <c r="J1058" s="5" t="s">
        <v>10755</v>
      </c>
      <c r="K1058" s="5" t="s">
        <v>10756</v>
      </c>
      <c r="L1058" s="13" t="s">
        <v>10757</v>
      </c>
      <c r="M1058" s="13" t="s">
        <v>10758</v>
      </c>
      <c r="N1058" s="5" t="n">
        <f aca="false">LEN(L1058)</f>
        <v>25</v>
      </c>
      <c r="O1058" s="5" t="n">
        <f aca="false">LEN(M1058)</f>
        <v>25</v>
      </c>
      <c r="P1058" s="14" t="n">
        <f aca="false">IF(N1058=0,"",(N1058-LEN(SUBSTITUTE(SUBSTITUTE(L1058,"G",""),"C","")))/N1058)</f>
        <v>0.56</v>
      </c>
      <c r="Q1058" s="14" t="n">
        <f aca="false">IF(O1058=0,"",(O1058-LEN(SUBSTITUTE(SUBSTITUTE(M1058,"G",""),"C","")))/O1058)</f>
        <v>0.36</v>
      </c>
      <c r="R1058" s="5" t="s">
        <v>1148</v>
      </c>
      <c r="S1058" s="15" t="s">
        <v>1677</v>
      </c>
      <c r="T1058" s="5" t="n">
        <v>426</v>
      </c>
      <c r="U1058" s="5" t="s">
        <v>1678</v>
      </c>
      <c r="V1058" s="5" t="s">
        <v>1055</v>
      </c>
      <c r="W1058" s="5"/>
      <c r="X1058" s="15" t="s">
        <v>1677</v>
      </c>
      <c r="Y1058" s="5"/>
    </row>
    <row r="1059" customFormat="false" ht="15" hidden="false" customHeight="false" outlineLevel="0" collapsed="false">
      <c r="A1059" s="5" t="s">
        <v>10759</v>
      </c>
      <c r="B1059" s="5" t="s">
        <v>1143</v>
      </c>
      <c r="C1059" s="5" t="s">
        <v>1144</v>
      </c>
      <c r="D1059" s="10" t="s">
        <v>137</v>
      </c>
      <c r="E1059" s="5" t="n">
        <v>6</v>
      </c>
      <c r="F1059" s="5" t="s">
        <v>10760</v>
      </c>
      <c r="G1059" s="13" t="s">
        <v>10761</v>
      </c>
      <c r="H1059" s="5" t="s">
        <v>10762</v>
      </c>
      <c r="I1059" s="13" t="s">
        <v>10763</v>
      </c>
      <c r="J1059" s="5" t="s">
        <v>10764</v>
      </c>
      <c r="K1059" s="5" t="s">
        <v>10765</v>
      </c>
      <c r="L1059" s="13" t="s">
        <v>10766</v>
      </c>
      <c r="M1059" s="13" t="s">
        <v>10767</v>
      </c>
      <c r="N1059" s="5" t="n">
        <f aca="false">LEN(L1059)</f>
        <v>25</v>
      </c>
      <c r="O1059" s="5" t="n">
        <f aca="false">LEN(M1059)</f>
        <v>25</v>
      </c>
      <c r="P1059" s="14" t="n">
        <f aca="false">IF(N1059=0,"",(N1059-LEN(SUBSTITUTE(SUBSTITUTE(L1059,"G",""),"C","")))/N1059)</f>
        <v>0.48</v>
      </c>
      <c r="Q1059" s="14" t="n">
        <f aca="false">IF(O1059=0,"",(O1059-LEN(SUBSTITUTE(SUBSTITUTE(M1059,"G",""),"C","")))/O1059)</f>
        <v>0.48</v>
      </c>
      <c r="R1059" s="5" t="s">
        <v>1148</v>
      </c>
      <c r="S1059" s="15" t="s">
        <v>1677</v>
      </c>
      <c r="T1059" s="5" t="n">
        <v>496</v>
      </c>
      <c r="U1059" s="5" t="s">
        <v>1678</v>
      </c>
      <c r="V1059" s="5" t="s">
        <v>1055</v>
      </c>
      <c r="W1059" s="5"/>
      <c r="X1059" s="15" t="s">
        <v>1677</v>
      </c>
      <c r="Y1059" s="5"/>
    </row>
    <row r="1060" customFormat="false" ht="15" hidden="false" customHeight="false" outlineLevel="0" collapsed="false">
      <c r="A1060" s="5" t="s">
        <v>10768</v>
      </c>
      <c r="B1060" s="5" t="s">
        <v>1150</v>
      </c>
      <c r="C1060" s="5" t="s">
        <v>1151</v>
      </c>
      <c r="D1060" s="10" t="s">
        <v>137</v>
      </c>
      <c r="E1060" s="5" t="n">
        <v>1</v>
      </c>
      <c r="F1060" s="5" t="s">
        <v>10769</v>
      </c>
      <c r="G1060" s="13" t="s">
        <v>10770</v>
      </c>
      <c r="H1060" s="5" t="s">
        <v>10771</v>
      </c>
      <c r="I1060" s="13" t="s">
        <v>10772</v>
      </c>
      <c r="J1060" s="5" t="s">
        <v>10773</v>
      </c>
      <c r="K1060" s="5" t="s">
        <v>10774</v>
      </c>
      <c r="L1060" s="13" t="s">
        <v>10775</v>
      </c>
      <c r="M1060" s="13" t="s">
        <v>10776</v>
      </c>
      <c r="N1060" s="5" t="n">
        <f aca="false">LEN(L1060)</f>
        <v>25</v>
      </c>
      <c r="O1060" s="5" t="n">
        <f aca="false">LEN(M1060)</f>
        <v>25</v>
      </c>
      <c r="P1060" s="14" t="n">
        <f aca="false">IF(N1060=0,"",(N1060-LEN(SUBSTITUTE(SUBSTITUTE(L1060,"G",""),"C","")))/N1060)</f>
        <v>0.68</v>
      </c>
      <c r="Q1060" s="14" t="n">
        <f aca="false">IF(O1060=0,"",(O1060-LEN(SUBSTITUTE(SUBSTITUTE(M1060,"G",""),"C","")))/O1060)</f>
        <v>0.64</v>
      </c>
      <c r="R1060" s="5" t="s">
        <v>1155</v>
      </c>
      <c r="S1060" s="15" t="s">
        <v>1677</v>
      </c>
      <c r="T1060" s="5" t="n">
        <v>216</v>
      </c>
      <c r="U1060" s="5" t="s">
        <v>1678</v>
      </c>
      <c r="V1060" s="5" t="s">
        <v>1055</v>
      </c>
      <c r="W1060" s="5"/>
      <c r="X1060" s="15" t="s">
        <v>1677</v>
      </c>
      <c r="Y1060" s="5"/>
    </row>
    <row r="1061" customFormat="false" ht="15" hidden="false" customHeight="false" outlineLevel="0" collapsed="false">
      <c r="A1061" s="5" t="s">
        <v>10777</v>
      </c>
      <c r="B1061" s="5" t="s">
        <v>1150</v>
      </c>
      <c r="C1061" s="5" t="s">
        <v>1151</v>
      </c>
      <c r="D1061" s="10" t="s">
        <v>137</v>
      </c>
      <c r="E1061" s="5" t="n">
        <v>2</v>
      </c>
      <c r="F1061" s="5" t="s">
        <v>10778</v>
      </c>
      <c r="G1061" s="13" t="s">
        <v>10779</v>
      </c>
      <c r="H1061" s="5" t="s">
        <v>10780</v>
      </c>
      <c r="I1061" s="13" t="s">
        <v>10781</v>
      </c>
      <c r="J1061" s="5" t="s">
        <v>10782</v>
      </c>
      <c r="K1061" s="5" t="s">
        <v>10783</v>
      </c>
      <c r="L1061" s="13" t="s">
        <v>10784</v>
      </c>
      <c r="M1061" s="13" t="s">
        <v>10785</v>
      </c>
      <c r="N1061" s="5" t="n">
        <f aca="false">LEN(L1061)</f>
        <v>25</v>
      </c>
      <c r="O1061" s="5" t="n">
        <f aca="false">LEN(M1061)</f>
        <v>25</v>
      </c>
      <c r="P1061" s="14" t="n">
        <f aca="false">IF(N1061=0,"",(N1061-LEN(SUBSTITUTE(SUBSTITUTE(L1061,"G",""),"C","")))/N1061)</f>
        <v>0.56</v>
      </c>
      <c r="Q1061" s="14" t="n">
        <f aca="false">IF(O1061=0,"",(O1061-LEN(SUBSTITUTE(SUBSTITUTE(M1061,"G",""),"C","")))/O1061)</f>
        <v>0.52</v>
      </c>
      <c r="R1061" s="5" t="s">
        <v>1155</v>
      </c>
      <c r="S1061" s="15" t="s">
        <v>1677</v>
      </c>
      <c r="T1061" s="5" t="n">
        <v>286</v>
      </c>
      <c r="U1061" s="5" t="s">
        <v>1678</v>
      </c>
      <c r="V1061" s="5" t="s">
        <v>1055</v>
      </c>
      <c r="W1061" s="5"/>
      <c r="X1061" s="15" t="s">
        <v>1677</v>
      </c>
      <c r="Y1061" s="5"/>
    </row>
    <row r="1062" customFormat="false" ht="15" hidden="false" customHeight="false" outlineLevel="0" collapsed="false">
      <c r="A1062" s="5" t="s">
        <v>10786</v>
      </c>
      <c r="B1062" s="5" t="s">
        <v>1150</v>
      </c>
      <c r="C1062" s="5" t="s">
        <v>1151</v>
      </c>
      <c r="D1062" s="10" t="s">
        <v>137</v>
      </c>
      <c r="E1062" s="5" t="n">
        <v>3</v>
      </c>
      <c r="F1062" s="5" t="s">
        <v>10787</v>
      </c>
      <c r="G1062" s="13" t="s">
        <v>10788</v>
      </c>
      <c r="H1062" s="5" t="s">
        <v>10789</v>
      </c>
      <c r="I1062" s="13" t="s">
        <v>10790</v>
      </c>
      <c r="J1062" s="5" t="s">
        <v>10791</v>
      </c>
      <c r="K1062" s="5" t="s">
        <v>10792</v>
      </c>
      <c r="L1062" s="13" t="s">
        <v>10793</v>
      </c>
      <c r="M1062" s="13" t="s">
        <v>10794</v>
      </c>
      <c r="N1062" s="5" t="n">
        <f aca="false">LEN(L1062)</f>
        <v>25</v>
      </c>
      <c r="O1062" s="5" t="n">
        <f aca="false">LEN(M1062)</f>
        <v>25</v>
      </c>
      <c r="P1062" s="14" t="n">
        <f aca="false">IF(N1062=0,"",(N1062-LEN(SUBSTITUTE(SUBSTITUTE(L1062,"G",""),"C","")))/N1062)</f>
        <v>0.36</v>
      </c>
      <c r="Q1062" s="14" t="n">
        <f aca="false">IF(O1062=0,"",(O1062-LEN(SUBSTITUTE(SUBSTITUTE(M1062,"G",""),"C","")))/O1062)</f>
        <v>0.44</v>
      </c>
      <c r="R1062" s="5" t="s">
        <v>1155</v>
      </c>
      <c r="S1062" s="15" t="s">
        <v>1677</v>
      </c>
      <c r="T1062" s="5" t="n">
        <v>356</v>
      </c>
      <c r="U1062" s="5" t="s">
        <v>1678</v>
      </c>
      <c r="V1062" s="5" t="s">
        <v>1055</v>
      </c>
      <c r="W1062" s="5"/>
      <c r="X1062" s="15" t="s">
        <v>1677</v>
      </c>
      <c r="Y1062" s="5"/>
    </row>
    <row r="1063" customFormat="false" ht="15" hidden="false" customHeight="false" outlineLevel="0" collapsed="false">
      <c r="A1063" s="5" t="s">
        <v>10795</v>
      </c>
      <c r="B1063" s="5" t="s">
        <v>1150</v>
      </c>
      <c r="C1063" s="5" t="s">
        <v>1151</v>
      </c>
      <c r="D1063" s="10" t="s">
        <v>137</v>
      </c>
      <c r="E1063" s="5" t="n">
        <v>4</v>
      </c>
      <c r="F1063" s="5" t="s">
        <v>10796</v>
      </c>
      <c r="G1063" s="13" t="s">
        <v>10797</v>
      </c>
      <c r="H1063" s="5" t="s">
        <v>10798</v>
      </c>
      <c r="I1063" s="13" t="s">
        <v>10799</v>
      </c>
      <c r="J1063" s="5" t="s">
        <v>10800</v>
      </c>
      <c r="K1063" s="5" t="s">
        <v>10801</v>
      </c>
      <c r="L1063" s="13" t="s">
        <v>10802</v>
      </c>
      <c r="M1063" s="13" t="s">
        <v>10803</v>
      </c>
      <c r="N1063" s="5" t="n">
        <f aca="false">LEN(L1063)</f>
        <v>25</v>
      </c>
      <c r="O1063" s="5" t="n">
        <f aca="false">LEN(M1063)</f>
        <v>25</v>
      </c>
      <c r="P1063" s="14" t="n">
        <f aca="false">IF(N1063=0,"",(N1063-LEN(SUBSTITUTE(SUBSTITUTE(L1063,"G",""),"C","")))/N1063)</f>
        <v>0.72</v>
      </c>
      <c r="Q1063" s="14" t="n">
        <f aca="false">IF(O1063=0,"",(O1063-LEN(SUBSTITUTE(SUBSTITUTE(M1063,"G",""),"C","")))/O1063)</f>
        <v>0.8</v>
      </c>
      <c r="R1063" s="5" t="s">
        <v>1155</v>
      </c>
      <c r="S1063" s="15" t="s">
        <v>1677</v>
      </c>
      <c r="T1063" s="5" t="n">
        <v>426</v>
      </c>
      <c r="U1063" s="5" t="s">
        <v>1678</v>
      </c>
      <c r="V1063" s="5" t="s">
        <v>1055</v>
      </c>
      <c r="W1063" s="5"/>
      <c r="X1063" s="15" t="s">
        <v>1677</v>
      </c>
      <c r="Y1063" s="5"/>
    </row>
    <row r="1064" customFormat="false" ht="15" hidden="false" customHeight="false" outlineLevel="0" collapsed="false">
      <c r="A1064" s="5" t="s">
        <v>10804</v>
      </c>
      <c r="B1064" s="5" t="s">
        <v>1150</v>
      </c>
      <c r="C1064" s="5" t="s">
        <v>1151</v>
      </c>
      <c r="D1064" s="10" t="s">
        <v>137</v>
      </c>
      <c r="E1064" s="5" t="n">
        <v>5</v>
      </c>
      <c r="F1064" s="5" t="s">
        <v>10805</v>
      </c>
      <c r="G1064" s="13" t="s">
        <v>10806</v>
      </c>
      <c r="H1064" s="5" t="s">
        <v>10807</v>
      </c>
      <c r="I1064" s="13" t="s">
        <v>10808</v>
      </c>
      <c r="J1064" s="5" t="s">
        <v>10809</v>
      </c>
      <c r="K1064" s="5" t="s">
        <v>10810</v>
      </c>
      <c r="L1064" s="13" t="s">
        <v>10811</v>
      </c>
      <c r="M1064" s="13" t="s">
        <v>10812</v>
      </c>
      <c r="N1064" s="5" t="n">
        <f aca="false">LEN(L1064)</f>
        <v>25</v>
      </c>
      <c r="O1064" s="5" t="n">
        <f aca="false">LEN(M1064)</f>
        <v>25</v>
      </c>
      <c r="P1064" s="14" t="n">
        <f aca="false">IF(N1064=0,"",(N1064-LEN(SUBSTITUTE(SUBSTITUTE(L1064,"G",""),"C","")))/N1064)</f>
        <v>0.68</v>
      </c>
      <c r="Q1064" s="14" t="n">
        <f aca="false">IF(O1064=0,"",(O1064-LEN(SUBSTITUTE(SUBSTITUTE(M1064,"G",""),"C","")))/O1064)</f>
        <v>0.6</v>
      </c>
      <c r="R1064" s="5" t="s">
        <v>1155</v>
      </c>
      <c r="S1064" s="15" t="s">
        <v>1677</v>
      </c>
      <c r="T1064" s="5" t="n">
        <v>496</v>
      </c>
      <c r="U1064" s="5" t="s">
        <v>1678</v>
      </c>
      <c r="V1064" s="5" t="s">
        <v>1055</v>
      </c>
      <c r="W1064" s="5"/>
      <c r="X1064" s="15" t="s">
        <v>1677</v>
      </c>
      <c r="Y1064" s="5"/>
    </row>
    <row r="1065" customFormat="false" ht="15" hidden="false" customHeight="false" outlineLevel="0" collapsed="false">
      <c r="A1065" s="5" t="s">
        <v>10813</v>
      </c>
      <c r="B1065" s="5" t="s">
        <v>1150</v>
      </c>
      <c r="C1065" s="5" t="s">
        <v>1151</v>
      </c>
      <c r="D1065" s="10" t="s">
        <v>137</v>
      </c>
      <c r="E1065" s="5" t="n">
        <v>6</v>
      </c>
      <c r="F1065" s="5" t="s">
        <v>10814</v>
      </c>
      <c r="G1065" s="13" t="s">
        <v>10815</v>
      </c>
      <c r="H1065" s="5" t="s">
        <v>10816</v>
      </c>
      <c r="I1065" s="13" t="s">
        <v>10817</v>
      </c>
      <c r="J1065" s="5" t="s">
        <v>10818</v>
      </c>
      <c r="K1065" s="5" t="s">
        <v>10819</v>
      </c>
      <c r="L1065" s="13" t="s">
        <v>10820</v>
      </c>
      <c r="M1065" s="13" t="s">
        <v>10821</v>
      </c>
      <c r="N1065" s="5" t="n">
        <f aca="false">LEN(L1065)</f>
        <v>25</v>
      </c>
      <c r="O1065" s="5" t="n">
        <f aca="false">LEN(M1065)</f>
        <v>25</v>
      </c>
      <c r="P1065" s="14" t="n">
        <f aca="false">IF(N1065=0,"",(N1065-LEN(SUBSTITUTE(SUBSTITUTE(L1065,"G",""),"C","")))/N1065)</f>
        <v>0.56</v>
      </c>
      <c r="Q1065" s="14" t="n">
        <f aca="false">IF(O1065=0,"",(O1065-LEN(SUBSTITUTE(SUBSTITUTE(M1065,"G",""),"C","")))/O1065)</f>
        <v>0.8</v>
      </c>
      <c r="R1065" s="5" t="s">
        <v>1155</v>
      </c>
      <c r="S1065" s="15" t="s">
        <v>1677</v>
      </c>
      <c r="T1065" s="5" t="n">
        <v>566</v>
      </c>
      <c r="U1065" s="5" t="s">
        <v>1678</v>
      </c>
      <c r="V1065" s="5" t="s">
        <v>1055</v>
      </c>
      <c r="W1065" s="5"/>
      <c r="X1065" s="15" t="s">
        <v>1677</v>
      </c>
      <c r="Y1065" s="5"/>
    </row>
    <row r="1066" customFormat="false" ht="15" hidden="false" customHeight="false" outlineLevel="0" collapsed="false">
      <c r="A1066" s="5" t="s">
        <v>10822</v>
      </c>
      <c r="B1066" s="5" t="s">
        <v>1157</v>
      </c>
      <c r="C1066" s="5" t="s">
        <v>1158</v>
      </c>
      <c r="D1066" s="10" t="s">
        <v>137</v>
      </c>
      <c r="E1066" s="5" t="n">
        <v>1</v>
      </c>
      <c r="F1066" s="5" t="s">
        <v>10823</v>
      </c>
      <c r="G1066" s="13" t="s">
        <v>10824</v>
      </c>
      <c r="H1066" s="5" t="s">
        <v>10825</v>
      </c>
      <c r="I1066" s="13" t="s">
        <v>10826</v>
      </c>
      <c r="J1066" s="5" t="s">
        <v>10827</v>
      </c>
      <c r="K1066" s="5" t="s">
        <v>10828</v>
      </c>
      <c r="L1066" s="13" t="s">
        <v>10829</v>
      </c>
      <c r="M1066" s="13" t="s">
        <v>10830</v>
      </c>
      <c r="N1066" s="5" t="n">
        <f aca="false">LEN(L1066)</f>
        <v>25</v>
      </c>
      <c r="O1066" s="5" t="n">
        <f aca="false">LEN(M1066)</f>
        <v>25</v>
      </c>
      <c r="P1066" s="14" t="n">
        <f aca="false">IF(N1066=0,"",(N1066-LEN(SUBSTITUTE(SUBSTITUTE(L1066,"G",""),"C","")))/N1066)</f>
        <v>0.52</v>
      </c>
      <c r="Q1066" s="14" t="n">
        <f aca="false">IF(O1066=0,"",(O1066-LEN(SUBSTITUTE(SUBSTITUTE(M1066,"G",""),"C","")))/O1066)</f>
        <v>0.36</v>
      </c>
      <c r="R1066" s="5" t="s">
        <v>1162</v>
      </c>
      <c r="S1066" s="15" t="s">
        <v>1677</v>
      </c>
      <c r="T1066" s="5" t="n">
        <v>216</v>
      </c>
      <c r="U1066" s="5" t="s">
        <v>1678</v>
      </c>
      <c r="V1066" s="5" t="s">
        <v>1055</v>
      </c>
      <c r="W1066" s="5"/>
      <c r="X1066" s="15" t="s">
        <v>1677</v>
      </c>
      <c r="Y1066" s="5"/>
    </row>
    <row r="1067" customFormat="false" ht="15" hidden="false" customHeight="false" outlineLevel="0" collapsed="false">
      <c r="A1067" s="5" t="s">
        <v>10831</v>
      </c>
      <c r="B1067" s="5" t="s">
        <v>1157</v>
      </c>
      <c r="C1067" s="5" t="s">
        <v>1158</v>
      </c>
      <c r="D1067" s="10" t="s">
        <v>137</v>
      </c>
      <c r="E1067" s="5" t="n">
        <v>2</v>
      </c>
      <c r="F1067" s="5" t="s">
        <v>10832</v>
      </c>
      <c r="G1067" s="13" t="s">
        <v>10833</v>
      </c>
      <c r="H1067" s="5" t="s">
        <v>10834</v>
      </c>
      <c r="I1067" s="13" t="s">
        <v>10835</v>
      </c>
      <c r="J1067" s="5" t="s">
        <v>10836</v>
      </c>
      <c r="K1067" s="5" t="s">
        <v>10837</v>
      </c>
      <c r="L1067" s="13" t="s">
        <v>10838</v>
      </c>
      <c r="M1067" s="13" t="s">
        <v>10839</v>
      </c>
      <c r="N1067" s="5" t="n">
        <f aca="false">LEN(L1067)</f>
        <v>25</v>
      </c>
      <c r="O1067" s="5" t="n">
        <f aca="false">LEN(M1067)</f>
        <v>25</v>
      </c>
      <c r="P1067" s="14" t="n">
        <f aca="false">IF(N1067=0,"",(N1067-LEN(SUBSTITUTE(SUBSTITUTE(L1067,"G",""),"C","")))/N1067)</f>
        <v>0.44</v>
      </c>
      <c r="Q1067" s="14" t="n">
        <f aca="false">IF(O1067=0,"",(O1067-LEN(SUBSTITUTE(SUBSTITUTE(M1067,"G",""),"C","")))/O1067)</f>
        <v>0.44</v>
      </c>
      <c r="R1067" s="5" t="s">
        <v>1162</v>
      </c>
      <c r="S1067" s="15" t="s">
        <v>1677</v>
      </c>
      <c r="T1067" s="5" t="n">
        <v>286</v>
      </c>
      <c r="U1067" s="5" t="s">
        <v>1678</v>
      </c>
      <c r="V1067" s="5" t="s">
        <v>1055</v>
      </c>
      <c r="W1067" s="5"/>
      <c r="X1067" s="15" t="s">
        <v>1677</v>
      </c>
      <c r="Y1067" s="5"/>
    </row>
    <row r="1068" customFormat="false" ht="15" hidden="false" customHeight="false" outlineLevel="0" collapsed="false">
      <c r="A1068" s="5" t="s">
        <v>10840</v>
      </c>
      <c r="B1068" s="5" t="s">
        <v>1157</v>
      </c>
      <c r="C1068" s="5" t="s">
        <v>1158</v>
      </c>
      <c r="D1068" s="10" t="s">
        <v>137</v>
      </c>
      <c r="E1068" s="5" t="n">
        <v>3</v>
      </c>
      <c r="F1068" s="5" t="s">
        <v>10841</v>
      </c>
      <c r="G1068" s="13" t="s">
        <v>10842</v>
      </c>
      <c r="H1068" s="5" t="s">
        <v>10843</v>
      </c>
      <c r="I1068" s="13" t="s">
        <v>10844</v>
      </c>
      <c r="J1068" s="5" t="s">
        <v>10845</v>
      </c>
      <c r="K1068" s="5" t="s">
        <v>10846</v>
      </c>
      <c r="L1068" s="13" t="s">
        <v>10847</v>
      </c>
      <c r="M1068" s="13" t="s">
        <v>10848</v>
      </c>
      <c r="N1068" s="5" t="n">
        <f aca="false">LEN(L1068)</f>
        <v>25</v>
      </c>
      <c r="O1068" s="5" t="n">
        <f aca="false">LEN(M1068)</f>
        <v>25</v>
      </c>
      <c r="P1068" s="14" t="n">
        <f aca="false">IF(N1068=0,"",(N1068-LEN(SUBSTITUTE(SUBSTITUTE(L1068,"G",""),"C","")))/N1068)</f>
        <v>0.6</v>
      </c>
      <c r="Q1068" s="14" t="n">
        <f aca="false">IF(O1068=0,"",(O1068-LEN(SUBSTITUTE(SUBSTITUTE(M1068,"G",""),"C","")))/O1068)</f>
        <v>0.64</v>
      </c>
      <c r="R1068" s="5" t="s">
        <v>1162</v>
      </c>
      <c r="S1068" s="15" t="s">
        <v>1677</v>
      </c>
      <c r="T1068" s="5" t="n">
        <v>356</v>
      </c>
      <c r="U1068" s="5" t="s">
        <v>1678</v>
      </c>
      <c r="V1068" s="5" t="s">
        <v>1055</v>
      </c>
      <c r="W1068" s="5"/>
      <c r="X1068" s="15" t="s">
        <v>1677</v>
      </c>
      <c r="Y1068" s="5"/>
    </row>
    <row r="1069" customFormat="false" ht="15" hidden="false" customHeight="false" outlineLevel="0" collapsed="false">
      <c r="A1069" s="5" t="s">
        <v>10849</v>
      </c>
      <c r="B1069" s="5" t="s">
        <v>1157</v>
      </c>
      <c r="C1069" s="5" t="s">
        <v>1158</v>
      </c>
      <c r="D1069" s="10" t="s">
        <v>137</v>
      </c>
      <c r="E1069" s="5" t="n">
        <v>4</v>
      </c>
      <c r="F1069" s="5" t="s">
        <v>10850</v>
      </c>
      <c r="G1069" s="13" t="s">
        <v>10851</v>
      </c>
      <c r="H1069" s="5" t="s">
        <v>10852</v>
      </c>
      <c r="I1069" s="13" t="s">
        <v>10853</v>
      </c>
      <c r="J1069" s="5" t="s">
        <v>10854</v>
      </c>
      <c r="K1069" s="5" t="s">
        <v>10855</v>
      </c>
      <c r="L1069" s="13" t="s">
        <v>10856</v>
      </c>
      <c r="M1069" s="13" t="s">
        <v>10857</v>
      </c>
      <c r="N1069" s="5" t="n">
        <f aca="false">LEN(L1069)</f>
        <v>25</v>
      </c>
      <c r="O1069" s="5" t="n">
        <f aca="false">LEN(M1069)</f>
        <v>25</v>
      </c>
      <c r="P1069" s="14" t="n">
        <f aca="false">IF(N1069=0,"",(N1069-LEN(SUBSTITUTE(SUBSTITUTE(L1069,"G",""),"C","")))/N1069)</f>
        <v>0.8</v>
      </c>
      <c r="Q1069" s="14" t="n">
        <f aca="false">IF(O1069=0,"",(O1069-LEN(SUBSTITUTE(SUBSTITUTE(M1069,"G",""),"C","")))/O1069)</f>
        <v>0.72</v>
      </c>
      <c r="R1069" s="5" t="s">
        <v>1162</v>
      </c>
      <c r="S1069" s="15" t="s">
        <v>1677</v>
      </c>
      <c r="T1069" s="5" t="n">
        <v>426</v>
      </c>
      <c r="U1069" s="5" t="s">
        <v>1678</v>
      </c>
      <c r="V1069" s="5" t="s">
        <v>1055</v>
      </c>
      <c r="W1069" s="5"/>
      <c r="X1069" s="15" t="s">
        <v>1677</v>
      </c>
      <c r="Y1069" s="5"/>
    </row>
    <row r="1070" customFormat="false" ht="15" hidden="false" customHeight="false" outlineLevel="0" collapsed="false">
      <c r="A1070" s="5" t="s">
        <v>10858</v>
      </c>
      <c r="B1070" s="5" t="s">
        <v>1157</v>
      </c>
      <c r="C1070" s="5" t="s">
        <v>1158</v>
      </c>
      <c r="D1070" s="10" t="s">
        <v>137</v>
      </c>
      <c r="E1070" s="5" t="n">
        <v>5</v>
      </c>
      <c r="F1070" s="5" t="s">
        <v>10859</v>
      </c>
      <c r="G1070" s="13" t="s">
        <v>10860</v>
      </c>
      <c r="H1070" s="5" t="s">
        <v>10861</v>
      </c>
      <c r="I1070" s="13" t="s">
        <v>10862</v>
      </c>
      <c r="J1070" s="5" t="s">
        <v>10863</v>
      </c>
      <c r="K1070" s="5" t="s">
        <v>10864</v>
      </c>
      <c r="L1070" s="13" t="s">
        <v>10865</v>
      </c>
      <c r="M1070" s="13" t="s">
        <v>10866</v>
      </c>
      <c r="N1070" s="5" t="n">
        <f aca="false">LEN(L1070)</f>
        <v>25</v>
      </c>
      <c r="O1070" s="5" t="n">
        <f aca="false">LEN(M1070)</f>
        <v>25</v>
      </c>
      <c r="P1070" s="14" t="n">
        <f aca="false">IF(N1070=0,"",(N1070-LEN(SUBSTITUTE(SUBSTITUTE(L1070,"G",""),"C","")))/N1070)</f>
        <v>0.48</v>
      </c>
      <c r="Q1070" s="14" t="n">
        <f aca="false">IF(O1070=0,"",(O1070-LEN(SUBSTITUTE(SUBSTITUTE(M1070,"G",""),"C","")))/O1070)</f>
        <v>0.48</v>
      </c>
      <c r="R1070" s="5" t="s">
        <v>1162</v>
      </c>
      <c r="S1070" s="15" t="s">
        <v>1677</v>
      </c>
      <c r="T1070" s="5" t="n">
        <v>496</v>
      </c>
      <c r="U1070" s="5" t="s">
        <v>1678</v>
      </c>
      <c r="V1070" s="5" t="s">
        <v>1055</v>
      </c>
      <c r="W1070" s="5"/>
      <c r="X1070" s="15" t="s">
        <v>1677</v>
      </c>
      <c r="Y1070" s="5"/>
    </row>
    <row r="1071" customFormat="false" ht="15" hidden="false" customHeight="false" outlineLevel="0" collapsed="false">
      <c r="A1071" s="5" t="s">
        <v>10867</v>
      </c>
      <c r="B1071" s="5" t="s">
        <v>1157</v>
      </c>
      <c r="C1071" s="5" t="s">
        <v>1158</v>
      </c>
      <c r="D1071" s="10" t="s">
        <v>137</v>
      </c>
      <c r="E1071" s="5" t="n">
        <v>6</v>
      </c>
      <c r="F1071" s="5" t="s">
        <v>10868</v>
      </c>
      <c r="G1071" s="13" t="s">
        <v>10869</v>
      </c>
      <c r="H1071" s="5" t="s">
        <v>10870</v>
      </c>
      <c r="I1071" s="13" t="s">
        <v>10871</v>
      </c>
      <c r="J1071" s="5" t="s">
        <v>10872</v>
      </c>
      <c r="K1071" s="5" t="s">
        <v>10873</v>
      </c>
      <c r="L1071" s="13" t="s">
        <v>10874</v>
      </c>
      <c r="M1071" s="13" t="s">
        <v>10875</v>
      </c>
      <c r="N1071" s="5" t="n">
        <f aca="false">LEN(L1071)</f>
        <v>25</v>
      </c>
      <c r="O1071" s="5" t="n">
        <f aca="false">LEN(M1071)</f>
        <v>25</v>
      </c>
      <c r="P1071" s="14" t="n">
        <f aca="false">IF(N1071=0,"",(N1071-LEN(SUBSTITUTE(SUBSTITUTE(L1071,"G",""),"C","")))/N1071)</f>
        <v>0.6</v>
      </c>
      <c r="Q1071" s="14" t="n">
        <f aca="false">IF(O1071=0,"",(O1071-LEN(SUBSTITUTE(SUBSTITUTE(M1071,"G",""),"C","")))/O1071)</f>
        <v>0.52</v>
      </c>
      <c r="R1071" s="5" t="s">
        <v>1162</v>
      </c>
      <c r="S1071" s="15" t="s">
        <v>1677</v>
      </c>
      <c r="T1071" s="5" t="n">
        <v>566</v>
      </c>
      <c r="U1071" s="5" t="s">
        <v>1678</v>
      </c>
      <c r="V1071" s="5" t="s">
        <v>1055</v>
      </c>
      <c r="W1071" s="5"/>
      <c r="X1071" s="15" t="s">
        <v>1677</v>
      </c>
      <c r="Y1071" s="5"/>
    </row>
    <row r="1072" customFormat="false" ht="15" hidden="false" customHeight="false" outlineLevel="0" collapsed="false">
      <c r="A1072" s="5" t="s">
        <v>10876</v>
      </c>
      <c r="B1072" s="5" t="s">
        <v>1164</v>
      </c>
      <c r="C1072" s="5" t="s">
        <v>1165</v>
      </c>
      <c r="D1072" s="10" t="s">
        <v>137</v>
      </c>
      <c r="E1072" s="5" t="n">
        <v>1</v>
      </c>
      <c r="F1072" s="5" t="s">
        <v>10877</v>
      </c>
      <c r="G1072" s="13" t="s">
        <v>10878</v>
      </c>
      <c r="H1072" s="5" t="s">
        <v>10879</v>
      </c>
      <c r="I1072" s="13" t="s">
        <v>10880</v>
      </c>
      <c r="J1072" s="5" t="s">
        <v>10881</v>
      </c>
      <c r="K1072" s="5" t="s">
        <v>10882</v>
      </c>
      <c r="L1072" s="13" t="s">
        <v>10883</v>
      </c>
      <c r="M1072" s="13" t="s">
        <v>10884</v>
      </c>
      <c r="N1072" s="5" t="n">
        <f aca="false">LEN(L1072)</f>
        <v>25</v>
      </c>
      <c r="O1072" s="5" t="n">
        <f aca="false">LEN(M1072)</f>
        <v>25</v>
      </c>
      <c r="P1072" s="14" t="n">
        <f aca="false">IF(N1072=0,"",(N1072-LEN(SUBSTITUTE(SUBSTITUTE(L1072,"G",""),"C","")))/N1072)</f>
        <v>0.6</v>
      </c>
      <c r="Q1072" s="14" t="n">
        <f aca="false">IF(O1072=0,"",(O1072-LEN(SUBSTITUTE(SUBSTITUTE(M1072,"G",""),"C","")))/O1072)</f>
        <v>0.56</v>
      </c>
      <c r="R1072" s="5" t="s">
        <v>1169</v>
      </c>
      <c r="S1072" s="15" t="s">
        <v>1677</v>
      </c>
      <c r="T1072" s="5" t="n">
        <v>1</v>
      </c>
      <c r="U1072" s="5" t="s">
        <v>1678</v>
      </c>
      <c r="V1072" s="5" t="s">
        <v>5122</v>
      </c>
      <c r="W1072" s="5"/>
      <c r="X1072" s="15" t="s">
        <v>1677</v>
      </c>
      <c r="Y1072" s="5"/>
    </row>
    <row r="1073" customFormat="false" ht="15" hidden="false" customHeight="false" outlineLevel="0" collapsed="false">
      <c r="A1073" s="5" t="s">
        <v>10885</v>
      </c>
      <c r="B1073" s="5" t="s">
        <v>1164</v>
      </c>
      <c r="C1073" s="5" t="s">
        <v>1165</v>
      </c>
      <c r="D1073" s="10" t="s">
        <v>137</v>
      </c>
      <c r="E1073" s="5" t="n">
        <v>2</v>
      </c>
      <c r="F1073" s="5" t="s">
        <v>10886</v>
      </c>
      <c r="G1073" s="13" t="s">
        <v>10887</v>
      </c>
      <c r="H1073" s="5" t="s">
        <v>10888</v>
      </c>
      <c r="I1073" s="13" t="s">
        <v>10889</v>
      </c>
      <c r="J1073" s="5" t="s">
        <v>10890</v>
      </c>
      <c r="K1073" s="5" t="s">
        <v>10891</v>
      </c>
      <c r="L1073" s="13" t="s">
        <v>10892</v>
      </c>
      <c r="M1073" s="13" t="s">
        <v>10893</v>
      </c>
      <c r="N1073" s="5" t="n">
        <f aca="false">LEN(L1073)</f>
        <v>25</v>
      </c>
      <c r="O1073" s="5" t="n">
        <f aca="false">LEN(M1073)</f>
        <v>25</v>
      </c>
      <c r="P1073" s="14" t="n">
        <f aca="false">IF(N1073=0,"",(N1073-LEN(SUBSTITUTE(SUBSTITUTE(L1073,"G",""),"C","")))/N1073)</f>
        <v>0.6</v>
      </c>
      <c r="Q1073" s="14" t="n">
        <f aca="false">IF(O1073=0,"",(O1073-LEN(SUBSTITUTE(SUBSTITUTE(M1073,"G",""),"C","")))/O1073)</f>
        <v>0.4</v>
      </c>
      <c r="R1073" s="5" t="s">
        <v>1169</v>
      </c>
      <c r="S1073" s="15" t="s">
        <v>1677</v>
      </c>
      <c r="T1073" s="5" t="n">
        <v>81</v>
      </c>
      <c r="U1073" s="5" t="s">
        <v>1678</v>
      </c>
      <c r="V1073" s="5" t="s">
        <v>500</v>
      </c>
      <c r="W1073" s="5" t="s">
        <v>5150</v>
      </c>
      <c r="X1073" s="15" t="s">
        <v>1677</v>
      </c>
      <c r="Y1073" s="5"/>
    </row>
    <row r="1074" customFormat="false" ht="15" hidden="false" customHeight="false" outlineLevel="0" collapsed="false">
      <c r="A1074" s="5" t="s">
        <v>10894</v>
      </c>
      <c r="B1074" s="5" t="s">
        <v>1164</v>
      </c>
      <c r="C1074" s="5" t="s">
        <v>1165</v>
      </c>
      <c r="D1074" s="10" t="s">
        <v>137</v>
      </c>
      <c r="E1074" s="5" t="n">
        <v>3</v>
      </c>
      <c r="F1074" s="5" t="s">
        <v>10895</v>
      </c>
      <c r="G1074" s="13" t="s">
        <v>10896</v>
      </c>
      <c r="H1074" s="5" t="s">
        <v>10897</v>
      </c>
      <c r="I1074" s="13" t="s">
        <v>10898</v>
      </c>
      <c r="J1074" s="5" t="s">
        <v>10899</v>
      </c>
      <c r="K1074" s="5" t="s">
        <v>10900</v>
      </c>
      <c r="L1074" s="13" t="s">
        <v>10901</v>
      </c>
      <c r="M1074" s="13" t="s">
        <v>10902</v>
      </c>
      <c r="N1074" s="5" t="n">
        <f aca="false">LEN(L1074)</f>
        <v>25</v>
      </c>
      <c r="O1074" s="5" t="n">
        <f aca="false">LEN(M1074)</f>
        <v>25</v>
      </c>
      <c r="P1074" s="14" t="n">
        <f aca="false">IF(N1074=0,"",(N1074-LEN(SUBSTITUTE(SUBSTITUTE(L1074,"G",""),"C","")))/N1074)</f>
        <v>0.48</v>
      </c>
      <c r="Q1074" s="14" t="n">
        <f aca="false">IF(O1074=0,"",(O1074-LEN(SUBSTITUTE(SUBSTITUTE(M1074,"G",""),"C","")))/O1074)</f>
        <v>0.56</v>
      </c>
      <c r="R1074" s="5" t="s">
        <v>1169</v>
      </c>
      <c r="S1074" s="15" t="s">
        <v>1677</v>
      </c>
      <c r="T1074" s="5" t="n">
        <v>161</v>
      </c>
      <c r="U1074" s="5" t="s">
        <v>1678</v>
      </c>
      <c r="V1074" s="5" t="s">
        <v>500</v>
      </c>
      <c r="W1074" s="5" t="s">
        <v>5150</v>
      </c>
      <c r="X1074" s="15" t="s">
        <v>1677</v>
      </c>
      <c r="Y1074" s="5"/>
    </row>
    <row r="1075" customFormat="false" ht="15" hidden="false" customHeight="false" outlineLevel="0" collapsed="false">
      <c r="A1075" s="5" t="s">
        <v>10903</v>
      </c>
      <c r="B1075" s="5" t="s">
        <v>1164</v>
      </c>
      <c r="C1075" s="5" t="s">
        <v>1165</v>
      </c>
      <c r="D1075" s="10" t="s">
        <v>137</v>
      </c>
      <c r="E1075" s="5" t="n">
        <v>4</v>
      </c>
      <c r="F1075" s="5" t="s">
        <v>10904</v>
      </c>
      <c r="G1075" s="13" t="s">
        <v>10905</v>
      </c>
      <c r="H1075" s="5" t="s">
        <v>10906</v>
      </c>
      <c r="I1075" s="13" t="s">
        <v>10907</v>
      </c>
      <c r="J1075" s="5" t="s">
        <v>10908</v>
      </c>
      <c r="K1075" s="5" t="s">
        <v>10909</v>
      </c>
      <c r="L1075" s="13" t="s">
        <v>10910</v>
      </c>
      <c r="M1075" s="13" t="s">
        <v>10911</v>
      </c>
      <c r="N1075" s="5" t="n">
        <f aca="false">LEN(L1075)</f>
        <v>25</v>
      </c>
      <c r="O1075" s="5" t="n">
        <f aca="false">LEN(M1075)</f>
        <v>25</v>
      </c>
      <c r="P1075" s="14" t="n">
        <f aca="false">IF(N1075=0,"",(N1075-LEN(SUBSTITUTE(SUBSTITUTE(L1075,"G",""),"C","")))/N1075)</f>
        <v>0.4</v>
      </c>
      <c r="Q1075" s="14" t="n">
        <f aca="false">IF(O1075=0,"",(O1075-LEN(SUBSTITUTE(SUBSTITUTE(M1075,"G",""),"C","")))/O1075)</f>
        <v>0.44</v>
      </c>
      <c r="R1075" s="5" t="s">
        <v>1169</v>
      </c>
      <c r="S1075" s="15" t="s">
        <v>1677</v>
      </c>
      <c r="T1075" s="5" t="n">
        <v>245</v>
      </c>
      <c r="U1075" s="5" t="s">
        <v>1678</v>
      </c>
      <c r="V1075" s="5" t="s">
        <v>500</v>
      </c>
      <c r="W1075" s="5" t="s">
        <v>5150</v>
      </c>
      <c r="X1075" s="15" t="s">
        <v>1677</v>
      </c>
      <c r="Y1075" s="5"/>
    </row>
    <row r="1076" customFormat="false" ht="15" hidden="false" customHeight="false" outlineLevel="0" collapsed="false">
      <c r="A1076" s="5" t="s">
        <v>10912</v>
      </c>
      <c r="B1076" s="5" t="s">
        <v>1164</v>
      </c>
      <c r="C1076" s="5" t="s">
        <v>1165</v>
      </c>
      <c r="D1076" s="10" t="s">
        <v>137</v>
      </c>
      <c r="E1076" s="5" t="n">
        <v>5</v>
      </c>
      <c r="F1076" s="5" t="s">
        <v>10913</v>
      </c>
      <c r="G1076" s="13" t="s">
        <v>10914</v>
      </c>
      <c r="H1076" s="5" t="s">
        <v>10915</v>
      </c>
      <c r="I1076" s="13" t="s">
        <v>10916</v>
      </c>
      <c r="J1076" s="5" t="s">
        <v>10917</v>
      </c>
      <c r="K1076" s="5" t="s">
        <v>10918</v>
      </c>
      <c r="L1076" s="13" t="s">
        <v>10919</v>
      </c>
      <c r="M1076" s="13" t="s">
        <v>10920</v>
      </c>
      <c r="N1076" s="5" t="n">
        <f aca="false">LEN(L1076)</f>
        <v>25</v>
      </c>
      <c r="O1076" s="5" t="n">
        <f aca="false">LEN(M1076)</f>
        <v>25</v>
      </c>
      <c r="P1076" s="14" t="n">
        <f aca="false">IF(N1076=0,"",(N1076-LEN(SUBSTITUTE(SUBSTITUTE(L1076,"G",""),"C","")))/N1076)</f>
        <v>0.6</v>
      </c>
      <c r="Q1076" s="14" t="n">
        <f aca="false">IF(O1076=0,"",(O1076-LEN(SUBSTITUTE(SUBSTITUTE(M1076,"G",""),"C","")))/O1076)</f>
        <v>0.6</v>
      </c>
      <c r="R1076" s="5" t="s">
        <v>1169</v>
      </c>
      <c r="S1076" s="15" t="s">
        <v>1677</v>
      </c>
      <c r="T1076" s="5" t="n">
        <v>325</v>
      </c>
      <c r="U1076" s="5" t="s">
        <v>1678</v>
      </c>
      <c r="V1076" s="5" t="s">
        <v>500</v>
      </c>
      <c r="W1076" s="5" t="s">
        <v>5150</v>
      </c>
      <c r="X1076" s="15" t="s">
        <v>1677</v>
      </c>
      <c r="Y1076" s="5"/>
    </row>
    <row r="1077" customFormat="false" ht="15" hidden="false" customHeight="false" outlineLevel="0" collapsed="false">
      <c r="A1077" s="5" t="s">
        <v>10921</v>
      </c>
      <c r="B1077" s="5" t="s">
        <v>1164</v>
      </c>
      <c r="C1077" s="5" t="s">
        <v>1165</v>
      </c>
      <c r="D1077" s="10" t="s">
        <v>137</v>
      </c>
      <c r="E1077" s="5" t="n">
        <v>6</v>
      </c>
      <c r="F1077" s="5" t="s">
        <v>10922</v>
      </c>
      <c r="G1077" s="13" t="s">
        <v>10923</v>
      </c>
      <c r="H1077" s="5" t="s">
        <v>10924</v>
      </c>
      <c r="I1077" s="13" t="s">
        <v>10925</v>
      </c>
      <c r="J1077" s="5" t="s">
        <v>10926</v>
      </c>
      <c r="K1077" s="5" t="s">
        <v>10927</v>
      </c>
      <c r="L1077" s="13" t="s">
        <v>10928</v>
      </c>
      <c r="M1077" s="13" t="s">
        <v>10929</v>
      </c>
      <c r="N1077" s="5" t="n">
        <f aca="false">LEN(L1077)</f>
        <v>25</v>
      </c>
      <c r="O1077" s="5" t="n">
        <f aca="false">LEN(M1077)</f>
        <v>25</v>
      </c>
      <c r="P1077" s="14" t="n">
        <f aca="false">IF(N1077=0,"",(N1077-LEN(SUBSTITUTE(SUBSTITUTE(L1077,"G",""),"C","")))/N1077)</f>
        <v>0.72</v>
      </c>
      <c r="Q1077" s="14" t="n">
        <f aca="false">IF(O1077=0,"",(O1077-LEN(SUBSTITUTE(SUBSTITUTE(M1077,"G",""),"C","")))/O1077)</f>
        <v>0.64</v>
      </c>
      <c r="R1077" s="5" t="s">
        <v>1169</v>
      </c>
      <c r="S1077" s="15" t="s">
        <v>1677</v>
      </c>
      <c r="T1077" s="5" t="n">
        <v>405</v>
      </c>
      <c r="U1077" s="5" t="s">
        <v>1678</v>
      </c>
      <c r="V1077" s="5" t="s">
        <v>500</v>
      </c>
      <c r="W1077" s="5" t="s">
        <v>5150</v>
      </c>
      <c r="X1077" s="15" t="s">
        <v>1677</v>
      </c>
      <c r="Y1077" s="5"/>
    </row>
    <row r="1078" customFormat="false" ht="15" hidden="false" customHeight="false" outlineLevel="0" collapsed="false">
      <c r="A1078" s="5" t="s">
        <v>10930</v>
      </c>
      <c r="B1078" s="5" t="s">
        <v>1164</v>
      </c>
      <c r="C1078" s="5" t="s">
        <v>1165</v>
      </c>
      <c r="D1078" s="10" t="s">
        <v>137</v>
      </c>
      <c r="E1078" s="5" t="n">
        <v>7</v>
      </c>
      <c r="F1078" s="5" t="s">
        <v>10931</v>
      </c>
      <c r="G1078" s="13" t="s">
        <v>10932</v>
      </c>
      <c r="H1078" s="5" t="s">
        <v>10933</v>
      </c>
      <c r="I1078" s="13" t="s">
        <v>10934</v>
      </c>
      <c r="J1078" s="5" t="s">
        <v>10935</v>
      </c>
      <c r="K1078" s="5" t="s">
        <v>10936</v>
      </c>
      <c r="L1078" s="13" t="s">
        <v>10937</v>
      </c>
      <c r="M1078" s="13" t="s">
        <v>10938</v>
      </c>
      <c r="N1078" s="5" t="n">
        <f aca="false">LEN(L1078)</f>
        <v>25</v>
      </c>
      <c r="O1078" s="5" t="n">
        <f aca="false">LEN(M1078)</f>
        <v>25</v>
      </c>
      <c r="P1078" s="14" t="n">
        <f aca="false">IF(N1078=0,"",(N1078-LEN(SUBSTITUTE(SUBSTITUTE(L1078,"G",""),"C","")))/N1078)</f>
        <v>0.48</v>
      </c>
      <c r="Q1078" s="14" t="n">
        <f aca="false">IF(O1078=0,"",(O1078-LEN(SUBSTITUTE(SUBSTITUTE(M1078,"G",""),"C","")))/O1078)</f>
        <v>0.48</v>
      </c>
      <c r="R1078" s="5" t="s">
        <v>1169</v>
      </c>
      <c r="S1078" s="15" t="s">
        <v>1677</v>
      </c>
      <c r="T1078" s="5" t="n">
        <v>485</v>
      </c>
      <c r="U1078" s="5" t="s">
        <v>1678</v>
      </c>
      <c r="V1078" s="5" t="s">
        <v>500</v>
      </c>
      <c r="W1078" s="5" t="s">
        <v>5150</v>
      </c>
      <c r="X1078" s="15" t="s">
        <v>1677</v>
      </c>
      <c r="Y1078" s="5"/>
    </row>
    <row r="1079" customFormat="false" ht="15" hidden="false" customHeight="false" outlineLevel="0" collapsed="false">
      <c r="A1079" s="5" t="s">
        <v>10939</v>
      </c>
      <c r="B1079" s="5" t="s">
        <v>1164</v>
      </c>
      <c r="C1079" s="5" t="s">
        <v>1165</v>
      </c>
      <c r="D1079" s="10" t="s">
        <v>137</v>
      </c>
      <c r="E1079" s="5" t="n">
        <v>8</v>
      </c>
      <c r="F1079" s="5" t="s">
        <v>10940</v>
      </c>
      <c r="G1079" s="13" t="s">
        <v>10941</v>
      </c>
      <c r="H1079" s="5" t="s">
        <v>10942</v>
      </c>
      <c r="I1079" s="13" t="s">
        <v>10943</v>
      </c>
      <c r="J1079" s="5" t="s">
        <v>10944</v>
      </c>
      <c r="K1079" s="5" t="s">
        <v>10945</v>
      </c>
      <c r="L1079" s="13" t="s">
        <v>10946</v>
      </c>
      <c r="M1079" s="13" t="s">
        <v>10947</v>
      </c>
      <c r="N1079" s="5" t="n">
        <f aca="false">LEN(L1079)</f>
        <v>25</v>
      </c>
      <c r="O1079" s="5" t="n">
        <f aca="false">LEN(M1079)</f>
        <v>25</v>
      </c>
      <c r="P1079" s="14" t="n">
        <f aca="false">IF(N1079=0,"",(N1079-LEN(SUBSTITUTE(SUBSTITUTE(L1079,"G",""),"C","")))/N1079)</f>
        <v>0.8</v>
      </c>
      <c r="Q1079" s="14" t="n">
        <f aca="false">IF(O1079=0,"",(O1079-LEN(SUBSTITUTE(SUBSTITUTE(M1079,"G",""),"C","")))/O1079)</f>
        <v>0.56</v>
      </c>
      <c r="R1079" s="5" t="s">
        <v>1169</v>
      </c>
      <c r="S1079" s="15" t="s">
        <v>1677</v>
      </c>
      <c r="T1079" s="5" t="n">
        <v>565</v>
      </c>
      <c r="U1079" s="5" t="s">
        <v>1678</v>
      </c>
      <c r="V1079" s="5" t="s">
        <v>500</v>
      </c>
      <c r="W1079" s="5" t="s">
        <v>5150</v>
      </c>
      <c r="X1079" s="15" t="s">
        <v>1677</v>
      </c>
      <c r="Y1079" s="5"/>
    </row>
    <row r="1080" customFormat="false" ht="15" hidden="false" customHeight="false" outlineLevel="0" collapsed="false">
      <c r="A1080" s="5" t="s">
        <v>10948</v>
      </c>
      <c r="B1080" s="5" t="s">
        <v>1164</v>
      </c>
      <c r="C1080" s="5" t="s">
        <v>1165</v>
      </c>
      <c r="D1080" s="10" t="s">
        <v>137</v>
      </c>
      <c r="E1080" s="5" t="n">
        <v>9</v>
      </c>
      <c r="F1080" s="5" t="s">
        <v>10949</v>
      </c>
      <c r="G1080" s="13" t="s">
        <v>10950</v>
      </c>
      <c r="H1080" s="5" t="s">
        <v>10951</v>
      </c>
      <c r="I1080" s="13" t="s">
        <v>10952</v>
      </c>
      <c r="J1080" s="5" t="s">
        <v>10953</v>
      </c>
      <c r="K1080" s="5" t="s">
        <v>10954</v>
      </c>
      <c r="L1080" s="13" t="s">
        <v>10955</v>
      </c>
      <c r="M1080" s="13" t="s">
        <v>10956</v>
      </c>
      <c r="N1080" s="5" t="n">
        <f aca="false">LEN(L1080)</f>
        <v>25</v>
      </c>
      <c r="O1080" s="5" t="n">
        <f aca="false">LEN(M1080)</f>
        <v>25</v>
      </c>
      <c r="P1080" s="14" t="n">
        <f aca="false">IF(N1080=0,"",(N1080-LEN(SUBSTITUTE(SUBSTITUTE(L1080,"G",""),"C","")))/N1080)</f>
        <v>0.48</v>
      </c>
      <c r="Q1080" s="14" t="n">
        <f aca="false">IF(O1080=0,"",(O1080-LEN(SUBSTITUTE(SUBSTITUTE(M1080,"G",""),"C","")))/O1080)</f>
        <v>0.56</v>
      </c>
      <c r="R1080" s="5" t="s">
        <v>1169</v>
      </c>
      <c r="S1080" s="15" t="s">
        <v>1677</v>
      </c>
      <c r="T1080" s="5" t="n">
        <v>645</v>
      </c>
      <c r="U1080" s="5" t="s">
        <v>1678</v>
      </c>
      <c r="V1080" s="5" t="s">
        <v>500</v>
      </c>
      <c r="W1080" s="5" t="s">
        <v>5150</v>
      </c>
      <c r="X1080" s="15" t="s">
        <v>1677</v>
      </c>
      <c r="Y1080" s="5"/>
    </row>
    <row r="1081" customFormat="false" ht="15" hidden="false" customHeight="false" outlineLevel="0" collapsed="false">
      <c r="A1081" s="5" t="s">
        <v>10957</v>
      </c>
      <c r="B1081" s="5" t="s">
        <v>1164</v>
      </c>
      <c r="C1081" s="5" t="s">
        <v>1165</v>
      </c>
      <c r="D1081" s="10" t="s">
        <v>137</v>
      </c>
      <c r="E1081" s="5" t="n">
        <v>10</v>
      </c>
      <c r="F1081" s="5" t="s">
        <v>10958</v>
      </c>
      <c r="G1081" s="13" t="s">
        <v>10959</v>
      </c>
      <c r="H1081" s="5" t="s">
        <v>10960</v>
      </c>
      <c r="I1081" s="13" t="s">
        <v>10961</v>
      </c>
      <c r="J1081" s="5" t="s">
        <v>10962</v>
      </c>
      <c r="K1081" s="5" t="s">
        <v>10963</v>
      </c>
      <c r="L1081" s="13" t="s">
        <v>10964</v>
      </c>
      <c r="M1081" s="13" t="s">
        <v>10965</v>
      </c>
      <c r="N1081" s="5" t="n">
        <f aca="false">LEN(L1081)</f>
        <v>25</v>
      </c>
      <c r="O1081" s="5" t="n">
        <f aca="false">LEN(M1081)</f>
        <v>25</v>
      </c>
      <c r="P1081" s="14" t="n">
        <f aca="false">IF(N1081=0,"",(N1081-LEN(SUBSTITUTE(SUBSTITUTE(L1081,"G",""),"C","")))/N1081)</f>
        <v>0.6</v>
      </c>
      <c r="Q1081" s="14" t="n">
        <f aca="false">IF(O1081=0,"",(O1081-LEN(SUBSTITUTE(SUBSTITUTE(M1081,"G",""),"C","")))/O1081)</f>
        <v>0.4</v>
      </c>
      <c r="R1081" s="5" t="s">
        <v>1169</v>
      </c>
      <c r="S1081" s="15" t="s">
        <v>1677</v>
      </c>
      <c r="T1081" s="5" t="n">
        <v>735</v>
      </c>
      <c r="U1081" s="5" t="s">
        <v>1678</v>
      </c>
      <c r="V1081" s="5" t="s">
        <v>500</v>
      </c>
      <c r="W1081" s="5" t="s">
        <v>5150</v>
      </c>
      <c r="X1081" s="15" t="s">
        <v>1677</v>
      </c>
      <c r="Y1081" s="5"/>
    </row>
    <row r="1082" customFormat="false" ht="15" hidden="false" customHeight="false" outlineLevel="0" collapsed="false">
      <c r="A1082" s="5" t="s">
        <v>10966</v>
      </c>
      <c r="B1082" s="5" t="s">
        <v>1164</v>
      </c>
      <c r="C1082" s="5" t="s">
        <v>1165</v>
      </c>
      <c r="D1082" s="10" t="s">
        <v>137</v>
      </c>
      <c r="E1082" s="5" t="n">
        <v>11</v>
      </c>
      <c r="F1082" s="5" t="s">
        <v>10967</v>
      </c>
      <c r="G1082" s="13" t="s">
        <v>10968</v>
      </c>
      <c r="H1082" s="5" t="s">
        <v>10969</v>
      </c>
      <c r="I1082" s="13" t="s">
        <v>10970</v>
      </c>
      <c r="J1082" s="5" t="s">
        <v>10971</v>
      </c>
      <c r="K1082" s="5" t="s">
        <v>10972</v>
      </c>
      <c r="L1082" s="13" t="s">
        <v>10973</v>
      </c>
      <c r="M1082" s="13" t="s">
        <v>10974</v>
      </c>
      <c r="N1082" s="5" t="n">
        <f aca="false">LEN(L1082)</f>
        <v>25</v>
      </c>
      <c r="O1082" s="5" t="n">
        <f aca="false">LEN(M1082)</f>
        <v>25</v>
      </c>
      <c r="P1082" s="14" t="n">
        <f aca="false">IF(N1082=0,"",(N1082-LEN(SUBSTITUTE(SUBSTITUTE(L1082,"G",""),"C","")))/N1082)</f>
        <v>0.48</v>
      </c>
      <c r="Q1082" s="14" t="n">
        <f aca="false">IF(O1082=0,"",(O1082-LEN(SUBSTITUTE(SUBSTITUTE(M1082,"G",""),"C","")))/O1082)</f>
        <v>0.48</v>
      </c>
      <c r="R1082" s="5" t="s">
        <v>1169</v>
      </c>
      <c r="S1082" s="15" t="s">
        <v>1677</v>
      </c>
      <c r="T1082" s="5" t="n">
        <v>815</v>
      </c>
      <c r="U1082" s="5" t="s">
        <v>1678</v>
      </c>
      <c r="V1082" s="5" t="s">
        <v>500</v>
      </c>
      <c r="W1082" s="5" t="s">
        <v>5150</v>
      </c>
      <c r="X1082" s="15" t="s">
        <v>1677</v>
      </c>
      <c r="Y1082" s="5"/>
    </row>
    <row r="1083" customFormat="false" ht="15" hidden="false" customHeight="false" outlineLevel="0" collapsed="false">
      <c r="A1083" s="5" t="s">
        <v>10975</v>
      </c>
      <c r="B1083" s="5" t="s">
        <v>1164</v>
      </c>
      <c r="C1083" s="5" t="s">
        <v>1165</v>
      </c>
      <c r="D1083" s="10" t="s">
        <v>137</v>
      </c>
      <c r="E1083" s="5" t="n">
        <v>12</v>
      </c>
      <c r="F1083" s="5" t="s">
        <v>10976</v>
      </c>
      <c r="G1083" s="13" t="s">
        <v>10977</v>
      </c>
      <c r="H1083" s="5" t="s">
        <v>10978</v>
      </c>
      <c r="I1083" s="13" t="s">
        <v>10979</v>
      </c>
      <c r="J1083" s="5" t="s">
        <v>10980</v>
      </c>
      <c r="K1083" s="5" t="s">
        <v>10981</v>
      </c>
      <c r="L1083" s="13" t="s">
        <v>10982</v>
      </c>
      <c r="M1083" s="13" t="s">
        <v>10983</v>
      </c>
      <c r="N1083" s="5" t="n">
        <f aca="false">LEN(L1083)</f>
        <v>25</v>
      </c>
      <c r="O1083" s="5" t="n">
        <f aca="false">LEN(M1083)</f>
        <v>25</v>
      </c>
      <c r="P1083" s="14" t="n">
        <f aca="false">IF(N1083=0,"",(N1083-LEN(SUBSTITUTE(SUBSTITUTE(L1083,"G",""),"C","")))/N1083)</f>
        <v>0.64</v>
      </c>
      <c r="Q1083" s="14" t="n">
        <f aca="false">IF(O1083=0,"",(O1083-LEN(SUBSTITUTE(SUBSTITUTE(M1083,"G",""),"C","")))/O1083)</f>
        <v>0.48</v>
      </c>
      <c r="R1083" s="5" t="s">
        <v>1169</v>
      </c>
      <c r="S1083" s="15" t="s">
        <v>1677</v>
      </c>
      <c r="T1083" s="5" t="n">
        <v>895</v>
      </c>
      <c r="U1083" s="5" t="s">
        <v>1678</v>
      </c>
      <c r="V1083" s="5" t="s">
        <v>5122</v>
      </c>
      <c r="W1083" s="5"/>
      <c r="X1083" s="15" t="s">
        <v>1677</v>
      </c>
      <c r="Y1083" s="5"/>
    </row>
    <row r="1084" customFormat="false" ht="15" hidden="false" customHeight="false" outlineLevel="0" collapsed="false">
      <c r="A1084" s="5" t="s">
        <v>10984</v>
      </c>
      <c r="B1084" s="5" t="s">
        <v>1164</v>
      </c>
      <c r="C1084" s="5" t="s">
        <v>1165</v>
      </c>
      <c r="D1084" s="10" t="s">
        <v>137</v>
      </c>
      <c r="E1084" s="5" t="n">
        <v>13</v>
      </c>
      <c r="F1084" s="5" t="s">
        <v>10985</v>
      </c>
      <c r="G1084" s="13" t="s">
        <v>10986</v>
      </c>
      <c r="H1084" s="5" t="s">
        <v>10987</v>
      </c>
      <c r="I1084" s="13" t="s">
        <v>10988</v>
      </c>
      <c r="J1084" s="5" t="s">
        <v>10989</v>
      </c>
      <c r="K1084" s="5" t="s">
        <v>10990</v>
      </c>
      <c r="L1084" s="13" t="s">
        <v>10991</v>
      </c>
      <c r="M1084" s="13" t="s">
        <v>10992</v>
      </c>
      <c r="N1084" s="5" t="n">
        <f aca="false">LEN(L1084)</f>
        <v>25</v>
      </c>
      <c r="O1084" s="5" t="n">
        <f aca="false">LEN(M1084)</f>
        <v>25</v>
      </c>
      <c r="P1084" s="14" t="n">
        <f aca="false">IF(N1084=0,"",(N1084-LEN(SUBSTITUTE(SUBSTITUTE(L1084,"G",""),"C","")))/N1084)</f>
        <v>0.64</v>
      </c>
      <c r="Q1084" s="14" t="n">
        <f aca="false">IF(O1084=0,"",(O1084-LEN(SUBSTITUTE(SUBSTITUTE(M1084,"G",""),"C","")))/O1084)</f>
        <v>0.68</v>
      </c>
      <c r="R1084" s="5" t="s">
        <v>1169</v>
      </c>
      <c r="S1084" s="15" t="s">
        <v>1677</v>
      </c>
      <c r="T1084" s="5" t="n">
        <v>975</v>
      </c>
      <c r="U1084" s="5" t="s">
        <v>1678</v>
      </c>
      <c r="V1084" s="5" t="s">
        <v>5122</v>
      </c>
      <c r="W1084" s="5"/>
      <c r="X1084" s="15" t="s">
        <v>1677</v>
      </c>
      <c r="Y1084" s="5"/>
    </row>
    <row r="1085" customFormat="false" ht="15" hidden="false" customHeight="false" outlineLevel="0" collapsed="false">
      <c r="A1085" s="5" t="s">
        <v>10993</v>
      </c>
      <c r="B1085" s="5" t="s">
        <v>1172</v>
      </c>
      <c r="C1085" s="5" t="s">
        <v>1173</v>
      </c>
      <c r="D1085" s="10" t="s">
        <v>137</v>
      </c>
      <c r="E1085" s="5" t="n">
        <v>1</v>
      </c>
      <c r="F1085" s="5" t="s">
        <v>10994</v>
      </c>
      <c r="G1085" s="13" t="s">
        <v>10995</v>
      </c>
      <c r="H1085" s="5" t="s">
        <v>10996</v>
      </c>
      <c r="I1085" s="13" t="s">
        <v>10997</v>
      </c>
      <c r="J1085" s="5" t="s">
        <v>10998</v>
      </c>
      <c r="K1085" s="5" t="s">
        <v>10999</v>
      </c>
      <c r="L1085" s="13" t="s">
        <v>11000</v>
      </c>
      <c r="M1085" s="13" t="s">
        <v>11001</v>
      </c>
      <c r="N1085" s="5" t="n">
        <f aca="false">LEN(L1085)</f>
        <v>25</v>
      </c>
      <c r="O1085" s="5" t="n">
        <f aca="false">LEN(M1085)</f>
        <v>25</v>
      </c>
      <c r="P1085" s="14" t="n">
        <f aca="false">IF(N1085=0,"",(N1085-LEN(SUBSTITUTE(SUBSTITUTE(L1085,"G",""),"C","")))/N1085)</f>
        <v>0.48</v>
      </c>
      <c r="Q1085" s="14" t="n">
        <f aca="false">IF(O1085=0,"",(O1085-LEN(SUBSTITUTE(SUBSTITUTE(M1085,"G",""),"C","")))/O1085)</f>
        <v>0.4</v>
      </c>
      <c r="R1085" s="5" t="s">
        <v>1175</v>
      </c>
      <c r="S1085" s="15" t="s">
        <v>1677</v>
      </c>
      <c r="T1085" s="5" t="n">
        <v>11</v>
      </c>
      <c r="U1085" s="5" t="s">
        <v>1678</v>
      </c>
      <c r="V1085" s="5" t="s">
        <v>1055</v>
      </c>
      <c r="W1085" s="5"/>
      <c r="X1085" s="15" t="s">
        <v>1677</v>
      </c>
      <c r="Y1085" s="5"/>
    </row>
    <row r="1086" customFormat="false" ht="15" hidden="false" customHeight="false" outlineLevel="0" collapsed="false">
      <c r="A1086" s="5" t="s">
        <v>11002</v>
      </c>
      <c r="B1086" s="5" t="s">
        <v>1172</v>
      </c>
      <c r="C1086" s="5" t="s">
        <v>1173</v>
      </c>
      <c r="D1086" s="10" t="s">
        <v>137</v>
      </c>
      <c r="E1086" s="5" t="n">
        <v>2</v>
      </c>
      <c r="F1086" s="5" t="s">
        <v>11003</v>
      </c>
      <c r="G1086" s="13" t="s">
        <v>11004</v>
      </c>
      <c r="H1086" s="5" t="s">
        <v>11005</v>
      </c>
      <c r="I1086" s="13" t="s">
        <v>11006</v>
      </c>
      <c r="J1086" s="5" t="s">
        <v>11007</v>
      </c>
      <c r="K1086" s="5" t="s">
        <v>11008</v>
      </c>
      <c r="L1086" s="13" t="s">
        <v>11009</v>
      </c>
      <c r="M1086" s="13" t="s">
        <v>11010</v>
      </c>
      <c r="N1086" s="5" t="n">
        <f aca="false">LEN(L1086)</f>
        <v>25</v>
      </c>
      <c r="O1086" s="5" t="n">
        <f aca="false">LEN(M1086)</f>
        <v>25</v>
      </c>
      <c r="P1086" s="14" t="n">
        <f aca="false">IF(N1086=0,"",(N1086-LEN(SUBSTITUTE(SUBSTITUTE(L1086,"G",""),"C","")))/N1086)</f>
        <v>0.52</v>
      </c>
      <c r="Q1086" s="14" t="n">
        <f aca="false">IF(O1086=0,"",(O1086-LEN(SUBSTITUTE(SUBSTITUTE(M1086,"G",""),"C","")))/O1086)</f>
        <v>0.48</v>
      </c>
      <c r="R1086" s="5" t="s">
        <v>1175</v>
      </c>
      <c r="S1086" s="15" t="s">
        <v>1677</v>
      </c>
      <c r="T1086" s="5" t="n">
        <v>77</v>
      </c>
      <c r="U1086" s="5" t="s">
        <v>1678</v>
      </c>
      <c r="V1086" s="5" t="s">
        <v>1055</v>
      </c>
      <c r="W1086" s="5"/>
      <c r="X1086" s="15" t="s">
        <v>1677</v>
      </c>
      <c r="Y1086" s="5"/>
    </row>
    <row r="1087" customFormat="false" ht="15" hidden="false" customHeight="false" outlineLevel="0" collapsed="false">
      <c r="A1087" s="5" t="s">
        <v>11011</v>
      </c>
      <c r="B1087" s="5" t="s">
        <v>1172</v>
      </c>
      <c r="C1087" s="5" t="s">
        <v>1173</v>
      </c>
      <c r="D1087" s="10" t="s">
        <v>137</v>
      </c>
      <c r="E1087" s="5" t="n">
        <v>3</v>
      </c>
      <c r="F1087" s="5" t="s">
        <v>11012</v>
      </c>
      <c r="G1087" s="13" t="s">
        <v>11013</v>
      </c>
      <c r="H1087" s="5" t="s">
        <v>11014</v>
      </c>
      <c r="I1087" s="13" t="s">
        <v>11015</v>
      </c>
      <c r="J1087" s="5" t="s">
        <v>11016</v>
      </c>
      <c r="K1087" s="5" t="s">
        <v>11017</v>
      </c>
      <c r="L1087" s="13" t="s">
        <v>11018</v>
      </c>
      <c r="M1087" s="13" t="s">
        <v>11019</v>
      </c>
      <c r="N1087" s="5" t="n">
        <f aca="false">LEN(L1087)</f>
        <v>25</v>
      </c>
      <c r="O1087" s="5" t="n">
        <f aca="false">LEN(M1087)</f>
        <v>25</v>
      </c>
      <c r="P1087" s="14" t="n">
        <f aca="false">IF(N1087=0,"",(N1087-LEN(SUBSTITUTE(SUBSTITUTE(L1087,"G",""),"C","")))/N1087)</f>
        <v>0.56</v>
      </c>
      <c r="Q1087" s="14" t="n">
        <f aca="false">IF(O1087=0,"",(O1087-LEN(SUBSTITUTE(SUBSTITUTE(M1087,"G",""),"C","")))/O1087)</f>
        <v>0.56</v>
      </c>
      <c r="R1087" s="5" t="s">
        <v>1175</v>
      </c>
      <c r="S1087" s="15" t="s">
        <v>1677</v>
      </c>
      <c r="T1087" s="5" t="n">
        <v>140</v>
      </c>
      <c r="U1087" s="5" t="s">
        <v>1678</v>
      </c>
      <c r="V1087" s="5" t="s">
        <v>1055</v>
      </c>
      <c r="W1087" s="5"/>
      <c r="X1087" s="15" t="s">
        <v>1677</v>
      </c>
      <c r="Y1087" s="5"/>
    </row>
    <row r="1088" customFormat="false" ht="15" hidden="false" customHeight="false" outlineLevel="0" collapsed="false">
      <c r="A1088" s="5" t="s">
        <v>11020</v>
      </c>
      <c r="B1088" s="5" t="s">
        <v>1172</v>
      </c>
      <c r="C1088" s="5" t="s">
        <v>1173</v>
      </c>
      <c r="D1088" s="10" t="s">
        <v>137</v>
      </c>
      <c r="E1088" s="5" t="n">
        <v>4</v>
      </c>
      <c r="F1088" s="5" t="s">
        <v>11021</v>
      </c>
      <c r="G1088" s="13" t="s">
        <v>11022</v>
      </c>
      <c r="H1088" s="5" t="s">
        <v>11023</v>
      </c>
      <c r="I1088" s="13" t="s">
        <v>11024</v>
      </c>
      <c r="J1088" s="5" t="s">
        <v>11025</v>
      </c>
      <c r="K1088" s="5" t="s">
        <v>11026</v>
      </c>
      <c r="L1088" s="13" t="s">
        <v>11027</v>
      </c>
      <c r="M1088" s="13" t="s">
        <v>11028</v>
      </c>
      <c r="N1088" s="5" t="n">
        <f aca="false">LEN(L1088)</f>
        <v>25</v>
      </c>
      <c r="O1088" s="5" t="n">
        <f aca="false">LEN(M1088)</f>
        <v>25</v>
      </c>
      <c r="P1088" s="14" t="n">
        <f aca="false">IF(N1088=0,"",(N1088-LEN(SUBSTITUTE(SUBSTITUTE(L1088,"G",""),"C","")))/N1088)</f>
        <v>0.6</v>
      </c>
      <c r="Q1088" s="14" t="n">
        <f aca="false">IF(O1088=0,"",(O1088-LEN(SUBSTITUTE(SUBSTITUTE(M1088,"G",""),"C","")))/O1088)</f>
        <v>0.64</v>
      </c>
      <c r="R1088" s="5" t="s">
        <v>1175</v>
      </c>
      <c r="S1088" s="15" t="s">
        <v>1677</v>
      </c>
      <c r="T1088" s="5" t="n">
        <v>205</v>
      </c>
      <c r="U1088" s="5" t="s">
        <v>1678</v>
      </c>
      <c r="V1088" s="5" t="s">
        <v>1055</v>
      </c>
      <c r="W1088" s="5"/>
      <c r="X1088" s="15" t="s">
        <v>1677</v>
      </c>
      <c r="Y1088" s="5"/>
    </row>
    <row r="1089" customFormat="false" ht="15" hidden="false" customHeight="false" outlineLevel="0" collapsed="false">
      <c r="A1089" s="5" t="s">
        <v>11029</v>
      </c>
      <c r="B1089" s="5" t="s">
        <v>1172</v>
      </c>
      <c r="C1089" s="5" t="s">
        <v>1173</v>
      </c>
      <c r="D1089" s="10" t="s">
        <v>137</v>
      </c>
      <c r="E1089" s="5" t="n">
        <v>5</v>
      </c>
      <c r="F1089" s="5" t="s">
        <v>11030</v>
      </c>
      <c r="G1089" s="13" t="s">
        <v>11031</v>
      </c>
      <c r="H1089" s="5" t="s">
        <v>11032</v>
      </c>
      <c r="I1089" s="13" t="s">
        <v>11033</v>
      </c>
      <c r="J1089" s="5" t="s">
        <v>11034</v>
      </c>
      <c r="K1089" s="5" t="s">
        <v>11035</v>
      </c>
      <c r="L1089" s="13" t="s">
        <v>11036</v>
      </c>
      <c r="M1089" s="13" t="s">
        <v>11037</v>
      </c>
      <c r="N1089" s="5" t="n">
        <f aca="false">LEN(L1089)</f>
        <v>25</v>
      </c>
      <c r="O1089" s="5" t="n">
        <f aca="false">LEN(M1089)</f>
        <v>25</v>
      </c>
      <c r="P1089" s="14" t="n">
        <f aca="false">IF(N1089=0,"",(N1089-LEN(SUBSTITUTE(SUBSTITUTE(L1089,"G",""),"C","")))/N1089)</f>
        <v>0.6</v>
      </c>
      <c r="Q1089" s="14" t="n">
        <f aca="false">IF(O1089=0,"",(O1089-LEN(SUBSTITUTE(SUBSTITUTE(M1089,"G",""),"C","")))/O1089)</f>
        <v>0.56</v>
      </c>
      <c r="R1089" s="5" t="s">
        <v>1175</v>
      </c>
      <c r="S1089" s="15" t="s">
        <v>1677</v>
      </c>
      <c r="T1089" s="5" t="n">
        <v>336</v>
      </c>
      <c r="U1089" s="5" t="s">
        <v>1678</v>
      </c>
      <c r="V1089" s="5" t="s">
        <v>1055</v>
      </c>
      <c r="W1089" s="5"/>
      <c r="X1089" s="15" t="s">
        <v>1677</v>
      </c>
      <c r="Y1089" s="5"/>
    </row>
    <row r="1090" customFormat="false" ht="15" hidden="false" customHeight="false" outlineLevel="0" collapsed="false">
      <c r="A1090" s="5" t="s">
        <v>11038</v>
      </c>
      <c r="B1090" s="5" t="s">
        <v>1172</v>
      </c>
      <c r="C1090" s="5" t="s">
        <v>1173</v>
      </c>
      <c r="D1090" s="10" t="s">
        <v>137</v>
      </c>
      <c r="E1090" s="5" t="n">
        <v>6</v>
      </c>
      <c r="F1090" s="5" t="s">
        <v>11039</v>
      </c>
      <c r="G1090" s="13" t="s">
        <v>11040</v>
      </c>
      <c r="H1090" s="5" t="s">
        <v>11041</v>
      </c>
      <c r="I1090" s="13" t="s">
        <v>11042</v>
      </c>
      <c r="J1090" s="5" t="s">
        <v>11043</v>
      </c>
      <c r="K1090" s="5" t="s">
        <v>11044</v>
      </c>
      <c r="L1090" s="13" t="s">
        <v>11045</v>
      </c>
      <c r="M1090" s="13" t="s">
        <v>11046</v>
      </c>
      <c r="N1090" s="5" t="n">
        <f aca="false">LEN(L1090)</f>
        <v>25</v>
      </c>
      <c r="O1090" s="5" t="n">
        <f aca="false">LEN(M1090)</f>
        <v>25</v>
      </c>
      <c r="P1090" s="14" t="n">
        <f aca="false">IF(N1090=0,"",(N1090-LEN(SUBSTITUTE(SUBSTITUTE(L1090,"G",""),"C","")))/N1090)</f>
        <v>0.48</v>
      </c>
      <c r="Q1090" s="14" t="n">
        <f aca="false">IF(O1090=0,"",(O1090-LEN(SUBSTITUTE(SUBSTITUTE(M1090,"G",""),"C","")))/O1090)</f>
        <v>0.64</v>
      </c>
      <c r="R1090" s="5" t="s">
        <v>1175</v>
      </c>
      <c r="S1090" s="15" t="s">
        <v>1677</v>
      </c>
      <c r="T1090" s="5" t="n">
        <v>403</v>
      </c>
      <c r="U1090" s="5" t="s">
        <v>1678</v>
      </c>
      <c r="V1090" s="5" t="s">
        <v>1055</v>
      </c>
      <c r="W1090" s="5"/>
      <c r="X1090" s="15" t="s">
        <v>1677</v>
      </c>
      <c r="Y1090" s="5"/>
    </row>
    <row r="1091" customFormat="false" ht="15" hidden="false" customHeight="false" outlineLevel="0" collapsed="false">
      <c r="A1091" s="5" t="s">
        <v>11047</v>
      </c>
      <c r="B1091" s="5" t="s">
        <v>1172</v>
      </c>
      <c r="C1091" s="5" t="s">
        <v>1173</v>
      </c>
      <c r="D1091" s="10" t="s">
        <v>137</v>
      </c>
      <c r="E1091" s="5" t="n">
        <v>7</v>
      </c>
      <c r="F1091" s="5" t="s">
        <v>11048</v>
      </c>
      <c r="G1091" s="13" t="s">
        <v>11049</v>
      </c>
      <c r="H1091" s="5" t="s">
        <v>11050</v>
      </c>
      <c r="I1091" s="13" t="s">
        <v>11051</v>
      </c>
      <c r="J1091" s="5" t="s">
        <v>11052</v>
      </c>
      <c r="K1091" s="5" t="s">
        <v>11053</v>
      </c>
      <c r="L1091" s="13" t="s">
        <v>11054</v>
      </c>
      <c r="M1091" s="13" t="s">
        <v>11055</v>
      </c>
      <c r="N1091" s="5" t="n">
        <f aca="false">LEN(L1091)</f>
        <v>25</v>
      </c>
      <c r="O1091" s="5" t="n">
        <f aca="false">LEN(M1091)</f>
        <v>25</v>
      </c>
      <c r="P1091" s="14" t="n">
        <f aca="false">IF(N1091=0,"",(N1091-LEN(SUBSTITUTE(SUBSTITUTE(L1091,"G",""),"C","")))/N1091)</f>
        <v>0.6</v>
      </c>
      <c r="Q1091" s="14" t="n">
        <f aca="false">IF(O1091=0,"",(O1091-LEN(SUBSTITUTE(SUBSTITUTE(M1091,"G",""),"C","")))/O1091)</f>
        <v>0.76</v>
      </c>
      <c r="R1091" s="5" t="s">
        <v>1175</v>
      </c>
      <c r="S1091" s="15" t="s">
        <v>1677</v>
      </c>
      <c r="T1091" s="5" t="n">
        <v>605</v>
      </c>
      <c r="U1091" s="5" t="s">
        <v>1678</v>
      </c>
      <c r="V1091" s="5" t="s">
        <v>1055</v>
      </c>
      <c r="W1091" s="5"/>
      <c r="X1091" s="15" t="s">
        <v>1677</v>
      </c>
      <c r="Y1091" s="5"/>
    </row>
    <row r="1092" customFormat="false" ht="15" hidden="false" customHeight="false" outlineLevel="0" collapsed="false">
      <c r="A1092" s="5" t="s">
        <v>11056</v>
      </c>
      <c r="B1092" s="5" t="s">
        <v>1172</v>
      </c>
      <c r="C1092" s="5" t="s">
        <v>1173</v>
      </c>
      <c r="D1092" s="10" t="s">
        <v>137</v>
      </c>
      <c r="E1092" s="5" t="n">
        <v>8</v>
      </c>
      <c r="F1092" s="5" t="s">
        <v>11057</v>
      </c>
      <c r="G1092" s="13" t="s">
        <v>11058</v>
      </c>
      <c r="H1092" s="5" t="s">
        <v>11059</v>
      </c>
      <c r="I1092" s="13" t="s">
        <v>11060</v>
      </c>
      <c r="J1092" s="5" t="s">
        <v>11061</v>
      </c>
      <c r="K1092" s="5" t="s">
        <v>11062</v>
      </c>
      <c r="L1092" s="13" t="s">
        <v>11063</v>
      </c>
      <c r="M1092" s="13" t="s">
        <v>11064</v>
      </c>
      <c r="N1092" s="5" t="n">
        <f aca="false">LEN(L1092)</f>
        <v>25</v>
      </c>
      <c r="O1092" s="5" t="n">
        <f aca="false">LEN(M1092)</f>
        <v>25</v>
      </c>
      <c r="P1092" s="14" t="n">
        <f aca="false">IF(N1092=0,"",(N1092-LEN(SUBSTITUTE(SUBSTITUTE(L1092,"G",""),"C","")))/N1092)</f>
        <v>0.6</v>
      </c>
      <c r="Q1092" s="14" t="n">
        <f aca="false">IF(O1092=0,"",(O1092-LEN(SUBSTITUTE(SUBSTITUTE(M1092,"G",""),"C","")))/O1092)</f>
        <v>0.52</v>
      </c>
      <c r="R1092" s="5" t="s">
        <v>1175</v>
      </c>
      <c r="S1092" s="15" t="s">
        <v>1677</v>
      </c>
      <c r="T1092" s="5" t="n">
        <v>671</v>
      </c>
      <c r="U1092" s="5" t="s">
        <v>1678</v>
      </c>
      <c r="V1092" s="5" t="s">
        <v>1055</v>
      </c>
      <c r="W1092" s="5"/>
      <c r="X1092" s="15" t="s">
        <v>1677</v>
      </c>
      <c r="Y1092" s="5"/>
    </row>
    <row r="1093" customFormat="false" ht="15" hidden="false" customHeight="false" outlineLevel="0" collapsed="false">
      <c r="A1093" s="5" t="s">
        <v>11065</v>
      </c>
      <c r="B1093" s="5" t="s">
        <v>1172</v>
      </c>
      <c r="C1093" s="5" t="s">
        <v>1173</v>
      </c>
      <c r="D1093" s="10" t="s">
        <v>137</v>
      </c>
      <c r="E1093" s="5" t="n">
        <v>9</v>
      </c>
      <c r="F1093" s="5" t="s">
        <v>11066</v>
      </c>
      <c r="G1093" s="13" t="s">
        <v>11067</v>
      </c>
      <c r="H1093" s="5" t="s">
        <v>11068</v>
      </c>
      <c r="I1093" s="13" t="s">
        <v>11069</v>
      </c>
      <c r="J1093" s="5" t="s">
        <v>11070</v>
      </c>
      <c r="K1093" s="5" t="s">
        <v>11071</v>
      </c>
      <c r="L1093" s="13" t="s">
        <v>11072</v>
      </c>
      <c r="M1093" s="13" t="s">
        <v>11073</v>
      </c>
      <c r="N1093" s="5" t="n">
        <f aca="false">LEN(L1093)</f>
        <v>25</v>
      </c>
      <c r="O1093" s="5" t="n">
        <f aca="false">LEN(M1093)</f>
        <v>25</v>
      </c>
      <c r="P1093" s="14" t="n">
        <f aca="false">IF(N1093=0,"",(N1093-LEN(SUBSTITUTE(SUBSTITUTE(L1093,"G",""),"C","")))/N1093)</f>
        <v>0.48</v>
      </c>
      <c r="Q1093" s="14" t="n">
        <f aca="false">IF(O1093=0,"",(O1093-LEN(SUBSTITUTE(SUBSTITUTE(M1093,"G",""),"C","")))/O1093)</f>
        <v>0.56</v>
      </c>
      <c r="R1093" s="5" t="s">
        <v>1175</v>
      </c>
      <c r="S1093" s="15" t="s">
        <v>1677</v>
      </c>
      <c r="T1093" s="5" t="n">
        <v>804</v>
      </c>
      <c r="U1093" s="5" t="s">
        <v>1678</v>
      </c>
      <c r="V1093" s="5" t="s">
        <v>1055</v>
      </c>
      <c r="W1093" s="5"/>
      <c r="X1093" s="15" t="s">
        <v>1677</v>
      </c>
      <c r="Y1093" s="5"/>
    </row>
    <row r="1094" customFormat="false" ht="15" hidden="false" customHeight="false" outlineLevel="0" collapsed="false">
      <c r="A1094" s="5" t="s">
        <v>11074</v>
      </c>
      <c r="B1094" s="5" t="s">
        <v>1172</v>
      </c>
      <c r="C1094" s="5" t="s">
        <v>1173</v>
      </c>
      <c r="D1094" s="10" t="s">
        <v>137</v>
      </c>
      <c r="E1094" s="5" t="n">
        <v>10</v>
      </c>
      <c r="F1094" s="5" t="s">
        <v>11075</v>
      </c>
      <c r="G1094" s="13" t="s">
        <v>11076</v>
      </c>
      <c r="H1094" s="5" t="s">
        <v>11077</v>
      </c>
      <c r="I1094" s="13" t="s">
        <v>11078</v>
      </c>
      <c r="J1094" s="5" t="s">
        <v>11079</v>
      </c>
      <c r="K1094" s="5" t="s">
        <v>11080</v>
      </c>
      <c r="L1094" s="13" t="s">
        <v>11081</v>
      </c>
      <c r="M1094" s="13" t="s">
        <v>11082</v>
      </c>
      <c r="N1094" s="5" t="n">
        <f aca="false">LEN(L1094)</f>
        <v>25</v>
      </c>
      <c r="O1094" s="5" t="n">
        <f aca="false">LEN(M1094)</f>
        <v>25</v>
      </c>
      <c r="P1094" s="14" t="n">
        <f aca="false">IF(N1094=0,"",(N1094-LEN(SUBSTITUTE(SUBSTITUTE(L1094,"G",""),"C","")))/N1094)</f>
        <v>0.52</v>
      </c>
      <c r="Q1094" s="14" t="n">
        <f aca="false">IF(O1094=0,"",(O1094-LEN(SUBSTITUTE(SUBSTITUTE(M1094,"G",""),"C","")))/O1094)</f>
        <v>0.48</v>
      </c>
      <c r="R1094" s="5" t="s">
        <v>1175</v>
      </c>
      <c r="S1094" s="15" t="s">
        <v>1677</v>
      </c>
      <c r="T1094" s="5" t="n">
        <v>870</v>
      </c>
      <c r="U1094" s="5" t="s">
        <v>1678</v>
      </c>
      <c r="V1094" s="5" t="s">
        <v>1055</v>
      </c>
      <c r="W1094" s="5"/>
      <c r="X1094" s="15" t="s">
        <v>1677</v>
      </c>
      <c r="Y1094" s="5"/>
    </row>
    <row r="1095" customFormat="false" ht="15" hidden="false" customHeight="false" outlineLevel="0" collapsed="false">
      <c r="A1095" s="5" t="s">
        <v>11083</v>
      </c>
      <c r="B1095" s="5" t="s">
        <v>1178</v>
      </c>
      <c r="C1095" s="5" t="s">
        <v>1179</v>
      </c>
      <c r="D1095" s="10" t="s">
        <v>137</v>
      </c>
      <c r="E1095" s="5" t="n">
        <v>1</v>
      </c>
      <c r="F1095" s="5" t="s">
        <v>11084</v>
      </c>
      <c r="G1095" s="13" t="s">
        <v>11085</v>
      </c>
      <c r="H1095" s="5" t="s">
        <v>11086</v>
      </c>
      <c r="I1095" s="13" t="s">
        <v>11087</v>
      </c>
      <c r="J1095" s="5" t="s">
        <v>11088</v>
      </c>
      <c r="K1095" s="5" t="s">
        <v>11089</v>
      </c>
      <c r="L1095" s="13" t="s">
        <v>11090</v>
      </c>
      <c r="M1095" s="13" t="s">
        <v>11091</v>
      </c>
      <c r="N1095" s="5" t="n">
        <f aca="false">LEN(L1095)</f>
        <v>24</v>
      </c>
      <c r="O1095" s="5" t="n">
        <f aca="false">LEN(M1095)</f>
        <v>25</v>
      </c>
      <c r="P1095" s="14" t="n">
        <f aca="false">IF(N1095=0,"",(N1095-LEN(SUBSTITUTE(SUBSTITUTE(L1095,"G",""),"C","")))/N1095)</f>
        <v>0.583333333333333</v>
      </c>
      <c r="Q1095" s="14" t="n">
        <f aca="false">IF(O1095=0,"",(O1095-LEN(SUBSTITUTE(SUBSTITUTE(M1095,"G",""),"C","")))/O1095)</f>
        <v>0.36</v>
      </c>
      <c r="R1095" s="5" t="s">
        <v>1183</v>
      </c>
      <c r="S1095" s="15" t="s">
        <v>1677</v>
      </c>
      <c r="T1095" s="5" t="n">
        <v>81</v>
      </c>
      <c r="U1095" s="5" t="s">
        <v>2986</v>
      </c>
      <c r="V1095" s="5" t="s">
        <v>1055</v>
      </c>
      <c r="W1095" s="5"/>
      <c r="X1095" s="15" t="s">
        <v>1677</v>
      </c>
      <c r="Y1095" s="8" t="s">
        <v>2987</v>
      </c>
    </row>
    <row r="1096" customFormat="false" ht="15" hidden="false" customHeight="false" outlineLevel="0" collapsed="false">
      <c r="A1096" s="5" t="s">
        <v>11092</v>
      </c>
      <c r="B1096" s="5" t="s">
        <v>1178</v>
      </c>
      <c r="C1096" s="5" t="s">
        <v>1179</v>
      </c>
      <c r="D1096" s="10" t="s">
        <v>137</v>
      </c>
      <c r="E1096" s="5" t="n">
        <v>2</v>
      </c>
      <c r="F1096" s="5" t="s">
        <v>11093</v>
      </c>
      <c r="G1096" s="13" t="s">
        <v>11094</v>
      </c>
      <c r="H1096" s="5" t="s">
        <v>11095</v>
      </c>
      <c r="I1096" s="13" t="s">
        <v>11096</v>
      </c>
      <c r="J1096" s="5" t="s">
        <v>11097</v>
      </c>
      <c r="K1096" s="5" t="s">
        <v>11098</v>
      </c>
      <c r="L1096" s="13" t="s">
        <v>11099</v>
      </c>
      <c r="M1096" s="13" t="s">
        <v>11100</v>
      </c>
      <c r="N1096" s="5" t="n">
        <f aca="false">LEN(L1096)</f>
        <v>25</v>
      </c>
      <c r="O1096" s="5" t="n">
        <f aca="false">LEN(M1096)</f>
        <v>25</v>
      </c>
      <c r="P1096" s="14" t="n">
        <f aca="false">IF(N1096=0,"",(N1096-LEN(SUBSTITUTE(SUBSTITUTE(L1096,"G",""),"C","")))/N1096)</f>
        <v>0.52</v>
      </c>
      <c r="Q1096" s="14" t="n">
        <f aca="false">IF(O1096=0,"",(O1096-LEN(SUBSTITUTE(SUBSTITUTE(M1096,"G",""),"C","")))/O1096)</f>
        <v>0.56</v>
      </c>
      <c r="R1096" s="5" t="s">
        <v>1183</v>
      </c>
      <c r="S1096" s="15" t="s">
        <v>1677</v>
      </c>
      <c r="T1096" s="5" t="n">
        <v>226</v>
      </c>
      <c r="U1096" s="5" t="s">
        <v>1678</v>
      </c>
      <c r="V1096" s="5" t="s">
        <v>1055</v>
      </c>
      <c r="W1096" s="5"/>
      <c r="X1096" s="15" t="s">
        <v>1677</v>
      </c>
      <c r="Y1096" s="5"/>
    </row>
    <row r="1097" customFormat="false" ht="15" hidden="false" customHeight="false" outlineLevel="0" collapsed="false">
      <c r="A1097" s="5" t="s">
        <v>11101</v>
      </c>
      <c r="B1097" s="5" t="s">
        <v>1178</v>
      </c>
      <c r="C1097" s="5" t="s">
        <v>1179</v>
      </c>
      <c r="D1097" s="10" t="s">
        <v>137</v>
      </c>
      <c r="E1097" s="5" t="n">
        <v>3</v>
      </c>
      <c r="F1097" s="5" t="s">
        <v>11102</v>
      </c>
      <c r="G1097" s="13" t="s">
        <v>11103</v>
      </c>
      <c r="H1097" s="5" t="s">
        <v>11104</v>
      </c>
      <c r="I1097" s="13" t="s">
        <v>11105</v>
      </c>
      <c r="J1097" s="5" t="s">
        <v>11106</v>
      </c>
      <c r="K1097" s="5" t="s">
        <v>11107</v>
      </c>
      <c r="L1097" s="13" t="s">
        <v>11108</v>
      </c>
      <c r="M1097" s="13" t="s">
        <v>11109</v>
      </c>
      <c r="N1097" s="5" t="n">
        <f aca="false">LEN(L1097)</f>
        <v>25</v>
      </c>
      <c r="O1097" s="5" t="n">
        <f aca="false">LEN(M1097)</f>
        <v>25</v>
      </c>
      <c r="P1097" s="14" t="n">
        <f aca="false">IF(N1097=0,"",(N1097-LEN(SUBSTITUTE(SUBSTITUTE(L1097,"G",""),"C","")))/N1097)</f>
        <v>0.44</v>
      </c>
      <c r="Q1097" s="14" t="n">
        <f aca="false">IF(O1097=0,"",(O1097-LEN(SUBSTITUTE(SUBSTITUTE(M1097,"G",""),"C","")))/O1097)</f>
        <v>0.64</v>
      </c>
      <c r="R1097" s="5" t="s">
        <v>1183</v>
      </c>
      <c r="S1097" s="15" t="s">
        <v>1677</v>
      </c>
      <c r="T1097" s="5" t="n">
        <v>374</v>
      </c>
      <c r="U1097" s="5" t="s">
        <v>1678</v>
      </c>
      <c r="V1097" s="5" t="s">
        <v>1055</v>
      </c>
      <c r="W1097" s="5"/>
      <c r="X1097" s="8" t="s">
        <v>2131</v>
      </c>
      <c r="Y1097" s="5"/>
    </row>
    <row r="1098" customFormat="false" ht="15" hidden="false" customHeight="false" outlineLevel="0" collapsed="false">
      <c r="A1098" s="5" t="s">
        <v>11110</v>
      </c>
      <c r="B1098" s="5" t="s">
        <v>1178</v>
      </c>
      <c r="C1098" s="5" t="s">
        <v>1179</v>
      </c>
      <c r="D1098" s="10" t="s">
        <v>137</v>
      </c>
      <c r="E1098" s="5" t="n">
        <v>4</v>
      </c>
      <c r="F1098" s="5" t="s">
        <v>11111</v>
      </c>
      <c r="G1098" s="13" t="s">
        <v>11112</v>
      </c>
      <c r="H1098" s="5" t="s">
        <v>11113</v>
      </c>
      <c r="I1098" s="13" t="s">
        <v>11114</v>
      </c>
      <c r="J1098" s="5" t="s">
        <v>11115</v>
      </c>
      <c r="K1098" s="5" t="s">
        <v>11116</v>
      </c>
      <c r="L1098" s="13" t="s">
        <v>11117</v>
      </c>
      <c r="M1098" s="13" t="s">
        <v>11118</v>
      </c>
      <c r="N1098" s="5" t="n">
        <f aca="false">LEN(L1098)</f>
        <v>25</v>
      </c>
      <c r="O1098" s="5" t="n">
        <f aca="false">LEN(M1098)</f>
        <v>25</v>
      </c>
      <c r="P1098" s="14" t="n">
        <f aca="false">IF(N1098=0,"",(N1098-LEN(SUBSTITUTE(SUBSTITUTE(L1098,"G",""),"C","")))/N1098)</f>
        <v>0.52</v>
      </c>
      <c r="Q1098" s="14" t="n">
        <f aca="false">IF(O1098=0,"",(O1098-LEN(SUBSTITUTE(SUBSTITUTE(M1098,"G",""),"C","")))/O1098)</f>
        <v>0.68</v>
      </c>
      <c r="R1098" s="5" t="s">
        <v>1183</v>
      </c>
      <c r="S1098" s="15" t="s">
        <v>1677</v>
      </c>
      <c r="T1098" s="5" t="n">
        <v>520</v>
      </c>
      <c r="U1098" s="5" t="s">
        <v>1678</v>
      </c>
      <c r="V1098" s="5" t="s">
        <v>1055</v>
      </c>
      <c r="W1098" s="5"/>
      <c r="X1098" s="8" t="s">
        <v>2131</v>
      </c>
      <c r="Y1098" s="5"/>
    </row>
    <row r="1099" customFormat="false" ht="15" hidden="false" customHeight="false" outlineLevel="0" collapsed="false">
      <c r="A1099" s="5" t="s">
        <v>11119</v>
      </c>
      <c r="B1099" s="5" t="s">
        <v>1178</v>
      </c>
      <c r="C1099" s="5" t="s">
        <v>1179</v>
      </c>
      <c r="D1099" s="10" t="s">
        <v>137</v>
      </c>
      <c r="E1099" s="5" t="n">
        <v>5</v>
      </c>
      <c r="F1099" s="5" t="s">
        <v>11120</v>
      </c>
      <c r="G1099" s="13" t="s">
        <v>11121</v>
      </c>
      <c r="H1099" s="5" t="s">
        <v>11122</v>
      </c>
      <c r="I1099" s="13" t="s">
        <v>11123</v>
      </c>
      <c r="J1099" s="5" t="s">
        <v>11124</v>
      </c>
      <c r="K1099" s="5" t="s">
        <v>11125</v>
      </c>
      <c r="L1099" s="13" t="s">
        <v>11126</v>
      </c>
      <c r="M1099" s="13" t="s">
        <v>11127</v>
      </c>
      <c r="N1099" s="5" t="n">
        <f aca="false">LEN(L1099)</f>
        <v>25</v>
      </c>
      <c r="O1099" s="5" t="n">
        <f aca="false">LEN(M1099)</f>
        <v>25</v>
      </c>
      <c r="P1099" s="14" t="n">
        <f aca="false">IF(N1099=0,"",(N1099-LEN(SUBSTITUTE(SUBSTITUTE(L1099,"G",""),"C","")))/N1099)</f>
        <v>0.72</v>
      </c>
      <c r="Q1099" s="14" t="n">
        <f aca="false">IF(O1099=0,"",(O1099-LEN(SUBSTITUTE(SUBSTITUTE(M1099,"G",""),"C","")))/O1099)</f>
        <v>0.64</v>
      </c>
      <c r="R1099" s="5" t="s">
        <v>1183</v>
      </c>
      <c r="S1099" s="15" t="s">
        <v>1677</v>
      </c>
      <c r="T1099" s="5" t="n">
        <v>662</v>
      </c>
      <c r="U1099" s="5" t="s">
        <v>1678</v>
      </c>
      <c r="V1099" s="5" t="s">
        <v>1055</v>
      </c>
      <c r="W1099" s="5"/>
      <c r="X1099" s="15" t="s">
        <v>1677</v>
      </c>
      <c r="Y1099" s="5"/>
    </row>
    <row r="1100" customFormat="false" ht="15" hidden="false" customHeight="false" outlineLevel="0" collapsed="false">
      <c r="A1100" s="5" t="s">
        <v>11128</v>
      </c>
      <c r="B1100" s="5" t="s">
        <v>1186</v>
      </c>
      <c r="C1100" s="5" t="s">
        <v>313</v>
      </c>
      <c r="D1100" s="10" t="s">
        <v>137</v>
      </c>
      <c r="E1100" s="5" t="n">
        <v>1</v>
      </c>
      <c r="F1100" s="5" t="s">
        <v>11129</v>
      </c>
      <c r="G1100" s="13" t="s">
        <v>11130</v>
      </c>
      <c r="H1100" s="5" t="s">
        <v>11131</v>
      </c>
      <c r="I1100" s="13" t="s">
        <v>11132</v>
      </c>
      <c r="J1100" s="5" t="s">
        <v>11133</v>
      </c>
      <c r="K1100" s="5" t="s">
        <v>11134</v>
      </c>
      <c r="L1100" s="13" t="s">
        <v>3636</v>
      </c>
      <c r="M1100" s="13" t="s">
        <v>3637</v>
      </c>
      <c r="N1100" s="5" t="n">
        <f aca="false">LEN(L1100)</f>
        <v>25</v>
      </c>
      <c r="O1100" s="5" t="n">
        <f aca="false">LEN(M1100)</f>
        <v>25</v>
      </c>
      <c r="P1100" s="14" t="n">
        <f aca="false">IF(N1100=0,"",(N1100-LEN(SUBSTITUTE(SUBSTITUTE(L1100,"G",""),"C","")))/N1100)</f>
        <v>0.48</v>
      </c>
      <c r="Q1100" s="14" t="n">
        <f aca="false">IF(O1100=0,"",(O1100-LEN(SUBSTITUTE(SUBSTITUTE(M1100,"G",""),"C","")))/O1100)</f>
        <v>0.56</v>
      </c>
      <c r="R1100" s="5" t="s">
        <v>318</v>
      </c>
      <c r="S1100" s="15" t="s">
        <v>1677</v>
      </c>
      <c r="T1100" s="5" t="n">
        <v>7</v>
      </c>
      <c r="U1100" s="5" t="s">
        <v>1678</v>
      </c>
      <c r="V1100" s="5" t="s">
        <v>1055</v>
      </c>
      <c r="W1100" s="5"/>
      <c r="X1100" s="15" t="s">
        <v>1677</v>
      </c>
      <c r="Y1100" s="5"/>
    </row>
    <row r="1101" customFormat="false" ht="15" hidden="false" customHeight="false" outlineLevel="0" collapsed="false">
      <c r="A1101" s="5" t="s">
        <v>11135</v>
      </c>
      <c r="B1101" s="5" t="s">
        <v>1186</v>
      </c>
      <c r="C1101" s="5" t="s">
        <v>313</v>
      </c>
      <c r="D1101" s="10" t="s">
        <v>137</v>
      </c>
      <c r="E1101" s="5" t="n">
        <v>2</v>
      </c>
      <c r="F1101" s="5" t="s">
        <v>11136</v>
      </c>
      <c r="G1101" s="13" t="s">
        <v>11137</v>
      </c>
      <c r="H1101" s="5" t="s">
        <v>11138</v>
      </c>
      <c r="I1101" s="13" t="s">
        <v>11139</v>
      </c>
      <c r="J1101" s="5" t="s">
        <v>11140</v>
      </c>
      <c r="K1101" s="5" t="s">
        <v>11141</v>
      </c>
      <c r="L1101" s="13" t="s">
        <v>11142</v>
      </c>
      <c r="M1101" s="13" t="s">
        <v>11143</v>
      </c>
      <c r="N1101" s="5" t="n">
        <f aca="false">LEN(L1101)</f>
        <v>25</v>
      </c>
      <c r="O1101" s="5" t="n">
        <f aca="false">LEN(M1101)</f>
        <v>25</v>
      </c>
      <c r="P1101" s="14" t="n">
        <f aca="false">IF(N1101=0,"",(N1101-LEN(SUBSTITUTE(SUBSTITUTE(L1101,"G",""),"C","")))/N1101)</f>
        <v>0.56</v>
      </c>
      <c r="Q1101" s="14" t="n">
        <f aca="false">IF(O1101=0,"",(O1101-LEN(SUBSTITUTE(SUBSTITUTE(M1101,"G",""),"C","")))/O1101)</f>
        <v>0.6</v>
      </c>
      <c r="R1101" s="5" t="s">
        <v>318</v>
      </c>
      <c r="S1101" s="15" t="s">
        <v>1677</v>
      </c>
      <c r="T1101" s="5" t="n">
        <v>33</v>
      </c>
      <c r="U1101" s="5" t="s">
        <v>1678</v>
      </c>
      <c r="V1101" s="5" t="s">
        <v>154</v>
      </c>
      <c r="W1101" s="5"/>
      <c r="X1101" s="15" t="s">
        <v>1677</v>
      </c>
      <c r="Y1101" s="5"/>
    </row>
    <row r="1102" customFormat="false" ht="15" hidden="false" customHeight="false" outlineLevel="0" collapsed="false">
      <c r="A1102" s="5" t="s">
        <v>11144</v>
      </c>
      <c r="B1102" s="5" t="s">
        <v>1186</v>
      </c>
      <c r="C1102" s="5" t="s">
        <v>313</v>
      </c>
      <c r="D1102" s="10" t="s">
        <v>137</v>
      </c>
      <c r="E1102" s="5" t="n">
        <v>3</v>
      </c>
      <c r="F1102" s="5" t="s">
        <v>11145</v>
      </c>
      <c r="G1102" s="13" t="s">
        <v>11146</v>
      </c>
      <c r="H1102" s="5" t="s">
        <v>11147</v>
      </c>
      <c r="I1102" s="13" t="s">
        <v>11148</v>
      </c>
      <c r="J1102" s="5" t="s">
        <v>11149</v>
      </c>
      <c r="K1102" s="5" t="s">
        <v>11150</v>
      </c>
      <c r="L1102" s="13" t="s">
        <v>3645</v>
      </c>
      <c r="M1102" s="13" t="s">
        <v>3646</v>
      </c>
      <c r="N1102" s="5" t="n">
        <f aca="false">LEN(L1102)</f>
        <v>25</v>
      </c>
      <c r="O1102" s="5" t="n">
        <f aca="false">LEN(M1102)</f>
        <v>25</v>
      </c>
      <c r="P1102" s="14" t="n">
        <f aca="false">IF(N1102=0,"",(N1102-LEN(SUBSTITUTE(SUBSTITUTE(L1102,"G",""),"C","")))/N1102)</f>
        <v>0.68</v>
      </c>
      <c r="Q1102" s="14" t="n">
        <f aca="false">IF(O1102=0,"",(O1102-LEN(SUBSTITUTE(SUBSTITUTE(M1102,"G",""),"C","")))/O1102)</f>
        <v>0.64</v>
      </c>
      <c r="R1102" s="5" t="s">
        <v>318</v>
      </c>
      <c r="S1102" s="15" t="s">
        <v>1677</v>
      </c>
      <c r="T1102" s="5" t="n">
        <v>79</v>
      </c>
      <c r="U1102" s="5" t="s">
        <v>1678</v>
      </c>
      <c r="V1102" s="5" t="s">
        <v>1055</v>
      </c>
      <c r="W1102" s="5"/>
      <c r="X1102" s="15" t="s">
        <v>1677</v>
      </c>
      <c r="Y1102" s="5"/>
    </row>
    <row r="1103" customFormat="false" ht="15" hidden="false" customHeight="false" outlineLevel="0" collapsed="false">
      <c r="A1103" s="5" t="s">
        <v>11151</v>
      </c>
      <c r="B1103" s="5" t="s">
        <v>1186</v>
      </c>
      <c r="C1103" s="5" t="s">
        <v>313</v>
      </c>
      <c r="D1103" s="10" t="s">
        <v>137</v>
      </c>
      <c r="E1103" s="5" t="n">
        <v>4</v>
      </c>
      <c r="F1103" s="5" t="s">
        <v>11152</v>
      </c>
      <c r="G1103" s="13" t="s">
        <v>11153</v>
      </c>
      <c r="H1103" s="5" t="s">
        <v>11154</v>
      </c>
      <c r="I1103" s="13" t="s">
        <v>11155</v>
      </c>
      <c r="J1103" s="5" t="s">
        <v>11156</v>
      </c>
      <c r="K1103" s="5" t="s">
        <v>11157</v>
      </c>
      <c r="L1103" s="13" t="s">
        <v>11158</v>
      </c>
      <c r="M1103" s="13" t="s">
        <v>11159</v>
      </c>
      <c r="N1103" s="5" t="n">
        <f aca="false">LEN(L1103)</f>
        <v>25</v>
      </c>
      <c r="O1103" s="5" t="n">
        <f aca="false">LEN(M1103)</f>
        <v>25</v>
      </c>
      <c r="P1103" s="14" t="n">
        <f aca="false">IF(N1103=0,"",(N1103-LEN(SUBSTITUTE(SUBSTITUTE(L1103,"G",""),"C","")))/N1103)</f>
        <v>0.68</v>
      </c>
      <c r="Q1103" s="14" t="n">
        <f aca="false">IF(O1103=0,"",(O1103-LEN(SUBSTITUTE(SUBSTITUTE(M1103,"G",""),"C","")))/O1103)</f>
        <v>0.72</v>
      </c>
      <c r="R1103" s="5" t="s">
        <v>318</v>
      </c>
      <c r="S1103" s="15" t="s">
        <v>1677</v>
      </c>
      <c r="T1103" s="5" t="n">
        <v>103</v>
      </c>
      <c r="U1103" s="5" t="s">
        <v>1678</v>
      </c>
      <c r="V1103" s="5" t="s">
        <v>154</v>
      </c>
      <c r="W1103" s="5"/>
      <c r="X1103" s="15" t="s">
        <v>1677</v>
      </c>
      <c r="Y1103" s="5"/>
    </row>
    <row r="1104" customFormat="false" ht="15" hidden="false" customHeight="false" outlineLevel="0" collapsed="false">
      <c r="A1104" s="5" t="s">
        <v>11160</v>
      </c>
      <c r="B1104" s="5" t="s">
        <v>1186</v>
      </c>
      <c r="C1104" s="5" t="s">
        <v>313</v>
      </c>
      <c r="D1104" s="10" t="s">
        <v>137</v>
      </c>
      <c r="E1104" s="5" t="n">
        <v>5</v>
      </c>
      <c r="F1104" s="5" t="s">
        <v>11161</v>
      </c>
      <c r="G1104" s="13" t="s">
        <v>11162</v>
      </c>
      <c r="H1104" s="5" t="s">
        <v>11163</v>
      </c>
      <c r="I1104" s="13" t="s">
        <v>11164</v>
      </c>
      <c r="J1104" s="5" t="s">
        <v>11165</v>
      </c>
      <c r="K1104" s="5" t="s">
        <v>11166</v>
      </c>
      <c r="L1104" s="13" t="s">
        <v>11167</v>
      </c>
      <c r="M1104" s="13" t="s">
        <v>11168</v>
      </c>
      <c r="N1104" s="5" t="n">
        <f aca="false">LEN(L1104)</f>
        <v>25</v>
      </c>
      <c r="O1104" s="5" t="n">
        <f aca="false">LEN(M1104)</f>
        <v>25</v>
      </c>
      <c r="P1104" s="14" t="n">
        <f aca="false">IF(N1104=0,"",(N1104-LEN(SUBSTITUTE(SUBSTITUTE(L1104,"G",""),"C","")))/N1104)</f>
        <v>0.88</v>
      </c>
      <c r="Q1104" s="14" t="n">
        <f aca="false">IF(O1104=0,"",(O1104-LEN(SUBSTITUTE(SUBSTITUTE(M1104,"G",""),"C","")))/O1104)</f>
        <v>0.84</v>
      </c>
      <c r="R1104" s="5" t="s">
        <v>11169</v>
      </c>
      <c r="S1104" s="15" t="s">
        <v>1677</v>
      </c>
      <c r="T1104" s="5" t="n">
        <v>138</v>
      </c>
      <c r="U1104" s="5" t="s">
        <v>1678</v>
      </c>
      <c r="V1104" s="5" t="s">
        <v>154</v>
      </c>
      <c r="W1104" s="5"/>
      <c r="X1104" s="15" t="s">
        <v>1677</v>
      </c>
      <c r="Y1104" s="5"/>
    </row>
    <row r="1105" customFormat="false" ht="15" hidden="false" customHeight="false" outlineLevel="0" collapsed="false">
      <c r="A1105" s="5" t="s">
        <v>11170</v>
      </c>
      <c r="B1105" s="5" t="s">
        <v>1186</v>
      </c>
      <c r="C1105" s="5" t="s">
        <v>313</v>
      </c>
      <c r="D1105" s="10" t="s">
        <v>137</v>
      </c>
      <c r="E1105" s="5" t="n">
        <v>6</v>
      </c>
      <c r="F1105" s="5" t="s">
        <v>11171</v>
      </c>
      <c r="G1105" s="13" t="s">
        <v>11172</v>
      </c>
      <c r="H1105" s="5" t="s">
        <v>11173</v>
      </c>
      <c r="I1105" s="13" t="s">
        <v>11174</v>
      </c>
      <c r="J1105" s="5" t="s">
        <v>11175</v>
      </c>
      <c r="K1105" s="5" t="s">
        <v>11176</v>
      </c>
      <c r="L1105" s="13" t="s">
        <v>3654</v>
      </c>
      <c r="M1105" s="13" t="s">
        <v>3655</v>
      </c>
      <c r="N1105" s="5" t="n">
        <f aca="false">LEN(L1105)</f>
        <v>25</v>
      </c>
      <c r="O1105" s="5" t="n">
        <f aca="false">LEN(M1105)</f>
        <v>25</v>
      </c>
      <c r="P1105" s="14" t="n">
        <f aca="false">IF(N1105=0,"",(N1105-LEN(SUBSTITUTE(SUBSTITUTE(L1105,"G",""),"C","")))/N1105)</f>
        <v>0.52</v>
      </c>
      <c r="Q1105" s="14" t="n">
        <f aca="false">IF(O1105=0,"",(O1105-LEN(SUBSTITUTE(SUBSTITUTE(M1105,"G",""),"C","")))/O1105)</f>
        <v>0.44</v>
      </c>
      <c r="R1105" s="5" t="s">
        <v>318</v>
      </c>
      <c r="S1105" s="15" t="s">
        <v>1677</v>
      </c>
      <c r="T1105" s="5" t="n">
        <v>150</v>
      </c>
      <c r="U1105" s="5" t="s">
        <v>1678</v>
      </c>
      <c r="V1105" s="5" t="s">
        <v>1055</v>
      </c>
      <c r="W1105" s="5"/>
      <c r="X1105" s="15" t="s">
        <v>1677</v>
      </c>
      <c r="Y1105" s="5"/>
    </row>
    <row r="1106" customFormat="false" ht="15" hidden="false" customHeight="false" outlineLevel="0" collapsed="false">
      <c r="A1106" s="5" t="s">
        <v>11177</v>
      </c>
      <c r="B1106" s="5" t="s">
        <v>1186</v>
      </c>
      <c r="C1106" s="5" t="s">
        <v>313</v>
      </c>
      <c r="D1106" s="10" t="s">
        <v>137</v>
      </c>
      <c r="E1106" s="5" t="n">
        <v>7</v>
      </c>
      <c r="F1106" s="5" t="s">
        <v>11178</v>
      </c>
      <c r="G1106" s="13" t="s">
        <v>11179</v>
      </c>
      <c r="H1106" s="5" t="s">
        <v>11180</v>
      </c>
      <c r="I1106" s="13" t="s">
        <v>11181</v>
      </c>
      <c r="J1106" s="5" t="s">
        <v>11182</v>
      </c>
      <c r="K1106" s="5" t="s">
        <v>11183</v>
      </c>
      <c r="L1106" s="13" t="s">
        <v>11184</v>
      </c>
      <c r="M1106" s="13" t="s">
        <v>11185</v>
      </c>
      <c r="N1106" s="5" t="n">
        <f aca="false">LEN(L1106)</f>
        <v>25</v>
      </c>
      <c r="O1106" s="5" t="n">
        <f aca="false">LEN(M1106)</f>
        <v>25</v>
      </c>
      <c r="P1106" s="14" t="n">
        <f aca="false">IF(N1106=0,"",(N1106-LEN(SUBSTITUTE(SUBSTITUTE(L1106,"G",""),"C","")))/N1106)</f>
        <v>0.48</v>
      </c>
      <c r="Q1106" s="14" t="n">
        <f aca="false">IF(O1106=0,"",(O1106-LEN(SUBSTITUTE(SUBSTITUTE(M1106,"G",""),"C","")))/O1106)</f>
        <v>0.44</v>
      </c>
      <c r="R1106" s="5" t="s">
        <v>318</v>
      </c>
      <c r="S1106" s="15" t="s">
        <v>1677</v>
      </c>
      <c r="T1106" s="5" t="n">
        <v>184</v>
      </c>
      <c r="U1106" s="5" t="s">
        <v>1678</v>
      </c>
      <c r="V1106" s="5" t="s">
        <v>154</v>
      </c>
      <c r="W1106" s="5"/>
      <c r="X1106" s="15" t="s">
        <v>1677</v>
      </c>
      <c r="Y1106" s="5"/>
    </row>
    <row r="1107" customFormat="false" ht="15" hidden="false" customHeight="false" outlineLevel="0" collapsed="false">
      <c r="A1107" s="5" t="s">
        <v>11186</v>
      </c>
      <c r="B1107" s="5" t="s">
        <v>1186</v>
      </c>
      <c r="C1107" s="5" t="s">
        <v>313</v>
      </c>
      <c r="D1107" s="10" t="s">
        <v>137</v>
      </c>
      <c r="E1107" s="5" t="n">
        <v>8</v>
      </c>
      <c r="F1107" s="5" t="s">
        <v>11187</v>
      </c>
      <c r="G1107" s="13" t="s">
        <v>11188</v>
      </c>
      <c r="H1107" s="5" t="s">
        <v>11189</v>
      </c>
      <c r="I1107" s="13" t="s">
        <v>11190</v>
      </c>
      <c r="J1107" s="5" t="s">
        <v>11191</v>
      </c>
      <c r="K1107" s="5" t="s">
        <v>11192</v>
      </c>
      <c r="L1107" s="13" t="s">
        <v>11193</v>
      </c>
      <c r="M1107" s="13" t="s">
        <v>11194</v>
      </c>
      <c r="N1107" s="5" t="n">
        <f aca="false">LEN(L1107)</f>
        <v>25</v>
      </c>
      <c r="O1107" s="5" t="n">
        <f aca="false">LEN(M1107)</f>
        <v>25</v>
      </c>
      <c r="P1107" s="14" t="n">
        <f aca="false">IF(N1107=0,"",(N1107-LEN(SUBSTITUTE(SUBSTITUTE(L1107,"G",""),"C","")))/N1107)</f>
        <v>0.68</v>
      </c>
      <c r="Q1107" s="14" t="n">
        <f aca="false">IF(O1107=0,"",(O1107-LEN(SUBSTITUTE(SUBSTITUTE(M1107,"G",""),"C","")))/O1107)</f>
        <v>0.6</v>
      </c>
      <c r="R1107" s="5" t="s">
        <v>11169</v>
      </c>
      <c r="S1107" s="15" t="s">
        <v>1677</v>
      </c>
      <c r="T1107" s="5" t="n">
        <v>205</v>
      </c>
      <c r="U1107" s="5" t="s">
        <v>1678</v>
      </c>
      <c r="V1107" s="5" t="s">
        <v>154</v>
      </c>
      <c r="W1107" s="5"/>
      <c r="X1107" s="15" t="s">
        <v>1677</v>
      </c>
      <c r="Y1107" s="5"/>
    </row>
    <row r="1108" customFormat="false" ht="15" hidden="false" customHeight="false" outlineLevel="0" collapsed="false">
      <c r="A1108" s="5" t="s">
        <v>11195</v>
      </c>
      <c r="B1108" s="5" t="s">
        <v>1186</v>
      </c>
      <c r="C1108" s="5" t="s">
        <v>313</v>
      </c>
      <c r="D1108" s="10" t="s">
        <v>137</v>
      </c>
      <c r="E1108" s="5" t="n">
        <v>9</v>
      </c>
      <c r="F1108" s="5" t="s">
        <v>11196</v>
      </c>
      <c r="G1108" s="13" t="s">
        <v>11197</v>
      </c>
      <c r="H1108" s="5" t="s">
        <v>11198</v>
      </c>
      <c r="I1108" s="13" t="s">
        <v>11199</v>
      </c>
      <c r="J1108" s="5" t="s">
        <v>11200</v>
      </c>
      <c r="K1108" s="5" t="s">
        <v>11201</v>
      </c>
      <c r="L1108" s="13" t="s">
        <v>11202</v>
      </c>
      <c r="M1108" s="13" t="s">
        <v>11203</v>
      </c>
      <c r="N1108" s="5" t="n">
        <f aca="false">LEN(L1108)</f>
        <v>25</v>
      </c>
      <c r="O1108" s="5" t="n">
        <f aca="false">LEN(M1108)</f>
        <v>25</v>
      </c>
      <c r="P1108" s="14" t="n">
        <f aca="false">IF(N1108=0,"",(N1108-LEN(SUBSTITUTE(SUBSTITUTE(L1108,"G",""),"C","")))/N1108)</f>
        <v>0.6</v>
      </c>
      <c r="Q1108" s="14" t="n">
        <f aca="false">IF(O1108=0,"",(O1108-LEN(SUBSTITUTE(SUBSTITUTE(M1108,"G",""),"C","")))/O1108)</f>
        <v>0.52</v>
      </c>
      <c r="R1108" s="5" t="s">
        <v>318</v>
      </c>
      <c r="S1108" s="15" t="s">
        <v>1677</v>
      </c>
      <c r="T1108" s="5" t="n">
        <v>257</v>
      </c>
      <c r="U1108" s="5" t="s">
        <v>1678</v>
      </c>
      <c r="V1108" s="5" t="s">
        <v>154</v>
      </c>
      <c r="W1108" s="5"/>
      <c r="X1108" s="15" t="s">
        <v>1677</v>
      </c>
      <c r="Y1108" s="5"/>
    </row>
    <row r="1109" customFormat="false" ht="15" hidden="false" customHeight="false" outlineLevel="0" collapsed="false">
      <c r="A1109" s="5" t="s">
        <v>11204</v>
      </c>
      <c r="B1109" s="5" t="s">
        <v>1186</v>
      </c>
      <c r="C1109" s="5" t="s">
        <v>313</v>
      </c>
      <c r="D1109" s="10" t="s">
        <v>137</v>
      </c>
      <c r="E1109" s="5" t="n">
        <v>10</v>
      </c>
      <c r="F1109" s="5" t="s">
        <v>11205</v>
      </c>
      <c r="G1109" s="13" t="s">
        <v>11206</v>
      </c>
      <c r="H1109" s="5" t="s">
        <v>11207</v>
      </c>
      <c r="I1109" s="13" t="s">
        <v>11208</v>
      </c>
      <c r="J1109" s="5" t="s">
        <v>11209</v>
      </c>
      <c r="K1109" s="5" t="s">
        <v>11210</v>
      </c>
      <c r="L1109" s="13" t="s">
        <v>11211</v>
      </c>
      <c r="M1109" s="13" t="s">
        <v>11212</v>
      </c>
      <c r="N1109" s="5" t="n">
        <f aca="false">LEN(L1109)</f>
        <v>25</v>
      </c>
      <c r="O1109" s="5" t="n">
        <f aca="false">LEN(M1109)</f>
        <v>25</v>
      </c>
      <c r="P1109" s="14" t="n">
        <f aca="false">IF(N1109=0,"",(N1109-LEN(SUBSTITUTE(SUBSTITUTE(L1109,"G",""),"C","")))/N1109)</f>
        <v>0.52</v>
      </c>
      <c r="Q1109" s="14" t="n">
        <f aca="false">IF(O1109=0,"",(O1109-LEN(SUBSTITUTE(SUBSTITUTE(M1109,"G",""),"C","")))/O1109)</f>
        <v>0.48</v>
      </c>
      <c r="R1109" s="5" t="s">
        <v>11169</v>
      </c>
      <c r="S1109" s="15" t="s">
        <v>1677</v>
      </c>
      <c r="T1109" s="5" t="n">
        <v>274</v>
      </c>
      <c r="U1109" s="5" t="s">
        <v>1678</v>
      </c>
      <c r="V1109" s="5" t="s">
        <v>154</v>
      </c>
      <c r="W1109" s="5"/>
      <c r="X1109" s="15" t="s">
        <v>1677</v>
      </c>
      <c r="Y1109" s="5"/>
    </row>
    <row r="1110" customFormat="false" ht="15" hidden="false" customHeight="false" outlineLevel="0" collapsed="false">
      <c r="A1110" s="5" t="s">
        <v>11213</v>
      </c>
      <c r="B1110" s="5" t="s">
        <v>1186</v>
      </c>
      <c r="C1110" s="5" t="s">
        <v>313</v>
      </c>
      <c r="D1110" s="10" t="s">
        <v>137</v>
      </c>
      <c r="E1110" s="5" t="n">
        <v>11</v>
      </c>
      <c r="F1110" s="5" t="s">
        <v>11214</v>
      </c>
      <c r="G1110" s="13" t="s">
        <v>11215</v>
      </c>
      <c r="H1110" s="5" t="s">
        <v>11216</v>
      </c>
      <c r="I1110" s="13" t="s">
        <v>11217</v>
      </c>
      <c r="J1110" s="5" t="s">
        <v>11218</v>
      </c>
      <c r="K1110" s="5" t="s">
        <v>11219</v>
      </c>
      <c r="L1110" s="13" t="s">
        <v>3663</v>
      </c>
      <c r="M1110" s="13" t="s">
        <v>3664</v>
      </c>
      <c r="N1110" s="5" t="n">
        <f aca="false">LEN(L1110)</f>
        <v>25</v>
      </c>
      <c r="O1110" s="5" t="n">
        <f aca="false">LEN(M1110)</f>
        <v>25</v>
      </c>
      <c r="P1110" s="14" t="n">
        <f aca="false">IF(N1110=0,"",(N1110-LEN(SUBSTITUTE(SUBSTITUTE(L1110,"G",""),"C","")))/N1110)</f>
        <v>0.6</v>
      </c>
      <c r="Q1110" s="14" t="n">
        <f aca="false">IF(O1110=0,"",(O1110-LEN(SUBSTITUTE(SUBSTITUTE(M1110,"G",""),"C","")))/O1110)</f>
        <v>0.76</v>
      </c>
      <c r="R1110" s="5" t="s">
        <v>318</v>
      </c>
      <c r="S1110" s="15" t="s">
        <v>1677</v>
      </c>
      <c r="T1110" s="5" t="n">
        <v>296</v>
      </c>
      <c r="U1110" s="5" t="s">
        <v>1678</v>
      </c>
      <c r="V1110" s="5" t="s">
        <v>1055</v>
      </c>
      <c r="W1110" s="5"/>
      <c r="X1110" s="15" t="s">
        <v>1677</v>
      </c>
      <c r="Y1110" s="5"/>
    </row>
    <row r="1111" customFormat="false" ht="15" hidden="false" customHeight="false" outlineLevel="0" collapsed="false">
      <c r="A1111" s="5" t="s">
        <v>11220</v>
      </c>
      <c r="B1111" s="5" t="s">
        <v>1186</v>
      </c>
      <c r="C1111" s="5" t="s">
        <v>313</v>
      </c>
      <c r="D1111" s="10" t="s">
        <v>137</v>
      </c>
      <c r="E1111" s="5" t="n">
        <v>12</v>
      </c>
      <c r="F1111" s="5" t="s">
        <v>11221</v>
      </c>
      <c r="G1111" s="13" t="s">
        <v>11222</v>
      </c>
      <c r="H1111" s="5" t="s">
        <v>11223</v>
      </c>
      <c r="I1111" s="13" t="s">
        <v>11224</v>
      </c>
      <c r="J1111" s="5" t="s">
        <v>11225</v>
      </c>
      <c r="K1111" s="5" t="s">
        <v>11226</v>
      </c>
      <c r="L1111" s="13" t="s">
        <v>11227</v>
      </c>
      <c r="M1111" s="13" t="s">
        <v>11228</v>
      </c>
      <c r="N1111" s="5" t="n">
        <f aca="false">LEN(L1111)</f>
        <v>25</v>
      </c>
      <c r="O1111" s="5" t="n">
        <f aca="false">LEN(M1111)</f>
        <v>25</v>
      </c>
      <c r="P1111" s="14" t="n">
        <f aca="false">IF(N1111=0,"",(N1111-LEN(SUBSTITUTE(SUBSTITUTE(L1111,"G",""),"C","")))/N1111)</f>
        <v>0.8</v>
      </c>
      <c r="Q1111" s="14" t="n">
        <f aca="false">IF(O1111=0,"",(O1111-LEN(SUBSTITUTE(SUBSTITUTE(M1111,"G",""),"C","")))/O1111)</f>
        <v>0.68</v>
      </c>
      <c r="R1111" s="5" t="s">
        <v>318</v>
      </c>
      <c r="S1111" s="15" t="s">
        <v>1677</v>
      </c>
      <c r="T1111" s="5" t="n">
        <v>329</v>
      </c>
      <c r="U1111" s="5" t="s">
        <v>1678</v>
      </c>
      <c r="V1111" s="5" t="s">
        <v>154</v>
      </c>
      <c r="W1111" s="5"/>
      <c r="X1111" s="15" t="s">
        <v>1677</v>
      </c>
      <c r="Y1111" s="5"/>
    </row>
    <row r="1112" customFormat="false" ht="15" hidden="false" customHeight="false" outlineLevel="0" collapsed="false">
      <c r="A1112" s="5" t="s">
        <v>11229</v>
      </c>
      <c r="B1112" s="5" t="s">
        <v>1186</v>
      </c>
      <c r="C1112" s="5" t="s">
        <v>313</v>
      </c>
      <c r="D1112" s="10" t="s">
        <v>137</v>
      </c>
      <c r="E1112" s="5" t="n">
        <v>13</v>
      </c>
      <c r="F1112" s="5" t="s">
        <v>11230</v>
      </c>
      <c r="G1112" s="13" t="s">
        <v>11231</v>
      </c>
      <c r="H1112" s="5" t="s">
        <v>11232</v>
      </c>
      <c r="I1112" s="13" t="s">
        <v>11233</v>
      </c>
      <c r="J1112" s="5" t="s">
        <v>11234</v>
      </c>
      <c r="K1112" s="5" t="s">
        <v>11235</v>
      </c>
      <c r="L1112" s="13" t="s">
        <v>3672</v>
      </c>
      <c r="M1112" s="13" t="s">
        <v>3673</v>
      </c>
      <c r="N1112" s="5" t="n">
        <f aca="false">LEN(L1112)</f>
        <v>25</v>
      </c>
      <c r="O1112" s="5" t="n">
        <f aca="false">LEN(M1112)</f>
        <v>25</v>
      </c>
      <c r="P1112" s="14" t="n">
        <f aca="false">IF(N1112=0,"",(N1112-LEN(SUBSTITUTE(SUBSTITUTE(L1112,"G",""),"C","")))/N1112)</f>
        <v>0.6</v>
      </c>
      <c r="Q1112" s="14" t="n">
        <f aca="false">IF(O1112=0,"",(O1112-LEN(SUBSTITUTE(SUBSTITUTE(M1112,"G",""),"C","")))/O1112)</f>
        <v>0.6</v>
      </c>
      <c r="R1112" s="5" t="s">
        <v>318</v>
      </c>
      <c r="S1112" s="15" t="s">
        <v>1677</v>
      </c>
      <c r="T1112" s="5" t="n">
        <v>370</v>
      </c>
      <c r="U1112" s="5" t="s">
        <v>1678</v>
      </c>
      <c r="V1112" s="5" t="s">
        <v>1055</v>
      </c>
      <c r="W1112" s="5"/>
      <c r="X1112" s="15" t="s">
        <v>1677</v>
      </c>
      <c r="Y1112" s="5"/>
    </row>
    <row r="1113" customFormat="false" ht="15" hidden="false" customHeight="false" outlineLevel="0" collapsed="false">
      <c r="A1113" s="5" t="s">
        <v>11236</v>
      </c>
      <c r="B1113" s="5" t="s">
        <v>1186</v>
      </c>
      <c r="C1113" s="5" t="s">
        <v>313</v>
      </c>
      <c r="D1113" s="10" t="s">
        <v>137</v>
      </c>
      <c r="E1113" s="5" t="n">
        <v>14</v>
      </c>
      <c r="F1113" s="5" t="s">
        <v>11237</v>
      </c>
      <c r="G1113" s="13" t="s">
        <v>11238</v>
      </c>
      <c r="H1113" s="5" t="s">
        <v>11239</v>
      </c>
      <c r="I1113" s="13" t="s">
        <v>11240</v>
      </c>
      <c r="J1113" s="5" t="s">
        <v>11241</v>
      </c>
      <c r="K1113" s="5" t="s">
        <v>11242</v>
      </c>
      <c r="L1113" s="13" t="s">
        <v>11243</v>
      </c>
      <c r="M1113" s="13" t="s">
        <v>11244</v>
      </c>
      <c r="N1113" s="5" t="n">
        <f aca="false">LEN(L1113)</f>
        <v>25</v>
      </c>
      <c r="O1113" s="5" t="n">
        <f aca="false">LEN(M1113)</f>
        <v>25</v>
      </c>
      <c r="P1113" s="14" t="n">
        <f aca="false">IF(N1113=0,"",(N1113-LEN(SUBSTITUTE(SUBSTITUTE(L1113,"G",""),"C","")))/N1113)</f>
        <v>0.72</v>
      </c>
      <c r="Q1113" s="14" t="n">
        <f aca="false">IF(O1113=0,"",(O1113-LEN(SUBSTITUTE(SUBSTITUTE(M1113,"G",""),"C","")))/O1113)</f>
        <v>0.84</v>
      </c>
      <c r="R1113" s="5" t="s">
        <v>11169</v>
      </c>
      <c r="S1113" s="15" t="s">
        <v>1677</v>
      </c>
      <c r="T1113" s="5" t="n">
        <v>484</v>
      </c>
      <c r="U1113" s="5" t="s">
        <v>1678</v>
      </c>
      <c r="V1113" s="5" t="s">
        <v>154</v>
      </c>
      <c r="W1113" s="5"/>
      <c r="X1113" s="15" t="s">
        <v>1677</v>
      </c>
      <c r="Y1113" s="5"/>
    </row>
    <row r="1114" customFormat="false" ht="15" hidden="false" customHeight="false" outlineLevel="0" collapsed="false">
      <c r="A1114" s="5" t="s">
        <v>11245</v>
      </c>
      <c r="B1114" s="5" t="s">
        <v>1186</v>
      </c>
      <c r="C1114" s="5" t="s">
        <v>313</v>
      </c>
      <c r="D1114" s="10" t="s">
        <v>137</v>
      </c>
      <c r="E1114" s="5" t="n">
        <v>15</v>
      </c>
      <c r="F1114" s="5" t="s">
        <v>11246</v>
      </c>
      <c r="G1114" s="13" t="s">
        <v>11247</v>
      </c>
      <c r="H1114" s="5" t="s">
        <v>11248</v>
      </c>
      <c r="I1114" s="13" t="s">
        <v>11249</v>
      </c>
      <c r="J1114" s="5" t="s">
        <v>11250</v>
      </c>
      <c r="K1114" s="5" t="s">
        <v>11251</v>
      </c>
      <c r="L1114" s="13" t="s">
        <v>11252</v>
      </c>
      <c r="M1114" s="13" t="s">
        <v>11253</v>
      </c>
      <c r="N1114" s="5" t="n">
        <f aca="false">LEN(L1114)</f>
        <v>25</v>
      </c>
      <c r="O1114" s="5" t="n">
        <f aca="false">LEN(M1114)</f>
        <v>25</v>
      </c>
      <c r="P1114" s="14" t="n">
        <f aca="false">IF(N1114=0,"",(N1114-LEN(SUBSTITUTE(SUBSTITUTE(L1114,"G",""),"C","")))/N1114)</f>
        <v>0.68</v>
      </c>
      <c r="Q1114" s="14" t="n">
        <f aca="false">IF(O1114=0,"",(O1114-LEN(SUBSTITUTE(SUBSTITUTE(M1114,"G",""),"C","")))/O1114)</f>
        <v>0.52</v>
      </c>
      <c r="R1114" s="5" t="s">
        <v>11169</v>
      </c>
      <c r="S1114" s="15" t="s">
        <v>1677</v>
      </c>
      <c r="T1114" s="5" t="n">
        <v>552</v>
      </c>
      <c r="U1114" s="5" t="s">
        <v>1678</v>
      </c>
      <c r="V1114" s="5" t="s">
        <v>154</v>
      </c>
      <c r="W1114" s="5"/>
      <c r="X1114" s="15" t="s">
        <v>1677</v>
      </c>
      <c r="Y1114" s="5"/>
    </row>
    <row r="1115" customFormat="false" ht="15" hidden="false" customHeight="false" outlineLevel="0" collapsed="false">
      <c r="A1115" s="5" t="s">
        <v>11254</v>
      </c>
      <c r="B1115" s="5" t="s">
        <v>1190</v>
      </c>
      <c r="C1115" s="5" t="s">
        <v>841</v>
      </c>
      <c r="D1115" s="10" t="s">
        <v>137</v>
      </c>
      <c r="E1115" s="5" t="n">
        <v>1</v>
      </c>
      <c r="F1115" s="5" t="s">
        <v>11255</v>
      </c>
      <c r="G1115" s="13" t="s">
        <v>11256</v>
      </c>
      <c r="H1115" s="5" t="s">
        <v>11257</v>
      </c>
      <c r="I1115" s="13" t="s">
        <v>11258</v>
      </c>
      <c r="J1115" s="5" t="s">
        <v>4146</v>
      </c>
      <c r="K1115" s="5" t="s">
        <v>4146</v>
      </c>
      <c r="L1115" s="13" t="s">
        <v>11259</v>
      </c>
      <c r="M1115" s="13" t="s">
        <v>11260</v>
      </c>
      <c r="N1115" s="5" t="n">
        <f aca="false">LEN(L1115)</f>
        <v>25</v>
      </c>
      <c r="O1115" s="5" t="n">
        <f aca="false">LEN(M1115)</f>
        <v>25</v>
      </c>
      <c r="P1115" s="14" t="n">
        <f aca="false">IF(N1115=0,"",(N1115-LEN(SUBSTITUTE(SUBSTITUTE(L1115,"G",""),"C","")))/N1115)</f>
        <v>0.44</v>
      </c>
      <c r="Q1115" s="14" t="n">
        <f aca="false">IF(O1115=0,"",(O1115-LEN(SUBSTITUTE(SUBSTITUTE(M1115,"G",""),"C","")))/O1115)</f>
        <v>0.4</v>
      </c>
      <c r="R1115" s="5" t="s">
        <v>846</v>
      </c>
      <c r="S1115" s="15" t="s">
        <v>1677</v>
      </c>
      <c r="T1115" s="5" t="n">
        <v>73</v>
      </c>
      <c r="U1115" s="5" t="s">
        <v>1678</v>
      </c>
      <c r="V1115" s="5" t="s">
        <v>1191</v>
      </c>
      <c r="W1115" s="5" t="s">
        <v>1191</v>
      </c>
      <c r="X1115" s="15" t="s">
        <v>1677</v>
      </c>
      <c r="Y1115" s="5"/>
    </row>
    <row r="1116" customFormat="false" ht="15" hidden="false" customHeight="false" outlineLevel="0" collapsed="false">
      <c r="A1116" s="5" t="s">
        <v>11261</v>
      </c>
      <c r="B1116" s="5" t="s">
        <v>1190</v>
      </c>
      <c r="C1116" s="5" t="s">
        <v>841</v>
      </c>
      <c r="D1116" s="10" t="s">
        <v>137</v>
      </c>
      <c r="E1116" s="5" t="n">
        <v>2</v>
      </c>
      <c r="F1116" s="5" t="s">
        <v>11262</v>
      </c>
      <c r="G1116" s="13" t="s">
        <v>11263</v>
      </c>
      <c r="H1116" s="5" t="s">
        <v>11264</v>
      </c>
      <c r="I1116" s="13" t="s">
        <v>11265</v>
      </c>
      <c r="J1116" s="5" t="s">
        <v>4146</v>
      </c>
      <c r="K1116" s="5" t="s">
        <v>4146</v>
      </c>
      <c r="L1116" s="13" t="s">
        <v>11266</v>
      </c>
      <c r="M1116" s="13" t="s">
        <v>11267</v>
      </c>
      <c r="N1116" s="5" t="n">
        <f aca="false">LEN(L1116)</f>
        <v>25</v>
      </c>
      <c r="O1116" s="5" t="n">
        <f aca="false">LEN(M1116)</f>
        <v>25</v>
      </c>
      <c r="P1116" s="14" t="n">
        <f aca="false">IF(N1116=0,"",(N1116-LEN(SUBSTITUTE(SUBSTITUTE(L1116,"G",""),"C","")))/N1116)</f>
        <v>0.68</v>
      </c>
      <c r="Q1116" s="14" t="n">
        <f aca="false">IF(O1116=0,"",(O1116-LEN(SUBSTITUTE(SUBSTITUTE(M1116,"G",""),"C","")))/O1116)</f>
        <v>0.72</v>
      </c>
      <c r="R1116" s="5" t="s">
        <v>846</v>
      </c>
      <c r="S1116" s="8" t="s">
        <v>1914</v>
      </c>
      <c r="T1116" s="5" t="n">
        <v>153</v>
      </c>
      <c r="U1116" s="5" t="s">
        <v>4197</v>
      </c>
      <c r="V1116" s="5" t="s">
        <v>1191</v>
      </c>
      <c r="W1116" s="5" t="s">
        <v>1191</v>
      </c>
      <c r="X1116" s="15" t="s">
        <v>1677</v>
      </c>
      <c r="Y1116" s="8" t="s">
        <v>6318</v>
      </c>
    </row>
    <row r="1117" customFormat="false" ht="15" hidden="false" customHeight="false" outlineLevel="0" collapsed="false">
      <c r="A1117" s="5" t="s">
        <v>11268</v>
      </c>
      <c r="B1117" s="5" t="s">
        <v>1190</v>
      </c>
      <c r="C1117" s="5" t="s">
        <v>841</v>
      </c>
      <c r="D1117" s="10" t="s">
        <v>137</v>
      </c>
      <c r="E1117" s="5" t="n">
        <v>3</v>
      </c>
      <c r="F1117" s="5" t="s">
        <v>11269</v>
      </c>
      <c r="G1117" s="13" t="s">
        <v>11270</v>
      </c>
      <c r="H1117" s="5" t="s">
        <v>11271</v>
      </c>
      <c r="I1117" s="13" t="s">
        <v>11272</v>
      </c>
      <c r="J1117" s="5" t="s">
        <v>4146</v>
      </c>
      <c r="K1117" s="5" t="s">
        <v>4146</v>
      </c>
      <c r="L1117" s="13" t="s">
        <v>11273</v>
      </c>
      <c r="M1117" s="13" t="s">
        <v>11274</v>
      </c>
      <c r="N1117" s="5" t="n">
        <f aca="false">LEN(L1117)</f>
        <v>25</v>
      </c>
      <c r="O1117" s="5" t="n">
        <f aca="false">LEN(M1117)</f>
        <v>25</v>
      </c>
      <c r="P1117" s="14" t="n">
        <f aca="false">IF(N1117=0,"",(N1117-LEN(SUBSTITUTE(SUBSTITUTE(L1117,"G",""),"C","")))/N1117)</f>
        <v>0.8</v>
      </c>
      <c r="Q1117" s="14" t="n">
        <f aca="false">IF(O1117=0,"",(O1117-LEN(SUBSTITUTE(SUBSTITUTE(M1117,"G",""),"C","")))/O1117)</f>
        <v>0.68</v>
      </c>
      <c r="R1117" s="5" t="s">
        <v>846</v>
      </c>
      <c r="S1117" s="8" t="s">
        <v>1914</v>
      </c>
      <c r="T1117" s="5" t="n">
        <v>233</v>
      </c>
      <c r="U1117" s="5" t="s">
        <v>4197</v>
      </c>
      <c r="V1117" s="5" t="s">
        <v>1191</v>
      </c>
      <c r="W1117" s="5" t="s">
        <v>1191</v>
      </c>
      <c r="X1117" s="15" t="s">
        <v>1677</v>
      </c>
      <c r="Y1117" s="8" t="s">
        <v>6318</v>
      </c>
    </row>
    <row r="1118" customFormat="false" ht="15" hidden="false" customHeight="false" outlineLevel="0" collapsed="false">
      <c r="A1118" s="5" t="s">
        <v>11275</v>
      </c>
      <c r="B1118" s="5" t="s">
        <v>1190</v>
      </c>
      <c r="C1118" s="5" t="s">
        <v>841</v>
      </c>
      <c r="D1118" s="10" t="s">
        <v>137</v>
      </c>
      <c r="E1118" s="5" t="n">
        <v>4</v>
      </c>
      <c r="F1118" s="5" t="s">
        <v>11276</v>
      </c>
      <c r="G1118" s="13" t="s">
        <v>11277</v>
      </c>
      <c r="H1118" s="5" t="s">
        <v>11278</v>
      </c>
      <c r="I1118" s="13" t="s">
        <v>11279</v>
      </c>
      <c r="J1118" s="5" t="s">
        <v>4146</v>
      </c>
      <c r="K1118" s="5" t="s">
        <v>4146</v>
      </c>
      <c r="L1118" s="13" t="s">
        <v>11280</v>
      </c>
      <c r="M1118" s="13" t="s">
        <v>11281</v>
      </c>
      <c r="N1118" s="5" t="n">
        <f aca="false">LEN(L1118)</f>
        <v>25</v>
      </c>
      <c r="O1118" s="5" t="n">
        <f aca="false">LEN(M1118)</f>
        <v>25</v>
      </c>
      <c r="P1118" s="14" t="n">
        <f aca="false">IF(N1118=0,"",(N1118-LEN(SUBSTITUTE(SUBSTITUTE(L1118,"G",""),"C","")))/N1118)</f>
        <v>0.48</v>
      </c>
      <c r="Q1118" s="14" t="n">
        <f aca="false">IF(O1118=0,"",(O1118-LEN(SUBSTITUTE(SUBSTITUTE(M1118,"G",""),"C","")))/O1118)</f>
        <v>0.6</v>
      </c>
      <c r="R1118" s="5" t="s">
        <v>846</v>
      </c>
      <c r="S1118" s="8" t="s">
        <v>1769</v>
      </c>
      <c r="T1118" s="5" t="n">
        <v>313</v>
      </c>
      <c r="U1118" s="5" t="s">
        <v>4197</v>
      </c>
      <c r="V1118" s="5" t="s">
        <v>1191</v>
      </c>
      <c r="W1118" s="5" t="s">
        <v>1191</v>
      </c>
      <c r="X1118" s="15" t="s">
        <v>1677</v>
      </c>
      <c r="Y1118" s="8" t="s">
        <v>3168</v>
      </c>
    </row>
    <row r="1119" customFormat="false" ht="15" hidden="false" customHeight="false" outlineLevel="0" collapsed="false">
      <c r="A1119" s="5" t="s">
        <v>11282</v>
      </c>
      <c r="B1119" s="5" t="s">
        <v>1190</v>
      </c>
      <c r="C1119" s="5" t="s">
        <v>841</v>
      </c>
      <c r="D1119" s="10" t="s">
        <v>137</v>
      </c>
      <c r="E1119" s="5" t="n">
        <v>5</v>
      </c>
      <c r="F1119" s="5" t="s">
        <v>11283</v>
      </c>
      <c r="G1119" s="13" t="s">
        <v>11284</v>
      </c>
      <c r="H1119" s="5" t="s">
        <v>11285</v>
      </c>
      <c r="I1119" s="13" t="s">
        <v>11286</v>
      </c>
      <c r="J1119" s="5" t="s">
        <v>4146</v>
      </c>
      <c r="K1119" s="5" t="s">
        <v>4146</v>
      </c>
      <c r="L1119" s="13" t="s">
        <v>11287</v>
      </c>
      <c r="M1119" s="13" t="s">
        <v>11288</v>
      </c>
      <c r="N1119" s="5" t="n">
        <f aca="false">LEN(L1119)</f>
        <v>25</v>
      </c>
      <c r="O1119" s="5" t="n">
        <f aca="false">LEN(M1119)</f>
        <v>25</v>
      </c>
      <c r="P1119" s="14" t="n">
        <f aca="false">IF(N1119=0,"",(N1119-LEN(SUBSTITUTE(SUBSTITUTE(L1119,"G",""),"C","")))/N1119)</f>
        <v>0.44</v>
      </c>
      <c r="Q1119" s="14" t="n">
        <f aca="false">IF(O1119=0,"",(O1119-LEN(SUBSTITUTE(SUBSTITUTE(M1119,"G",""),"C","")))/O1119)</f>
        <v>0.64</v>
      </c>
      <c r="R1119" s="5" t="s">
        <v>846</v>
      </c>
      <c r="S1119" s="15" t="s">
        <v>1677</v>
      </c>
      <c r="T1119" s="5" t="n">
        <v>393</v>
      </c>
      <c r="U1119" s="5" t="s">
        <v>1678</v>
      </c>
      <c r="V1119" s="5" t="s">
        <v>1191</v>
      </c>
      <c r="W1119" s="5" t="s">
        <v>1191</v>
      </c>
      <c r="X1119" s="15" t="s">
        <v>1677</v>
      </c>
      <c r="Y1119" s="5"/>
    </row>
    <row r="1120" customFormat="false" ht="15" hidden="false" customHeight="false" outlineLevel="0" collapsed="false">
      <c r="A1120" s="5" t="s">
        <v>11289</v>
      </c>
      <c r="B1120" s="5" t="s">
        <v>1190</v>
      </c>
      <c r="C1120" s="5" t="s">
        <v>841</v>
      </c>
      <c r="D1120" s="10" t="s">
        <v>137</v>
      </c>
      <c r="E1120" s="5" t="n">
        <v>6</v>
      </c>
      <c r="F1120" s="5" t="s">
        <v>11290</v>
      </c>
      <c r="G1120" s="13" t="s">
        <v>11291</v>
      </c>
      <c r="H1120" s="5" t="s">
        <v>11292</v>
      </c>
      <c r="I1120" s="13" t="s">
        <v>11293</v>
      </c>
      <c r="J1120" s="5" t="s">
        <v>4146</v>
      </c>
      <c r="K1120" s="5" t="s">
        <v>4146</v>
      </c>
      <c r="L1120" s="13" t="s">
        <v>11294</v>
      </c>
      <c r="M1120" s="13" t="s">
        <v>11295</v>
      </c>
      <c r="N1120" s="5" t="n">
        <f aca="false">LEN(L1120)</f>
        <v>25</v>
      </c>
      <c r="O1120" s="5" t="n">
        <f aca="false">LEN(M1120)</f>
        <v>25</v>
      </c>
      <c r="P1120" s="14" t="n">
        <f aca="false">IF(N1120=0,"",(N1120-LEN(SUBSTITUTE(SUBSTITUTE(L1120,"G",""),"C","")))/N1120)</f>
        <v>0.4</v>
      </c>
      <c r="Q1120" s="14" t="n">
        <f aca="false">IF(O1120=0,"",(O1120-LEN(SUBSTITUTE(SUBSTITUTE(M1120,"G",""),"C","")))/O1120)</f>
        <v>0.64</v>
      </c>
      <c r="R1120" s="5" t="s">
        <v>846</v>
      </c>
      <c r="S1120" s="15" t="s">
        <v>1677</v>
      </c>
      <c r="T1120" s="5" t="n">
        <v>473</v>
      </c>
      <c r="U1120" s="5" t="s">
        <v>1678</v>
      </c>
      <c r="V1120" s="5" t="s">
        <v>1191</v>
      </c>
      <c r="W1120" s="5" t="s">
        <v>1191</v>
      </c>
      <c r="X1120" s="15" t="s">
        <v>1677</v>
      </c>
      <c r="Y1120" s="5"/>
    </row>
    <row r="1121" customFormat="false" ht="15" hidden="false" customHeight="false" outlineLevel="0" collapsed="false">
      <c r="A1121" s="5" t="s">
        <v>11296</v>
      </c>
      <c r="B1121" s="5" t="s">
        <v>1190</v>
      </c>
      <c r="C1121" s="5" t="s">
        <v>841</v>
      </c>
      <c r="D1121" s="10" t="s">
        <v>137</v>
      </c>
      <c r="E1121" s="5" t="n">
        <v>7</v>
      </c>
      <c r="F1121" s="5" t="s">
        <v>11297</v>
      </c>
      <c r="G1121" s="13" t="s">
        <v>11298</v>
      </c>
      <c r="H1121" s="5" t="s">
        <v>11299</v>
      </c>
      <c r="I1121" s="13" t="s">
        <v>11300</v>
      </c>
      <c r="J1121" s="5" t="s">
        <v>4146</v>
      </c>
      <c r="K1121" s="5" t="s">
        <v>4146</v>
      </c>
      <c r="L1121" s="13" t="s">
        <v>11301</v>
      </c>
      <c r="M1121" s="13" t="s">
        <v>11302</v>
      </c>
      <c r="N1121" s="5" t="n">
        <f aca="false">LEN(L1121)</f>
        <v>25</v>
      </c>
      <c r="O1121" s="5" t="n">
        <f aca="false">LEN(M1121)</f>
        <v>25</v>
      </c>
      <c r="P1121" s="14" t="n">
        <f aca="false">IF(N1121=0,"",(N1121-LEN(SUBSTITUTE(SUBSTITUTE(L1121,"G",""),"C","")))/N1121)</f>
        <v>0.6</v>
      </c>
      <c r="Q1121" s="14" t="n">
        <f aca="false">IF(O1121=0,"",(O1121-LEN(SUBSTITUTE(SUBSTITUTE(M1121,"G",""),"C","")))/O1121)</f>
        <v>0.44</v>
      </c>
      <c r="R1121" s="5" t="s">
        <v>846</v>
      </c>
      <c r="S1121" s="8" t="s">
        <v>1769</v>
      </c>
      <c r="T1121" s="5" t="n">
        <v>553</v>
      </c>
      <c r="U1121" s="5" t="s">
        <v>4197</v>
      </c>
      <c r="V1121" s="5" t="s">
        <v>1191</v>
      </c>
      <c r="W1121" s="5" t="s">
        <v>1191</v>
      </c>
      <c r="X1121" s="15" t="s">
        <v>1677</v>
      </c>
      <c r="Y1121" s="8" t="s">
        <v>3168</v>
      </c>
    </row>
    <row r="1122" customFormat="false" ht="15" hidden="false" customHeight="false" outlineLevel="0" collapsed="false">
      <c r="A1122" s="5" t="s">
        <v>11303</v>
      </c>
      <c r="B1122" s="5" t="s">
        <v>1190</v>
      </c>
      <c r="C1122" s="5" t="s">
        <v>841</v>
      </c>
      <c r="D1122" s="10" t="s">
        <v>137</v>
      </c>
      <c r="E1122" s="5" t="n">
        <v>8</v>
      </c>
      <c r="F1122" s="5" t="s">
        <v>11304</v>
      </c>
      <c r="G1122" s="13" t="s">
        <v>11305</v>
      </c>
      <c r="H1122" s="5" t="s">
        <v>11306</v>
      </c>
      <c r="I1122" s="13" t="s">
        <v>11307</v>
      </c>
      <c r="J1122" s="5" t="s">
        <v>4146</v>
      </c>
      <c r="K1122" s="5" t="s">
        <v>4146</v>
      </c>
      <c r="L1122" s="13" t="s">
        <v>11308</v>
      </c>
      <c r="M1122" s="13" t="s">
        <v>11309</v>
      </c>
      <c r="N1122" s="5" t="n">
        <f aca="false">LEN(L1122)</f>
        <v>25</v>
      </c>
      <c r="O1122" s="5" t="n">
        <f aca="false">LEN(M1122)</f>
        <v>25</v>
      </c>
      <c r="P1122" s="14" t="n">
        <f aca="false">IF(N1122=0,"",(N1122-LEN(SUBSTITUTE(SUBSTITUTE(L1122,"G",""),"C","")))/N1122)</f>
        <v>0.64</v>
      </c>
      <c r="Q1122" s="14" t="n">
        <f aca="false">IF(O1122=0,"",(O1122-LEN(SUBSTITUTE(SUBSTITUTE(M1122,"G",""),"C","")))/O1122)</f>
        <v>0.52</v>
      </c>
      <c r="R1122" s="5" t="s">
        <v>846</v>
      </c>
      <c r="S1122" s="15" t="s">
        <v>1677</v>
      </c>
      <c r="T1122" s="5" t="n">
        <v>633</v>
      </c>
      <c r="U1122" s="5" t="s">
        <v>1678</v>
      </c>
      <c r="V1122" s="5" t="s">
        <v>1191</v>
      </c>
      <c r="W1122" s="5" t="s">
        <v>1191</v>
      </c>
      <c r="X1122" s="15" t="s">
        <v>1677</v>
      </c>
      <c r="Y1122" s="5"/>
    </row>
    <row r="1123" customFormat="false" ht="15" hidden="false" customHeight="false" outlineLevel="0" collapsed="false">
      <c r="A1123" s="5" t="s">
        <v>11310</v>
      </c>
      <c r="B1123" s="5" t="s">
        <v>1190</v>
      </c>
      <c r="C1123" s="5" t="s">
        <v>841</v>
      </c>
      <c r="D1123" s="10" t="s">
        <v>137</v>
      </c>
      <c r="E1123" s="5" t="n">
        <v>9</v>
      </c>
      <c r="F1123" s="5" t="s">
        <v>11311</v>
      </c>
      <c r="G1123" s="13" t="s">
        <v>11312</v>
      </c>
      <c r="H1123" s="5" t="s">
        <v>11313</v>
      </c>
      <c r="I1123" s="13" t="s">
        <v>11314</v>
      </c>
      <c r="J1123" s="5" t="s">
        <v>4146</v>
      </c>
      <c r="K1123" s="5" t="s">
        <v>4146</v>
      </c>
      <c r="L1123" s="13" t="s">
        <v>11315</v>
      </c>
      <c r="M1123" s="13" t="s">
        <v>11316</v>
      </c>
      <c r="N1123" s="5" t="n">
        <f aca="false">LEN(L1123)</f>
        <v>25</v>
      </c>
      <c r="O1123" s="5" t="n">
        <f aca="false">LEN(M1123)</f>
        <v>25</v>
      </c>
      <c r="P1123" s="14" t="n">
        <f aca="false">IF(N1123=0,"",(N1123-LEN(SUBSTITUTE(SUBSTITUTE(L1123,"G",""),"C","")))/N1123)</f>
        <v>0.52</v>
      </c>
      <c r="Q1123" s="14" t="n">
        <f aca="false">IF(O1123=0,"",(O1123-LEN(SUBSTITUTE(SUBSTITUTE(M1123,"G",""),"C","")))/O1123)</f>
        <v>0.64</v>
      </c>
      <c r="R1123" s="5" t="s">
        <v>846</v>
      </c>
      <c r="S1123" s="8" t="s">
        <v>1914</v>
      </c>
      <c r="T1123" s="5" t="n">
        <v>713</v>
      </c>
      <c r="U1123" s="5" t="s">
        <v>4197</v>
      </c>
      <c r="V1123" s="5" t="s">
        <v>1191</v>
      </c>
      <c r="W1123" s="5" t="s">
        <v>1191</v>
      </c>
      <c r="X1123" s="15" t="s">
        <v>1677</v>
      </c>
      <c r="Y1123" s="8" t="s">
        <v>6318</v>
      </c>
    </row>
    <row r="1124" customFormat="false" ht="15" hidden="false" customHeight="false" outlineLevel="0" collapsed="false">
      <c r="A1124" s="5" t="s">
        <v>11317</v>
      </c>
      <c r="B1124" s="5" t="s">
        <v>1190</v>
      </c>
      <c r="C1124" s="5" t="s">
        <v>841</v>
      </c>
      <c r="D1124" s="10" t="s">
        <v>137</v>
      </c>
      <c r="E1124" s="5" t="n">
        <v>10</v>
      </c>
      <c r="F1124" s="5" t="s">
        <v>11318</v>
      </c>
      <c r="G1124" s="13" t="s">
        <v>11319</v>
      </c>
      <c r="H1124" s="5" t="s">
        <v>11320</v>
      </c>
      <c r="I1124" s="13" t="s">
        <v>11321</v>
      </c>
      <c r="J1124" s="5" t="s">
        <v>4146</v>
      </c>
      <c r="K1124" s="5" t="s">
        <v>4146</v>
      </c>
      <c r="L1124" s="13" t="s">
        <v>11322</v>
      </c>
      <c r="M1124" s="13" t="s">
        <v>11323</v>
      </c>
      <c r="N1124" s="5" t="n">
        <f aca="false">LEN(L1124)</f>
        <v>25</v>
      </c>
      <c r="O1124" s="5" t="n">
        <f aca="false">LEN(M1124)</f>
        <v>25</v>
      </c>
      <c r="P1124" s="14" t="n">
        <f aca="false">IF(N1124=0,"",(N1124-LEN(SUBSTITUTE(SUBSTITUTE(L1124,"G",""),"C","")))/N1124)</f>
        <v>0.4</v>
      </c>
      <c r="Q1124" s="14" t="n">
        <f aca="false">IF(O1124=0,"",(O1124-LEN(SUBSTITUTE(SUBSTITUTE(M1124,"G",""),"C","")))/O1124)</f>
        <v>0.4</v>
      </c>
      <c r="R1124" s="5" t="s">
        <v>846</v>
      </c>
      <c r="S1124" s="15" t="s">
        <v>1677</v>
      </c>
      <c r="T1124" s="5" t="n">
        <v>874</v>
      </c>
      <c r="U1124" s="5" t="s">
        <v>1678</v>
      </c>
      <c r="V1124" s="5" t="s">
        <v>1191</v>
      </c>
      <c r="W1124" s="5" t="s">
        <v>1191</v>
      </c>
      <c r="X1124" s="15" t="s">
        <v>1677</v>
      </c>
      <c r="Y1124" s="5"/>
    </row>
    <row r="1125" customFormat="false" ht="15" hidden="false" customHeight="false" outlineLevel="0" collapsed="false">
      <c r="A1125" s="5" t="s">
        <v>11324</v>
      </c>
      <c r="B1125" s="5" t="s">
        <v>1190</v>
      </c>
      <c r="C1125" s="5" t="s">
        <v>841</v>
      </c>
      <c r="D1125" s="10" t="s">
        <v>137</v>
      </c>
      <c r="E1125" s="5" t="n">
        <v>11</v>
      </c>
      <c r="F1125" s="5" t="s">
        <v>11325</v>
      </c>
      <c r="G1125" s="13" t="s">
        <v>11326</v>
      </c>
      <c r="H1125" s="5" t="s">
        <v>11327</v>
      </c>
      <c r="I1125" s="13" t="s">
        <v>11328</v>
      </c>
      <c r="J1125" s="5" t="s">
        <v>4146</v>
      </c>
      <c r="K1125" s="5" t="s">
        <v>4146</v>
      </c>
      <c r="L1125" s="13" t="s">
        <v>11329</v>
      </c>
      <c r="M1125" s="13" t="s">
        <v>11330</v>
      </c>
      <c r="N1125" s="5" t="n">
        <f aca="false">LEN(L1125)</f>
        <v>25</v>
      </c>
      <c r="O1125" s="5" t="n">
        <f aca="false">LEN(M1125)</f>
        <v>25</v>
      </c>
      <c r="P1125" s="14" t="n">
        <f aca="false">IF(N1125=0,"",(N1125-LEN(SUBSTITUTE(SUBSTITUTE(L1125,"G",""),"C","")))/N1125)</f>
        <v>0.44</v>
      </c>
      <c r="Q1125" s="14" t="n">
        <f aca="false">IF(O1125=0,"",(O1125-LEN(SUBSTITUTE(SUBSTITUTE(M1125,"G",""),"C","")))/O1125)</f>
        <v>0.4</v>
      </c>
      <c r="R1125" s="5" t="s">
        <v>846</v>
      </c>
      <c r="S1125" s="15" t="s">
        <v>1677</v>
      </c>
      <c r="T1125" s="5" t="n">
        <v>980</v>
      </c>
      <c r="U1125" s="5" t="s">
        <v>1678</v>
      </c>
      <c r="V1125" s="5" t="s">
        <v>1191</v>
      </c>
      <c r="W1125" s="5" t="s">
        <v>1191</v>
      </c>
      <c r="X1125" s="15" t="s">
        <v>1677</v>
      </c>
      <c r="Y1125" s="5"/>
    </row>
    <row r="1126" customFormat="false" ht="15" hidden="false" customHeight="false" outlineLevel="0" collapsed="false">
      <c r="A1126" s="5" t="s">
        <v>11331</v>
      </c>
      <c r="B1126" s="5" t="s">
        <v>1190</v>
      </c>
      <c r="C1126" s="5" t="s">
        <v>841</v>
      </c>
      <c r="D1126" s="10" t="s">
        <v>137</v>
      </c>
      <c r="E1126" s="5" t="n">
        <v>12</v>
      </c>
      <c r="F1126" s="5" t="s">
        <v>11332</v>
      </c>
      <c r="G1126" s="13" t="s">
        <v>11333</v>
      </c>
      <c r="H1126" s="5" t="s">
        <v>11334</v>
      </c>
      <c r="I1126" s="13" t="s">
        <v>11335</v>
      </c>
      <c r="J1126" s="5" t="s">
        <v>4146</v>
      </c>
      <c r="K1126" s="5" t="s">
        <v>4146</v>
      </c>
      <c r="L1126" s="13" t="s">
        <v>11336</v>
      </c>
      <c r="M1126" s="13" t="s">
        <v>11337</v>
      </c>
      <c r="N1126" s="5" t="n">
        <f aca="false">LEN(L1126)</f>
        <v>25</v>
      </c>
      <c r="O1126" s="5" t="n">
        <f aca="false">LEN(M1126)</f>
        <v>25</v>
      </c>
      <c r="P1126" s="14" t="n">
        <f aca="false">IF(N1126=0,"",(N1126-LEN(SUBSTITUTE(SUBSTITUTE(L1126,"G",""),"C","")))/N1126)</f>
        <v>0.56</v>
      </c>
      <c r="Q1126" s="14" t="n">
        <f aca="false">IF(O1126=0,"",(O1126-LEN(SUBSTITUTE(SUBSTITUTE(M1126,"G",""),"C","")))/O1126)</f>
        <v>0.4</v>
      </c>
      <c r="R1126" s="5" t="s">
        <v>846</v>
      </c>
      <c r="S1126" s="8" t="s">
        <v>1914</v>
      </c>
      <c r="T1126" s="5" t="n">
        <v>1060</v>
      </c>
      <c r="U1126" s="5" t="s">
        <v>4197</v>
      </c>
      <c r="V1126" s="5" t="s">
        <v>1191</v>
      </c>
      <c r="W1126" s="5" t="s">
        <v>1191</v>
      </c>
      <c r="X1126" s="15" t="s">
        <v>1677</v>
      </c>
      <c r="Y1126" s="8" t="s">
        <v>6318</v>
      </c>
    </row>
    <row r="1127" customFormat="false" ht="15" hidden="false" customHeight="false" outlineLevel="0" collapsed="false">
      <c r="A1127" s="5" t="s">
        <v>11338</v>
      </c>
      <c r="B1127" s="5" t="s">
        <v>1190</v>
      </c>
      <c r="C1127" s="5" t="s">
        <v>841</v>
      </c>
      <c r="D1127" s="10" t="s">
        <v>137</v>
      </c>
      <c r="E1127" s="5" t="n">
        <v>13</v>
      </c>
      <c r="F1127" s="5" t="s">
        <v>11339</v>
      </c>
      <c r="G1127" s="13" t="s">
        <v>11340</v>
      </c>
      <c r="H1127" s="5" t="s">
        <v>11341</v>
      </c>
      <c r="I1127" s="13" t="s">
        <v>11342</v>
      </c>
      <c r="J1127" s="5" t="s">
        <v>4146</v>
      </c>
      <c r="K1127" s="5" t="s">
        <v>4146</v>
      </c>
      <c r="L1127" s="13" t="s">
        <v>11343</v>
      </c>
      <c r="M1127" s="13" t="s">
        <v>11344</v>
      </c>
      <c r="N1127" s="5" t="n">
        <f aca="false">LEN(L1127)</f>
        <v>25</v>
      </c>
      <c r="O1127" s="5" t="n">
        <f aca="false">LEN(M1127)</f>
        <v>25</v>
      </c>
      <c r="P1127" s="14" t="n">
        <f aca="false">IF(N1127=0,"",(N1127-LEN(SUBSTITUTE(SUBSTITUTE(L1127,"G",""),"C","")))/N1127)</f>
        <v>0.68</v>
      </c>
      <c r="Q1127" s="14" t="n">
        <f aca="false">IF(O1127=0,"",(O1127-LEN(SUBSTITUTE(SUBSTITUTE(M1127,"G",""),"C","")))/O1127)</f>
        <v>0.6</v>
      </c>
      <c r="R1127" s="5" t="s">
        <v>846</v>
      </c>
      <c r="S1127" s="8" t="s">
        <v>1769</v>
      </c>
      <c r="T1127" s="5" t="n">
        <v>1140</v>
      </c>
      <c r="U1127" s="5" t="s">
        <v>4197</v>
      </c>
      <c r="V1127" s="5" t="s">
        <v>1191</v>
      </c>
      <c r="W1127" s="5" t="s">
        <v>1191</v>
      </c>
      <c r="X1127" s="15" t="s">
        <v>1677</v>
      </c>
      <c r="Y1127" s="8" t="s">
        <v>3168</v>
      </c>
    </row>
    <row r="1128" customFormat="false" ht="15" hidden="false" customHeight="false" outlineLevel="0" collapsed="false">
      <c r="A1128" s="5" t="s">
        <v>11345</v>
      </c>
      <c r="B1128" s="5" t="s">
        <v>1190</v>
      </c>
      <c r="C1128" s="5" t="s">
        <v>841</v>
      </c>
      <c r="D1128" s="10" t="s">
        <v>137</v>
      </c>
      <c r="E1128" s="5" t="n">
        <v>14</v>
      </c>
      <c r="F1128" s="5" t="s">
        <v>11346</v>
      </c>
      <c r="G1128" s="13" t="s">
        <v>11347</v>
      </c>
      <c r="H1128" s="5" t="s">
        <v>11348</v>
      </c>
      <c r="I1128" s="13" t="s">
        <v>11349</v>
      </c>
      <c r="J1128" s="5" t="s">
        <v>4146</v>
      </c>
      <c r="K1128" s="5" t="s">
        <v>4146</v>
      </c>
      <c r="L1128" s="13" t="s">
        <v>11350</v>
      </c>
      <c r="M1128" s="13" t="s">
        <v>11351</v>
      </c>
      <c r="N1128" s="5" t="n">
        <f aca="false">LEN(L1128)</f>
        <v>25</v>
      </c>
      <c r="O1128" s="5" t="n">
        <f aca="false">LEN(M1128)</f>
        <v>25</v>
      </c>
      <c r="P1128" s="14" t="n">
        <f aca="false">IF(N1128=0,"",(N1128-LEN(SUBSTITUTE(SUBSTITUTE(L1128,"G",""),"C","")))/N1128)</f>
        <v>0.44</v>
      </c>
      <c r="Q1128" s="14" t="n">
        <f aca="false">IF(O1128=0,"",(O1128-LEN(SUBSTITUTE(SUBSTITUTE(M1128,"G",""),"C","")))/O1128)</f>
        <v>0.48</v>
      </c>
      <c r="R1128" s="5" t="s">
        <v>846</v>
      </c>
      <c r="S1128" s="8" t="s">
        <v>1769</v>
      </c>
      <c r="T1128" s="5" t="n">
        <v>1220</v>
      </c>
      <c r="U1128" s="5" t="s">
        <v>4197</v>
      </c>
      <c r="V1128" s="5" t="s">
        <v>1191</v>
      </c>
      <c r="W1128" s="5" t="s">
        <v>1191</v>
      </c>
      <c r="X1128" s="15" t="s">
        <v>1677</v>
      </c>
      <c r="Y1128" s="8" t="s">
        <v>3168</v>
      </c>
    </row>
    <row r="1129" customFormat="false" ht="15" hidden="false" customHeight="false" outlineLevel="0" collapsed="false">
      <c r="A1129" s="5" t="s">
        <v>11352</v>
      </c>
      <c r="B1129" s="5" t="s">
        <v>1190</v>
      </c>
      <c r="C1129" s="5" t="s">
        <v>841</v>
      </c>
      <c r="D1129" s="10" t="s">
        <v>137</v>
      </c>
      <c r="E1129" s="5" t="n">
        <v>15</v>
      </c>
      <c r="F1129" s="5" t="s">
        <v>11353</v>
      </c>
      <c r="G1129" s="13" t="s">
        <v>11354</v>
      </c>
      <c r="H1129" s="5" t="s">
        <v>11355</v>
      </c>
      <c r="I1129" s="13" t="s">
        <v>11356</v>
      </c>
      <c r="J1129" s="5" t="s">
        <v>4146</v>
      </c>
      <c r="K1129" s="5" t="s">
        <v>4146</v>
      </c>
      <c r="L1129" s="13" t="s">
        <v>11357</v>
      </c>
      <c r="M1129" s="13" t="s">
        <v>11358</v>
      </c>
      <c r="N1129" s="5" t="n">
        <f aca="false">LEN(L1129)</f>
        <v>25</v>
      </c>
      <c r="O1129" s="5" t="n">
        <f aca="false">LEN(M1129)</f>
        <v>25</v>
      </c>
      <c r="P1129" s="14" t="n">
        <f aca="false">IF(N1129=0,"",(N1129-LEN(SUBSTITUTE(SUBSTITUTE(L1129,"G",""),"C","")))/N1129)</f>
        <v>0.64</v>
      </c>
      <c r="Q1129" s="14" t="n">
        <f aca="false">IF(O1129=0,"",(O1129-LEN(SUBSTITUTE(SUBSTITUTE(M1129,"G",""),"C","")))/O1129)</f>
        <v>0.4</v>
      </c>
      <c r="R1129" s="5"/>
      <c r="S1129" s="8" t="s">
        <v>2131</v>
      </c>
      <c r="T1129" s="5"/>
      <c r="U1129" s="5" t="s">
        <v>4197</v>
      </c>
      <c r="V1129" s="5" t="s">
        <v>1191</v>
      </c>
      <c r="W1129" s="5" t="s">
        <v>1191</v>
      </c>
      <c r="X1129" s="15" t="s">
        <v>1677</v>
      </c>
      <c r="Y1129" s="5"/>
    </row>
    <row r="1130" customFormat="false" ht="15" hidden="false" customHeight="false" outlineLevel="0" collapsed="false">
      <c r="A1130" s="5" t="s">
        <v>11359</v>
      </c>
      <c r="B1130" s="5" t="s">
        <v>1193</v>
      </c>
      <c r="C1130" s="5" t="s">
        <v>1194</v>
      </c>
      <c r="D1130" s="10" t="s">
        <v>137</v>
      </c>
      <c r="E1130" s="5" t="n">
        <v>1</v>
      </c>
      <c r="F1130" s="5" t="s">
        <v>11360</v>
      </c>
      <c r="G1130" s="13" t="s">
        <v>11361</v>
      </c>
      <c r="H1130" s="5" t="s">
        <v>11362</v>
      </c>
      <c r="I1130" s="13" t="s">
        <v>11363</v>
      </c>
      <c r="J1130" s="5" t="s">
        <v>11364</v>
      </c>
      <c r="K1130" s="5" t="s">
        <v>11365</v>
      </c>
      <c r="L1130" s="13" t="s">
        <v>11366</v>
      </c>
      <c r="M1130" s="13" t="s">
        <v>11367</v>
      </c>
      <c r="N1130" s="5" t="n">
        <f aca="false">LEN(L1130)</f>
        <v>25</v>
      </c>
      <c r="O1130" s="5" t="n">
        <f aca="false">LEN(M1130)</f>
        <v>25</v>
      </c>
      <c r="P1130" s="14" t="n">
        <f aca="false">IF(N1130=0,"",(N1130-LEN(SUBSTITUTE(SUBSTITUTE(L1130,"G",""),"C","")))/N1130)</f>
        <v>0.6</v>
      </c>
      <c r="Q1130" s="14" t="n">
        <f aca="false">IF(O1130=0,"",(O1130-LEN(SUBSTITUTE(SUBSTITUTE(M1130,"G",""),"C","")))/O1130)</f>
        <v>0.52</v>
      </c>
      <c r="R1130" s="5" t="s">
        <v>1197</v>
      </c>
      <c r="S1130" s="15" t="s">
        <v>1677</v>
      </c>
      <c r="T1130" s="5" t="n">
        <v>216</v>
      </c>
      <c r="U1130" s="5" t="s">
        <v>1678</v>
      </c>
      <c r="V1130" s="5" t="s">
        <v>154</v>
      </c>
      <c r="W1130" s="5"/>
      <c r="X1130" s="15" t="s">
        <v>1677</v>
      </c>
      <c r="Y1130" s="5"/>
    </row>
    <row r="1131" customFormat="false" ht="15" hidden="false" customHeight="false" outlineLevel="0" collapsed="false">
      <c r="A1131" s="5" t="s">
        <v>11368</v>
      </c>
      <c r="B1131" s="5" t="s">
        <v>1193</v>
      </c>
      <c r="C1131" s="5" t="s">
        <v>1194</v>
      </c>
      <c r="D1131" s="10" t="s">
        <v>137</v>
      </c>
      <c r="E1131" s="5" t="n">
        <v>2</v>
      </c>
      <c r="F1131" s="5" t="s">
        <v>11369</v>
      </c>
      <c r="G1131" s="13" t="s">
        <v>11370</v>
      </c>
      <c r="H1131" s="5" t="s">
        <v>11371</v>
      </c>
      <c r="I1131" s="13" t="s">
        <v>11372</v>
      </c>
      <c r="J1131" s="5" t="s">
        <v>11373</v>
      </c>
      <c r="K1131" s="5" t="s">
        <v>11374</v>
      </c>
      <c r="L1131" s="13" t="s">
        <v>11375</v>
      </c>
      <c r="M1131" s="13" t="s">
        <v>11376</v>
      </c>
      <c r="N1131" s="5" t="n">
        <f aca="false">LEN(L1131)</f>
        <v>25</v>
      </c>
      <c r="O1131" s="5" t="n">
        <f aca="false">LEN(M1131)</f>
        <v>25</v>
      </c>
      <c r="P1131" s="14" t="n">
        <f aca="false">IF(N1131=0,"",(N1131-LEN(SUBSTITUTE(SUBSTITUTE(L1131,"G",""),"C","")))/N1131)</f>
        <v>0.44</v>
      </c>
      <c r="Q1131" s="14" t="n">
        <f aca="false">IF(O1131=0,"",(O1131-LEN(SUBSTITUTE(SUBSTITUTE(M1131,"G",""),"C","")))/O1131)</f>
        <v>0.44</v>
      </c>
      <c r="R1131" s="5" t="s">
        <v>1197</v>
      </c>
      <c r="S1131" s="15" t="s">
        <v>1677</v>
      </c>
      <c r="T1131" s="5" t="n">
        <v>286</v>
      </c>
      <c r="U1131" s="5" t="s">
        <v>1678</v>
      </c>
      <c r="V1131" s="5" t="s">
        <v>154</v>
      </c>
      <c r="W1131" s="5"/>
      <c r="X1131" s="15" t="s">
        <v>1677</v>
      </c>
      <c r="Y1131" s="5"/>
    </row>
    <row r="1132" customFormat="false" ht="15" hidden="false" customHeight="false" outlineLevel="0" collapsed="false">
      <c r="A1132" s="5" t="s">
        <v>11377</v>
      </c>
      <c r="B1132" s="5" t="s">
        <v>1193</v>
      </c>
      <c r="C1132" s="5" t="s">
        <v>1194</v>
      </c>
      <c r="D1132" s="10" t="s">
        <v>137</v>
      </c>
      <c r="E1132" s="5" t="n">
        <v>3</v>
      </c>
      <c r="F1132" s="5" t="s">
        <v>11378</v>
      </c>
      <c r="G1132" s="13" t="s">
        <v>11379</v>
      </c>
      <c r="H1132" s="5" t="s">
        <v>11380</v>
      </c>
      <c r="I1132" s="13" t="s">
        <v>11381</v>
      </c>
      <c r="J1132" s="5" t="s">
        <v>11382</v>
      </c>
      <c r="K1132" s="5" t="s">
        <v>11383</v>
      </c>
      <c r="L1132" s="13" t="s">
        <v>11384</v>
      </c>
      <c r="M1132" s="13" t="s">
        <v>11385</v>
      </c>
      <c r="N1132" s="5" t="n">
        <f aca="false">LEN(L1132)</f>
        <v>25</v>
      </c>
      <c r="O1132" s="5" t="n">
        <f aca="false">LEN(M1132)</f>
        <v>25</v>
      </c>
      <c r="P1132" s="14" t="n">
        <f aca="false">IF(N1132=0,"",(N1132-LEN(SUBSTITUTE(SUBSTITUTE(L1132,"G",""),"C","")))/N1132)</f>
        <v>0.52</v>
      </c>
      <c r="Q1132" s="14" t="n">
        <f aca="false">IF(O1132=0,"",(O1132-LEN(SUBSTITUTE(SUBSTITUTE(M1132,"G",""),"C","")))/O1132)</f>
        <v>0.48</v>
      </c>
      <c r="R1132" s="5" t="s">
        <v>1197</v>
      </c>
      <c r="S1132" s="15" t="s">
        <v>1677</v>
      </c>
      <c r="T1132" s="5" t="n">
        <v>356</v>
      </c>
      <c r="U1132" s="5" t="s">
        <v>1678</v>
      </c>
      <c r="V1132" s="5" t="s">
        <v>154</v>
      </c>
      <c r="W1132" s="5"/>
      <c r="X1132" s="15" t="s">
        <v>1677</v>
      </c>
      <c r="Y1132" s="5"/>
    </row>
    <row r="1133" customFormat="false" ht="15" hidden="false" customHeight="false" outlineLevel="0" collapsed="false">
      <c r="A1133" s="5" t="s">
        <v>11386</v>
      </c>
      <c r="B1133" s="5" t="s">
        <v>1193</v>
      </c>
      <c r="C1133" s="5" t="s">
        <v>1194</v>
      </c>
      <c r="D1133" s="10" t="s">
        <v>137</v>
      </c>
      <c r="E1133" s="5" t="n">
        <v>4</v>
      </c>
      <c r="F1133" s="5" t="s">
        <v>11387</v>
      </c>
      <c r="G1133" s="13" t="s">
        <v>11388</v>
      </c>
      <c r="H1133" s="5" t="s">
        <v>11389</v>
      </c>
      <c r="I1133" s="13" t="s">
        <v>11390</v>
      </c>
      <c r="J1133" s="5" t="s">
        <v>11391</v>
      </c>
      <c r="K1133" s="5" t="s">
        <v>11392</v>
      </c>
      <c r="L1133" s="13" t="s">
        <v>11393</v>
      </c>
      <c r="M1133" s="13" t="s">
        <v>11394</v>
      </c>
      <c r="N1133" s="5" t="n">
        <f aca="false">LEN(L1133)</f>
        <v>25</v>
      </c>
      <c r="O1133" s="5" t="n">
        <f aca="false">LEN(M1133)</f>
        <v>25</v>
      </c>
      <c r="P1133" s="14" t="n">
        <f aca="false">IF(N1133=0,"",(N1133-LEN(SUBSTITUTE(SUBSTITUTE(L1133,"G",""),"C","")))/N1133)</f>
        <v>0.6</v>
      </c>
      <c r="Q1133" s="14" t="n">
        <f aca="false">IF(O1133=0,"",(O1133-LEN(SUBSTITUTE(SUBSTITUTE(M1133,"G",""),"C","")))/O1133)</f>
        <v>0.52</v>
      </c>
      <c r="R1133" s="5" t="s">
        <v>1197</v>
      </c>
      <c r="S1133" s="15" t="s">
        <v>1677</v>
      </c>
      <c r="T1133" s="5" t="n">
        <v>426</v>
      </c>
      <c r="U1133" s="5" t="s">
        <v>1678</v>
      </c>
      <c r="V1133" s="5" t="s">
        <v>154</v>
      </c>
      <c r="W1133" s="5"/>
      <c r="X1133" s="15" t="s">
        <v>1677</v>
      </c>
      <c r="Y1133" s="5"/>
    </row>
    <row r="1134" customFormat="false" ht="15" hidden="false" customHeight="false" outlineLevel="0" collapsed="false">
      <c r="A1134" s="5" t="s">
        <v>11395</v>
      </c>
      <c r="B1134" s="5" t="s">
        <v>1193</v>
      </c>
      <c r="C1134" s="5" t="s">
        <v>1194</v>
      </c>
      <c r="D1134" s="10" t="s">
        <v>137</v>
      </c>
      <c r="E1134" s="5" t="n">
        <v>5</v>
      </c>
      <c r="F1134" s="5" t="s">
        <v>11396</v>
      </c>
      <c r="G1134" s="13" t="s">
        <v>11397</v>
      </c>
      <c r="H1134" s="5" t="s">
        <v>11398</v>
      </c>
      <c r="I1134" s="13" t="s">
        <v>11399</v>
      </c>
      <c r="J1134" s="5" t="s">
        <v>11400</v>
      </c>
      <c r="K1134" s="5" t="s">
        <v>11401</v>
      </c>
      <c r="L1134" s="13" t="s">
        <v>11402</v>
      </c>
      <c r="M1134" s="13" t="s">
        <v>11403</v>
      </c>
      <c r="N1134" s="5" t="n">
        <f aca="false">LEN(L1134)</f>
        <v>25</v>
      </c>
      <c r="O1134" s="5" t="n">
        <f aca="false">LEN(M1134)</f>
        <v>25</v>
      </c>
      <c r="P1134" s="14" t="n">
        <f aca="false">IF(N1134=0,"",(N1134-LEN(SUBSTITUTE(SUBSTITUTE(L1134,"G",""),"C","")))/N1134)</f>
        <v>0.4</v>
      </c>
      <c r="Q1134" s="14" t="n">
        <f aca="false">IF(O1134=0,"",(O1134-LEN(SUBSTITUTE(SUBSTITUTE(M1134,"G",""),"C","")))/O1134)</f>
        <v>0.44</v>
      </c>
      <c r="R1134" s="5" t="s">
        <v>1197</v>
      </c>
      <c r="S1134" s="15" t="s">
        <v>1677</v>
      </c>
      <c r="T1134" s="5" t="n">
        <v>496</v>
      </c>
      <c r="U1134" s="5" t="s">
        <v>1678</v>
      </c>
      <c r="V1134" s="5" t="s">
        <v>154</v>
      </c>
      <c r="W1134" s="5"/>
      <c r="X1134" s="8" t="s">
        <v>2131</v>
      </c>
      <c r="Y1134" s="5"/>
    </row>
    <row r="1135" customFormat="false" ht="15" hidden="false" customHeight="false" outlineLevel="0" collapsed="false">
      <c r="A1135" s="5" t="s">
        <v>11404</v>
      </c>
      <c r="B1135" s="5" t="s">
        <v>1193</v>
      </c>
      <c r="C1135" s="5" t="s">
        <v>1194</v>
      </c>
      <c r="D1135" s="10" t="s">
        <v>137</v>
      </c>
      <c r="E1135" s="5" t="n">
        <v>6</v>
      </c>
      <c r="F1135" s="5" t="s">
        <v>11405</v>
      </c>
      <c r="G1135" s="13" t="s">
        <v>11406</v>
      </c>
      <c r="H1135" s="5" t="s">
        <v>11407</v>
      </c>
      <c r="I1135" s="13" t="s">
        <v>11408</v>
      </c>
      <c r="J1135" s="5" t="s">
        <v>11409</v>
      </c>
      <c r="K1135" s="5" t="s">
        <v>11410</v>
      </c>
      <c r="L1135" s="13" t="s">
        <v>11411</v>
      </c>
      <c r="M1135" s="13" t="s">
        <v>11412</v>
      </c>
      <c r="N1135" s="5" t="n">
        <f aca="false">LEN(L1135)</f>
        <v>25</v>
      </c>
      <c r="O1135" s="5" t="n">
        <f aca="false">LEN(M1135)</f>
        <v>25</v>
      </c>
      <c r="P1135" s="14" t="n">
        <f aca="false">IF(N1135=0,"",(N1135-LEN(SUBSTITUTE(SUBSTITUTE(L1135,"G",""),"C","")))/N1135)</f>
        <v>0.32</v>
      </c>
      <c r="Q1135" s="14" t="n">
        <f aca="false">IF(O1135=0,"",(O1135-LEN(SUBSTITUTE(SUBSTITUTE(M1135,"G",""),"C","")))/O1135)</f>
        <v>0.2</v>
      </c>
      <c r="R1135" s="5" t="s">
        <v>1197</v>
      </c>
      <c r="S1135" s="15" t="s">
        <v>1677</v>
      </c>
      <c r="T1135" s="5" t="n">
        <v>566</v>
      </c>
      <c r="U1135" s="5" t="s">
        <v>1678</v>
      </c>
      <c r="V1135" s="5" t="s">
        <v>154</v>
      </c>
      <c r="W1135" s="5"/>
      <c r="X1135" s="8" t="s">
        <v>2131</v>
      </c>
      <c r="Y1135" s="5"/>
    </row>
    <row r="1136" customFormat="false" ht="15" hidden="false" customHeight="false" outlineLevel="0" collapsed="false">
      <c r="A1136" s="5" t="s">
        <v>11413</v>
      </c>
      <c r="B1136" s="5" t="s">
        <v>1193</v>
      </c>
      <c r="C1136" s="5" t="s">
        <v>1194</v>
      </c>
      <c r="D1136" s="10" t="s">
        <v>137</v>
      </c>
      <c r="E1136" s="5" t="n">
        <v>7</v>
      </c>
      <c r="F1136" s="5" t="s">
        <v>11414</v>
      </c>
      <c r="G1136" s="13" t="s">
        <v>11415</v>
      </c>
      <c r="H1136" s="5" t="s">
        <v>11416</v>
      </c>
      <c r="I1136" s="13" t="s">
        <v>11417</v>
      </c>
      <c r="J1136" s="5" t="s">
        <v>11418</v>
      </c>
      <c r="K1136" s="5" t="s">
        <v>11419</v>
      </c>
      <c r="L1136" s="13" t="s">
        <v>11420</v>
      </c>
      <c r="M1136" s="13" t="s">
        <v>11421</v>
      </c>
      <c r="N1136" s="5" t="n">
        <f aca="false">LEN(L1136)</f>
        <v>25</v>
      </c>
      <c r="O1136" s="5" t="n">
        <f aca="false">LEN(M1136)</f>
        <v>25</v>
      </c>
      <c r="P1136" s="14" t="n">
        <f aca="false">IF(N1136=0,"",(N1136-LEN(SUBSTITUTE(SUBSTITUTE(L1136,"G",""),"C","")))/N1136)</f>
        <v>0.36</v>
      </c>
      <c r="Q1136" s="14" t="n">
        <f aca="false">IF(O1136=0,"",(O1136-LEN(SUBSTITUTE(SUBSTITUTE(M1136,"G",""),"C","")))/O1136)</f>
        <v>0.36</v>
      </c>
      <c r="R1136" s="5" t="s">
        <v>1197</v>
      </c>
      <c r="S1136" s="15" t="s">
        <v>1677</v>
      </c>
      <c r="T1136" s="5" t="n">
        <v>636</v>
      </c>
      <c r="U1136" s="5" t="s">
        <v>1678</v>
      </c>
      <c r="V1136" s="5" t="s">
        <v>154</v>
      </c>
      <c r="W1136" s="5"/>
      <c r="X1136" s="8" t="s">
        <v>2131</v>
      </c>
      <c r="Y1136" s="5"/>
    </row>
    <row r="1137" customFormat="false" ht="15" hidden="false" customHeight="false" outlineLevel="0" collapsed="false">
      <c r="A1137" s="5" t="s">
        <v>11422</v>
      </c>
      <c r="B1137" s="5" t="s">
        <v>1193</v>
      </c>
      <c r="C1137" s="5" t="s">
        <v>1194</v>
      </c>
      <c r="D1137" s="10" t="s">
        <v>137</v>
      </c>
      <c r="E1137" s="5" t="n">
        <v>8</v>
      </c>
      <c r="F1137" s="5" t="s">
        <v>11423</v>
      </c>
      <c r="G1137" s="13" t="s">
        <v>11424</v>
      </c>
      <c r="H1137" s="5" t="s">
        <v>11425</v>
      </c>
      <c r="I1137" s="13" t="s">
        <v>11426</v>
      </c>
      <c r="J1137" s="5" t="s">
        <v>11427</v>
      </c>
      <c r="K1137" s="5" t="s">
        <v>11428</v>
      </c>
      <c r="L1137" s="13" t="s">
        <v>11429</v>
      </c>
      <c r="M1137" s="13" t="s">
        <v>11430</v>
      </c>
      <c r="N1137" s="5" t="n">
        <f aca="false">LEN(L1137)</f>
        <v>25</v>
      </c>
      <c r="O1137" s="5" t="n">
        <f aca="false">LEN(M1137)</f>
        <v>25</v>
      </c>
      <c r="P1137" s="14" t="n">
        <f aca="false">IF(N1137=0,"",(N1137-LEN(SUBSTITUTE(SUBSTITUTE(L1137,"G",""),"C","")))/N1137)</f>
        <v>0.2</v>
      </c>
      <c r="Q1137" s="14" t="n">
        <f aca="false">IF(O1137=0,"",(O1137-LEN(SUBSTITUTE(SUBSTITUTE(M1137,"G",""),"C","")))/O1137)</f>
        <v>0.28</v>
      </c>
      <c r="R1137" s="5" t="s">
        <v>1197</v>
      </c>
      <c r="S1137" s="15" t="s">
        <v>1677</v>
      </c>
      <c r="T1137" s="5" t="n">
        <v>706</v>
      </c>
      <c r="U1137" s="5" t="s">
        <v>1678</v>
      </c>
      <c r="V1137" s="5" t="s">
        <v>154</v>
      </c>
      <c r="W1137" s="5"/>
      <c r="X1137" s="8" t="s">
        <v>2131</v>
      </c>
      <c r="Y1137" s="5"/>
    </row>
    <row r="1138" customFormat="false" ht="15" hidden="false" customHeight="false" outlineLevel="0" collapsed="false">
      <c r="A1138" s="5" t="s">
        <v>11431</v>
      </c>
      <c r="B1138" s="5" t="s">
        <v>1201</v>
      </c>
      <c r="C1138" s="5" t="s">
        <v>371</v>
      </c>
      <c r="D1138" s="10" t="s">
        <v>137</v>
      </c>
      <c r="E1138" s="5" t="n">
        <v>1</v>
      </c>
      <c r="F1138" s="5" t="s">
        <v>11432</v>
      </c>
      <c r="G1138" s="13" t="s">
        <v>11433</v>
      </c>
      <c r="H1138" s="5" t="s">
        <v>11434</v>
      </c>
      <c r="I1138" s="13" t="s">
        <v>11435</v>
      </c>
      <c r="J1138" s="5" t="s">
        <v>11436</v>
      </c>
      <c r="K1138" s="5" t="s">
        <v>11437</v>
      </c>
      <c r="L1138" s="13" t="s">
        <v>4049</v>
      </c>
      <c r="M1138" s="13" t="s">
        <v>4050</v>
      </c>
      <c r="N1138" s="5" t="n">
        <f aca="false">LEN(L1138)</f>
        <v>25</v>
      </c>
      <c r="O1138" s="5" t="n">
        <f aca="false">LEN(M1138)</f>
        <v>25</v>
      </c>
      <c r="P1138" s="14" t="n">
        <f aca="false">IF(N1138=0,"",(N1138-LEN(SUBSTITUTE(SUBSTITUTE(L1138,"G",""),"C","")))/N1138)</f>
        <v>0.56</v>
      </c>
      <c r="Q1138" s="14" t="n">
        <f aca="false">IF(O1138=0,"",(O1138-LEN(SUBSTITUTE(SUBSTITUTE(M1138,"G",""),"C","")))/O1138)</f>
        <v>0.8</v>
      </c>
      <c r="R1138" s="5" t="s">
        <v>376</v>
      </c>
      <c r="S1138" s="15" t="s">
        <v>1677</v>
      </c>
      <c r="T1138" s="5" t="n">
        <v>75</v>
      </c>
      <c r="U1138" s="5" t="s">
        <v>1678</v>
      </c>
      <c r="V1138" s="5" t="s">
        <v>1055</v>
      </c>
      <c r="W1138" s="5"/>
      <c r="X1138" s="8" t="s">
        <v>2131</v>
      </c>
      <c r="Y1138" s="5"/>
    </row>
    <row r="1139" customFormat="false" ht="15" hidden="false" customHeight="false" outlineLevel="0" collapsed="false">
      <c r="A1139" s="5" t="s">
        <v>11438</v>
      </c>
      <c r="B1139" s="5" t="s">
        <v>1201</v>
      </c>
      <c r="C1139" s="5" t="s">
        <v>371</v>
      </c>
      <c r="D1139" s="10" t="s">
        <v>137</v>
      </c>
      <c r="E1139" s="5" t="n">
        <v>2</v>
      </c>
      <c r="F1139" s="5" t="s">
        <v>11439</v>
      </c>
      <c r="G1139" s="13" t="s">
        <v>11440</v>
      </c>
      <c r="H1139" s="5" t="s">
        <v>11441</v>
      </c>
      <c r="I1139" s="13" t="s">
        <v>11442</v>
      </c>
      <c r="J1139" s="5" t="s">
        <v>11443</v>
      </c>
      <c r="K1139" s="5" t="s">
        <v>11444</v>
      </c>
      <c r="L1139" s="13" t="s">
        <v>4058</v>
      </c>
      <c r="M1139" s="13" t="s">
        <v>4059</v>
      </c>
      <c r="N1139" s="5" t="n">
        <f aca="false">LEN(L1139)</f>
        <v>25</v>
      </c>
      <c r="O1139" s="5" t="n">
        <f aca="false">LEN(M1139)</f>
        <v>25</v>
      </c>
      <c r="P1139" s="14" t="n">
        <f aca="false">IF(N1139=0,"",(N1139-LEN(SUBSTITUTE(SUBSTITUTE(L1139,"G",""),"C","")))/N1139)</f>
        <v>0.84</v>
      </c>
      <c r="Q1139" s="14" t="n">
        <f aca="false">IF(O1139=0,"",(O1139-LEN(SUBSTITUTE(SUBSTITUTE(M1139,"G",""),"C","")))/O1139)</f>
        <v>0.8</v>
      </c>
      <c r="R1139" s="5" t="s">
        <v>376</v>
      </c>
      <c r="S1139" s="15" t="s">
        <v>1677</v>
      </c>
      <c r="T1139" s="5" t="n">
        <v>141</v>
      </c>
      <c r="U1139" s="5" t="s">
        <v>1678</v>
      </c>
      <c r="V1139" s="5" t="s">
        <v>1055</v>
      </c>
      <c r="W1139" s="5"/>
      <c r="X1139" s="8" t="s">
        <v>2131</v>
      </c>
      <c r="Y1139" s="5"/>
    </row>
    <row r="1140" customFormat="false" ht="15" hidden="false" customHeight="false" outlineLevel="0" collapsed="false">
      <c r="A1140" s="5" t="s">
        <v>11445</v>
      </c>
      <c r="B1140" s="5" t="s">
        <v>1201</v>
      </c>
      <c r="C1140" s="5" t="s">
        <v>371</v>
      </c>
      <c r="D1140" s="10" t="s">
        <v>137</v>
      </c>
      <c r="E1140" s="5" t="n">
        <v>3</v>
      </c>
      <c r="F1140" s="5" t="s">
        <v>11446</v>
      </c>
      <c r="G1140" s="13" t="s">
        <v>11447</v>
      </c>
      <c r="H1140" s="5" t="s">
        <v>11448</v>
      </c>
      <c r="I1140" s="13" t="s">
        <v>11449</v>
      </c>
      <c r="J1140" s="5" t="s">
        <v>11450</v>
      </c>
      <c r="K1140" s="5" t="s">
        <v>11451</v>
      </c>
      <c r="L1140" s="13" t="s">
        <v>4067</v>
      </c>
      <c r="M1140" s="13" t="s">
        <v>4068</v>
      </c>
      <c r="N1140" s="5" t="n">
        <f aca="false">LEN(L1140)</f>
        <v>25</v>
      </c>
      <c r="O1140" s="5" t="n">
        <f aca="false">LEN(M1140)</f>
        <v>25</v>
      </c>
      <c r="P1140" s="14" t="n">
        <f aca="false">IF(N1140=0,"",(N1140-LEN(SUBSTITUTE(SUBSTITUTE(L1140,"G",""),"C","")))/N1140)</f>
        <v>0.44</v>
      </c>
      <c r="Q1140" s="14" t="n">
        <f aca="false">IF(O1140=0,"",(O1140-LEN(SUBSTITUTE(SUBSTITUTE(M1140,"G",""),"C","")))/O1140)</f>
        <v>0.6</v>
      </c>
      <c r="R1140" s="5" t="s">
        <v>376</v>
      </c>
      <c r="S1140" s="15" t="s">
        <v>1677</v>
      </c>
      <c r="T1140" s="5" t="n">
        <v>273</v>
      </c>
      <c r="U1140" s="5" t="s">
        <v>1678</v>
      </c>
      <c r="V1140" s="5" t="s">
        <v>1055</v>
      </c>
      <c r="W1140" s="5"/>
      <c r="X1140" s="15" t="s">
        <v>1677</v>
      </c>
      <c r="Y1140" s="5"/>
    </row>
    <row r="1141" customFormat="false" ht="15" hidden="false" customHeight="false" outlineLevel="0" collapsed="false">
      <c r="A1141" s="5" t="s">
        <v>11452</v>
      </c>
      <c r="B1141" s="5" t="s">
        <v>1201</v>
      </c>
      <c r="C1141" s="5" t="s">
        <v>371</v>
      </c>
      <c r="D1141" s="10" t="s">
        <v>137</v>
      </c>
      <c r="E1141" s="5" t="n">
        <v>4</v>
      </c>
      <c r="F1141" s="5" t="s">
        <v>11453</v>
      </c>
      <c r="G1141" s="13" t="s">
        <v>11454</v>
      </c>
      <c r="H1141" s="5" t="s">
        <v>11455</v>
      </c>
      <c r="I1141" s="13" t="s">
        <v>11456</v>
      </c>
      <c r="J1141" s="5" t="s">
        <v>11457</v>
      </c>
      <c r="K1141" s="5" t="s">
        <v>11458</v>
      </c>
      <c r="L1141" s="13" t="s">
        <v>4076</v>
      </c>
      <c r="M1141" s="13" t="s">
        <v>4077</v>
      </c>
      <c r="N1141" s="5" t="n">
        <f aca="false">LEN(L1141)</f>
        <v>25</v>
      </c>
      <c r="O1141" s="5" t="n">
        <f aca="false">LEN(M1141)</f>
        <v>25</v>
      </c>
      <c r="P1141" s="14" t="n">
        <f aca="false">IF(N1141=0,"",(N1141-LEN(SUBSTITUTE(SUBSTITUTE(L1141,"G",""),"C","")))/N1141)</f>
        <v>0.48</v>
      </c>
      <c r="Q1141" s="14" t="n">
        <f aca="false">IF(O1141=0,"",(O1141-LEN(SUBSTITUTE(SUBSTITUTE(M1141,"G",""),"C","")))/O1141)</f>
        <v>0.6</v>
      </c>
      <c r="R1141" s="5" t="s">
        <v>376</v>
      </c>
      <c r="S1141" s="15" t="s">
        <v>1677</v>
      </c>
      <c r="T1141" s="5" t="n">
        <v>339</v>
      </c>
      <c r="U1141" s="5" t="s">
        <v>1678</v>
      </c>
      <c r="V1141" s="5" t="s">
        <v>1055</v>
      </c>
      <c r="W1141" s="5"/>
      <c r="X1141" s="8" t="s">
        <v>1914</v>
      </c>
      <c r="Y1141" s="5"/>
    </row>
    <row r="1142" customFormat="false" ht="15" hidden="false" customHeight="false" outlineLevel="0" collapsed="false">
      <c r="A1142" s="5" t="s">
        <v>11459</v>
      </c>
      <c r="B1142" s="5" t="s">
        <v>1201</v>
      </c>
      <c r="C1142" s="5" t="s">
        <v>371</v>
      </c>
      <c r="D1142" s="10" t="s">
        <v>137</v>
      </c>
      <c r="E1142" s="5" t="n">
        <v>5</v>
      </c>
      <c r="F1142" s="5" t="s">
        <v>11460</v>
      </c>
      <c r="G1142" s="13" t="s">
        <v>11461</v>
      </c>
      <c r="H1142" s="5" t="s">
        <v>11462</v>
      </c>
      <c r="I1142" s="13" t="s">
        <v>11463</v>
      </c>
      <c r="J1142" s="5" t="s">
        <v>11464</v>
      </c>
      <c r="K1142" s="5" t="s">
        <v>11465</v>
      </c>
      <c r="L1142" s="13" t="s">
        <v>4085</v>
      </c>
      <c r="M1142" s="13" t="s">
        <v>4086</v>
      </c>
      <c r="N1142" s="5" t="n">
        <f aca="false">LEN(L1142)</f>
        <v>25</v>
      </c>
      <c r="O1142" s="5" t="n">
        <f aca="false">LEN(M1142)</f>
        <v>25</v>
      </c>
      <c r="P1142" s="14" t="n">
        <f aca="false">IF(N1142=0,"",(N1142-LEN(SUBSTITUTE(SUBSTITUTE(L1142,"G",""),"C","")))/N1142)</f>
        <v>0.64</v>
      </c>
      <c r="Q1142" s="14" t="n">
        <f aca="false">IF(O1142=0,"",(O1142-LEN(SUBSTITUTE(SUBSTITUTE(M1142,"G",""),"C","")))/O1142)</f>
        <v>0.4</v>
      </c>
      <c r="R1142" s="5" t="s">
        <v>376</v>
      </c>
      <c r="S1142" s="15" t="s">
        <v>1677</v>
      </c>
      <c r="T1142" s="5" t="n">
        <v>472</v>
      </c>
      <c r="U1142" s="5" t="s">
        <v>1678</v>
      </c>
      <c r="V1142" s="5" t="s">
        <v>1055</v>
      </c>
      <c r="W1142" s="5"/>
      <c r="X1142" s="15" t="s">
        <v>1677</v>
      </c>
      <c r="Y1142" s="5"/>
    </row>
    <row r="1143" customFormat="false" ht="15" hidden="false" customHeight="false" outlineLevel="0" collapsed="false">
      <c r="A1143" s="5" t="s">
        <v>11466</v>
      </c>
      <c r="B1143" s="5" t="s">
        <v>1201</v>
      </c>
      <c r="C1143" s="5" t="s">
        <v>371</v>
      </c>
      <c r="D1143" s="10" t="s">
        <v>137</v>
      </c>
      <c r="E1143" s="5" t="n">
        <v>6</v>
      </c>
      <c r="F1143" s="5" t="s">
        <v>11467</v>
      </c>
      <c r="G1143" s="13" t="s">
        <v>11468</v>
      </c>
      <c r="H1143" s="5" t="s">
        <v>11469</v>
      </c>
      <c r="I1143" s="13" t="s">
        <v>11470</v>
      </c>
      <c r="J1143" s="5" t="s">
        <v>11471</v>
      </c>
      <c r="K1143" s="5" t="s">
        <v>11472</v>
      </c>
      <c r="L1143" s="13" t="s">
        <v>4094</v>
      </c>
      <c r="M1143" s="13" t="s">
        <v>4095</v>
      </c>
      <c r="N1143" s="5" t="n">
        <f aca="false">LEN(L1143)</f>
        <v>25</v>
      </c>
      <c r="O1143" s="5" t="n">
        <f aca="false">LEN(M1143)</f>
        <v>25</v>
      </c>
      <c r="P1143" s="14" t="n">
        <f aca="false">IF(N1143=0,"",(N1143-LEN(SUBSTITUTE(SUBSTITUTE(L1143,"G",""),"C","")))/N1143)</f>
        <v>0.68</v>
      </c>
      <c r="Q1143" s="14" t="n">
        <f aca="false">IF(O1143=0,"",(O1143-LEN(SUBSTITUTE(SUBSTITUTE(M1143,"G",""),"C","")))/O1143)</f>
        <v>0.52</v>
      </c>
      <c r="R1143" s="5" t="s">
        <v>376</v>
      </c>
      <c r="S1143" s="15" t="s">
        <v>1677</v>
      </c>
      <c r="T1143" s="5" t="n">
        <v>538</v>
      </c>
      <c r="U1143" s="5" t="s">
        <v>1678</v>
      </c>
      <c r="V1143" s="5" t="s">
        <v>1055</v>
      </c>
      <c r="W1143" s="5"/>
      <c r="X1143" s="15" t="s">
        <v>1677</v>
      </c>
      <c r="Y1143" s="5"/>
    </row>
    <row r="1144" customFormat="false" ht="15" hidden="false" customHeight="false" outlineLevel="0" collapsed="false">
      <c r="A1144" s="5" t="s">
        <v>11473</v>
      </c>
      <c r="B1144" s="5" t="s">
        <v>1204</v>
      </c>
      <c r="C1144" s="5" t="s">
        <v>872</v>
      </c>
      <c r="D1144" s="10" t="s">
        <v>137</v>
      </c>
      <c r="E1144" s="5" t="n">
        <v>1</v>
      </c>
      <c r="F1144" s="5" t="s">
        <v>11474</v>
      </c>
      <c r="G1144" s="13" t="s">
        <v>11475</v>
      </c>
      <c r="H1144" s="5" t="s">
        <v>11476</v>
      </c>
      <c r="I1144" s="13" t="s">
        <v>11477</v>
      </c>
      <c r="J1144" s="5" t="s">
        <v>11478</v>
      </c>
      <c r="K1144" s="5" t="s">
        <v>11479</v>
      </c>
      <c r="L1144" s="13" t="s">
        <v>8404</v>
      </c>
      <c r="M1144" s="13" t="s">
        <v>8405</v>
      </c>
      <c r="N1144" s="5" t="n">
        <f aca="false">LEN(L1144)</f>
        <v>25</v>
      </c>
      <c r="O1144" s="5" t="n">
        <f aca="false">LEN(M1144)</f>
        <v>25</v>
      </c>
      <c r="P1144" s="14" t="n">
        <f aca="false">IF(N1144=0,"",(N1144-LEN(SUBSTITUTE(SUBSTITUTE(L1144,"G",""),"C","")))/N1144)</f>
        <v>0.84</v>
      </c>
      <c r="Q1144" s="14" t="n">
        <f aca="false">IF(O1144=0,"",(O1144-LEN(SUBSTITUTE(SUBSTITUTE(M1144,"G",""),"C","")))/O1144)</f>
        <v>0.88</v>
      </c>
      <c r="R1144" s="5" t="s">
        <v>876</v>
      </c>
      <c r="S1144" s="15" t="s">
        <v>1677</v>
      </c>
      <c r="T1144" s="5" t="n">
        <v>51</v>
      </c>
      <c r="U1144" s="5" t="s">
        <v>1678</v>
      </c>
      <c r="V1144" s="5" t="s">
        <v>1205</v>
      </c>
      <c r="W1144" s="5"/>
      <c r="X1144" s="15" t="s">
        <v>1677</v>
      </c>
      <c r="Y1144" s="5"/>
    </row>
    <row r="1145" customFormat="false" ht="15" hidden="false" customHeight="false" outlineLevel="0" collapsed="false">
      <c r="A1145" s="5" t="s">
        <v>11480</v>
      </c>
      <c r="B1145" s="5" t="s">
        <v>1204</v>
      </c>
      <c r="C1145" s="5" t="s">
        <v>872</v>
      </c>
      <c r="D1145" s="10" t="s">
        <v>137</v>
      </c>
      <c r="E1145" s="5" t="n">
        <v>2</v>
      </c>
      <c r="F1145" s="5" t="s">
        <v>11481</v>
      </c>
      <c r="G1145" s="13" t="s">
        <v>11482</v>
      </c>
      <c r="H1145" s="5" t="s">
        <v>11483</v>
      </c>
      <c r="I1145" s="13" t="s">
        <v>11484</v>
      </c>
      <c r="J1145" s="5" t="s">
        <v>11485</v>
      </c>
      <c r="K1145" s="5" t="s">
        <v>11486</v>
      </c>
      <c r="L1145" s="13" t="s">
        <v>8423</v>
      </c>
      <c r="M1145" s="13" t="s">
        <v>8424</v>
      </c>
      <c r="N1145" s="5" t="n">
        <f aca="false">LEN(L1145)</f>
        <v>25</v>
      </c>
      <c r="O1145" s="5" t="n">
        <f aca="false">LEN(M1145)</f>
        <v>25</v>
      </c>
      <c r="P1145" s="14" t="n">
        <f aca="false">IF(N1145=0,"",(N1145-LEN(SUBSTITUTE(SUBSTITUTE(L1145,"G",""),"C","")))/N1145)</f>
        <v>0.8</v>
      </c>
      <c r="Q1145" s="14" t="n">
        <f aca="false">IF(O1145=0,"",(O1145-LEN(SUBSTITUTE(SUBSTITUTE(M1145,"G",""),"C","")))/O1145)</f>
        <v>0.68</v>
      </c>
      <c r="R1145" s="5" t="s">
        <v>876</v>
      </c>
      <c r="S1145" s="15" t="s">
        <v>1677</v>
      </c>
      <c r="T1145" s="5" t="n">
        <v>131</v>
      </c>
      <c r="U1145" s="5" t="s">
        <v>1678</v>
      </c>
      <c r="V1145" s="5" t="s">
        <v>1205</v>
      </c>
      <c r="W1145" s="5"/>
      <c r="X1145" s="15" t="s">
        <v>1677</v>
      </c>
      <c r="Y1145" s="5"/>
    </row>
    <row r="1146" customFormat="false" ht="15" hidden="false" customHeight="false" outlineLevel="0" collapsed="false">
      <c r="A1146" s="5" t="s">
        <v>11487</v>
      </c>
      <c r="B1146" s="5" t="s">
        <v>1204</v>
      </c>
      <c r="C1146" s="5" t="s">
        <v>872</v>
      </c>
      <c r="D1146" s="10" t="s">
        <v>137</v>
      </c>
      <c r="E1146" s="5" t="n">
        <v>3</v>
      </c>
      <c r="F1146" s="5" t="s">
        <v>11488</v>
      </c>
      <c r="G1146" s="13" t="s">
        <v>11489</v>
      </c>
      <c r="H1146" s="5" t="s">
        <v>11490</v>
      </c>
      <c r="I1146" s="13" t="s">
        <v>11491</v>
      </c>
      <c r="J1146" s="5" t="s">
        <v>11492</v>
      </c>
      <c r="K1146" s="5" t="s">
        <v>11493</v>
      </c>
      <c r="L1146" s="13" t="s">
        <v>8450</v>
      </c>
      <c r="M1146" s="13" t="s">
        <v>8451</v>
      </c>
      <c r="N1146" s="5" t="n">
        <f aca="false">LEN(L1146)</f>
        <v>25</v>
      </c>
      <c r="O1146" s="5" t="n">
        <f aca="false">LEN(M1146)</f>
        <v>25</v>
      </c>
      <c r="P1146" s="14" t="n">
        <f aca="false">IF(N1146=0,"",(N1146-LEN(SUBSTITUTE(SUBSTITUTE(L1146,"G",""),"C","")))/N1146)</f>
        <v>0.72</v>
      </c>
      <c r="Q1146" s="14" t="n">
        <f aca="false">IF(O1146=0,"",(O1146-LEN(SUBSTITUTE(SUBSTITUTE(M1146,"G",""),"C","")))/O1146)</f>
        <v>0.72</v>
      </c>
      <c r="R1146" s="5" t="s">
        <v>876</v>
      </c>
      <c r="S1146" s="15" t="s">
        <v>1677</v>
      </c>
      <c r="T1146" s="5" t="n">
        <v>211</v>
      </c>
      <c r="U1146" s="5" t="s">
        <v>1678</v>
      </c>
      <c r="V1146" s="5" t="s">
        <v>1205</v>
      </c>
      <c r="W1146" s="5"/>
      <c r="X1146" s="15" t="s">
        <v>1677</v>
      </c>
      <c r="Y1146" s="5"/>
    </row>
    <row r="1147" customFormat="false" ht="15" hidden="false" customHeight="false" outlineLevel="0" collapsed="false">
      <c r="A1147" s="5" t="s">
        <v>11494</v>
      </c>
      <c r="B1147" s="5" t="s">
        <v>1204</v>
      </c>
      <c r="C1147" s="5" t="s">
        <v>872</v>
      </c>
      <c r="D1147" s="10" t="s">
        <v>137</v>
      </c>
      <c r="E1147" s="5" t="n">
        <v>4</v>
      </c>
      <c r="F1147" s="5" t="s">
        <v>11495</v>
      </c>
      <c r="G1147" s="13" t="s">
        <v>11496</v>
      </c>
      <c r="H1147" s="5" t="s">
        <v>11497</v>
      </c>
      <c r="I1147" s="13" t="s">
        <v>11498</v>
      </c>
      <c r="J1147" s="5" t="s">
        <v>11499</v>
      </c>
      <c r="K1147" s="5" t="s">
        <v>11500</v>
      </c>
      <c r="L1147" s="13" t="s">
        <v>8459</v>
      </c>
      <c r="M1147" s="13" t="s">
        <v>8460</v>
      </c>
      <c r="N1147" s="5" t="n">
        <f aca="false">LEN(L1147)</f>
        <v>25</v>
      </c>
      <c r="O1147" s="5" t="n">
        <f aca="false">LEN(M1147)</f>
        <v>25</v>
      </c>
      <c r="P1147" s="14" t="n">
        <f aca="false">IF(N1147=0,"",(N1147-LEN(SUBSTITUTE(SUBSTITUTE(L1147,"G",""),"C","")))/N1147)</f>
        <v>0.72</v>
      </c>
      <c r="Q1147" s="14" t="n">
        <f aca="false">IF(O1147=0,"",(O1147-LEN(SUBSTITUTE(SUBSTITUTE(M1147,"G",""),"C","")))/O1147)</f>
        <v>0.8</v>
      </c>
      <c r="R1147" s="5" t="s">
        <v>876</v>
      </c>
      <c r="S1147" s="15" t="s">
        <v>1677</v>
      </c>
      <c r="T1147" s="5" t="n">
        <v>291</v>
      </c>
      <c r="U1147" s="5" t="s">
        <v>1678</v>
      </c>
      <c r="V1147" s="5" t="s">
        <v>1205</v>
      </c>
      <c r="W1147" s="5"/>
      <c r="X1147" s="15" t="s">
        <v>1677</v>
      </c>
      <c r="Y1147" s="5"/>
    </row>
    <row r="1148" customFormat="false" ht="15" hidden="false" customHeight="false" outlineLevel="0" collapsed="false">
      <c r="A1148" s="5" t="s">
        <v>11501</v>
      </c>
      <c r="B1148" s="5" t="s">
        <v>1204</v>
      </c>
      <c r="C1148" s="5" t="s">
        <v>872</v>
      </c>
      <c r="D1148" s="10" t="s">
        <v>137</v>
      </c>
      <c r="E1148" s="5" t="n">
        <v>5</v>
      </c>
      <c r="F1148" s="5" t="s">
        <v>11502</v>
      </c>
      <c r="G1148" s="13" t="s">
        <v>11503</v>
      </c>
      <c r="H1148" s="5" t="s">
        <v>11504</v>
      </c>
      <c r="I1148" s="13" t="s">
        <v>11505</v>
      </c>
      <c r="J1148" s="5" t="s">
        <v>11506</v>
      </c>
      <c r="K1148" s="5" t="s">
        <v>11507</v>
      </c>
      <c r="L1148" s="13" t="s">
        <v>8477</v>
      </c>
      <c r="M1148" s="13" t="s">
        <v>8478</v>
      </c>
      <c r="N1148" s="5" t="n">
        <f aca="false">LEN(L1148)</f>
        <v>25</v>
      </c>
      <c r="O1148" s="5" t="n">
        <f aca="false">LEN(M1148)</f>
        <v>25</v>
      </c>
      <c r="P1148" s="14" t="n">
        <f aca="false">IF(N1148=0,"",(N1148-LEN(SUBSTITUTE(SUBSTITUTE(L1148,"G",""),"C","")))/N1148)</f>
        <v>0.72</v>
      </c>
      <c r="Q1148" s="14" t="n">
        <f aca="false">IF(O1148=0,"",(O1148-LEN(SUBSTITUTE(SUBSTITUTE(M1148,"G",""),"C","")))/O1148)</f>
        <v>0.68</v>
      </c>
      <c r="R1148" s="5" t="s">
        <v>876</v>
      </c>
      <c r="S1148" s="15" t="s">
        <v>1677</v>
      </c>
      <c r="T1148" s="5" t="n">
        <v>371</v>
      </c>
      <c r="U1148" s="5" t="s">
        <v>1678</v>
      </c>
      <c r="V1148" s="5" t="s">
        <v>1205</v>
      </c>
      <c r="W1148" s="5"/>
      <c r="X1148" s="15" t="s">
        <v>1677</v>
      </c>
      <c r="Y1148" s="5"/>
    </row>
    <row r="1149" customFormat="false" ht="15" hidden="false" customHeight="false" outlineLevel="0" collapsed="false">
      <c r="A1149" s="5" t="s">
        <v>11508</v>
      </c>
      <c r="B1149" s="5" t="s">
        <v>1204</v>
      </c>
      <c r="C1149" s="5" t="s">
        <v>872</v>
      </c>
      <c r="D1149" s="10" t="s">
        <v>137</v>
      </c>
      <c r="E1149" s="5" t="n">
        <v>6</v>
      </c>
      <c r="F1149" s="5" t="s">
        <v>11509</v>
      </c>
      <c r="G1149" s="13" t="s">
        <v>11510</v>
      </c>
      <c r="H1149" s="5" t="s">
        <v>11511</v>
      </c>
      <c r="I1149" s="13" t="s">
        <v>11512</v>
      </c>
      <c r="J1149" s="5" t="s">
        <v>11513</v>
      </c>
      <c r="K1149" s="5" t="s">
        <v>11514</v>
      </c>
      <c r="L1149" s="13" t="s">
        <v>8495</v>
      </c>
      <c r="M1149" s="13" t="s">
        <v>8496</v>
      </c>
      <c r="N1149" s="5" t="n">
        <f aca="false">LEN(L1149)</f>
        <v>25</v>
      </c>
      <c r="O1149" s="5" t="n">
        <f aca="false">LEN(M1149)</f>
        <v>25</v>
      </c>
      <c r="P1149" s="14" t="n">
        <f aca="false">IF(N1149=0,"",(N1149-LEN(SUBSTITUTE(SUBSTITUTE(L1149,"G",""),"C","")))/N1149)</f>
        <v>0.84</v>
      </c>
      <c r="Q1149" s="14" t="n">
        <f aca="false">IF(O1149=0,"",(O1149-LEN(SUBSTITUTE(SUBSTITUTE(M1149,"G",""),"C","")))/O1149)</f>
        <v>0.68</v>
      </c>
      <c r="R1149" s="5" t="s">
        <v>876</v>
      </c>
      <c r="S1149" s="15" t="s">
        <v>1677</v>
      </c>
      <c r="T1149" s="5" t="n">
        <v>451</v>
      </c>
      <c r="U1149" s="5" t="s">
        <v>1678</v>
      </c>
      <c r="V1149" s="5" t="s">
        <v>1205</v>
      </c>
      <c r="W1149" s="5"/>
      <c r="X1149" s="15" t="s">
        <v>1677</v>
      </c>
      <c r="Y1149" s="5"/>
    </row>
    <row r="1150" customFormat="false" ht="15" hidden="false" customHeight="false" outlineLevel="0" collapsed="false">
      <c r="A1150" s="5" t="s">
        <v>11515</v>
      </c>
      <c r="B1150" s="5" t="s">
        <v>1204</v>
      </c>
      <c r="C1150" s="5" t="s">
        <v>872</v>
      </c>
      <c r="D1150" s="10" t="s">
        <v>137</v>
      </c>
      <c r="E1150" s="5" t="n">
        <v>7</v>
      </c>
      <c r="F1150" s="5" t="s">
        <v>11516</v>
      </c>
      <c r="G1150" s="13" t="s">
        <v>11517</v>
      </c>
      <c r="H1150" s="5" t="s">
        <v>11518</v>
      </c>
      <c r="I1150" s="13" t="s">
        <v>11519</v>
      </c>
      <c r="J1150" s="5" t="s">
        <v>11520</v>
      </c>
      <c r="K1150" s="5" t="s">
        <v>11521</v>
      </c>
      <c r="L1150" s="13" t="s">
        <v>8504</v>
      </c>
      <c r="M1150" s="13" t="s">
        <v>8505</v>
      </c>
      <c r="N1150" s="5" t="n">
        <f aca="false">LEN(L1150)</f>
        <v>25</v>
      </c>
      <c r="O1150" s="5" t="n">
        <f aca="false">LEN(M1150)</f>
        <v>25</v>
      </c>
      <c r="P1150" s="14" t="n">
        <f aca="false">IF(N1150=0,"",(N1150-LEN(SUBSTITUTE(SUBSTITUTE(L1150,"G",""),"C","")))/N1150)</f>
        <v>0.64</v>
      </c>
      <c r="Q1150" s="14" t="n">
        <f aca="false">IF(O1150=0,"",(O1150-LEN(SUBSTITUTE(SUBSTITUTE(M1150,"G",""),"C","")))/O1150)</f>
        <v>0.6</v>
      </c>
      <c r="R1150" s="5" t="s">
        <v>876</v>
      </c>
      <c r="S1150" s="15" t="s">
        <v>1677</v>
      </c>
      <c r="T1150" s="5" t="n">
        <v>531</v>
      </c>
      <c r="U1150" s="5" t="s">
        <v>1678</v>
      </c>
      <c r="V1150" s="5" t="s">
        <v>1205</v>
      </c>
      <c r="W1150" s="5"/>
      <c r="X1150" s="15" t="s">
        <v>1677</v>
      </c>
      <c r="Y1150" s="5"/>
    </row>
    <row r="1151" customFormat="false" ht="15" hidden="false" customHeight="false" outlineLevel="0" collapsed="false">
      <c r="A1151" s="5" t="s">
        <v>11522</v>
      </c>
      <c r="B1151" s="5" t="s">
        <v>1204</v>
      </c>
      <c r="C1151" s="5" t="s">
        <v>872</v>
      </c>
      <c r="D1151" s="10" t="s">
        <v>137</v>
      </c>
      <c r="E1151" s="5" t="n">
        <v>8</v>
      </c>
      <c r="F1151" s="5" t="s">
        <v>11523</v>
      </c>
      <c r="G1151" s="13" t="s">
        <v>11524</v>
      </c>
      <c r="H1151" s="5" t="s">
        <v>11525</v>
      </c>
      <c r="I1151" s="13" t="s">
        <v>11526</v>
      </c>
      <c r="J1151" s="5" t="s">
        <v>11527</v>
      </c>
      <c r="K1151" s="5" t="s">
        <v>11528</v>
      </c>
      <c r="L1151" s="13" t="s">
        <v>8522</v>
      </c>
      <c r="M1151" s="13" t="s">
        <v>8523</v>
      </c>
      <c r="N1151" s="5" t="n">
        <f aca="false">LEN(L1151)</f>
        <v>25</v>
      </c>
      <c r="O1151" s="5" t="n">
        <f aca="false">LEN(M1151)</f>
        <v>25</v>
      </c>
      <c r="P1151" s="14" t="n">
        <f aca="false">IF(N1151=0,"",(N1151-LEN(SUBSTITUTE(SUBSTITUTE(L1151,"G",""),"C","")))/N1151)</f>
        <v>0.52</v>
      </c>
      <c r="Q1151" s="14" t="n">
        <f aca="false">IF(O1151=0,"",(O1151-LEN(SUBSTITUTE(SUBSTITUTE(M1151,"G",""),"C","")))/O1151)</f>
        <v>0.8</v>
      </c>
      <c r="R1151" s="5" t="s">
        <v>876</v>
      </c>
      <c r="S1151" s="15" t="s">
        <v>1677</v>
      </c>
      <c r="T1151" s="5" t="n">
        <v>611</v>
      </c>
      <c r="U1151" s="5" t="s">
        <v>1678</v>
      </c>
      <c r="V1151" s="5" t="s">
        <v>1205</v>
      </c>
      <c r="W1151" s="5"/>
      <c r="X1151" s="15" t="s">
        <v>1677</v>
      </c>
      <c r="Y1151" s="5"/>
    </row>
    <row r="1152" customFormat="false" ht="15" hidden="false" customHeight="false" outlineLevel="0" collapsed="false">
      <c r="A1152" s="5" t="s">
        <v>11529</v>
      </c>
      <c r="B1152" s="5" t="s">
        <v>1204</v>
      </c>
      <c r="C1152" s="5" t="s">
        <v>872</v>
      </c>
      <c r="D1152" s="10" t="s">
        <v>137</v>
      </c>
      <c r="E1152" s="5" t="n">
        <v>9</v>
      </c>
      <c r="F1152" s="5" t="s">
        <v>11530</v>
      </c>
      <c r="G1152" s="13" t="s">
        <v>11531</v>
      </c>
      <c r="H1152" s="5" t="s">
        <v>11532</v>
      </c>
      <c r="I1152" s="13" t="s">
        <v>11533</v>
      </c>
      <c r="J1152" s="5" t="s">
        <v>11534</v>
      </c>
      <c r="K1152" s="5" t="s">
        <v>11535</v>
      </c>
      <c r="L1152" s="13" t="s">
        <v>8540</v>
      </c>
      <c r="M1152" s="13" t="s">
        <v>8541</v>
      </c>
      <c r="N1152" s="5" t="n">
        <f aca="false">LEN(L1152)</f>
        <v>25</v>
      </c>
      <c r="O1152" s="5" t="n">
        <f aca="false">LEN(M1152)</f>
        <v>25</v>
      </c>
      <c r="P1152" s="14" t="n">
        <f aca="false">IF(N1152=0,"",(N1152-LEN(SUBSTITUTE(SUBSTITUTE(L1152,"G",""),"C","")))/N1152)</f>
        <v>0.76</v>
      </c>
      <c r="Q1152" s="14" t="n">
        <f aca="false">IF(O1152=0,"",(O1152-LEN(SUBSTITUTE(SUBSTITUTE(M1152,"G",""),"C","")))/O1152)</f>
        <v>0.68</v>
      </c>
      <c r="R1152" s="5" t="s">
        <v>876</v>
      </c>
      <c r="S1152" s="15" t="s">
        <v>1677</v>
      </c>
      <c r="T1152" s="5" t="n">
        <v>691</v>
      </c>
      <c r="U1152" s="5" t="s">
        <v>1678</v>
      </c>
      <c r="V1152" s="5" t="s">
        <v>1205</v>
      </c>
      <c r="W1152" s="5"/>
      <c r="X1152" s="15" t="s">
        <v>1677</v>
      </c>
      <c r="Y1152" s="5"/>
    </row>
    <row r="1153" customFormat="false" ht="15" hidden="false" customHeight="false" outlineLevel="0" collapsed="false">
      <c r="A1153" s="5" t="s">
        <v>11536</v>
      </c>
      <c r="B1153" s="5" t="s">
        <v>1206</v>
      </c>
      <c r="C1153" s="5" t="s">
        <v>1207</v>
      </c>
      <c r="D1153" s="10" t="s">
        <v>137</v>
      </c>
      <c r="E1153" s="5" t="n">
        <v>1</v>
      </c>
      <c r="F1153" s="5" t="s">
        <v>11537</v>
      </c>
      <c r="G1153" s="13" t="s">
        <v>11538</v>
      </c>
      <c r="H1153" s="5" t="s">
        <v>11539</v>
      </c>
      <c r="I1153" s="13" t="s">
        <v>11540</v>
      </c>
      <c r="J1153" s="5" t="s">
        <v>11541</v>
      </c>
      <c r="K1153" s="5" t="s">
        <v>11542</v>
      </c>
      <c r="L1153" s="13" t="s">
        <v>11543</v>
      </c>
      <c r="M1153" s="13" t="s">
        <v>11544</v>
      </c>
      <c r="N1153" s="5" t="n">
        <f aca="false">LEN(L1153)</f>
        <v>25</v>
      </c>
      <c r="O1153" s="5" t="n">
        <f aca="false">LEN(M1153)</f>
        <v>25</v>
      </c>
      <c r="P1153" s="14" t="n">
        <f aca="false">IF(N1153=0,"",(N1153-LEN(SUBSTITUTE(SUBSTITUTE(L1153,"G",""),"C","")))/N1153)</f>
        <v>0.48</v>
      </c>
      <c r="Q1153" s="14" t="n">
        <f aca="false">IF(O1153=0,"",(O1153-LEN(SUBSTITUTE(SUBSTITUTE(M1153,"G",""),"C","")))/O1153)</f>
        <v>0.36</v>
      </c>
      <c r="R1153" s="5" t="s">
        <v>1210</v>
      </c>
      <c r="S1153" s="15" t="s">
        <v>1677</v>
      </c>
      <c r="T1153" s="5" t="n">
        <v>356</v>
      </c>
      <c r="U1153" s="5" t="s">
        <v>1678</v>
      </c>
      <c r="V1153" s="5" t="s">
        <v>154</v>
      </c>
      <c r="W1153" s="5"/>
      <c r="X1153" s="8" t="s">
        <v>1769</v>
      </c>
      <c r="Y1153" s="5"/>
    </row>
    <row r="1154" customFormat="false" ht="15" hidden="false" customHeight="false" outlineLevel="0" collapsed="false">
      <c r="A1154" s="5" t="s">
        <v>11545</v>
      </c>
      <c r="B1154" s="5" t="s">
        <v>1206</v>
      </c>
      <c r="C1154" s="5" t="s">
        <v>1207</v>
      </c>
      <c r="D1154" s="10" t="s">
        <v>137</v>
      </c>
      <c r="E1154" s="5" t="n">
        <v>2</v>
      </c>
      <c r="F1154" s="5" t="s">
        <v>11546</v>
      </c>
      <c r="G1154" s="13" t="s">
        <v>11547</v>
      </c>
      <c r="H1154" s="5" t="s">
        <v>11548</v>
      </c>
      <c r="I1154" s="13" t="s">
        <v>11549</v>
      </c>
      <c r="J1154" s="5" t="s">
        <v>11550</v>
      </c>
      <c r="K1154" s="5" t="s">
        <v>11551</v>
      </c>
      <c r="L1154" s="13" t="s">
        <v>11552</v>
      </c>
      <c r="M1154" s="13" t="s">
        <v>11553</v>
      </c>
      <c r="N1154" s="5" t="n">
        <f aca="false">LEN(L1154)</f>
        <v>25</v>
      </c>
      <c r="O1154" s="5" t="n">
        <f aca="false">LEN(M1154)</f>
        <v>25</v>
      </c>
      <c r="P1154" s="14" t="n">
        <f aca="false">IF(N1154=0,"",(N1154-LEN(SUBSTITUTE(SUBSTITUTE(L1154,"G",""),"C","")))/N1154)</f>
        <v>0.56</v>
      </c>
      <c r="Q1154" s="14" t="n">
        <f aca="false">IF(O1154=0,"",(O1154-LEN(SUBSTITUTE(SUBSTITUTE(M1154,"G",""),"C","")))/O1154)</f>
        <v>0.48</v>
      </c>
      <c r="R1154" s="5" t="s">
        <v>1210</v>
      </c>
      <c r="S1154" s="15" t="s">
        <v>1677</v>
      </c>
      <c r="T1154" s="5" t="n">
        <v>426</v>
      </c>
      <c r="U1154" s="5" t="s">
        <v>1678</v>
      </c>
      <c r="V1154" s="5" t="s">
        <v>154</v>
      </c>
      <c r="W1154" s="5"/>
      <c r="X1154" s="8" t="s">
        <v>1769</v>
      </c>
      <c r="Y1154" s="5"/>
    </row>
    <row r="1155" customFormat="false" ht="15" hidden="false" customHeight="false" outlineLevel="0" collapsed="false">
      <c r="A1155" s="5" t="s">
        <v>11554</v>
      </c>
      <c r="B1155" s="5" t="s">
        <v>1206</v>
      </c>
      <c r="C1155" s="5" t="s">
        <v>1207</v>
      </c>
      <c r="D1155" s="10" t="s">
        <v>137</v>
      </c>
      <c r="E1155" s="5" t="n">
        <v>3</v>
      </c>
      <c r="F1155" s="5" t="s">
        <v>11555</v>
      </c>
      <c r="G1155" s="13" t="s">
        <v>11556</v>
      </c>
      <c r="H1155" s="5" t="s">
        <v>11557</v>
      </c>
      <c r="I1155" s="13" t="s">
        <v>11558</v>
      </c>
      <c r="J1155" s="5" t="s">
        <v>11559</v>
      </c>
      <c r="K1155" s="5" t="s">
        <v>11560</v>
      </c>
      <c r="L1155" s="13" t="s">
        <v>11561</v>
      </c>
      <c r="M1155" s="13" t="s">
        <v>11562</v>
      </c>
      <c r="N1155" s="5" t="n">
        <f aca="false">LEN(L1155)</f>
        <v>25</v>
      </c>
      <c r="O1155" s="5" t="n">
        <f aca="false">LEN(M1155)</f>
        <v>25</v>
      </c>
      <c r="P1155" s="14" t="n">
        <f aca="false">IF(N1155=0,"",(N1155-LEN(SUBSTITUTE(SUBSTITUTE(L1155,"G",""),"C","")))/N1155)</f>
        <v>0.4</v>
      </c>
      <c r="Q1155" s="14" t="n">
        <f aca="false">IF(O1155=0,"",(O1155-LEN(SUBSTITUTE(SUBSTITUTE(M1155,"G",""),"C","")))/O1155)</f>
        <v>0.68</v>
      </c>
      <c r="R1155" s="5" t="s">
        <v>1210</v>
      </c>
      <c r="S1155" s="15" t="s">
        <v>1677</v>
      </c>
      <c r="T1155" s="5" t="n">
        <v>496</v>
      </c>
      <c r="U1155" s="5" t="s">
        <v>1678</v>
      </c>
      <c r="V1155" s="5" t="s">
        <v>154</v>
      </c>
      <c r="W1155" s="5"/>
      <c r="X1155" s="15" t="s">
        <v>1677</v>
      </c>
      <c r="Y1155" s="5"/>
    </row>
    <row r="1156" customFormat="false" ht="15" hidden="false" customHeight="false" outlineLevel="0" collapsed="false">
      <c r="A1156" s="5" t="s">
        <v>11563</v>
      </c>
      <c r="B1156" s="5" t="s">
        <v>1206</v>
      </c>
      <c r="C1156" s="5" t="s">
        <v>1207</v>
      </c>
      <c r="D1156" s="10" t="s">
        <v>137</v>
      </c>
      <c r="E1156" s="5" t="n">
        <v>4</v>
      </c>
      <c r="F1156" s="5" t="s">
        <v>11564</v>
      </c>
      <c r="G1156" s="13" t="s">
        <v>11565</v>
      </c>
      <c r="H1156" s="5" t="s">
        <v>11566</v>
      </c>
      <c r="I1156" s="13" t="s">
        <v>11567</v>
      </c>
      <c r="J1156" s="5" t="s">
        <v>11568</v>
      </c>
      <c r="K1156" s="5" t="s">
        <v>11569</v>
      </c>
      <c r="L1156" s="13" t="s">
        <v>11570</v>
      </c>
      <c r="M1156" s="13" t="s">
        <v>11571</v>
      </c>
      <c r="N1156" s="5" t="n">
        <f aca="false">LEN(L1156)</f>
        <v>25</v>
      </c>
      <c r="O1156" s="5" t="n">
        <f aca="false">LEN(M1156)</f>
        <v>25</v>
      </c>
      <c r="P1156" s="14" t="n">
        <f aca="false">IF(N1156=0,"",(N1156-LEN(SUBSTITUTE(SUBSTITUTE(L1156,"G",""),"C","")))/N1156)</f>
        <v>0.56</v>
      </c>
      <c r="Q1156" s="14" t="n">
        <f aca="false">IF(O1156=0,"",(O1156-LEN(SUBSTITUTE(SUBSTITUTE(M1156,"G",""),"C","")))/O1156)</f>
        <v>0.4</v>
      </c>
      <c r="R1156" s="5" t="s">
        <v>1210</v>
      </c>
      <c r="S1156" s="15" t="s">
        <v>1677</v>
      </c>
      <c r="T1156" s="5" t="n">
        <v>566</v>
      </c>
      <c r="U1156" s="5" t="s">
        <v>1678</v>
      </c>
      <c r="V1156" s="5" t="s">
        <v>154</v>
      </c>
      <c r="W1156" s="5"/>
      <c r="X1156" s="15" t="s">
        <v>1677</v>
      </c>
      <c r="Y1156" s="5"/>
    </row>
    <row r="1157" customFormat="false" ht="15" hidden="false" customHeight="false" outlineLevel="0" collapsed="false">
      <c r="A1157" s="5" t="s">
        <v>11572</v>
      </c>
      <c r="B1157" s="5" t="s">
        <v>1206</v>
      </c>
      <c r="C1157" s="5" t="s">
        <v>1207</v>
      </c>
      <c r="D1157" s="10" t="s">
        <v>137</v>
      </c>
      <c r="E1157" s="5" t="n">
        <v>5</v>
      </c>
      <c r="F1157" s="5" t="s">
        <v>11573</v>
      </c>
      <c r="G1157" s="13" t="s">
        <v>11574</v>
      </c>
      <c r="H1157" s="5" t="s">
        <v>11575</v>
      </c>
      <c r="I1157" s="13" t="s">
        <v>11576</v>
      </c>
      <c r="J1157" s="5" t="s">
        <v>11577</v>
      </c>
      <c r="K1157" s="5" t="s">
        <v>11578</v>
      </c>
      <c r="L1157" s="13" t="s">
        <v>11579</v>
      </c>
      <c r="M1157" s="13" t="s">
        <v>11580</v>
      </c>
      <c r="N1157" s="5" t="n">
        <f aca="false">LEN(L1157)</f>
        <v>25</v>
      </c>
      <c r="O1157" s="5" t="n">
        <f aca="false">LEN(M1157)</f>
        <v>25</v>
      </c>
      <c r="P1157" s="14" t="n">
        <f aca="false">IF(N1157=0,"",(N1157-LEN(SUBSTITUTE(SUBSTITUTE(L1157,"G",""),"C","")))/N1157)</f>
        <v>0.44</v>
      </c>
      <c r="Q1157" s="14" t="n">
        <f aca="false">IF(O1157=0,"",(O1157-LEN(SUBSTITUTE(SUBSTITUTE(M1157,"G",""),"C","")))/O1157)</f>
        <v>0.36</v>
      </c>
      <c r="R1157" s="5" t="s">
        <v>1210</v>
      </c>
      <c r="S1157" s="15" t="s">
        <v>1677</v>
      </c>
      <c r="T1157" s="5" t="n">
        <v>636</v>
      </c>
      <c r="U1157" s="5" t="s">
        <v>1678</v>
      </c>
      <c r="V1157" s="5" t="s">
        <v>154</v>
      </c>
      <c r="W1157" s="5"/>
      <c r="X1157" s="15" t="s">
        <v>1677</v>
      </c>
      <c r="Y1157" s="5"/>
    </row>
    <row r="1158" customFormat="false" ht="15" hidden="false" customHeight="false" outlineLevel="0" collapsed="false">
      <c r="A1158" s="5" t="s">
        <v>11581</v>
      </c>
      <c r="B1158" s="5" t="s">
        <v>1206</v>
      </c>
      <c r="C1158" s="5" t="s">
        <v>1207</v>
      </c>
      <c r="D1158" s="10" t="s">
        <v>137</v>
      </c>
      <c r="E1158" s="5" t="n">
        <v>6</v>
      </c>
      <c r="F1158" s="5" t="s">
        <v>11582</v>
      </c>
      <c r="G1158" s="13" t="s">
        <v>11583</v>
      </c>
      <c r="H1158" s="5" t="s">
        <v>11584</v>
      </c>
      <c r="I1158" s="13" t="s">
        <v>11585</v>
      </c>
      <c r="J1158" s="5" t="s">
        <v>11586</v>
      </c>
      <c r="K1158" s="5" t="s">
        <v>11587</v>
      </c>
      <c r="L1158" s="13" t="s">
        <v>11588</v>
      </c>
      <c r="M1158" s="13" t="s">
        <v>11589</v>
      </c>
      <c r="N1158" s="5" t="n">
        <f aca="false">LEN(L1158)</f>
        <v>25</v>
      </c>
      <c r="O1158" s="5" t="n">
        <f aca="false">LEN(M1158)</f>
        <v>25</v>
      </c>
      <c r="P1158" s="14" t="n">
        <f aca="false">IF(N1158=0,"",(N1158-LEN(SUBSTITUTE(SUBSTITUTE(L1158,"G",""),"C","")))/N1158)</f>
        <v>0.32</v>
      </c>
      <c r="Q1158" s="14" t="n">
        <f aca="false">IF(O1158=0,"",(O1158-LEN(SUBSTITUTE(SUBSTITUTE(M1158,"G",""),"C","")))/O1158)</f>
        <v>0.36</v>
      </c>
      <c r="R1158" s="5" t="s">
        <v>1210</v>
      </c>
      <c r="S1158" s="15" t="s">
        <v>1677</v>
      </c>
      <c r="T1158" s="5" t="n">
        <v>706</v>
      </c>
      <c r="U1158" s="5" t="s">
        <v>1678</v>
      </c>
      <c r="V1158" s="5" t="s">
        <v>154</v>
      </c>
      <c r="W1158" s="5"/>
      <c r="X1158" s="8" t="s">
        <v>1769</v>
      </c>
      <c r="Y1158" s="5"/>
    </row>
    <row r="1159" customFormat="false" ht="15" hidden="false" customHeight="false" outlineLevel="0" collapsed="false">
      <c r="A1159" s="5" t="s">
        <v>11590</v>
      </c>
      <c r="B1159" s="5" t="s">
        <v>1206</v>
      </c>
      <c r="C1159" s="5" t="s">
        <v>1207</v>
      </c>
      <c r="D1159" s="10" t="s">
        <v>137</v>
      </c>
      <c r="E1159" s="5" t="n">
        <v>7</v>
      </c>
      <c r="F1159" s="5" t="s">
        <v>11591</v>
      </c>
      <c r="G1159" s="13" t="s">
        <v>11592</v>
      </c>
      <c r="H1159" s="5" t="s">
        <v>11593</v>
      </c>
      <c r="I1159" s="13" t="s">
        <v>11594</v>
      </c>
      <c r="J1159" s="5" t="s">
        <v>11595</v>
      </c>
      <c r="K1159" s="5" t="s">
        <v>11596</v>
      </c>
      <c r="L1159" s="13" t="s">
        <v>11597</v>
      </c>
      <c r="M1159" s="13" t="s">
        <v>11598</v>
      </c>
      <c r="N1159" s="5" t="n">
        <f aca="false">LEN(L1159)</f>
        <v>25</v>
      </c>
      <c r="O1159" s="5" t="n">
        <f aca="false">LEN(M1159)</f>
        <v>25</v>
      </c>
      <c r="P1159" s="14" t="n">
        <f aca="false">IF(N1159=0,"",(N1159-LEN(SUBSTITUTE(SUBSTITUTE(L1159,"G",""),"C","")))/N1159)</f>
        <v>0.4</v>
      </c>
      <c r="Q1159" s="14" t="n">
        <f aca="false">IF(O1159=0,"",(O1159-LEN(SUBSTITUTE(SUBSTITUTE(M1159,"G",""),"C","")))/O1159)</f>
        <v>0.48</v>
      </c>
      <c r="R1159" s="5" t="s">
        <v>1210</v>
      </c>
      <c r="S1159" s="15" t="s">
        <v>1677</v>
      </c>
      <c r="T1159" s="5" t="n">
        <v>776</v>
      </c>
      <c r="U1159" s="5" t="s">
        <v>1678</v>
      </c>
      <c r="V1159" s="5" t="s">
        <v>154</v>
      </c>
      <c r="W1159" s="5"/>
      <c r="X1159" s="15" t="s">
        <v>1677</v>
      </c>
      <c r="Y1159" s="5"/>
    </row>
    <row r="1160" customFormat="false" ht="15" hidden="false" customHeight="false" outlineLevel="0" collapsed="false">
      <c r="A1160" s="5" t="s">
        <v>11599</v>
      </c>
      <c r="B1160" s="5" t="s">
        <v>1206</v>
      </c>
      <c r="C1160" s="5" t="s">
        <v>1207</v>
      </c>
      <c r="D1160" s="10" t="s">
        <v>137</v>
      </c>
      <c r="E1160" s="5" t="n">
        <v>8</v>
      </c>
      <c r="F1160" s="5" t="s">
        <v>11600</v>
      </c>
      <c r="G1160" s="13" t="s">
        <v>11601</v>
      </c>
      <c r="H1160" s="5" t="s">
        <v>11602</v>
      </c>
      <c r="I1160" s="13" t="s">
        <v>11603</v>
      </c>
      <c r="J1160" s="5" t="s">
        <v>11604</v>
      </c>
      <c r="K1160" s="5" t="s">
        <v>11605</v>
      </c>
      <c r="L1160" s="13" t="s">
        <v>11606</v>
      </c>
      <c r="M1160" s="13" t="s">
        <v>11607</v>
      </c>
      <c r="N1160" s="5" t="n">
        <f aca="false">LEN(L1160)</f>
        <v>25</v>
      </c>
      <c r="O1160" s="5" t="n">
        <f aca="false">LEN(M1160)</f>
        <v>25</v>
      </c>
      <c r="P1160" s="14" t="n">
        <f aca="false">IF(N1160=0,"",(N1160-LEN(SUBSTITUTE(SUBSTITUTE(L1160,"G",""),"C","")))/N1160)</f>
        <v>0.56</v>
      </c>
      <c r="Q1160" s="14" t="n">
        <f aca="false">IF(O1160=0,"",(O1160-LEN(SUBSTITUTE(SUBSTITUTE(M1160,"G",""),"C","")))/O1160)</f>
        <v>0.48</v>
      </c>
      <c r="R1160" s="5" t="s">
        <v>1210</v>
      </c>
      <c r="S1160" s="15" t="s">
        <v>1677</v>
      </c>
      <c r="T1160" s="5" t="n">
        <v>846</v>
      </c>
      <c r="U1160" s="5" t="s">
        <v>1678</v>
      </c>
      <c r="V1160" s="5" t="s">
        <v>154</v>
      </c>
      <c r="W1160" s="5"/>
      <c r="X1160" s="8" t="s">
        <v>2131</v>
      </c>
      <c r="Y1160" s="5"/>
    </row>
    <row r="1161" customFormat="false" ht="15" hidden="false" customHeight="false" outlineLevel="0" collapsed="false">
      <c r="A1161" s="5" t="s">
        <v>11608</v>
      </c>
      <c r="B1161" s="5" t="s">
        <v>1214</v>
      </c>
      <c r="C1161" s="5" t="s">
        <v>1215</v>
      </c>
      <c r="D1161" s="10" t="s">
        <v>137</v>
      </c>
      <c r="E1161" s="5" t="n">
        <v>1</v>
      </c>
      <c r="F1161" s="5" t="s">
        <v>11609</v>
      </c>
      <c r="G1161" s="13" t="s">
        <v>11610</v>
      </c>
      <c r="H1161" s="5" t="s">
        <v>11611</v>
      </c>
      <c r="I1161" s="13" t="s">
        <v>11612</v>
      </c>
      <c r="J1161" s="5" t="s">
        <v>11613</v>
      </c>
      <c r="K1161" s="5" t="s">
        <v>11614</v>
      </c>
      <c r="L1161" s="13" t="s">
        <v>11615</v>
      </c>
      <c r="M1161" s="13" t="s">
        <v>11616</v>
      </c>
      <c r="N1161" s="5" t="n">
        <f aca="false">LEN(L1161)</f>
        <v>25</v>
      </c>
      <c r="O1161" s="5" t="n">
        <f aca="false">LEN(M1161)</f>
        <v>25</v>
      </c>
      <c r="P1161" s="14" t="n">
        <f aca="false">IF(N1161=0,"",(N1161-LEN(SUBSTITUTE(SUBSTITUTE(L1161,"G",""),"C","")))/N1161)</f>
        <v>0.72</v>
      </c>
      <c r="Q1161" s="14" t="n">
        <f aca="false">IF(O1161=0,"",(O1161-LEN(SUBSTITUTE(SUBSTITUTE(M1161,"G",""),"C","")))/O1161)</f>
        <v>0.76</v>
      </c>
      <c r="R1161" s="5" t="s">
        <v>1219</v>
      </c>
      <c r="S1161" s="15" t="s">
        <v>1677</v>
      </c>
      <c r="T1161" s="5" t="n">
        <v>76</v>
      </c>
      <c r="U1161" s="5" t="s">
        <v>1678</v>
      </c>
      <c r="V1161" s="5" t="s">
        <v>1055</v>
      </c>
      <c r="W1161" s="5"/>
      <c r="X1161" s="15" t="s">
        <v>1677</v>
      </c>
      <c r="Y1161" s="5"/>
    </row>
    <row r="1162" customFormat="false" ht="15" hidden="false" customHeight="false" outlineLevel="0" collapsed="false">
      <c r="A1162" s="5" t="s">
        <v>11617</v>
      </c>
      <c r="B1162" s="5" t="s">
        <v>1214</v>
      </c>
      <c r="C1162" s="5" t="s">
        <v>1215</v>
      </c>
      <c r="D1162" s="10" t="s">
        <v>137</v>
      </c>
      <c r="E1162" s="5" t="n">
        <v>2</v>
      </c>
      <c r="F1162" s="5" t="s">
        <v>11618</v>
      </c>
      <c r="G1162" s="13" t="s">
        <v>11619</v>
      </c>
      <c r="H1162" s="5" t="s">
        <v>11620</v>
      </c>
      <c r="I1162" s="13" t="s">
        <v>11621</v>
      </c>
      <c r="J1162" s="5" t="s">
        <v>11622</v>
      </c>
      <c r="K1162" s="5" t="s">
        <v>11623</v>
      </c>
      <c r="L1162" s="13" t="s">
        <v>11624</v>
      </c>
      <c r="M1162" s="13" t="s">
        <v>11625</v>
      </c>
      <c r="N1162" s="5" t="n">
        <f aca="false">LEN(L1162)</f>
        <v>25</v>
      </c>
      <c r="O1162" s="5" t="n">
        <f aca="false">LEN(M1162)</f>
        <v>25</v>
      </c>
      <c r="P1162" s="14" t="n">
        <f aca="false">IF(N1162=0,"",(N1162-LEN(SUBSTITUTE(SUBSTITUTE(L1162,"G",""),"C","")))/N1162)</f>
        <v>0.64</v>
      </c>
      <c r="Q1162" s="14" t="n">
        <f aca="false">IF(O1162=0,"",(O1162-LEN(SUBSTITUTE(SUBSTITUTE(M1162,"G",""),"C","")))/O1162)</f>
        <v>0.44</v>
      </c>
      <c r="R1162" s="5" t="s">
        <v>1219</v>
      </c>
      <c r="S1162" s="15" t="s">
        <v>1677</v>
      </c>
      <c r="T1162" s="5" t="n">
        <v>146</v>
      </c>
      <c r="U1162" s="5" t="s">
        <v>1678</v>
      </c>
      <c r="V1162" s="5" t="s">
        <v>1055</v>
      </c>
      <c r="W1162" s="5"/>
      <c r="X1162" s="15" t="s">
        <v>1677</v>
      </c>
      <c r="Y1162" s="5"/>
    </row>
    <row r="1163" customFormat="false" ht="15" hidden="false" customHeight="false" outlineLevel="0" collapsed="false">
      <c r="A1163" s="5" t="s">
        <v>11626</v>
      </c>
      <c r="B1163" s="5" t="s">
        <v>1214</v>
      </c>
      <c r="C1163" s="5" t="s">
        <v>1215</v>
      </c>
      <c r="D1163" s="10" t="s">
        <v>137</v>
      </c>
      <c r="E1163" s="5" t="n">
        <v>3</v>
      </c>
      <c r="F1163" s="5" t="s">
        <v>11627</v>
      </c>
      <c r="G1163" s="13" t="s">
        <v>11628</v>
      </c>
      <c r="H1163" s="5" t="s">
        <v>11629</v>
      </c>
      <c r="I1163" s="13" t="s">
        <v>11630</v>
      </c>
      <c r="J1163" s="5" t="s">
        <v>11631</v>
      </c>
      <c r="K1163" s="5" t="s">
        <v>11632</v>
      </c>
      <c r="L1163" s="13" t="s">
        <v>11633</v>
      </c>
      <c r="M1163" s="13" t="s">
        <v>11634</v>
      </c>
      <c r="N1163" s="5" t="n">
        <f aca="false">LEN(L1163)</f>
        <v>25</v>
      </c>
      <c r="O1163" s="5" t="n">
        <f aca="false">LEN(M1163)</f>
        <v>25</v>
      </c>
      <c r="P1163" s="14" t="n">
        <f aca="false">IF(N1163=0,"",(N1163-LEN(SUBSTITUTE(SUBSTITUTE(L1163,"G",""),"C","")))/N1163)</f>
        <v>0.48</v>
      </c>
      <c r="Q1163" s="14" t="n">
        <f aca="false">IF(O1163=0,"",(O1163-LEN(SUBSTITUTE(SUBSTITUTE(M1163,"G",""),"C","")))/O1163)</f>
        <v>0.6</v>
      </c>
      <c r="R1163" s="5" t="s">
        <v>1219</v>
      </c>
      <c r="S1163" s="15" t="s">
        <v>1677</v>
      </c>
      <c r="T1163" s="5" t="n">
        <v>216</v>
      </c>
      <c r="U1163" s="5" t="s">
        <v>1678</v>
      </c>
      <c r="V1163" s="5" t="s">
        <v>1055</v>
      </c>
      <c r="W1163" s="5"/>
      <c r="X1163" s="15" t="s">
        <v>1677</v>
      </c>
      <c r="Y1163" s="5"/>
    </row>
    <row r="1164" customFormat="false" ht="15" hidden="false" customHeight="false" outlineLevel="0" collapsed="false">
      <c r="A1164" s="5" t="s">
        <v>11635</v>
      </c>
      <c r="B1164" s="5" t="s">
        <v>1214</v>
      </c>
      <c r="C1164" s="5" t="s">
        <v>1215</v>
      </c>
      <c r="D1164" s="10" t="s">
        <v>137</v>
      </c>
      <c r="E1164" s="5" t="n">
        <v>4</v>
      </c>
      <c r="F1164" s="5" t="s">
        <v>11636</v>
      </c>
      <c r="G1164" s="13" t="s">
        <v>11637</v>
      </c>
      <c r="H1164" s="5" t="s">
        <v>11638</v>
      </c>
      <c r="I1164" s="13" t="s">
        <v>11639</v>
      </c>
      <c r="J1164" s="5" t="s">
        <v>11640</v>
      </c>
      <c r="K1164" s="5" t="s">
        <v>11641</v>
      </c>
      <c r="L1164" s="13" t="s">
        <v>11642</v>
      </c>
      <c r="M1164" s="13" t="s">
        <v>11643</v>
      </c>
      <c r="N1164" s="5" t="n">
        <f aca="false">LEN(L1164)</f>
        <v>25</v>
      </c>
      <c r="O1164" s="5" t="n">
        <f aca="false">LEN(M1164)</f>
        <v>25</v>
      </c>
      <c r="P1164" s="14" t="n">
        <f aca="false">IF(N1164=0,"",(N1164-LEN(SUBSTITUTE(SUBSTITUTE(L1164,"G",""),"C","")))/N1164)</f>
        <v>0.56</v>
      </c>
      <c r="Q1164" s="14" t="n">
        <f aca="false">IF(O1164=0,"",(O1164-LEN(SUBSTITUTE(SUBSTITUTE(M1164,"G",""),"C","")))/O1164)</f>
        <v>0.76</v>
      </c>
      <c r="R1164" s="5" t="s">
        <v>1219</v>
      </c>
      <c r="S1164" s="15" t="s">
        <v>1677</v>
      </c>
      <c r="T1164" s="5" t="n">
        <v>286</v>
      </c>
      <c r="U1164" s="5" t="s">
        <v>1678</v>
      </c>
      <c r="V1164" s="5" t="s">
        <v>1055</v>
      </c>
      <c r="W1164" s="5"/>
      <c r="X1164" s="15" t="s">
        <v>1677</v>
      </c>
      <c r="Y1164" s="5"/>
    </row>
    <row r="1165" customFormat="false" ht="15" hidden="false" customHeight="false" outlineLevel="0" collapsed="false">
      <c r="A1165" s="5" t="s">
        <v>11644</v>
      </c>
      <c r="B1165" s="5" t="s">
        <v>1214</v>
      </c>
      <c r="C1165" s="5" t="s">
        <v>1215</v>
      </c>
      <c r="D1165" s="10" t="s">
        <v>137</v>
      </c>
      <c r="E1165" s="5" t="n">
        <v>5</v>
      </c>
      <c r="F1165" s="5" t="s">
        <v>11645</v>
      </c>
      <c r="G1165" s="13" t="s">
        <v>11646</v>
      </c>
      <c r="H1165" s="5" t="s">
        <v>11647</v>
      </c>
      <c r="I1165" s="13" t="s">
        <v>11648</v>
      </c>
      <c r="J1165" s="5" t="s">
        <v>11649</v>
      </c>
      <c r="K1165" s="5" t="s">
        <v>11650</v>
      </c>
      <c r="L1165" s="13" t="s">
        <v>11651</v>
      </c>
      <c r="M1165" s="13" t="s">
        <v>11652</v>
      </c>
      <c r="N1165" s="5" t="n">
        <f aca="false">LEN(L1165)</f>
        <v>25</v>
      </c>
      <c r="O1165" s="5" t="n">
        <f aca="false">LEN(M1165)</f>
        <v>25</v>
      </c>
      <c r="P1165" s="14" t="n">
        <f aca="false">IF(N1165=0,"",(N1165-LEN(SUBSTITUTE(SUBSTITUTE(L1165,"G",""),"C","")))/N1165)</f>
        <v>0.84</v>
      </c>
      <c r="Q1165" s="14" t="n">
        <f aca="false">IF(O1165=0,"",(O1165-LEN(SUBSTITUTE(SUBSTITUTE(M1165,"G",""),"C","")))/O1165)</f>
        <v>0.72</v>
      </c>
      <c r="R1165" s="5" t="s">
        <v>1219</v>
      </c>
      <c r="S1165" s="15" t="s">
        <v>1677</v>
      </c>
      <c r="T1165" s="5" t="n">
        <v>356</v>
      </c>
      <c r="U1165" s="5" t="s">
        <v>1678</v>
      </c>
      <c r="V1165" s="5" t="s">
        <v>1055</v>
      </c>
      <c r="W1165" s="5"/>
      <c r="X1165" s="15" t="s">
        <v>1677</v>
      </c>
      <c r="Y1165" s="5"/>
    </row>
    <row r="1166" customFormat="false" ht="15" hidden="false" customHeight="false" outlineLevel="0" collapsed="false">
      <c r="A1166" s="5" t="s">
        <v>11653</v>
      </c>
      <c r="B1166" s="5" t="s">
        <v>1214</v>
      </c>
      <c r="C1166" s="5" t="s">
        <v>1215</v>
      </c>
      <c r="D1166" s="10" t="s">
        <v>137</v>
      </c>
      <c r="E1166" s="5" t="n">
        <v>6</v>
      </c>
      <c r="F1166" s="5" t="s">
        <v>11654</v>
      </c>
      <c r="G1166" s="13" t="s">
        <v>11655</v>
      </c>
      <c r="H1166" s="5" t="s">
        <v>11656</v>
      </c>
      <c r="I1166" s="13" t="s">
        <v>11657</v>
      </c>
      <c r="J1166" s="5" t="s">
        <v>11658</v>
      </c>
      <c r="K1166" s="5" t="s">
        <v>11659</v>
      </c>
      <c r="L1166" s="13" t="s">
        <v>11660</v>
      </c>
      <c r="M1166" s="13" t="s">
        <v>11661</v>
      </c>
      <c r="N1166" s="5" t="n">
        <f aca="false">LEN(L1166)</f>
        <v>25</v>
      </c>
      <c r="O1166" s="5" t="n">
        <f aca="false">LEN(M1166)</f>
        <v>25</v>
      </c>
      <c r="P1166" s="14" t="n">
        <f aca="false">IF(N1166=0,"",(N1166-LEN(SUBSTITUTE(SUBSTITUTE(L1166,"G",""),"C","")))/N1166)</f>
        <v>0.64</v>
      </c>
      <c r="Q1166" s="14" t="n">
        <f aca="false">IF(O1166=0,"",(O1166-LEN(SUBSTITUTE(SUBSTITUTE(M1166,"G",""),"C","")))/O1166)</f>
        <v>0.64</v>
      </c>
      <c r="R1166" s="5" t="s">
        <v>1219</v>
      </c>
      <c r="S1166" s="15" t="s">
        <v>1677</v>
      </c>
      <c r="T1166" s="5" t="n">
        <v>426</v>
      </c>
      <c r="U1166" s="5" t="s">
        <v>1678</v>
      </c>
      <c r="V1166" s="5" t="s">
        <v>1055</v>
      </c>
      <c r="W1166" s="5"/>
      <c r="X1166" s="15" t="s">
        <v>1677</v>
      </c>
      <c r="Y1166" s="5"/>
    </row>
    <row r="1167" customFormat="false" ht="15" hidden="false" customHeight="false" outlineLevel="0" collapsed="false">
      <c r="A1167" s="5" t="s">
        <v>11662</v>
      </c>
      <c r="B1167" s="5" t="s">
        <v>1222</v>
      </c>
      <c r="C1167" s="5" t="s">
        <v>1223</v>
      </c>
      <c r="D1167" s="10" t="s">
        <v>137</v>
      </c>
      <c r="E1167" s="5" t="n">
        <v>1</v>
      </c>
      <c r="F1167" s="5" t="s">
        <v>11663</v>
      </c>
      <c r="G1167" s="13" t="s">
        <v>11664</v>
      </c>
      <c r="H1167" s="5" t="s">
        <v>11665</v>
      </c>
      <c r="I1167" s="13" t="s">
        <v>11666</v>
      </c>
      <c r="J1167" s="5" t="s">
        <v>11667</v>
      </c>
      <c r="K1167" s="5" t="s">
        <v>11668</v>
      </c>
      <c r="L1167" s="13" t="s">
        <v>11669</v>
      </c>
      <c r="M1167" s="13" t="s">
        <v>11670</v>
      </c>
      <c r="N1167" s="5" t="n">
        <f aca="false">LEN(L1167)</f>
        <v>25</v>
      </c>
      <c r="O1167" s="5" t="n">
        <f aca="false">LEN(M1167)</f>
        <v>25</v>
      </c>
      <c r="P1167" s="14" t="n">
        <f aca="false">IF(N1167=0,"",(N1167-LEN(SUBSTITUTE(SUBSTITUTE(L1167,"G",""),"C","")))/N1167)</f>
        <v>0.52</v>
      </c>
      <c r="Q1167" s="14" t="n">
        <f aca="false">IF(O1167=0,"",(O1167-LEN(SUBSTITUTE(SUBSTITUTE(M1167,"G",""),"C","")))/O1167)</f>
        <v>0.44</v>
      </c>
      <c r="R1167" s="5" t="s">
        <v>1225</v>
      </c>
      <c r="S1167" s="15" t="s">
        <v>1677</v>
      </c>
      <c r="T1167" s="5" t="n">
        <v>207</v>
      </c>
      <c r="U1167" s="5" t="s">
        <v>1678</v>
      </c>
      <c r="V1167" s="5" t="s">
        <v>1055</v>
      </c>
      <c r="W1167" s="5"/>
      <c r="X1167" s="15" t="s">
        <v>1677</v>
      </c>
      <c r="Y1167" s="5"/>
    </row>
    <row r="1168" customFormat="false" ht="15" hidden="false" customHeight="false" outlineLevel="0" collapsed="false">
      <c r="A1168" s="5" t="s">
        <v>11671</v>
      </c>
      <c r="B1168" s="5" t="s">
        <v>1222</v>
      </c>
      <c r="C1168" s="5" t="s">
        <v>1223</v>
      </c>
      <c r="D1168" s="10" t="s">
        <v>137</v>
      </c>
      <c r="E1168" s="5" t="n">
        <v>2</v>
      </c>
      <c r="F1168" s="5" t="s">
        <v>11672</v>
      </c>
      <c r="G1168" s="13" t="s">
        <v>11673</v>
      </c>
      <c r="H1168" s="5" t="s">
        <v>11674</v>
      </c>
      <c r="I1168" s="13" t="s">
        <v>11675</v>
      </c>
      <c r="J1168" s="5" t="s">
        <v>11676</v>
      </c>
      <c r="K1168" s="5" t="s">
        <v>11677</v>
      </c>
      <c r="L1168" s="13" t="s">
        <v>11678</v>
      </c>
      <c r="M1168" s="13" t="s">
        <v>11679</v>
      </c>
      <c r="N1168" s="5" t="n">
        <f aca="false">LEN(L1168)</f>
        <v>25</v>
      </c>
      <c r="O1168" s="5" t="n">
        <f aca="false">LEN(M1168)</f>
        <v>25</v>
      </c>
      <c r="P1168" s="14" t="n">
        <f aca="false">IF(N1168=0,"",(N1168-LEN(SUBSTITUTE(SUBSTITUTE(L1168,"G",""),"C","")))/N1168)</f>
        <v>0.52</v>
      </c>
      <c r="Q1168" s="14" t="n">
        <f aca="false">IF(O1168=0,"",(O1168-LEN(SUBSTITUTE(SUBSTITUTE(M1168,"G",""),"C","")))/O1168)</f>
        <v>0.36</v>
      </c>
      <c r="R1168" s="5" t="s">
        <v>1225</v>
      </c>
      <c r="S1168" s="15" t="s">
        <v>1677</v>
      </c>
      <c r="T1168" s="5" t="n">
        <v>274</v>
      </c>
      <c r="U1168" s="5" t="s">
        <v>1678</v>
      </c>
      <c r="V1168" s="5" t="s">
        <v>1055</v>
      </c>
      <c r="W1168" s="5"/>
      <c r="X1168" s="15" t="s">
        <v>1677</v>
      </c>
      <c r="Y1168" s="5"/>
    </row>
    <row r="1169" customFormat="false" ht="15" hidden="false" customHeight="false" outlineLevel="0" collapsed="false">
      <c r="A1169" s="5" t="s">
        <v>11680</v>
      </c>
      <c r="B1169" s="5" t="s">
        <v>1222</v>
      </c>
      <c r="C1169" s="5" t="s">
        <v>1223</v>
      </c>
      <c r="D1169" s="10" t="s">
        <v>137</v>
      </c>
      <c r="E1169" s="5" t="n">
        <v>3</v>
      </c>
      <c r="F1169" s="5" t="s">
        <v>11681</v>
      </c>
      <c r="G1169" s="13" t="s">
        <v>11682</v>
      </c>
      <c r="H1169" s="5" t="s">
        <v>11683</v>
      </c>
      <c r="I1169" s="13" t="s">
        <v>11684</v>
      </c>
      <c r="J1169" s="5" t="s">
        <v>11685</v>
      </c>
      <c r="K1169" s="5" t="s">
        <v>11686</v>
      </c>
      <c r="L1169" s="13" t="s">
        <v>11687</v>
      </c>
      <c r="M1169" s="13" t="s">
        <v>11688</v>
      </c>
      <c r="N1169" s="5" t="n">
        <f aca="false">LEN(L1169)</f>
        <v>25</v>
      </c>
      <c r="O1169" s="5" t="n">
        <f aca="false">LEN(M1169)</f>
        <v>25</v>
      </c>
      <c r="P1169" s="14" t="n">
        <f aca="false">IF(N1169=0,"",(N1169-LEN(SUBSTITUTE(SUBSTITUTE(L1169,"G",""),"C","")))/N1169)</f>
        <v>0.48</v>
      </c>
      <c r="Q1169" s="14" t="n">
        <f aca="false">IF(O1169=0,"",(O1169-LEN(SUBSTITUTE(SUBSTITUTE(M1169,"G",""),"C","")))/O1169)</f>
        <v>0.44</v>
      </c>
      <c r="R1169" s="5" t="s">
        <v>1225</v>
      </c>
      <c r="S1169" s="15" t="s">
        <v>1677</v>
      </c>
      <c r="T1169" s="5" t="n">
        <v>342</v>
      </c>
      <c r="U1169" s="5" t="s">
        <v>1678</v>
      </c>
      <c r="V1169" s="5" t="s">
        <v>1055</v>
      </c>
      <c r="W1169" s="5"/>
      <c r="X1169" s="15" t="s">
        <v>1677</v>
      </c>
      <c r="Y1169" s="5"/>
    </row>
    <row r="1170" customFormat="false" ht="15" hidden="false" customHeight="false" outlineLevel="0" collapsed="false">
      <c r="A1170" s="5" t="s">
        <v>11689</v>
      </c>
      <c r="B1170" s="5" t="s">
        <v>1222</v>
      </c>
      <c r="C1170" s="5" t="s">
        <v>1223</v>
      </c>
      <c r="D1170" s="10" t="s">
        <v>137</v>
      </c>
      <c r="E1170" s="5" t="n">
        <v>4</v>
      </c>
      <c r="F1170" s="5" t="s">
        <v>11690</v>
      </c>
      <c r="G1170" s="13" t="s">
        <v>11691</v>
      </c>
      <c r="H1170" s="5" t="s">
        <v>11692</v>
      </c>
      <c r="I1170" s="13" t="s">
        <v>11693</v>
      </c>
      <c r="J1170" s="5" t="s">
        <v>11694</v>
      </c>
      <c r="K1170" s="5" t="s">
        <v>11695</v>
      </c>
      <c r="L1170" s="13" t="s">
        <v>11696</v>
      </c>
      <c r="M1170" s="13" t="s">
        <v>11697</v>
      </c>
      <c r="N1170" s="5" t="n">
        <f aca="false">LEN(L1170)</f>
        <v>25</v>
      </c>
      <c r="O1170" s="5" t="n">
        <f aca="false">LEN(M1170)</f>
        <v>25</v>
      </c>
      <c r="P1170" s="14" t="n">
        <f aca="false">IF(N1170=0,"",(N1170-LEN(SUBSTITUTE(SUBSTITUTE(L1170,"G",""),"C","")))/N1170)</f>
        <v>0.44</v>
      </c>
      <c r="Q1170" s="14" t="n">
        <f aca="false">IF(O1170=0,"",(O1170-LEN(SUBSTITUTE(SUBSTITUTE(M1170,"G",""),"C","")))/O1170)</f>
        <v>0.6</v>
      </c>
      <c r="R1170" s="5" t="s">
        <v>1225</v>
      </c>
      <c r="S1170" s="15" t="s">
        <v>1677</v>
      </c>
      <c r="T1170" s="5" t="n">
        <v>409</v>
      </c>
      <c r="U1170" s="5" t="s">
        <v>1678</v>
      </c>
      <c r="V1170" s="5" t="s">
        <v>1055</v>
      </c>
      <c r="W1170" s="5"/>
      <c r="X1170" s="15" t="s">
        <v>1677</v>
      </c>
      <c r="Y1170" s="5"/>
    </row>
    <row r="1171" customFormat="false" ht="15" hidden="false" customHeight="false" outlineLevel="0" collapsed="false">
      <c r="A1171" s="5" t="s">
        <v>11698</v>
      </c>
      <c r="B1171" s="5" t="s">
        <v>1222</v>
      </c>
      <c r="C1171" s="5" t="s">
        <v>1223</v>
      </c>
      <c r="D1171" s="10" t="s">
        <v>137</v>
      </c>
      <c r="E1171" s="5" t="n">
        <v>5</v>
      </c>
      <c r="F1171" s="5" t="s">
        <v>11699</v>
      </c>
      <c r="G1171" s="13" t="s">
        <v>11700</v>
      </c>
      <c r="H1171" s="5" t="s">
        <v>11701</v>
      </c>
      <c r="I1171" s="13" t="s">
        <v>11702</v>
      </c>
      <c r="J1171" s="5" t="s">
        <v>11703</v>
      </c>
      <c r="K1171" s="5" t="s">
        <v>11704</v>
      </c>
      <c r="L1171" s="13" t="s">
        <v>11705</v>
      </c>
      <c r="M1171" s="13" t="s">
        <v>11706</v>
      </c>
      <c r="N1171" s="5" t="n">
        <f aca="false">LEN(L1171)</f>
        <v>25</v>
      </c>
      <c r="O1171" s="5" t="n">
        <f aca="false">LEN(M1171)</f>
        <v>25</v>
      </c>
      <c r="P1171" s="14" t="n">
        <f aca="false">IF(N1171=0,"",(N1171-LEN(SUBSTITUTE(SUBSTITUTE(L1171,"G",""),"C","")))/N1171)</f>
        <v>0.48</v>
      </c>
      <c r="Q1171" s="14" t="n">
        <f aca="false">IF(O1171=0,"",(O1171-LEN(SUBSTITUTE(SUBSTITUTE(M1171,"G",""),"C","")))/O1171)</f>
        <v>0.52</v>
      </c>
      <c r="R1171" s="5" t="s">
        <v>1225</v>
      </c>
      <c r="S1171" s="15" t="s">
        <v>1677</v>
      </c>
      <c r="T1171" s="5" t="n">
        <v>474</v>
      </c>
      <c r="U1171" s="5" t="s">
        <v>1678</v>
      </c>
      <c r="V1171" s="5" t="s">
        <v>1055</v>
      </c>
      <c r="W1171" s="5"/>
      <c r="X1171" s="8" t="s">
        <v>1914</v>
      </c>
      <c r="Y1171" s="5"/>
    </row>
    <row r="1172" customFormat="false" ht="15" hidden="false" customHeight="false" outlineLevel="0" collapsed="false">
      <c r="A1172" s="5" t="s">
        <v>11707</v>
      </c>
      <c r="B1172" s="5" t="s">
        <v>1222</v>
      </c>
      <c r="C1172" s="5" t="s">
        <v>1223</v>
      </c>
      <c r="D1172" s="10" t="s">
        <v>137</v>
      </c>
      <c r="E1172" s="5" t="n">
        <v>6</v>
      </c>
      <c r="F1172" s="5" t="s">
        <v>11708</v>
      </c>
      <c r="G1172" s="13" t="s">
        <v>11709</v>
      </c>
      <c r="H1172" s="5" t="s">
        <v>11710</v>
      </c>
      <c r="I1172" s="13" t="s">
        <v>11711</v>
      </c>
      <c r="J1172" s="5" t="s">
        <v>11712</v>
      </c>
      <c r="K1172" s="5" t="s">
        <v>11713</v>
      </c>
      <c r="L1172" s="13" t="s">
        <v>11714</v>
      </c>
      <c r="M1172" s="13" t="s">
        <v>11715</v>
      </c>
      <c r="N1172" s="5" t="n">
        <f aca="false">LEN(L1172)</f>
        <v>25</v>
      </c>
      <c r="O1172" s="5" t="n">
        <f aca="false">LEN(M1172)</f>
        <v>25</v>
      </c>
      <c r="P1172" s="14" t="n">
        <f aca="false">IF(N1172=0,"",(N1172-LEN(SUBSTITUTE(SUBSTITUTE(L1172,"G",""),"C","")))/N1172)</f>
        <v>0.36</v>
      </c>
      <c r="Q1172" s="14" t="n">
        <f aca="false">IF(O1172=0,"",(O1172-LEN(SUBSTITUTE(SUBSTITUTE(M1172,"G",""),"C","")))/O1172)</f>
        <v>0.44</v>
      </c>
      <c r="R1172" s="5" t="s">
        <v>1225</v>
      </c>
      <c r="S1172" s="15" t="s">
        <v>1677</v>
      </c>
      <c r="T1172" s="5" t="n">
        <v>541</v>
      </c>
      <c r="U1172" s="5" t="s">
        <v>1678</v>
      </c>
      <c r="V1172" s="5" t="s">
        <v>1055</v>
      </c>
      <c r="W1172" s="5"/>
      <c r="X1172" s="15" t="s">
        <v>1677</v>
      </c>
      <c r="Y1172" s="5"/>
    </row>
    <row r="1173" customFormat="false" ht="15" hidden="false" customHeight="false" outlineLevel="0" collapsed="false">
      <c r="A1173" s="5" t="s">
        <v>11716</v>
      </c>
      <c r="B1173" s="5" t="s">
        <v>1228</v>
      </c>
      <c r="C1173" s="5" t="s">
        <v>1229</v>
      </c>
      <c r="D1173" s="10" t="s">
        <v>137</v>
      </c>
      <c r="E1173" s="5" t="n">
        <v>1</v>
      </c>
      <c r="F1173" s="5" t="s">
        <v>11717</v>
      </c>
      <c r="G1173" s="13" t="s">
        <v>11718</v>
      </c>
      <c r="H1173" s="5" t="s">
        <v>11719</v>
      </c>
      <c r="I1173" s="13" t="s">
        <v>11720</v>
      </c>
      <c r="J1173" s="5" t="s">
        <v>11721</v>
      </c>
      <c r="K1173" s="5" t="s">
        <v>11722</v>
      </c>
      <c r="L1173" s="13" t="s">
        <v>11723</v>
      </c>
      <c r="M1173" s="13" t="s">
        <v>11724</v>
      </c>
      <c r="N1173" s="5" t="n">
        <f aca="false">LEN(L1173)</f>
        <v>25</v>
      </c>
      <c r="O1173" s="5" t="n">
        <f aca="false">LEN(M1173)</f>
        <v>25</v>
      </c>
      <c r="P1173" s="14" t="n">
        <f aca="false">IF(N1173=0,"",(N1173-LEN(SUBSTITUTE(SUBSTITUTE(L1173,"G",""),"C","")))/N1173)</f>
        <v>0.52</v>
      </c>
      <c r="Q1173" s="14" t="n">
        <f aca="false">IF(O1173=0,"",(O1173-LEN(SUBSTITUTE(SUBSTITUTE(M1173,"G",""),"C","")))/O1173)</f>
        <v>0.56</v>
      </c>
      <c r="R1173" s="5" t="s">
        <v>1233</v>
      </c>
      <c r="S1173" s="8" t="s">
        <v>1769</v>
      </c>
      <c r="T1173" s="5" t="n">
        <v>-26</v>
      </c>
      <c r="U1173" s="5" t="s">
        <v>2986</v>
      </c>
      <c r="V1173" s="5" t="s">
        <v>154</v>
      </c>
      <c r="W1173" s="5"/>
      <c r="X1173" s="15" t="s">
        <v>1677</v>
      </c>
      <c r="Y1173" s="8" t="s">
        <v>3168</v>
      </c>
    </row>
    <row r="1174" customFormat="false" ht="15" hidden="false" customHeight="false" outlineLevel="0" collapsed="false">
      <c r="A1174" s="5" t="s">
        <v>11725</v>
      </c>
      <c r="B1174" s="5" t="s">
        <v>1228</v>
      </c>
      <c r="C1174" s="5" t="s">
        <v>1229</v>
      </c>
      <c r="D1174" s="10" t="s">
        <v>137</v>
      </c>
      <c r="E1174" s="5" t="n">
        <v>2</v>
      </c>
      <c r="F1174" s="5" t="s">
        <v>11726</v>
      </c>
      <c r="G1174" s="13" t="s">
        <v>11727</v>
      </c>
      <c r="H1174" s="5" t="s">
        <v>11728</v>
      </c>
      <c r="I1174" s="13" t="s">
        <v>11729</v>
      </c>
      <c r="J1174" s="5" t="s">
        <v>11730</v>
      </c>
      <c r="K1174" s="5" t="s">
        <v>11731</v>
      </c>
      <c r="L1174" s="13" t="s">
        <v>11732</v>
      </c>
      <c r="M1174" s="13" t="s">
        <v>11733</v>
      </c>
      <c r="N1174" s="5" t="n">
        <f aca="false">LEN(L1174)</f>
        <v>25</v>
      </c>
      <c r="O1174" s="5" t="n">
        <f aca="false">LEN(M1174)</f>
        <v>25</v>
      </c>
      <c r="P1174" s="14" t="n">
        <f aca="false">IF(N1174=0,"",(N1174-LEN(SUBSTITUTE(SUBSTITUTE(L1174,"G",""),"C","")))/N1174)</f>
        <v>0.64</v>
      </c>
      <c r="Q1174" s="14" t="n">
        <f aca="false">IF(O1174=0,"",(O1174-LEN(SUBSTITUTE(SUBSTITUTE(M1174,"G",""),"C","")))/O1174)</f>
        <v>0.44</v>
      </c>
      <c r="R1174" s="5" t="s">
        <v>1233</v>
      </c>
      <c r="S1174" s="15" t="s">
        <v>1677</v>
      </c>
      <c r="T1174" s="5" t="n">
        <v>44</v>
      </c>
      <c r="U1174" s="5" t="s">
        <v>1678</v>
      </c>
      <c r="V1174" s="5" t="s">
        <v>154</v>
      </c>
      <c r="W1174" s="5"/>
      <c r="X1174" s="15" t="s">
        <v>1677</v>
      </c>
      <c r="Y1174" s="5"/>
    </row>
    <row r="1175" customFormat="false" ht="15" hidden="false" customHeight="false" outlineLevel="0" collapsed="false">
      <c r="A1175" s="5" t="s">
        <v>11734</v>
      </c>
      <c r="B1175" s="5" t="s">
        <v>1228</v>
      </c>
      <c r="C1175" s="5" t="s">
        <v>1229</v>
      </c>
      <c r="D1175" s="10" t="s">
        <v>137</v>
      </c>
      <c r="E1175" s="5" t="n">
        <v>3</v>
      </c>
      <c r="F1175" s="5" t="s">
        <v>11735</v>
      </c>
      <c r="G1175" s="13" t="s">
        <v>11736</v>
      </c>
      <c r="H1175" s="5" t="s">
        <v>11737</v>
      </c>
      <c r="I1175" s="13" t="s">
        <v>11738</v>
      </c>
      <c r="J1175" s="5" t="s">
        <v>11739</v>
      </c>
      <c r="K1175" s="5" t="s">
        <v>11740</v>
      </c>
      <c r="L1175" s="13" t="s">
        <v>11741</v>
      </c>
      <c r="M1175" s="13" t="s">
        <v>11742</v>
      </c>
      <c r="N1175" s="5" t="n">
        <f aca="false">LEN(L1175)</f>
        <v>25</v>
      </c>
      <c r="O1175" s="5" t="n">
        <f aca="false">LEN(M1175)</f>
        <v>25</v>
      </c>
      <c r="P1175" s="14" t="n">
        <f aca="false">IF(N1175=0,"",(N1175-LEN(SUBSTITUTE(SUBSTITUTE(L1175,"G",""),"C","")))/N1175)</f>
        <v>0.56</v>
      </c>
      <c r="Q1175" s="14" t="n">
        <f aca="false">IF(O1175=0,"",(O1175-LEN(SUBSTITUTE(SUBSTITUTE(M1175,"G",""),"C","")))/O1175)</f>
        <v>0.48</v>
      </c>
      <c r="R1175" s="5"/>
      <c r="S1175" s="8" t="s">
        <v>2131</v>
      </c>
      <c r="T1175" s="5"/>
      <c r="U1175" s="5" t="s">
        <v>2986</v>
      </c>
      <c r="V1175" s="5" t="s">
        <v>154</v>
      </c>
      <c r="W1175" s="5"/>
      <c r="X1175" s="15" t="s">
        <v>1677</v>
      </c>
      <c r="Y1175" s="5"/>
    </row>
    <row r="1176" customFormat="false" ht="15" hidden="false" customHeight="false" outlineLevel="0" collapsed="false">
      <c r="A1176" s="5" t="s">
        <v>11743</v>
      </c>
      <c r="B1176" s="5" t="s">
        <v>1228</v>
      </c>
      <c r="C1176" s="5" t="s">
        <v>1229</v>
      </c>
      <c r="D1176" s="10" t="s">
        <v>137</v>
      </c>
      <c r="E1176" s="5" t="n">
        <v>4</v>
      </c>
      <c r="F1176" s="5" t="s">
        <v>11744</v>
      </c>
      <c r="G1176" s="13" t="s">
        <v>11745</v>
      </c>
      <c r="H1176" s="5" t="s">
        <v>11746</v>
      </c>
      <c r="I1176" s="13" t="s">
        <v>11747</v>
      </c>
      <c r="J1176" s="5" t="s">
        <v>11748</v>
      </c>
      <c r="K1176" s="5" t="s">
        <v>11749</v>
      </c>
      <c r="L1176" s="13" t="s">
        <v>11750</v>
      </c>
      <c r="M1176" s="13" t="s">
        <v>11751</v>
      </c>
      <c r="N1176" s="5" t="n">
        <f aca="false">LEN(L1176)</f>
        <v>25</v>
      </c>
      <c r="O1176" s="5" t="n">
        <f aca="false">LEN(M1176)</f>
        <v>25</v>
      </c>
      <c r="P1176" s="14" t="n">
        <f aca="false">IF(N1176=0,"",(N1176-LEN(SUBSTITUTE(SUBSTITUTE(L1176,"G",""),"C","")))/N1176)</f>
        <v>0.68</v>
      </c>
      <c r="Q1176" s="14" t="n">
        <f aca="false">IF(O1176=0,"",(O1176-LEN(SUBSTITUTE(SUBSTITUTE(M1176,"G",""),"C","")))/O1176)</f>
        <v>0.64</v>
      </c>
      <c r="R1176" s="5"/>
      <c r="S1176" s="8" t="s">
        <v>2131</v>
      </c>
      <c r="T1176" s="5"/>
      <c r="U1176" s="5" t="s">
        <v>2986</v>
      </c>
      <c r="V1176" s="5" t="s">
        <v>154</v>
      </c>
      <c r="W1176" s="5"/>
      <c r="X1176" s="15" t="s">
        <v>1677</v>
      </c>
      <c r="Y1176" s="5"/>
    </row>
    <row r="1177" customFormat="false" ht="15" hidden="false" customHeight="false" outlineLevel="0" collapsed="false">
      <c r="A1177" s="5" t="s">
        <v>11752</v>
      </c>
      <c r="B1177" s="5" t="s">
        <v>1228</v>
      </c>
      <c r="C1177" s="5" t="s">
        <v>1229</v>
      </c>
      <c r="D1177" s="10" t="s">
        <v>137</v>
      </c>
      <c r="E1177" s="5" t="n">
        <v>5</v>
      </c>
      <c r="F1177" s="5" t="s">
        <v>11753</v>
      </c>
      <c r="G1177" s="13" t="s">
        <v>11754</v>
      </c>
      <c r="H1177" s="5" t="s">
        <v>11755</v>
      </c>
      <c r="I1177" s="13" t="s">
        <v>11756</v>
      </c>
      <c r="J1177" s="5" t="s">
        <v>11757</v>
      </c>
      <c r="K1177" s="5" t="s">
        <v>11758</v>
      </c>
      <c r="L1177" s="13" t="s">
        <v>11759</v>
      </c>
      <c r="M1177" s="13" t="s">
        <v>11760</v>
      </c>
      <c r="N1177" s="5" t="n">
        <f aca="false">LEN(L1177)</f>
        <v>25</v>
      </c>
      <c r="O1177" s="5" t="n">
        <f aca="false">LEN(M1177)</f>
        <v>25</v>
      </c>
      <c r="P1177" s="14" t="n">
        <f aca="false">IF(N1177=0,"",(N1177-LEN(SUBSTITUTE(SUBSTITUTE(L1177,"G",""),"C","")))/N1177)</f>
        <v>0.56</v>
      </c>
      <c r="Q1177" s="14" t="n">
        <f aca="false">IF(O1177=0,"",(O1177-LEN(SUBSTITUTE(SUBSTITUTE(M1177,"G",""),"C","")))/O1177)</f>
        <v>0.72</v>
      </c>
      <c r="R1177" s="5"/>
      <c r="S1177" s="8" t="s">
        <v>2131</v>
      </c>
      <c r="T1177" s="5"/>
      <c r="U1177" s="5" t="s">
        <v>2986</v>
      </c>
      <c r="V1177" s="5" t="s">
        <v>154</v>
      </c>
      <c r="W1177" s="5"/>
      <c r="X1177" s="15" t="s">
        <v>1677</v>
      </c>
      <c r="Y1177" s="5"/>
    </row>
    <row r="1178" customFormat="false" ht="15" hidden="false" customHeight="false" outlineLevel="0" collapsed="false">
      <c r="A1178" s="5" t="s">
        <v>11761</v>
      </c>
      <c r="B1178" s="5" t="s">
        <v>1228</v>
      </c>
      <c r="C1178" s="5" t="s">
        <v>1229</v>
      </c>
      <c r="D1178" s="10" t="s">
        <v>137</v>
      </c>
      <c r="E1178" s="5" t="n">
        <v>6</v>
      </c>
      <c r="F1178" s="5" t="s">
        <v>11762</v>
      </c>
      <c r="G1178" s="13" t="s">
        <v>11763</v>
      </c>
      <c r="H1178" s="5" t="s">
        <v>11764</v>
      </c>
      <c r="I1178" s="13" t="s">
        <v>11765</v>
      </c>
      <c r="J1178" s="5" t="s">
        <v>11766</v>
      </c>
      <c r="K1178" s="5" t="s">
        <v>11767</v>
      </c>
      <c r="L1178" s="13" t="s">
        <v>11768</v>
      </c>
      <c r="M1178" s="13" t="s">
        <v>11769</v>
      </c>
      <c r="N1178" s="5" t="n">
        <f aca="false">LEN(L1178)</f>
        <v>25</v>
      </c>
      <c r="O1178" s="5" t="n">
        <f aca="false">LEN(M1178)</f>
        <v>25</v>
      </c>
      <c r="P1178" s="14" t="n">
        <f aca="false">IF(N1178=0,"",(N1178-LEN(SUBSTITUTE(SUBSTITUTE(L1178,"G",""),"C","")))/N1178)</f>
        <v>0.48</v>
      </c>
      <c r="Q1178" s="14" t="n">
        <f aca="false">IF(O1178=0,"",(O1178-LEN(SUBSTITUTE(SUBSTITUTE(M1178,"G",""),"C","")))/O1178)</f>
        <v>0.48</v>
      </c>
      <c r="R1178" s="5"/>
      <c r="S1178" s="8" t="s">
        <v>2131</v>
      </c>
      <c r="T1178" s="5"/>
      <c r="U1178" s="5" t="s">
        <v>2986</v>
      </c>
      <c r="V1178" s="5" t="s">
        <v>154</v>
      </c>
      <c r="W1178" s="5"/>
      <c r="X1178" s="15" t="s">
        <v>1677</v>
      </c>
      <c r="Y1178" s="5"/>
    </row>
    <row r="1179" customFormat="false" ht="15" hidden="false" customHeight="false" outlineLevel="0" collapsed="false">
      <c r="A1179" s="5" t="s">
        <v>11770</v>
      </c>
      <c r="B1179" s="5" t="s">
        <v>1237</v>
      </c>
      <c r="C1179" s="5" t="s">
        <v>898</v>
      </c>
      <c r="D1179" s="10" t="s">
        <v>137</v>
      </c>
      <c r="E1179" s="5" t="n">
        <v>1</v>
      </c>
      <c r="F1179" s="5" t="s">
        <v>11771</v>
      </c>
      <c r="G1179" s="13" t="s">
        <v>11772</v>
      </c>
      <c r="H1179" s="5" t="s">
        <v>11773</v>
      </c>
      <c r="I1179" s="13" t="s">
        <v>11774</v>
      </c>
      <c r="J1179" s="5" t="s">
        <v>6076</v>
      </c>
      <c r="K1179" s="5" t="s">
        <v>6076</v>
      </c>
      <c r="L1179" s="13" t="s">
        <v>11775</v>
      </c>
      <c r="M1179" s="13" t="s">
        <v>11776</v>
      </c>
      <c r="N1179" s="5" t="n">
        <f aca="false">LEN(L1179)</f>
        <v>25</v>
      </c>
      <c r="O1179" s="5" t="n">
        <f aca="false">LEN(M1179)</f>
        <v>25</v>
      </c>
      <c r="P1179" s="14" t="n">
        <f aca="false">IF(N1179=0,"",(N1179-LEN(SUBSTITUTE(SUBSTITUTE(L1179,"G",""),"C","")))/N1179)</f>
        <v>0.68</v>
      </c>
      <c r="Q1179" s="14" t="n">
        <f aca="false">IF(O1179=0,"",(O1179-LEN(SUBSTITUTE(SUBSTITUTE(M1179,"G",""),"C","")))/O1179)</f>
        <v>0.72</v>
      </c>
      <c r="R1179" s="5" t="s">
        <v>901</v>
      </c>
      <c r="S1179" s="15" t="s">
        <v>1677</v>
      </c>
      <c r="T1179" s="5" t="n">
        <v>51</v>
      </c>
      <c r="U1179" s="5" t="s">
        <v>1678</v>
      </c>
      <c r="V1179" s="5" t="s">
        <v>580</v>
      </c>
      <c r="W1179" s="5" t="s">
        <v>580</v>
      </c>
      <c r="X1179" s="15" t="s">
        <v>1677</v>
      </c>
      <c r="Y1179" s="5"/>
    </row>
    <row r="1180" customFormat="false" ht="15" hidden="false" customHeight="false" outlineLevel="0" collapsed="false">
      <c r="A1180" s="5" t="s">
        <v>11777</v>
      </c>
      <c r="B1180" s="5" t="s">
        <v>1237</v>
      </c>
      <c r="C1180" s="5" t="s">
        <v>898</v>
      </c>
      <c r="D1180" s="10" t="s">
        <v>137</v>
      </c>
      <c r="E1180" s="5" t="n">
        <v>2</v>
      </c>
      <c r="F1180" s="5" t="s">
        <v>11778</v>
      </c>
      <c r="G1180" s="13" t="s">
        <v>11779</v>
      </c>
      <c r="H1180" s="5" t="s">
        <v>11780</v>
      </c>
      <c r="I1180" s="13" t="s">
        <v>11781</v>
      </c>
      <c r="J1180" s="5" t="s">
        <v>6076</v>
      </c>
      <c r="K1180" s="5" t="s">
        <v>6076</v>
      </c>
      <c r="L1180" s="13" t="s">
        <v>11782</v>
      </c>
      <c r="M1180" s="13" t="s">
        <v>11783</v>
      </c>
      <c r="N1180" s="5" t="n">
        <f aca="false">LEN(L1180)</f>
        <v>25</v>
      </c>
      <c r="O1180" s="5" t="n">
        <f aca="false">LEN(M1180)</f>
        <v>25</v>
      </c>
      <c r="P1180" s="14" t="n">
        <f aca="false">IF(N1180=0,"",(N1180-LEN(SUBSTITUTE(SUBSTITUTE(L1180,"G",""),"C","")))/N1180)</f>
        <v>0.4</v>
      </c>
      <c r="Q1180" s="14" t="n">
        <f aca="false">IF(O1180=0,"",(O1180-LEN(SUBSTITUTE(SUBSTITUTE(M1180,"G",""),"C","")))/O1180)</f>
        <v>0.52</v>
      </c>
      <c r="R1180" s="5" t="s">
        <v>901</v>
      </c>
      <c r="S1180" s="15" t="s">
        <v>1677</v>
      </c>
      <c r="T1180" s="5" t="n">
        <v>156</v>
      </c>
      <c r="U1180" s="5" t="s">
        <v>1678</v>
      </c>
      <c r="V1180" s="5" t="s">
        <v>580</v>
      </c>
      <c r="W1180" s="5" t="s">
        <v>580</v>
      </c>
      <c r="X1180" s="15" t="s">
        <v>1677</v>
      </c>
      <c r="Y1180" s="5"/>
    </row>
    <row r="1181" customFormat="false" ht="15" hidden="false" customHeight="false" outlineLevel="0" collapsed="false">
      <c r="A1181" s="5" t="s">
        <v>11784</v>
      </c>
      <c r="B1181" s="5" t="s">
        <v>1237</v>
      </c>
      <c r="C1181" s="5" t="s">
        <v>898</v>
      </c>
      <c r="D1181" s="10" t="s">
        <v>137</v>
      </c>
      <c r="E1181" s="5" t="n">
        <v>3</v>
      </c>
      <c r="F1181" s="5" t="s">
        <v>11785</v>
      </c>
      <c r="G1181" s="13" t="s">
        <v>11786</v>
      </c>
      <c r="H1181" s="5" t="s">
        <v>11787</v>
      </c>
      <c r="I1181" s="13" t="s">
        <v>11788</v>
      </c>
      <c r="J1181" s="5" t="s">
        <v>6076</v>
      </c>
      <c r="K1181" s="5" t="s">
        <v>6076</v>
      </c>
      <c r="L1181" s="13" t="s">
        <v>11789</v>
      </c>
      <c r="M1181" s="13" t="s">
        <v>11790</v>
      </c>
      <c r="N1181" s="5" t="n">
        <f aca="false">LEN(L1181)</f>
        <v>25</v>
      </c>
      <c r="O1181" s="5" t="n">
        <f aca="false">LEN(M1181)</f>
        <v>25</v>
      </c>
      <c r="P1181" s="14" t="n">
        <f aca="false">IF(N1181=0,"",(N1181-LEN(SUBSTITUTE(SUBSTITUTE(L1181,"G",""),"C","")))/N1181)</f>
        <v>0.44</v>
      </c>
      <c r="Q1181" s="14" t="n">
        <f aca="false">IF(O1181=0,"",(O1181-LEN(SUBSTITUTE(SUBSTITUTE(M1181,"G",""),"C","")))/O1181)</f>
        <v>0.4</v>
      </c>
      <c r="R1181" s="5" t="s">
        <v>901</v>
      </c>
      <c r="S1181" s="15" t="s">
        <v>1677</v>
      </c>
      <c r="T1181" s="5" t="n">
        <v>239</v>
      </c>
      <c r="U1181" s="5" t="s">
        <v>1678</v>
      </c>
      <c r="V1181" s="5" t="s">
        <v>580</v>
      </c>
      <c r="W1181" s="5" t="s">
        <v>580</v>
      </c>
      <c r="X1181" s="15" t="s">
        <v>1677</v>
      </c>
      <c r="Y1181" s="5"/>
    </row>
    <row r="1182" customFormat="false" ht="15" hidden="false" customHeight="false" outlineLevel="0" collapsed="false">
      <c r="A1182" s="5" t="s">
        <v>11791</v>
      </c>
      <c r="B1182" s="5" t="s">
        <v>1237</v>
      </c>
      <c r="C1182" s="5" t="s">
        <v>898</v>
      </c>
      <c r="D1182" s="10" t="s">
        <v>137</v>
      </c>
      <c r="E1182" s="5" t="n">
        <v>4</v>
      </c>
      <c r="F1182" s="5" t="s">
        <v>11792</v>
      </c>
      <c r="G1182" s="13" t="s">
        <v>11793</v>
      </c>
      <c r="H1182" s="5" t="s">
        <v>11794</v>
      </c>
      <c r="I1182" s="13" t="s">
        <v>11795</v>
      </c>
      <c r="J1182" s="5" t="s">
        <v>6076</v>
      </c>
      <c r="K1182" s="5" t="s">
        <v>6076</v>
      </c>
      <c r="L1182" s="13" t="s">
        <v>11796</v>
      </c>
      <c r="M1182" s="13" t="s">
        <v>11797</v>
      </c>
      <c r="N1182" s="5" t="n">
        <f aca="false">LEN(L1182)</f>
        <v>25</v>
      </c>
      <c r="O1182" s="5" t="n">
        <f aca="false">LEN(M1182)</f>
        <v>25</v>
      </c>
      <c r="P1182" s="14" t="n">
        <f aca="false">IF(N1182=0,"",(N1182-LEN(SUBSTITUTE(SUBSTITUTE(L1182,"G",""),"C","")))/N1182)</f>
        <v>0.44</v>
      </c>
      <c r="Q1182" s="14" t="n">
        <f aca="false">IF(O1182=0,"",(O1182-LEN(SUBSTITUTE(SUBSTITUTE(M1182,"G",""),"C","")))/O1182)</f>
        <v>0.6</v>
      </c>
      <c r="R1182" s="5" t="s">
        <v>901</v>
      </c>
      <c r="S1182" s="8" t="s">
        <v>1769</v>
      </c>
      <c r="T1182" s="5" t="n">
        <v>319</v>
      </c>
      <c r="U1182" s="5" t="s">
        <v>4197</v>
      </c>
      <c r="V1182" s="5" t="s">
        <v>580</v>
      </c>
      <c r="W1182" s="5" t="s">
        <v>580</v>
      </c>
      <c r="X1182" s="15" t="s">
        <v>1677</v>
      </c>
      <c r="Y1182" s="8" t="s">
        <v>3168</v>
      </c>
    </row>
    <row r="1183" customFormat="false" ht="15" hidden="false" customHeight="false" outlineLevel="0" collapsed="false">
      <c r="A1183" s="5" t="s">
        <v>11798</v>
      </c>
      <c r="B1183" s="5" t="s">
        <v>1237</v>
      </c>
      <c r="C1183" s="5" t="s">
        <v>898</v>
      </c>
      <c r="D1183" s="10" t="s">
        <v>137</v>
      </c>
      <c r="E1183" s="5" t="n">
        <v>5</v>
      </c>
      <c r="F1183" s="5" t="s">
        <v>11799</v>
      </c>
      <c r="G1183" s="13" t="s">
        <v>11800</v>
      </c>
      <c r="H1183" s="5" t="s">
        <v>11801</v>
      </c>
      <c r="I1183" s="13" t="s">
        <v>11802</v>
      </c>
      <c r="J1183" s="5" t="s">
        <v>6076</v>
      </c>
      <c r="K1183" s="5" t="s">
        <v>6076</v>
      </c>
      <c r="L1183" s="13" t="s">
        <v>11803</v>
      </c>
      <c r="M1183" s="13" t="s">
        <v>11804</v>
      </c>
      <c r="N1183" s="5" t="n">
        <f aca="false">LEN(L1183)</f>
        <v>25</v>
      </c>
      <c r="O1183" s="5" t="n">
        <f aca="false">LEN(M1183)</f>
        <v>25</v>
      </c>
      <c r="P1183" s="14" t="n">
        <f aca="false">IF(N1183=0,"",(N1183-LEN(SUBSTITUTE(SUBSTITUTE(L1183,"G",""),"C","")))/N1183)</f>
        <v>0.52</v>
      </c>
      <c r="Q1183" s="14" t="n">
        <f aca="false">IF(O1183=0,"",(O1183-LEN(SUBSTITUTE(SUBSTITUTE(M1183,"G",""),"C","")))/O1183)</f>
        <v>0.52</v>
      </c>
      <c r="R1183" s="5" t="s">
        <v>901</v>
      </c>
      <c r="S1183" s="8" t="s">
        <v>1914</v>
      </c>
      <c r="T1183" s="5" t="n">
        <v>399</v>
      </c>
      <c r="U1183" s="5" t="s">
        <v>4197</v>
      </c>
      <c r="V1183" s="5" t="s">
        <v>580</v>
      </c>
      <c r="W1183" s="5" t="s">
        <v>580</v>
      </c>
      <c r="X1183" s="15" t="s">
        <v>1677</v>
      </c>
      <c r="Y1183" s="8" t="s">
        <v>6318</v>
      </c>
    </row>
    <row r="1184" customFormat="false" ht="15" hidden="false" customHeight="false" outlineLevel="0" collapsed="false">
      <c r="A1184" s="5" t="s">
        <v>11805</v>
      </c>
      <c r="B1184" s="5" t="s">
        <v>1237</v>
      </c>
      <c r="C1184" s="5" t="s">
        <v>898</v>
      </c>
      <c r="D1184" s="10" t="s">
        <v>137</v>
      </c>
      <c r="E1184" s="5" t="n">
        <v>6</v>
      </c>
      <c r="F1184" s="5" t="s">
        <v>11806</v>
      </c>
      <c r="G1184" s="13" t="s">
        <v>11807</v>
      </c>
      <c r="H1184" s="5" t="s">
        <v>11808</v>
      </c>
      <c r="I1184" s="13" t="s">
        <v>11809</v>
      </c>
      <c r="J1184" s="5" t="s">
        <v>6076</v>
      </c>
      <c r="K1184" s="5" t="s">
        <v>6076</v>
      </c>
      <c r="L1184" s="13" t="s">
        <v>11810</v>
      </c>
      <c r="M1184" s="13" t="s">
        <v>11811</v>
      </c>
      <c r="N1184" s="5" t="n">
        <f aca="false">LEN(L1184)</f>
        <v>25</v>
      </c>
      <c r="O1184" s="5" t="n">
        <f aca="false">LEN(M1184)</f>
        <v>25</v>
      </c>
      <c r="P1184" s="14" t="n">
        <f aca="false">IF(N1184=0,"",(N1184-LEN(SUBSTITUTE(SUBSTITUTE(L1184,"G",""),"C","")))/N1184)</f>
        <v>0.48</v>
      </c>
      <c r="Q1184" s="14" t="n">
        <f aca="false">IF(O1184=0,"",(O1184-LEN(SUBSTITUTE(SUBSTITUTE(M1184,"G",""),"C","")))/O1184)</f>
        <v>0.64</v>
      </c>
      <c r="R1184" s="5" t="s">
        <v>901</v>
      </c>
      <c r="S1184" s="15" t="s">
        <v>1677</v>
      </c>
      <c r="T1184" s="5" t="n">
        <v>479</v>
      </c>
      <c r="U1184" s="5" t="s">
        <v>1678</v>
      </c>
      <c r="V1184" s="5" t="s">
        <v>580</v>
      </c>
      <c r="W1184" s="5" t="s">
        <v>580</v>
      </c>
      <c r="X1184" s="15" t="s">
        <v>1677</v>
      </c>
      <c r="Y1184" s="5"/>
    </row>
    <row r="1185" customFormat="false" ht="15" hidden="false" customHeight="false" outlineLevel="0" collapsed="false">
      <c r="A1185" s="5" t="s">
        <v>11812</v>
      </c>
      <c r="B1185" s="5" t="s">
        <v>1237</v>
      </c>
      <c r="C1185" s="5" t="s">
        <v>898</v>
      </c>
      <c r="D1185" s="10" t="s">
        <v>137</v>
      </c>
      <c r="E1185" s="5" t="n">
        <v>7</v>
      </c>
      <c r="F1185" s="5" t="s">
        <v>11813</v>
      </c>
      <c r="G1185" s="13" t="s">
        <v>11814</v>
      </c>
      <c r="H1185" s="5" t="s">
        <v>11815</v>
      </c>
      <c r="I1185" s="13" t="s">
        <v>11816</v>
      </c>
      <c r="J1185" s="5" t="s">
        <v>6076</v>
      </c>
      <c r="K1185" s="5" t="s">
        <v>6076</v>
      </c>
      <c r="L1185" s="13" t="s">
        <v>11817</v>
      </c>
      <c r="M1185" s="13" t="s">
        <v>11818</v>
      </c>
      <c r="N1185" s="5" t="n">
        <f aca="false">LEN(L1185)</f>
        <v>25</v>
      </c>
      <c r="O1185" s="5" t="n">
        <f aca="false">LEN(M1185)</f>
        <v>25</v>
      </c>
      <c r="P1185" s="14" t="n">
        <f aca="false">IF(N1185=0,"",(N1185-LEN(SUBSTITUTE(SUBSTITUTE(L1185,"G",""),"C","")))/N1185)</f>
        <v>0.48</v>
      </c>
      <c r="Q1185" s="14" t="n">
        <f aca="false">IF(O1185=0,"",(O1185-LEN(SUBSTITUTE(SUBSTITUTE(M1185,"G",""),"C","")))/O1185)</f>
        <v>0.4</v>
      </c>
      <c r="R1185" s="5" t="s">
        <v>901</v>
      </c>
      <c r="S1185" s="15" t="s">
        <v>1677</v>
      </c>
      <c r="T1185" s="5" t="n">
        <v>639</v>
      </c>
      <c r="U1185" s="5" t="s">
        <v>1678</v>
      </c>
      <c r="V1185" s="5" t="s">
        <v>580</v>
      </c>
      <c r="W1185" s="5" t="s">
        <v>580</v>
      </c>
      <c r="X1185" s="15" t="s">
        <v>1677</v>
      </c>
      <c r="Y1185" s="5"/>
    </row>
    <row r="1186" customFormat="false" ht="15" hidden="false" customHeight="false" outlineLevel="0" collapsed="false">
      <c r="A1186" s="5" t="s">
        <v>11819</v>
      </c>
      <c r="B1186" s="5" t="s">
        <v>1237</v>
      </c>
      <c r="C1186" s="5" t="s">
        <v>898</v>
      </c>
      <c r="D1186" s="10" t="s">
        <v>137</v>
      </c>
      <c r="E1186" s="5" t="n">
        <v>8</v>
      </c>
      <c r="F1186" s="5" t="s">
        <v>11820</v>
      </c>
      <c r="G1186" s="13" t="s">
        <v>11821</v>
      </c>
      <c r="H1186" s="5" t="s">
        <v>11822</v>
      </c>
      <c r="I1186" s="13" t="s">
        <v>11823</v>
      </c>
      <c r="J1186" s="5" t="s">
        <v>6076</v>
      </c>
      <c r="K1186" s="5" t="s">
        <v>6076</v>
      </c>
      <c r="L1186" s="13" t="s">
        <v>11824</v>
      </c>
      <c r="M1186" s="13" t="s">
        <v>11825</v>
      </c>
      <c r="N1186" s="5" t="n">
        <f aca="false">LEN(L1186)</f>
        <v>25</v>
      </c>
      <c r="O1186" s="5" t="n">
        <f aca="false">LEN(M1186)</f>
        <v>25</v>
      </c>
      <c r="P1186" s="14" t="n">
        <f aca="false">IF(N1186=0,"",(N1186-LEN(SUBSTITUTE(SUBSTITUTE(L1186,"G",""),"C","")))/N1186)</f>
        <v>0.6</v>
      </c>
      <c r="Q1186" s="14" t="n">
        <f aca="false">IF(O1186=0,"",(O1186-LEN(SUBSTITUTE(SUBSTITUTE(M1186,"G",""),"C","")))/O1186)</f>
        <v>0.44</v>
      </c>
      <c r="R1186" s="5" t="s">
        <v>901</v>
      </c>
      <c r="S1186" s="15" t="s">
        <v>1677</v>
      </c>
      <c r="T1186" s="5" t="n">
        <v>719</v>
      </c>
      <c r="U1186" s="5" t="s">
        <v>1678</v>
      </c>
      <c r="V1186" s="5" t="s">
        <v>580</v>
      </c>
      <c r="W1186" s="5" t="s">
        <v>580</v>
      </c>
      <c r="X1186" s="15" t="s">
        <v>1677</v>
      </c>
      <c r="Y1186" s="5"/>
    </row>
    <row r="1187" customFormat="false" ht="15" hidden="false" customHeight="false" outlineLevel="0" collapsed="false">
      <c r="A1187" s="5" t="s">
        <v>11826</v>
      </c>
      <c r="B1187" s="5" t="s">
        <v>1237</v>
      </c>
      <c r="C1187" s="5" t="s">
        <v>898</v>
      </c>
      <c r="D1187" s="10" t="s">
        <v>137</v>
      </c>
      <c r="E1187" s="5" t="n">
        <v>9</v>
      </c>
      <c r="F1187" s="5" t="s">
        <v>11827</v>
      </c>
      <c r="G1187" s="13" t="s">
        <v>11828</v>
      </c>
      <c r="H1187" s="5" t="s">
        <v>11829</v>
      </c>
      <c r="I1187" s="13" t="s">
        <v>11830</v>
      </c>
      <c r="J1187" s="5" t="s">
        <v>6076</v>
      </c>
      <c r="K1187" s="5" t="s">
        <v>6076</v>
      </c>
      <c r="L1187" s="13" t="s">
        <v>11831</v>
      </c>
      <c r="M1187" s="13" t="s">
        <v>11832</v>
      </c>
      <c r="N1187" s="5" t="n">
        <f aca="false">LEN(L1187)</f>
        <v>25</v>
      </c>
      <c r="O1187" s="5" t="n">
        <f aca="false">LEN(M1187)</f>
        <v>25</v>
      </c>
      <c r="P1187" s="14" t="n">
        <f aca="false">IF(N1187=0,"",(N1187-LEN(SUBSTITUTE(SUBSTITUTE(L1187,"G",""),"C","")))/N1187)</f>
        <v>0.48</v>
      </c>
      <c r="Q1187" s="14" t="n">
        <f aca="false">IF(O1187=0,"",(O1187-LEN(SUBSTITUTE(SUBSTITUTE(M1187,"G",""),"C","")))/O1187)</f>
        <v>0.48</v>
      </c>
      <c r="R1187" s="5" t="s">
        <v>901</v>
      </c>
      <c r="S1187" s="15" t="s">
        <v>1677</v>
      </c>
      <c r="T1187" s="5" t="n">
        <v>799</v>
      </c>
      <c r="U1187" s="5" t="s">
        <v>1678</v>
      </c>
      <c r="V1187" s="5" t="s">
        <v>580</v>
      </c>
      <c r="W1187" s="5" t="s">
        <v>580</v>
      </c>
      <c r="X1187" s="15" t="s">
        <v>1677</v>
      </c>
      <c r="Y1187" s="5"/>
    </row>
    <row r="1188" customFormat="false" ht="15" hidden="false" customHeight="false" outlineLevel="0" collapsed="false">
      <c r="A1188" s="5" t="s">
        <v>11833</v>
      </c>
      <c r="B1188" s="5" t="s">
        <v>1237</v>
      </c>
      <c r="C1188" s="5" t="s">
        <v>898</v>
      </c>
      <c r="D1188" s="10" t="s">
        <v>137</v>
      </c>
      <c r="E1188" s="5" t="n">
        <v>10</v>
      </c>
      <c r="F1188" s="5" t="s">
        <v>11834</v>
      </c>
      <c r="G1188" s="13" t="s">
        <v>11835</v>
      </c>
      <c r="H1188" s="5" t="s">
        <v>11836</v>
      </c>
      <c r="I1188" s="13" t="s">
        <v>11837</v>
      </c>
      <c r="J1188" s="5" t="s">
        <v>6076</v>
      </c>
      <c r="K1188" s="5" t="s">
        <v>6076</v>
      </c>
      <c r="L1188" s="13" t="s">
        <v>11838</v>
      </c>
      <c r="M1188" s="13" t="s">
        <v>11839</v>
      </c>
      <c r="N1188" s="5" t="n">
        <f aca="false">LEN(L1188)</f>
        <v>25</v>
      </c>
      <c r="O1188" s="5" t="n">
        <f aca="false">LEN(M1188)</f>
        <v>25</v>
      </c>
      <c r="P1188" s="14" t="n">
        <f aca="false">IF(N1188=0,"",(N1188-LEN(SUBSTITUTE(SUBSTITUTE(L1188,"G",""),"C","")))/N1188)</f>
        <v>0.4</v>
      </c>
      <c r="Q1188" s="14" t="n">
        <f aca="false">IF(O1188=0,"",(O1188-LEN(SUBSTITUTE(SUBSTITUTE(M1188,"G",""),"C","")))/O1188)</f>
        <v>0.6</v>
      </c>
      <c r="R1188" s="5" t="s">
        <v>901</v>
      </c>
      <c r="S1188" s="15" t="s">
        <v>1677</v>
      </c>
      <c r="T1188" s="5" t="n">
        <v>879</v>
      </c>
      <c r="U1188" s="5" t="s">
        <v>1678</v>
      </c>
      <c r="V1188" s="5" t="s">
        <v>580</v>
      </c>
      <c r="W1188" s="5" t="s">
        <v>580</v>
      </c>
      <c r="X1188" s="15" t="s">
        <v>1677</v>
      </c>
      <c r="Y1188" s="5"/>
    </row>
    <row r="1189" customFormat="false" ht="15" hidden="false" customHeight="false" outlineLevel="0" collapsed="false">
      <c r="A1189" s="5" t="s">
        <v>11840</v>
      </c>
      <c r="B1189" s="5" t="s">
        <v>1237</v>
      </c>
      <c r="C1189" s="5" t="s">
        <v>898</v>
      </c>
      <c r="D1189" s="10" t="s">
        <v>137</v>
      </c>
      <c r="E1189" s="5" t="n">
        <v>11</v>
      </c>
      <c r="F1189" s="5" t="s">
        <v>11841</v>
      </c>
      <c r="G1189" s="13" t="s">
        <v>11842</v>
      </c>
      <c r="H1189" s="5" t="s">
        <v>11843</v>
      </c>
      <c r="I1189" s="13" t="s">
        <v>11844</v>
      </c>
      <c r="J1189" s="5" t="s">
        <v>6076</v>
      </c>
      <c r="K1189" s="5" t="s">
        <v>6076</v>
      </c>
      <c r="L1189" s="13" t="s">
        <v>11845</v>
      </c>
      <c r="M1189" s="13" t="s">
        <v>11846</v>
      </c>
      <c r="N1189" s="5" t="n">
        <f aca="false">LEN(L1189)</f>
        <v>25</v>
      </c>
      <c r="O1189" s="5" t="n">
        <f aca="false">LEN(M1189)</f>
        <v>25</v>
      </c>
      <c r="P1189" s="14" t="n">
        <f aca="false">IF(N1189=0,"",(N1189-LEN(SUBSTITUTE(SUBSTITUTE(L1189,"G",""),"C","")))/N1189)</f>
        <v>0.56</v>
      </c>
      <c r="Q1189" s="14" t="n">
        <f aca="false">IF(O1189=0,"",(O1189-LEN(SUBSTITUTE(SUBSTITUTE(M1189,"G",""),"C","")))/O1189)</f>
        <v>0.52</v>
      </c>
      <c r="R1189" s="5" t="s">
        <v>901</v>
      </c>
      <c r="S1189" s="8" t="s">
        <v>1914</v>
      </c>
      <c r="T1189" s="5" t="n">
        <v>959</v>
      </c>
      <c r="U1189" s="5" t="s">
        <v>4197</v>
      </c>
      <c r="V1189" s="5" t="s">
        <v>580</v>
      </c>
      <c r="W1189" s="5" t="s">
        <v>580</v>
      </c>
      <c r="X1189" s="15" t="s">
        <v>1677</v>
      </c>
      <c r="Y1189" s="8" t="s">
        <v>6318</v>
      </c>
    </row>
    <row r="1190" customFormat="false" ht="15" hidden="false" customHeight="false" outlineLevel="0" collapsed="false">
      <c r="A1190" s="5" t="s">
        <v>11847</v>
      </c>
      <c r="B1190" s="5" t="s">
        <v>1237</v>
      </c>
      <c r="C1190" s="5" t="s">
        <v>898</v>
      </c>
      <c r="D1190" s="10" t="s">
        <v>137</v>
      </c>
      <c r="E1190" s="5" t="n">
        <v>12</v>
      </c>
      <c r="F1190" s="5" t="s">
        <v>11848</v>
      </c>
      <c r="G1190" s="13" t="s">
        <v>11849</v>
      </c>
      <c r="H1190" s="5" t="s">
        <v>11850</v>
      </c>
      <c r="I1190" s="13" t="s">
        <v>11851</v>
      </c>
      <c r="J1190" s="5" t="s">
        <v>6076</v>
      </c>
      <c r="K1190" s="5" t="s">
        <v>6076</v>
      </c>
      <c r="L1190" s="13" t="s">
        <v>11852</v>
      </c>
      <c r="M1190" s="13" t="s">
        <v>11853</v>
      </c>
      <c r="N1190" s="5" t="n">
        <f aca="false">LEN(L1190)</f>
        <v>25</v>
      </c>
      <c r="O1190" s="5" t="n">
        <f aca="false">LEN(M1190)</f>
        <v>25</v>
      </c>
      <c r="P1190" s="14" t="n">
        <f aca="false">IF(N1190=0,"",(N1190-LEN(SUBSTITUTE(SUBSTITUTE(L1190,"G",""),"C","")))/N1190)</f>
        <v>0.64</v>
      </c>
      <c r="Q1190" s="14" t="n">
        <f aca="false">IF(O1190=0,"",(O1190-LEN(SUBSTITUTE(SUBSTITUTE(M1190,"G",""),"C","")))/O1190)</f>
        <v>0.68</v>
      </c>
      <c r="R1190" s="5" t="s">
        <v>901</v>
      </c>
      <c r="S1190" s="8" t="s">
        <v>1914</v>
      </c>
      <c r="T1190" s="5" t="n">
        <v>1039</v>
      </c>
      <c r="U1190" s="5" t="s">
        <v>4197</v>
      </c>
      <c r="V1190" s="5" t="s">
        <v>580</v>
      </c>
      <c r="W1190" s="5" t="s">
        <v>580</v>
      </c>
      <c r="X1190" s="15" t="s">
        <v>1677</v>
      </c>
      <c r="Y1190" s="8" t="s">
        <v>6318</v>
      </c>
    </row>
    <row r="1191" customFormat="false" ht="15" hidden="false" customHeight="false" outlineLevel="0" collapsed="false">
      <c r="A1191" s="5" t="s">
        <v>11854</v>
      </c>
      <c r="B1191" s="5" t="s">
        <v>1237</v>
      </c>
      <c r="C1191" s="5" t="s">
        <v>898</v>
      </c>
      <c r="D1191" s="10" t="s">
        <v>137</v>
      </c>
      <c r="E1191" s="5" t="n">
        <v>13</v>
      </c>
      <c r="F1191" s="5" t="s">
        <v>11855</v>
      </c>
      <c r="G1191" s="13" t="s">
        <v>11856</v>
      </c>
      <c r="H1191" s="5" t="s">
        <v>11857</v>
      </c>
      <c r="I1191" s="13" t="s">
        <v>11858</v>
      </c>
      <c r="J1191" s="5" t="s">
        <v>6076</v>
      </c>
      <c r="K1191" s="5" t="s">
        <v>6076</v>
      </c>
      <c r="L1191" s="13" t="s">
        <v>11859</v>
      </c>
      <c r="M1191" s="13" t="s">
        <v>11860</v>
      </c>
      <c r="N1191" s="5" t="n">
        <f aca="false">LEN(L1191)</f>
        <v>25</v>
      </c>
      <c r="O1191" s="5" t="n">
        <f aca="false">LEN(M1191)</f>
        <v>25</v>
      </c>
      <c r="P1191" s="14" t="n">
        <f aca="false">IF(N1191=0,"",(N1191-LEN(SUBSTITUTE(SUBSTITUTE(L1191,"G",""),"C","")))/N1191)</f>
        <v>0.56</v>
      </c>
      <c r="Q1191" s="14" t="n">
        <f aca="false">IF(O1191=0,"",(O1191-LEN(SUBSTITUTE(SUBSTITUTE(M1191,"G",""),"C","")))/O1191)</f>
        <v>0.68</v>
      </c>
      <c r="R1191" s="5" t="s">
        <v>901</v>
      </c>
      <c r="S1191" s="15" t="s">
        <v>1677</v>
      </c>
      <c r="T1191" s="5" t="n">
        <v>1119</v>
      </c>
      <c r="U1191" s="5" t="s">
        <v>1678</v>
      </c>
      <c r="V1191" s="5" t="s">
        <v>580</v>
      </c>
      <c r="W1191" s="5" t="s">
        <v>580</v>
      </c>
      <c r="X1191" s="15" t="s">
        <v>1677</v>
      </c>
      <c r="Y1191" s="5"/>
    </row>
    <row r="1192" customFormat="false" ht="15" hidden="false" customHeight="false" outlineLevel="0" collapsed="false">
      <c r="A1192" s="5" t="s">
        <v>11861</v>
      </c>
      <c r="B1192" s="5" t="s">
        <v>1237</v>
      </c>
      <c r="C1192" s="5" t="s">
        <v>898</v>
      </c>
      <c r="D1192" s="10" t="s">
        <v>137</v>
      </c>
      <c r="E1192" s="5" t="n">
        <v>14</v>
      </c>
      <c r="F1192" s="5" t="s">
        <v>11862</v>
      </c>
      <c r="G1192" s="13" t="s">
        <v>11863</v>
      </c>
      <c r="H1192" s="5" t="s">
        <v>11864</v>
      </c>
      <c r="I1192" s="13" t="s">
        <v>11865</v>
      </c>
      <c r="J1192" s="5" t="s">
        <v>6076</v>
      </c>
      <c r="K1192" s="5" t="s">
        <v>6076</v>
      </c>
      <c r="L1192" s="13" t="s">
        <v>11866</v>
      </c>
      <c r="M1192" s="13" t="s">
        <v>11867</v>
      </c>
      <c r="N1192" s="5" t="n">
        <f aca="false">LEN(L1192)</f>
        <v>25</v>
      </c>
      <c r="O1192" s="5" t="n">
        <f aca="false">LEN(M1192)</f>
        <v>25</v>
      </c>
      <c r="P1192" s="14" t="n">
        <f aca="false">IF(N1192=0,"",(N1192-LEN(SUBSTITUTE(SUBSTITUTE(L1192,"G",""),"C","")))/N1192)</f>
        <v>0.52</v>
      </c>
      <c r="Q1192" s="14" t="n">
        <f aca="false">IF(O1192=0,"",(O1192-LEN(SUBSTITUTE(SUBSTITUTE(M1192,"G",""),"C","")))/O1192)</f>
        <v>0.56</v>
      </c>
      <c r="R1192" s="5" t="s">
        <v>901</v>
      </c>
      <c r="S1192" s="15" t="s">
        <v>1677</v>
      </c>
      <c r="T1192" s="5" t="n">
        <v>1199</v>
      </c>
      <c r="U1192" s="5" t="s">
        <v>1678</v>
      </c>
      <c r="V1192" s="5" t="s">
        <v>580</v>
      </c>
      <c r="W1192" s="5" t="s">
        <v>580</v>
      </c>
      <c r="X1192" s="15" t="s">
        <v>1677</v>
      </c>
      <c r="Y1192" s="5"/>
    </row>
    <row r="1193" customFormat="false" ht="15" hidden="false" customHeight="false" outlineLevel="0" collapsed="false">
      <c r="A1193" s="5" t="s">
        <v>11868</v>
      </c>
      <c r="B1193" s="5" t="s">
        <v>1237</v>
      </c>
      <c r="C1193" s="5" t="s">
        <v>898</v>
      </c>
      <c r="D1193" s="10" t="s">
        <v>137</v>
      </c>
      <c r="E1193" s="5" t="n">
        <v>15</v>
      </c>
      <c r="F1193" s="5" t="s">
        <v>11869</v>
      </c>
      <c r="G1193" s="13" t="s">
        <v>11870</v>
      </c>
      <c r="H1193" s="5" t="s">
        <v>11871</v>
      </c>
      <c r="I1193" s="13" t="s">
        <v>11872</v>
      </c>
      <c r="J1193" s="5" t="s">
        <v>6076</v>
      </c>
      <c r="K1193" s="5" t="s">
        <v>6076</v>
      </c>
      <c r="L1193" s="13" t="s">
        <v>11873</v>
      </c>
      <c r="M1193" s="13" t="s">
        <v>11874</v>
      </c>
      <c r="N1193" s="5" t="n">
        <f aca="false">LEN(L1193)</f>
        <v>25</v>
      </c>
      <c r="O1193" s="5" t="n">
        <f aca="false">LEN(M1193)</f>
        <v>25</v>
      </c>
      <c r="P1193" s="14" t="n">
        <f aca="false">IF(N1193=0,"",(N1193-LEN(SUBSTITUTE(SUBSTITUTE(L1193,"G",""),"C","")))/N1193)</f>
        <v>0.68</v>
      </c>
      <c r="Q1193" s="14" t="n">
        <f aca="false">IF(O1193=0,"",(O1193-LEN(SUBSTITUTE(SUBSTITUTE(M1193,"G",""),"C","")))/O1193)</f>
        <v>0.52</v>
      </c>
      <c r="R1193" s="5"/>
      <c r="S1193" s="8" t="s">
        <v>2131</v>
      </c>
      <c r="T1193" s="5"/>
      <c r="U1193" s="5" t="s">
        <v>4197</v>
      </c>
      <c r="V1193" s="5" t="s">
        <v>580</v>
      </c>
      <c r="W1193" s="5" t="s">
        <v>580</v>
      </c>
      <c r="X1193" s="15" t="s">
        <v>1677</v>
      </c>
      <c r="Y1193" s="5"/>
    </row>
    <row r="1194" customFormat="false" ht="15" hidden="false" customHeight="false" outlineLevel="0" collapsed="false">
      <c r="A1194" s="5" t="s">
        <v>11875</v>
      </c>
      <c r="B1194" s="5" t="s">
        <v>1238</v>
      </c>
      <c r="C1194" s="5" t="s">
        <v>434</v>
      </c>
      <c r="D1194" s="10" t="s">
        <v>137</v>
      </c>
      <c r="E1194" s="5" t="n">
        <v>1</v>
      </c>
      <c r="F1194" s="5" t="s">
        <v>11876</v>
      </c>
      <c r="G1194" s="13" t="s">
        <v>11877</v>
      </c>
      <c r="H1194" s="5" t="s">
        <v>11878</v>
      </c>
      <c r="I1194" s="13" t="s">
        <v>11879</v>
      </c>
      <c r="J1194" s="5" t="s">
        <v>11880</v>
      </c>
      <c r="K1194" s="5" t="s">
        <v>11881</v>
      </c>
      <c r="L1194" s="13" t="s">
        <v>11882</v>
      </c>
      <c r="M1194" s="13" t="s">
        <v>11883</v>
      </c>
      <c r="N1194" s="5" t="n">
        <f aca="false">LEN(L1194)</f>
        <v>25</v>
      </c>
      <c r="O1194" s="5" t="n">
        <f aca="false">LEN(M1194)</f>
        <v>25</v>
      </c>
      <c r="P1194" s="14" t="n">
        <f aca="false">IF(N1194=0,"",(N1194-LEN(SUBSTITUTE(SUBSTITUTE(L1194,"G",""),"C","")))/N1194)</f>
        <v>0.64</v>
      </c>
      <c r="Q1194" s="14" t="n">
        <f aca="false">IF(O1194=0,"",(O1194-LEN(SUBSTITUTE(SUBSTITUTE(M1194,"G",""),"C","")))/O1194)</f>
        <v>0.56</v>
      </c>
      <c r="R1194" s="5" t="s">
        <v>439</v>
      </c>
      <c r="S1194" s="15" t="s">
        <v>1677</v>
      </c>
      <c r="T1194" s="5" t="n">
        <v>51</v>
      </c>
      <c r="U1194" s="5" t="s">
        <v>1678</v>
      </c>
      <c r="V1194" s="5" t="s">
        <v>1241</v>
      </c>
      <c r="W1194" s="5"/>
      <c r="X1194" s="15" t="s">
        <v>1677</v>
      </c>
      <c r="Y1194" s="5"/>
    </row>
    <row r="1195" customFormat="false" ht="15" hidden="false" customHeight="false" outlineLevel="0" collapsed="false">
      <c r="A1195" s="5" t="s">
        <v>11884</v>
      </c>
      <c r="B1195" s="5" t="s">
        <v>1238</v>
      </c>
      <c r="C1195" s="5" t="s">
        <v>434</v>
      </c>
      <c r="D1195" s="10" t="s">
        <v>137</v>
      </c>
      <c r="E1195" s="5" t="n">
        <v>2</v>
      </c>
      <c r="F1195" s="5" t="s">
        <v>11885</v>
      </c>
      <c r="G1195" s="13" t="s">
        <v>11886</v>
      </c>
      <c r="H1195" s="5" t="s">
        <v>11887</v>
      </c>
      <c r="I1195" s="13" t="s">
        <v>11888</v>
      </c>
      <c r="J1195" s="5" t="s">
        <v>11889</v>
      </c>
      <c r="K1195" s="5" t="s">
        <v>11890</v>
      </c>
      <c r="L1195" s="13" t="s">
        <v>11891</v>
      </c>
      <c r="M1195" s="13" t="s">
        <v>11892</v>
      </c>
      <c r="N1195" s="5" t="n">
        <f aca="false">LEN(L1195)</f>
        <v>25</v>
      </c>
      <c r="O1195" s="5" t="n">
        <f aca="false">LEN(M1195)</f>
        <v>25</v>
      </c>
      <c r="P1195" s="14" t="n">
        <f aca="false">IF(N1195=0,"",(N1195-LEN(SUBSTITUTE(SUBSTITUTE(L1195,"G",""),"C","")))/N1195)</f>
        <v>0.68</v>
      </c>
      <c r="Q1195" s="14" t="n">
        <f aca="false">IF(O1195=0,"",(O1195-LEN(SUBSTITUTE(SUBSTITUTE(M1195,"G",""),"C","")))/O1195)</f>
        <v>0.56</v>
      </c>
      <c r="R1195" s="5" t="s">
        <v>439</v>
      </c>
      <c r="S1195" s="15" t="s">
        <v>1677</v>
      </c>
      <c r="T1195" s="5" t="n">
        <v>131</v>
      </c>
      <c r="U1195" s="5" t="s">
        <v>1678</v>
      </c>
      <c r="V1195" s="5" t="s">
        <v>1241</v>
      </c>
      <c r="W1195" s="5"/>
      <c r="X1195" s="15" t="s">
        <v>1677</v>
      </c>
      <c r="Y1195" s="5"/>
    </row>
    <row r="1196" customFormat="false" ht="15" hidden="false" customHeight="false" outlineLevel="0" collapsed="false">
      <c r="A1196" s="5" t="s">
        <v>11893</v>
      </c>
      <c r="B1196" s="5" t="s">
        <v>1238</v>
      </c>
      <c r="C1196" s="5" t="s">
        <v>434</v>
      </c>
      <c r="D1196" s="10" t="s">
        <v>137</v>
      </c>
      <c r="E1196" s="5" t="n">
        <v>3</v>
      </c>
      <c r="F1196" s="5" t="s">
        <v>11894</v>
      </c>
      <c r="G1196" s="13" t="s">
        <v>11895</v>
      </c>
      <c r="H1196" s="5" t="s">
        <v>11896</v>
      </c>
      <c r="I1196" s="13" t="s">
        <v>11897</v>
      </c>
      <c r="J1196" s="5" t="s">
        <v>11898</v>
      </c>
      <c r="K1196" s="5" t="s">
        <v>11899</v>
      </c>
      <c r="L1196" s="13" t="s">
        <v>11900</v>
      </c>
      <c r="M1196" s="13" t="s">
        <v>11901</v>
      </c>
      <c r="N1196" s="5" t="n">
        <f aca="false">LEN(L1196)</f>
        <v>25</v>
      </c>
      <c r="O1196" s="5" t="n">
        <f aca="false">LEN(M1196)</f>
        <v>25</v>
      </c>
      <c r="P1196" s="14" t="n">
        <f aca="false">IF(N1196=0,"",(N1196-LEN(SUBSTITUTE(SUBSTITUTE(L1196,"G",""),"C","")))/N1196)</f>
        <v>0.4</v>
      </c>
      <c r="Q1196" s="14" t="n">
        <f aca="false">IF(O1196=0,"",(O1196-LEN(SUBSTITUTE(SUBSTITUTE(M1196,"G",""),"C","")))/O1196)</f>
        <v>0.68</v>
      </c>
      <c r="R1196" s="5" t="s">
        <v>439</v>
      </c>
      <c r="S1196" s="15" t="s">
        <v>1677</v>
      </c>
      <c r="T1196" s="5" t="n">
        <v>221</v>
      </c>
      <c r="U1196" s="5" t="s">
        <v>1678</v>
      </c>
      <c r="V1196" s="5" t="s">
        <v>1241</v>
      </c>
      <c r="W1196" s="5"/>
      <c r="X1196" s="15" t="s">
        <v>1677</v>
      </c>
      <c r="Y1196" s="5"/>
    </row>
    <row r="1197" customFormat="false" ht="15" hidden="false" customHeight="false" outlineLevel="0" collapsed="false">
      <c r="A1197" s="5" t="s">
        <v>11902</v>
      </c>
      <c r="B1197" s="5" t="s">
        <v>1238</v>
      </c>
      <c r="C1197" s="5" t="s">
        <v>434</v>
      </c>
      <c r="D1197" s="10" t="s">
        <v>137</v>
      </c>
      <c r="E1197" s="5" t="n">
        <v>4</v>
      </c>
      <c r="F1197" s="5" t="s">
        <v>11903</v>
      </c>
      <c r="G1197" s="13" t="s">
        <v>11904</v>
      </c>
      <c r="H1197" s="5" t="s">
        <v>11905</v>
      </c>
      <c r="I1197" s="13" t="s">
        <v>11906</v>
      </c>
      <c r="J1197" s="5" t="s">
        <v>11907</v>
      </c>
      <c r="K1197" s="5" t="s">
        <v>11908</v>
      </c>
      <c r="L1197" s="13" t="s">
        <v>11909</v>
      </c>
      <c r="M1197" s="13" t="s">
        <v>11910</v>
      </c>
      <c r="N1197" s="5" t="n">
        <f aca="false">LEN(L1197)</f>
        <v>25</v>
      </c>
      <c r="O1197" s="5" t="n">
        <f aca="false">LEN(M1197)</f>
        <v>25</v>
      </c>
      <c r="P1197" s="14" t="n">
        <f aca="false">IF(N1197=0,"",(N1197-LEN(SUBSTITUTE(SUBSTITUTE(L1197,"G",""),"C","")))/N1197)</f>
        <v>0.64</v>
      </c>
      <c r="Q1197" s="14" t="n">
        <f aca="false">IF(O1197=0,"",(O1197-LEN(SUBSTITUTE(SUBSTITUTE(M1197,"G",""),"C","")))/O1197)</f>
        <v>0.6</v>
      </c>
      <c r="R1197" s="5" t="s">
        <v>439</v>
      </c>
      <c r="S1197" s="15" t="s">
        <v>1677</v>
      </c>
      <c r="T1197" s="5" t="n">
        <v>301</v>
      </c>
      <c r="U1197" s="5" t="s">
        <v>1678</v>
      </c>
      <c r="V1197" s="5" t="s">
        <v>1241</v>
      </c>
      <c r="W1197" s="5"/>
      <c r="X1197" s="15" t="s">
        <v>1677</v>
      </c>
      <c r="Y1197" s="5"/>
    </row>
    <row r="1198" customFormat="false" ht="15" hidden="false" customHeight="false" outlineLevel="0" collapsed="false">
      <c r="A1198" s="5" t="s">
        <v>11911</v>
      </c>
      <c r="B1198" s="5" t="s">
        <v>1238</v>
      </c>
      <c r="C1198" s="5" t="s">
        <v>434</v>
      </c>
      <c r="D1198" s="10" t="s">
        <v>137</v>
      </c>
      <c r="E1198" s="5" t="n">
        <v>5</v>
      </c>
      <c r="F1198" s="5" t="s">
        <v>11912</v>
      </c>
      <c r="G1198" s="13" t="s">
        <v>11913</v>
      </c>
      <c r="H1198" s="5" t="s">
        <v>11914</v>
      </c>
      <c r="I1198" s="13" t="s">
        <v>11915</v>
      </c>
      <c r="J1198" s="5" t="s">
        <v>11916</v>
      </c>
      <c r="K1198" s="5" t="s">
        <v>11917</v>
      </c>
      <c r="L1198" s="13" t="s">
        <v>11918</v>
      </c>
      <c r="M1198" s="13" t="s">
        <v>11919</v>
      </c>
      <c r="N1198" s="5" t="n">
        <f aca="false">LEN(L1198)</f>
        <v>25</v>
      </c>
      <c r="O1198" s="5" t="n">
        <f aca="false">LEN(M1198)</f>
        <v>25</v>
      </c>
      <c r="P1198" s="14" t="n">
        <f aca="false">IF(N1198=0,"",(N1198-LEN(SUBSTITUTE(SUBSTITUTE(L1198,"G",""),"C","")))/N1198)</f>
        <v>0.56</v>
      </c>
      <c r="Q1198" s="14" t="n">
        <f aca="false">IF(O1198=0,"",(O1198-LEN(SUBSTITUTE(SUBSTITUTE(M1198,"G",""),"C","")))/O1198)</f>
        <v>0.44</v>
      </c>
      <c r="R1198" s="5" t="s">
        <v>439</v>
      </c>
      <c r="S1198" s="15" t="s">
        <v>1677</v>
      </c>
      <c r="T1198" s="5" t="n">
        <v>381</v>
      </c>
      <c r="U1198" s="5" t="s">
        <v>1678</v>
      </c>
      <c r="V1198" s="5" t="s">
        <v>1241</v>
      </c>
      <c r="W1198" s="5"/>
      <c r="X1198" s="15" t="s">
        <v>1677</v>
      </c>
      <c r="Y1198" s="5"/>
    </row>
    <row r="1199" customFormat="false" ht="15" hidden="false" customHeight="false" outlineLevel="0" collapsed="false">
      <c r="A1199" s="5" t="s">
        <v>11920</v>
      </c>
      <c r="B1199" s="5" t="s">
        <v>1238</v>
      </c>
      <c r="C1199" s="5" t="s">
        <v>434</v>
      </c>
      <c r="D1199" s="10" t="s">
        <v>137</v>
      </c>
      <c r="E1199" s="5" t="n">
        <v>6</v>
      </c>
      <c r="F1199" s="5" t="s">
        <v>11921</v>
      </c>
      <c r="G1199" s="13" t="s">
        <v>11922</v>
      </c>
      <c r="H1199" s="5" t="s">
        <v>11923</v>
      </c>
      <c r="I1199" s="13" t="s">
        <v>11924</v>
      </c>
      <c r="J1199" s="5" t="s">
        <v>11925</v>
      </c>
      <c r="K1199" s="5" t="s">
        <v>11926</v>
      </c>
      <c r="L1199" s="13" t="s">
        <v>11927</v>
      </c>
      <c r="M1199" s="13" t="s">
        <v>11928</v>
      </c>
      <c r="N1199" s="5" t="n">
        <f aca="false">LEN(L1199)</f>
        <v>25</v>
      </c>
      <c r="O1199" s="5" t="n">
        <f aca="false">LEN(M1199)</f>
        <v>25</v>
      </c>
      <c r="P1199" s="14" t="n">
        <f aca="false">IF(N1199=0,"",(N1199-LEN(SUBSTITUTE(SUBSTITUTE(L1199,"G",""),"C","")))/N1199)</f>
        <v>0.6</v>
      </c>
      <c r="Q1199" s="14" t="n">
        <f aca="false">IF(O1199=0,"",(O1199-LEN(SUBSTITUTE(SUBSTITUTE(M1199,"G",""),"C","")))/O1199)</f>
        <v>0.76</v>
      </c>
      <c r="R1199" s="5" t="s">
        <v>439</v>
      </c>
      <c r="S1199" s="15" t="s">
        <v>1677</v>
      </c>
      <c r="T1199" s="5" t="n">
        <v>461</v>
      </c>
      <c r="U1199" s="5" t="s">
        <v>1678</v>
      </c>
      <c r="V1199" s="5" t="s">
        <v>1241</v>
      </c>
      <c r="W1199" s="5"/>
      <c r="X1199" s="15" t="s">
        <v>1677</v>
      </c>
      <c r="Y1199" s="5"/>
    </row>
    <row r="1200" customFormat="false" ht="15" hidden="false" customHeight="false" outlineLevel="0" collapsed="false">
      <c r="A1200" s="5" t="s">
        <v>11929</v>
      </c>
      <c r="B1200" s="5" t="s">
        <v>1238</v>
      </c>
      <c r="C1200" s="5" t="s">
        <v>434</v>
      </c>
      <c r="D1200" s="10" t="s">
        <v>137</v>
      </c>
      <c r="E1200" s="5" t="n">
        <v>7</v>
      </c>
      <c r="F1200" s="5" t="s">
        <v>11930</v>
      </c>
      <c r="G1200" s="13" t="s">
        <v>11931</v>
      </c>
      <c r="H1200" s="5" t="s">
        <v>11932</v>
      </c>
      <c r="I1200" s="13" t="s">
        <v>11933</v>
      </c>
      <c r="J1200" s="5" t="s">
        <v>11934</v>
      </c>
      <c r="K1200" s="5" t="s">
        <v>11935</v>
      </c>
      <c r="L1200" s="13" t="s">
        <v>11936</v>
      </c>
      <c r="M1200" s="13" t="s">
        <v>11937</v>
      </c>
      <c r="N1200" s="5" t="n">
        <f aca="false">LEN(L1200)</f>
        <v>25</v>
      </c>
      <c r="O1200" s="5" t="n">
        <f aca="false">LEN(M1200)</f>
        <v>25</v>
      </c>
      <c r="P1200" s="14" t="n">
        <f aca="false">IF(N1200=0,"",(N1200-LEN(SUBSTITUTE(SUBSTITUTE(L1200,"G",""),"C","")))/N1200)</f>
        <v>0.6</v>
      </c>
      <c r="Q1200" s="14" t="n">
        <f aca="false">IF(O1200=0,"",(O1200-LEN(SUBSTITUTE(SUBSTITUTE(M1200,"G",""),"C","")))/O1200)</f>
        <v>0.6</v>
      </c>
      <c r="R1200" s="5" t="s">
        <v>439</v>
      </c>
      <c r="S1200" s="15" t="s">
        <v>1677</v>
      </c>
      <c r="T1200" s="5" t="n">
        <v>541</v>
      </c>
      <c r="U1200" s="5" t="s">
        <v>1678</v>
      </c>
      <c r="V1200" s="5" t="s">
        <v>1241</v>
      </c>
      <c r="W1200" s="5"/>
      <c r="X1200" s="15" t="s">
        <v>1677</v>
      </c>
      <c r="Y1200" s="5"/>
    </row>
    <row r="1201" customFormat="false" ht="15" hidden="false" customHeight="false" outlineLevel="0" collapsed="false">
      <c r="A1201" s="5" t="s">
        <v>11938</v>
      </c>
      <c r="B1201" s="5" t="s">
        <v>1238</v>
      </c>
      <c r="C1201" s="5" t="s">
        <v>434</v>
      </c>
      <c r="D1201" s="10" t="s">
        <v>137</v>
      </c>
      <c r="E1201" s="5" t="n">
        <v>8</v>
      </c>
      <c r="F1201" s="5" t="s">
        <v>11939</v>
      </c>
      <c r="G1201" s="13" t="s">
        <v>11940</v>
      </c>
      <c r="H1201" s="5" t="s">
        <v>11941</v>
      </c>
      <c r="I1201" s="13" t="s">
        <v>11942</v>
      </c>
      <c r="J1201" s="5" t="s">
        <v>11943</v>
      </c>
      <c r="K1201" s="5" t="s">
        <v>11944</v>
      </c>
      <c r="L1201" s="13" t="s">
        <v>11945</v>
      </c>
      <c r="M1201" s="13" t="s">
        <v>11946</v>
      </c>
      <c r="N1201" s="5" t="n">
        <f aca="false">LEN(L1201)</f>
        <v>25</v>
      </c>
      <c r="O1201" s="5" t="n">
        <f aca="false">LEN(M1201)</f>
        <v>25</v>
      </c>
      <c r="P1201" s="14" t="n">
        <f aca="false">IF(N1201=0,"",(N1201-LEN(SUBSTITUTE(SUBSTITUTE(L1201,"G",""),"C","")))/N1201)</f>
        <v>0.72</v>
      </c>
      <c r="Q1201" s="14" t="n">
        <f aca="false">IF(O1201=0,"",(O1201-LEN(SUBSTITUTE(SUBSTITUTE(M1201,"G",""),"C","")))/O1201)</f>
        <v>0.56</v>
      </c>
      <c r="R1201" s="5" t="s">
        <v>439</v>
      </c>
      <c r="S1201" s="15" t="s">
        <v>1677</v>
      </c>
      <c r="T1201" s="5" t="n">
        <v>621</v>
      </c>
      <c r="U1201" s="5" t="s">
        <v>1678</v>
      </c>
      <c r="V1201" s="5" t="s">
        <v>1241</v>
      </c>
      <c r="W1201" s="5"/>
      <c r="X1201" s="15" t="s">
        <v>1677</v>
      </c>
      <c r="Y1201" s="5"/>
    </row>
    <row r="1202" customFormat="false" ht="15" hidden="false" customHeight="false" outlineLevel="0" collapsed="false">
      <c r="A1202" s="5" t="s">
        <v>11947</v>
      </c>
      <c r="B1202" s="5" t="s">
        <v>1238</v>
      </c>
      <c r="C1202" s="5" t="s">
        <v>434</v>
      </c>
      <c r="D1202" s="10" t="s">
        <v>137</v>
      </c>
      <c r="E1202" s="5" t="n">
        <v>9</v>
      </c>
      <c r="F1202" s="5" t="s">
        <v>11948</v>
      </c>
      <c r="G1202" s="13" t="s">
        <v>11949</v>
      </c>
      <c r="H1202" s="5" t="s">
        <v>11950</v>
      </c>
      <c r="I1202" s="13" t="s">
        <v>11951</v>
      </c>
      <c r="J1202" s="5" t="s">
        <v>11952</v>
      </c>
      <c r="K1202" s="5" t="s">
        <v>11953</v>
      </c>
      <c r="L1202" s="13" t="s">
        <v>11954</v>
      </c>
      <c r="M1202" s="13" t="s">
        <v>11955</v>
      </c>
      <c r="N1202" s="5" t="n">
        <f aca="false">LEN(L1202)</f>
        <v>25</v>
      </c>
      <c r="O1202" s="5" t="n">
        <f aca="false">LEN(M1202)</f>
        <v>25</v>
      </c>
      <c r="P1202" s="14" t="n">
        <f aca="false">IF(N1202=0,"",(N1202-LEN(SUBSTITUTE(SUBSTITUTE(L1202,"G",""),"C","")))/N1202)</f>
        <v>0.76</v>
      </c>
      <c r="Q1202" s="14" t="n">
        <f aca="false">IF(O1202=0,"",(O1202-LEN(SUBSTITUTE(SUBSTITUTE(M1202,"G",""),"C","")))/O1202)</f>
        <v>0.8</v>
      </c>
      <c r="R1202" s="5" t="s">
        <v>439</v>
      </c>
      <c r="S1202" s="15" t="s">
        <v>1677</v>
      </c>
      <c r="T1202" s="5" t="n">
        <v>701</v>
      </c>
      <c r="U1202" s="5" t="s">
        <v>1678</v>
      </c>
      <c r="V1202" s="5" t="s">
        <v>1241</v>
      </c>
      <c r="W1202" s="5"/>
      <c r="X1202" s="15" t="s">
        <v>1677</v>
      </c>
      <c r="Y1202" s="5"/>
    </row>
    <row r="1203" customFormat="false" ht="15" hidden="false" customHeight="false" outlineLevel="0" collapsed="false">
      <c r="A1203" s="5" t="s">
        <v>11956</v>
      </c>
      <c r="B1203" s="5" t="s">
        <v>1238</v>
      </c>
      <c r="C1203" s="5" t="s">
        <v>434</v>
      </c>
      <c r="D1203" s="10" t="s">
        <v>137</v>
      </c>
      <c r="E1203" s="5" t="n">
        <v>10</v>
      </c>
      <c r="F1203" s="5" t="s">
        <v>11957</v>
      </c>
      <c r="G1203" s="13" t="s">
        <v>11958</v>
      </c>
      <c r="H1203" s="5" t="s">
        <v>11959</v>
      </c>
      <c r="I1203" s="13" t="s">
        <v>11960</v>
      </c>
      <c r="J1203" s="5" t="s">
        <v>11957</v>
      </c>
      <c r="K1203" s="5" t="s">
        <v>11959</v>
      </c>
      <c r="L1203" s="13" t="s">
        <v>11961</v>
      </c>
      <c r="M1203" s="13" t="s">
        <v>11962</v>
      </c>
      <c r="N1203" s="5" t="n">
        <f aca="false">LEN(L1203)</f>
        <v>25</v>
      </c>
      <c r="O1203" s="5" t="n">
        <f aca="false">LEN(M1203)</f>
        <v>25</v>
      </c>
      <c r="P1203" s="14" t="n">
        <f aca="false">IF(N1203=0,"",(N1203-LEN(SUBSTITUTE(SUBSTITUTE(L1203,"G",""),"C","")))/N1203)</f>
        <v>0.72</v>
      </c>
      <c r="Q1203" s="14" t="n">
        <f aca="false">IF(O1203=0,"",(O1203-LEN(SUBSTITUTE(SUBSTITUTE(M1203,"G",""),"C","")))/O1203)</f>
        <v>0.8</v>
      </c>
      <c r="R1203" s="5" t="s">
        <v>439</v>
      </c>
      <c r="S1203" s="15" t="s">
        <v>1677</v>
      </c>
      <c r="T1203" s="5" t="n">
        <v>781</v>
      </c>
      <c r="U1203" s="5" t="s">
        <v>1678</v>
      </c>
      <c r="V1203" s="5" t="s">
        <v>1241</v>
      </c>
      <c r="W1203" s="5"/>
      <c r="X1203" s="15" t="s">
        <v>1677</v>
      </c>
      <c r="Y1203" s="5"/>
    </row>
    <row r="1204" customFormat="false" ht="15" hidden="false" customHeight="false" outlineLevel="0" collapsed="false">
      <c r="A1204" s="5" t="s">
        <v>11963</v>
      </c>
      <c r="B1204" s="5" t="s">
        <v>1242</v>
      </c>
      <c r="C1204" s="5" t="s">
        <v>1243</v>
      </c>
      <c r="D1204" s="10" t="s">
        <v>137</v>
      </c>
      <c r="E1204" s="5" t="n">
        <v>1</v>
      </c>
      <c r="F1204" s="5" t="s">
        <v>11964</v>
      </c>
      <c r="G1204" s="13" t="s">
        <v>11965</v>
      </c>
      <c r="H1204" s="5" t="s">
        <v>11966</v>
      </c>
      <c r="I1204" s="13" t="s">
        <v>11967</v>
      </c>
      <c r="J1204" s="5" t="s">
        <v>11968</v>
      </c>
      <c r="K1204" s="5" t="s">
        <v>11969</v>
      </c>
      <c r="L1204" s="13" t="s">
        <v>11970</v>
      </c>
      <c r="M1204" s="13" t="s">
        <v>11971</v>
      </c>
      <c r="N1204" s="5" t="n">
        <f aca="false">LEN(L1204)</f>
        <v>25</v>
      </c>
      <c r="O1204" s="5" t="n">
        <f aca="false">LEN(M1204)</f>
        <v>25</v>
      </c>
      <c r="P1204" s="14" t="n">
        <f aca="false">IF(N1204=0,"",(N1204-LEN(SUBSTITUTE(SUBSTITUTE(L1204,"G",""),"C","")))/N1204)</f>
        <v>0.8</v>
      </c>
      <c r="Q1204" s="14" t="n">
        <f aca="false">IF(O1204=0,"",(O1204-LEN(SUBSTITUTE(SUBSTITUTE(M1204,"G",""),"C","")))/O1204)</f>
        <v>0.64</v>
      </c>
      <c r="R1204" s="5" t="s">
        <v>1247</v>
      </c>
      <c r="S1204" s="15" t="s">
        <v>1677</v>
      </c>
      <c r="T1204" s="5" t="n">
        <v>6</v>
      </c>
      <c r="U1204" s="5" t="s">
        <v>1678</v>
      </c>
      <c r="V1204" s="5" t="s">
        <v>1055</v>
      </c>
      <c r="W1204" s="5"/>
      <c r="X1204" s="15" t="s">
        <v>1677</v>
      </c>
      <c r="Y1204" s="5"/>
    </row>
    <row r="1205" customFormat="false" ht="15" hidden="false" customHeight="false" outlineLevel="0" collapsed="false">
      <c r="A1205" s="5" t="s">
        <v>11972</v>
      </c>
      <c r="B1205" s="5" t="s">
        <v>1242</v>
      </c>
      <c r="C1205" s="5" t="s">
        <v>1243</v>
      </c>
      <c r="D1205" s="10" t="s">
        <v>137</v>
      </c>
      <c r="E1205" s="5" t="n">
        <v>2</v>
      </c>
      <c r="F1205" s="5" t="s">
        <v>11973</v>
      </c>
      <c r="G1205" s="13" t="s">
        <v>11974</v>
      </c>
      <c r="H1205" s="5" t="s">
        <v>11975</v>
      </c>
      <c r="I1205" s="13" t="s">
        <v>11976</v>
      </c>
      <c r="J1205" s="5" t="s">
        <v>11977</v>
      </c>
      <c r="K1205" s="5" t="s">
        <v>11978</v>
      </c>
      <c r="L1205" s="13" t="s">
        <v>11979</v>
      </c>
      <c r="M1205" s="13" t="s">
        <v>11980</v>
      </c>
      <c r="N1205" s="5" t="n">
        <f aca="false">LEN(L1205)</f>
        <v>25</v>
      </c>
      <c r="O1205" s="5" t="n">
        <f aca="false">LEN(M1205)</f>
        <v>25</v>
      </c>
      <c r="P1205" s="14" t="n">
        <f aca="false">IF(N1205=0,"",(N1205-LEN(SUBSTITUTE(SUBSTITUTE(L1205,"G",""),"C","")))/N1205)</f>
        <v>0.68</v>
      </c>
      <c r="Q1205" s="14" t="n">
        <f aca="false">IF(O1205=0,"",(O1205-LEN(SUBSTITUTE(SUBSTITUTE(M1205,"G",""),"C","")))/O1205)</f>
        <v>0.72</v>
      </c>
      <c r="R1205" s="5" t="s">
        <v>1247</v>
      </c>
      <c r="S1205" s="15" t="s">
        <v>1677</v>
      </c>
      <c r="T1205" s="5" t="n">
        <v>76</v>
      </c>
      <c r="U1205" s="5" t="s">
        <v>1678</v>
      </c>
      <c r="V1205" s="5" t="s">
        <v>1055</v>
      </c>
      <c r="W1205" s="5"/>
      <c r="X1205" s="15" t="s">
        <v>1677</v>
      </c>
      <c r="Y1205" s="5"/>
    </row>
    <row r="1206" customFormat="false" ht="15" hidden="false" customHeight="false" outlineLevel="0" collapsed="false">
      <c r="A1206" s="5" t="s">
        <v>11981</v>
      </c>
      <c r="B1206" s="5" t="s">
        <v>1242</v>
      </c>
      <c r="C1206" s="5" t="s">
        <v>1243</v>
      </c>
      <c r="D1206" s="10" t="s">
        <v>137</v>
      </c>
      <c r="E1206" s="5" t="n">
        <v>3</v>
      </c>
      <c r="F1206" s="5" t="s">
        <v>11982</v>
      </c>
      <c r="G1206" s="13" t="s">
        <v>11983</v>
      </c>
      <c r="H1206" s="5" t="s">
        <v>11984</v>
      </c>
      <c r="I1206" s="13" t="s">
        <v>11985</v>
      </c>
      <c r="J1206" s="5" t="s">
        <v>11986</v>
      </c>
      <c r="K1206" s="5" t="s">
        <v>11987</v>
      </c>
      <c r="L1206" s="13" t="s">
        <v>11988</v>
      </c>
      <c r="M1206" s="13" t="s">
        <v>11989</v>
      </c>
      <c r="N1206" s="5" t="n">
        <f aca="false">LEN(L1206)</f>
        <v>25</v>
      </c>
      <c r="O1206" s="5" t="n">
        <f aca="false">LEN(M1206)</f>
        <v>25</v>
      </c>
      <c r="P1206" s="14" t="n">
        <f aca="false">IF(N1206=0,"",(N1206-LEN(SUBSTITUTE(SUBSTITUTE(L1206,"G",""),"C","")))/N1206)</f>
        <v>0.56</v>
      </c>
      <c r="Q1206" s="14" t="n">
        <f aca="false">IF(O1206=0,"",(O1206-LEN(SUBSTITUTE(SUBSTITUTE(M1206,"G",""),"C","")))/O1206)</f>
        <v>0.6</v>
      </c>
      <c r="R1206" s="5" t="s">
        <v>1247</v>
      </c>
      <c r="S1206" s="15" t="s">
        <v>1677</v>
      </c>
      <c r="T1206" s="5" t="n">
        <v>146</v>
      </c>
      <c r="U1206" s="5" t="s">
        <v>1678</v>
      </c>
      <c r="V1206" s="5" t="s">
        <v>1055</v>
      </c>
      <c r="W1206" s="5"/>
      <c r="X1206" s="15" t="s">
        <v>1677</v>
      </c>
      <c r="Y1206" s="5"/>
    </row>
    <row r="1207" customFormat="false" ht="15" hidden="false" customHeight="false" outlineLevel="0" collapsed="false">
      <c r="A1207" s="5" t="s">
        <v>11990</v>
      </c>
      <c r="B1207" s="5" t="s">
        <v>1242</v>
      </c>
      <c r="C1207" s="5" t="s">
        <v>1243</v>
      </c>
      <c r="D1207" s="10" t="s">
        <v>137</v>
      </c>
      <c r="E1207" s="5" t="n">
        <v>4</v>
      </c>
      <c r="F1207" s="5" t="s">
        <v>11991</v>
      </c>
      <c r="G1207" s="13" t="s">
        <v>11992</v>
      </c>
      <c r="H1207" s="5" t="s">
        <v>11993</v>
      </c>
      <c r="I1207" s="13" t="s">
        <v>11994</v>
      </c>
      <c r="J1207" s="5" t="s">
        <v>11995</v>
      </c>
      <c r="K1207" s="5" t="s">
        <v>11996</v>
      </c>
      <c r="L1207" s="13" t="s">
        <v>11997</v>
      </c>
      <c r="M1207" s="13" t="s">
        <v>11998</v>
      </c>
      <c r="N1207" s="5" t="n">
        <f aca="false">LEN(L1207)</f>
        <v>25</v>
      </c>
      <c r="O1207" s="5" t="n">
        <f aca="false">LEN(M1207)</f>
        <v>25</v>
      </c>
      <c r="P1207" s="14" t="n">
        <f aca="false">IF(N1207=0,"",(N1207-LEN(SUBSTITUTE(SUBSTITUTE(L1207,"G",""),"C","")))/N1207)</f>
        <v>0.48</v>
      </c>
      <c r="Q1207" s="14" t="n">
        <f aca="false">IF(O1207=0,"",(O1207-LEN(SUBSTITUTE(SUBSTITUTE(M1207,"G",""),"C","")))/O1207)</f>
        <v>0.56</v>
      </c>
      <c r="R1207" s="5" t="s">
        <v>1247</v>
      </c>
      <c r="S1207" s="15" t="s">
        <v>1677</v>
      </c>
      <c r="T1207" s="5" t="n">
        <v>216</v>
      </c>
      <c r="U1207" s="5" t="s">
        <v>1678</v>
      </c>
      <c r="V1207" s="5" t="s">
        <v>1055</v>
      </c>
      <c r="W1207" s="5"/>
      <c r="X1207" s="15" t="s">
        <v>1677</v>
      </c>
      <c r="Y1207" s="5"/>
    </row>
    <row r="1208" customFormat="false" ht="15" hidden="false" customHeight="false" outlineLevel="0" collapsed="false">
      <c r="A1208" s="5" t="s">
        <v>11999</v>
      </c>
      <c r="B1208" s="5" t="s">
        <v>1242</v>
      </c>
      <c r="C1208" s="5" t="s">
        <v>1243</v>
      </c>
      <c r="D1208" s="10" t="s">
        <v>137</v>
      </c>
      <c r="E1208" s="5" t="n">
        <v>5</v>
      </c>
      <c r="F1208" s="5" t="s">
        <v>12000</v>
      </c>
      <c r="G1208" s="13" t="s">
        <v>12001</v>
      </c>
      <c r="H1208" s="5" t="s">
        <v>12002</v>
      </c>
      <c r="I1208" s="13" t="s">
        <v>12003</v>
      </c>
      <c r="J1208" s="5" t="s">
        <v>12004</v>
      </c>
      <c r="K1208" s="5" t="s">
        <v>12005</v>
      </c>
      <c r="L1208" s="13" t="s">
        <v>12006</v>
      </c>
      <c r="M1208" s="13" t="s">
        <v>12007</v>
      </c>
      <c r="N1208" s="5" t="n">
        <f aca="false">LEN(L1208)</f>
        <v>25</v>
      </c>
      <c r="O1208" s="5" t="n">
        <f aca="false">LEN(M1208)</f>
        <v>25</v>
      </c>
      <c r="P1208" s="14" t="n">
        <f aca="false">IF(N1208=0,"",(N1208-LEN(SUBSTITUTE(SUBSTITUTE(L1208,"G",""),"C","")))/N1208)</f>
        <v>0.48</v>
      </c>
      <c r="Q1208" s="14" t="n">
        <f aca="false">IF(O1208=0,"",(O1208-LEN(SUBSTITUTE(SUBSTITUTE(M1208,"G",""),"C","")))/O1208)</f>
        <v>0.72</v>
      </c>
      <c r="R1208" s="5" t="s">
        <v>1247</v>
      </c>
      <c r="S1208" s="15" t="s">
        <v>1677</v>
      </c>
      <c r="T1208" s="5" t="n">
        <v>286</v>
      </c>
      <c r="U1208" s="5" t="s">
        <v>1678</v>
      </c>
      <c r="V1208" s="5" t="s">
        <v>1055</v>
      </c>
      <c r="W1208" s="5"/>
      <c r="X1208" s="15" t="s">
        <v>1677</v>
      </c>
      <c r="Y1208" s="5"/>
    </row>
    <row r="1209" customFormat="false" ht="15" hidden="false" customHeight="false" outlineLevel="0" collapsed="false">
      <c r="A1209" s="5" t="s">
        <v>12008</v>
      </c>
      <c r="B1209" s="5" t="s">
        <v>1242</v>
      </c>
      <c r="C1209" s="5" t="s">
        <v>1243</v>
      </c>
      <c r="D1209" s="10" t="s">
        <v>137</v>
      </c>
      <c r="E1209" s="5" t="n">
        <v>6</v>
      </c>
      <c r="F1209" s="5" t="s">
        <v>12009</v>
      </c>
      <c r="G1209" s="13" t="s">
        <v>12010</v>
      </c>
      <c r="H1209" s="5" t="s">
        <v>12011</v>
      </c>
      <c r="I1209" s="13" t="s">
        <v>12012</v>
      </c>
      <c r="J1209" s="5" t="s">
        <v>12013</v>
      </c>
      <c r="K1209" s="5" t="s">
        <v>12014</v>
      </c>
      <c r="L1209" s="13" t="s">
        <v>12015</v>
      </c>
      <c r="M1209" s="13" t="s">
        <v>12016</v>
      </c>
      <c r="N1209" s="5" t="n">
        <f aca="false">LEN(L1209)</f>
        <v>25</v>
      </c>
      <c r="O1209" s="5" t="n">
        <f aca="false">LEN(M1209)</f>
        <v>25</v>
      </c>
      <c r="P1209" s="14" t="n">
        <f aca="false">IF(N1209=0,"",(N1209-LEN(SUBSTITUTE(SUBSTITUTE(L1209,"G",""),"C","")))/N1209)</f>
        <v>0.6</v>
      </c>
      <c r="Q1209" s="14" t="n">
        <f aca="false">IF(O1209=0,"",(O1209-LEN(SUBSTITUTE(SUBSTITUTE(M1209,"G",""),"C","")))/O1209)</f>
        <v>0.48</v>
      </c>
      <c r="R1209" s="5" t="s">
        <v>1247</v>
      </c>
      <c r="S1209" s="15" t="s">
        <v>1677</v>
      </c>
      <c r="T1209" s="5" t="n">
        <v>356</v>
      </c>
      <c r="U1209" s="5" t="s">
        <v>1678</v>
      </c>
      <c r="V1209" s="5" t="s">
        <v>1055</v>
      </c>
      <c r="W1209" s="5"/>
      <c r="X1209" s="15" t="s">
        <v>1677</v>
      </c>
      <c r="Y1209" s="5"/>
    </row>
    <row r="1210" customFormat="false" ht="15" hidden="false" customHeight="false" outlineLevel="0" collapsed="false">
      <c r="A1210" s="5" t="s">
        <v>12017</v>
      </c>
      <c r="B1210" s="5" t="s">
        <v>1249</v>
      </c>
      <c r="C1210" s="5" t="s">
        <v>1250</v>
      </c>
      <c r="D1210" s="10" t="s">
        <v>137</v>
      </c>
      <c r="E1210" s="5" t="n">
        <v>1</v>
      </c>
      <c r="F1210" s="5" t="s">
        <v>12018</v>
      </c>
      <c r="G1210" s="13" t="s">
        <v>12019</v>
      </c>
      <c r="H1210" s="5" t="s">
        <v>12020</v>
      </c>
      <c r="I1210" s="13" t="s">
        <v>12021</v>
      </c>
      <c r="J1210" s="5" t="s">
        <v>12022</v>
      </c>
      <c r="K1210" s="5" t="s">
        <v>12023</v>
      </c>
      <c r="L1210" s="13" t="s">
        <v>12024</v>
      </c>
      <c r="M1210" s="13" t="s">
        <v>12025</v>
      </c>
      <c r="N1210" s="5" t="n">
        <f aca="false">LEN(L1210)</f>
        <v>25</v>
      </c>
      <c r="O1210" s="5" t="n">
        <f aca="false">LEN(M1210)</f>
        <v>25</v>
      </c>
      <c r="P1210" s="14" t="n">
        <f aca="false">IF(N1210=0,"",(N1210-LEN(SUBSTITUTE(SUBSTITUTE(L1210,"G",""),"C","")))/N1210)</f>
        <v>0.96</v>
      </c>
      <c r="Q1210" s="14" t="n">
        <f aca="false">IF(O1210=0,"",(O1210-LEN(SUBSTITUTE(SUBSTITUTE(M1210,"G",""),"C","")))/O1210)</f>
        <v>0.8</v>
      </c>
      <c r="R1210" s="5" t="s">
        <v>1253</v>
      </c>
      <c r="S1210" s="15" t="s">
        <v>1677</v>
      </c>
      <c r="T1210" s="5" t="n">
        <v>6</v>
      </c>
      <c r="U1210" s="5" t="s">
        <v>1678</v>
      </c>
      <c r="V1210" s="5" t="s">
        <v>1055</v>
      </c>
      <c r="W1210" s="5"/>
      <c r="X1210" s="15" t="s">
        <v>1677</v>
      </c>
      <c r="Y1210" s="5"/>
    </row>
    <row r="1211" customFormat="false" ht="15" hidden="false" customHeight="false" outlineLevel="0" collapsed="false">
      <c r="A1211" s="5" t="s">
        <v>12026</v>
      </c>
      <c r="B1211" s="5" t="s">
        <v>1249</v>
      </c>
      <c r="C1211" s="5" t="s">
        <v>1250</v>
      </c>
      <c r="D1211" s="10" t="s">
        <v>137</v>
      </c>
      <c r="E1211" s="5" t="n">
        <v>2</v>
      </c>
      <c r="F1211" s="5" t="s">
        <v>12027</v>
      </c>
      <c r="G1211" s="13" t="s">
        <v>12028</v>
      </c>
      <c r="H1211" s="5" t="s">
        <v>12029</v>
      </c>
      <c r="I1211" s="13" t="s">
        <v>12030</v>
      </c>
      <c r="J1211" s="5" t="s">
        <v>12031</v>
      </c>
      <c r="K1211" s="5" t="s">
        <v>12032</v>
      </c>
      <c r="L1211" s="13" t="s">
        <v>12033</v>
      </c>
      <c r="M1211" s="13" t="s">
        <v>12034</v>
      </c>
      <c r="N1211" s="5" t="n">
        <f aca="false">LEN(L1211)</f>
        <v>25</v>
      </c>
      <c r="O1211" s="5" t="n">
        <f aca="false">LEN(M1211)</f>
        <v>25</v>
      </c>
      <c r="P1211" s="14" t="n">
        <f aca="false">IF(N1211=0,"",(N1211-LEN(SUBSTITUTE(SUBSTITUTE(L1211,"G",""),"C","")))/N1211)</f>
        <v>0.72</v>
      </c>
      <c r="Q1211" s="14" t="n">
        <f aca="false">IF(O1211=0,"",(O1211-LEN(SUBSTITUTE(SUBSTITUTE(M1211,"G",""),"C","")))/O1211)</f>
        <v>0.56</v>
      </c>
      <c r="R1211" s="5" t="s">
        <v>1253</v>
      </c>
      <c r="S1211" s="15" t="s">
        <v>1677</v>
      </c>
      <c r="T1211" s="5" t="n">
        <v>76</v>
      </c>
      <c r="U1211" s="5" t="s">
        <v>1678</v>
      </c>
      <c r="V1211" s="5" t="s">
        <v>1055</v>
      </c>
      <c r="W1211" s="5"/>
      <c r="X1211" s="15" t="s">
        <v>1677</v>
      </c>
      <c r="Y1211" s="5"/>
    </row>
    <row r="1212" customFormat="false" ht="15" hidden="false" customHeight="false" outlineLevel="0" collapsed="false">
      <c r="A1212" s="5" t="s">
        <v>12035</v>
      </c>
      <c r="B1212" s="5" t="s">
        <v>1249</v>
      </c>
      <c r="C1212" s="5" t="s">
        <v>1250</v>
      </c>
      <c r="D1212" s="10" t="s">
        <v>137</v>
      </c>
      <c r="E1212" s="5" t="n">
        <v>3</v>
      </c>
      <c r="F1212" s="5" t="s">
        <v>12036</v>
      </c>
      <c r="G1212" s="13" t="s">
        <v>12037</v>
      </c>
      <c r="H1212" s="5" t="s">
        <v>12038</v>
      </c>
      <c r="I1212" s="13" t="s">
        <v>12039</v>
      </c>
      <c r="J1212" s="5" t="s">
        <v>12040</v>
      </c>
      <c r="K1212" s="5" t="s">
        <v>12041</v>
      </c>
      <c r="L1212" s="13" t="s">
        <v>12042</v>
      </c>
      <c r="M1212" s="13" t="s">
        <v>12043</v>
      </c>
      <c r="N1212" s="5" t="n">
        <f aca="false">LEN(L1212)</f>
        <v>25</v>
      </c>
      <c r="O1212" s="5" t="n">
        <f aca="false">LEN(M1212)</f>
        <v>25</v>
      </c>
      <c r="P1212" s="14" t="n">
        <f aca="false">IF(N1212=0,"",(N1212-LEN(SUBSTITUTE(SUBSTITUTE(L1212,"G",""),"C","")))/N1212)</f>
        <v>0.92</v>
      </c>
      <c r="Q1212" s="14" t="n">
        <f aca="false">IF(O1212=0,"",(O1212-LEN(SUBSTITUTE(SUBSTITUTE(M1212,"G",""),"C","")))/O1212)</f>
        <v>1</v>
      </c>
      <c r="R1212" s="5" t="s">
        <v>1253</v>
      </c>
      <c r="S1212" s="15" t="s">
        <v>1677</v>
      </c>
      <c r="T1212" s="5" t="n">
        <v>146</v>
      </c>
      <c r="U1212" s="5" t="s">
        <v>1678</v>
      </c>
      <c r="V1212" s="5" t="s">
        <v>1055</v>
      </c>
      <c r="W1212" s="5"/>
      <c r="X1212" s="15" t="s">
        <v>1677</v>
      </c>
      <c r="Y1212" s="5"/>
    </row>
    <row r="1213" customFormat="false" ht="15" hidden="false" customHeight="false" outlineLevel="0" collapsed="false">
      <c r="A1213" s="5" t="s">
        <v>12044</v>
      </c>
      <c r="B1213" s="5" t="s">
        <v>1249</v>
      </c>
      <c r="C1213" s="5" t="s">
        <v>1250</v>
      </c>
      <c r="D1213" s="10" t="s">
        <v>137</v>
      </c>
      <c r="E1213" s="5" t="n">
        <v>4</v>
      </c>
      <c r="F1213" s="5" t="s">
        <v>12045</v>
      </c>
      <c r="G1213" s="13" t="s">
        <v>12046</v>
      </c>
      <c r="H1213" s="5" t="s">
        <v>12047</v>
      </c>
      <c r="I1213" s="13" t="s">
        <v>12048</v>
      </c>
      <c r="J1213" s="5" t="s">
        <v>12049</v>
      </c>
      <c r="K1213" s="5" t="s">
        <v>12050</v>
      </c>
      <c r="L1213" s="13" t="s">
        <v>12051</v>
      </c>
      <c r="M1213" s="13" t="s">
        <v>12052</v>
      </c>
      <c r="N1213" s="5" t="n">
        <f aca="false">LEN(L1213)</f>
        <v>25</v>
      </c>
      <c r="O1213" s="5" t="n">
        <f aca="false">LEN(M1213)</f>
        <v>25</v>
      </c>
      <c r="P1213" s="14" t="n">
        <f aca="false">IF(N1213=0,"",(N1213-LEN(SUBSTITUTE(SUBSTITUTE(L1213,"G",""),"C","")))/N1213)</f>
        <v>0.68</v>
      </c>
      <c r="Q1213" s="14" t="n">
        <f aca="false">IF(O1213=0,"",(O1213-LEN(SUBSTITUTE(SUBSTITUTE(M1213,"G",""),"C","")))/O1213)</f>
        <v>0.8</v>
      </c>
      <c r="R1213" s="5" t="s">
        <v>1253</v>
      </c>
      <c r="S1213" s="15" t="s">
        <v>1677</v>
      </c>
      <c r="T1213" s="5" t="n">
        <v>216</v>
      </c>
      <c r="U1213" s="5" t="s">
        <v>1678</v>
      </c>
      <c r="V1213" s="5" t="s">
        <v>1055</v>
      </c>
      <c r="W1213" s="5"/>
      <c r="X1213" s="15" t="s">
        <v>1677</v>
      </c>
      <c r="Y1213" s="5"/>
    </row>
    <row r="1214" customFormat="false" ht="15" hidden="false" customHeight="false" outlineLevel="0" collapsed="false">
      <c r="A1214" s="5" t="s">
        <v>12053</v>
      </c>
      <c r="B1214" s="5" t="s">
        <v>1249</v>
      </c>
      <c r="C1214" s="5" t="s">
        <v>1250</v>
      </c>
      <c r="D1214" s="10" t="s">
        <v>137</v>
      </c>
      <c r="E1214" s="5" t="n">
        <v>5</v>
      </c>
      <c r="F1214" s="5" t="s">
        <v>12054</v>
      </c>
      <c r="G1214" s="13" t="s">
        <v>12055</v>
      </c>
      <c r="H1214" s="5" t="s">
        <v>12056</v>
      </c>
      <c r="I1214" s="13" t="s">
        <v>12057</v>
      </c>
      <c r="J1214" s="5" t="s">
        <v>12058</v>
      </c>
      <c r="K1214" s="5" t="s">
        <v>12059</v>
      </c>
      <c r="L1214" s="13" t="s">
        <v>12060</v>
      </c>
      <c r="M1214" s="13" t="s">
        <v>12061</v>
      </c>
      <c r="N1214" s="5" t="n">
        <f aca="false">LEN(L1214)</f>
        <v>25</v>
      </c>
      <c r="O1214" s="5" t="n">
        <f aca="false">LEN(M1214)</f>
        <v>25</v>
      </c>
      <c r="P1214" s="14" t="n">
        <f aca="false">IF(N1214=0,"",(N1214-LEN(SUBSTITUTE(SUBSTITUTE(L1214,"G",""),"C","")))/N1214)</f>
        <v>0.84</v>
      </c>
      <c r="Q1214" s="14" t="n">
        <f aca="false">IF(O1214=0,"",(O1214-LEN(SUBSTITUTE(SUBSTITUTE(M1214,"G",""),"C","")))/O1214)</f>
        <v>0.72</v>
      </c>
      <c r="R1214" s="5" t="s">
        <v>1253</v>
      </c>
      <c r="S1214" s="15" t="s">
        <v>1677</v>
      </c>
      <c r="T1214" s="5" t="n">
        <v>286</v>
      </c>
      <c r="U1214" s="5" t="s">
        <v>1678</v>
      </c>
      <c r="V1214" s="5" t="s">
        <v>1055</v>
      </c>
      <c r="W1214" s="5"/>
      <c r="X1214" s="15" t="s">
        <v>1677</v>
      </c>
      <c r="Y1214" s="5"/>
    </row>
    <row r="1215" customFormat="false" ht="15" hidden="false" customHeight="false" outlineLevel="0" collapsed="false">
      <c r="A1215" s="5" t="s">
        <v>12062</v>
      </c>
      <c r="B1215" s="5" t="s">
        <v>1249</v>
      </c>
      <c r="C1215" s="5" t="s">
        <v>1250</v>
      </c>
      <c r="D1215" s="10" t="s">
        <v>137</v>
      </c>
      <c r="E1215" s="5" t="n">
        <v>6</v>
      </c>
      <c r="F1215" s="5" t="s">
        <v>12063</v>
      </c>
      <c r="G1215" s="13" t="s">
        <v>12064</v>
      </c>
      <c r="H1215" s="5" t="s">
        <v>12065</v>
      </c>
      <c r="I1215" s="13" t="s">
        <v>12066</v>
      </c>
      <c r="J1215" s="5" t="s">
        <v>12067</v>
      </c>
      <c r="K1215" s="5" t="s">
        <v>12068</v>
      </c>
      <c r="L1215" s="13" t="s">
        <v>12069</v>
      </c>
      <c r="M1215" s="13" t="s">
        <v>12070</v>
      </c>
      <c r="N1215" s="5" t="n">
        <f aca="false">LEN(L1215)</f>
        <v>25</v>
      </c>
      <c r="O1215" s="5" t="n">
        <f aca="false">LEN(M1215)</f>
        <v>25</v>
      </c>
      <c r="P1215" s="14" t="n">
        <f aca="false">IF(N1215=0,"",(N1215-LEN(SUBSTITUTE(SUBSTITUTE(L1215,"G",""),"C","")))/N1215)</f>
        <v>0.68</v>
      </c>
      <c r="Q1215" s="14" t="n">
        <f aca="false">IF(O1215=0,"",(O1215-LEN(SUBSTITUTE(SUBSTITUTE(M1215,"G",""),"C","")))/O1215)</f>
        <v>0.6</v>
      </c>
      <c r="R1215" s="5" t="s">
        <v>1253</v>
      </c>
      <c r="S1215" s="15" t="s">
        <v>1677</v>
      </c>
      <c r="T1215" s="5" t="n">
        <v>356</v>
      </c>
      <c r="U1215" s="5" t="s">
        <v>1678</v>
      </c>
      <c r="V1215" s="5" t="s">
        <v>1055</v>
      </c>
      <c r="W1215" s="5"/>
      <c r="X1215" s="15" t="s">
        <v>1677</v>
      </c>
      <c r="Y1215" s="5"/>
    </row>
    <row r="1216" customFormat="false" ht="15" hidden="false" customHeight="false" outlineLevel="0" collapsed="false">
      <c r="A1216" s="5" t="s">
        <v>12071</v>
      </c>
      <c r="B1216" s="5" t="s">
        <v>1249</v>
      </c>
      <c r="C1216" s="5" t="s">
        <v>1250</v>
      </c>
      <c r="D1216" s="10" t="s">
        <v>137</v>
      </c>
      <c r="E1216" s="5" t="n">
        <v>7</v>
      </c>
      <c r="F1216" s="5" t="s">
        <v>12072</v>
      </c>
      <c r="G1216" s="13" t="s">
        <v>12073</v>
      </c>
      <c r="H1216" s="5" t="s">
        <v>12074</v>
      </c>
      <c r="I1216" s="13" t="s">
        <v>12075</v>
      </c>
      <c r="J1216" s="5" t="s">
        <v>12076</v>
      </c>
      <c r="K1216" s="5" t="s">
        <v>12077</v>
      </c>
      <c r="L1216" s="13" t="s">
        <v>12078</v>
      </c>
      <c r="M1216" s="13" t="s">
        <v>12079</v>
      </c>
      <c r="N1216" s="5" t="n">
        <f aca="false">LEN(L1216)</f>
        <v>25</v>
      </c>
      <c r="O1216" s="5" t="n">
        <f aca="false">LEN(M1216)</f>
        <v>25</v>
      </c>
      <c r="P1216" s="14" t="n">
        <f aca="false">IF(N1216=0,"",(N1216-LEN(SUBSTITUTE(SUBSTITUTE(L1216,"G",""),"C","")))/N1216)</f>
        <v>0.8</v>
      </c>
      <c r="Q1216" s="14" t="n">
        <f aca="false">IF(O1216=0,"",(O1216-LEN(SUBSTITUTE(SUBSTITUTE(M1216,"G",""),"C","")))/O1216)</f>
        <v>0.72</v>
      </c>
      <c r="R1216" s="5" t="s">
        <v>1253</v>
      </c>
      <c r="S1216" s="15" t="s">
        <v>1677</v>
      </c>
      <c r="T1216" s="5" t="n">
        <v>426</v>
      </c>
      <c r="U1216" s="5" t="s">
        <v>1678</v>
      </c>
      <c r="V1216" s="5" t="s">
        <v>1055</v>
      </c>
      <c r="W1216" s="5"/>
      <c r="X1216" s="15" t="s">
        <v>1677</v>
      </c>
      <c r="Y1216" s="5"/>
    </row>
    <row r="1217" customFormat="false" ht="15" hidden="false" customHeight="false" outlineLevel="0" collapsed="false">
      <c r="A1217" s="5" t="s">
        <v>12080</v>
      </c>
      <c r="B1217" s="5" t="s">
        <v>1249</v>
      </c>
      <c r="C1217" s="5" t="s">
        <v>1250</v>
      </c>
      <c r="D1217" s="10" t="s">
        <v>137</v>
      </c>
      <c r="E1217" s="5" t="n">
        <v>8</v>
      </c>
      <c r="F1217" s="5" t="s">
        <v>12081</v>
      </c>
      <c r="G1217" s="13" t="s">
        <v>12082</v>
      </c>
      <c r="H1217" s="5" t="s">
        <v>12083</v>
      </c>
      <c r="I1217" s="13" t="s">
        <v>12084</v>
      </c>
      <c r="J1217" s="5" t="s">
        <v>12085</v>
      </c>
      <c r="K1217" s="5" t="s">
        <v>12086</v>
      </c>
      <c r="L1217" s="13" t="s">
        <v>12087</v>
      </c>
      <c r="M1217" s="13" t="s">
        <v>12088</v>
      </c>
      <c r="N1217" s="5" t="n">
        <f aca="false">LEN(L1217)</f>
        <v>25</v>
      </c>
      <c r="O1217" s="5" t="n">
        <f aca="false">LEN(M1217)</f>
        <v>25</v>
      </c>
      <c r="P1217" s="14" t="n">
        <f aca="false">IF(N1217=0,"",(N1217-LEN(SUBSTITUTE(SUBSTITUTE(L1217,"G",""),"C","")))/N1217)</f>
        <v>0.88</v>
      </c>
      <c r="Q1217" s="14" t="n">
        <f aca="false">IF(O1217=0,"",(O1217-LEN(SUBSTITUTE(SUBSTITUTE(M1217,"G",""),"C","")))/O1217)</f>
        <v>0.8</v>
      </c>
      <c r="R1217" s="5" t="s">
        <v>1253</v>
      </c>
      <c r="S1217" s="15" t="s">
        <v>1677</v>
      </c>
      <c r="T1217" s="5" t="n">
        <v>496</v>
      </c>
      <c r="U1217" s="5" t="s">
        <v>1678</v>
      </c>
      <c r="V1217" s="5" t="s">
        <v>1055</v>
      </c>
      <c r="W1217" s="5"/>
      <c r="X1217" s="15" t="s">
        <v>1677</v>
      </c>
      <c r="Y1217" s="5"/>
    </row>
    <row r="1218" customFormat="false" ht="15" hidden="false" customHeight="false" outlineLevel="0" collapsed="false">
      <c r="A1218" s="5" t="s">
        <v>12089</v>
      </c>
      <c r="B1218" s="5" t="s">
        <v>1249</v>
      </c>
      <c r="C1218" s="5" t="s">
        <v>1250</v>
      </c>
      <c r="D1218" s="10" t="s">
        <v>137</v>
      </c>
      <c r="E1218" s="5" t="n">
        <v>9</v>
      </c>
      <c r="F1218" s="5" t="s">
        <v>12090</v>
      </c>
      <c r="G1218" s="13" t="s">
        <v>12091</v>
      </c>
      <c r="H1218" s="5" t="s">
        <v>12092</v>
      </c>
      <c r="I1218" s="13" t="s">
        <v>12093</v>
      </c>
      <c r="J1218" s="5" t="s">
        <v>12094</v>
      </c>
      <c r="K1218" s="5" t="s">
        <v>12095</v>
      </c>
      <c r="L1218" s="13" t="s">
        <v>12096</v>
      </c>
      <c r="M1218" s="13" t="s">
        <v>12097</v>
      </c>
      <c r="N1218" s="5" t="n">
        <f aca="false">LEN(L1218)</f>
        <v>25</v>
      </c>
      <c r="O1218" s="5" t="n">
        <f aca="false">LEN(M1218)</f>
        <v>25</v>
      </c>
      <c r="P1218" s="14" t="n">
        <f aca="false">IF(N1218=0,"",(N1218-LEN(SUBSTITUTE(SUBSTITUTE(L1218,"G",""),"C","")))/N1218)</f>
        <v>0.52</v>
      </c>
      <c r="Q1218" s="14" t="n">
        <f aca="false">IF(O1218=0,"",(O1218-LEN(SUBSTITUTE(SUBSTITUTE(M1218,"G",""),"C","")))/O1218)</f>
        <v>0.76</v>
      </c>
      <c r="R1218" s="5" t="s">
        <v>1253</v>
      </c>
      <c r="S1218" s="15" t="s">
        <v>1677</v>
      </c>
      <c r="T1218" s="5" t="n">
        <v>566</v>
      </c>
      <c r="U1218" s="5" t="s">
        <v>1678</v>
      </c>
      <c r="V1218" s="5" t="s">
        <v>1055</v>
      </c>
      <c r="W1218" s="5"/>
      <c r="X1218" s="15" t="s">
        <v>1677</v>
      </c>
      <c r="Y1218" s="5"/>
    </row>
    <row r="1219" customFormat="false" ht="15" hidden="false" customHeight="false" outlineLevel="0" collapsed="false">
      <c r="A1219" s="5" t="s">
        <v>12098</v>
      </c>
      <c r="B1219" s="5" t="s">
        <v>1249</v>
      </c>
      <c r="C1219" s="5" t="s">
        <v>1250</v>
      </c>
      <c r="D1219" s="10" t="s">
        <v>137</v>
      </c>
      <c r="E1219" s="5" t="n">
        <v>10</v>
      </c>
      <c r="F1219" s="5" t="s">
        <v>12099</v>
      </c>
      <c r="G1219" s="13" t="s">
        <v>12100</v>
      </c>
      <c r="H1219" s="5" t="s">
        <v>12101</v>
      </c>
      <c r="I1219" s="13" t="s">
        <v>12102</v>
      </c>
      <c r="J1219" s="5" t="s">
        <v>12103</v>
      </c>
      <c r="K1219" s="5" t="s">
        <v>12104</v>
      </c>
      <c r="L1219" s="13" t="s">
        <v>12105</v>
      </c>
      <c r="M1219" s="13" t="s">
        <v>12106</v>
      </c>
      <c r="N1219" s="5" t="n">
        <f aca="false">LEN(L1219)</f>
        <v>25</v>
      </c>
      <c r="O1219" s="5" t="n">
        <f aca="false">LEN(M1219)</f>
        <v>25</v>
      </c>
      <c r="P1219" s="14" t="n">
        <f aca="false">IF(N1219=0,"",(N1219-LEN(SUBSTITUTE(SUBSTITUTE(L1219,"G",""),"C","")))/N1219)</f>
        <v>0.84</v>
      </c>
      <c r="Q1219" s="14" t="n">
        <f aca="false">IF(O1219=0,"",(O1219-LEN(SUBSTITUTE(SUBSTITUTE(M1219,"G",""),"C","")))/O1219)</f>
        <v>0.72</v>
      </c>
      <c r="R1219" s="5" t="s">
        <v>1253</v>
      </c>
      <c r="S1219" s="15" t="s">
        <v>1677</v>
      </c>
      <c r="T1219" s="5" t="n">
        <v>636</v>
      </c>
      <c r="U1219" s="5" t="s">
        <v>1678</v>
      </c>
      <c r="V1219" s="5" t="s">
        <v>1055</v>
      </c>
      <c r="W1219" s="5"/>
      <c r="X1219" s="15" t="s">
        <v>1677</v>
      </c>
      <c r="Y1219" s="5"/>
    </row>
    <row r="1220" customFormat="false" ht="15" hidden="false" customHeight="false" outlineLevel="0" collapsed="false">
      <c r="A1220" s="5" t="s">
        <v>12107</v>
      </c>
      <c r="B1220" s="5" t="s">
        <v>1249</v>
      </c>
      <c r="C1220" s="5" t="s">
        <v>1250</v>
      </c>
      <c r="D1220" s="10" t="s">
        <v>137</v>
      </c>
      <c r="E1220" s="5" t="n">
        <v>11</v>
      </c>
      <c r="F1220" s="5" t="s">
        <v>12108</v>
      </c>
      <c r="G1220" s="13" t="s">
        <v>12109</v>
      </c>
      <c r="H1220" s="5" t="s">
        <v>12110</v>
      </c>
      <c r="I1220" s="13" t="s">
        <v>12111</v>
      </c>
      <c r="J1220" s="5" t="s">
        <v>12112</v>
      </c>
      <c r="K1220" s="5" t="s">
        <v>12113</v>
      </c>
      <c r="L1220" s="13" t="s">
        <v>12114</v>
      </c>
      <c r="M1220" s="13" t="s">
        <v>12115</v>
      </c>
      <c r="N1220" s="5" t="n">
        <f aca="false">LEN(L1220)</f>
        <v>25</v>
      </c>
      <c r="O1220" s="5" t="n">
        <f aca="false">LEN(M1220)</f>
        <v>25</v>
      </c>
      <c r="P1220" s="14" t="n">
        <f aca="false">IF(N1220=0,"",(N1220-LEN(SUBSTITUTE(SUBSTITUTE(L1220,"G",""),"C","")))/N1220)</f>
        <v>0.84</v>
      </c>
      <c r="Q1220" s="14" t="n">
        <f aca="false">IF(O1220=0,"",(O1220-LEN(SUBSTITUTE(SUBSTITUTE(M1220,"G",""),"C","")))/O1220)</f>
        <v>0.88</v>
      </c>
      <c r="R1220" s="5" t="s">
        <v>1253</v>
      </c>
      <c r="S1220" s="15" t="s">
        <v>1677</v>
      </c>
      <c r="T1220" s="5" t="n">
        <v>706</v>
      </c>
      <c r="U1220" s="5" t="s">
        <v>1678</v>
      </c>
      <c r="V1220" s="5" t="s">
        <v>1055</v>
      </c>
      <c r="W1220" s="5"/>
      <c r="X1220" s="15" t="s">
        <v>1677</v>
      </c>
      <c r="Y1220" s="5"/>
    </row>
    <row r="1221" customFormat="false" ht="15" hidden="false" customHeight="false" outlineLevel="0" collapsed="false">
      <c r="A1221" s="5" t="s">
        <v>12116</v>
      </c>
      <c r="B1221" s="5" t="s">
        <v>1257</v>
      </c>
      <c r="C1221" s="5" t="s">
        <v>1258</v>
      </c>
      <c r="D1221" s="10" t="s">
        <v>137</v>
      </c>
      <c r="E1221" s="5" t="n">
        <v>1</v>
      </c>
      <c r="F1221" s="5" t="s">
        <v>12117</v>
      </c>
      <c r="G1221" s="13" t="s">
        <v>12118</v>
      </c>
      <c r="H1221" s="5" t="s">
        <v>12119</v>
      </c>
      <c r="I1221" s="13" t="s">
        <v>12120</v>
      </c>
      <c r="J1221" s="5" t="s">
        <v>12121</v>
      </c>
      <c r="K1221" s="5" t="s">
        <v>12122</v>
      </c>
      <c r="L1221" s="13" t="s">
        <v>12123</v>
      </c>
      <c r="M1221" s="13" t="s">
        <v>12124</v>
      </c>
      <c r="N1221" s="5" t="n">
        <f aca="false">LEN(L1221)</f>
        <v>25</v>
      </c>
      <c r="O1221" s="5" t="n">
        <f aca="false">LEN(M1221)</f>
        <v>25</v>
      </c>
      <c r="P1221" s="14" t="n">
        <f aca="false">IF(N1221=0,"",(N1221-LEN(SUBSTITUTE(SUBSTITUTE(L1221,"G",""),"C","")))/N1221)</f>
        <v>0.72</v>
      </c>
      <c r="Q1221" s="14" t="n">
        <f aca="false">IF(O1221=0,"",(O1221-LEN(SUBSTITUTE(SUBSTITUTE(M1221,"G",""),"C","")))/O1221)</f>
        <v>0.48</v>
      </c>
      <c r="R1221" s="5" t="s">
        <v>1262</v>
      </c>
      <c r="S1221" s="15" t="s">
        <v>1677</v>
      </c>
      <c r="T1221" s="5" t="n">
        <v>146</v>
      </c>
      <c r="U1221" s="5" t="s">
        <v>1678</v>
      </c>
      <c r="V1221" s="5" t="s">
        <v>1055</v>
      </c>
      <c r="W1221" s="5"/>
      <c r="X1221" s="15" t="s">
        <v>1677</v>
      </c>
      <c r="Y1221" s="5"/>
    </row>
    <row r="1222" customFormat="false" ht="15" hidden="false" customHeight="false" outlineLevel="0" collapsed="false">
      <c r="A1222" s="5" t="s">
        <v>12125</v>
      </c>
      <c r="B1222" s="5" t="s">
        <v>1257</v>
      </c>
      <c r="C1222" s="5" t="s">
        <v>1258</v>
      </c>
      <c r="D1222" s="10" t="s">
        <v>137</v>
      </c>
      <c r="E1222" s="5" t="n">
        <v>2</v>
      </c>
      <c r="F1222" s="5" t="s">
        <v>12126</v>
      </c>
      <c r="G1222" s="13" t="s">
        <v>12127</v>
      </c>
      <c r="H1222" s="5" t="s">
        <v>12128</v>
      </c>
      <c r="I1222" s="13" t="s">
        <v>12129</v>
      </c>
      <c r="J1222" s="5" t="s">
        <v>12130</v>
      </c>
      <c r="K1222" s="5" t="s">
        <v>12131</v>
      </c>
      <c r="L1222" s="13" t="s">
        <v>12132</v>
      </c>
      <c r="M1222" s="13" t="s">
        <v>12133</v>
      </c>
      <c r="N1222" s="5" t="n">
        <f aca="false">LEN(L1222)</f>
        <v>25</v>
      </c>
      <c r="O1222" s="5" t="n">
        <f aca="false">LEN(M1222)</f>
        <v>25</v>
      </c>
      <c r="P1222" s="14" t="n">
        <f aca="false">IF(N1222=0,"",(N1222-LEN(SUBSTITUTE(SUBSTITUTE(L1222,"G",""),"C","")))/N1222)</f>
        <v>0.52</v>
      </c>
      <c r="Q1222" s="14" t="n">
        <f aca="false">IF(O1222=0,"",(O1222-LEN(SUBSTITUTE(SUBSTITUTE(M1222,"G",""),"C","")))/O1222)</f>
        <v>0.68</v>
      </c>
      <c r="R1222" s="5" t="s">
        <v>1262</v>
      </c>
      <c r="S1222" s="15" t="s">
        <v>1677</v>
      </c>
      <c r="T1222" s="5" t="n">
        <v>216</v>
      </c>
      <c r="U1222" s="5" t="s">
        <v>1678</v>
      </c>
      <c r="V1222" s="5" t="s">
        <v>1055</v>
      </c>
      <c r="W1222" s="5"/>
      <c r="X1222" s="15" t="s">
        <v>1677</v>
      </c>
      <c r="Y1222" s="5"/>
    </row>
    <row r="1223" customFormat="false" ht="15" hidden="false" customHeight="false" outlineLevel="0" collapsed="false">
      <c r="A1223" s="5" t="s">
        <v>12134</v>
      </c>
      <c r="B1223" s="5" t="s">
        <v>1257</v>
      </c>
      <c r="C1223" s="5" t="s">
        <v>1258</v>
      </c>
      <c r="D1223" s="10" t="s">
        <v>137</v>
      </c>
      <c r="E1223" s="5" t="n">
        <v>3</v>
      </c>
      <c r="F1223" s="5" t="s">
        <v>12135</v>
      </c>
      <c r="G1223" s="13" t="s">
        <v>12136</v>
      </c>
      <c r="H1223" s="5" t="s">
        <v>12137</v>
      </c>
      <c r="I1223" s="13" t="s">
        <v>12138</v>
      </c>
      <c r="J1223" s="5" t="s">
        <v>12139</v>
      </c>
      <c r="K1223" s="5" t="s">
        <v>12140</v>
      </c>
      <c r="L1223" s="13" t="s">
        <v>12141</v>
      </c>
      <c r="M1223" s="13" t="s">
        <v>12142</v>
      </c>
      <c r="N1223" s="5" t="n">
        <f aca="false">LEN(L1223)</f>
        <v>25</v>
      </c>
      <c r="O1223" s="5" t="n">
        <f aca="false">LEN(M1223)</f>
        <v>25</v>
      </c>
      <c r="P1223" s="14" t="n">
        <f aca="false">IF(N1223=0,"",(N1223-LEN(SUBSTITUTE(SUBSTITUTE(L1223,"G",""),"C","")))/N1223)</f>
        <v>0.4</v>
      </c>
      <c r="Q1223" s="14" t="n">
        <f aca="false">IF(O1223=0,"",(O1223-LEN(SUBSTITUTE(SUBSTITUTE(M1223,"G",""),"C","")))/O1223)</f>
        <v>0.68</v>
      </c>
      <c r="R1223" s="5" t="s">
        <v>1262</v>
      </c>
      <c r="S1223" s="15" t="s">
        <v>1677</v>
      </c>
      <c r="T1223" s="5" t="n">
        <v>286</v>
      </c>
      <c r="U1223" s="5" t="s">
        <v>1678</v>
      </c>
      <c r="V1223" s="5" t="s">
        <v>1055</v>
      </c>
      <c r="W1223" s="5"/>
      <c r="X1223" s="15" t="s">
        <v>1677</v>
      </c>
      <c r="Y1223" s="5"/>
    </row>
    <row r="1224" customFormat="false" ht="15" hidden="false" customHeight="false" outlineLevel="0" collapsed="false">
      <c r="A1224" s="5" t="s">
        <v>12143</v>
      </c>
      <c r="B1224" s="5" t="s">
        <v>1257</v>
      </c>
      <c r="C1224" s="5" t="s">
        <v>1258</v>
      </c>
      <c r="D1224" s="10" t="s">
        <v>137</v>
      </c>
      <c r="E1224" s="5" t="n">
        <v>4</v>
      </c>
      <c r="F1224" s="5" t="s">
        <v>12144</v>
      </c>
      <c r="G1224" s="13" t="s">
        <v>12145</v>
      </c>
      <c r="H1224" s="5" t="s">
        <v>12146</v>
      </c>
      <c r="I1224" s="13" t="s">
        <v>12147</v>
      </c>
      <c r="J1224" s="5" t="s">
        <v>12148</v>
      </c>
      <c r="K1224" s="5" t="s">
        <v>12149</v>
      </c>
      <c r="L1224" s="13" t="s">
        <v>12150</v>
      </c>
      <c r="M1224" s="13" t="s">
        <v>12151</v>
      </c>
      <c r="N1224" s="5" t="n">
        <f aca="false">LEN(L1224)</f>
        <v>25</v>
      </c>
      <c r="O1224" s="5" t="n">
        <f aca="false">LEN(M1224)</f>
        <v>25</v>
      </c>
      <c r="P1224" s="14" t="n">
        <f aca="false">IF(N1224=0,"",(N1224-LEN(SUBSTITUTE(SUBSTITUTE(L1224,"G",""),"C","")))/N1224)</f>
        <v>0.56</v>
      </c>
      <c r="Q1224" s="14" t="n">
        <f aca="false">IF(O1224=0,"",(O1224-LEN(SUBSTITUTE(SUBSTITUTE(M1224,"G",""),"C","")))/O1224)</f>
        <v>0.6</v>
      </c>
      <c r="R1224" s="5" t="s">
        <v>1262</v>
      </c>
      <c r="S1224" s="15" t="s">
        <v>1677</v>
      </c>
      <c r="T1224" s="5" t="n">
        <v>356</v>
      </c>
      <c r="U1224" s="5" t="s">
        <v>1678</v>
      </c>
      <c r="V1224" s="5" t="s">
        <v>1055</v>
      </c>
      <c r="W1224" s="5"/>
      <c r="X1224" s="15" t="s">
        <v>1677</v>
      </c>
      <c r="Y1224" s="5"/>
    </row>
    <row r="1225" customFormat="false" ht="15" hidden="false" customHeight="false" outlineLevel="0" collapsed="false">
      <c r="A1225" s="5" t="s">
        <v>12152</v>
      </c>
      <c r="B1225" s="5" t="s">
        <v>1257</v>
      </c>
      <c r="C1225" s="5" t="s">
        <v>1258</v>
      </c>
      <c r="D1225" s="10" t="s">
        <v>137</v>
      </c>
      <c r="E1225" s="5" t="n">
        <v>5</v>
      </c>
      <c r="F1225" s="5" t="s">
        <v>12153</v>
      </c>
      <c r="G1225" s="13" t="s">
        <v>12154</v>
      </c>
      <c r="H1225" s="5" t="s">
        <v>12155</v>
      </c>
      <c r="I1225" s="13" t="s">
        <v>12156</v>
      </c>
      <c r="J1225" s="5" t="s">
        <v>12157</v>
      </c>
      <c r="K1225" s="5" t="s">
        <v>12158</v>
      </c>
      <c r="L1225" s="13" t="s">
        <v>12159</v>
      </c>
      <c r="M1225" s="13" t="s">
        <v>12160</v>
      </c>
      <c r="N1225" s="5" t="n">
        <f aca="false">LEN(L1225)</f>
        <v>25</v>
      </c>
      <c r="O1225" s="5" t="n">
        <f aca="false">LEN(M1225)</f>
        <v>25</v>
      </c>
      <c r="P1225" s="14" t="n">
        <f aca="false">IF(N1225=0,"",(N1225-LEN(SUBSTITUTE(SUBSTITUTE(L1225,"G",""),"C","")))/N1225)</f>
        <v>0.68</v>
      </c>
      <c r="Q1225" s="14" t="n">
        <f aca="false">IF(O1225=0,"",(O1225-LEN(SUBSTITUTE(SUBSTITUTE(M1225,"G",""),"C","")))/O1225)</f>
        <v>0.64</v>
      </c>
      <c r="R1225" s="5" t="s">
        <v>1262</v>
      </c>
      <c r="S1225" s="15" t="s">
        <v>1677</v>
      </c>
      <c r="T1225" s="5" t="n">
        <v>426</v>
      </c>
      <c r="U1225" s="5" t="s">
        <v>1678</v>
      </c>
      <c r="V1225" s="5" t="s">
        <v>1055</v>
      </c>
      <c r="W1225" s="5"/>
      <c r="X1225" s="15" t="s">
        <v>1677</v>
      </c>
      <c r="Y1225" s="5"/>
    </row>
    <row r="1226" customFormat="false" ht="15" hidden="false" customHeight="false" outlineLevel="0" collapsed="false">
      <c r="A1226" s="5" t="s">
        <v>12161</v>
      </c>
      <c r="B1226" s="5" t="s">
        <v>1257</v>
      </c>
      <c r="C1226" s="5" t="s">
        <v>1258</v>
      </c>
      <c r="D1226" s="10" t="s">
        <v>137</v>
      </c>
      <c r="E1226" s="5" t="n">
        <v>6</v>
      </c>
      <c r="F1226" s="5" t="s">
        <v>12162</v>
      </c>
      <c r="G1226" s="13" t="s">
        <v>12163</v>
      </c>
      <c r="H1226" s="5" t="s">
        <v>12164</v>
      </c>
      <c r="I1226" s="13" t="s">
        <v>12165</v>
      </c>
      <c r="J1226" s="5" t="s">
        <v>12166</v>
      </c>
      <c r="K1226" s="5" t="s">
        <v>12167</v>
      </c>
      <c r="L1226" s="13" t="s">
        <v>12168</v>
      </c>
      <c r="M1226" s="13" t="s">
        <v>12169</v>
      </c>
      <c r="N1226" s="5" t="n">
        <f aca="false">LEN(L1226)</f>
        <v>25</v>
      </c>
      <c r="O1226" s="5" t="n">
        <f aca="false">LEN(M1226)</f>
        <v>25</v>
      </c>
      <c r="P1226" s="14" t="n">
        <f aca="false">IF(N1226=0,"",(N1226-LEN(SUBSTITUTE(SUBSTITUTE(L1226,"G",""),"C","")))/N1226)</f>
        <v>0.84</v>
      </c>
      <c r="Q1226" s="14" t="n">
        <f aca="false">IF(O1226=0,"",(O1226-LEN(SUBSTITUTE(SUBSTITUTE(M1226,"G",""),"C","")))/O1226)</f>
        <v>0.68</v>
      </c>
      <c r="R1226" s="5" t="s">
        <v>1262</v>
      </c>
      <c r="S1226" s="15" t="s">
        <v>1677</v>
      </c>
      <c r="T1226" s="5" t="n">
        <v>496</v>
      </c>
      <c r="U1226" s="5" t="s">
        <v>1678</v>
      </c>
      <c r="V1226" s="5" t="s">
        <v>1055</v>
      </c>
      <c r="W1226" s="5"/>
      <c r="X1226" s="15" t="s">
        <v>1677</v>
      </c>
      <c r="Y1226" s="5"/>
    </row>
    <row r="1227" customFormat="false" ht="15" hidden="false" customHeight="false" outlineLevel="0" collapsed="false">
      <c r="A1227" s="5" t="s">
        <v>12170</v>
      </c>
      <c r="B1227" s="5" t="s">
        <v>1264</v>
      </c>
      <c r="C1227" s="5" t="s">
        <v>1265</v>
      </c>
      <c r="D1227" s="10" t="s">
        <v>137</v>
      </c>
      <c r="E1227" s="5" t="n">
        <v>1</v>
      </c>
      <c r="F1227" s="5" t="s">
        <v>12171</v>
      </c>
      <c r="G1227" s="13" t="s">
        <v>12172</v>
      </c>
      <c r="H1227" s="5" t="s">
        <v>12173</v>
      </c>
      <c r="I1227" s="13" t="s">
        <v>12174</v>
      </c>
      <c r="J1227" s="5" t="s">
        <v>12175</v>
      </c>
      <c r="K1227" s="5" t="s">
        <v>12176</v>
      </c>
      <c r="L1227" s="13" t="s">
        <v>12177</v>
      </c>
      <c r="M1227" s="13" t="s">
        <v>12178</v>
      </c>
      <c r="N1227" s="5" t="n">
        <f aca="false">LEN(L1227)</f>
        <v>25</v>
      </c>
      <c r="O1227" s="5" t="n">
        <f aca="false">LEN(M1227)</f>
        <v>25</v>
      </c>
      <c r="P1227" s="14" t="n">
        <f aca="false">IF(N1227=0,"",(N1227-LEN(SUBSTITUTE(SUBSTITUTE(L1227,"G",""),"C","")))/N1227)</f>
        <v>0.64</v>
      </c>
      <c r="Q1227" s="14" t="n">
        <f aca="false">IF(O1227=0,"",(O1227-LEN(SUBSTITUTE(SUBSTITUTE(M1227,"G",""),"C","")))/O1227)</f>
        <v>0.52</v>
      </c>
      <c r="R1227" s="5" t="s">
        <v>1269</v>
      </c>
      <c r="S1227" s="15" t="s">
        <v>1677</v>
      </c>
      <c r="T1227" s="5" t="n">
        <v>146</v>
      </c>
      <c r="U1227" s="5" t="s">
        <v>1678</v>
      </c>
      <c r="V1227" s="5" t="s">
        <v>1055</v>
      </c>
      <c r="W1227" s="5"/>
      <c r="X1227" s="15" t="s">
        <v>1677</v>
      </c>
      <c r="Y1227" s="5"/>
    </row>
    <row r="1228" customFormat="false" ht="15" hidden="false" customHeight="false" outlineLevel="0" collapsed="false">
      <c r="A1228" s="5" t="s">
        <v>12179</v>
      </c>
      <c r="B1228" s="5" t="s">
        <v>1264</v>
      </c>
      <c r="C1228" s="5" t="s">
        <v>1265</v>
      </c>
      <c r="D1228" s="10" t="s">
        <v>137</v>
      </c>
      <c r="E1228" s="5" t="n">
        <v>2</v>
      </c>
      <c r="F1228" s="5" t="s">
        <v>12180</v>
      </c>
      <c r="G1228" s="13" t="s">
        <v>12181</v>
      </c>
      <c r="H1228" s="5" t="s">
        <v>12182</v>
      </c>
      <c r="I1228" s="13" t="s">
        <v>12183</v>
      </c>
      <c r="J1228" s="5" t="s">
        <v>12184</v>
      </c>
      <c r="K1228" s="5" t="s">
        <v>12185</v>
      </c>
      <c r="L1228" s="13" t="s">
        <v>12186</v>
      </c>
      <c r="M1228" s="13" t="s">
        <v>12187</v>
      </c>
      <c r="N1228" s="5" t="n">
        <f aca="false">LEN(L1228)</f>
        <v>25</v>
      </c>
      <c r="O1228" s="5" t="n">
        <f aca="false">LEN(M1228)</f>
        <v>25</v>
      </c>
      <c r="P1228" s="14" t="n">
        <f aca="false">IF(N1228=0,"",(N1228-LEN(SUBSTITUTE(SUBSTITUTE(L1228,"G",""),"C","")))/N1228)</f>
        <v>0.48</v>
      </c>
      <c r="Q1228" s="14" t="n">
        <f aca="false">IF(O1228=0,"",(O1228-LEN(SUBSTITUTE(SUBSTITUTE(M1228,"G",""),"C","")))/O1228)</f>
        <v>0.44</v>
      </c>
      <c r="R1228" s="5" t="s">
        <v>1269</v>
      </c>
      <c r="S1228" s="15" t="s">
        <v>1677</v>
      </c>
      <c r="T1228" s="5" t="n">
        <v>216</v>
      </c>
      <c r="U1228" s="5" t="s">
        <v>1678</v>
      </c>
      <c r="V1228" s="5" t="s">
        <v>1055</v>
      </c>
      <c r="W1228" s="5"/>
      <c r="X1228" s="15" t="s">
        <v>1677</v>
      </c>
      <c r="Y1228" s="5"/>
    </row>
    <row r="1229" customFormat="false" ht="15" hidden="false" customHeight="false" outlineLevel="0" collapsed="false">
      <c r="A1229" s="5" t="s">
        <v>12188</v>
      </c>
      <c r="B1229" s="5" t="s">
        <v>1264</v>
      </c>
      <c r="C1229" s="5" t="s">
        <v>1265</v>
      </c>
      <c r="D1229" s="10" t="s">
        <v>137</v>
      </c>
      <c r="E1229" s="5" t="n">
        <v>3</v>
      </c>
      <c r="F1229" s="5" t="s">
        <v>12189</v>
      </c>
      <c r="G1229" s="13" t="s">
        <v>12190</v>
      </c>
      <c r="H1229" s="5" t="s">
        <v>12191</v>
      </c>
      <c r="I1229" s="13" t="s">
        <v>12192</v>
      </c>
      <c r="J1229" s="5" t="s">
        <v>12193</v>
      </c>
      <c r="K1229" s="5" t="s">
        <v>12194</v>
      </c>
      <c r="L1229" s="13" t="s">
        <v>12195</v>
      </c>
      <c r="M1229" s="13" t="s">
        <v>12196</v>
      </c>
      <c r="N1229" s="5" t="n">
        <f aca="false">LEN(L1229)</f>
        <v>25</v>
      </c>
      <c r="O1229" s="5" t="n">
        <f aca="false">LEN(M1229)</f>
        <v>25</v>
      </c>
      <c r="P1229" s="14" t="n">
        <f aca="false">IF(N1229=0,"",(N1229-LEN(SUBSTITUTE(SUBSTITUTE(L1229,"G",""),"C","")))/N1229)</f>
        <v>0.6</v>
      </c>
      <c r="Q1229" s="14" t="n">
        <f aca="false">IF(O1229=0,"",(O1229-LEN(SUBSTITUTE(SUBSTITUTE(M1229,"G",""),"C","")))/O1229)</f>
        <v>0.72</v>
      </c>
      <c r="R1229" s="5" t="s">
        <v>1269</v>
      </c>
      <c r="S1229" s="15" t="s">
        <v>1677</v>
      </c>
      <c r="T1229" s="5" t="n">
        <v>286</v>
      </c>
      <c r="U1229" s="5" t="s">
        <v>1678</v>
      </c>
      <c r="V1229" s="5" t="s">
        <v>1055</v>
      </c>
      <c r="W1229" s="5"/>
      <c r="X1229" s="15" t="s">
        <v>1677</v>
      </c>
      <c r="Y1229" s="5"/>
    </row>
    <row r="1230" customFormat="false" ht="15" hidden="false" customHeight="false" outlineLevel="0" collapsed="false">
      <c r="A1230" s="5" t="s">
        <v>12197</v>
      </c>
      <c r="B1230" s="5" t="s">
        <v>1264</v>
      </c>
      <c r="C1230" s="5" t="s">
        <v>1265</v>
      </c>
      <c r="D1230" s="10" t="s">
        <v>137</v>
      </c>
      <c r="E1230" s="5" t="n">
        <v>4</v>
      </c>
      <c r="F1230" s="5" t="s">
        <v>12198</v>
      </c>
      <c r="G1230" s="13" t="s">
        <v>12199</v>
      </c>
      <c r="H1230" s="5" t="s">
        <v>12200</v>
      </c>
      <c r="I1230" s="13" t="s">
        <v>12201</v>
      </c>
      <c r="J1230" s="5" t="s">
        <v>12202</v>
      </c>
      <c r="K1230" s="5" t="s">
        <v>12203</v>
      </c>
      <c r="L1230" s="13" t="s">
        <v>12204</v>
      </c>
      <c r="M1230" s="13" t="s">
        <v>12205</v>
      </c>
      <c r="N1230" s="5" t="n">
        <f aca="false">LEN(L1230)</f>
        <v>25</v>
      </c>
      <c r="O1230" s="5" t="n">
        <f aca="false">LEN(M1230)</f>
        <v>25</v>
      </c>
      <c r="P1230" s="14" t="n">
        <f aca="false">IF(N1230=0,"",(N1230-LEN(SUBSTITUTE(SUBSTITUTE(L1230,"G",""),"C","")))/N1230)</f>
        <v>0.68</v>
      </c>
      <c r="Q1230" s="14" t="n">
        <f aca="false">IF(O1230=0,"",(O1230-LEN(SUBSTITUTE(SUBSTITUTE(M1230,"G",""),"C","")))/O1230)</f>
        <v>0.92</v>
      </c>
      <c r="R1230" s="5" t="s">
        <v>1269</v>
      </c>
      <c r="S1230" s="15" t="s">
        <v>1677</v>
      </c>
      <c r="T1230" s="5" t="n">
        <v>356</v>
      </c>
      <c r="U1230" s="5" t="s">
        <v>1678</v>
      </c>
      <c r="V1230" s="5" t="s">
        <v>1055</v>
      </c>
      <c r="W1230" s="5"/>
      <c r="X1230" s="15" t="s">
        <v>1677</v>
      </c>
      <c r="Y1230" s="5"/>
    </row>
    <row r="1231" customFormat="false" ht="15" hidden="false" customHeight="false" outlineLevel="0" collapsed="false">
      <c r="A1231" s="5" t="s">
        <v>12206</v>
      </c>
      <c r="B1231" s="5" t="s">
        <v>1264</v>
      </c>
      <c r="C1231" s="5" t="s">
        <v>1265</v>
      </c>
      <c r="D1231" s="10" t="s">
        <v>137</v>
      </c>
      <c r="E1231" s="5" t="n">
        <v>5</v>
      </c>
      <c r="F1231" s="5" t="s">
        <v>12207</v>
      </c>
      <c r="G1231" s="13" t="s">
        <v>12208</v>
      </c>
      <c r="H1231" s="5" t="s">
        <v>12209</v>
      </c>
      <c r="I1231" s="13" t="s">
        <v>12210</v>
      </c>
      <c r="J1231" s="5" t="s">
        <v>12211</v>
      </c>
      <c r="K1231" s="5" t="s">
        <v>12212</v>
      </c>
      <c r="L1231" s="13" t="s">
        <v>12213</v>
      </c>
      <c r="M1231" s="13" t="s">
        <v>12214</v>
      </c>
      <c r="N1231" s="5" t="n">
        <f aca="false">LEN(L1231)</f>
        <v>25</v>
      </c>
      <c r="O1231" s="5" t="n">
        <f aca="false">LEN(M1231)</f>
        <v>25</v>
      </c>
      <c r="P1231" s="14" t="n">
        <f aca="false">IF(N1231=0,"",(N1231-LEN(SUBSTITUTE(SUBSTITUTE(L1231,"G",""),"C","")))/N1231)</f>
        <v>0.8</v>
      </c>
      <c r="Q1231" s="14" t="n">
        <f aca="false">IF(O1231=0,"",(O1231-LEN(SUBSTITUTE(SUBSTITUTE(M1231,"G",""),"C","")))/O1231)</f>
        <v>0.52</v>
      </c>
      <c r="R1231" s="5" t="s">
        <v>1269</v>
      </c>
      <c r="S1231" s="15" t="s">
        <v>1677</v>
      </c>
      <c r="T1231" s="5" t="n">
        <v>426</v>
      </c>
      <c r="U1231" s="5" t="s">
        <v>1678</v>
      </c>
      <c r="V1231" s="5" t="s">
        <v>1055</v>
      </c>
      <c r="W1231" s="5"/>
      <c r="X1231" s="15" t="s">
        <v>1677</v>
      </c>
      <c r="Y1231" s="5"/>
    </row>
    <row r="1232" customFormat="false" ht="15" hidden="false" customHeight="false" outlineLevel="0" collapsed="false">
      <c r="A1232" s="5" t="s">
        <v>12215</v>
      </c>
      <c r="B1232" s="5" t="s">
        <v>1264</v>
      </c>
      <c r="C1232" s="5" t="s">
        <v>1265</v>
      </c>
      <c r="D1232" s="10" t="s">
        <v>137</v>
      </c>
      <c r="E1232" s="5" t="n">
        <v>6</v>
      </c>
      <c r="F1232" s="5" t="s">
        <v>12216</v>
      </c>
      <c r="G1232" s="13" t="s">
        <v>12217</v>
      </c>
      <c r="H1232" s="5" t="s">
        <v>12218</v>
      </c>
      <c r="I1232" s="13" t="s">
        <v>12219</v>
      </c>
      <c r="J1232" s="5" t="s">
        <v>12220</v>
      </c>
      <c r="K1232" s="5" t="s">
        <v>12221</v>
      </c>
      <c r="L1232" s="13" t="s">
        <v>12222</v>
      </c>
      <c r="M1232" s="13" t="s">
        <v>12223</v>
      </c>
      <c r="N1232" s="5" t="n">
        <f aca="false">LEN(L1232)</f>
        <v>25</v>
      </c>
      <c r="O1232" s="5" t="n">
        <f aca="false">LEN(M1232)</f>
        <v>25</v>
      </c>
      <c r="P1232" s="14" t="n">
        <f aca="false">IF(N1232=0,"",(N1232-LEN(SUBSTITUTE(SUBSTITUTE(L1232,"G",""),"C","")))/N1232)</f>
        <v>0.92</v>
      </c>
      <c r="Q1232" s="14" t="n">
        <f aca="false">IF(O1232=0,"",(O1232-LEN(SUBSTITUTE(SUBSTITUTE(M1232,"G",""),"C","")))/O1232)</f>
        <v>0.72</v>
      </c>
      <c r="R1232" s="5" t="s">
        <v>1269</v>
      </c>
      <c r="S1232" s="15" t="s">
        <v>1677</v>
      </c>
      <c r="T1232" s="5" t="n">
        <v>496</v>
      </c>
      <c r="U1232" s="5" t="s">
        <v>1678</v>
      </c>
      <c r="V1232" s="5" t="s">
        <v>1055</v>
      </c>
      <c r="W1232" s="5"/>
      <c r="X1232" s="15" t="s">
        <v>1677</v>
      </c>
      <c r="Y1232" s="5"/>
    </row>
    <row r="1233" customFormat="false" ht="15" hidden="false" customHeight="false" outlineLevel="0" collapsed="false">
      <c r="A1233" s="5" t="s">
        <v>12224</v>
      </c>
      <c r="B1233" s="5" t="s">
        <v>1272</v>
      </c>
      <c r="C1233" s="5" t="s">
        <v>1273</v>
      </c>
      <c r="D1233" s="10" t="s">
        <v>137</v>
      </c>
      <c r="E1233" s="5" t="n">
        <v>1</v>
      </c>
      <c r="F1233" s="5" t="s">
        <v>12225</v>
      </c>
      <c r="G1233" s="13" t="s">
        <v>12226</v>
      </c>
      <c r="H1233" s="5" t="s">
        <v>12227</v>
      </c>
      <c r="I1233" s="13" t="s">
        <v>12228</v>
      </c>
      <c r="J1233" s="5" t="s">
        <v>12229</v>
      </c>
      <c r="K1233" s="5" t="s">
        <v>12230</v>
      </c>
      <c r="L1233" s="13" t="s">
        <v>12231</v>
      </c>
      <c r="M1233" s="13" t="s">
        <v>12232</v>
      </c>
      <c r="N1233" s="5" t="n">
        <f aca="false">LEN(L1233)</f>
        <v>25</v>
      </c>
      <c r="O1233" s="5" t="n">
        <f aca="false">LEN(M1233)</f>
        <v>25</v>
      </c>
      <c r="P1233" s="14" t="n">
        <f aca="false">IF(N1233=0,"",(N1233-LEN(SUBSTITUTE(SUBSTITUTE(L1233,"G",""),"C","")))/N1233)</f>
        <v>0.48</v>
      </c>
      <c r="Q1233" s="14" t="n">
        <f aca="false">IF(O1233=0,"",(O1233-LEN(SUBSTITUTE(SUBSTITUTE(M1233,"G",""),"C","")))/O1233)</f>
        <v>0.56</v>
      </c>
      <c r="R1233" s="5" t="s">
        <v>1276</v>
      </c>
      <c r="S1233" s="15" t="s">
        <v>1677</v>
      </c>
      <c r="T1233" s="5" t="n">
        <v>6</v>
      </c>
      <c r="U1233" s="5" t="s">
        <v>1678</v>
      </c>
      <c r="V1233" s="5" t="s">
        <v>1055</v>
      </c>
      <c r="W1233" s="5"/>
      <c r="X1233" s="15" t="s">
        <v>1677</v>
      </c>
      <c r="Y1233" s="5"/>
    </row>
    <row r="1234" customFormat="false" ht="15" hidden="false" customHeight="false" outlineLevel="0" collapsed="false">
      <c r="A1234" s="5" t="s">
        <v>12233</v>
      </c>
      <c r="B1234" s="5" t="s">
        <v>1272</v>
      </c>
      <c r="C1234" s="5" t="s">
        <v>1273</v>
      </c>
      <c r="D1234" s="10" t="s">
        <v>137</v>
      </c>
      <c r="E1234" s="5" t="n">
        <v>2</v>
      </c>
      <c r="F1234" s="5" t="s">
        <v>12234</v>
      </c>
      <c r="G1234" s="13" t="s">
        <v>12235</v>
      </c>
      <c r="H1234" s="5" t="s">
        <v>12236</v>
      </c>
      <c r="I1234" s="13" t="s">
        <v>12237</v>
      </c>
      <c r="J1234" s="5" t="s">
        <v>12238</v>
      </c>
      <c r="K1234" s="5" t="s">
        <v>12239</v>
      </c>
      <c r="L1234" s="13" t="s">
        <v>12240</v>
      </c>
      <c r="M1234" s="13" t="s">
        <v>12241</v>
      </c>
      <c r="N1234" s="5" t="n">
        <f aca="false">LEN(L1234)</f>
        <v>25</v>
      </c>
      <c r="O1234" s="5" t="n">
        <f aca="false">LEN(M1234)</f>
        <v>25</v>
      </c>
      <c r="P1234" s="14" t="n">
        <f aca="false">IF(N1234=0,"",(N1234-LEN(SUBSTITUTE(SUBSTITUTE(L1234,"G",""),"C","")))/N1234)</f>
        <v>0.48</v>
      </c>
      <c r="Q1234" s="14" t="n">
        <f aca="false">IF(O1234=0,"",(O1234-LEN(SUBSTITUTE(SUBSTITUTE(M1234,"G",""),"C","")))/O1234)</f>
        <v>0.84</v>
      </c>
      <c r="R1234" s="5" t="s">
        <v>1276</v>
      </c>
      <c r="S1234" s="15" t="s">
        <v>1677</v>
      </c>
      <c r="T1234" s="5" t="n">
        <v>76</v>
      </c>
      <c r="U1234" s="5" t="s">
        <v>1678</v>
      </c>
      <c r="V1234" s="5" t="s">
        <v>1055</v>
      </c>
      <c r="W1234" s="5"/>
      <c r="X1234" s="15" t="s">
        <v>1677</v>
      </c>
      <c r="Y1234" s="5"/>
    </row>
    <row r="1235" customFormat="false" ht="15" hidden="false" customHeight="false" outlineLevel="0" collapsed="false">
      <c r="A1235" s="5" t="s">
        <v>12242</v>
      </c>
      <c r="B1235" s="5" t="s">
        <v>1272</v>
      </c>
      <c r="C1235" s="5" t="s">
        <v>1273</v>
      </c>
      <c r="D1235" s="10" t="s">
        <v>137</v>
      </c>
      <c r="E1235" s="5" t="n">
        <v>3</v>
      </c>
      <c r="F1235" s="5" t="s">
        <v>12243</v>
      </c>
      <c r="G1235" s="13" t="s">
        <v>12244</v>
      </c>
      <c r="H1235" s="5" t="s">
        <v>12245</v>
      </c>
      <c r="I1235" s="13" t="s">
        <v>12246</v>
      </c>
      <c r="J1235" s="5" t="s">
        <v>12247</v>
      </c>
      <c r="K1235" s="5" t="s">
        <v>12248</v>
      </c>
      <c r="L1235" s="13" t="s">
        <v>12249</v>
      </c>
      <c r="M1235" s="13" t="s">
        <v>12250</v>
      </c>
      <c r="N1235" s="5" t="n">
        <f aca="false">LEN(L1235)</f>
        <v>25</v>
      </c>
      <c r="O1235" s="5" t="n">
        <f aca="false">LEN(M1235)</f>
        <v>25</v>
      </c>
      <c r="P1235" s="14" t="n">
        <f aca="false">IF(N1235=0,"",(N1235-LEN(SUBSTITUTE(SUBSTITUTE(L1235,"G",""),"C","")))/N1235)</f>
        <v>0.8</v>
      </c>
      <c r="Q1235" s="14" t="n">
        <f aca="false">IF(O1235=0,"",(O1235-LEN(SUBSTITUTE(SUBSTITUTE(M1235,"G",""),"C","")))/O1235)</f>
        <v>0.76</v>
      </c>
      <c r="R1235" s="5" t="s">
        <v>1276</v>
      </c>
      <c r="S1235" s="15" t="s">
        <v>1677</v>
      </c>
      <c r="T1235" s="5" t="n">
        <v>146</v>
      </c>
      <c r="U1235" s="5" t="s">
        <v>1678</v>
      </c>
      <c r="V1235" s="5" t="s">
        <v>1055</v>
      </c>
      <c r="W1235" s="5"/>
      <c r="X1235" s="15" t="s">
        <v>1677</v>
      </c>
      <c r="Y1235" s="5"/>
    </row>
    <row r="1236" customFormat="false" ht="15" hidden="false" customHeight="false" outlineLevel="0" collapsed="false">
      <c r="A1236" s="5" t="s">
        <v>12251</v>
      </c>
      <c r="B1236" s="5" t="s">
        <v>1272</v>
      </c>
      <c r="C1236" s="5" t="s">
        <v>1273</v>
      </c>
      <c r="D1236" s="10" t="s">
        <v>137</v>
      </c>
      <c r="E1236" s="5" t="n">
        <v>4</v>
      </c>
      <c r="F1236" s="5" t="s">
        <v>12252</v>
      </c>
      <c r="G1236" s="13" t="s">
        <v>12253</v>
      </c>
      <c r="H1236" s="5" t="s">
        <v>12254</v>
      </c>
      <c r="I1236" s="13" t="s">
        <v>12255</v>
      </c>
      <c r="J1236" s="5" t="s">
        <v>12256</v>
      </c>
      <c r="K1236" s="5" t="s">
        <v>12257</v>
      </c>
      <c r="L1236" s="13" t="s">
        <v>12258</v>
      </c>
      <c r="M1236" s="13" t="s">
        <v>12259</v>
      </c>
      <c r="N1236" s="5" t="n">
        <f aca="false">LEN(L1236)</f>
        <v>25</v>
      </c>
      <c r="O1236" s="5" t="n">
        <f aca="false">LEN(M1236)</f>
        <v>25</v>
      </c>
      <c r="P1236" s="14" t="n">
        <f aca="false">IF(N1236=0,"",(N1236-LEN(SUBSTITUTE(SUBSTITUTE(L1236,"G",""),"C","")))/N1236)</f>
        <v>0.6</v>
      </c>
      <c r="Q1236" s="14" t="n">
        <f aca="false">IF(O1236=0,"",(O1236-LEN(SUBSTITUTE(SUBSTITUTE(M1236,"G",""),"C","")))/O1236)</f>
        <v>0.6</v>
      </c>
      <c r="R1236" s="5" t="s">
        <v>1276</v>
      </c>
      <c r="S1236" s="15" t="s">
        <v>1677</v>
      </c>
      <c r="T1236" s="5" t="n">
        <v>216</v>
      </c>
      <c r="U1236" s="5" t="s">
        <v>1678</v>
      </c>
      <c r="V1236" s="5" t="s">
        <v>1055</v>
      </c>
      <c r="W1236" s="5"/>
      <c r="X1236" s="15" t="s">
        <v>1677</v>
      </c>
      <c r="Y1236" s="5"/>
    </row>
    <row r="1237" customFormat="false" ht="15" hidden="false" customHeight="false" outlineLevel="0" collapsed="false">
      <c r="A1237" s="5" t="s">
        <v>12260</v>
      </c>
      <c r="B1237" s="5" t="s">
        <v>1272</v>
      </c>
      <c r="C1237" s="5" t="s">
        <v>1273</v>
      </c>
      <c r="D1237" s="10" t="s">
        <v>137</v>
      </c>
      <c r="E1237" s="5" t="n">
        <v>5</v>
      </c>
      <c r="F1237" s="5" t="s">
        <v>12261</v>
      </c>
      <c r="G1237" s="13" t="s">
        <v>12262</v>
      </c>
      <c r="H1237" s="5" t="s">
        <v>12263</v>
      </c>
      <c r="I1237" s="13" t="s">
        <v>12264</v>
      </c>
      <c r="J1237" s="5" t="s">
        <v>12265</v>
      </c>
      <c r="K1237" s="5" t="s">
        <v>12266</v>
      </c>
      <c r="L1237" s="13" t="s">
        <v>12267</v>
      </c>
      <c r="M1237" s="13" t="s">
        <v>12268</v>
      </c>
      <c r="N1237" s="5" t="n">
        <f aca="false">LEN(L1237)</f>
        <v>25</v>
      </c>
      <c r="O1237" s="5" t="n">
        <f aca="false">LEN(M1237)</f>
        <v>25</v>
      </c>
      <c r="P1237" s="14" t="n">
        <f aca="false">IF(N1237=0,"",(N1237-LEN(SUBSTITUTE(SUBSTITUTE(L1237,"G",""),"C","")))/N1237)</f>
        <v>0.76</v>
      </c>
      <c r="Q1237" s="14" t="n">
        <f aca="false">IF(O1237=0,"",(O1237-LEN(SUBSTITUTE(SUBSTITUTE(M1237,"G",""),"C","")))/O1237)</f>
        <v>0.8</v>
      </c>
      <c r="R1237" s="5" t="s">
        <v>1276</v>
      </c>
      <c r="S1237" s="15" t="s">
        <v>1677</v>
      </c>
      <c r="T1237" s="5" t="n">
        <v>286</v>
      </c>
      <c r="U1237" s="5" t="s">
        <v>1678</v>
      </c>
      <c r="V1237" s="5" t="s">
        <v>1055</v>
      </c>
      <c r="W1237" s="5"/>
      <c r="X1237" s="15" t="s">
        <v>1677</v>
      </c>
      <c r="Y1237" s="5"/>
    </row>
    <row r="1238" customFormat="false" ht="15" hidden="false" customHeight="false" outlineLevel="0" collapsed="false">
      <c r="A1238" s="5" t="s">
        <v>12269</v>
      </c>
      <c r="B1238" s="5" t="s">
        <v>1272</v>
      </c>
      <c r="C1238" s="5" t="s">
        <v>1273</v>
      </c>
      <c r="D1238" s="10" t="s">
        <v>137</v>
      </c>
      <c r="E1238" s="5" t="n">
        <v>6</v>
      </c>
      <c r="F1238" s="5" t="s">
        <v>12270</v>
      </c>
      <c r="G1238" s="13" t="s">
        <v>12271</v>
      </c>
      <c r="H1238" s="5" t="s">
        <v>12272</v>
      </c>
      <c r="I1238" s="13" t="s">
        <v>12273</v>
      </c>
      <c r="J1238" s="5" t="s">
        <v>12274</v>
      </c>
      <c r="K1238" s="5" t="s">
        <v>12275</v>
      </c>
      <c r="L1238" s="13" t="s">
        <v>12276</v>
      </c>
      <c r="M1238" s="13" t="s">
        <v>12277</v>
      </c>
      <c r="N1238" s="5" t="n">
        <f aca="false">LEN(L1238)</f>
        <v>25</v>
      </c>
      <c r="O1238" s="5" t="n">
        <f aca="false">LEN(M1238)</f>
        <v>25</v>
      </c>
      <c r="P1238" s="14" t="n">
        <f aca="false">IF(N1238=0,"",(N1238-LEN(SUBSTITUTE(SUBSTITUTE(L1238,"G",""),"C","")))/N1238)</f>
        <v>0.68</v>
      </c>
      <c r="Q1238" s="14" t="n">
        <f aca="false">IF(O1238=0,"",(O1238-LEN(SUBSTITUTE(SUBSTITUTE(M1238,"G",""),"C","")))/O1238)</f>
        <v>0.68</v>
      </c>
      <c r="R1238" s="5" t="s">
        <v>1276</v>
      </c>
      <c r="S1238" s="15" t="s">
        <v>1677</v>
      </c>
      <c r="T1238" s="5" t="n">
        <v>356</v>
      </c>
      <c r="U1238" s="5" t="s">
        <v>1678</v>
      </c>
      <c r="V1238" s="5" t="s">
        <v>1055</v>
      </c>
      <c r="W1238" s="5"/>
      <c r="X1238" s="15" t="s">
        <v>1677</v>
      </c>
      <c r="Y1238" s="5"/>
    </row>
    <row r="1239" customFormat="false" ht="15" hidden="false" customHeight="false" outlineLevel="0" collapsed="false">
      <c r="A1239" s="5" t="s">
        <v>12278</v>
      </c>
      <c r="B1239" s="5" t="s">
        <v>1279</v>
      </c>
      <c r="C1239" s="5" t="s">
        <v>1280</v>
      </c>
      <c r="D1239" s="10" t="s">
        <v>137</v>
      </c>
      <c r="E1239" s="5" t="n">
        <v>1</v>
      </c>
      <c r="F1239" s="5" t="s">
        <v>12279</v>
      </c>
      <c r="G1239" s="13" t="s">
        <v>12280</v>
      </c>
      <c r="H1239" s="5" t="s">
        <v>12281</v>
      </c>
      <c r="I1239" s="13" t="s">
        <v>12282</v>
      </c>
      <c r="J1239" s="5" t="s">
        <v>12283</v>
      </c>
      <c r="K1239" s="5" t="s">
        <v>12284</v>
      </c>
      <c r="L1239" s="13" t="s">
        <v>12285</v>
      </c>
      <c r="M1239" s="13" t="s">
        <v>12286</v>
      </c>
      <c r="N1239" s="5" t="n">
        <f aca="false">LEN(L1239)</f>
        <v>25</v>
      </c>
      <c r="O1239" s="5" t="n">
        <f aca="false">LEN(M1239)</f>
        <v>25</v>
      </c>
      <c r="P1239" s="14" t="n">
        <f aca="false">IF(N1239=0,"",(N1239-LEN(SUBSTITUTE(SUBSTITUTE(L1239,"G",""),"C","")))/N1239)</f>
        <v>0.84</v>
      </c>
      <c r="Q1239" s="14" t="n">
        <f aca="false">IF(O1239=0,"",(O1239-LEN(SUBSTITUTE(SUBSTITUTE(M1239,"G",""),"C","")))/O1239)</f>
        <v>0.88</v>
      </c>
      <c r="R1239" s="5" t="s">
        <v>1284</v>
      </c>
      <c r="S1239" s="15" t="s">
        <v>1677</v>
      </c>
      <c r="T1239" s="5" t="n">
        <v>6</v>
      </c>
      <c r="U1239" s="5" t="s">
        <v>1678</v>
      </c>
      <c r="V1239" s="5" t="s">
        <v>1055</v>
      </c>
      <c r="W1239" s="5"/>
      <c r="X1239" s="15" t="s">
        <v>1677</v>
      </c>
      <c r="Y1239" s="5"/>
    </row>
    <row r="1240" customFormat="false" ht="15" hidden="false" customHeight="false" outlineLevel="0" collapsed="false">
      <c r="A1240" s="5" t="s">
        <v>12287</v>
      </c>
      <c r="B1240" s="5" t="s">
        <v>1279</v>
      </c>
      <c r="C1240" s="5" t="s">
        <v>1280</v>
      </c>
      <c r="D1240" s="10" t="s">
        <v>137</v>
      </c>
      <c r="E1240" s="5" t="n">
        <v>2</v>
      </c>
      <c r="F1240" s="5" t="s">
        <v>12288</v>
      </c>
      <c r="G1240" s="13" t="s">
        <v>12289</v>
      </c>
      <c r="H1240" s="5" t="s">
        <v>12290</v>
      </c>
      <c r="I1240" s="13" t="s">
        <v>12291</v>
      </c>
      <c r="J1240" s="5" t="s">
        <v>12292</v>
      </c>
      <c r="K1240" s="5" t="s">
        <v>12293</v>
      </c>
      <c r="L1240" s="13" t="s">
        <v>12294</v>
      </c>
      <c r="M1240" s="13" t="s">
        <v>12295</v>
      </c>
      <c r="N1240" s="5" t="n">
        <f aca="false">LEN(L1240)</f>
        <v>25</v>
      </c>
      <c r="O1240" s="5" t="n">
        <f aca="false">LEN(M1240)</f>
        <v>25</v>
      </c>
      <c r="P1240" s="14" t="n">
        <f aca="false">IF(N1240=0,"",(N1240-LEN(SUBSTITUTE(SUBSTITUTE(L1240,"G",""),"C","")))/N1240)</f>
        <v>0.8</v>
      </c>
      <c r="Q1240" s="14" t="n">
        <f aca="false">IF(O1240=0,"",(O1240-LEN(SUBSTITUTE(SUBSTITUTE(M1240,"G",""),"C","")))/O1240)</f>
        <v>0.92</v>
      </c>
      <c r="R1240" s="5" t="s">
        <v>1284</v>
      </c>
      <c r="S1240" s="15" t="s">
        <v>1677</v>
      </c>
      <c r="T1240" s="5" t="n">
        <v>76</v>
      </c>
      <c r="U1240" s="5" t="s">
        <v>1678</v>
      </c>
      <c r="V1240" s="5" t="s">
        <v>1055</v>
      </c>
      <c r="W1240" s="5"/>
      <c r="X1240" s="15" t="s">
        <v>1677</v>
      </c>
      <c r="Y1240" s="5"/>
    </row>
    <row r="1241" customFormat="false" ht="15" hidden="false" customHeight="false" outlineLevel="0" collapsed="false">
      <c r="A1241" s="5" t="s">
        <v>12296</v>
      </c>
      <c r="B1241" s="5" t="s">
        <v>1279</v>
      </c>
      <c r="C1241" s="5" t="s">
        <v>1280</v>
      </c>
      <c r="D1241" s="10" t="s">
        <v>137</v>
      </c>
      <c r="E1241" s="5" t="n">
        <v>3</v>
      </c>
      <c r="F1241" s="5" t="s">
        <v>12297</v>
      </c>
      <c r="G1241" s="13" t="s">
        <v>12298</v>
      </c>
      <c r="H1241" s="5" t="s">
        <v>12299</v>
      </c>
      <c r="I1241" s="13" t="s">
        <v>12300</v>
      </c>
      <c r="J1241" s="5" t="s">
        <v>12301</v>
      </c>
      <c r="K1241" s="5" t="s">
        <v>12302</v>
      </c>
      <c r="L1241" s="13" t="s">
        <v>12303</v>
      </c>
      <c r="M1241" s="13" t="s">
        <v>12304</v>
      </c>
      <c r="N1241" s="5" t="n">
        <f aca="false">LEN(L1241)</f>
        <v>25</v>
      </c>
      <c r="O1241" s="5" t="n">
        <f aca="false">LEN(M1241)</f>
        <v>25</v>
      </c>
      <c r="P1241" s="14" t="n">
        <f aca="false">IF(N1241=0,"",(N1241-LEN(SUBSTITUTE(SUBSTITUTE(L1241,"G",""),"C","")))/N1241)</f>
        <v>0.72</v>
      </c>
      <c r="Q1241" s="14" t="n">
        <f aca="false">IF(O1241=0,"",(O1241-LEN(SUBSTITUTE(SUBSTITUTE(M1241,"G",""),"C","")))/O1241)</f>
        <v>0.68</v>
      </c>
      <c r="R1241" s="5" t="s">
        <v>1284</v>
      </c>
      <c r="S1241" s="15" t="s">
        <v>1677</v>
      </c>
      <c r="T1241" s="5" t="n">
        <v>146</v>
      </c>
      <c r="U1241" s="5" t="s">
        <v>1678</v>
      </c>
      <c r="V1241" s="5" t="s">
        <v>1055</v>
      </c>
      <c r="W1241" s="5"/>
      <c r="X1241" s="15" t="s">
        <v>1677</v>
      </c>
      <c r="Y1241" s="5"/>
    </row>
    <row r="1242" customFormat="false" ht="15" hidden="false" customHeight="false" outlineLevel="0" collapsed="false">
      <c r="A1242" s="5" t="s">
        <v>12305</v>
      </c>
      <c r="B1242" s="5" t="s">
        <v>1279</v>
      </c>
      <c r="C1242" s="5" t="s">
        <v>1280</v>
      </c>
      <c r="D1242" s="10" t="s">
        <v>137</v>
      </c>
      <c r="E1242" s="5" t="n">
        <v>4</v>
      </c>
      <c r="F1242" s="5" t="s">
        <v>12306</v>
      </c>
      <c r="G1242" s="13" t="s">
        <v>12307</v>
      </c>
      <c r="H1242" s="5" t="s">
        <v>12308</v>
      </c>
      <c r="I1242" s="13" t="s">
        <v>12309</v>
      </c>
      <c r="J1242" s="5" t="s">
        <v>12310</v>
      </c>
      <c r="K1242" s="5" t="s">
        <v>12311</v>
      </c>
      <c r="L1242" s="13" t="s">
        <v>12312</v>
      </c>
      <c r="M1242" s="13" t="s">
        <v>12313</v>
      </c>
      <c r="N1242" s="5" t="n">
        <f aca="false">LEN(L1242)</f>
        <v>25</v>
      </c>
      <c r="O1242" s="5" t="n">
        <f aca="false">LEN(M1242)</f>
        <v>25</v>
      </c>
      <c r="P1242" s="14" t="n">
        <f aca="false">IF(N1242=0,"",(N1242-LEN(SUBSTITUTE(SUBSTITUTE(L1242,"G",""),"C","")))/N1242)</f>
        <v>0.6</v>
      </c>
      <c r="Q1242" s="14" t="n">
        <f aca="false">IF(O1242=0,"",(O1242-LEN(SUBSTITUTE(SUBSTITUTE(M1242,"G",""),"C","")))/O1242)</f>
        <v>0.6</v>
      </c>
      <c r="R1242" s="5" t="s">
        <v>1284</v>
      </c>
      <c r="S1242" s="15" t="s">
        <v>1677</v>
      </c>
      <c r="T1242" s="5" t="n">
        <v>216</v>
      </c>
      <c r="U1242" s="5" t="s">
        <v>1678</v>
      </c>
      <c r="V1242" s="5" t="s">
        <v>1055</v>
      </c>
      <c r="W1242" s="5"/>
      <c r="X1242" s="15" t="s">
        <v>1677</v>
      </c>
      <c r="Y1242" s="5"/>
    </row>
    <row r="1243" customFormat="false" ht="15" hidden="false" customHeight="false" outlineLevel="0" collapsed="false">
      <c r="A1243" s="5" t="s">
        <v>12314</v>
      </c>
      <c r="B1243" s="5" t="s">
        <v>1279</v>
      </c>
      <c r="C1243" s="5" t="s">
        <v>1280</v>
      </c>
      <c r="D1243" s="10" t="s">
        <v>137</v>
      </c>
      <c r="E1243" s="5" t="n">
        <v>5</v>
      </c>
      <c r="F1243" s="5" t="s">
        <v>12315</v>
      </c>
      <c r="G1243" s="13" t="s">
        <v>12316</v>
      </c>
      <c r="H1243" s="5" t="s">
        <v>12317</v>
      </c>
      <c r="I1243" s="13" t="s">
        <v>12318</v>
      </c>
      <c r="J1243" s="5" t="s">
        <v>12319</v>
      </c>
      <c r="K1243" s="5" t="s">
        <v>12320</v>
      </c>
      <c r="L1243" s="13" t="s">
        <v>12321</v>
      </c>
      <c r="M1243" s="13" t="s">
        <v>12322</v>
      </c>
      <c r="N1243" s="5" t="n">
        <f aca="false">LEN(L1243)</f>
        <v>25</v>
      </c>
      <c r="O1243" s="5" t="n">
        <f aca="false">LEN(M1243)</f>
        <v>25</v>
      </c>
      <c r="P1243" s="14" t="n">
        <f aca="false">IF(N1243=0,"",(N1243-LEN(SUBSTITUTE(SUBSTITUTE(L1243,"G",""),"C","")))/N1243)</f>
        <v>0.84</v>
      </c>
      <c r="Q1243" s="14" t="n">
        <f aca="false">IF(O1243=0,"",(O1243-LEN(SUBSTITUTE(SUBSTITUTE(M1243,"G",""),"C","")))/O1243)</f>
        <v>0.68</v>
      </c>
      <c r="R1243" s="5" t="s">
        <v>1284</v>
      </c>
      <c r="S1243" s="15" t="s">
        <v>1677</v>
      </c>
      <c r="T1243" s="5" t="n">
        <v>286</v>
      </c>
      <c r="U1243" s="5" t="s">
        <v>1678</v>
      </c>
      <c r="V1243" s="5" t="s">
        <v>1055</v>
      </c>
      <c r="W1243" s="5"/>
      <c r="X1243" s="15" t="s">
        <v>1677</v>
      </c>
      <c r="Y1243" s="5"/>
    </row>
    <row r="1244" customFormat="false" ht="15" hidden="false" customHeight="false" outlineLevel="0" collapsed="false">
      <c r="A1244" s="5" t="s">
        <v>12323</v>
      </c>
      <c r="B1244" s="5" t="s">
        <v>1279</v>
      </c>
      <c r="C1244" s="5" t="s">
        <v>1280</v>
      </c>
      <c r="D1244" s="10" t="s">
        <v>137</v>
      </c>
      <c r="E1244" s="5" t="n">
        <v>6</v>
      </c>
      <c r="F1244" s="5" t="s">
        <v>12324</v>
      </c>
      <c r="G1244" s="13" t="s">
        <v>12325</v>
      </c>
      <c r="H1244" s="5" t="s">
        <v>12326</v>
      </c>
      <c r="I1244" s="13" t="s">
        <v>12327</v>
      </c>
      <c r="J1244" s="5" t="s">
        <v>12328</v>
      </c>
      <c r="K1244" s="5" t="s">
        <v>12329</v>
      </c>
      <c r="L1244" s="13" t="s">
        <v>12330</v>
      </c>
      <c r="M1244" s="13" t="s">
        <v>12331</v>
      </c>
      <c r="N1244" s="5" t="n">
        <f aca="false">LEN(L1244)</f>
        <v>25</v>
      </c>
      <c r="O1244" s="5" t="n">
        <f aca="false">LEN(M1244)</f>
        <v>25</v>
      </c>
      <c r="P1244" s="14" t="n">
        <f aca="false">IF(N1244=0,"",(N1244-LEN(SUBSTITUTE(SUBSTITUTE(L1244,"G",""),"C","")))/N1244)</f>
        <v>0.56</v>
      </c>
      <c r="Q1244" s="14" t="n">
        <f aca="false">IF(O1244=0,"",(O1244-LEN(SUBSTITUTE(SUBSTITUTE(M1244,"G",""),"C","")))/O1244)</f>
        <v>0.48</v>
      </c>
      <c r="R1244" s="5" t="s">
        <v>1284</v>
      </c>
      <c r="S1244" s="15" t="s">
        <v>1677</v>
      </c>
      <c r="T1244" s="5" t="n">
        <v>356</v>
      </c>
      <c r="U1244" s="5" t="s">
        <v>1678</v>
      </c>
      <c r="V1244" s="5" t="s">
        <v>1055</v>
      </c>
      <c r="W1244" s="5"/>
      <c r="X1244" s="15" t="s">
        <v>1677</v>
      </c>
      <c r="Y1244" s="5"/>
    </row>
    <row r="1245" customFormat="false" ht="15" hidden="false" customHeight="false" outlineLevel="0" collapsed="false">
      <c r="A1245" s="5" t="s">
        <v>12332</v>
      </c>
      <c r="B1245" s="5" t="s">
        <v>1287</v>
      </c>
      <c r="C1245" s="5" t="s">
        <v>1288</v>
      </c>
      <c r="D1245" s="10" t="s">
        <v>137</v>
      </c>
      <c r="E1245" s="5" t="n">
        <v>1</v>
      </c>
      <c r="F1245" s="5" t="s">
        <v>12333</v>
      </c>
      <c r="G1245" s="13" t="s">
        <v>12334</v>
      </c>
      <c r="H1245" s="5" t="s">
        <v>12335</v>
      </c>
      <c r="I1245" s="13" t="s">
        <v>12336</v>
      </c>
      <c r="J1245" s="5" t="s">
        <v>12337</v>
      </c>
      <c r="K1245" s="5" t="s">
        <v>12338</v>
      </c>
      <c r="L1245" s="13" t="s">
        <v>12339</v>
      </c>
      <c r="M1245" s="13" t="s">
        <v>12340</v>
      </c>
      <c r="N1245" s="5" t="n">
        <f aca="false">LEN(L1245)</f>
        <v>25</v>
      </c>
      <c r="O1245" s="5" t="n">
        <f aca="false">LEN(M1245)</f>
        <v>25</v>
      </c>
      <c r="P1245" s="14" t="n">
        <f aca="false">IF(N1245=0,"",(N1245-LEN(SUBSTITUTE(SUBSTITUTE(L1245,"G",""),"C","")))/N1245)</f>
        <v>0.36</v>
      </c>
      <c r="Q1245" s="14" t="n">
        <f aca="false">IF(O1245=0,"",(O1245-LEN(SUBSTITUTE(SUBSTITUTE(M1245,"G",""),"C","")))/O1245)</f>
        <v>0.44</v>
      </c>
      <c r="R1245" s="5" t="s">
        <v>1292</v>
      </c>
      <c r="S1245" s="15" t="s">
        <v>1677</v>
      </c>
      <c r="T1245" s="5" t="n">
        <v>426</v>
      </c>
      <c r="U1245" s="5" t="s">
        <v>1678</v>
      </c>
      <c r="V1245" s="5" t="s">
        <v>1055</v>
      </c>
      <c r="W1245" s="5"/>
      <c r="X1245" s="15" t="s">
        <v>1677</v>
      </c>
      <c r="Y1245" s="5"/>
    </row>
    <row r="1246" customFormat="false" ht="15" hidden="false" customHeight="false" outlineLevel="0" collapsed="false">
      <c r="A1246" s="5" t="s">
        <v>12341</v>
      </c>
      <c r="B1246" s="5" t="s">
        <v>1287</v>
      </c>
      <c r="C1246" s="5" t="s">
        <v>1288</v>
      </c>
      <c r="D1246" s="10" t="s">
        <v>137</v>
      </c>
      <c r="E1246" s="5" t="n">
        <v>2</v>
      </c>
      <c r="F1246" s="5" t="s">
        <v>12342</v>
      </c>
      <c r="G1246" s="13" t="s">
        <v>12343</v>
      </c>
      <c r="H1246" s="5" t="s">
        <v>12344</v>
      </c>
      <c r="I1246" s="13" t="s">
        <v>12345</v>
      </c>
      <c r="J1246" s="5" t="s">
        <v>12346</v>
      </c>
      <c r="K1246" s="5" t="s">
        <v>12347</v>
      </c>
      <c r="L1246" s="13" t="s">
        <v>12348</v>
      </c>
      <c r="M1246" s="13" t="s">
        <v>12349</v>
      </c>
      <c r="N1246" s="5" t="n">
        <f aca="false">LEN(L1246)</f>
        <v>25</v>
      </c>
      <c r="O1246" s="5" t="n">
        <f aca="false">LEN(M1246)</f>
        <v>25</v>
      </c>
      <c r="P1246" s="14" t="n">
        <f aca="false">IF(N1246=0,"",(N1246-LEN(SUBSTITUTE(SUBSTITUTE(L1246,"G",""),"C","")))/N1246)</f>
        <v>0.28</v>
      </c>
      <c r="Q1246" s="14" t="n">
        <f aca="false">IF(O1246=0,"",(O1246-LEN(SUBSTITUTE(SUBSTITUTE(M1246,"G",""),"C","")))/O1246)</f>
        <v>0.44</v>
      </c>
      <c r="R1246" s="5" t="s">
        <v>1292</v>
      </c>
      <c r="S1246" s="15" t="s">
        <v>1677</v>
      </c>
      <c r="T1246" s="5" t="n">
        <v>496</v>
      </c>
      <c r="U1246" s="5" t="s">
        <v>1678</v>
      </c>
      <c r="V1246" s="5" t="s">
        <v>1055</v>
      </c>
      <c r="W1246" s="5"/>
      <c r="X1246" s="15" t="s">
        <v>1677</v>
      </c>
      <c r="Y1246" s="5"/>
    </row>
    <row r="1247" customFormat="false" ht="15" hidden="false" customHeight="false" outlineLevel="0" collapsed="false">
      <c r="A1247" s="5" t="s">
        <v>12350</v>
      </c>
      <c r="B1247" s="5" t="s">
        <v>1287</v>
      </c>
      <c r="C1247" s="5" t="s">
        <v>1288</v>
      </c>
      <c r="D1247" s="10" t="s">
        <v>137</v>
      </c>
      <c r="E1247" s="5" t="n">
        <v>3</v>
      </c>
      <c r="F1247" s="5" t="s">
        <v>12351</v>
      </c>
      <c r="G1247" s="13" t="s">
        <v>12352</v>
      </c>
      <c r="H1247" s="5" t="s">
        <v>12353</v>
      </c>
      <c r="I1247" s="13" t="s">
        <v>12354</v>
      </c>
      <c r="J1247" s="5" t="s">
        <v>12355</v>
      </c>
      <c r="K1247" s="5" t="s">
        <v>12356</v>
      </c>
      <c r="L1247" s="13" t="s">
        <v>12357</v>
      </c>
      <c r="M1247" s="13" t="s">
        <v>12358</v>
      </c>
      <c r="N1247" s="5" t="n">
        <f aca="false">LEN(L1247)</f>
        <v>25</v>
      </c>
      <c r="O1247" s="5" t="n">
        <f aca="false">LEN(M1247)</f>
        <v>25</v>
      </c>
      <c r="P1247" s="14" t="n">
        <f aca="false">IF(N1247=0,"",(N1247-LEN(SUBSTITUTE(SUBSTITUTE(L1247,"G",""),"C","")))/N1247)</f>
        <v>0.32</v>
      </c>
      <c r="Q1247" s="14" t="n">
        <f aca="false">IF(O1247=0,"",(O1247-LEN(SUBSTITUTE(SUBSTITUTE(M1247,"G",""),"C","")))/O1247)</f>
        <v>0.36</v>
      </c>
      <c r="R1247" s="5" t="s">
        <v>1292</v>
      </c>
      <c r="S1247" s="15" t="s">
        <v>1677</v>
      </c>
      <c r="T1247" s="5" t="n">
        <v>566</v>
      </c>
      <c r="U1247" s="5" t="s">
        <v>1678</v>
      </c>
      <c r="V1247" s="5" t="s">
        <v>1055</v>
      </c>
      <c r="W1247" s="5"/>
      <c r="X1247" s="15" t="s">
        <v>1677</v>
      </c>
      <c r="Y1247" s="5"/>
    </row>
    <row r="1248" customFormat="false" ht="15" hidden="false" customHeight="false" outlineLevel="0" collapsed="false">
      <c r="A1248" s="5" t="s">
        <v>12359</v>
      </c>
      <c r="B1248" s="5" t="s">
        <v>1287</v>
      </c>
      <c r="C1248" s="5" t="s">
        <v>1288</v>
      </c>
      <c r="D1248" s="10" t="s">
        <v>137</v>
      </c>
      <c r="E1248" s="5" t="n">
        <v>4</v>
      </c>
      <c r="F1248" s="5" t="s">
        <v>12360</v>
      </c>
      <c r="G1248" s="13" t="s">
        <v>12361</v>
      </c>
      <c r="H1248" s="5" t="s">
        <v>12362</v>
      </c>
      <c r="I1248" s="13" t="s">
        <v>12363</v>
      </c>
      <c r="J1248" s="5" t="s">
        <v>12364</v>
      </c>
      <c r="K1248" s="5" t="s">
        <v>12365</v>
      </c>
      <c r="L1248" s="13" t="s">
        <v>12366</v>
      </c>
      <c r="M1248" s="13" t="s">
        <v>12367</v>
      </c>
      <c r="N1248" s="5" t="n">
        <f aca="false">LEN(L1248)</f>
        <v>25</v>
      </c>
      <c r="O1248" s="5" t="n">
        <f aca="false">LEN(M1248)</f>
        <v>25</v>
      </c>
      <c r="P1248" s="14" t="n">
        <f aca="false">IF(N1248=0,"",(N1248-LEN(SUBSTITUTE(SUBSTITUTE(L1248,"G",""),"C","")))/N1248)</f>
        <v>0.36</v>
      </c>
      <c r="Q1248" s="14" t="n">
        <f aca="false">IF(O1248=0,"",(O1248-LEN(SUBSTITUTE(SUBSTITUTE(M1248,"G",""),"C","")))/O1248)</f>
        <v>0.36</v>
      </c>
      <c r="R1248" s="5" t="s">
        <v>1292</v>
      </c>
      <c r="S1248" s="15" t="s">
        <v>1677</v>
      </c>
      <c r="T1248" s="5" t="n">
        <v>636</v>
      </c>
      <c r="U1248" s="5" t="s">
        <v>1678</v>
      </c>
      <c r="V1248" s="5" t="s">
        <v>1055</v>
      </c>
      <c r="W1248" s="5"/>
      <c r="X1248" s="15" t="s">
        <v>1677</v>
      </c>
      <c r="Y1248" s="5"/>
    </row>
    <row r="1249" customFormat="false" ht="15" hidden="false" customHeight="false" outlineLevel="0" collapsed="false">
      <c r="A1249" s="5" t="s">
        <v>12368</v>
      </c>
      <c r="B1249" s="5" t="s">
        <v>1287</v>
      </c>
      <c r="C1249" s="5" t="s">
        <v>1288</v>
      </c>
      <c r="D1249" s="10" t="s">
        <v>137</v>
      </c>
      <c r="E1249" s="5" t="n">
        <v>5</v>
      </c>
      <c r="F1249" s="5" t="s">
        <v>12369</v>
      </c>
      <c r="G1249" s="13" t="s">
        <v>12370</v>
      </c>
      <c r="H1249" s="5" t="s">
        <v>12371</v>
      </c>
      <c r="I1249" s="13" t="s">
        <v>12372</v>
      </c>
      <c r="J1249" s="5" t="s">
        <v>12373</v>
      </c>
      <c r="K1249" s="5" t="s">
        <v>12374</v>
      </c>
      <c r="L1249" s="13" t="s">
        <v>12375</v>
      </c>
      <c r="M1249" s="13" t="s">
        <v>12376</v>
      </c>
      <c r="N1249" s="5" t="n">
        <f aca="false">LEN(L1249)</f>
        <v>25</v>
      </c>
      <c r="O1249" s="5" t="n">
        <f aca="false">LEN(M1249)</f>
        <v>25</v>
      </c>
      <c r="P1249" s="14" t="n">
        <f aca="false">IF(N1249=0,"",(N1249-LEN(SUBSTITUTE(SUBSTITUTE(L1249,"G",""),"C","")))/N1249)</f>
        <v>0.36</v>
      </c>
      <c r="Q1249" s="14" t="n">
        <f aca="false">IF(O1249=0,"",(O1249-LEN(SUBSTITUTE(SUBSTITUTE(M1249,"G",""),"C","")))/O1249)</f>
        <v>0.32</v>
      </c>
      <c r="R1249" s="5" t="s">
        <v>1292</v>
      </c>
      <c r="S1249" s="15" t="s">
        <v>1677</v>
      </c>
      <c r="T1249" s="5" t="n">
        <v>706</v>
      </c>
      <c r="U1249" s="5" t="s">
        <v>1678</v>
      </c>
      <c r="V1249" s="5" t="s">
        <v>1055</v>
      </c>
      <c r="W1249" s="5"/>
      <c r="X1249" s="15" t="s">
        <v>1677</v>
      </c>
      <c r="Y1249" s="5"/>
    </row>
    <row r="1250" customFormat="false" ht="15" hidden="false" customHeight="false" outlineLevel="0" collapsed="false">
      <c r="A1250" s="5" t="s">
        <v>12377</v>
      </c>
      <c r="B1250" s="5" t="s">
        <v>1287</v>
      </c>
      <c r="C1250" s="5" t="s">
        <v>1288</v>
      </c>
      <c r="D1250" s="10" t="s">
        <v>137</v>
      </c>
      <c r="E1250" s="5" t="n">
        <v>6</v>
      </c>
      <c r="F1250" s="5" t="s">
        <v>12378</v>
      </c>
      <c r="G1250" s="13" t="s">
        <v>12379</v>
      </c>
      <c r="H1250" s="5" t="s">
        <v>12380</v>
      </c>
      <c r="I1250" s="13" t="s">
        <v>12381</v>
      </c>
      <c r="J1250" s="5" t="s">
        <v>12382</v>
      </c>
      <c r="K1250" s="5" t="s">
        <v>12383</v>
      </c>
      <c r="L1250" s="13" t="s">
        <v>12384</v>
      </c>
      <c r="M1250" s="13" t="s">
        <v>12385</v>
      </c>
      <c r="N1250" s="5" t="n">
        <f aca="false">LEN(L1250)</f>
        <v>25</v>
      </c>
      <c r="O1250" s="5" t="n">
        <f aca="false">LEN(M1250)</f>
        <v>25</v>
      </c>
      <c r="P1250" s="14" t="n">
        <f aca="false">IF(N1250=0,"",(N1250-LEN(SUBSTITUTE(SUBSTITUTE(L1250,"G",""),"C","")))/N1250)</f>
        <v>0.28</v>
      </c>
      <c r="Q1250" s="14" t="n">
        <f aca="false">IF(O1250=0,"",(O1250-LEN(SUBSTITUTE(SUBSTITUTE(M1250,"G",""),"C","")))/O1250)</f>
        <v>0.36</v>
      </c>
      <c r="R1250" s="5" t="s">
        <v>1292</v>
      </c>
      <c r="S1250" s="15" t="s">
        <v>1677</v>
      </c>
      <c r="T1250" s="5" t="n">
        <v>776</v>
      </c>
      <c r="U1250" s="5" t="s">
        <v>1678</v>
      </c>
      <c r="V1250" s="5" t="s">
        <v>1055</v>
      </c>
      <c r="W1250" s="5"/>
      <c r="X1250" s="15" t="s">
        <v>1677</v>
      </c>
      <c r="Y1250" s="5"/>
    </row>
    <row r="1251" customFormat="false" ht="15" hidden="false" customHeight="false" outlineLevel="0" collapsed="false">
      <c r="A1251" s="5" t="s">
        <v>12386</v>
      </c>
      <c r="B1251" s="5" t="s">
        <v>1294</v>
      </c>
      <c r="C1251" s="5" t="s">
        <v>1019</v>
      </c>
      <c r="D1251" s="10" t="s">
        <v>137</v>
      </c>
      <c r="E1251" s="5" t="n">
        <v>1</v>
      </c>
      <c r="F1251" s="5" t="s">
        <v>12387</v>
      </c>
      <c r="G1251" s="13" t="s">
        <v>12388</v>
      </c>
      <c r="H1251" s="5" t="s">
        <v>12389</v>
      </c>
      <c r="I1251" s="13" t="s">
        <v>12390</v>
      </c>
      <c r="J1251" s="5" t="s">
        <v>12391</v>
      </c>
      <c r="K1251" s="5" t="s">
        <v>12392</v>
      </c>
      <c r="L1251" s="13" t="s">
        <v>9619</v>
      </c>
      <c r="M1251" s="13" t="s">
        <v>9620</v>
      </c>
      <c r="N1251" s="5" t="n">
        <f aca="false">LEN(L1251)</f>
        <v>25</v>
      </c>
      <c r="O1251" s="5" t="n">
        <f aca="false">LEN(M1251)</f>
        <v>25</v>
      </c>
      <c r="P1251" s="14" t="n">
        <f aca="false">IF(N1251=0,"",(N1251-LEN(SUBSTITUTE(SUBSTITUTE(L1251,"G",""),"C","")))/N1251)</f>
        <v>0.4</v>
      </c>
      <c r="Q1251" s="14" t="n">
        <f aca="false">IF(O1251=0,"",(O1251-LEN(SUBSTITUTE(SUBSTITUTE(M1251,"G",""),"C","")))/O1251)</f>
        <v>0.52</v>
      </c>
      <c r="R1251" s="5" t="s">
        <v>1022</v>
      </c>
      <c r="S1251" s="15" t="s">
        <v>1677</v>
      </c>
      <c r="T1251" s="5" t="n">
        <v>72</v>
      </c>
      <c r="U1251" s="5" t="s">
        <v>1678</v>
      </c>
      <c r="V1251" s="5" t="s">
        <v>1055</v>
      </c>
      <c r="W1251" s="5"/>
      <c r="X1251" s="15" t="s">
        <v>1677</v>
      </c>
      <c r="Y1251" s="5"/>
    </row>
    <row r="1252" customFormat="false" ht="15" hidden="false" customHeight="false" outlineLevel="0" collapsed="false">
      <c r="A1252" s="5" t="s">
        <v>12393</v>
      </c>
      <c r="B1252" s="5" t="s">
        <v>1294</v>
      </c>
      <c r="C1252" s="5" t="s">
        <v>1019</v>
      </c>
      <c r="D1252" s="10" t="s">
        <v>137</v>
      </c>
      <c r="E1252" s="5" t="n">
        <v>2</v>
      </c>
      <c r="F1252" s="5" t="s">
        <v>12394</v>
      </c>
      <c r="G1252" s="13" t="s">
        <v>12395</v>
      </c>
      <c r="H1252" s="5" t="s">
        <v>12396</v>
      </c>
      <c r="I1252" s="13" t="s">
        <v>12397</v>
      </c>
      <c r="J1252" s="5" t="s">
        <v>12398</v>
      </c>
      <c r="K1252" s="5" t="s">
        <v>12399</v>
      </c>
      <c r="L1252" s="13" t="s">
        <v>9628</v>
      </c>
      <c r="M1252" s="13" t="s">
        <v>9629</v>
      </c>
      <c r="N1252" s="5" t="n">
        <f aca="false">LEN(L1252)</f>
        <v>25</v>
      </c>
      <c r="O1252" s="5" t="n">
        <f aca="false">LEN(M1252)</f>
        <v>25</v>
      </c>
      <c r="P1252" s="14" t="n">
        <f aca="false">IF(N1252=0,"",(N1252-LEN(SUBSTITUTE(SUBSTITUTE(L1252,"G",""),"C","")))/N1252)</f>
        <v>0.48</v>
      </c>
      <c r="Q1252" s="14" t="n">
        <f aca="false">IF(O1252=0,"",(O1252-LEN(SUBSTITUTE(SUBSTITUTE(M1252,"G",""),"C","")))/O1252)</f>
        <v>0.48</v>
      </c>
      <c r="R1252" s="5" t="s">
        <v>1022</v>
      </c>
      <c r="S1252" s="15" t="s">
        <v>1677</v>
      </c>
      <c r="T1252" s="5" t="n">
        <v>140</v>
      </c>
      <c r="U1252" s="5" t="s">
        <v>1678</v>
      </c>
      <c r="V1252" s="5" t="s">
        <v>1055</v>
      </c>
      <c r="W1252" s="5"/>
      <c r="X1252" s="8" t="s">
        <v>1914</v>
      </c>
      <c r="Y1252" s="5"/>
    </row>
    <row r="1253" customFormat="false" ht="15" hidden="false" customHeight="false" outlineLevel="0" collapsed="false">
      <c r="A1253" s="5" t="s">
        <v>12400</v>
      </c>
      <c r="B1253" s="5" t="s">
        <v>1294</v>
      </c>
      <c r="C1253" s="5" t="s">
        <v>1019</v>
      </c>
      <c r="D1253" s="10" t="s">
        <v>137</v>
      </c>
      <c r="E1253" s="5" t="n">
        <v>3</v>
      </c>
      <c r="F1253" s="5" t="s">
        <v>12401</v>
      </c>
      <c r="G1253" s="13" t="s">
        <v>12402</v>
      </c>
      <c r="H1253" s="5" t="s">
        <v>12403</v>
      </c>
      <c r="I1253" s="13" t="s">
        <v>12404</v>
      </c>
      <c r="J1253" s="5" t="s">
        <v>12405</v>
      </c>
      <c r="K1253" s="5" t="s">
        <v>12406</v>
      </c>
      <c r="L1253" s="13" t="s">
        <v>9637</v>
      </c>
      <c r="M1253" s="13" t="s">
        <v>9638</v>
      </c>
      <c r="N1253" s="5" t="n">
        <f aca="false">LEN(L1253)</f>
        <v>25</v>
      </c>
      <c r="O1253" s="5" t="n">
        <f aca="false">LEN(M1253)</f>
        <v>25</v>
      </c>
      <c r="P1253" s="14" t="n">
        <f aca="false">IF(N1253=0,"",(N1253-LEN(SUBSTITUTE(SUBSTITUTE(L1253,"G",""),"C","")))/N1253)</f>
        <v>0.64</v>
      </c>
      <c r="Q1253" s="14" t="n">
        <f aca="false">IF(O1253=0,"",(O1253-LEN(SUBSTITUTE(SUBSTITUTE(M1253,"G",""),"C","")))/O1253)</f>
        <v>0.48</v>
      </c>
      <c r="R1253" s="5" t="s">
        <v>1022</v>
      </c>
      <c r="S1253" s="15" t="s">
        <v>1677</v>
      </c>
      <c r="T1253" s="5" t="n">
        <v>272</v>
      </c>
      <c r="U1253" s="5" t="s">
        <v>1678</v>
      </c>
      <c r="V1253" s="5" t="s">
        <v>1055</v>
      </c>
      <c r="W1253" s="5"/>
      <c r="X1253" s="8" t="s">
        <v>1914</v>
      </c>
      <c r="Y1253" s="5"/>
    </row>
    <row r="1254" customFormat="false" ht="15" hidden="false" customHeight="false" outlineLevel="0" collapsed="false">
      <c r="A1254" s="5" t="s">
        <v>12407</v>
      </c>
      <c r="B1254" s="5" t="s">
        <v>1294</v>
      </c>
      <c r="C1254" s="5" t="s">
        <v>1019</v>
      </c>
      <c r="D1254" s="10" t="s">
        <v>137</v>
      </c>
      <c r="E1254" s="5" t="n">
        <v>4</v>
      </c>
      <c r="F1254" s="5" t="s">
        <v>12408</v>
      </c>
      <c r="G1254" s="13" t="s">
        <v>12409</v>
      </c>
      <c r="H1254" s="5" t="s">
        <v>12410</v>
      </c>
      <c r="I1254" s="13" t="s">
        <v>12411</v>
      </c>
      <c r="J1254" s="5" t="s">
        <v>12412</v>
      </c>
      <c r="K1254" s="5" t="s">
        <v>12413</v>
      </c>
      <c r="L1254" s="13" t="s">
        <v>9646</v>
      </c>
      <c r="M1254" s="13" t="s">
        <v>9647</v>
      </c>
      <c r="N1254" s="5" t="n">
        <f aca="false">LEN(L1254)</f>
        <v>25</v>
      </c>
      <c r="O1254" s="5" t="n">
        <f aca="false">LEN(M1254)</f>
        <v>25</v>
      </c>
      <c r="P1254" s="14" t="n">
        <f aca="false">IF(N1254=0,"",(N1254-LEN(SUBSTITUTE(SUBSTITUTE(L1254,"G",""),"C","")))/N1254)</f>
        <v>0.6</v>
      </c>
      <c r="Q1254" s="14" t="n">
        <f aca="false">IF(O1254=0,"",(O1254-LEN(SUBSTITUTE(SUBSTITUTE(M1254,"G",""),"C","")))/O1254)</f>
        <v>0.64</v>
      </c>
      <c r="R1254" s="5" t="s">
        <v>1022</v>
      </c>
      <c r="S1254" s="15" t="s">
        <v>1677</v>
      </c>
      <c r="T1254" s="5" t="n">
        <v>339</v>
      </c>
      <c r="U1254" s="5" t="s">
        <v>1678</v>
      </c>
      <c r="V1254" s="5" t="s">
        <v>1055</v>
      </c>
      <c r="W1254" s="5"/>
      <c r="X1254" s="8" t="s">
        <v>1914</v>
      </c>
      <c r="Y1254" s="5"/>
    </row>
    <row r="1255" customFormat="false" ht="15" hidden="false" customHeight="false" outlineLevel="0" collapsed="false">
      <c r="A1255" s="5" t="s">
        <v>12414</v>
      </c>
      <c r="B1255" s="5" t="s">
        <v>1294</v>
      </c>
      <c r="C1255" s="5" t="s">
        <v>1019</v>
      </c>
      <c r="D1255" s="10" t="s">
        <v>137</v>
      </c>
      <c r="E1255" s="5" t="n">
        <v>5</v>
      </c>
      <c r="F1255" s="5" t="s">
        <v>12415</v>
      </c>
      <c r="G1255" s="13" t="s">
        <v>12416</v>
      </c>
      <c r="H1255" s="5" t="s">
        <v>12417</v>
      </c>
      <c r="I1255" s="13" t="s">
        <v>12418</v>
      </c>
      <c r="J1255" s="5" t="s">
        <v>12419</v>
      </c>
      <c r="K1255" s="5" t="s">
        <v>12420</v>
      </c>
      <c r="L1255" s="13" t="s">
        <v>9655</v>
      </c>
      <c r="M1255" s="13" t="s">
        <v>9656</v>
      </c>
      <c r="N1255" s="5" t="n">
        <f aca="false">LEN(L1255)</f>
        <v>25</v>
      </c>
      <c r="O1255" s="5" t="n">
        <f aca="false">LEN(M1255)</f>
        <v>25</v>
      </c>
      <c r="P1255" s="14" t="n">
        <f aca="false">IF(N1255=0,"",(N1255-LEN(SUBSTITUTE(SUBSTITUTE(L1255,"G",""),"C","")))/N1255)</f>
        <v>0.72</v>
      </c>
      <c r="Q1255" s="14" t="n">
        <f aca="false">IF(O1255=0,"",(O1255-LEN(SUBSTITUTE(SUBSTITUTE(M1255,"G",""),"C","")))/O1255)</f>
        <v>0.6</v>
      </c>
      <c r="R1255" s="5" t="s">
        <v>1022</v>
      </c>
      <c r="S1255" s="15" t="s">
        <v>1677</v>
      </c>
      <c r="T1255" s="5" t="n">
        <v>470</v>
      </c>
      <c r="U1255" s="5" t="s">
        <v>1678</v>
      </c>
      <c r="V1255" s="5" t="s">
        <v>1055</v>
      </c>
      <c r="W1255" s="5"/>
      <c r="X1255" s="15" t="s">
        <v>1677</v>
      </c>
      <c r="Y1255" s="5"/>
    </row>
    <row r="1256" customFormat="false" ht="15" hidden="false" customHeight="false" outlineLevel="0" collapsed="false">
      <c r="A1256" s="5" t="s">
        <v>12421</v>
      </c>
      <c r="B1256" s="5" t="s">
        <v>1294</v>
      </c>
      <c r="C1256" s="5" t="s">
        <v>1019</v>
      </c>
      <c r="D1256" s="10" t="s">
        <v>137</v>
      </c>
      <c r="E1256" s="5" t="n">
        <v>6</v>
      </c>
      <c r="F1256" s="5" t="s">
        <v>12422</v>
      </c>
      <c r="G1256" s="13" t="s">
        <v>12423</v>
      </c>
      <c r="H1256" s="5" t="s">
        <v>12424</v>
      </c>
      <c r="I1256" s="13" t="s">
        <v>12425</v>
      </c>
      <c r="J1256" s="5" t="s">
        <v>12426</v>
      </c>
      <c r="K1256" s="5" t="s">
        <v>12427</v>
      </c>
      <c r="L1256" s="13" t="s">
        <v>9664</v>
      </c>
      <c r="M1256" s="13" t="s">
        <v>9665</v>
      </c>
      <c r="N1256" s="5" t="n">
        <f aca="false">LEN(L1256)</f>
        <v>25</v>
      </c>
      <c r="O1256" s="5" t="n">
        <f aca="false">LEN(M1256)</f>
        <v>25</v>
      </c>
      <c r="P1256" s="14" t="n">
        <f aca="false">IF(N1256=0,"",(N1256-LEN(SUBSTITUTE(SUBSTITUTE(L1256,"G",""),"C","")))/N1256)</f>
        <v>0.44</v>
      </c>
      <c r="Q1256" s="14" t="n">
        <f aca="false">IF(O1256=0,"",(O1256-LEN(SUBSTITUTE(SUBSTITUTE(M1256,"G",""),"C","")))/O1256)</f>
        <v>0.52</v>
      </c>
      <c r="R1256" s="5" t="s">
        <v>1022</v>
      </c>
      <c r="S1256" s="15" t="s">
        <v>1677</v>
      </c>
      <c r="T1256" s="5" t="n">
        <v>536</v>
      </c>
      <c r="U1256" s="5" t="s">
        <v>1678</v>
      </c>
      <c r="V1256" s="5" t="s">
        <v>1055</v>
      </c>
      <c r="W1256" s="5"/>
      <c r="X1256" s="8" t="s">
        <v>1914</v>
      </c>
      <c r="Y1256" s="5"/>
    </row>
    <row r="1257" customFormat="false" ht="15" hidden="false" customHeight="false" outlineLevel="0" collapsed="false">
      <c r="A1257" s="5" t="s">
        <v>12428</v>
      </c>
      <c r="B1257" s="5" t="s">
        <v>1295</v>
      </c>
      <c r="C1257" s="5" t="s">
        <v>1296</v>
      </c>
      <c r="D1257" s="11" t="s">
        <v>162</v>
      </c>
      <c r="E1257" s="5" t="n">
        <v>1</v>
      </c>
      <c r="F1257" s="5" t="s">
        <v>12429</v>
      </c>
      <c r="G1257" s="13" t="s">
        <v>12430</v>
      </c>
      <c r="H1257" s="5" t="s">
        <v>12431</v>
      </c>
      <c r="I1257" s="13" t="s">
        <v>12432</v>
      </c>
      <c r="J1257" s="5" t="s">
        <v>12433</v>
      </c>
      <c r="K1257" s="5" t="s">
        <v>12434</v>
      </c>
      <c r="L1257" s="13" t="s">
        <v>12435</v>
      </c>
      <c r="M1257" s="13" t="s">
        <v>12436</v>
      </c>
      <c r="N1257" s="5" t="n">
        <f aca="false">LEN(L1257)</f>
        <v>25</v>
      </c>
      <c r="O1257" s="5" t="n">
        <f aca="false">LEN(M1257)</f>
        <v>25</v>
      </c>
      <c r="P1257" s="14" t="n">
        <f aca="false">IF(N1257=0,"",(N1257-LEN(SUBSTITUTE(SUBSTITUTE(L1257,"G",""),"C","")))/N1257)</f>
        <v>0.64</v>
      </c>
      <c r="Q1257" s="14" t="n">
        <f aca="false">IF(O1257=0,"",(O1257-LEN(SUBSTITUTE(SUBSTITUTE(M1257,"G",""),"C","")))/O1257)</f>
        <v>0.8</v>
      </c>
      <c r="R1257" s="5" t="s">
        <v>1303</v>
      </c>
      <c r="S1257" s="15" t="s">
        <v>1677</v>
      </c>
      <c r="T1257" s="5" t="n">
        <v>146</v>
      </c>
      <c r="U1257" s="5" t="s">
        <v>1678</v>
      </c>
      <c r="V1257" s="5" t="s">
        <v>1302</v>
      </c>
      <c r="W1257" s="5"/>
      <c r="X1257" s="15" t="s">
        <v>1677</v>
      </c>
      <c r="Y1257" s="5"/>
    </row>
    <row r="1258" customFormat="false" ht="15" hidden="false" customHeight="false" outlineLevel="0" collapsed="false">
      <c r="A1258" s="5" t="s">
        <v>12437</v>
      </c>
      <c r="B1258" s="5" t="s">
        <v>1295</v>
      </c>
      <c r="C1258" s="5" t="s">
        <v>1296</v>
      </c>
      <c r="D1258" s="11" t="s">
        <v>162</v>
      </c>
      <c r="E1258" s="5" t="n">
        <v>2</v>
      </c>
      <c r="F1258" s="5" t="s">
        <v>12438</v>
      </c>
      <c r="G1258" s="13" t="s">
        <v>12439</v>
      </c>
      <c r="H1258" s="5" t="s">
        <v>12440</v>
      </c>
      <c r="I1258" s="13" t="s">
        <v>12441</v>
      </c>
      <c r="J1258" s="5" t="s">
        <v>12442</v>
      </c>
      <c r="K1258" s="5" t="s">
        <v>12443</v>
      </c>
      <c r="L1258" s="13" t="s">
        <v>12444</v>
      </c>
      <c r="M1258" s="13" t="s">
        <v>12445</v>
      </c>
      <c r="N1258" s="5" t="n">
        <f aca="false">LEN(L1258)</f>
        <v>25</v>
      </c>
      <c r="O1258" s="5" t="n">
        <f aca="false">LEN(M1258)</f>
        <v>25</v>
      </c>
      <c r="P1258" s="14" t="n">
        <f aca="false">IF(N1258=0,"",(N1258-LEN(SUBSTITUTE(SUBSTITUTE(L1258,"G",""),"C","")))/N1258)</f>
        <v>0.84</v>
      </c>
      <c r="Q1258" s="14" t="n">
        <f aca="false">IF(O1258=0,"",(O1258-LEN(SUBSTITUTE(SUBSTITUTE(M1258,"G",""),"C","")))/O1258)</f>
        <v>0.8</v>
      </c>
      <c r="R1258" s="5" t="s">
        <v>1303</v>
      </c>
      <c r="S1258" s="15" t="s">
        <v>1677</v>
      </c>
      <c r="T1258" s="5" t="n">
        <v>216</v>
      </c>
      <c r="U1258" s="5" t="s">
        <v>1678</v>
      </c>
      <c r="V1258" s="5" t="s">
        <v>1302</v>
      </c>
      <c r="W1258" s="5"/>
      <c r="X1258" s="15" t="s">
        <v>1677</v>
      </c>
      <c r="Y1258" s="5"/>
    </row>
    <row r="1259" customFormat="false" ht="15" hidden="false" customHeight="false" outlineLevel="0" collapsed="false">
      <c r="A1259" s="5" t="s">
        <v>12446</v>
      </c>
      <c r="B1259" s="5" t="s">
        <v>1295</v>
      </c>
      <c r="C1259" s="5" t="s">
        <v>1296</v>
      </c>
      <c r="D1259" s="11" t="s">
        <v>162</v>
      </c>
      <c r="E1259" s="5" t="n">
        <v>3</v>
      </c>
      <c r="F1259" s="5" t="s">
        <v>12447</v>
      </c>
      <c r="G1259" s="13" t="s">
        <v>12448</v>
      </c>
      <c r="H1259" s="5" t="s">
        <v>12449</v>
      </c>
      <c r="I1259" s="13" t="s">
        <v>12450</v>
      </c>
      <c r="J1259" s="5" t="s">
        <v>12451</v>
      </c>
      <c r="K1259" s="5" t="s">
        <v>12452</v>
      </c>
      <c r="L1259" s="13" t="s">
        <v>12453</v>
      </c>
      <c r="M1259" s="13" t="s">
        <v>12454</v>
      </c>
      <c r="N1259" s="5" t="n">
        <f aca="false">LEN(L1259)</f>
        <v>25</v>
      </c>
      <c r="O1259" s="5" t="n">
        <f aca="false">LEN(M1259)</f>
        <v>25</v>
      </c>
      <c r="P1259" s="14" t="n">
        <f aca="false">IF(N1259=0,"",(N1259-LEN(SUBSTITUTE(SUBSTITUTE(L1259,"G",""),"C","")))/N1259)</f>
        <v>0.8</v>
      </c>
      <c r="Q1259" s="14" t="n">
        <f aca="false">IF(O1259=0,"",(O1259-LEN(SUBSTITUTE(SUBSTITUTE(M1259,"G",""),"C","")))/O1259)</f>
        <v>0.72</v>
      </c>
      <c r="R1259" s="5" t="s">
        <v>1303</v>
      </c>
      <c r="S1259" s="15" t="s">
        <v>1677</v>
      </c>
      <c r="T1259" s="5" t="n">
        <v>286</v>
      </c>
      <c r="U1259" s="5" t="s">
        <v>1678</v>
      </c>
      <c r="V1259" s="5" t="s">
        <v>1302</v>
      </c>
      <c r="W1259" s="5"/>
      <c r="X1259" s="15" t="s">
        <v>1677</v>
      </c>
      <c r="Y1259" s="5"/>
    </row>
    <row r="1260" customFormat="false" ht="15" hidden="false" customHeight="false" outlineLevel="0" collapsed="false">
      <c r="A1260" s="5" t="s">
        <v>12455</v>
      </c>
      <c r="B1260" s="5" t="s">
        <v>1295</v>
      </c>
      <c r="C1260" s="5" t="s">
        <v>1296</v>
      </c>
      <c r="D1260" s="11" t="s">
        <v>162</v>
      </c>
      <c r="E1260" s="5" t="n">
        <v>4</v>
      </c>
      <c r="F1260" s="5" t="s">
        <v>12456</v>
      </c>
      <c r="G1260" s="13" t="s">
        <v>12457</v>
      </c>
      <c r="H1260" s="5" t="s">
        <v>12458</v>
      </c>
      <c r="I1260" s="13" t="s">
        <v>12459</v>
      </c>
      <c r="J1260" s="5" t="s">
        <v>12460</v>
      </c>
      <c r="K1260" s="5" t="s">
        <v>12461</v>
      </c>
      <c r="L1260" s="13" t="s">
        <v>12462</v>
      </c>
      <c r="M1260" s="13" t="s">
        <v>12463</v>
      </c>
      <c r="N1260" s="5" t="n">
        <f aca="false">LEN(L1260)</f>
        <v>25</v>
      </c>
      <c r="O1260" s="5" t="n">
        <f aca="false">LEN(M1260)</f>
        <v>25</v>
      </c>
      <c r="P1260" s="14" t="n">
        <f aca="false">IF(N1260=0,"",(N1260-LEN(SUBSTITUTE(SUBSTITUTE(L1260,"G",""),"C","")))/N1260)</f>
        <v>0.68</v>
      </c>
      <c r="Q1260" s="14" t="n">
        <f aca="false">IF(O1260=0,"",(O1260-LEN(SUBSTITUTE(SUBSTITUTE(M1260,"G",""),"C","")))/O1260)</f>
        <v>0.76</v>
      </c>
      <c r="R1260" s="5" t="s">
        <v>1303</v>
      </c>
      <c r="S1260" s="15" t="s">
        <v>1677</v>
      </c>
      <c r="T1260" s="5" t="n">
        <v>356</v>
      </c>
      <c r="U1260" s="5" t="s">
        <v>1678</v>
      </c>
      <c r="V1260" s="5" t="s">
        <v>1302</v>
      </c>
      <c r="W1260" s="5"/>
      <c r="X1260" s="15" t="s">
        <v>1677</v>
      </c>
      <c r="Y1260" s="5"/>
    </row>
    <row r="1261" customFormat="false" ht="15" hidden="false" customHeight="false" outlineLevel="0" collapsed="false">
      <c r="A1261" s="5" t="s">
        <v>12464</v>
      </c>
      <c r="B1261" s="5" t="s">
        <v>1295</v>
      </c>
      <c r="C1261" s="5" t="s">
        <v>1296</v>
      </c>
      <c r="D1261" s="11" t="s">
        <v>162</v>
      </c>
      <c r="E1261" s="5" t="n">
        <v>5</v>
      </c>
      <c r="F1261" s="5" t="s">
        <v>12465</v>
      </c>
      <c r="G1261" s="13" t="s">
        <v>12466</v>
      </c>
      <c r="H1261" s="5" t="s">
        <v>12467</v>
      </c>
      <c r="I1261" s="13" t="s">
        <v>12468</v>
      </c>
      <c r="J1261" s="5" t="s">
        <v>12469</v>
      </c>
      <c r="K1261" s="5" t="s">
        <v>12470</v>
      </c>
      <c r="L1261" s="13" t="s">
        <v>12471</v>
      </c>
      <c r="M1261" s="13" t="s">
        <v>12472</v>
      </c>
      <c r="N1261" s="5" t="n">
        <f aca="false">LEN(L1261)</f>
        <v>25</v>
      </c>
      <c r="O1261" s="5" t="n">
        <f aca="false">LEN(M1261)</f>
        <v>25</v>
      </c>
      <c r="P1261" s="14" t="n">
        <f aca="false">IF(N1261=0,"",(N1261-LEN(SUBSTITUTE(SUBSTITUTE(L1261,"G",""),"C","")))/N1261)</f>
        <v>0.76</v>
      </c>
      <c r="Q1261" s="14" t="n">
        <f aca="false">IF(O1261=0,"",(O1261-LEN(SUBSTITUTE(SUBSTITUTE(M1261,"G",""),"C","")))/O1261)</f>
        <v>0.72</v>
      </c>
      <c r="R1261" s="5" t="s">
        <v>1303</v>
      </c>
      <c r="S1261" s="15" t="s">
        <v>1677</v>
      </c>
      <c r="T1261" s="5" t="n">
        <v>426</v>
      </c>
      <c r="U1261" s="5" t="s">
        <v>1678</v>
      </c>
      <c r="V1261" s="5" t="s">
        <v>1302</v>
      </c>
      <c r="W1261" s="5"/>
      <c r="X1261" s="15" t="s">
        <v>1677</v>
      </c>
      <c r="Y1261" s="5"/>
    </row>
    <row r="1262" customFormat="false" ht="15" hidden="false" customHeight="false" outlineLevel="0" collapsed="false">
      <c r="A1262" s="5" t="s">
        <v>12473</v>
      </c>
      <c r="B1262" s="5" t="s">
        <v>1295</v>
      </c>
      <c r="C1262" s="5" t="s">
        <v>1296</v>
      </c>
      <c r="D1262" s="11" t="s">
        <v>162</v>
      </c>
      <c r="E1262" s="5" t="n">
        <v>6</v>
      </c>
      <c r="F1262" s="5" t="s">
        <v>12474</v>
      </c>
      <c r="G1262" s="13" t="s">
        <v>12475</v>
      </c>
      <c r="H1262" s="5" t="s">
        <v>12476</v>
      </c>
      <c r="I1262" s="13" t="s">
        <v>12477</v>
      </c>
      <c r="J1262" s="5" t="s">
        <v>12478</v>
      </c>
      <c r="K1262" s="5" t="s">
        <v>12479</v>
      </c>
      <c r="L1262" s="13" t="s">
        <v>12480</v>
      </c>
      <c r="M1262" s="13" t="s">
        <v>12481</v>
      </c>
      <c r="N1262" s="5" t="n">
        <f aca="false">LEN(L1262)</f>
        <v>25</v>
      </c>
      <c r="O1262" s="5" t="n">
        <f aca="false">LEN(M1262)</f>
        <v>25</v>
      </c>
      <c r="P1262" s="14" t="n">
        <f aca="false">IF(N1262=0,"",(N1262-LEN(SUBSTITUTE(SUBSTITUTE(L1262,"G",""),"C","")))/N1262)</f>
        <v>0.68</v>
      </c>
      <c r="Q1262" s="14" t="n">
        <f aca="false">IF(O1262=0,"",(O1262-LEN(SUBSTITUTE(SUBSTITUTE(M1262,"G",""),"C","")))/O1262)</f>
        <v>0.84</v>
      </c>
      <c r="R1262" s="5" t="s">
        <v>1303</v>
      </c>
      <c r="S1262" s="15" t="s">
        <v>1677</v>
      </c>
      <c r="T1262" s="5" t="n">
        <v>496</v>
      </c>
      <c r="U1262" s="5" t="s">
        <v>1678</v>
      </c>
      <c r="V1262" s="5" t="s">
        <v>1302</v>
      </c>
      <c r="W1262" s="5"/>
      <c r="X1262" s="15" t="s">
        <v>1677</v>
      </c>
      <c r="Y1262" s="5"/>
    </row>
    <row r="1263" customFormat="false" ht="15" hidden="false" customHeight="false" outlineLevel="0" collapsed="false">
      <c r="A1263" s="5" t="s">
        <v>12482</v>
      </c>
      <c r="B1263" s="5" t="s">
        <v>1306</v>
      </c>
      <c r="C1263" s="5" t="s">
        <v>1307</v>
      </c>
      <c r="D1263" s="11" t="s">
        <v>162</v>
      </c>
      <c r="E1263" s="5" t="n">
        <v>1</v>
      </c>
      <c r="F1263" s="5" t="s">
        <v>12483</v>
      </c>
      <c r="G1263" s="13" t="s">
        <v>12484</v>
      </c>
      <c r="H1263" s="5" t="s">
        <v>12485</v>
      </c>
      <c r="I1263" s="13" t="s">
        <v>12486</v>
      </c>
      <c r="J1263" s="5" t="s">
        <v>12487</v>
      </c>
      <c r="K1263" s="5" t="s">
        <v>12488</v>
      </c>
      <c r="L1263" s="13" t="s">
        <v>12489</v>
      </c>
      <c r="M1263" s="13" t="s">
        <v>12490</v>
      </c>
      <c r="N1263" s="5" t="n">
        <f aca="false">LEN(L1263)</f>
        <v>25</v>
      </c>
      <c r="O1263" s="5" t="n">
        <f aca="false">LEN(M1263)</f>
        <v>25</v>
      </c>
      <c r="P1263" s="14" t="n">
        <f aca="false">IF(N1263=0,"",(N1263-LEN(SUBSTITUTE(SUBSTITUTE(L1263,"G",""),"C","")))/N1263)</f>
        <v>0.76</v>
      </c>
      <c r="Q1263" s="14" t="n">
        <f aca="false">IF(O1263=0,"",(O1263-LEN(SUBSTITUTE(SUBSTITUTE(M1263,"G",""),"C","")))/O1263)</f>
        <v>0.76</v>
      </c>
      <c r="R1263" s="5" t="s">
        <v>1312</v>
      </c>
      <c r="S1263" s="15" t="s">
        <v>1677</v>
      </c>
      <c r="T1263" s="5" t="n">
        <v>8</v>
      </c>
      <c r="U1263" s="5" t="s">
        <v>1678</v>
      </c>
      <c r="V1263" s="5" t="s">
        <v>1302</v>
      </c>
      <c r="W1263" s="5"/>
      <c r="X1263" s="15" t="s">
        <v>1677</v>
      </c>
      <c r="Y1263" s="5"/>
    </row>
    <row r="1264" customFormat="false" ht="15" hidden="false" customHeight="false" outlineLevel="0" collapsed="false">
      <c r="A1264" s="5" t="s">
        <v>12491</v>
      </c>
      <c r="B1264" s="5" t="s">
        <v>1306</v>
      </c>
      <c r="C1264" s="5" t="s">
        <v>1307</v>
      </c>
      <c r="D1264" s="11" t="s">
        <v>162</v>
      </c>
      <c r="E1264" s="5" t="n">
        <v>2</v>
      </c>
      <c r="F1264" s="5" t="s">
        <v>12492</v>
      </c>
      <c r="G1264" s="13" t="s">
        <v>12493</v>
      </c>
      <c r="H1264" s="5" t="s">
        <v>12494</v>
      </c>
      <c r="I1264" s="13" t="s">
        <v>12495</v>
      </c>
      <c r="J1264" s="5" t="s">
        <v>12496</v>
      </c>
      <c r="K1264" s="5" t="s">
        <v>12497</v>
      </c>
      <c r="L1264" s="13" t="s">
        <v>12498</v>
      </c>
      <c r="M1264" s="13" t="s">
        <v>12499</v>
      </c>
      <c r="N1264" s="5" t="n">
        <f aca="false">LEN(L1264)</f>
        <v>25</v>
      </c>
      <c r="O1264" s="5" t="n">
        <f aca="false">LEN(M1264)</f>
        <v>25</v>
      </c>
      <c r="P1264" s="14" t="n">
        <f aca="false">IF(N1264=0,"",(N1264-LEN(SUBSTITUTE(SUBSTITUTE(L1264,"G",""),"C","")))/N1264)</f>
        <v>0.6</v>
      </c>
      <c r="Q1264" s="14" t="n">
        <f aca="false">IF(O1264=0,"",(O1264-LEN(SUBSTITUTE(SUBSTITUTE(M1264,"G",""),"C","")))/O1264)</f>
        <v>0.76</v>
      </c>
      <c r="R1264" s="5" t="s">
        <v>1312</v>
      </c>
      <c r="S1264" s="15" t="s">
        <v>1677</v>
      </c>
      <c r="T1264" s="5" t="n">
        <v>141</v>
      </c>
      <c r="U1264" s="5" t="s">
        <v>1678</v>
      </c>
      <c r="V1264" s="5" t="s">
        <v>1302</v>
      </c>
      <c r="W1264" s="5"/>
      <c r="X1264" s="15" t="s">
        <v>1677</v>
      </c>
      <c r="Y1264" s="5"/>
    </row>
    <row r="1265" customFormat="false" ht="15" hidden="false" customHeight="false" outlineLevel="0" collapsed="false">
      <c r="A1265" s="5" t="s">
        <v>12500</v>
      </c>
      <c r="B1265" s="5" t="s">
        <v>1306</v>
      </c>
      <c r="C1265" s="5" t="s">
        <v>1307</v>
      </c>
      <c r="D1265" s="11" t="s">
        <v>162</v>
      </c>
      <c r="E1265" s="5" t="n">
        <v>3</v>
      </c>
      <c r="F1265" s="5" t="s">
        <v>12501</v>
      </c>
      <c r="G1265" s="13" t="s">
        <v>12502</v>
      </c>
      <c r="H1265" s="5" t="s">
        <v>12503</v>
      </c>
      <c r="I1265" s="13" t="s">
        <v>12504</v>
      </c>
      <c r="J1265" s="5" t="s">
        <v>12505</v>
      </c>
      <c r="K1265" s="5" t="s">
        <v>12506</v>
      </c>
      <c r="L1265" s="13" t="s">
        <v>12507</v>
      </c>
      <c r="M1265" s="13" t="s">
        <v>12508</v>
      </c>
      <c r="N1265" s="5" t="n">
        <f aca="false">LEN(L1265)</f>
        <v>25</v>
      </c>
      <c r="O1265" s="5" t="n">
        <f aca="false">LEN(M1265)</f>
        <v>25</v>
      </c>
      <c r="P1265" s="14" t="n">
        <f aca="false">IF(N1265=0,"",(N1265-LEN(SUBSTITUTE(SUBSTITUTE(L1265,"G",""),"C","")))/N1265)</f>
        <v>0.76</v>
      </c>
      <c r="Q1265" s="14" t="n">
        <f aca="false">IF(O1265=0,"",(O1265-LEN(SUBSTITUTE(SUBSTITUTE(M1265,"G",""),"C","")))/O1265)</f>
        <v>0.64</v>
      </c>
      <c r="R1265" s="5" t="s">
        <v>1312</v>
      </c>
      <c r="S1265" s="15" t="s">
        <v>1677</v>
      </c>
      <c r="T1265" s="5" t="n">
        <v>272</v>
      </c>
      <c r="U1265" s="5" t="s">
        <v>1678</v>
      </c>
      <c r="V1265" s="5" t="s">
        <v>1302</v>
      </c>
      <c r="W1265" s="5"/>
      <c r="X1265" s="15" t="s">
        <v>1677</v>
      </c>
      <c r="Y1265" s="5"/>
    </row>
    <row r="1266" customFormat="false" ht="15" hidden="false" customHeight="false" outlineLevel="0" collapsed="false">
      <c r="A1266" s="5" t="s">
        <v>12509</v>
      </c>
      <c r="B1266" s="5" t="s">
        <v>1306</v>
      </c>
      <c r="C1266" s="5" t="s">
        <v>1307</v>
      </c>
      <c r="D1266" s="11" t="s">
        <v>162</v>
      </c>
      <c r="E1266" s="5" t="n">
        <v>4</v>
      </c>
      <c r="F1266" s="5" t="s">
        <v>12510</v>
      </c>
      <c r="G1266" s="13" t="s">
        <v>12511</v>
      </c>
      <c r="H1266" s="5" t="s">
        <v>12512</v>
      </c>
      <c r="I1266" s="13" t="s">
        <v>12513</v>
      </c>
      <c r="J1266" s="5" t="s">
        <v>12514</v>
      </c>
      <c r="K1266" s="5" t="s">
        <v>12515</v>
      </c>
      <c r="L1266" s="13" t="s">
        <v>12516</v>
      </c>
      <c r="M1266" s="13" t="s">
        <v>12517</v>
      </c>
      <c r="N1266" s="5" t="n">
        <f aca="false">LEN(L1266)</f>
        <v>25</v>
      </c>
      <c r="O1266" s="5" t="n">
        <f aca="false">LEN(M1266)</f>
        <v>25</v>
      </c>
      <c r="P1266" s="14" t="n">
        <f aca="false">IF(N1266=0,"",(N1266-LEN(SUBSTITUTE(SUBSTITUTE(L1266,"G",""),"C","")))/N1266)</f>
        <v>0.64</v>
      </c>
      <c r="Q1266" s="14" t="n">
        <f aca="false">IF(O1266=0,"",(O1266-LEN(SUBSTITUTE(SUBSTITUTE(M1266,"G",""),"C","")))/O1266)</f>
        <v>0.76</v>
      </c>
      <c r="R1266" s="5" t="s">
        <v>1312</v>
      </c>
      <c r="S1266" s="15" t="s">
        <v>1677</v>
      </c>
      <c r="T1266" s="5" t="n">
        <v>403</v>
      </c>
      <c r="U1266" s="5" t="s">
        <v>1678</v>
      </c>
      <c r="V1266" s="5" t="s">
        <v>1302</v>
      </c>
      <c r="W1266" s="5"/>
      <c r="X1266" s="15" t="s">
        <v>1677</v>
      </c>
      <c r="Y1266" s="5"/>
    </row>
    <row r="1267" customFormat="false" ht="15" hidden="false" customHeight="false" outlineLevel="0" collapsed="false">
      <c r="A1267" s="5" t="s">
        <v>12518</v>
      </c>
      <c r="B1267" s="5" t="s">
        <v>1306</v>
      </c>
      <c r="C1267" s="5" t="s">
        <v>1307</v>
      </c>
      <c r="D1267" s="11" t="s">
        <v>162</v>
      </c>
      <c r="E1267" s="5" t="n">
        <v>5</v>
      </c>
      <c r="F1267" s="5" t="s">
        <v>12519</v>
      </c>
      <c r="G1267" s="13" t="s">
        <v>12520</v>
      </c>
      <c r="H1267" s="5" t="s">
        <v>12521</v>
      </c>
      <c r="I1267" s="13" t="s">
        <v>12522</v>
      </c>
      <c r="J1267" s="5" t="s">
        <v>12523</v>
      </c>
      <c r="K1267" s="5" t="s">
        <v>12524</v>
      </c>
      <c r="L1267" s="13" t="s">
        <v>12525</v>
      </c>
      <c r="M1267" s="13" t="s">
        <v>12526</v>
      </c>
      <c r="N1267" s="5" t="n">
        <f aca="false">LEN(L1267)</f>
        <v>25</v>
      </c>
      <c r="O1267" s="5" t="n">
        <f aca="false">LEN(M1267)</f>
        <v>25</v>
      </c>
      <c r="P1267" s="14" t="n">
        <f aca="false">IF(N1267=0,"",(N1267-LEN(SUBSTITUTE(SUBSTITUTE(L1267,"G",""),"C","")))/N1267)</f>
        <v>0.6</v>
      </c>
      <c r="Q1267" s="14" t="n">
        <f aca="false">IF(O1267=0,"",(O1267-LEN(SUBSTITUTE(SUBSTITUTE(M1267,"G",""),"C","")))/O1267)</f>
        <v>0.56</v>
      </c>
      <c r="R1267" s="5" t="s">
        <v>1312</v>
      </c>
      <c r="S1267" s="15" t="s">
        <v>1677</v>
      </c>
      <c r="T1267" s="5" t="n">
        <v>537</v>
      </c>
      <c r="U1267" s="5" t="s">
        <v>1678</v>
      </c>
      <c r="V1267" s="5" t="s">
        <v>1302</v>
      </c>
      <c r="W1267" s="5"/>
      <c r="X1267" s="15" t="s">
        <v>1677</v>
      </c>
      <c r="Y1267" s="5"/>
    </row>
    <row r="1268" customFormat="false" ht="15" hidden="false" customHeight="false" outlineLevel="0" collapsed="false">
      <c r="A1268" s="5" t="s">
        <v>12527</v>
      </c>
      <c r="B1268" s="5" t="s">
        <v>1306</v>
      </c>
      <c r="C1268" s="5" t="s">
        <v>1307</v>
      </c>
      <c r="D1268" s="11" t="s">
        <v>162</v>
      </c>
      <c r="E1268" s="5" t="n">
        <v>6</v>
      </c>
      <c r="F1268" s="5" t="s">
        <v>12528</v>
      </c>
      <c r="G1268" s="13" t="s">
        <v>12529</v>
      </c>
      <c r="H1268" s="5" t="s">
        <v>12530</v>
      </c>
      <c r="I1268" s="13" t="s">
        <v>12531</v>
      </c>
      <c r="J1268" s="5" t="s">
        <v>12532</v>
      </c>
      <c r="K1268" s="5" t="s">
        <v>12533</v>
      </c>
      <c r="L1268" s="13" t="s">
        <v>12534</v>
      </c>
      <c r="M1268" s="13" t="s">
        <v>12535</v>
      </c>
      <c r="N1268" s="5" t="n">
        <f aca="false">LEN(L1268)</f>
        <v>25</v>
      </c>
      <c r="O1268" s="5" t="n">
        <f aca="false">LEN(M1268)</f>
        <v>25</v>
      </c>
      <c r="P1268" s="14" t="n">
        <f aca="false">IF(N1268=0,"",(N1268-LEN(SUBSTITUTE(SUBSTITUTE(L1268,"G",""),"C","")))/N1268)</f>
        <v>0.56</v>
      </c>
      <c r="Q1268" s="14" t="n">
        <f aca="false">IF(O1268=0,"",(O1268-LEN(SUBSTITUTE(SUBSTITUTE(M1268,"G",""),"C","")))/O1268)</f>
        <v>0.4</v>
      </c>
      <c r="R1268" s="5" t="s">
        <v>1312</v>
      </c>
      <c r="S1268" s="15" t="s">
        <v>1677</v>
      </c>
      <c r="T1268" s="5" t="n">
        <v>670</v>
      </c>
      <c r="U1268" s="5" t="s">
        <v>1678</v>
      </c>
      <c r="V1268" s="5" t="s">
        <v>1302</v>
      </c>
      <c r="W1268" s="5"/>
      <c r="X1268" s="15" t="s">
        <v>1677</v>
      </c>
      <c r="Y1268" s="5"/>
    </row>
    <row r="1269" customFormat="false" ht="15" hidden="false" customHeight="false" outlineLevel="0" collapsed="false">
      <c r="A1269" s="5" t="s">
        <v>12536</v>
      </c>
      <c r="B1269" s="5" t="s">
        <v>1316</v>
      </c>
      <c r="C1269" s="5" t="s">
        <v>1317</v>
      </c>
      <c r="D1269" s="11" t="s">
        <v>162</v>
      </c>
      <c r="E1269" s="5" t="n">
        <v>1</v>
      </c>
      <c r="F1269" s="5" t="s">
        <v>12537</v>
      </c>
      <c r="G1269" s="13" t="s">
        <v>12538</v>
      </c>
      <c r="H1269" s="5" t="s">
        <v>12539</v>
      </c>
      <c r="I1269" s="13" t="s">
        <v>12540</v>
      </c>
      <c r="J1269" s="5" t="s">
        <v>12541</v>
      </c>
      <c r="K1269" s="5" t="s">
        <v>12542</v>
      </c>
      <c r="L1269" s="13" t="s">
        <v>12543</v>
      </c>
      <c r="M1269" s="13" t="s">
        <v>12544</v>
      </c>
      <c r="N1269" s="5" t="n">
        <f aca="false">LEN(L1269)</f>
        <v>25</v>
      </c>
      <c r="O1269" s="5" t="n">
        <f aca="false">LEN(M1269)</f>
        <v>25</v>
      </c>
      <c r="P1269" s="14" t="n">
        <f aca="false">IF(N1269=0,"",(N1269-LEN(SUBSTITUTE(SUBSTITUTE(L1269,"G",""),"C","")))/N1269)</f>
        <v>0.64</v>
      </c>
      <c r="Q1269" s="14" t="n">
        <f aca="false">IF(O1269=0,"",(O1269-LEN(SUBSTITUTE(SUBSTITUTE(M1269,"G",""),"C","")))/O1269)</f>
        <v>0.24</v>
      </c>
      <c r="R1269" s="5" t="s">
        <v>1321</v>
      </c>
      <c r="S1269" s="15" t="s">
        <v>1677</v>
      </c>
      <c r="T1269" s="5" t="n">
        <v>146</v>
      </c>
      <c r="U1269" s="5" t="s">
        <v>1678</v>
      </c>
      <c r="V1269" s="5" t="s">
        <v>1302</v>
      </c>
      <c r="W1269" s="5"/>
      <c r="X1269" s="15" t="s">
        <v>1677</v>
      </c>
      <c r="Y1269" s="5"/>
    </row>
    <row r="1270" customFormat="false" ht="15" hidden="false" customHeight="false" outlineLevel="0" collapsed="false">
      <c r="A1270" s="5" t="s">
        <v>12545</v>
      </c>
      <c r="B1270" s="5" t="s">
        <v>1316</v>
      </c>
      <c r="C1270" s="5" t="s">
        <v>1317</v>
      </c>
      <c r="D1270" s="11" t="s">
        <v>162</v>
      </c>
      <c r="E1270" s="5" t="n">
        <v>2</v>
      </c>
      <c r="F1270" s="5" t="s">
        <v>12546</v>
      </c>
      <c r="G1270" s="13" t="s">
        <v>12547</v>
      </c>
      <c r="H1270" s="5" t="s">
        <v>12548</v>
      </c>
      <c r="I1270" s="13" t="s">
        <v>12549</v>
      </c>
      <c r="J1270" s="5" t="s">
        <v>12550</v>
      </c>
      <c r="K1270" s="5" t="s">
        <v>12551</v>
      </c>
      <c r="L1270" s="13" t="s">
        <v>12552</v>
      </c>
      <c r="M1270" s="13" t="s">
        <v>12553</v>
      </c>
      <c r="N1270" s="5" t="n">
        <f aca="false">LEN(L1270)</f>
        <v>25</v>
      </c>
      <c r="O1270" s="5" t="n">
        <f aca="false">LEN(M1270)</f>
        <v>25</v>
      </c>
      <c r="P1270" s="14" t="n">
        <f aca="false">IF(N1270=0,"",(N1270-LEN(SUBSTITUTE(SUBSTITUTE(L1270,"G",""),"C","")))/N1270)</f>
        <v>0.48</v>
      </c>
      <c r="Q1270" s="14" t="n">
        <f aca="false">IF(O1270=0,"",(O1270-LEN(SUBSTITUTE(SUBSTITUTE(M1270,"G",""),"C","")))/O1270)</f>
        <v>0.36</v>
      </c>
      <c r="R1270" s="5" t="s">
        <v>1321</v>
      </c>
      <c r="S1270" s="15" t="s">
        <v>1677</v>
      </c>
      <c r="T1270" s="5" t="n">
        <v>216</v>
      </c>
      <c r="U1270" s="5" t="s">
        <v>1678</v>
      </c>
      <c r="V1270" s="5" t="s">
        <v>1302</v>
      </c>
      <c r="W1270" s="5"/>
      <c r="X1270" s="15" t="s">
        <v>1677</v>
      </c>
      <c r="Y1270" s="5"/>
    </row>
    <row r="1271" customFormat="false" ht="15" hidden="false" customHeight="false" outlineLevel="0" collapsed="false">
      <c r="A1271" s="5" t="s">
        <v>12554</v>
      </c>
      <c r="B1271" s="5" t="s">
        <v>1316</v>
      </c>
      <c r="C1271" s="5" t="s">
        <v>1317</v>
      </c>
      <c r="D1271" s="11" t="s">
        <v>162</v>
      </c>
      <c r="E1271" s="5" t="n">
        <v>3</v>
      </c>
      <c r="F1271" s="5" t="s">
        <v>12555</v>
      </c>
      <c r="G1271" s="13" t="s">
        <v>12556</v>
      </c>
      <c r="H1271" s="5" t="s">
        <v>12557</v>
      </c>
      <c r="I1271" s="13" t="s">
        <v>12558</v>
      </c>
      <c r="J1271" s="5" t="s">
        <v>12559</v>
      </c>
      <c r="K1271" s="5" t="s">
        <v>12560</v>
      </c>
      <c r="L1271" s="13" t="s">
        <v>12561</v>
      </c>
      <c r="M1271" s="13" t="s">
        <v>12562</v>
      </c>
      <c r="N1271" s="5" t="n">
        <f aca="false">LEN(L1271)</f>
        <v>25</v>
      </c>
      <c r="O1271" s="5" t="n">
        <f aca="false">LEN(M1271)</f>
        <v>25</v>
      </c>
      <c r="P1271" s="14" t="n">
        <f aca="false">IF(N1271=0,"",(N1271-LEN(SUBSTITUTE(SUBSTITUTE(L1271,"G",""),"C","")))/N1271)</f>
        <v>0.52</v>
      </c>
      <c r="Q1271" s="14" t="n">
        <f aca="false">IF(O1271=0,"",(O1271-LEN(SUBSTITUTE(SUBSTITUTE(M1271,"G",""),"C","")))/O1271)</f>
        <v>0.4</v>
      </c>
      <c r="R1271" s="5" t="s">
        <v>1321</v>
      </c>
      <c r="S1271" s="15" t="s">
        <v>1677</v>
      </c>
      <c r="T1271" s="5" t="n">
        <v>286</v>
      </c>
      <c r="U1271" s="5" t="s">
        <v>1678</v>
      </c>
      <c r="V1271" s="5" t="s">
        <v>1302</v>
      </c>
      <c r="W1271" s="5"/>
      <c r="X1271" s="15" t="s">
        <v>1677</v>
      </c>
      <c r="Y1271" s="5"/>
    </row>
    <row r="1272" customFormat="false" ht="15" hidden="false" customHeight="false" outlineLevel="0" collapsed="false">
      <c r="A1272" s="5" t="s">
        <v>12563</v>
      </c>
      <c r="B1272" s="5" t="s">
        <v>1316</v>
      </c>
      <c r="C1272" s="5" t="s">
        <v>1317</v>
      </c>
      <c r="D1272" s="11" t="s">
        <v>162</v>
      </c>
      <c r="E1272" s="5" t="n">
        <v>4</v>
      </c>
      <c r="F1272" s="5" t="s">
        <v>12564</v>
      </c>
      <c r="G1272" s="13" t="s">
        <v>12565</v>
      </c>
      <c r="H1272" s="5" t="s">
        <v>12566</v>
      </c>
      <c r="I1272" s="13" t="s">
        <v>12567</v>
      </c>
      <c r="J1272" s="5" t="s">
        <v>12568</v>
      </c>
      <c r="K1272" s="5" t="s">
        <v>12569</v>
      </c>
      <c r="L1272" s="13" t="s">
        <v>12570</v>
      </c>
      <c r="M1272" s="13" t="s">
        <v>12571</v>
      </c>
      <c r="N1272" s="5" t="n">
        <f aca="false">LEN(L1272)</f>
        <v>25</v>
      </c>
      <c r="O1272" s="5" t="n">
        <f aca="false">LEN(M1272)</f>
        <v>25</v>
      </c>
      <c r="P1272" s="14" t="n">
        <f aca="false">IF(N1272=0,"",(N1272-LEN(SUBSTITUTE(SUBSTITUTE(L1272,"G",""),"C","")))/N1272)</f>
        <v>0.64</v>
      </c>
      <c r="Q1272" s="14" t="n">
        <f aca="false">IF(O1272=0,"",(O1272-LEN(SUBSTITUTE(SUBSTITUTE(M1272,"G",""),"C","")))/O1272)</f>
        <v>0.6</v>
      </c>
      <c r="R1272" s="5" t="s">
        <v>1321</v>
      </c>
      <c r="S1272" s="15" t="s">
        <v>1677</v>
      </c>
      <c r="T1272" s="5" t="n">
        <v>356</v>
      </c>
      <c r="U1272" s="5" t="s">
        <v>1678</v>
      </c>
      <c r="V1272" s="5" t="s">
        <v>1302</v>
      </c>
      <c r="W1272" s="5"/>
      <c r="X1272" s="15" t="s">
        <v>1677</v>
      </c>
      <c r="Y1272" s="5"/>
    </row>
    <row r="1273" customFormat="false" ht="15" hidden="false" customHeight="false" outlineLevel="0" collapsed="false">
      <c r="A1273" s="5" t="s">
        <v>12572</v>
      </c>
      <c r="B1273" s="5" t="s">
        <v>1316</v>
      </c>
      <c r="C1273" s="5" t="s">
        <v>1317</v>
      </c>
      <c r="D1273" s="11" t="s">
        <v>162</v>
      </c>
      <c r="E1273" s="5" t="n">
        <v>5</v>
      </c>
      <c r="F1273" s="5" t="s">
        <v>12573</v>
      </c>
      <c r="G1273" s="13" t="s">
        <v>12574</v>
      </c>
      <c r="H1273" s="5" t="s">
        <v>12575</v>
      </c>
      <c r="I1273" s="13" t="s">
        <v>12576</v>
      </c>
      <c r="J1273" s="5" t="s">
        <v>12577</v>
      </c>
      <c r="K1273" s="5" t="s">
        <v>12578</v>
      </c>
      <c r="L1273" s="13" t="s">
        <v>12579</v>
      </c>
      <c r="M1273" s="13" t="s">
        <v>12580</v>
      </c>
      <c r="N1273" s="5" t="n">
        <f aca="false">LEN(L1273)</f>
        <v>25</v>
      </c>
      <c r="O1273" s="5" t="n">
        <f aca="false">LEN(M1273)</f>
        <v>25</v>
      </c>
      <c r="P1273" s="14" t="n">
        <f aca="false">IF(N1273=0,"",(N1273-LEN(SUBSTITUTE(SUBSTITUTE(L1273,"G",""),"C","")))/N1273)</f>
        <v>0.6</v>
      </c>
      <c r="Q1273" s="14" t="n">
        <f aca="false">IF(O1273=0,"",(O1273-LEN(SUBSTITUTE(SUBSTITUTE(M1273,"G",""),"C","")))/O1273)</f>
        <v>0.56</v>
      </c>
      <c r="R1273" s="5" t="s">
        <v>1321</v>
      </c>
      <c r="S1273" s="15" t="s">
        <v>1677</v>
      </c>
      <c r="T1273" s="5" t="n">
        <v>426</v>
      </c>
      <c r="U1273" s="5" t="s">
        <v>1678</v>
      </c>
      <c r="V1273" s="5" t="s">
        <v>1302</v>
      </c>
      <c r="W1273" s="5"/>
      <c r="X1273" s="15" t="s">
        <v>1677</v>
      </c>
      <c r="Y1273" s="5"/>
    </row>
    <row r="1274" customFormat="false" ht="15" hidden="false" customHeight="false" outlineLevel="0" collapsed="false">
      <c r="A1274" s="5" t="s">
        <v>12581</v>
      </c>
      <c r="B1274" s="5" t="s">
        <v>1316</v>
      </c>
      <c r="C1274" s="5" t="s">
        <v>1317</v>
      </c>
      <c r="D1274" s="11" t="s">
        <v>162</v>
      </c>
      <c r="E1274" s="5" t="n">
        <v>6</v>
      </c>
      <c r="F1274" s="5" t="s">
        <v>12582</v>
      </c>
      <c r="G1274" s="13" t="s">
        <v>12583</v>
      </c>
      <c r="H1274" s="5" t="s">
        <v>12584</v>
      </c>
      <c r="I1274" s="13" t="s">
        <v>12585</v>
      </c>
      <c r="J1274" s="5" t="s">
        <v>12586</v>
      </c>
      <c r="K1274" s="5" t="s">
        <v>12587</v>
      </c>
      <c r="L1274" s="13" t="s">
        <v>12588</v>
      </c>
      <c r="M1274" s="13" t="s">
        <v>12589</v>
      </c>
      <c r="N1274" s="5" t="n">
        <f aca="false">LEN(L1274)</f>
        <v>25</v>
      </c>
      <c r="O1274" s="5" t="n">
        <f aca="false">LEN(M1274)</f>
        <v>25</v>
      </c>
      <c r="P1274" s="14" t="n">
        <f aca="false">IF(N1274=0,"",(N1274-LEN(SUBSTITUTE(SUBSTITUTE(L1274,"G",""),"C","")))/N1274)</f>
        <v>0.6</v>
      </c>
      <c r="Q1274" s="14" t="n">
        <f aca="false">IF(O1274=0,"",(O1274-LEN(SUBSTITUTE(SUBSTITUTE(M1274,"G",""),"C","")))/O1274)</f>
        <v>0.48</v>
      </c>
      <c r="R1274" s="5" t="s">
        <v>1321</v>
      </c>
      <c r="S1274" s="15" t="s">
        <v>1677</v>
      </c>
      <c r="T1274" s="5" t="n">
        <v>496</v>
      </c>
      <c r="U1274" s="5" t="s">
        <v>1678</v>
      </c>
      <c r="V1274" s="5" t="s">
        <v>1302</v>
      </c>
      <c r="W1274" s="5"/>
      <c r="X1274" s="15" t="s">
        <v>1677</v>
      </c>
      <c r="Y1274" s="5"/>
    </row>
    <row r="1275" customFormat="false" ht="15" hidden="false" customHeight="false" outlineLevel="0" collapsed="false">
      <c r="A1275" s="5" t="s">
        <v>12590</v>
      </c>
      <c r="B1275" s="5" t="s">
        <v>1323</v>
      </c>
      <c r="C1275" s="5" t="s">
        <v>1324</v>
      </c>
      <c r="D1275" s="11" t="s">
        <v>162</v>
      </c>
      <c r="E1275" s="5" t="n">
        <v>1</v>
      </c>
      <c r="F1275" s="5" t="s">
        <v>12591</v>
      </c>
      <c r="G1275" s="13" t="s">
        <v>12592</v>
      </c>
      <c r="H1275" s="5" t="s">
        <v>12593</v>
      </c>
      <c r="I1275" s="13" t="s">
        <v>12594</v>
      </c>
      <c r="J1275" s="5" t="s">
        <v>12595</v>
      </c>
      <c r="K1275" s="5" t="s">
        <v>12596</v>
      </c>
      <c r="L1275" s="13" t="s">
        <v>12597</v>
      </c>
      <c r="M1275" s="13" t="s">
        <v>12598</v>
      </c>
      <c r="N1275" s="5" t="n">
        <f aca="false">LEN(L1275)</f>
        <v>25</v>
      </c>
      <c r="O1275" s="5" t="n">
        <f aca="false">LEN(M1275)</f>
        <v>25</v>
      </c>
      <c r="P1275" s="14" t="n">
        <f aca="false">IF(N1275=0,"",(N1275-LEN(SUBSTITUTE(SUBSTITUTE(L1275,"G",""),"C","")))/N1275)</f>
        <v>0.56</v>
      </c>
      <c r="Q1275" s="14" t="n">
        <f aca="false">IF(O1275=0,"",(O1275-LEN(SUBSTITUTE(SUBSTITUTE(M1275,"G",""),"C","")))/O1275)</f>
        <v>0.52</v>
      </c>
      <c r="R1275" s="5" t="s">
        <v>1328</v>
      </c>
      <c r="S1275" s="15" t="s">
        <v>1677</v>
      </c>
      <c r="T1275" s="5" t="n">
        <v>146</v>
      </c>
      <c r="U1275" s="5" t="s">
        <v>1678</v>
      </c>
      <c r="V1275" s="5" t="s">
        <v>1302</v>
      </c>
      <c r="W1275" s="5"/>
      <c r="X1275" s="15" t="s">
        <v>1677</v>
      </c>
      <c r="Y1275" s="5"/>
    </row>
    <row r="1276" customFormat="false" ht="15" hidden="false" customHeight="false" outlineLevel="0" collapsed="false">
      <c r="A1276" s="5" t="s">
        <v>12599</v>
      </c>
      <c r="B1276" s="5" t="s">
        <v>1323</v>
      </c>
      <c r="C1276" s="5" t="s">
        <v>1324</v>
      </c>
      <c r="D1276" s="11" t="s">
        <v>162</v>
      </c>
      <c r="E1276" s="5" t="n">
        <v>2</v>
      </c>
      <c r="F1276" s="5" t="s">
        <v>12600</v>
      </c>
      <c r="G1276" s="13" t="s">
        <v>12601</v>
      </c>
      <c r="H1276" s="5" t="s">
        <v>12602</v>
      </c>
      <c r="I1276" s="13" t="s">
        <v>12603</v>
      </c>
      <c r="J1276" s="5" t="s">
        <v>12604</v>
      </c>
      <c r="K1276" s="5" t="s">
        <v>12605</v>
      </c>
      <c r="L1276" s="13" t="s">
        <v>12606</v>
      </c>
      <c r="M1276" s="13" t="s">
        <v>12607</v>
      </c>
      <c r="N1276" s="5" t="n">
        <f aca="false">LEN(L1276)</f>
        <v>25</v>
      </c>
      <c r="O1276" s="5" t="n">
        <f aca="false">LEN(M1276)</f>
        <v>25</v>
      </c>
      <c r="P1276" s="14" t="n">
        <f aca="false">IF(N1276=0,"",(N1276-LEN(SUBSTITUTE(SUBSTITUTE(L1276,"G",""),"C","")))/N1276)</f>
        <v>0.36</v>
      </c>
      <c r="Q1276" s="14" t="n">
        <f aca="false">IF(O1276=0,"",(O1276-LEN(SUBSTITUTE(SUBSTITUTE(M1276,"G",""),"C","")))/O1276)</f>
        <v>0.44</v>
      </c>
      <c r="R1276" s="5" t="s">
        <v>1328</v>
      </c>
      <c r="S1276" s="15" t="s">
        <v>1677</v>
      </c>
      <c r="T1276" s="5" t="n">
        <v>216</v>
      </c>
      <c r="U1276" s="5" t="s">
        <v>1678</v>
      </c>
      <c r="V1276" s="5" t="s">
        <v>1302</v>
      </c>
      <c r="W1276" s="5"/>
      <c r="X1276" s="15" t="s">
        <v>1677</v>
      </c>
      <c r="Y1276" s="5"/>
    </row>
    <row r="1277" customFormat="false" ht="15" hidden="false" customHeight="false" outlineLevel="0" collapsed="false">
      <c r="A1277" s="5" t="s">
        <v>12608</v>
      </c>
      <c r="B1277" s="5" t="s">
        <v>1323</v>
      </c>
      <c r="C1277" s="5" t="s">
        <v>1324</v>
      </c>
      <c r="D1277" s="11" t="s">
        <v>162</v>
      </c>
      <c r="E1277" s="5" t="n">
        <v>3</v>
      </c>
      <c r="F1277" s="5" t="s">
        <v>12609</v>
      </c>
      <c r="G1277" s="13" t="s">
        <v>12610</v>
      </c>
      <c r="H1277" s="5" t="s">
        <v>12611</v>
      </c>
      <c r="I1277" s="13" t="s">
        <v>12612</v>
      </c>
      <c r="J1277" s="5" t="s">
        <v>12613</v>
      </c>
      <c r="K1277" s="5" t="s">
        <v>12614</v>
      </c>
      <c r="L1277" s="13" t="s">
        <v>12615</v>
      </c>
      <c r="M1277" s="13" t="s">
        <v>12616</v>
      </c>
      <c r="N1277" s="5" t="n">
        <f aca="false">LEN(L1277)</f>
        <v>25</v>
      </c>
      <c r="O1277" s="5" t="n">
        <f aca="false">LEN(M1277)</f>
        <v>25</v>
      </c>
      <c r="P1277" s="14" t="n">
        <f aca="false">IF(N1277=0,"",(N1277-LEN(SUBSTITUTE(SUBSTITUTE(L1277,"G",""),"C","")))/N1277)</f>
        <v>0.4</v>
      </c>
      <c r="Q1277" s="14" t="n">
        <f aca="false">IF(O1277=0,"",(O1277-LEN(SUBSTITUTE(SUBSTITUTE(M1277,"G",""),"C","")))/O1277)</f>
        <v>0.44</v>
      </c>
      <c r="R1277" s="5" t="s">
        <v>1328</v>
      </c>
      <c r="S1277" s="15" t="s">
        <v>1677</v>
      </c>
      <c r="T1277" s="5" t="n">
        <v>286</v>
      </c>
      <c r="U1277" s="5" t="s">
        <v>1678</v>
      </c>
      <c r="V1277" s="5" t="s">
        <v>1302</v>
      </c>
      <c r="W1277" s="5"/>
      <c r="X1277" s="15" t="s">
        <v>1677</v>
      </c>
      <c r="Y1277" s="5"/>
    </row>
    <row r="1278" customFormat="false" ht="15" hidden="false" customHeight="false" outlineLevel="0" collapsed="false">
      <c r="A1278" s="5" t="s">
        <v>12617</v>
      </c>
      <c r="B1278" s="5" t="s">
        <v>1323</v>
      </c>
      <c r="C1278" s="5" t="s">
        <v>1324</v>
      </c>
      <c r="D1278" s="11" t="s">
        <v>162</v>
      </c>
      <c r="E1278" s="5" t="n">
        <v>4</v>
      </c>
      <c r="F1278" s="5" t="s">
        <v>12618</v>
      </c>
      <c r="G1278" s="13" t="s">
        <v>12619</v>
      </c>
      <c r="H1278" s="5" t="s">
        <v>12620</v>
      </c>
      <c r="I1278" s="13" t="s">
        <v>12621</v>
      </c>
      <c r="J1278" s="5" t="s">
        <v>12622</v>
      </c>
      <c r="K1278" s="5" t="s">
        <v>12623</v>
      </c>
      <c r="L1278" s="13" t="s">
        <v>12624</v>
      </c>
      <c r="M1278" s="13" t="s">
        <v>12625</v>
      </c>
      <c r="N1278" s="5" t="n">
        <f aca="false">LEN(L1278)</f>
        <v>25</v>
      </c>
      <c r="O1278" s="5" t="n">
        <f aca="false">LEN(M1278)</f>
        <v>25</v>
      </c>
      <c r="P1278" s="14" t="n">
        <f aca="false">IF(N1278=0,"",(N1278-LEN(SUBSTITUTE(SUBSTITUTE(L1278,"G",""),"C","")))/N1278)</f>
        <v>0.36</v>
      </c>
      <c r="Q1278" s="14" t="n">
        <f aca="false">IF(O1278=0,"",(O1278-LEN(SUBSTITUTE(SUBSTITUTE(M1278,"G",""),"C","")))/O1278)</f>
        <v>0.48</v>
      </c>
      <c r="R1278" s="5" t="s">
        <v>1328</v>
      </c>
      <c r="S1278" s="15" t="s">
        <v>1677</v>
      </c>
      <c r="T1278" s="5" t="n">
        <v>356</v>
      </c>
      <c r="U1278" s="5" t="s">
        <v>1678</v>
      </c>
      <c r="V1278" s="5" t="s">
        <v>1302</v>
      </c>
      <c r="W1278" s="5"/>
      <c r="X1278" s="15" t="s">
        <v>1677</v>
      </c>
      <c r="Y1278" s="5"/>
    </row>
    <row r="1279" customFormat="false" ht="15" hidden="false" customHeight="false" outlineLevel="0" collapsed="false">
      <c r="A1279" s="5" t="s">
        <v>12626</v>
      </c>
      <c r="B1279" s="5" t="s">
        <v>1323</v>
      </c>
      <c r="C1279" s="5" t="s">
        <v>1324</v>
      </c>
      <c r="D1279" s="11" t="s">
        <v>162</v>
      </c>
      <c r="E1279" s="5" t="n">
        <v>5</v>
      </c>
      <c r="F1279" s="5" t="s">
        <v>12627</v>
      </c>
      <c r="G1279" s="13" t="s">
        <v>12628</v>
      </c>
      <c r="H1279" s="5" t="s">
        <v>12629</v>
      </c>
      <c r="I1279" s="13" t="s">
        <v>12630</v>
      </c>
      <c r="J1279" s="5" t="s">
        <v>12631</v>
      </c>
      <c r="K1279" s="5" t="s">
        <v>12632</v>
      </c>
      <c r="L1279" s="13" t="s">
        <v>12633</v>
      </c>
      <c r="M1279" s="13" t="s">
        <v>12634</v>
      </c>
      <c r="N1279" s="5" t="n">
        <f aca="false">LEN(L1279)</f>
        <v>25</v>
      </c>
      <c r="O1279" s="5" t="n">
        <f aca="false">LEN(M1279)</f>
        <v>25</v>
      </c>
      <c r="P1279" s="14" t="n">
        <f aca="false">IF(N1279=0,"",(N1279-LEN(SUBSTITUTE(SUBSTITUTE(L1279,"G",""),"C","")))/N1279)</f>
        <v>0.32</v>
      </c>
      <c r="Q1279" s="14" t="n">
        <f aca="false">IF(O1279=0,"",(O1279-LEN(SUBSTITUTE(SUBSTITUTE(M1279,"G",""),"C","")))/O1279)</f>
        <v>0.48</v>
      </c>
      <c r="R1279" s="5" t="s">
        <v>1328</v>
      </c>
      <c r="S1279" s="15" t="s">
        <v>1677</v>
      </c>
      <c r="T1279" s="5" t="n">
        <v>426</v>
      </c>
      <c r="U1279" s="5" t="s">
        <v>1678</v>
      </c>
      <c r="V1279" s="5" t="s">
        <v>1302</v>
      </c>
      <c r="W1279" s="5"/>
      <c r="X1279" s="15" t="s">
        <v>1677</v>
      </c>
      <c r="Y1279" s="5"/>
    </row>
    <row r="1280" customFormat="false" ht="15" hidden="false" customHeight="false" outlineLevel="0" collapsed="false">
      <c r="A1280" s="5" t="s">
        <v>12635</v>
      </c>
      <c r="B1280" s="5" t="s">
        <v>1323</v>
      </c>
      <c r="C1280" s="5" t="s">
        <v>1324</v>
      </c>
      <c r="D1280" s="11" t="s">
        <v>162</v>
      </c>
      <c r="E1280" s="5" t="n">
        <v>6</v>
      </c>
      <c r="F1280" s="5" t="s">
        <v>12636</v>
      </c>
      <c r="G1280" s="13" t="s">
        <v>12637</v>
      </c>
      <c r="H1280" s="5" t="s">
        <v>12638</v>
      </c>
      <c r="I1280" s="13" t="s">
        <v>12639</v>
      </c>
      <c r="J1280" s="5" t="s">
        <v>12640</v>
      </c>
      <c r="K1280" s="5" t="s">
        <v>12641</v>
      </c>
      <c r="L1280" s="13" t="s">
        <v>12642</v>
      </c>
      <c r="M1280" s="13" t="s">
        <v>12643</v>
      </c>
      <c r="N1280" s="5" t="n">
        <f aca="false">LEN(L1280)</f>
        <v>25</v>
      </c>
      <c r="O1280" s="5" t="n">
        <f aca="false">LEN(M1280)</f>
        <v>25</v>
      </c>
      <c r="P1280" s="14" t="n">
        <f aca="false">IF(N1280=0,"",(N1280-LEN(SUBSTITUTE(SUBSTITUTE(L1280,"G",""),"C","")))/N1280)</f>
        <v>0.4</v>
      </c>
      <c r="Q1280" s="14" t="n">
        <f aca="false">IF(O1280=0,"",(O1280-LEN(SUBSTITUTE(SUBSTITUTE(M1280,"G",""),"C","")))/O1280)</f>
        <v>0.52</v>
      </c>
      <c r="R1280" s="5" t="s">
        <v>1328</v>
      </c>
      <c r="S1280" s="15" t="s">
        <v>1677</v>
      </c>
      <c r="T1280" s="5" t="n">
        <v>496</v>
      </c>
      <c r="U1280" s="5" t="s">
        <v>1678</v>
      </c>
      <c r="V1280" s="5" t="s">
        <v>1302</v>
      </c>
      <c r="W1280" s="5"/>
      <c r="X1280" s="15" t="s">
        <v>1677</v>
      </c>
      <c r="Y1280" s="5"/>
    </row>
    <row r="1281" customFormat="false" ht="15" hidden="false" customHeight="false" outlineLevel="0" collapsed="false">
      <c r="A1281" s="5" t="s">
        <v>12644</v>
      </c>
      <c r="B1281" s="5" t="s">
        <v>1331</v>
      </c>
      <c r="C1281" s="5" t="s">
        <v>1104</v>
      </c>
      <c r="D1281" s="11" t="s">
        <v>162</v>
      </c>
      <c r="E1281" s="5" t="n">
        <v>1</v>
      </c>
      <c r="F1281" s="5" t="s">
        <v>12645</v>
      </c>
      <c r="G1281" s="13" t="s">
        <v>12646</v>
      </c>
      <c r="H1281" s="5" t="s">
        <v>12647</v>
      </c>
      <c r="I1281" s="13" t="s">
        <v>12648</v>
      </c>
      <c r="J1281" s="5" t="s">
        <v>12649</v>
      </c>
      <c r="K1281" s="5" t="s">
        <v>12650</v>
      </c>
      <c r="L1281" s="13" t="s">
        <v>10298</v>
      </c>
      <c r="M1281" s="13" t="s">
        <v>10299</v>
      </c>
      <c r="N1281" s="5" t="n">
        <f aca="false">LEN(L1281)</f>
        <v>25</v>
      </c>
      <c r="O1281" s="5" t="n">
        <f aca="false">LEN(M1281)</f>
        <v>25</v>
      </c>
      <c r="P1281" s="14" t="n">
        <f aca="false">IF(N1281=0,"",(N1281-LEN(SUBSTITUTE(SUBSTITUTE(L1281,"G",""),"C","")))/N1281)</f>
        <v>0.72</v>
      </c>
      <c r="Q1281" s="14" t="n">
        <f aca="false">IF(O1281=0,"",(O1281-LEN(SUBSTITUTE(SUBSTITUTE(M1281,"G",""),"C","")))/O1281)</f>
        <v>0.84</v>
      </c>
      <c r="R1281" s="5" t="s">
        <v>1108</v>
      </c>
      <c r="S1281" s="15" t="s">
        <v>1677</v>
      </c>
      <c r="T1281" s="5" t="n">
        <v>16</v>
      </c>
      <c r="U1281" s="5" t="s">
        <v>1678</v>
      </c>
      <c r="V1281" s="5" t="s">
        <v>1302</v>
      </c>
      <c r="W1281" s="5"/>
      <c r="X1281" s="8" t="s">
        <v>2131</v>
      </c>
      <c r="Y1281" s="5"/>
    </row>
    <row r="1282" customFormat="false" ht="15" hidden="false" customHeight="false" outlineLevel="0" collapsed="false">
      <c r="A1282" s="5" t="s">
        <v>12651</v>
      </c>
      <c r="B1282" s="5" t="s">
        <v>1331</v>
      </c>
      <c r="C1282" s="5" t="s">
        <v>1104</v>
      </c>
      <c r="D1282" s="11" t="s">
        <v>162</v>
      </c>
      <c r="E1282" s="5" t="n">
        <v>2</v>
      </c>
      <c r="F1282" s="5" t="s">
        <v>12652</v>
      </c>
      <c r="G1282" s="13" t="s">
        <v>12653</v>
      </c>
      <c r="H1282" s="5" t="s">
        <v>12654</v>
      </c>
      <c r="I1282" s="13" t="s">
        <v>12655</v>
      </c>
      <c r="J1282" s="5" t="s">
        <v>12656</v>
      </c>
      <c r="K1282" s="5" t="s">
        <v>12657</v>
      </c>
      <c r="L1282" s="13" t="s">
        <v>10307</v>
      </c>
      <c r="M1282" s="13" t="s">
        <v>10308</v>
      </c>
      <c r="N1282" s="5" t="n">
        <f aca="false">LEN(L1282)</f>
        <v>25</v>
      </c>
      <c r="O1282" s="5" t="n">
        <f aca="false">LEN(M1282)</f>
        <v>25</v>
      </c>
      <c r="P1282" s="14" t="n">
        <f aca="false">IF(N1282=0,"",(N1282-LEN(SUBSTITUTE(SUBSTITUTE(L1282,"G",""),"C","")))/N1282)</f>
        <v>0.88</v>
      </c>
      <c r="Q1282" s="14" t="n">
        <f aca="false">IF(O1282=0,"",(O1282-LEN(SUBSTITUTE(SUBSTITUTE(M1282,"G",""),"C","")))/O1282)</f>
        <v>0.6</v>
      </c>
      <c r="R1282" s="5" t="s">
        <v>1108</v>
      </c>
      <c r="S1282" s="15" t="s">
        <v>1677</v>
      </c>
      <c r="T1282" s="5" t="n">
        <v>133</v>
      </c>
      <c r="U1282" s="5" t="s">
        <v>1678</v>
      </c>
      <c r="V1282" s="5" t="s">
        <v>1302</v>
      </c>
      <c r="W1282" s="5"/>
      <c r="X1282" s="8" t="s">
        <v>2131</v>
      </c>
      <c r="Y1282" s="5"/>
    </row>
    <row r="1283" customFormat="false" ht="15" hidden="false" customHeight="false" outlineLevel="0" collapsed="false">
      <c r="A1283" s="5" t="s">
        <v>12658</v>
      </c>
      <c r="B1283" s="5" t="s">
        <v>1331</v>
      </c>
      <c r="C1283" s="5" t="s">
        <v>1104</v>
      </c>
      <c r="D1283" s="11" t="s">
        <v>162</v>
      </c>
      <c r="E1283" s="5" t="n">
        <v>3</v>
      </c>
      <c r="F1283" s="5" t="s">
        <v>12659</v>
      </c>
      <c r="G1283" s="13" t="s">
        <v>12660</v>
      </c>
      <c r="H1283" s="5" t="s">
        <v>12661</v>
      </c>
      <c r="I1283" s="13" t="s">
        <v>12662</v>
      </c>
      <c r="J1283" s="5" t="s">
        <v>12663</v>
      </c>
      <c r="K1283" s="5" t="s">
        <v>12664</v>
      </c>
      <c r="L1283" s="13" t="s">
        <v>10316</v>
      </c>
      <c r="M1283" s="13" t="s">
        <v>10317</v>
      </c>
      <c r="N1283" s="5" t="n">
        <f aca="false">LEN(L1283)</f>
        <v>25</v>
      </c>
      <c r="O1283" s="5" t="n">
        <f aca="false">LEN(M1283)</f>
        <v>25</v>
      </c>
      <c r="P1283" s="14" t="n">
        <f aca="false">IF(N1283=0,"",(N1283-LEN(SUBSTITUTE(SUBSTITUTE(L1283,"G",""),"C","")))/N1283)</f>
        <v>0.8</v>
      </c>
      <c r="Q1283" s="14" t="n">
        <f aca="false">IF(O1283=0,"",(O1283-LEN(SUBSTITUTE(SUBSTITUTE(M1283,"G",""),"C","")))/O1283)</f>
        <v>0.76</v>
      </c>
      <c r="R1283" s="5" t="s">
        <v>1108</v>
      </c>
      <c r="S1283" s="15" t="s">
        <v>1677</v>
      </c>
      <c r="T1283" s="5" t="n">
        <v>200</v>
      </c>
      <c r="U1283" s="5" t="s">
        <v>1678</v>
      </c>
      <c r="V1283" s="5" t="s">
        <v>1302</v>
      </c>
      <c r="W1283" s="5"/>
      <c r="X1283" s="8" t="s">
        <v>2131</v>
      </c>
      <c r="Y1283" s="5"/>
    </row>
    <row r="1284" customFormat="false" ht="15" hidden="false" customHeight="false" outlineLevel="0" collapsed="false">
      <c r="A1284" s="5" t="s">
        <v>12665</v>
      </c>
      <c r="B1284" s="5" t="s">
        <v>1331</v>
      </c>
      <c r="C1284" s="5" t="s">
        <v>1104</v>
      </c>
      <c r="D1284" s="11" t="s">
        <v>162</v>
      </c>
      <c r="E1284" s="5" t="n">
        <v>4</v>
      </c>
      <c r="F1284" s="5" t="s">
        <v>12666</v>
      </c>
      <c r="G1284" s="13" t="s">
        <v>12667</v>
      </c>
      <c r="H1284" s="5" t="s">
        <v>12668</v>
      </c>
      <c r="I1284" s="13" t="s">
        <v>12669</v>
      </c>
      <c r="J1284" s="5" t="s">
        <v>12670</v>
      </c>
      <c r="K1284" s="5" t="s">
        <v>12671</v>
      </c>
      <c r="L1284" s="13" t="s">
        <v>10325</v>
      </c>
      <c r="M1284" s="13" t="s">
        <v>10326</v>
      </c>
      <c r="N1284" s="5" t="n">
        <f aca="false">LEN(L1284)</f>
        <v>25</v>
      </c>
      <c r="O1284" s="5" t="n">
        <f aca="false">LEN(M1284)</f>
        <v>25</v>
      </c>
      <c r="P1284" s="14" t="n">
        <f aca="false">IF(N1284=0,"",(N1284-LEN(SUBSTITUTE(SUBSTITUTE(L1284,"G",""),"C","")))/N1284)</f>
        <v>0.72</v>
      </c>
      <c r="Q1284" s="14" t="n">
        <f aca="false">IF(O1284=0,"",(O1284-LEN(SUBSTITUTE(SUBSTITUTE(M1284,"G",""),"C","")))/O1284)</f>
        <v>0.6</v>
      </c>
      <c r="R1284" s="5" t="s">
        <v>1108</v>
      </c>
      <c r="S1284" s="15" t="s">
        <v>1677</v>
      </c>
      <c r="T1284" s="5" t="n">
        <v>333</v>
      </c>
      <c r="U1284" s="5" t="s">
        <v>1678</v>
      </c>
      <c r="V1284" s="5" t="s">
        <v>1302</v>
      </c>
      <c r="W1284" s="5"/>
      <c r="X1284" s="8" t="s">
        <v>2131</v>
      </c>
      <c r="Y1284" s="5"/>
    </row>
    <row r="1285" customFormat="false" ht="15" hidden="false" customHeight="false" outlineLevel="0" collapsed="false">
      <c r="A1285" s="5" t="s">
        <v>12672</v>
      </c>
      <c r="B1285" s="5" t="s">
        <v>1331</v>
      </c>
      <c r="C1285" s="5" t="s">
        <v>1104</v>
      </c>
      <c r="D1285" s="11" t="s">
        <v>162</v>
      </c>
      <c r="E1285" s="5" t="n">
        <v>5</v>
      </c>
      <c r="F1285" s="5" t="s">
        <v>12673</v>
      </c>
      <c r="G1285" s="13" t="s">
        <v>12674</v>
      </c>
      <c r="H1285" s="5" t="s">
        <v>12675</v>
      </c>
      <c r="I1285" s="13" t="s">
        <v>12676</v>
      </c>
      <c r="J1285" s="5" t="s">
        <v>12677</v>
      </c>
      <c r="K1285" s="5" t="s">
        <v>12678</v>
      </c>
      <c r="L1285" s="13" t="s">
        <v>10334</v>
      </c>
      <c r="M1285" s="13" t="s">
        <v>10335</v>
      </c>
      <c r="N1285" s="5" t="n">
        <f aca="false">LEN(L1285)</f>
        <v>25</v>
      </c>
      <c r="O1285" s="5" t="n">
        <f aca="false">LEN(M1285)</f>
        <v>25</v>
      </c>
      <c r="P1285" s="14" t="n">
        <f aca="false">IF(N1285=0,"",(N1285-LEN(SUBSTITUTE(SUBSTITUTE(L1285,"G",""),"C","")))/N1285)</f>
        <v>0.8</v>
      </c>
      <c r="Q1285" s="14" t="n">
        <f aca="false">IF(O1285=0,"",(O1285-LEN(SUBSTITUTE(SUBSTITUTE(M1285,"G",""),"C","")))/O1285)</f>
        <v>0.68</v>
      </c>
      <c r="R1285" s="5" t="s">
        <v>1108</v>
      </c>
      <c r="S1285" s="15" t="s">
        <v>1677</v>
      </c>
      <c r="T1285" s="5" t="n">
        <v>465</v>
      </c>
      <c r="U1285" s="5" t="s">
        <v>1678</v>
      </c>
      <c r="V1285" s="5" t="s">
        <v>1302</v>
      </c>
      <c r="W1285" s="5"/>
      <c r="X1285" s="8" t="s">
        <v>2131</v>
      </c>
      <c r="Y1285" s="5"/>
    </row>
    <row r="1286" customFormat="false" ht="15" hidden="false" customHeight="false" outlineLevel="0" collapsed="false">
      <c r="A1286" s="5" t="s">
        <v>12679</v>
      </c>
      <c r="B1286" s="5" t="s">
        <v>1331</v>
      </c>
      <c r="C1286" s="5" t="s">
        <v>1104</v>
      </c>
      <c r="D1286" s="11" t="s">
        <v>162</v>
      </c>
      <c r="E1286" s="5" t="n">
        <v>6</v>
      </c>
      <c r="F1286" s="5" t="s">
        <v>12680</v>
      </c>
      <c r="G1286" s="13" t="s">
        <v>12681</v>
      </c>
      <c r="H1286" s="5" t="s">
        <v>12682</v>
      </c>
      <c r="I1286" s="13" t="s">
        <v>12683</v>
      </c>
      <c r="J1286" s="5" t="s">
        <v>12684</v>
      </c>
      <c r="K1286" s="5" t="s">
        <v>12685</v>
      </c>
      <c r="L1286" s="13" t="s">
        <v>10343</v>
      </c>
      <c r="M1286" s="13" t="s">
        <v>10344</v>
      </c>
      <c r="N1286" s="5" t="n">
        <f aca="false">LEN(L1286)</f>
        <v>25</v>
      </c>
      <c r="O1286" s="5" t="n">
        <f aca="false">LEN(M1286)</f>
        <v>25</v>
      </c>
      <c r="P1286" s="14" t="n">
        <f aca="false">IF(N1286=0,"",(N1286-LEN(SUBSTITUTE(SUBSTITUTE(L1286,"G",""),"C","")))/N1286)</f>
        <v>0.68</v>
      </c>
      <c r="Q1286" s="14" t="n">
        <f aca="false">IF(O1286=0,"",(O1286-LEN(SUBSTITUTE(SUBSTITUTE(M1286,"G",""),"C","")))/O1286)</f>
        <v>0.6</v>
      </c>
      <c r="R1286" s="5" t="s">
        <v>1108</v>
      </c>
      <c r="S1286" s="15" t="s">
        <v>1677</v>
      </c>
      <c r="T1286" s="5" t="n">
        <v>597</v>
      </c>
      <c r="U1286" s="5" t="s">
        <v>1678</v>
      </c>
      <c r="V1286" s="5" t="s">
        <v>1302</v>
      </c>
      <c r="W1286" s="5"/>
      <c r="X1286" s="15" t="s">
        <v>1677</v>
      </c>
      <c r="Y1286" s="5"/>
    </row>
    <row r="1287" customFormat="false" ht="15" hidden="false" customHeight="false" outlineLevel="0" collapsed="false">
      <c r="A1287" s="5" t="s">
        <v>12686</v>
      </c>
      <c r="B1287" s="5" t="s">
        <v>1332</v>
      </c>
      <c r="C1287" s="5" t="s">
        <v>159</v>
      </c>
      <c r="D1287" s="11" t="s">
        <v>162</v>
      </c>
      <c r="E1287" s="5" t="n">
        <v>1</v>
      </c>
      <c r="F1287" s="5" t="s">
        <v>12687</v>
      </c>
      <c r="G1287" s="13" t="s">
        <v>12688</v>
      </c>
      <c r="H1287" s="5" t="s">
        <v>12689</v>
      </c>
      <c r="I1287" s="13" t="s">
        <v>12690</v>
      </c>
      <c r="J1287" s="5" t="s">
        <v>12691</v>
      </c>
      <c r="K1287" s="5" t="s">
        <v>12692</v>
      </c>
      <c r="L1287" s="13" t="s">
        <v>2418</v>
      </c>
      <c r="M1287" s="13" t="s">
        <v>2419</v>
      </c>
      <c r="N1287" s="5" t="n">
        <f aca="false">LEN(L1287)</f>
        <v>25</v>
      </c>
      <c r="O1287" s="5" t="n">
        <f aca="false">LEN(M1287)</f>
        <v>25</v>
      </c>
      <c r="P1287" s="14" t="n">
        <f aca="false">IF(N1287=0,"",(N1287-LEN(SUBSTITUTE(SUBSTITUTE(L1287,"G",""),"C","")))/N1287)</f>
        <v>0.68</v>
      </c>
      <c r="Q1287" s="14" t="n">
        <f aca="false">IF(O1287=0,"",(O1287-LEN(SUBSTITUTE(SUBSTITUTE(M1287,"G",""),"C","")))/O1287)</f>
        <v>0.76</v>
      </c>
      <c r="R1287" s="5" t="s">
        <v>164</v>
      </c>
      <c r="S1287" s="15" t="s">
        <v>1677</v>
      </c>
      <c r="T1287" s="5" t="n">
        <v>12</v>
      </c>
      <c r="U1287" s="5" t="s">
        <v>1678</v>
      </c>
      <c r="V1287" s="5" t="s">
        <v>1302</v>
      </c>
      <c r="W1287" s="5"/>
      <c r="X1287" s="8" t="s">
        <v>1769</v>
      </c>
      <c r="Y1287" s="5"/>
    </row>
    <row r="1288" customFormat="false" ht="15" hidden="false" customHeight="false" outlineLevel="0" collapsed="false">
      <c r="A1288" s="5" t="s">
        <v>12693</v>
      </c>
      <c r="B1288" s="5" t="s">
        <v>1332</v>
      </c>
      <c r="C1288" s="5" t="s">
        <v>159</v>
      </c>
      <c r="D1288" s="11" t="s">
        <v>162</v>
      </c>
      <c r="E1288" s="5" t="n">
        <v>2</v>
      </c>
      <c r="F1288" s="5" t="s">
        <v>12694</v>
      </c>
      <c r="G1288" s="13" t="s">
        <v>12695</v>
      </c>
      <c r="H1288" s="5" t="s">
        <v>12696</v>
      </c>
      <c r="I1288" s="13" t="s">
        <v>12697</v>
      </c>
      <c r="J1288" s="5" t="s">
        <v>12698</v>
      </c>
      <c r="K1288" s="5" t="s">
        <v>12699</v>
      </c>
      <c r="L1288" s="13" t="s">
        <v>2427</v>
      </c>
      <c r="M1288" s="13" t="s">
        <v>2428</v>
      </c>
      <c r="N1288" s="5" t="n">
        <f aca="false">LEN(L1288)</f>
        <v>25</v>
      </c>
      <c r="O1288" s="5" t="n">
        <f aca="false">LEN(M1288)</f>
        <v>25</v>
      </c>
      <c r="P1288" s="14" t="n">
        <f aca="false">IF(N1288=0,"",(N1288-LEN(SUBSTITUTE(SUBSTITUTE(L1288,"G",""),"C","")))/N1288)</f>
        <v>0.68</v>
      </c>
      <c r="Q1288" s="14" t="n">
        <f aca="false">IF(O1288=0,"",(O1288-LEN(SUBSTITUTE(SUBSTITUTE(M1288,"G",""),"C","")))/O1288)</f>
        <v>0.68</v>
      </c>
      <c r="R1288" s="5" t="s">
        <v>164</v>
      </c>
      <c r="S1288" s="15" t="s">
        <v>1677</v>
      </c>
      <c r="T1288" s="5" t="n">
        <v>73</v>
      </c>
      <c r="U1288" s="5" t="s">
        <v>1678</v>
      </c>
      <c r="V1288" s="5" t="s">
        <v>1302</v>
      </c>
      <c r="W1288" s="5"/>
      <c r="X1288" s="8" t="s">
        <v>1914</v>
      </c>
      <c r="Y1288" s="5"/>
    </row>
    <row r="1289" customFormat="false" ht="15" hidden="false" customHeight="false" outlineLevel="0" collapsed="false">
      <c r="A1289" s="5" t="s">
        <v>12700</v>
      </c>
      <c r="B1289" s="5" t="s">
        <v>1332</v>
      </c>
      <c r="C1289" s="5" t="s">
        <v>159</v>
      </c>
      <c r="D1289" s="11" t="s">
        <v>162</v>
      </c>
      <c r="E1289" s="5" t="n">
        <v>3</v>
      </c>
      <c r="F1289" s="5" t="s">
        <v>12701</v>
      </c>
      <c r="G1289" s="13" t="s">
        <v>12702</v>
      </c>
      <c r="H1289" s="5" t="s">
        <v>12703</v>
      </c>
      <c r="I1289" s="13" t="s">
        <v>12704</v>
      </c>
      <c r="J1289" s="5" t="s">
        <v>12705</v>
      </c>
      <c r="K1289" s="5" t="s">
        <v>12706</v>
      </c>
      <c r="L1289" s="13" t="s">
        <v>2436</v>
      </c>
      <c r="M1289" s="13" t="s">
        <v>2437</v>
      </c>
      <c r="N1289" s="5" t="n">
        <f aca="false">LEN(L1289)</f>
        <v>25</v>
      </c>
      <c r="O1289" s="5" t="n">
        <f aca="false">LEN(M1289)</f>
        <v>25</v>
      </c>
      <c r="P1289" s="14" t="n">
        <f aca="false">IF(N1289=0,"",(N1289-LEN(SUBSTITUTE(SUBSTITUTE(L1289,"G",""),"C","")))/N1289)</f>
        <v>0.72</v>
      </c>
      <c r="Q1289" s="14" t="n">
        <f aca="false">IF(O1289=0,"",(O1289-LEN(SUBSTITUTE(SUBSTITUTE(M1289,"G",""),"C","")))/O1289)</f>
        <v>0.8</v>
      </c>
      <c r="R1289" s="5" t="s">
        <v>164</v>
      </c>
      <c r="S1289" s="15" t="s">
        <v>1677</v>
      </c>
      <c r="T1289" s="5" t="n">
        <v>133</v>
      </c>
      <c r="U1289" s="5" t="s">
        <v>1678</v>
      </c>
      <c r="V1289" s="5" t="s">
        <v>1302</v>
      </c>
      <c r="W1289" s="5"/>
      <c r="X1289" s="8" t="s">
        <v>1914</v>
      </c>
      <c r="Y1289" s="5"/>
    </row>
    <row r="1290" customFormat="false" ht="15" hidden="false" customHeight="false" outlineLevel="0" collapsed="false">
      <c r="A1290" s="5" t="s">
        <v>12707</v>
      </c>
      <c r="B1290" s="5" t="s">
        <v>1332</v>
      </c>
      <c r="C1290" s="5" t="s">
        <v>159</v>
      </c>
      <c r="D1290" s="11" t="s">
        <v>162</v>
      </c>
      <c r="E1290" s="5" t="n">
        <v>4</v>
      </c>
      <c r="F1290" s="5" t="s">
        <v>12708</v>
      </c>
      <c r="G1290" s="13" t="s">
        <v>12709</v>
      </c>
      <c r="H1290" s="5" t="s">
        <v>12710</v>
      </c>
      <c r="I1290" s="13" t="s">
        <v>12711</v>
      </c>
      <c r="J1290" s="5" t="s">
        <v>12712</v>
      </c>
      <c r="K1290" s="5" t="s">
        <v>12713</v>
      </c>
      <c r="L1290" s="13" t="s">
        <v>2445</v>
      </c>
      <c r="M1290" s="13" t="s">
        <v>2446</v>
      </c>
      <c r="N1290" s="5" t="n">
        <f aca="false">LEN(L1290)</f>
        <v>25</v>
      </c>
      <c r="O1290" s="5" t="n">
        <f aca="false">LEN(M1290)</f>
        <v>25</v>
      </c>
      <c r="P1290" s="14" t="n">
        <f aca="false">IF(N1290=0,"",(N1290-LEN(SUBSTITUTE(SUBSTITUTE(L1290,"G",""),"C","")))/N1290)</f>
        <v>0.72</v>
      </c>
      <c r="Q1290" s="14" t="n">
        <f aca="false">IF(O1290=0,"",(O1290-LEN(SUBSTITUTE(SUBSTITUTE(M1290,"G",""),"C","")))/O1290)</f>
        <v>0.56</v>
      </c>
      <c r="R1290" s="5" t="s">
        <v>164</v>
      </c>
      <c r="S1290" s="15" t="s">
        <v>1677</v>
      </c>
      <c r="T1290" s="5" t="n">
        <v>195</v>
      </c>
      <c r="U1290" s="5" t="s">
        <v>1678</v>
      </c>
      <c r="V1290" s="5" t="s">
        <v>1302</v>
      </c>
      <c r="W1290" s="5"/>
      <c r="X1290" s="15" t="s">
        <v>1677</v>
      </c>
      <c r="Y1290" s="5"/>
    </row>
    <row r="1291" customFormat="false" ht="15" hidden="false" customHeight="false" outlineLevel="0" collapsed="false">
      <c r="A1291" s="5" t="s">
        <v>12714</v>
      </c>
      <c r="B1291" s="5" t="s">
        <v>1332</v>
      </c>
      <c r="C1291" s="5" t="s">
        <v>159</v>
      </c>
      <c r="D1291" s="11" t="s">
        <v>162</v>
      </c>
      <c r="E1291" s="5" t="n">
        <v>5</v>
      </c>
      <c r="F1291" s="5" t="s">
        <v>12715</v>
      </c>
      <c r="G1291" s="13" t="s">
        <v>12716</v>
      </c>
      <c r="H1291" s="5" t="s">
        <v>12717</v>
      </c>
      <c r="I1291" s="13" t="s">
        <v>12718</v>
      </c>
      <c r="J1291" s="5" t="s">
        <v>12719</v>
      </c>
      <c r="K1291" s="5" t="s">
        <v>12720</v>
      </c>
      <c r="L1291" s="13" t="s">
        <v>2454</v>
      </c>
      <c r="M1291" s="13" t="s">
        <v>2455</v>
      </c>
      <c r="N1291" s="5" t="n">
        <f aca="false">LEN(L1291)</f>
        <v>25</v>
      </c>
      <c r="O1291" s="5" t="n">
        <f aca="false">LEN(M1291)</f>
        <v>25</v>
      </c>
      <c r="P1291" s="14" t="n">
        <f aca="false">IF(N1291=0,"",(N1291-LEN(SUBSTITUTE(SUBSTITUTE(L1291,"G",""),"C","")))/N1291)</f>
        <v>0.68</v>
      </c>
      <c r="Q1291" s="14" t="n">
        <f aca="false">IF(O1291=0,"",(O1291-LEN(SUBSTITUTE(SUBSTITUTE(M1291,"G",""),"C","")))/O1291)</f>
        <v>0.68</v>
      </c>
      <c r="R1291" s="5" t="s">
        <v>164</v>
      </c>
      <c r="S1291" s="15" t="s">
        <v>1677</v>
      </c>
      <c r="T1291" s="5" t="n">
        <v>339</v>
      </c>
      <c r="U1291" s="5" t="s">
        <v>1678</v>
      </c>
      <c r="V1291" s="5" t="s">
        <v>1302</v>
      </c>
      <c r="W1291" s="5"/>
      <c r="X1291" s="15" t="s">
        <v>1677</v>
      </c>
      <c r="Y1291" s="5"/>
    </row>
    <row r="1292" customFormat="false" ht="15" hidden="false" customHeight="false" outlineLevel="0" collapsed="false">
      <c r="A1292" s="5" t="s">
        <v>12721</v>
      </c>
      <c r="B1292" s="5" t="s">
        <v>1332</v>
      </c>
      <c r="C1292" s="5" t="s">
        <v>159</v>
      </c>
      <c r="D1292" s="11" t="s">
        <v>162</v>
      </c>
      <c r="E1292" s="5" t="n">
        <v>6</v>
      </c>
      <c r="F1292" s="5" t="s">
        <v>12722</v>
      </c>
      <c r="G1292" s="13" t="s">
        <v>12723</v>
      </c>
      <c r="H1292" s="5" t="s">
        <v>12724</v>
      </c>
      <c r="I1292" s="13" t="s">
        <v>12725</v>
      </c>
      <c r="J1292" s="5" t="s">
        <v>12726</v>
      </c>
      <c r="K1292" s="5" t="s">
        <v>12727</v>
      </c>
      <c r="L1292" s="13" t="s">
        <v>2463</v>
      </c>
      <c r="M1292" s="13" t="s">
        <v>2464</v>
      </c>
      <c r="N1292" s="5" t="n">
        <f aca="false">LEN(L1292)</f>
        <v>25</v>
      </c>
      <c r="O1292" s="5" t="n">
        <f aca="false">LEN(M1292)</f>
        <v>25</v>
      </c>
      <c r="P1292" s="14" t="n">
        <f aca="false">IF(N1292=0,"",(N1292-LEN(SUBSTITUTE(SUBSTITUTE(L1292,"G",""),"C","")))/N1292)</f>
        <v>0.84</v>
      </c>
      <c r="Q1292" s="14" t="n">
        <f aca="false">IF(O1292=0,"",(O1292-LEN(SUBSTITUTE(SUBSTITUTE(M1292,"G",""),"C","")))/O1292)</f>
        <v>0.72</v>
      </c>
      <c r="R1292" s="5" t="s">
        <v>164</v>
      </c>
      <c r="S1292" s="15" t="s">
        <v>1677</v>
      </c>
      <c r="T1292" s="5" t="n">
        <v>401</v>
      </c>
      <c r="U1292" s="5" t="s">
        <v>1678</v>
      </c>
      <c r="V1292" s="5" t="s">
        <v>1302</v>
      </c>
      <c r="W1292" s="5"/>
      <c r="X1292" s="15" t="s">
        <v>1677</v>
      </c>
      <c r="Y1292" s="5"/>
    </row>
    <row r="1293" customFormat="false" ht="15" hidden="false" customHeight="false" outlineLevel="0" collapsed="false">
      <c r="A1293" s="5" t="s">
        <v>12728</v>
      </c>
      <c r="B1293" s="5" t="s">
        <v>1332</v>
      </c>
      <c r="C1293" s="5" t="s">
        <v>159</v>
      </c>
      <c r="D1293" s="11" t="s">
        <v>162</v>
      </c>
      <c r="E1293" s="5" t="n">
        <v>7</v>
      </c>
      <c r="F1293" s="5" t="s">
        <v>12729</v>
      </c>
      <c r="G1293" s="13" t="s">
        <v>12730</v>
      </c>
      <c r="H1293" s="5" t="s">
        <v>12731</v>
      </c>
      <c r="I1293" s="13" t="s">
        <v>12732</v>
      </c>
      <c r="J1293" s="5" t="s">
        <v>12733</v>
      </c>
      <c r="K1293" s="5" t="s">
        <v>12734</v>
      </c>
      <c r="L1293" s="13" t="s">
        <v>2472</v>
      </c>
      <c r="M1293" s="13" t="s">
        <v>2473</v>
      </c>
      <c r="N1293" s="5" t="n">
        <f aca="false">LEN(L1293)</f>
        <v>25</v>
      </c>
      <c r="O1293" s="5" t="n">
        <f aca="false">LEN(M1293)</f>
        <v>25</v>
      </c>
      <c r="P1293" s="14" t="n">
        <f aca="false">IF(N1293=0,"",(N1293-LEN(SUBSTITUTE(SUBSTITUTE(L1293,"G",""),"C","")))/N1293)</f>
        <v>0.68</v>
      </c>
      <c r="Q1293" s="14" t="n">
        <f aca="false">IF(O1293=0,"",(O1293-LEN(SUBSTITUTE(SUBSTITUTE(M1293,"G",""),"C","")))/O1293)</f>
        <v>0.72</v>
      </c>
      <c r="R1293" s="5" t="s">
        <v>164</v>
      </c>
      <c r="S1293" s="15" t="s">
        <v>1677</v>
      </c>
      <c r="T1293" s="5" t="n">
        <v>529</v>
      </c>
      <c r="U1293" s="5" t="s">
        <v>1678</v>
      </c>
      <c r="V1293" s="5" t="s">
        <v>1302</v>
      </c>
      <c r="W1293" s="5"/>
      <c r="X1293" s="15" t="s">
        <v>1677</v>
      </c>
      <c r="Y1293" s="5"/>
    </row>
    <row r="1294" customFormat="false" ht="15" hidden="false" customHeight="false" outlineLevel="0" collapsed="false">
      <c r="A1294" s="5" t="s">
        <v>12735</v>
      </c>
      <c r="B1294" s="5" t="s">
        <v>1333</v>
      </c>
      <c r="C1294" s="5" t="s">
        <v>1334</v>
      </c>
      <c r="D1294" s="11" t="s">
        <v>162</v>
      </c>
      <c r="E1294" s="5" t="n">
        <v>1</v>
      </c>
      <c r="F1294" s="5" t="s">
        <v>12736</v>
      </c>
      <c r="G1294" s="13" t="s">
        <v>12737</v>
      </c>
      <c r="H1294" s="5" t="s">
        <v>12738</v>
      </c>
      <c r="I1294" s="13" t="s">
        <v>12739</v>
      </c>
      <c r="J1294" s="5" t="s">
        <v>12740</v>
      </c>
      <c r="K1294" s="5" t="s">
        <v>12741</v>
      </c>
      <c r="L1294" s="13" t="s">
        <v>12742</v>
      </c>
      <c r="M1294" s="13" t="s">
        <v>12743</v>
      </c>
      <c r="N1294" s="5" t="n">
        <f aca="false">LEN(L1294)</f>
        <v>25</v>
      </c>
      <c r="O1294" s="5" t="n">
        <f aca="false">LEN(M1294)</f>
        <v>25</v>
      </c>
      <c r="P1294" s="14" t="n">
        <f aca="false">IF(N1294=0,"",(N1294-LEN(SUBSTITUTE(SUBSTITUTE(L1294,"G",""),"C","")))/N1294)</f>
        <v>0.44</v>
      </c>
      <c r="Q1294" s="14" t="n">
        <f aca="false">IF(O1294=0,"",(O1294-LEN(SUBSTITUTE(SUBSTITUTE(M1294,"G",""),"C","")))/O1294)</f>
        <v>0.32</v>
      </c>
      <c r="R1294" s="5" t="s">
        <v>1337</v>
      </c>
      <c r="S1294" s="15" t="s">
        <v>1677</v>
      </c>
      <c r="T1294" s="5" t="n">
        <v>74</v>
      </c>
      <c r="U1294" s="5" t="s">
        <v>1678</v>
      </c>
      <c r="V1294" s="5" t="s">
        <v>1302</v>
      </c>
      <c r="W1294" s="5"/>
      <c r="X1294" s="15" t="s">
        <v>1677</v>
      </c>
      <c r="Y1294" s="5"/>
    </row>
    <row r="1295" customFormat="false" ht="15" hidden="false" customHeight="false" outlineLevel="0" collapsed="false">
      <c r="A1295" s="5" t="s">
        <v>12744</v>
      </c>
      <c r="B1295" s="5" t="s">
        <v>1333</v>
      </c>
      <c r="C1295" s="5" t="s">
        <v>1334</v>
      </c>
      <c r="D1295" s="11" t="s">
        <v>162</v>
      </c>
      <c r="E1295" s="5" t="n">
        <v>2</v>
      </c>
      <c r="F1295" s="5" t="s">
        <v>12745</v>
      </c>
      <c r="G1295" s="13" t="s">
        <v>12746</v>
      </c>
      <c r="H1295" s="5" t="s">
        <v>12747</v>
      </c>
      <c r="I1295" s="13" t="s">
        <v>12748</v>
      </c>
      <c r="J1295" s="5" t="s">
        <v>12749</v>
      </c>
      <c r="K1295" s="5" t="s">
        <v>12750</v>
      </c>
      <c r="L1295" s="13" t="s">
        <v>12751</v>
      </c>
      <c r="M1295" s="13" t="s">
        <v>12752</v>
      </c>
      <c r="N1295" s="5" t="n">
        <f aca="false">LEN(L1295)</f>
        <v>25</v>
      </c>
      <c r="O1295" s="5" t="n">
        <f aca="false">LEN(M1295)</f>
        <v>25</v>
      </c>
      <c r="P1295" s="14" t="n">
        <f aca="false">IF(N1295=0,"",(N1295-LEN(SUBSTITUTE(SUBSTITUTE(L1295,"G",""),"C","")))/N1295)</f>
        <v>0.28</v>
      </c>
      <c r="Q1295" s="14" t="n">
        <f aca="false">IF(O1295=0,"",(O1295-LEN(SUBSTITUTE(SUBSTITUTE(M1295,"G",""),"C","")))/O1295)</f>
        <v>0.4</v>
      </c>
      <c r="R1295" s="5" t="s">
        <v>1337</v>
      </c>
      <c r="S1295" s="15" t="s">
        <v>1677</v>
      </c>
      <c r="T1295" s="5" t="n">
        <v>208</v>
      </c>
      <c r="U1295" s="5" t="s">
        <v>1678</v>
      </c>
      <c r="V1295" s="5" t="s">
        <v>1302</v>
      </c>
      <c r="W1295" s="5"/>
      <c r="X1295" s="15" t="s">
        <v>1677</v>
      </c>
      <c r="Y1295" s="5"/>
    </row>
    <row r="1296" customFormat="false" ht="15" hidden="false" customHeight="false" outlineLevel="0" collapsed="false">
      <c r="A1296" s="5" t="s">
        <v>12753</v>
      </c>
      <c r="B1296" s="5" t="s">
        <v>1333</v>
      </c>
      <c r="C1296" s="5" t="s">
        <v>1334</v>
      </c>
      <c r="D1296" s="11" t="s">
        <v>162</v>
      </c>
      <c r="E1296" s="5" t="n">
        <v>3</v>
      </c>
      <c r="F1296" s="5" t="s">
        <v>12754</v>
      </c>
      <c r="G1296" s="13" t="s">
        <v>12755</v>
      </c>
      <c r="H1296" s="5" t="s">
        <v>12756</v>
      </c>
      <c r="I1296" s="13" t="s">
        <v>12757</v>
      </c>
      <c r="J1296" s="5" t="s">
        <v>12758</v>
      </c>
      <c r="K1296" s="5" t="s">
        <v>12759</v>
      </c>
      <c r="L1296" s="13" t="s">
        <v>12760</v>
      </c>
      <c r="M1296" s="13" t="s">
        <v>12761</v>
      </c>
      <c r="N1296" s="5" t="n">
        <f aca="false">LEN(L1296)</f>
        <v>25</v>
      </c>
      <c r="O1296" s="5" t="n">
        <f aca="false">LEN(M1296)</f>
        <v>25</v>
      </c>
      <c r="P1296" s="14" t="n">
        <f aca="false">IF(N1296=0,"",(N1296-LEN(SUBSTITUTE(SUBSTITUTE(L1296,"G",""),"C","")))/N1296)</f>
        <v>0.36</v>
      </c>
      <c r="Q1296" s="14" t="n">
        <f aca="false">IF(O1296=0,"",(O1296-LEN(SUBSTITUTE(SUBSTITUTE(M1296,"G",""),"C","")))/O1296)</f>
        <v>0.48</v>
      </c>
      <c r="R1296" s="5" t="s">
        <v>1337</v>
      </c>
      <c r="S1296" s="15" t="s">
        <v>1677</v>
      </c>
      <c r="T1296" s="5" t="n">
        <v>345</v>
      </c>
      <c r="U1296" s="5" t="s">
        <v>1678</v>
      </c>
      <c r="V1296" s="5" t="s">
        <v>1302</v>
      </c>
      <c r="W1296" s="5"/>
      <c r="X1296" s="15" t="s">
        <v>1677</v>
      </c>
      <c r="Y1296" s="5"/>
    </row>
    <row r="1297" customFormat="false" ht="15" hidden="false" customHeight="false" outlineLevel="0" collapsed="false">
      <c r="A1297" s="5" t="s">
        <v>12762</v>
      </c>
      <c r="B1297" s="5" t="s">
        <v>1333</v>
      </c>
      <c r="C1297" s="5" t="s">
        <v>1334</v>
      </c>
      <c r="D1297" s="11" t="s">
        <v>162</v>
      </c>
      <c r="E1297" s="5" t="n">
        <v>4</v>
      </c>
      <c r="F1297" s="5" t="s">
        <v>12763</v>
      </c>
      <c r="G1297" s="13" t="s">
        <v>12764</v>
      </c>
      <c r="H1297" s="5" t="s">
        <v>12765</v>
      </c>
      <c r="I1297" s="13" t="s">
        <v>12766</v>
      </c>
      <c r="J1297" s="5" t="s">
        <v>12767</v>
      </c>
      <c r="K1297" s="5" t="s">
        <v>12768</v>
      </c>
      <c r="L1297" s="13" t="s">
        <v>12769</v>
      </c>
      <c r="M1297" s="13" t="s">
        <v>12770</v>
      </c>
      <c r="N1297" s="5" t="n">
        <f aca="false">LEN(L1297)</f>
        <v>25</v>
      </c>
      <c r="O1297" s="5" t="n">
        <f aca="false">LEN(M1297)</f>
        <v>25</v>
      </c>
      <c r="P1297" s="14" t="n">
        <f aca="false">IF(N1297=0,"",(N1297-LEN(SUBSTITUTE(SUBSTITUTE(L1297,"G",""),"C","")))/N1297)</f>
        <v>0.48</v>
      </c>
      <c r="Q1297" s="14" t="n">
        <f aca="false">IF(O1297=0,"",(O1297-LEN(SUBSTITUTE(SUBSTITUTE(M1297,"G",""),"C","")))/O1297)</f>
        <v>0.28</v>
      </c>
      <c r="R1297" s="5" t="s">
        <v>1337</v>
      </c>
      <c r="S1297" s="15" t="s">
        <v>1677</v>
      </c>
      <c r="T1297" s="5" t="n">
        <v>479</v>
      </c>
      <c r="U1297" s="5" t="s">
        <v>1678</v>
      </c>
      <c r="V1297" s="5" t="s">
        <v>1302</v>
      </c>
      <c r="W1297" s="5"/>
      <c r="X1297" s="15" t="s">
        <v>1677</v>
      </c>
      <c r="Y1297" s="5"/>
    </row>
    <row r="1298" customFormat="false" ht="15" hidden="false" customHeight="false" outlineLevel="0" collapsed="false">
      <c r="A1298" s="5" t="s">
        <v>12771</v>
      </c>
      <c r="B1298" s="5" t="s">
        <v>1333</v>
      </c>
      <c r="C1298" s="5" t="s">
        <v>1334</v>
      </c>
      <c r="D1298" s="11" t="s">
        <v>162</v>
      </c>
      <c r="E1298" s="5" t="n">
        <v>5</v>
      </c>
      <c r="F1298" s="5" t="s">
        <v>12772</v>
      </c>
      <c r="G1298" s="13" t="s">
        <v>12773</v>
      </c>
      <c r="H1298" s="5" t="s">
        <v>12774</v>
      </c>
      <c r="I1298" s="13" t="s">
        <v>12775</v>
      </c>
      <c r="J1298" s="5" t="s">
        <v>12776</v>
      </c>
      <c r="K1298" s="5" t="s">
        <v>12777</v>
      </c>
      <c r="L1298" s="13" t="s">
        <v>12778</v>
      </c>
      <c r="M1298" s="13" t="s">
        <v>12779</v>
      </c>
      <c r="N1298" s="5" t="n">
        <f aca="false">LEN(L1298)</f>
        <v>25</v>
      </c>
      <c r="O1298" s="5" t="n">
        <f aca="false">LEN(M1298)</f>
        <v>25</v>
      </c>
      <c r="P1298" s="14" t="n">
        <f aca="false">IF(N1298=0,"",(N1298-LEN(SUBSTITUTE(SUBSTITUTE(L1298,"G",""),"C","")))/N1298)</f>
        <v>0.36</v>
      </c>
      <c r="Q1298" s="14" t="n">
        <f aca="false">IF(O1298=0,"",(O1298-LEN(SUBSTITUTE(SUBSTITUTE(M1298,"G",""),"C","")))/O1298)</f>
        <v>0.6</v>
      </c>
      <c r="R1298" s="5" t="s">
        <v>1337</v>
      </c>
      <c r="S1298" s="15" t="s">
        <v>1677</v>
      </c>
      <c r="T1298" s="5" t="n">
        <v>613</v>
      </c>
      <c r="U1298" s="5" t="s">
        <v>1678</v>
      </c>
      <c r="V1298" s="5" t="s">
        <v>1302</v>
      </c>
      <c r="W1298" s="5"/>
      <c r="X1298" s="15" t="s">
        <v>1677</v>
      </c>
      <c r="Y1298" s="5"/>
    </row>
    <row r="1299" customFormat="false" ht="15" hidden="false" customHeight="false" outlineLevel="0" collapsed="false">
      <c r="A1299" s="5" t="s">
        <v>12780</v>
      </c>
      <c r="B1299" s="5" t="s">
        <v>1341</v>
      </c>
      <c r="C1299" s="5" t="s">
        <v>1342</v>
      </c>
      <c r="D1299" s="11" t="s">
        <v>162</v>
      </c>
      <c r="E1299" s="5" t="n">
        <v>1</v>
      </c>
      <c r="F1299" s="5" t="s">
        <v>12781</v>
      </c>
      <c r="G1299" s="13" t="s">
        <v>12782</v>
      </c>
      <c r="H1299" s="5" t="s">
        <v>12783</v>
      </c>
      <c r="I1299" s="13" t="s">
        <v>12784</v>
      </c>
      <c r="J1299" s="5" t="s">
        <v>12785</v>
      </c>
      <c r="K1299" s="5" t="s">
        <v>12786</v>
      </c>
      <c r="L1299" s="13" t="s">
        <v>12787</v>
      </c>
      <c r="M1299" s="13" t="s">
        <v>12788</v>
      </c>
      <c r="N1299" s="5" t="n">
        <f aca="false">LEN(L1299)</f>
        <v>25</v>
      </c>
      <c r="O1299" s="5" t="n">
        <f aca="false">LEN(M1299)</f>
        <v>25</v>
      </c>
      <c r="P1299" s="14" t="n">
        <f aca="false">IF(N1299=0,"",(N1299-LEN(SUBSTITUTE(SUBSTITUTE(L1299,"G",""),"C","")))/N1299)</f>
        <v>0.6</v>
      </c>
      <c r="Q1299" s="14" t="n">
        <f aca="false">IF(O1299=0,"",(O1299-LEN(SUBSTITUTE(SUBSTITUTE(M1299,"G",""),"C","")))/O1299)</f>
        <v>0.8</v>
      </c>
      <c r="R1299" s="5" t="s">
        <v>1346</v>
      </c>
      <c r="S1299" s="15" t="s">
        <v>1677</v>
      </c>
      <c r="T1299" s="5" t="n">
        <v>138</v>
      </c>
      <c r="U1299" s="5" t="s">
        <v>1678</v>
      </c>
      <c r="V1299" s="5" t="s">
        <v>1302</v>
      </c>
      <c r="W1299" s="5"/>
      <c r="X1299" s="15" t="s">
        <v>1677</v>
      </c>
      <c r="Y1299" s="5"/>
    </row>
    <row r="1300" customFormat="false" ht="15" hidden="false" customHeight="false" outlineLevel="0" collapsed="false">
      <c r="A1300" s="5" t="s">
        <v>12789</v>
      </c>
      <c r="B1300" s="5" t="s">
        <v>1341</v>
      </c>
      <c r="C1300" s="5" t="s">
        <v>1342</v>
      </c>
      <c r="D1300" s="11" t="s">
        <v>162</v>
      </c>
      <c r="E1300" s="5" t="n">
        <v>2</v>
      </c>
      <c r="F1300" s="5" t="s">
        <v>12790</v>
      </c>
      <c r="G1300" s="13" t="s">
        <v>12791</v>
      </c>
      <c r="H1300" s="5" t="s">
        <v>12792</v>
      </c>
      <c r="I1300" s="13" t="s">
        <v>12793</v>
      </c>
      <c r="J1300" s="5" t="s">
        <v>12794</v>
      </c>
      <c r="K1300" s="5" t="s">
        <v>12795</v>
      </c>
      <c r="L1300" s="13" t="s">
        <v>12796</v>
      </c>
      <c r="M1300" s="13" t="s">
        <v>12797</v>
      </c>
      <c r="N1300" s="5" t="n">
        <f aca="false">LEN(L1300)</f>
        <v>25</v>
      </c>
      <c r="O1300" s="5" t="n">
        <f aca="false">LEN(M1300)</f>
        <v>25</v>
      </c>
      <c r="P1300" s="14" t="n">
        <f aca="false">IF(N1300=0,"",(N1300-LEN(SUBSTITUTE(SUBSTITUTE(L1300,"G",""),"C","")))/N1300)</f>
        <v>0.56</v>
      </c>
      <c r="Q1300" s="14" t="n">
        <f aca="false">IF(O1300=0,"",(O1300-LEN(SUBSTITUTE(SUBSTITUTE(M1300,"G",""),"C","")))/O1300)</f>
        <v>0.76</v>
      </c>
      <c r="R1300" s="5" t="s">
        <v>1346</v>
      </c>
      <c r="S1300" s="15" t="s">
        <v>1677</v>
      </c>
      <c r="T1300" s="5" t="n">
        <v>272</v>
      </c>
      <c r="U1300" s="5" t="s">
        <v>1678</v>
      </c>
      <c r="V1300" s="5" t="s">
        <v>1302</v>
      </c>
      <c r="W1300" s="5"/>
      <c r="X1300" s="15" t="s">
        <v>1677</v>
      </c>
      <c r="Y1300" s="5"/>
    </row>
    <row r="1301" customFormat="false" ht="15" hidden="false" customHeight="false" outlineLevel="0" collapsed="false">
      <c r="A1301" s="5" t="s">
        <v>12798</v>
      </c>
      <c r="B1301" s="5" t="s">
        <v>1341</v>
      </c>
      <c r="C1301" s="5" t="s">
        <v>1342</v>
      </c>
      <c r="D1301" s="11" t="s">
        <v>162</v>
      </c>
      <c r="E1301" s="5" t="n">
        <v>3</v>
      </c>
      <c r="F1301" s="5" t="s">
        <v>12799</v>
      </c>
      <c r="G1301" s="13" t="s">
        <v>12800</v>
      </c>
      <c r="H1301" s="5" t="s">
        <v>12801</v>
      </c>
      <c r="I1301" s="13" t="s">
        <v>12802</v>
      </c>
      <c r="J1301" s="5" t="s">
        <v>12803</v>
      </c>
      <c r="K1301" s="5" t="s">
        <v>12804</v>
      </c>
      <c r="L1301" s="13" t="s">
        <v>12805</v>
      </c>
      <c r="M1301" s="13" t="s">
        <v>12806</v>
      </c>
      <c r="N1301" s="5" t="n">
        <f aca="false">LEN(L1301)</f>
        <v>25</v>
      </c>
      <c r="O1301" s="5" t="n">
        <f aca="false">LEN(M1301)</f>
        <v>25</v>
      </c>
      <c r="P1301" s="14" t="n">
        <f aca="false">IF(N1301=0,"",(N1301-LEN(SUBSTITUTE(SUBSTITUTE(L1301,"G",""),"C","")))/N1301)</f>
        <v>0.52</v>
      </c>
      <c r="Q1301" s="14" t="n">
        <f aca="false">IF(O1301=0,"",(O1301-LEN(SUBSTITUTE(SUBSTITUTE(M1301,"G",""),"C","")))/O1301)</f>
        <v>0.68</v>
      </c>
      <c r="R1301" s="5" t="s">
        <v>1346</v>
      </c>
      <c r="S1301" s="15" t="s">
        <v>1677</v>
      </c>
      <c r="T1301" s="5" t="n">
        <v>403</v>
      </c>
      <c r="U1301" s="5" t="s">
        <v>1678</v>
      </c>
      <c r="V1301" s="5" t="s">
        <v>1302</v>
      </c>
      <c r="W1301" s="5"/>
      <c r="X1301" s="15" t="s">
        <v>1677</v>
      </c>
      <c r="Y1301" s="5"/>
    </row>
    <row r="1302" customFormat="false" ht="15" hidden="false" customHeight="false" outlineLevel="0" collapsed="false">
      <c r="A1302" s="5" t="s">
        <v>12807</v>
      </c>
      <c r="B1302" s="5" t="s">
        <v>1341</v>
      </c>
      <c r="C1302" s="5" t="s">
        <v>1342</v>
      </c>
      <c r="D1302" s="11" t="s">
        <v>162</v>
      </c>
      <c r="E1302" s="5" t="n">
        <v>4</v>
      </c>
      <c r="F1302" s="5" t="s">
        <v>12808</v>
      </c>
      <c r="G1302" s="13" t="s">
        <v>12809</v>
      </c>
      <c r="H1302" s="5" t="s">
        <v>12810</v>
      </c>
      <c r="I1302" s="13" t="s">
        <v>12811</v>
      </c>
      <c r="J1302" s="5" t="s">
        <v>12812</v>
      </c>
      <c r="K1302" s="5" t="s">
        <v>12813</v>
      </c>
      <c r="L1302" s="13" t="s">
        <v>12814</v>
      </c>
      <c r="M1302" s="13" t="s">
        <v>12815</v>
      </c>
      <c r="N1302" s="5" t="n">
        <f aca="false">LEN(L1302)</f>
        <v>25</v>
      </c>
      <c r="O1302" s="5" t="n">
        <f aca="false">LEN(M1302)</f>
        <v>25</v>
      </c>
      <c r="P1302" s="14" t="n">
        <f aca="false">IF(N1302=0,"",(N1302-LEN(SUBSTITUTE(SUBSTITUTE(L1302,"G",""),"C","")))/N1302)</f>
        <v>0.8</v>
      </c>
      <c r="Q1302" s="14" t="n">
        <f aca="false">IF(O1302=0,"",(O1302-LEN(SUBSTITUTE(SUBSTITUTE(M1302,"G",""),"C","")))/O1302)</f>
        <v>0.72</v>
      </c>
      <c r="R1302" s="5" t="s">
        <v>1346</v>
      </c>
      <c r="S1302" s="15" t="s">
        <v>1677</v>
      </c>
      <c r="T1302" s="5" t="n">
        <v>535</v>
      </c>
      <c r="U1302" s="5" t="s">
        <v>1678</v>
      </c>
      <c r="V1302" s="5" t="s">
        <v>1302</v>
      </c>
      <c r="W1302" s="5"/>
      <c r="X1302" s="15" t="s">
        <v>1677</v>
      </c>
      <c r="Y1302" s="5"/>
    </row>
    <row r="1303" customFormat="false" ht="15" hidden="false" customHeight="false" outlineLevel="0" collapsed="false">
      <c r="A1303" s="5" t="s">
        <v>12816</v>
      </c>
      <c r="B1303" s="5" t="s">
        <v>1341</v>
      </c>
      <c r="C1303" s="5" t="s">
        <v>1342</v>
      </c>
      <c r="D1303" s="11" t="s">
        <v>162</v>
      </c>
      <c r="E1303" s="5" t="n">
        <v>5</v>
      </c>
      <c r="F1303" s="5" t="s">
        <v>12817</v>
      </c>
      <c r="G1303" s="13" t="s">
        <v>12818</v>
      </c>
      <c r="H1303" s="5" t="s">
        <v>12819</v>
      </c>
      <c r="I1303" s="13" t="s">
        <v>12820</v>
      </c>
      <c r="J1303" s="5" t="s">
        <v>12821</v>
      </c>
      <c r="K1303" s="5" t="s">
        <v>12822</v>
      </c>
      <c r="L1303" s="13" t="s">
        <v>12823</v>
      </c>
      <c r="M1303" s="13" t="s">
        <v>12824</v>
      </c>
      <c r="N1303" s="5" t="n">
        <f aca="false">LEN(L1303)</f>
        <v>25</v>
      </c>
      <c r="O1303" s="5" t="n">
        <f aca="false">LEN(M1303)</f>
        <v>25</v>
      </c>
      <c r="P1303" s="14" t="n">
        <f aca="false">IF(N1303=0,"",(N1303-LEN(SUBSTITUTE(SUBSTITUTE(L1303,"G",""),"C","")))/N1303)</f>
        <v>0.68</v>
      </c>
      <c r="Q1303" s="14" t="n">
        <f aca="false">IF(O1303=0,"",(O1303-LEN(SUBSTITUTE(SUBSTITUTE(M1303,"G",""),"C","")))/O1303)</f>
        <v>0.76</v>
      </c>
      <c r="R1303" s="5" t="s">
        <v>1346</v>
      </c>
      <c r="S1303" s="15" t="s">
        <v>1677</v>
      </c>
      <c r="T1303" s="5" t="n">
        <v>666</v>
      </c>
      <c r="U1303" s="5" t="s">
        <v>1678</v>
      </c>
      <c r="V1303" s="5" t="s">
        <v>1302</v>
      </c>
      <c r="W1303" s="5"/>
      <c r="X1303" s="15" t="s">
        <v>1677</v>
      </c>
      <c r="Y1303" s="5"/>
    </row>
    <row r="1304" customFormat="false" ht="15" hidden="false" customHeight="false" outlineLevel="0" collapsed="false">
      <c r="A1304" s="5" t="s">
        <v>12825</v>
      </c>
      <c r="B1304" s="5" t="s">
        <v>1341</v>
      </c>
      <c r="C1304" s="5" t="s">
        <v>1342</v>
      </c>
      <c r="D1304" s="11" t="s">
        <v>162</v>
      </c>
      <c r="E1304" s="5" t="n">
        <v>6</v>
      </c>
      <c r="F1304" s="5" t="s">
        <v>12826</v>
      </c>
      <c r="G1304" s="13" t="s">
        <v>12827</v>
      </c>
      <c r="H1304" s="5" t="s">
        <v>12828</v>
      </c>
      <c r="I1304" s="13" t="s">
        <v>12829</v>
      </c>
      <c r="J1304" s="5" t="s">
        <v>12830</v>
      </c>
      <c r="K1304" s="5" t="s">
        <v>12831</v>
      </c>
      <c r="L1304" s="13" t="s">
        <v>12832</v>
      </c>
      <c r="M1304" s="13" t="s">
        <v>12833</v>
      </c>
      <c r="N1304" s="5" t="n">
        <f aca="false">LEN(L1304)</f>
        <v>25</v>
      </c>
      <c r="O1304" s="5" t="n">
        <f aca="false">LEN(M1304)</f>
        <v>25</v>
      </c>
      <c r="P1304" s="14" t="n">
        <f aca="false">IF(N1304=0,"",(N1304-LEN(SUBSTITUTE(SUBSTITUTE(L1304,"G",""),"C","")))/N1304)</f>
        <v>0.6</v>
      </c>
      <c r="Q1304" s="14" t="n">
        <f aca="false">IF(O1304=0,"",(O1304-LEN(SUBSTITUTE(SUBSTITUTE(M1304,"G",""),"C","")))/O1304)</f>
        <v>0.68</v>
      </c>
      <c r="R1304" s="5" t="s">
        <v>1346</v>
      </c>
      <c r="S1304" s="15" t="s">
        <v>1677</v>
      </c>
      <c r="T1304" s="5" t="n">
        <v>798</v>
      </c>
      <c r="U1304" s="5" t="s">
        <v>1678</v>
      </c>
      <c r="V1304" s="5" t="s">
        <v>1302</v>
      </c>
      <c r="W1304" s="5"/>
      <c r="X1304" s="15" t="s">
        <v>1677</v>
      </c>
      <c r="Y1304" s="5"/>
    </row>
    <row r="1305" customFormat="false" ht="15" hidden="false" customHeight="false" outlineLevel="0" collapsed="false">
      <c r="A1305" s="5" t="s">
        <v>12834</v>
      </c>
      <c r="B1305" s="5" t="s">
        <v>1351</v>
      </c>
      <c r="C1305" s="5" t="s">
        <v>1133</v>
      </c>
      <c r="D1305" s="11" t="s">
        <v>162</v>
      </c>
      <c r="E1305" s="5" t="n">
        <v>1</v>
      </c>
      <c r="F1305" s="5" t="s">
        <v>12835</v>
      </c>
      <c r="G1305" s="13" t="s">
        <v>12836</v>
      </c>
      <c r="H1305" s="5" t="s">
        <v>12837</v>
      </c>
      <c r="I1305" s="13" t="s">
        <v>12838</v>
      </c>
      <c r="J1305" s="5" t="s">
        <v>12839</v>
      </c>
      <c r="K1305" s="5" t="s">
        <v>12840</v>
      </c>
      <c r="L1305" s="13" t="s">
        <v>10576</v>
      </c>
      <c r="M1305" s="13" t="s">
        <v>10577</v>
      </c>
      <c r="N1305" s="5" t="n">
        <f aca="false">LEN(L1305)</f>
        <v>25</v>
      </c>
      <c r="O1305" s="5" t="n">
        <f aca="false">LEN(M1305)</f>
        <v>25</v>
      </c>
      <c r="P1305" s="14" t="n">
        <f aca="false">IF(N1305=0,"",(N1305-LEN(SUBSTITUTE(SUBSTITUTE(L1305,"G",""),"C","")))/N1305)</f>
        <v>0.44</v>
      </c>
      <c r="Q1305" s="14" t="n">
        <f aca="false">IF(O1305=0,"",(O1305-LEN(SUBSTITUTE(SUBSTITUTE(M1305,"G",""),"C","")))/O1305)</f>
        <v>0.6</v>
      </c>
      <c r="R1305" s="5" t="s">
        <v>1137</v>
      </c>
      <c r="S1305" s="15" t="s">
        <v>1677</v>
      </c>
      <c r="T1305" s="5" t="n">
        <v>135</v>
      </c>
      <c r="U1305" s="5" t="s">
        <v>1678</v>
      </c>
      <c r="V1305" s="5" t="s">
        <v>1302</v>
      </c>
      <c r="W1305" s="5"/>
      <c r="X1305" s="8" t="s">
        <v>1769</v>
      </c>
      <c r="Y1305" s="5"/>
    </row>
    <row r="1306" customFormat="false" ht="15" hidden="false" customHeight="false" outlineLevel="0" collapsed="false">
      <c r="A1306" s="5" t="s">
        <v>12841</v>
      </c>
      <c r="B1306" s="5" t="s">
        <v>1351</v>
      </c>
      <c r="C1306" s="5" t="s">
        <v>1133</v>
      </c>
      <c r="D1306" s="11" t="s">
        <v>162</v>
      </c>
      <c r="E1306" s="5" t="n">
        <v>2</v>
      </c>
      <c r="F1306" s="5" t="s">
        <v>12842</v>
      </c>
      <c r="G1306" s="13" t="s">
        <v>12843</v>
      </c>
      <c r="H1306" s="5" t="s">
        <v>12844</v>
      </c>
      <c r="I1306" s="13" t="s">
        <v>12845</v>
      </c>
      <c r="J1306" s="5" t="s">
        <v>12846</v>
      </c>
      <c r="K1306" s="5" t="s">
        <v>12847</v>
      </c>
      <c r="L1306" s="13" t="s">
        <v>10585</v>
      </c>
      <c r="M1306" s="13" t="s">
        <v>10586</v>
      </c>
      <c r="N1306" s="5" t="n">
        <f aca="false">LEN(L1306)</f>
        <v>25</v>
      </c>
      <c r="O1306" s="5" t="n">
        <f aca="false">LEN(M1306)</f>
        <v>25</v>
      </c>
      <c r="P1306" s="14" t="n">
        <f aca="false">IF(N1306=0,"",(N1306-LEN(SUBSTITUTE(SUBSTITUTE(L1306,"G",""),"C","")))/N1306)</f>
        <v>0.72</v>
      </c>
      <c r="Q1306" s="14" t="n">
        <f aca="false">IF(O1306=0,"",(O1306-LEN(SUBSTITUTE(SUBSTITUTE(M1306,"G",""),"C","")))/O1306)</f>
        <v>0.72</v>
      </c>
      <c r="R1306" s="5" t="s">
        <v>1137</v>
      </c>
      <c r="S1306" s="15" t="s">
        <v>1677</v>
      </c>
      <c r="T1306" s="5" t="n">
        <v>268</v>
      </c>
      <c r="U1306" s="5" t="s">
        <v>1678</v>
      </c>
      <c r="V1306" s="5" t="s">
        <v>1302</v>
      </c>
      <c r="W1306" s="5"/>
      <c r="X1306" s="15" t="s">
        <v>1677</v>
      </c>
      <c r="Y1306" s="5"/>
    </row>
    <row r="1307" customFormat="false" ht="15" hidden="false" customHeight="false" outlineLevel="0" collapsed="false">
      <c r="A1307" s="5" t="s">
        <v>12848</v>
      </c>
      <c r="B1307" s="5" t="s">
        <v>1351</v>
      </c>
      <c r="C1307" s="5" t="s">
        <v>1133</v>
      </c>
      <c r="D1307" s="11" t="s">
        <v>162</v>
      </c>
      <c r="E1307" s="5" t="n">
        <v>3</v>
      </c>
      <c r="F1307" s="5" t="s">
        <v>12849</v>
      </c>
      <c r="G1307" s="13" t="s">
        <v>12850</v>
      </c>
      <c r="H1307" s="5" t="s">
        <v>12851</v>
      </c>
      <c r="I1307" s="13" t="s">
        <v>12852</v>
      </c>
      <c r="J1307" s="5" t="s">
        <v>12853</v>
      </c>
      <c r="K1307" s="5" t="s">
        <v>12854</v>
      </c>
      <c r="L1307" s="13" t="s">
        <v>10594</v>
      </c>
      <c r="M1307" s="13" t="s">
        <v>10595</v>
      </c>
      <c r="N1307" s="5" t="n">
        <f aca="false">LEN(L1307)</f>
        <v>25</v>
      </c>
      <c r="O1307" s="5" t="n">
        <f aca="false">LEN(M1307)</f>
        <v>25</v>
      </c>
      <c r="P1307" s="14" t="n">
        <f aca="false">IF(N1307=0,"",(N1307-LEN(SUBSTITUTE(SUBSTITUTE(L1307,"G",""),"C","")))/N1307)</f>
        <v>0.76</v>
      </c>
      <c r="Q1307" s="14" t="n">
        <f aca="false">IF(O1307=0,"",(O1307-LEN(SUBSTITUTE(SUBSTITUTE(M1307,"G",""),"C","")))/O1307)</f>
        <v>0.84</v>
      </c>
      <c r="R1307" s="5" t="s">
        <v>1137</v>
      </c>
      <c r="S1307" s="15" t="s">
        <v>1677</v>
      </c>
      <c r="T1307" s="5" t="n">
        <v>402</v>
      </c>
      <c r="U1307" s="5" t="s">
        <v>1678</v>
      </c>
      <c r="V1307" s="5" t="s">
        <v>1302</v>
      </c>
      <c r="W1307" s="5"/>
      <c r="X1307" s="15" t="s">
        <v>1677</v>
      </c>
      <c r="Y1307" s="5"/>
    </row>
    <row r="1308" customFormat="false" ht="15" hidden="false" customHeight="false" outlineLevel="0" collapsed="false">
      <c r="A1308" s="5" t="s">
        <v>12855</v>
      </c>
      <c r="B1308" s="5" t="s">
        <v>1351</v>
      </c>
      <c r="C1308" s="5" t="s">
        <v>1133</v>
      </c>
      <c r="D1308" s="11" t="s">
        <v>162</v>
      </c>
      <c r="E1308" s="5" t="n">
        <v>4</v>
      </c>
      <c r="F1308" s="5" t="s">
        <v>12856</v>
      </c>
      <c r="G1308" s="13" t="s">
        <v>12857</v>
      </c>
      <c r="H1308" s="5" t="s">
        <v>12858</v>
      </c>
      <c r="I1308" s="13" t="s">
        <v>12859</v>
      </c>
      <c r="J1308" s="5" t="s">
        <v>12860</v>
      </c>
      <c r="K1308" s="5" t="s">
        <v>12861</v>
      </c>
      <c r="L1308" s="13" t="s">
        <v>10603</v>
      </c>
      <c r="M1308" s="13" t="s">
        <v>10604</v>
      </c>
      <c r="N1308" s="5" t="n">
        <f aca="false">LEN(L1308)</f>
        <v>25</v>
      </c>
      <c r="O1308" s="5" t="n">
        <f aca="false">LEN(M1308)</f>
        <v>25</v>
      </c>
      <c r="P1308" s="14" t="n">
        <f aca="false">IF(N1308=0,"",(N1308-LEN(SUBSTITUTE(SUBSTITUTE(L1308,"G",""),"C","")))/N1308)</f>
        <v>0.8</v>
      </c>
      <c r="Q1308" s="14" t="n">
        <f aca="false">IF(O1308=0,"",(O1308-LEN(SUBSTITUTE(SUBSTITUTE(M1308,"G",""),"C","")))/O1308)</f>
        <v>0.4</v>
      </c>
      <c r="R1308" s="5" t="s">
        <v>1137</v>
      </c>
      <c r="S1308" s="15" t="s">
        <v>1677</v>
      </c>
      <c r="T1308" s="5" t="n">
        <v>535</v>
      </c>
      <c r="U1308" s="5" t="s">
        <v>1678</v>
      </c>
      <c r="V1308" s="5" t="s">
        <v>1302</v>
      </c>
      <c r="W1308" s="5"/>
      <c r="X1308" s="8" t="s">
        <v>2131</v>
      </c>
      <c r="Y1308" s="5"/>
    </row>
    <row r="1309" customFormat="false" ht="15" hidden="false" customHeight="false" outlineLevel="0" collapsed="false">
      <c r="A1309" s="5" t="s">
        <v>12862</v>
      </c>
      <c r="B1309" s="5" t="s">
        <v>1351</v>
      </c>
      <c r="C1309" s="5" t="s">
        <v>1133</v>
      </c>
      <c r="D1309" s="11" t="s">
        <v>162</v>
      </c>
      <c r="E1309" s="5" t="n">
        <v>5</v>
      </c>
      <c r="F1309" s="5" t="s">
        <v>12863</v>
      </c>
      <c r="G1309" s="13" t="s">
        <v>12864</v>
      </c>
      <c r="H1309" s="5" t="s">
        <v>12865</v>
      </c>
      <c r="I1309" s="13" t="s">
        <v>12866</v>
      </c>
      <c r="J1309" s="5" t="s">
        <v>12867</v>
      </c>
      <c r="K1309" s="5" t="s">
        <v>12868</v>
      </c>
      <c r="L1309" s="13" t="s">
        <v>10612</v>
      </c>
      <c r="M1309" s="13" t="s">
        <v>10613</v>
      </c>
      <c r="N1309" s="5" t="n">
        <f aca="false">LEN(L1309)</f>
        <v>25</v>
      </c>
      <c r="O1309" s="5" t="n">
        <f aca="false">LEN(M1309)</f>
        <v>25</v>
      </c>
      <c r="P1309" s="14" t="n">
        <f aca="false">IF(N1309=0,"",(N1309-LEN(SUBSTITUTE(SUBSTITUTE(L1309,"G",""),"C","")))/N1309)</f>
        <v>0.68</v>
      </c>
      <c r="Q1309" s="14" t="n">
        <f aca="false">IF(O1309=0,"",(O1309-LEN(SUBSTITUTE(SUBSTITUTE(M1309,"G",""),"C","")))/O1309)</f>
        <v>0.68</v>
      </c>
      <c r="R1309" s="5" t="s">
        <v>1137</v>
      </c>
      <c r="S1309" s="15" t="s">
        <v>1677</v>
      </c>
      <c r="T1309" s="5" t="n">
        <v>671</v>
      </c>
      <c r="U1309" s="5" t="s">
        <v>1678</v>
      </c>
      <c r="V1309" s="5" t="s">
        <v>1302</v>
      </c>
      <c r="W1309" s="5"/>
      <c r="X1309" s="8" t="s">
        <v>1769</v>
      </c>
      <c r="Y1309" s="5"/>
    </row>
    <row r="1310" customFormat="false" ht="15" hidden="false" customHeight="false" outlineLevel="0" collapsed="false">
      <c r="A1310" s="5" t="s">
        <v>12869</v>
      </c>
      <c r="B1310" s="5" t="s">
        <v>1351</v>
      </c>
      <c r="C1310" s="5" t="s">
        <v>1133</v>
      </c>
      <c r="D1310" s="11" t="s">
        <v>162</v>
      </c>
      <c r="E1310" s="5" t="n">
        <v>6</v>
      </c>
      <c r="F1310" s="5" t="s">
        <v>12870</v>
      </c>
      <c r="G1310" s="13" t="s">
        <v>12871</v>
      </c>
      <c r="H1310" s="5" t="s">
        <v>12872</v>
      </c>
      <c r="I1310" s="13" t="s">
        <v>12873</v>
      </c>
      <c r="J1310" s="5" t="s">
        <v>12874</v>
      </c>
      <c r="K1310" s="5" t="s">
        <v>12875</v>
      </c>
      <c r="L1310" s="13" t="s">
        <v>10621</v>
      </c>
      <c r="M1310" s="13" t="s">
        <v>10622</v>
      </c>
      <c r="N1310" s="5" t="n">
        <f aca="false">LEN(L1310)</f>
        <v>25</v>
      </c>
      <c r="O1310" s="5" t="n">
        <f aca="false">LEN(M1310)</f>
        <v>25</v>
      </c>
      <c r="P1310" s="14" t="n">
        <f aca="false">IF(N1310=0,"",(N1310-LEN(SUBSTITUTE(SUBSTITUTE(L1310,"G",""),"C","")))/N1310)</f>
        <v>0.52</v>
      </c>
      <c r="Q1310" s="14" t="n">
        <f aca="false">IF(O1310=0,"",(O1310-LEN(SUBSTITUTE(SUBSTITUTE(M1310,"G",""),"C","")))/O1310)</f>
        <v>0.4</v>
      </c>
      <c r="R1310" s="5" t="s">
        <v>1137</v>
      </c>
      <c r="S1310" s="15" t="s">
        <v>1677</v>
      </c>
      <c r="T1310" s="5" t="n">
        <v>804</v>
      </c>
      <c r="U1310" s="5" t="s">
        <v>1678</v>
      </c>
      <c r="V1310" s="5" t="s">
        <v>1302</v>
      </c>
      <c r="W1310" s="5"/>
      <c r="X1310" s="8" t="s">
        <v>2131</v>
      </c>
      <c r="Y1310" s="5"/>
    </row>
    <row r="1311" customFormat="false" ht="15" hidden="false" customHeight="false" outlineLevel="0" collapsed="false">
      <c r="A1311" s="5" t="s">
        <v>12876</v>
      </c>
      <c r="B1311" s="5" t="s">
        <v>1352</v>
      </c>
      <c r="C1311" s="5" t="s">
        <v>772</v>
      </c>
      <c r="D1311" s="11" t="s">
        <v>162</v>
      </c>
      <c r="E1311" s="5" t="n">
        <v>1</v>
      </c>
      <c r="F1311" s="5" t="s">
        <v>12877</v>
      </c>
      <c r="G1311" s="13" t="s">
        <v>12878</v>
      </c>
      <c r="H1311" s="5" t="s">
        <v>12879</v>
      </c>
      <c r="I1311" s="13" t="s">
        <v>12880</v>
      </c>
      <c r="J1311" s="5" t="s">
        <v>12881</v>
      </c>
      <c r="K1311" s="5" t="s">
        <v>12882</v>
      </c>
      <c r="L1311" s="13" t="s">
        <v>12883</v>
      </c>
      <c r="M1311" s="13" t="s">
        <v>12884</v>
      </c>
      <c r="N1311" s="5" t="n">
        <f aca="false">LEN(L1311)</f>
        <v>25</v>
      </c>
      <c r="O1311" s="5" t="n">
        <f aca="false">LEN(M1311)</f>
        <v>25</v>
      </c>
      <c r="P1311" s="14" t="n">
        <f aca="false">IF(N1311=0,"",(N1311-LEN(SUBSTITUTE(SUBSTITUTE(L1311,"G",""),"C","")))/N1311)</f>
        <v>0.68</v>
      </c>
      <c r="Q1311" s="14" t="n">
        <f aca="false">IF(O1311=0,"",(O1311-LEN(SUBSTITUTE(SUBSTITUTE(M1311,"G",""),"C","")))/O1311)</f>
        <v>0.56</v>
      </c>
      <c r="R1311" s="5" t="s">
        <v>776</v>
      </c>
      <c r="S1311" s="15" t="s">
        <v>1677</v>
      </c>
      <c r="T1311" s="5" t="n">
        <v>339</v>
      </c>
      <c r="U1311" s="5" t="s">
        <v>1678</v>
      </c>
      <c r="V1311" s="5" t="s">
        <v>1302</v>
      </c>
      <c r="W1311" s="5"/>
      <c r="X1311" s="15" t="s">
        <v>1677</v>
      </c>
      <c r="Y1311" s="5"/>
    </row>
    <row r="1312" customFormat="false" ht="15" hidden="false" customHeight="false" outlineLevel="0" collapsed="false">
      <c r="A1312" s="5" t="s">
        <v>12885</v>
      </c>
      <c r="B1312" s="5" t="s">
        <v>1352</v>
      </c>
      <c r="C1312" s="5" t="s">
        <v>772</v>
      </c>
      <c r="D1312" s="11" t="s">
        <v>162</v>
      </c>
      <c r="E1312" s="5" t="n">
        <v>2</v>
      </c>
      <c r="F1312" s="5" t="s">
        <v>12886</v>
      </c>
      <c r="G1312" s="13" t="s">
        <v>12887</v>
      </c>
      <c r="H1312" s="5" t="s">
        <v>12888</v>
      </c>
      <c r="I1312" s="13" t="s">
        <v>12889</v>
      </c>
      <c r="J1312" s="5" t="s">
        <v>12890</v>
      </c>
      <c r="K1312" s="5" t="s">
        <v>12891</v>
      </c>
      <c r="L1312" s="13" t="s">
        <v>12892</v>
      </c>
      <c r="M1312" s="13" t="s">
        <v>12893</v>
      </c>
      <c r="N1312" s="5" t="n">
        <f aca="false">LEN(L1312)</f>
        <v>25</v>
      </c>
      <c r="O1312" s="5" t="n">
        <f aca="false">LEN(M1312)</f>
        <v>25</v>
      </c>
      <c r="P1312" s="14" t="n">
        <f aca="false">IF(N1312=0,"",(N1312-LEN(SUBSTITUTE(SUBSTITUTE(L1312,"G",""),"C","")))/N1312)</f>
        <v>0.56</v>
      </c>
      <c r="Q1312" s="14" t="n">
        <f aca="false">IF(O1312=0,"",(O1312-LEN(SUBSTITUTE(SUBSTITUTE(M1312,"G",""),"C","")))/O1312)</f>
        <v>0.48</v>
      </c>
      <c r="R1312" s="5" t="s">
        <v>776</v>
      </c>
      <c r="S1312" s="15" t="s">
        <v>1677</v>
      </c>
      <c r="T1312" s="5" t="n">
        <v>470</v>
      </c>
      <c r="U1312" s="5" t="s">
        <v>1678</v>
      </c>
      <c r="V1312" s="5" t="s">
        <v>1302</v>
      </c>
      <c r="W1312" s="5"/>
      <c r="X1312" s="15" t="s">
        <v>1677</v>
      </c>
      <c r="Y1312" s="5"/>
    </row>
    <row r="1313" customFormat="false" ht="15" hidden="false" customHeight="false" outlineLevel="0" collapsed="false">
      <c r="A1313" s="5" t="s">
        <v>12894</v>
      </c>
      <c r="B1313" s="5" t="s">
        <v>1352</v>
      </c>
      <c r="C1313" s="5" t="s">
        <v>772</v>
      </c>
      <c r="D1313" s="11" t="s">
        <v>162</v>
      </c>
      <c r="E1313" s="5" t="n">
        <v>3</v>
      </c>
      <c r="F1313" s="5" t="s">
        <v>12895</v>
      </c>
      <c r="G1313" s="13" t="s">
        <v>12896</v>
      </c>
      <c r="H1313" s="5" t="s">
        <v>12897</v>
      </c>
      <c r="I1313" s="13" t="s">
        <v>12898</v>
      </c>
      <c r="J1313" s="5" t="s">
        <v>12899</v>
      </c>
      <c r="K1313" s="5" t="s">
        <v>12900</v>
      </c>
      <c r="L1313" s="13" t="s">
        <v>12901</v>
      </c>
      <c r="M1313" s="13" t="s">
        <v>12902</v>
      </c>
      <c r="N1313" s="5" t="n">
        <f aca="false">LEN(L1313)</f>
        <v>25</v>
      </c>
      <c r="O1313" s="5" t="n">
        <f aca="false">LEN(M1313)</f>
        <v>25</v>
      </c>
      <c r="P1313" s="14" t="n">
        <f aca="false">IF(N1313=0,"",(N1313-LEN(SUBSTITUTE(SUBSTITUTE(L1313,"G",""),"C","")))/N1313)</f>
        <v>0.56</v>
      </c>
      <c r="Q1313" s="14" t="n">
        <f aca="false">IF(O1313=0,"",(O1313-LEN(SUBSTITUTE(SUBSTITUTE(M1313,"G",""),"C","")))/O1313)</f>
        <v>0.56</v>
      </c>
      <c r="R1313" s="5" t="s">
        <v>776</v>
      </c>
      <c r="S1313" s="15" t="s">
        <v>1677</v>
      </c>
      <c r="T1313" s="5" t="n">
        <v>602</v>
      </c>
      <c r="U1313" s="5" t="s">
        <v>1678</v>
      </c>
      <c r="V1313" s="5" t="s">
        <v>1302</v>
      </c>
      <c r="W1313" s="5"/>
      <c r="X1313" s="8" t="s">
        <v>1914</v>
      </c>
      <c r="Y1313" s="5"/>
    </row>
    <row r="1314" customFormat="false" ht="15" hidden="false" customHeight="false" outlineLevel="0" collapsed="false">
      <c r="A1314" s="5" t="s">
        <v>12903</v>
      </c>
      <c r="B1314" s="5" t="s">
        <v>1352</v>
      </c>
      <c r="C1314" s="5" t="s">
        <v>772</v>
      </c>
      <c r="D1314" s="11" t="s">
        <v>162</v>
      </c>
      <c r="E1314" s="5" t="n">
        <v>4</v>
      </c>
      <c r="F1314" s="5" t="s">
        <v>12904</v>
      </c>
      <c r="G1314" s="13" t="s">
        <v>12905</v>
      </c>
      <c r="H1314" s="5" t="s">
        <v>12906</v>
      </c>
      <c r="I1314" s="13" t="s">
        <v>12907</v>
      </c>
      <c r="J1314" s="5" t="s">
        <v>12908</v>
      </c>
      <c r="K1314" s="5" t="s">
        <v>12909</v>
      </c>
      <c r="L1314" s="13" t="s">
        <v>12910</v>
      </c>
      <c r="M1314" s="13" t="s">
        <v>12911</v>
      </c>
      <c r="N1314" s="5" t="n">
        <f aca="false">LEN(L1314)</f>
        <v>25</v>
      </c>
      <c r="O1314" s="5" t="n">
        <f aca="false">LEN(M1314)</f>
        <v>25</v>
      </c>
      <c r="P1314" s="14" t="n">
        <f aca="false">IF(N1314=0,"",(N1314-LEN(SUBSTITUTE(SUBSTITUTE(L1314,"G",""),"C","")))/N1314)</f>
        <v>0.56</v>
      </c>
      <c r="Q1314" s="14" t="n">
        <f aca="false">IF(O1314=0,"",(O1314-LEN(SUBSTITUTE(SUBSTITUTE(M1314,"G",""),"C","")))/O1314)</f>
        <v>0.52</v>
      </c>
      <c r="R1314" s="5" t="s">
        <v>776</v>
      </c>
      <c r="S1314" s="15" t="s">
        <v>1677</v>
      </c>
      <c r="T1314" s="5" t="n">
        <v>735</v>
      </c>
      <c r="U1314" s="5" t="s">
        <v>1678</v>
      </c>
      <c r="V1314" s="5" t="s">
        <v>1302</v>
      </c>
      <c r="W1314" s="5"/>
      <c r="X1314" s="15" t="s">
        <v>1677</v>
      </c>
      <c r="Y1314" s="5"/>
    </row>
    <row r="1315" customFormat="false" ht="15" hidden="false" customHeight="false" outlineLevel="0" collapsed="false">
      <c r="A1315" s="5" t="s">
        <v>12912</v>
      </c>
      <c r="B1315" s="5" t="s">
        <v>1352</v>
      </c>
      <c r="C1315" s="5" t="s">
        <v>772</v>
      </c>
      <c r="D1315" s="11" t="s">
        <v>162</v>
      </c>
      <c r="E1315" s="5" t="n">
        <v>5</v>
      </c>
      <c r="F1315" s="5" t="s">
        <v>12913</v>
      </c>
      <c r="G1315" s="13" t="s">
        <v>12914</v>
      </c>
      <c r="H1315" s="5" t="s">
        <v>12915</v>
      </c>
      <c r="I1315" s="13" t="s">
        <v>12916</v>
      </c>
      <c r="J1315" s="5" t="s">
        <v>12917</v>
      </c>
      <c r="K1315" s="5" t="s">
        <v>12918</v>
      </c>
      <c r="L1315" s="13" t="s">
        <v>12919</v>
      </c>
      <c r="M1315" s="13" t="s">
        <v>12920</v>
      </c>
      <c r="N1315" s="5" t="n">
        <f aca="false">LEN(L1315)</f>
        <v>25</v>
      </c>
      <c r="O1315" s="5" t="n">
        <f aca="false">LEN(M1315)</f>
        <v>25</v>
      </c>
      <c r="P1315" s="14" t="n">
        <f aca="false">IF(N1315=0,"",(N1315-LEN(SUBSTITUTE(SUBSTITUTE(L1315,"G",""),"C","")))/N1315)</f>
        <v>0.68</v>
      </c>
      <c r="Q1315" s="14" t="n">
        <f aca="false">IF(O1315=0,"",(O1315-LEN(SUBSTITUTE(SUBSTITUTE(M1315,"G",""),"C","")))/O1315)</f>
        <v>0.44</v>
      </c>
      <c r="R1315" s="5" t="s">
        <v>776</v>
      </c>
      <c r="S1315" s="15" t="s">
        <v>1677</v>
      </c>
      <c r="T1315" s="5" t="n">
        <v>867</v>
      </c>
      <c r="U1315" s="5" t="s">
        <v>1678</v>
      </c>
      <c r="V1315" s="5" t="s">
        <v>1302</v>
      </c>
      <c r="W1315" s="5"/>
      <c r="X1315" s="15" t="s">
        <v>1677</v>
      </c>
      <c r="Y1315" s="5"/>
    </row>
    <row r="1316" customFormat="false" ht="15" hidden="false" customHeight="false" outlineLevel="0" collapsed="false">
      <c r="A1316" s="5" t="s">
        <v>12921</v>
      </c>
      <c r="B1316" s="5" t="s">
        <v>1352</v>
      </c>
      <c r="C1316" s="5" t="s">
        <v>772</v>
      </c>
      <c r="D1316" s="11" t="s">
        <v>162</v>
      </c>
      <c r="E1316" s="5" t="n">
        <v>6</v>
      </c>
      <c r="F1316" s="5" t="s">
        <v>12922</v>
      </c>
      <c r="G1316" s="13" t="s">
        <v>12923</v>
      </c>
      <c r="H1316" s="5" t="s">
        <v>12924</v>
      </c>
      <c r="I1316" s="13" t="s">
        <v>12925</v>
      </c>
      <c r="J1316" s="5" t="s">
        <v>12926</v>
      </c>
      <c r="K1316" s="5" t="s">
        <v>12927</v>
      </c>
      <c r="L1316" s="13" t="s">
        <v>12928</v>
      </c>
      <c r="M1316" s="13" t="s">
        <v>12929</v>
      </c>
      <c r="N1316" s="5" t="n">
        <f aca="false">LEN(L1316)</f>
        <v>25</v>
      </c>
      <c r="O1316" s="5" t="n">
        <f aca="false">LEN(M1316)</f>
        <v>25</v>
      </c>
      <c r="P1316" s="14" t="n">
        <f aca="false">IF(N1316=0,"",(N1316-LEN(SUBSTITUTE(SUBSTITUTE(L1316,"G",""),"C","")))/N1316)</f>
        <v>0.6</v>
      </c>
      <c r="Q1316" s="14" t="n">
        <f aca="false">IF(O1316=0,"",(O1316-LEN(SUBSTITUTE(SUBSTITUTE(M1316,"G",""),"C","")))/O1316)</f>
        <v>0.72</v>
      </c>
      <c r="R1316" s="5" t="s">
        <v>776</v>
      </c>
      <c r="S1316" s="15" t="s">
        <v>1677</v>
      </c>
      <c r="T1316" s="5" t="n">
        <v>1000</v>
      </c>
      <c r="U1316" s="5" t="s">
        <v>1678</v>
      </c>
      <c r="V1316" s="5" t="s">
        <v>1302</v>
      </c>
      <c r="W1316" s="5"/>
      <c r="X1316" s="15" t="s">
        <v>1677</v>
      </c>
      <c r="Y1316" s="5"/>
    </row>
    <row r="1317" customFormat="false" ht="15" hidden="false" customHeight="false" outlineLevel="0" collapsed="false">
      <c r="A1317" s="5" t="s">
        <v>12930</v>
      </c>
      <c r="B1317" s="5" t="s">
        <v>1354</v>
      </c>
      <c r="C1317" s="5" t="s">
        <v>1355</v>
      </c>
      <c r="D1317" s="11" t="s">
        <v>162</v>
      </c>
      <c r="E1317" s="5" t="n">
        <v>1</v>
      </c>
      <c r="F1317" s="5" t="s">
        <v>12931</v>
      </c>
      <c r="G1317" s="13" t="s">
        <v>12932</v>
      </c>
      <c r="H1317" s="5" t="s">
        <v>12933</v>
      </c>
      <c r="I1317" s="13" t="s">
        <v>12934</v>
      </c>
      <c r="J1317" s="5" t="s">
        <v>12935</v>
      </c>
      <c r="K1317" s="5" t="s">
        <v>12936</v>
      </c>
      <c r="L1317" s="13" t="s">
        <v>12937</v>
      </c>
      <c r="M1317" s="13" t="s">
        <v>12938</v>
      </c>
      <c r="N1317" s="5" t="n">
        <f aca="false">LEN(L1317)</f>
        <v>25</v>
      </c>
      <c r="O1317" s="5" t="n">
        <f aca="false">LEN(M1317)</f>
        <v>25</v>
      </c>
      <c r="P1317" s="14" t="n">
        <f aca="false">IF(N1317=0,"",(N1317-LEN(SUBSTITUTE(SUBSTITUTE(L1317,"G",""),"C","")))/N1317)</f>
        <v>0.6</v>
      </c>
      <c r="Q1317" s="14" t="n">
        <f aca="false">IF(O1317=0,"",(O1317-LEN(SUBSTITUTE(SUBSTITUTE(M1317,"G",""),"C","")))/O1317)</f>
        <v>0.68</v>
      </c>
      <c r="R1317" s="5" t="s">
        <v>1359</v>
      </c>
      <c r="S1317" s="15" t="s">
        <v>1677</v>
      </c>
      <c r="T1317" s="5" t="n">
        <v>216</v>
      </c>
      <c r="U1317" s="5" t="s">
        <v>1678</v>
      </c>
      <c r="V1317" s="5" t="s">
        <v>1302</v>
      </c>
      <c r="W1317" s="5"/>
      <c r="X1317" s="15" t="s">
        <v>1677</v>
      </c>
      <c r="Y1317" s="5"/>
    </row>
    <row r="1318" customFormat="false" ht="15" hidden="false" customHeight="false" outlineLevel="0" collapsed="false">
      <c r="A1318" s="5" t="s">
        <v>12939</v>
      </c>
      <c r="B1318" s="5" t="s">
        <v>1354</v>
      </c>
      <c r="C1318" s="5" t="s">
        <v>1355</v>
      </c>
      <c r="D1318" s="11" t="s">
        <v>162</v>
      </c>
      <c r="E1318" s="5" t="n">
        <v>2</v>
      </c>
      <c r="F1318" s="5" t="s">
        <v>12940</v>
      </c>
      <c r="G1318" s="13" t="s">
        <v>12941</v>
      </c>
      <c r="H1318" s="5" t="s">
        <v>12942</v>
      </c>
      <c r="I1318" s="13" t="s">
        <v>12943</v>
      </c>
      <c r="J1318" s="5" t="s">
        <v>12944</v>
      </c>
      <c r="K1318" s="5" t="s">
        <v>12945</v>
      </c>
      <c r="L1318" s="13" t="s">
        <v>12946</v>
      </c>
      <c r="M1318" s="13" t="s">
        <v>12947</v>
      </c>
      <c r="N1318" s="5" t="n">
        <f aca="false">LEN(L1318)</f>
        <v>25</v>
      </c>
      <c r="O1318" s="5" t="n">
        <f aca="false">LEN(M1318)</f>
        <v>25</v>
      </c>
      <c r="P1318" s="14" t="n">
        <f aca="false">IF(N1318=0,"",(N1318-LEN(SUBSTITUTE(SUBSTITUTE(L1318,"G",""),"C","")))/N1318)</f>
        <v>0.32</v>
      </c>
      <c r="Q1318" s="14" t="n">
        <f aca="false">IF(O1318=0,"",(O1318-LEN(SUBSTITUTE(SUBSTITUTE(M1318,"G",""),"C","")))/O1318)</f>
        <v>0.56</v>
      </c>
      <c r="R1318" s="5" t="s">
        <v>1359</v>
      </c>
      <c r="S1318" s="15" t="s">
        <v>1677</v>
      </c>
      <c r="T1318" s="5" t="n">
        <v>286</v>
      </c>
      <c r="U1318" s="5" t="s">
        <v>1678</v>
      </c>
      <c r="V1318" s="5" t="s">
        <v>1302</v>
      </c>
      <c r="W1318" s="5"/>
      <c r="X1318" s="15" t="s">
        <v>1677</v>
      </c>
      <c r="Y1318" s="5"/>
    </row>
    <row r="1319" customFormat="false" ht="15" hidden="false" customHeight="false" outlineLevel="0" collapsed="false">
      <c r="A1319" s="5" t="s">
        <v>12948</v>
      </c>
      <c r="B1319" s="5" t="s">
        <v>1354</v>
      </c>
      <c r="C1319" s="5" t="s">
        <v>1355</v>
      </c>
      <c r="D1319" s="11" t="s">
        <v>162</v>
      </c>
      <c r="E1319" s="5" t="n">
        <v>3</v>
      </c>
      <c r="F1319" s="5" t="s">
        <v>12949</v>
      </c>
      <c r="G1319" s="13" t="s">
        <v>12950</v>
      </c>
      <c r="H1319" s="5" t="s">
        <v>12951</v>
      </c>
      <c r="I1319" s="13" t="s">
        <v>12952</v>
      </c>
      <c r="J1319" s="5" t="s">
        <v>12953</v>
      </c>
      <c r="K1319" s="5" t="s">
        <v>12954</v>
      </c>
      <c r="L1319" s="13" t="s">
        <v>12955</v>
      </c>
      <c r="M1319" s="13" t="s">
        <v>12956</v>
      </c>
      <c r="N1319" s="5" t="n">
        <f aca="false">LEN(L1319)</f>
        <v>25</v>
      </c>
      <c r="O1319" s="5" t="n">
        <f aca="false">LEN(M1319)</f>
        <v>25</v>
      </c>
      <c r="P1319" s="14" t="n">
        <f aca="false">IF(N1319=0,"",(N1319-LEN(SUBSTITUTE(SUBSTITUTE(L1319,"G",""),"C","")))/N1319)</f>
        <v>0.52</v>
      </c>
      <c r="Q1319" s="14" t="n">
        <f aca="false">IF(O1319=0,"",(O1319-LEN(SUBSTITUTE(SUBSTITUTE(M1319,"G",""),"C","")))/O1319)</f>
        <v>0.68</v>
      </c>
      <c r="R1319" s="5" t="s">
        <v>1359</v>
      </c>
      <c r="S1319" s="15" t="s">
        <v>1677</v>
      </c>
      <c r="T1319" s="5" t="n">
        <v>356</v>
      </c>
      <c r="U1319" s="5" t="s">
        <v>1678</v>
      </c>
      <c r="V1319" s="5" t="s">
        <v>1302</v>
      </c>
      <c r="W1319" s="5"/>
      <c r="X1319" s="15" t="s">
        <v>1677</v>
      </c>
      <c r="Y1319" s="5"/>
    </row>
    <row r="1320" customFormat="false" ht="15" hidden="false" customHeight="false" outlineLevel="0" collapsed="false">
      <c r="A1320" s="5" t="s">
        <v>12957</v>
      </c>
      <c r="B1320" s="5" t="s">
        <v>1354</v>
      </c>
      <c r="C1320" s="5" t="s">
        <v>1355</v>
      </c>
      <c r="D1320" s="11" t="s">
        <v>162</v>
      </c>
      <c r="E1320" s="5" t="n">
        <v>4</v>
      </c>
      <c r="F1320" s="5" t="s">
        <v>12958</v>
      </c>
      <c r="G1320" s="13" t="s">
        <v>12959</v>
      </c>
      <c r="H1320" s="5" t="s">
        <v>12960</v>
      </c>
      <c r="I1320" s="13" t="s">
        <v>12961</v>
      </c>
      <c r="J1320" s="5" t="s">
        <v>12962</v>
      </c>
      <c r="K1320" s="5" t="s">
        <v>12963</v>
      </c>
      <c r="L1320" s="13" t="s">
        <v>12964</v>
      </c>
      <c r="M1320" s="13" t="s">
        <v>12965</v>
      </c>
      <c r="N1320" s="5" t="n">
        <f aca="false">LEN(L1320)</f>
        <v>25</v>
      </c>
      <c r="O1320" s="5" t="n">
        <f aca="false">LEN(M1320)</f>
        <v>25</v>
      </c>
      <c r="P1320" s="14" t="n">
        <f aca="false">IF(N1320=0,"",(N1320-LEN(SUBSTITUTE(SUBSTITUTE(L1320,"G",""),"C","")))/N1320)</f>
        <v>0.6</v>
      </c>
      <c r="Q1320" s="14" t="n">
        <f aca="false">IF(O1320=0,"",(O1320-LEN(SUBSTITUTE(SUBSTITUTE(M1320,"G",""),"C","")))/O1320)</f>
        <v>0.32</v>
      </c>
      <c r="R1320" s="5" t="s">
        <v>1359</v>
      </c>
      <c r="S1320" s="15" t="s">
        <v>1677</v>
      </c>
      <c r="T1320" s="5" t="n">
        <v>426</v>
      </c>
      <c r="U1320" s="5" t="s">
        <v>1678</v>
      </c>
      <c r="V1320" s="5" t="s">
        <v>1302</v>
      </c>
      <c r="W1320" s="5"/>
      <c r="X1320" s="15" t="s">
        <v>1677</v>
      </c>
      <c r="Y1320" s="5"/>
    </row>
    <row r="1321" customFormat="false" ht="15" hidden="false" customHeight="false" outlineLevel="0" collapsed="false">
      <c r="A1321" s="5" t="s">
        <v>12966</v>
      </c>
      <c r="B1321" s="5" t="s">
        <v>1354</v>
      </c>
      <c r="C1321" s="5" t="s">
        <v>1355</v>
      </c>
      <c r="D1321" s="11" t="s">
        <v>162</v>
      </c>
      <c r="E1321" s="5" t="n">
        <v>5</v>
      </c>
      <c r="F1321" s="5" t="s">
        <v>12967</v>
      </c>
      <c r="G1321" s="13" t="s">
        <v>12968</v>
      </c>
      <c r="H1321" s="5" t="s">
        <v>12969</v>
      </c>
      <c r="I1321" s="13" t="s">
        <v>12970</v>
      </c>
      <c r="J1321" s="5" t="s">
        <v>12971</v>
      </c>
      <c r="K1321" s="5" t="s">
        <v>12972</v>
      </c>
      <c r="L1321" s="13" t="s">
        <v>12973</v>
      </c>
      <c r="M1321" s="13" t="s">
        <v>12974</v>
      </c>
      <c r="N1321" s="5" t="n">
        <f aca="false">LEN(L1321)</f>
        <v>25</v>
      </c>
      <c r="O1321" s="5" t="n">
        <f aca="false">LEN(M1321)</f>
        <v>25</v>
      </c>
      <c r="P1321" s="14" t="n">
        <f aca="false">IF(N1321=0,"",(N1321-LEN(SUBSTITUTE(SUBSTITUTE(L1321,"G",""),"C","")))/N1321)</f>
        <v>0.56</v>
      </c>
      <c r="Q1321" s="14" t="n">
        <f aca="false">IF(O1321=0,"",(O1321-LEN(SUBSTITUTE(SUBSTITUTE(M1321,"G",""),"C","")))/O1321)</f>
        <v>0.36</v>
      </c>
      <c r="R1321" s="5" t="s">
        <v>1359</v>
      </c>
      <c r="S1321" s="15" t="s">
        <v>1677</v>
      </c>
      <c r="T1321" s="5" t="n">
        <v>496</v>
      </c>
      <c r="U1321" s="5" t="s">
        <v>1678</v>
      </c>
      <c r="V1321" s="5" t="s">
        <v>1302</v>
      </c>
      <c r="W1321" s="5"/>
      <c r="X1321" s="15" t="s">
        <v>1677</v>
      </c>
      <c r="Y1321" s="5"/>
    </row>
    <row r="1322" customFormat="false" ht="15" hidden="false" customHeight="false" outlineLevel="0" collapsed="false">
      <c r="A1322" s="5" t="s">
        <v>12975</v>
      </c>
      <c r="B1322" s="5" t="s">
        <v>1354</v>
      </c>
      <c r="C1322" s="5" t="s">
        <v>1355</v>
      </c>
      <c r="D1322" s="11" t="s">
        <v>162</v>
      </c>
      <c r="E1322" s="5" t="n">
        <v>6</v>
      </c>
      <c r="F1322" s="5" t="s">
        <v>12976</v>
      </c>
      <c r="G1322" s="13" t="s">
        <v>12977</v>
      </c>
      <c r="H1322" s="5" t="s">
        <v>12978</v>
      </c>
      <c r="I1322" s="13" t="s">
        <v>12979</v>
      </c>
      <c r="J1322" s="5" t="s">
        <v>12980</v>
      </c>
      <c r="K1322" s="5" t="s">
        <v>12981</v>
      </c>
      <c r="L1322" s="13" t="s">
        <v>12982</v>
      </c>
      <c r="M1322" s="13" t="s">
        <v>12983</v>
      </c>
      <c r="N1322" s="5" t="n">
        <f aca="false">LEN(L1322)</f>
        <v>25</v>
      </c>
      <c r="O1322" s="5" t="n">
        <f aca="false">LEN(M1322)</f>
        <v>25</v>
      </c>
      <c r="P1322" s="14" t="n">
        <f aca="false">IF(N1322=0,"",(N1322-LEN(SUBSTITUTE(SUBSTITUTE(L1322,"G",""),"C","")))/N1322)</f>
        <v>0.52</v>
      </c>
      <c r="Q1322" s="14" t="n">
        <f aca="false">IF(O1322=0,"",(O1322-LEN(SUBSTITUTE(SUBSTITUTE(M1322,"G",""),"C","")))/O1322)</f>
        <v>0.52</v>
      </c>
      <c r="R1322" s="5" t="s">
        <v>1359</v>
      </c>
      <c r="S1322" s="15" t="s">
        <v>1677</v>
      </c>
      <c r="T1322" s="5" t="n">
        <v>566</v>
      </c>
      <c r="U1322" s="5" t="s">
        <v>1678</v>
      </c>
      <c r="V1322" s="5" t="s">
        <v>1302</v>
      </c>
      <c r="W1322" s="5"/>
      <c r="X1322" s="15" t="s">
        <v>1677</v>
      </c>
      <c r="Y1322" s="5"/>
    </row>
    <row r="1323" customFormat="false" ht="15" hidden="false" customHeight="false" outlineLevel="0" collapsed="false">
      <c r="A1323" s="5" t="s">
        <v>12984</v>
      </c>
      <c r="B1323" s="5" t="s">
        <v>1361</v>
      </c>
      <c r="C1323" s="5" t="s">
        <v>1229</v>
      </c>
      <c r="D1323" s="11" t="s">
        <v>162</v>
      </c>
      <c r="E1323" s="5" t="n">
        <v>1</v>
      </c>
      <c r="F1323" s="5" t="s">
        <v>12985</v>
      </c>
      <c r="G1323" s="13" t="s">
        <v>12986</v>
      </c>
      <c r="H1323" s="5" t="s">
        <v>12987</v>
      </c>
      <c r="I1323" s="13" t="s">
        <v>12988</v>
      </c>
      <c r="J1323" s="5" t="s">
        <v>12989</v>
      </c>
      <c r="K1323" s="5" t="s">
        <v>12990</v>
      </c>
      <c r="L1323" s="13" t="s">
        <v>12991</v>
      </c>
      <c r="M1323" s="13" t="s">
        <v>12992</v>
      </c>
      <c r="N1323" s="5" t="n">
        <f aca="false">LEN(L1323)</f>
        <v>25</v>
      </c>
      <c r="O1323" s="5" t="n">
        <f aca="false">LEN(M1323)</f>
        <v>25</v>
      </c>
      <c r="P1323" s="14" t="n">
        <f aca="false">IF(N1323=0,"",(N1323-LEN(SUBSTITUTE(SUBSTITUTE(L1323,"G",""),"C","")))/N1323)</f>
        <v>0.4</v>
      </c>
      <c r="Q1323" s="14" t="n">
        <f aca="false">IF(O1323=0,"",(O1323-LEN(SUBSTITUTE(SUBSTITUTE(M1323,"G",""),"C","")))/O1323)</f>
        <v>0.36</v>
      </c>
      <c r="R1323" s="5" t="s">
        <v>1233</v>
      </c>
      <c r="S1323" s="15" t="s">
        <v>1677</v>
      </c>
      <c r="T1323" s="5" t="n">
        <v>212</v>
      </c>
      <c r="U1323" s="5" t="s">
        <v>1678</v>
      </c>
      <c r="V1323" s="5" t="s">
        <v>1302</v>
      </c>
      <c r="W1323" s="5"/>
      <c r="X1323" s="15" t="s">
        <v>1677</v>
      </c>
      <c r="Y1323" s="5"/>
    </row>
    <row r="1324" customFormat="false" ht="15" hidden="false" customHeight="false" outlineLevel="0" collapsed="false">
      <c r="A1324" s="5" t="s">
        <v>12993</v>
      </c>
      <c r="B1324" s="5" t="s">
        <v>1361</v>
      </c>
      <c r="C1324" s="5" t="s">
        <v>1229</v>
      </c>
      <c r="D1324" s="11" t="s">
        <v>162</v>
      </c>
      <c r="E1324" s="5" t="n">
        <v>2</v>
      </c>
      <c r="F1324" s="5" t="s">
        <v>12994</v>
      </c>
      <c r="G1324" s="13" t="s">
        <v>12995</v>
      </c>
      <c r="H1324" s="5" t="s">
        <v>12996</v>
      </c>
      <c r="I1324" s="13" t="s">
        <v>12997</v>
      </c>
      <c r="J1324" s="5" t="s">
        <v>12998</v>
      </c>
      <c r="K1324" s="5" t="s">
        <v>12999</v>
      </c>
      <c r="L1324" s="13" t="s">
        <v>13000</v>
      </c>
      <c r="M1324" s="13" t="s">
        <v>13001</v>
      </c>
      <c r="N1324" s="5" t="n">
        <f aca="false">LEN(L1324)</f>
        <v>25</v>
      </c>
      <c r="O1324" s="5" t="n">
        <f aca="false">LEN(M1324)</f>
        <v>25</v>
      </c>
      <c r="P1324" s="14" t="n">
        <f aca="false">IF(N1324=0,"",(N1324-LEN(SUBSTITUTE(SUBSTITUTE(L1324,"G",""),"C","")))/N1324)</f>
        <v>0.64</v>
      </c>
      <c r="Q1324" s="14" t="n">
        <f aca="false">IF(O1324=0,"",(O1324-LEN(SUBSTITUTE(SUBSTITUTE(M1324,"G",""),"C","")))/O1324)</f>
        <v>0.32</v>
      </c>
      <c r="R1324" s="5" t="s">
        <v>1233</v>
      </c>
      <c r="S1324" s="15" t="s">
        <v>1677</v>
      </c>
      <c r="T1324" s="5" t="n">
        <v>345</v>
      </c>
      <c r="U1324" s="5" t="s">
        <v>1678</v>
      </c>
      <c r="V1324" s="5" t="s">
        <v>1302</v>
      </c>
      <c r="W1324" s="5"/>
      <c r="X1324" s="15" t="s">
        <v>1677</v>
      </c>
      <c r="Y1324" s="5"/>
    </row>
    <row r="1325" customFormat="false" ht="15" hidden="false" customHeight="false" outlineLevel="0" collapsed="false">
      <c r="A1325" s="5" t="s">
        <v>13002</v>
      </c>
      <c r="B1325" s="5" t="s">
        <v>1361</v>
      </c>
      <c r="C1325" s="5" t="s">
        <v>1229</v>
      </c>
      <c r="D1325" s="11" t="s">
        <v>162</v>
      </c>
      <c r="E1325" s="5" t="n">
        <v>3</v>
      </c>
      <c r="F1325" s="5" t="s">
        <v>13003</v>
      </c>
      <c r="G1325" s="13" t="s">
        <v>13004</v>
      </c>
      <c r="H1325" s="5" t="s">
        <v>13005</v>
      </c>
      <c r="I1325" s="13" t="s">
        <v>13006</v>
      </c>
      <c r="J1325" s="5" t="s">
        <v>13007</v>
      </c>
      <c r="K1325" s="5" t="s">
        <v>13008</v>
      </c>
      <c r="L1325" s="13" t="s">
        <v>13009</v>
      </c>
      <c r="M1325" s="13" t="s">
        <v>13010</v>
      </c>
      <c r="N1325" s="5" t="n">
        <f aca="false">LEN(L1325)</f>
        <v>25</v>
      </c>
      <c r="O1325" s="5" t="n">
        <f aca="false">LEN(M1325)</f>
        <v>25</v>
      </c>
      <c r="P1325" s="14" t="n">
        <f aca="false">IF(N1325=0,"",(N1325-LEN(SUBSTITUTE(SUBSTITUTE(L1325,"G",""),"C","")))/N1325)</f>
        <v>0.6</v>
      </c>
      <c r="Q1325" s="14" t="n">
        <f aca="false">IF(O1325=0,"",(O1325-LEN(SUBSTITUTE(SUBSTITUTE(M1325,"G",""),"C","")))/O1325)</f>
        <v>0.72</v>
      </c>
      <c r="R1325" s="5" t="s">
        <v>1233</v>
      </c>
      <c r="S1325" s="15" t="s">
        <v>1677</v>
      </c>
      <c r="T1325" s="5" t="n">
        <v>477</v>
      </c>
      <c r="U1325" s="5" t="s">
        <v>1678</v>
      </c>
      <c r="V1325" s="5" t="s">
        <v>1302</v>
      </c>
      <c r="W1325" s="5"/>
      <c r="X1325" s="15" t="s">
        <v>1677</v>
      </c>
      <c r="Y1325" s="5"/>
    </row>
    <row r="1326" customFormat="false" ht="15" hidden="false" customHeight="false" outlineLevel="0" collapsed="false">
      <c r="A1326" s="5" t="s">
        <v>13011</v>
      </c>
      <c r="B1326" s="5" t="s">
        <v>1361</v>
      </c>
      <c r="C1326" s="5" t="s">
        <v>1229</v>
      </c>
      <c r="D1326" s="11" t="s">
        <v>162</v>
      </c>
      <c r="E1326" s="5" t="n">
        <v>4</v>
      </c>
      <c r="F1326" s="5" t="s">
        <v>13012</v>
      </c>
      <c r="G1326" s="13" t="s">
        <v>13013</v>
      </c>
      <c r="H1326" s="5" t="s">
        <v>13014</v>
      </c>
      <c r="I1326" s="13" t="s">
        <v>13015</v>
      </c>
      <c r="J1326" s="5" t="s">
        <v>13016</v>
      </c>
      <c r="K1326" s="5" t="s">
        <v>13017</v>
      </c>
      <c r="L1326" s="13" t="s">
        <v>13018</v>
      </c>
      <c r="M1326" s="13" t="s">
        <v>13019</v>
      </c>
      <c r="N1326" s="5" t="n">
        <f aca="false">LEN(L1326)</f>
        <v>25</v>
      </c>
      <c r="O1326" s="5" t="n">
        <f aca="false">LEN(M1326)</f>
        <v>25</v>
      </c>
      <c r="P1326" s="14" t="n">
        <f aca="false">IF(N1326=0,"",(N1326-LEN(SUBSTITUTE(SUBSTITUTE(L1326,"G",""),"C","")))/N1326)</f>
        <v>0.52</v>
      </c>
      <c r="Q1326" s="14" t="n">
        <f aca="false">IF(O1326=0,"",(O1326-LEN(SUBSTITUTE(SUBSTITUTE(M1326,"G",""),"C","")))/O1326)</f>
        <v>0.48</v>
      </c>
      <c r="R1326" s="5" t="s">
        <v>1233</v>
      </c>
      <c r="S1326" s="15" t="s">
        <v>1677</v>
      </c>
      <c r="T1326" s="5" t="n">
        <v>608</v>
      </c>
      <c r="U1326" s="5" t="s">
        <v>1678</v>
      </c>
      <c r="V1326" s="5" t="s">
        <v>1302</v>
      </c>
      <c r="W1326" s="5"/>
      <c r="X1326" s="15" t="s">
        <v>1677</v>
      </c>
      <c r="Y1326" s="5"/>
    </row>
    <row r="1327" customFormat="false" ht="15" hidden="false" customHeight="false" outlineLevel="0" collapsed="false">
      <c r="A1327" s="5" t="s">
        <v>13020</v>
      </c>
      <c r="B1327" s="5" t="s">
        <v>1361</v>
      </c>
      <c r="C1327" s="5" t="s">
        <v>1229</v>
      </c>
      <c r="D1327" s="11" t="s">
        <v>162</v>
      </c>
      <c r="E1327" s="5" t="n">
        <v>5</v>
      </c>
      <c r="F1327" s="5" t="s">
        <v>13021</v>
      </c>
      <c r="G1327" s="13" t="s">
        <v>13022</v>
      </c>
      <c r="H1327" s="5" t="s">
        <v>13023</v>
      </c>
      <c r="I1327" s="13" t="s">
        <v>13024</v>
      </c>
      <c r="J1327" s="5" t="s">
        <v>13025</v>
      </c>
      <c r="K1327" s="5" t="s">
        <v>13026</v>
      </c>
      <c r="L1327" s="13" t="s">
        <v>13027</v>
      </c>
      <c r="M1327" s="13" t="s">
        <v>13028</v>
      </c>
      <c r="N1327" s="5" t="n">
        <f aca="false">LEN(L1327)</f>
        <v>25</v>
      </c>
      <c r="O1327" s="5" t="n">
        <f aca="false">LEN(M1327)</f>
        <v>25</v>
      </c>
      <c r="P1327" s="14" t="n">
        <f aca="false">IF(N1327=0,"",(N1327-LEN(SUBSTITUTE(SUBSTITUTE(L1327,"G",""),"C","")))/N1327)</f>
        <v>0.44</v>
      </c>
      <c r="Q1327" s="14" t="n">
        <f aca="false">IF(O1327=0,"",(O1327-LEN(SUBSTITUTE(SUBSTITUTE(M1327,"G",""),"C","")))/O1327)</f>
        <v>0.24</v>
      </c>
      <c r="R1327" s="5" t="s">
        <v>1233</v>
      </c>
      <c r="S1327" s="15" t="s">
        <v>1677</v>
      </c>
      <c r="T1327" s="5" t="n">
        <v>743</v>
      </c>
      <c r="U1327" s="5" t="s">
        <v>1678</v>
      </c>
      <c r="V1327" s="5" t="s">
        <v>1302</v>
      </c>
      <c r="W1327" s="5"/>
      <c r="X1327" s="15" t="s">
        <v>1677</v>
      </c>
      <c r="Y1327" s="5"/>
    </row>
    <row r="1328" customFormat="false" ht="15" hidden="false" customHeight="false" outlineLevel="0" collapsed="false">
      <c r="A1328" s="5" t="s">
        <v>13029</v>
      </c>
      <c r="B1328" s="5" t="s">
        <v>1361</v>
      </c>
      <c r="C1328" s="5" t="s">
        <v>1229</v>
      </c>
      <c r="D1328" s="11" t="s">
        <v>162</v>
      </c>
      <c r="E1328" s="5" t="n">
        <v>6</v>
      </c>
      <c r="F1328" s="5" t="s">
        <v>13030</v>
      </c>
      <c r="G1328" s="13" t="s">
        <v>13031</v>
      </c>
      <c r="H1328" s="5" t="s">
        <v>13032</v>
      </c>
      <c r="I1328" s="13" t="s">
        <v>13033</v>
      </c>
      <c r="J1328" s="5" t="s">
        <v>13034</v>
      </c>
      <c r="K1328" s="5" t="s">
        <v>13035</v>
      </c>
      <c r="L1328" s="13" t="s">
        <v>13036</v>
      </c>
      <c r="M1328" s="13" t="s">
        <v>13037</v>
      </c>
      <c r="N1328" s="5" t="n">
        <f aca="false">LEN(L1328)</f>
        <v>25</v>
      </c>
      <c r="O1328" s="5" t="n">
        <f aca="false">LEN(M1328)</f>
        <v>25</v>
      </c>
      <c r="P1328" s="14" t="n">
        <f aca="false">IF(N1328=0,"",(N1328-LEN(SUBSTITUTE(SUBSTITUTE(L1328,"G",""),"C","")))/N1328)</f>
        <v>0.52</v>
      </c>
      <c r="Q1328" s="14" t="n">
        <f aca="false">IF(O1328=0,"",(O1328-LEN(SUBSTITUTE(SUBSTITUTE(M1328,"G",""),"C","")))/O1328)</f>
        <v>0.4</v>
      </c>
      <c r="R1328" s="5" t="s">
        <v>1233</v>
      </c>
      <c r="S1328" s="15" t="s">
        <v>1677</v>
      </c>
      <c r="T1328" s="5" t="n">
        <v>880</v>
      </c>
      <c r="U1328" s="5" t="s">
        <v>1678</v>
      </c>
      <c r="V1328" s="5" t="s">
        <v>1302</v>
      </c>
      <c r="W1328" s="5"/>
      <c r="X1328" s="15" t="s">
        <v>1677</v>
      </c>
      <c r="Y1328" s="5"/>
    </row>
    <row r="1329" customFormat="false" ht="15" hidden="false" customHeight="false" outlineLevel="0" collapsed="false">
      <c r="A1329" s="5" t="s">
        <v>13038</v>
      </c>
      <c r="B1329" s="5" t="s">
        <v>1361</v>
      </c>
      <c r="C1329" s="5" t="s">
        <v>1229</v>
      </c>
      <c r="D1329" s="11" t="s">
        <v>162</v>
      </c>
      <c r="E1329" s="5" t="n">
        <v>7</v>
      </c>
      <c r="F1329" s="5" t="s">
        <v>13039</v>
      </c>
      <c r="G1329" s="13" t="s">
        <v>13040</v>
      </c>
      <c r="H1329" s="5" t="s">
        <v>13041</v>
      </c>
      <c r="I1329" s="13" t="s">
        <v>13042</v>
      </c>
      <c r="J1329" s="5" t="s">
        <v>13043</v>
      </c>
      <c r="K1329" s="5" t="s">
        <v>13044</v>
      </c>
      <c r="L1329" s="13" t="s">
        <v>13045</v>
      </c>
      <c r="M1329" s="13" t="s">
        <v>13046</v>
      </c>
      <c r="N1329" s="5" t="n">
        <f aca="false">LEN(L1329)</f>
        <v>25</v>
      </c>
      <c r="O1329" s="5" t="n">
        <f aca="false">LEN(M1329)</f>
        <v>25</v>
      </c>
      <c r="P1329" s="14" t="n">
        <f aca="false">IF(N1329=0,"",(N1329-LEN(SUBSTITUTE(SUBSTITUTE(L1329,"G",""),"C","")))/N1329)</f>
        <v>0.48</v>
      </c>
      <c r="Q1329" s="14" t="n">
        <f aca="false">IF(O1329=0,"",(O1329-LEN(SUBSTITUTE(SUBSTITUTE(M1329,"G",""),"C","")))/O1329)</f>
        <v>0.56</v>
      </c>
      <c r="R1329" s="5" t="s">
        <v>1233</v>
      </c>
      <c r="S1329" s="15" t="s">
        <v>1677</v>
      </c>
      <c r="T1329" s="5" t="n">
        <v>1016</v>
      </c>
      <c r="U1329" s="5" t="s">
        <v>1678</v>
      </c>
      <c r="V1329" s="5" t="s">
        <v>1302</v>
      </c>
      <c r="W1329" s="5"/>
      <c r="X1329" s="15" t="s">
        <v>1677</v>
      </c>
      <c r="Y1329" s="5"/>
    </row>
    <row r="1330" customFormat="false" ht="15" hidden="false" customHeight="false" outlineLevel="0" collapsed="false">
      <c r="A1330" s="5" t="s">
        <v>13047</v>
      </c>
      <c r="B1330" s="5" t="s">
        <v>1363</v>
      </c>
      <c r="C1330" s="5" t="s">
        <v>1364</v>
      </c>
      <c r="D1330" s="11" t="s">
        <v>162</v>
      </c>
      <c r="E1330" s="5" t="n">
        <v>1</v>
      </c>
      <c r="F1330" s="5" t="s">
        <v>13048</v>
      </c>
      <c r="G1330" s="13" t="s">
        <v>13049</v>
      </c>
      <c r="H1330" s="5" t="s">
        <v>13050</v>
      </c>
      <c r="I1330" s="13" t="s">
        <v>13051</v>
      </c>
      <c r="J1330" s="5" t="s">
        <v>13052</v>
      </c>
      <c r="K1330" s="5" t="s">
        <v>13053</v>
      </c>
      <c r="L1330" s="13" t="s">
        <v>13054</v>
      </c>
      <c r="M1330" s="13" t="s">
        <v>13055</v>
      </c>
      <c r="N1330" s="5" t="n">
        <f aca="false">LEN(L1330)</f>
        <v>25</v>
      </c>
      <c r="O1330" s="5" t="n">
        <f aca="false">LEN(M1330)</f>
        <v>25</v>
      </c>
      <c r="P1330" s="14" t="n">
        <f aca="false">IF(N1330=0,"",(N1330-LEN(SUBSTITUTE(SUBSTITUTE(L1330,"G",""),"C","")))/N1330)</f>
        <v>0.56</v>
      </c>
      <c r="Q1330" s="14" t="n">
        <f aca="false">IF(O1330=0,"",(O1330-LEN(SUBSTITUTE(SUBSTITUTE(M1330,"G",""),"C","")))/O1330)</f>
        <v>0.64</v>
      </c>
      <c r="R1330" s="5" t="s">
        <v>1369</v>
      </c>
      <c r="S1330" s="15" t="s">
        <v>1677</v>
      </c>
      <c r="T1330" s="5" t="n">
        <v>216</v>
      </c>
      <c r="U1330" s="5" t="s">
        <v>1678</v>
      </c>
      <c r="V1330" s="5" t="s">
        <v>1302</v>
      </c>
      <c r="W1330" s="5"/>
      <c r="X1330" s="15" t="s">
        <v>1677</v>
      </c>
      <c r="Y1330" s="5"/>
    </row>
    <row r="1331" customFormat="false" ht="15" hidden="false" customHeight="false" outlineLevel="0" collapsed="false">
      <c r="A1331" s="5" t="s">
        <v>13056</v>
      </c>
      <c r="B1331" s="5" t="s">
        <v>1363</v>
      </c>
      <c r="C1331" s="5" t="s">
        <v>1364</v>
      </c>
      <c r="D1331" s="11" t="s">
        <v>162</v>
      </c>
      <c r="E1331" s="5" t="n">
        <v>2</v>
      </c>
      <c r="F1331" s="5" t="s">
        <v>13057</v>
      </c>
      <c r="G1331" s="13" t="s">
        <v>13058</v>
      </c>
      <c r="H1331" s="5" t="s">
        <v>13059</v>
      </c>
      <c r="I1331" s="13" t="s">
        <v>13060</v>
      </c>
      <c r="J1331" s="5" t="s">
        <v>13061</v>
      </c>
      <c r="K1331" s="5" t="s">
        <v>13062</v>
      </c>
      <c r="L1331" s="13" t="s">
        <v>13063</v>
      </c>
      <c r="M1331" s="13" t="s">
        <v>13064</v>
      </c>
      <c r="N1331" s="5" t="n">
        <f aca="false">LEN(L1331)</f>
        <v>25</v>
      </c>
      <c r="O1331" s="5" t="n">
        <f aca="false">LEN(M1331)</f>
        <v>25</v>
      </c>
      <c r="P1331" s="14" t="n">
        <f aca="false">IF(N1331=0,"",(N1331-LEN(SUBSTITUTE(SUBSTITUTE(L1331,"G",""),"C","")))/N1331)</f>
        <v>0.44</v>
      </c>
      <c r="Q1331" s="14" t="n">
        <f aca="false">IF(O1331=0,"",(O1331-LEN(SUBSTITUTE(SUBSTITUTE(M1331,"G",""),"C","")))/O1331)</f>
        <v>0.68</v>
      </c>
      <c r="R1331" s="5" t="s">
        <v>1369</v>
      </c>
      <c r="S1331" s="15" t="s">
        <v>1677</v>
      </c>
      <c r="T1331" s="5" t="n">
        <v>286</v>
      </c>
      <c r="U1331" s="5" t="s">
        <v>1678</v>
      </c>
      <c r="V1331" s="5" t="s">
        <v>1302</v>
      </c>
      <c r="W1331" s="5"/>
      <c r="X1331" s="15" t="s">
        <v>1677</v>
      </c>
      <c r="Y1331" s="5"/>
    </row>
    <row r="1332" customFormat="false" ht="15" hidden="false" customHeight="false" outlineLevel="0" collapsed="false">
      <c r="A1332" s="5" t="s">
        <v>13065</v>
      </c>
      <c r="B1332" s="5" t="s">
        <v>1363</v>
      </c>
      <c r="C1332" s="5" t="s">
        <v>1364</v>
      </c>
      <c r="D1332" s="11" t="s">
        <v>162</v>
      </c>
      <c r="E1332" s="5" t="n">
        <v>3</v>
      </c>
      <c r="F1332" s="5" t="s">
        <v>13066</v>
      </c>
      <c r="G1332" s="13" t="s">
        <v>13067</v>
      </c>
      <c r="H1332" s="5" t="s">
        <v>13068</v>
      </c>
      <c r="I1332" s="13" t="s">
        <v>13069</v>
      </c>
      <c r="J1332" s="5" t="s">
        <v>13070</v>
      </c>
      <c r="K1332" s="5" t="s">
        <v>13071</v>
      </c>
      <c r="L1332" s="13" t="s">
        <v>13072</v>
      </c>
      <c r="M1332" s="13" t="s">
        <v>13073</v>
      </c>
      <c r="N1332" s="5" t="n">
        <f aca="false">LEN(L1332)</f>
        <v>25</v>
      </c>
      <c r="O1332" s="5" t="n">
        <f aca="false">LEN(M1332)</f>
        <v>25</v>
      </c>
      <c r="P1332" s="14" t="n">
        <f aca="false">IF(N1332=0,"",(N1332-LEN(SUBSTITUTE(SUBSTITUTE(L1332,"G",""),"C","")))/N1332)</f>
        <v>0.52</v>
      </c>
      <c r="Q1332" s="14" t="n">
        <f aca="false">IF(O1332=0,"",(O1332-LEN(SUBSTITUTE(SUBSTITUTE(M1332,"G",""),"C","")))/O1332)</f>
        <v>0.76</v>
      </c>
      <c r="R1332" s="5" t="s">
        <v>1369</v>
      </c>
      <c r="S1332" s="15" t="s">
        <v>1677</v>
      </c>
      <c r="T1332" s="5" t="n">
        <v>356</v>
      </c>
      <c r="U1332" s="5" t="s">
        <v>1678</v>
      </c>
      <c r="V1332" s="5" t="s">
        <v>1302</v>
      </c>
      <c r="W1332" s="5"/>
      <c r="X1332" s="15" t="s">
        <v>1677</v>
      </c>
      <c r="Y1332" s="5"/>
    </row>
    <row r="1333" customFormat="false" ht="15" hidden="false" customHeight="false" outlineLevel="0" collapsed="false">
      <c r="A1333" s="5" t="s">
        <v>13074</v>
      </c>
      <c r="B1333" s="5" t="s">
        <v>1363</v>
      </c>
      <c r="C1333" s="5" t="s">
        <v>1364</v>
      </c>
      <c r="D1333" s="11" t="s">
        <v>162</v>
      </c>
      <c r="E1333" s="5" t="n">
        <v>4</v>
      </c>
      <c r="F1333" s="5" t="s">
        <v>13075</v>
      </c>
      <c r="G1333" s="13" t="s">
        <v>13076</v>
      </c>
      <c r="H1333" s="5" t="s">
        <v>13077</v>
      </c>
      <c r="I1333" s="13" t="s">
        <v>13078</v>
      </c>
      <c r="J1333" s="5" t="s">
        <v>13079</v>
      </c>
      <c r="K1333" s="5" t="s">
        <v>13080</v>
      </c>
      <c r="L1333" s="13" t="s">
        <v>13081</v>
      </c>
      <c r="M1333" s="13" t="s">
        <v>13082</v>
      </c>
      <c r="N1333" s="5" t="n">
        <f aca="false">LEN(L1333)</f>
        <v>25</v>
      </c>
      <c r="O1333" s="5" t="n">
        <f aca="false">LEN(M1333)</f>
        <v>25</v>
      </c>
      <c r="P1333" s="14" t="n">
        <f aca="false">IF(N1333=0,"",(N1333-LEN(SUBSTITUTE(SUBSTITUTE(L1333,"G",""),"C","")))/N1333)</f>
        <v>0.4</v>
      </c>
      <c r="Q1333" s="14" t="n">
        <f aca="false">IF(O1333=0,"",(O1333-LEN(SUBSTITUTE(SUBSTITUTE(M1333,"G",""),"C","")))/O1333)</f>
        <v>0.52</v>
      </c>
      <c r="R1333" s="5" t="s">
        <v>1369</v>
      </c>
      <c r="S1333" s="15" t="s">
        <v>1677</v>
      </c>
      <c r="T1333" s="5" t="n">
        <v>426</v>
      </c>
      <c r="U1333" s="5" t="s">
        <v>1678</v>
      </c>
      <c r="V1333" s="5" t="s">
        <v>1302</v>
      </c>
      <c r="W1333" s="5"/>
      <c r="X1333" s="15" t="s">
        <v>1677</v>
      </c>
      <c r="Y1333" s="5"/>
    </row>
    <row r="1334" customFormat="false" ht="15" hidden="false" customHeight="false" outlineLevel="0" collapsed="false">
      <c r="A1334" s="5" t="s">
        <v>13083</v>
      </c>
      <c r="B1334" s="5" t="s">
        <v>1363</v>
      </c>
      <c r="C1334" s="5" t="s">
        <v>1364</v>
      </c>
      <c r="D1334" s="11" t="s">
        <v>162</v>
      </c>
      <c r="E1334" s="5" t="n">
        <v>5</v>
      </c>
      <c r="F1334" s="5" t="s">
        <v>13084</v>
      </c>
      <c r="G1334" s="13" t="s">
        <v>13085</v>
      </c>
      <c r="H1334" s="5" t="s">
        <v>13086</v>
      </c>
      <c r="I1334" s="13" t="s">
        <v>13087</v>
      </c>
      <c r="J1334" s="5" t="s">
        <v>13088</v>
      </c>
      <c r="K1334" s="5" t="s">
        <v>13089</v>
      </c>
      <c r="L1334" s="13" t="s">
        <v>13090</v>
      </c>
      <c r="M1334" s="13" t="s">
        <v>13091</v>
      </c>
      <c r="N1334" s="5" t="n">
        <f aca="false">LEN(L1334)</f>
        <v>25</v>
      </c>
      <c r="O1334" s="5" t="n">
        <f aca="false">LEN(M1334)</f>
        <v>25</v>
      </c>
      <c r="P1334" s="14" t="n">
        <f aca="false">IF(N1334=0,"",(N1334-LEN(SUBSTITUTE(SUBSTITUTE(L1334,"G",""),"C","")))/N1334)</f>
        <v>0.52</v>
      </c>
      <c r="Q1334" s="14" t="n">
        <f aca="false">IF(O1334=0,"",(O1334-LEN(SUBSTITUTE(SUBSTITUTE(M1334,"G",""),"C","")))/O1334)</f>
        <v>0.56</v>
      </c>
      <c r="R1334" s="5" t="s">
        <v>1369</v>
      </c>
      <c r="S1334" s="15" t="s">
        <v>1677</v>
      </c>
      <c r="T1334" s="5" t="n">
        <v>496</v>
      </c>
      <c r="U1334" s="5" t="s">
        <v>1678</v>
      </c>
      <c r="V1334" s="5" t="s">
        <v>1302</v>
      </c>
      <c r="W1334" s="5"/>
      <c r="X1334" s="15" t="s">
        <v>1677</v>
      </c>
      <c r="Y1334" s="5"/>
    </row>
    <row r="1335" customFormat="false" ht="15" hidden="false" customHeight="false" outlineLevel="0" collapsed="false">
      <c r="A1335" s="5" t="s">
        <v>13092</v>
      </c>
      <c r="B1335" s="5" t="s">
        <v>1363</v>
      </c>
      <c r="C1335" s="5" t="s">
        <v>1364</v>
      </c>
      <c r="D1335" s="11" t="s">
        <v>162</v>
      </c>
      <c r="E1335" s="5" t="n">
        <v>6</v>
      </c>
      <c r="F1335" s="5" t="s">
        <v>13093</v>
      </c>
      <c r="G1335" s="13" t="s">
        <v>13094</v>
      </c>
      <c r="H1335" s="5" t="s">
        <v>13095</v>
      </c>
      <c r="I1335" s="13" t="s">
        <v>13096</v>
      </c>
      <c r="J1335" s="5" t="s">
        <v>13097</v>
      </c>
      <c r="K1335" s="5" t="s">
        <v>13098</v>
      </c>
      <c r="L1335" s="13" t="s">
        <v>13099</v>
      </c>
      <c r="M1335" s="13" t="s">
        <v>13100</v>
      </c>
      <c r="N1335" s="5" t="n">
        <f aca="false">LEN(L1335)</f>
        <v>25</v>
      </c>
      <c r="O1335" s="5" t="n">
        <f aca="false">LEN(M1335)</f>
        <v>25</v>
      </c>
      <c r="P1335" s="14" t="n">
        <f aca="false">IF(N1335=0,"",(N1335-LEN(SUBSTITUTE(SUBSTITUTE(L1335,"G",""),"C","")))/N1335)</f>
        <v>0.6</v>
      </c>
      <c r="Q1335" s="14" t="n">
        <f aca="false">IF(O1335=0,"",(O1335-LEN(SUBSTITUTE(SUBSTITUTE(M1335,"G",""),"C","")))/O1335)</f>
        <v>0.48</v>
      </c>
      <c r="R1335" s="5" t="s">
        <v>1369</v>
      </c>
      <c r="S1335" s="15" t="s">
        <v>1677</v>
      </c>
      <c r="T1335" s="5" t="n">
        <v>566</v>
      </c>
      <c r="U1335" s="5" t="s">
        <v>1678</v>
      </c>
      <c r="V1335" s="5" t="s">
        <v>1302</v>
      </c>
      <c r="W1335" s="5"/>
      <c r="X1335" s="15" t="s">
        <v>1677</v>
      </c>
      <c r="Y1335" s="5"/>
    </row>
    <row r="1336" customFormat="false" ht="15" hidden="false" customHeight="false" outlineLevel="0" collapsed="false">
      <c r="A1336" s="5" t="s">
        <v>13101</v>
      </c>
      <c r="B1336" s="5" t="s">
        <v>1371</v>
      </c>
      <c r="C1336" s="5" t="s">
        <v>1372</v>
      </c>
      <c r="D1336" s="11" t="s">
        <v>162</v>
      </c>
      <c r="E1336" s="5" t="n">
        <v>1</v>
      </c>
      <c r="F1336" s="5" t="s">
        <v>13102</v>
      </c>
      <c r="G1336" s="13" t="s">
        <v>13103</v>
      </c>
      <c r="H1336" s="5" t="s">
        <v>13104</v>
      </c>
      <c r="I1336" s="13" t="s">
        <v>13105</v>
      </c>
      <c r="J1336" s="5" t="s">
        <v>13106</v>
      </c>
      <c r="K1336" s="5" t="s">
        <v>13107</v>
      </c>
      <c r="L1336" s="13" t="s">
        <v>13108</v>
      </c>
      <c r="M1336" s="13" t="s">
        <v>13109</v>
      </c>
      <c r="N1336" s="5" t="n">
        <f aca="false">LEN(L1336)</f>
        <v>25</v>
      </c>
      <c r="O1336" s="5" t="n">
        <f aca="false">LEN(M1336)</f>
        <v>25</v>
      </c>
      <c r="P1336" s="14" t="n">
        <f aca="false">IF(N1336=0,"",(N1336-LEN(SUBSTITUTE(SUBSTITUTE(L1336,"G",""),"C","")))/N1336)</f>
        <v>0.64</v>
      </c>
      <c r="Q1336" s="14" t="n">
        <f aca="false">IF(O1336=0,"",(O1336-LEN(SUBSTITUTE(SUBSTITUTE(M1336,"G",""),"C","")))/O1336)</f>
        <v>0.44</v>
      </c>
      <c r="R1336" s="5" t="s">
        <v>1376</v>
      </c>
      <c r="S1336" s="15" t="s">
        <v>1677</v>
      </c>
      <c r="T1336" s="5" t="n">
        <v>216</v>
      </c>
      <c r="U1336" s="5" t="s">
        <v>1678</v>
      </c>
      <c r="V1336" s="5" t="s">
        <v>1302</v>
      </c>
      <c r="W1336" s="5"/>
      <c r="X1336" s="15" t="s">
        <v>1677</v>
      </c>
      <c r="Y1336" s="5"/>
    </row>
    <row r="1337" customFormat="false" ht="15" hidden="false" customHeight="false" outlineLevel="0" collapsed="false">
      <c r="A1337" s="5" t="s">
        <v>13110</v>
      </c>
      <c r="B1337" s="5" t="s">
        <v>1371</v>
      </c>
      <c r="C1337" s="5" t="s">
        <v>1372</v>
      </c>
      <c r="D1337" s="11" t="s">
        <v>162</v>
      </c>
      <c r="E1337" s="5" t="n">
        <v>2</v>
      </c>
      <c r="F1337" s="5" t="s">
        <v>13111</v>
      </c>
      <c r="G1337" s="13" t="s">
        <v>13112</v>
      </c>
      <c r="H1337" s="5" t="s">
        <v>13113</v>
      </c>
      <c r="I1337" s="13" t="s">
        <v>13114</v>
      </c>
      <c r="J1337" s="5" t="s">
        <v>13115</v>
      </c>
      <c r="K1337" s="5" t="s">
        <v>13116</v>
      </c>
      <c r="L1337" s="13" t="s">
        <v>13117</v>
      </c>
      <c r="M1337" s="13" t="s">
        <v>13118</v>
      </c>
      <c r="N1337" s="5" t="n">
        <f aca="false">LEN(L1337)</f>
        <v>25</v>
      </c>
      <c r="O1337" s="5" t="n">
        <f aca="false">LEN(M1337)</f>
        <v>25</v>
      </c>
      <c r="P1337" s="14" t="n">
        <f aca="false">IF(N1337=0,"",(N1337-LEN(SUBSTITUTE(SUBSTITUTE(L1337,"G",""),"C","")))/N1337)</f>
        <v>0.52</v>
      </c>
      <c r="Q1337" s="14" t="n">
        <f aca="false">IF(O1337=0,"",(O1337-LEN(SUBSTITUTE(SUBSTITUTE(M1337,"G",""),"C","")))/O1337)</f>
        <v>0.48</v>
      </c>
      <c r="R1337" s="5" t="s">
        <v>1376</v>
      </c>
      <c r="S1337" s="15" t="s">
        <v>1677</v>
      </c>
      <c r="T1337" s="5" t="n">
        <v>286</v>
      </c>
      <c r="U1337" s="5" t="s">
        <v>1678</v>
      </c>
      <c r="V1337" s="5" t="s">
        <v>1302</v>
      </c>
      <c r="W1337" s="5"/>
      <c r="X1337" s="15" t="s">
        <v>1677</v>
      </c>
      <c r="Y1337" s="5"/>
    </row>
    <row r="1338" customFormat="false" ht="15" hidden="false" customHeight="false" outlineLevel="0" collapsed="false">
      <c r="A1338" s="5" t="s">
        <v>13119</v>
      </c>
      <c r="B1338" s="5" t="s">
        <v>1371</v>
      </c>
      <c r="C1338" s="5" t="s">
        <v>1372</v>
      </c>
      <c r="D1338" s="11" t="s">
        <v>162</v>
      </c>
      <c r="E1338" s="5" t="n">
        <v>3</v>
      </c>
      <c r="F1338" s="5" t="s">
        <v>13120</v>
      </c>
      <c r="G1338" s="13" t="s">
        <v>13121</v>
      </c>
      <c r="H1338" s="5" t="s">
        <v>13122</v>
      </c>
      <c r="I1338" s="13" t="s">
        <v>13123</v>
      </c>
      <c r="J1338" s="5" t="s">
        <v>13124</v>
      </c>
      <c r="K1338" s="5" t="s">
        <v>13125</v>
      </c>
      <c r="L1338" s="13" t="s">
        <v>13126</v>
      </c>
      <c r="M1338" s="13" t="s">
        <v>13127</v>
      </c>
      <c r="N1338" s="5" t="n">
        <f aca="false">LEN(L1338)</f>
        <v>25</v>
      </c>
      <c r="O1338" s="5" t="n">
        <f aca="false">LEN(M1338)</f>
        <v>25</v>
      </c>
      <c r="P1338" s="14" t="n">
        <f aca="false">IF(N1338=0,"",(N1338-LEN(SUBSTITUTE(SUBSTITUTE(L1338,"G",""),"C","")))/N1338)</f>
        <v>0.76</v>
      </c>
      <c r="Q1338" s="14" t="n">
        <f aca="false">IF(O1338=0,"",(O1338-LEN(SUBSTITUTE(SUBSTITUTE(M1338,"G",""),"C","")))/O1338)</f>
        <v>0.68</v>
      </c>
      <c r="R1338" s="5" t="s">
        <v>1376</v>
      </c>
      <c r="S1338" s="15" t="s">
        <v>1677</v>
      </c>
      <c r="T1338" s="5" t="n">
        <v>356</v>
      </c>
      <c r="U1338" s="5" t="s">
        <v>1678</v>
      </c>
      <c r="V1338" s="5" t="s">
        <v>1302</v>
      </c>
      <c r="W1338" s="5"/>
      <c r="X1338" s="15" t="s">
        <v>1677</v>
      </c>
      <c r="Y1338" s="5"/>
    </row>
    <row r="1339" customFormat="false" ht="15" hidden="false" customHeight="false" outlineLevel="0" collapsed="false">
      <c r="A1339" s="5" t="s">
        <v>13128</v>
      </c>
      <c r="B1339" s="5" t="s">
        <v>1371</v>
      </c>
      <c r="C1339" s="5" t="s">
        <v>1372</v>
      </c>
      <c r="D1339" s="11" t="s">
        <v>162</v>
      </c>
      <c r="E1339" s="5" t="n">
        <v>4</v>
      </c>
      <c r="F1339" s="5" t="s">
        <v>13129</v>
      </c>
      <c r="G1339" s="13" t="s">
        <v>13130</v>
      </c>
      <c r="H1339" s="5" t="s">
        <v>13131</v>
      </c>
      <c r="I1339" s="13" t="s">
        <v>13132</v>
      </c>
      <c r="J1339" s="5" t="s">
        <v>13133</v>
      </c>
      <c r="K1339" s="5" t="s">
        <v>13134</v>
      </c>
      <c r="L1339" s="13" t="s">
        <v>13135</v>
      </c>
      <c r="M1339" s="13" t="s">
        <v>13136</v>
      </c>
      <c r="N1339" s="5" t="n">
        <f aca="false">LEN(L1339)</f>
        <v>25</v>
      </c>
      <c r="O1339" s="5" t="n">
        <f aca="false">LEN(M1339)</f>
        <v>25</v>
      </c>
      <c r="P1339" s="14" t="n">
        <f aca="false">IF(N1339=0,"",(N1339-LEN(SUBSTITUTE(SUBSTITUTE(L1339,"G",""),"C","")))/N1339)</f>
        <v>0.68</v>
      </c>
      <c r="Q1339" s="14" t="n">
        <f aca="false">IF(O1339=0,"",(O1339-LEN(SUBSTITUTE(SUBSTITUTE(M1339,"G",""),"C","")))/O1339)</f>
        <v>0.72</v>
      </c>
      <c r="R1339" s="5" t="s">
        <v>1376</v>
      </c>
      <c r="S1339" s="15" t="s">
        <v>1677</v>
      </c>
      <c r="T1339" s="5" t="n">
        <v>426</v>
      </c>
      <c r="U1339" s="5" t="s">
        <v>1678</v>
      </c>
      <c r="V1339" s="5" t="s">
        <v>1302</v>
      </c>
      <c r="W1339" s="5"/>
      <c r="X1339" s="15" t="s">
        <v>1677</v>
      </c>
      <c r="Y1339" s="5"/>
    </row>
    <row r="1340" customFormat="false" ht="15" hidden="false" customHeight="false" outlineLevel="0" collapsed="false">
      <c r="A1340" s="5" t="s">
        <v>13137</v>
      </c>
      <c r="B1340" s="5" t="s">
        <v>1371</v>
      </c>
      <c r="C1340" s="5" t="s">
        <v>1372</v>
      </c>
      <c r="D1340" s="11" t="s">
        <v>162</v>
      </c>
      <c r="E1340" s="5" t="n">
        <v>5</v>
      </c>
      <c r="F1340" s="5" t="s">
        <v>13138</v>
      </c>
      <c r="G1340" s="13" t="s">
        <v>13139</v>
      </c>
      <c r="H1340" s="5" t="s">
        <v>13140</v>
      </c>
      <c r="I1340" s="13" t="s">
        <v>13141</v>
      </c>
      <c r="J1340" s="5" t="s">
        <v>13142</v>
      </c>
      <c r="K1340" s="5" t="s">
        <v>13143</v>
      </c>
      <c r="L1340" s="13" t="s">
        <v>13144</v>
      </c>
      <c r="M1340" s="13" t="s">
        <v>13145</v>
      </c>
      <c r="N1340" s="5" t="n">
        <f aca="false">LEN(L1340)</f>
        <v>25</v>
      </c>
      <c r="O1340" s="5" t="n">
        <f aca="false">LEN(M1340)</f>
        <v>25</v>
      </c>
      <c r="P1340" s="14" t="n">
        <f aca="false">IF(N1340=0,"",(N1340-LEN(SUBSTITUTE(SUBSTITUTE(L1340,"G",""),"C","")))/N1340)</f>
        <v>0.6</v>
      </c>
      <c r="Q1340" s="14" t="n">
        <f aca="false">IF(O1340=0,"",(O1340-LEN(SUBSTITUTE(SUBSTITUTE(M1340,"G",""),"C","")))/O1340)</f>
        <v>0.56</v>
      </c>
      <c r="R1340" s="5" t="s">
        <v>1376</v>
      </c>
      <c r="S1340" s="15" t="s">
        <v>1677</v>
      </c>
      <c r="T1340" s="5" t="n">
        <v>496</v>
      </c>
      <c r="U1340" s="5" t="s">
        <v>1678</v>
      </c>
      <c r="V1340" s="5" t="s">
        <v>1302</v>
      </c>
      <c r="W1340" s="5"/>
      <c r="X1340" s="15" t="s">
        <v>1677</v>
      </c>
      <c r="Y1340" s="5"/>
    </row>
    <row r="1341" customFormat="false" ht="15" hidden="false" customHeight="false" outlineLevel="0" collapsed="false">
      <c r="A1341" s="5" t="s">
        <v>13146</v>
      </c>
      <c r="B1341" s="5" t="s">
        <v>1371</v>
      </c>
      <c r="C1341" s="5" t="s">
        <v>1372</v>
      </c>
      <c r="D1341" s="11" t="s">
        <v>162</v>
      </c>
      <c r="E1341" s="5" t="n">
        <v>6</v>
      </c>
      <c r="F1341" s="5" t="s">
        <v>13147</v>
      </c>
      <c r="G1341" s="13" t="s">
        <v>13148</v>
      </c>
      <c r="H1341" s="5" t="s">
        <v>13149</v>
      </c>
      <c r="I1341" s="13" t="s">
        <v>13150</v>
      </c>
      <c r="J1341" s="5" t="s">
        <v>13151</v>
      </c>
      <c r="K1341" s="5" t="s">
        <v>13152</v>
      </c>
      <c r="L1341" s="13" t="s">
        <v>13153</v>
      </c>
      <c r="M1341" s="13" t="s">
        <v>13154</v>
      </c>
      <c r="N1341" s="5" t="n">
        <f aca="false">LEN(L1341)</f>
        <v>25</v>
      </c>
      <c r="O1341" s="5" t="n">
        <f aca="false">LEN(M1341)</f>
        <v>25</v>
      </c>
      <c r="P1341" s="14" t="n">
        <f aca="false">IF(N1341=0,"",(N1341-LEN(SUBSTITUTE(SUBSTITUTE(L1341,"G",""),"C","")))/N1341)</f>
        <v>0.44</v>
      </c>
      <c r="Q1341" s="14" t="n">
        <f aca="false">IF(O1341=0,"",(O1341-LEN(SUBSTITUTE(SUBSTITUTE(M1341,"G",""),"C","")))/O1341)</f>
        <v>0.36</v>
      </c>
      <c r="R1341" s="5" t="s">
        <v>1376</v>
      </c>
      <c r="S1341" s="15" t="s">
        <v>1677</v>
      </c>
      <c r="T1341" s="5" t="n">
        <v>566</v>
      </c>
      <c r="U1341" s="5" t="s">
        <v>1678</v>
      </c>
      <c r="V1341" s="5" t="s">
        <v>1302</v>
      </c>
      <c r="W1341" s="5"/>
      <c r="X1341" s="15" t="s">
        <v>1677</v>
      </c>
      <c r="Y1341" s="5"/>
    </row>
    <row r="1342" customFormat="false" ht="15" hidden="false" customHeight="false" outlineLevel="0" collapsed="false">
      <c r="A1342" s="5" t="s">
        <v>13155</v>
      </c>
      <c r="B1342" s="5" t="s">
        <v>1379</v>
      </c>
      <c r="C1342" s="5" t="s">
        <v>1380</v>
      </c>
      <c r="D1342" s="11" t="s">
        <v>162</v>
      </c>
      <c r="E1342" s="5" t="n">
        <v>1</v>
      </c>
      <c r="F1342" s="5" t="s">
        <v>13156</v>
      </c>
      <c r="G1342" s="13" t="s">
        <v>13157</v>
      </c>
      <c r="H1342" s="5" t="s">
        <v>13158</v>
      </c>
      <c r="I1342" s="13" t="s">
        <v>13159</v>
      </c>
      <c r="J1342" s="5" t="s">
        <v>13160</v>
      </c>
      <c r="K1342" s="5" t="s">
        <v>13161</v>
      </c>
      <c r="L1342" s="13" t="s">
        <v>13162</v>
      </c>
      <c r="M1342" s="13" t="s">
        <v>13163</v>
      </c>
      <c r="N1342" s="5" t="n">
        <f aca="false">LEN(L1342)</f>
        <v>25</v>
      </c>
      <c r="O1342" s="5" t="n">
        <f aca="false">LEN(M1342)</f>
        <v>25</v>
      </c>
      <c r="P1342" s="14" t="n">
        <f aca="false">IF(N1342=0,"",(N1342-LEN(SUBSTITUTE(SUBSTITUTE(L1342,"G",""),"C","")))/N1342)</f>
        <v>0.76</v>
      </c>
      <c r="Q1342" s="14" t="n">
        <f aca="false">IF(O1342=0,"",(O1342-LEN(SUBSTITUTE(SUBSTITUTE(M1342,"G",""),"C","")))/O1342)</f>
        <v>0.8</v>
      </c>
      <c r="R1342" s="5" t="s">
        <v>1383</v>
      </c>
      <c r="S1342" s="15" t="s">
        <v>1677</v>
      </c>
      <c r="T1342" s="5" t="n">
        <v>136</v>
      </c>
      <c r="U1342" s="5" t="s">
        <v>1678</v>
      </c>
      <c r="V1342" s="5" t="s">
        <v>1302</v>
      </c>
      <c r="W1342" s="5"/>
      <c r="X1342" s="15" t="s">
        <v>1677</v>
      </c>
      <c r="Y1342" s="5"/>
    </row>
    <row r="1343" customFormat="false" ht="15" hidden="false" customHeight="false" outlineLevel="0" collapsed="false">
      <c r="A1343" s="5" t="s">
        <v>13164</v>
      </c>
      <c r="B1343" s="5" t="s">
        <v>1379</v>
      </c>
      <c r="C1343" s="5" t="s">
        <v>1380</v>
      </c>
      <c r="D1343" s="11" t="s">
        <v>162</v>
      </c>
      <c r="E1343" s="5" t="n">
        <v>2</v>
      </c>
      <c r="F1343" s="5" t="s">
        <v>13165</v>
      </c>
      <c r="G1343" s="13" t="s">
        <v>13166</v>
      </c>
      <c r="H1343" s="5" t="s">
        <v>13167</v>
      </c>
      <c r="I1343" s="13" t="s">
        <v>13168</v>
      </c>
      <c r="J1343" s="5" t="s">
        <v>13169</v>
      </c>
      <c r="K1343" s="5" t="s">
        <v>13170</v>
      </c>
      <c r="L1343" s="13" t="s">
        <v>13171</v>
      </c>
      <c r="M1343" s="13" t="s">
        <v>13172</v>
      </c>
      <c r="N1343" s="5" t="n">
        <f aca="false">LEN(L1343)</f>
        <v>25</v>
      </c>
      <c r="O1343" s="5" t="n">
        <f aca="false">LEN(M1343)</f>
        <v>25</v>
      </c>
      <c r="P1343" s="14" t="n">
        <f aca="false">IF(N1343=0,"",(N1343-LEN(SUBSTITUTE(SUBSTITUTE(L1343,"G",""),"C","")))/N1343)</f>
        <v>0.88</v>
      </c>
      <c r="Q1343" s="14" t="n">
        <f aca="false">IF(O1343=0,"",(O1343-LEN(SUBSTITUTE(SUBSTITUTE(M1343,"G",""),"C","")))/O1343)</f>
        <v>0.84</v>
      </c>
      <c r="R1343" s="5" t="s">
        <v>1383</v>
      </c>
      <c r="S1343" s="15" t="s">
        <v>1677</v>
      </c>
      <c r="T1343" s="5" t="n">
        <v>200</v>
      </c>
      <c r="U1343" s="5" t="s">
        <v>1678</v>
      </c>
      <c r="V1343" s="5" t="s">
        <v>1302</v>
      </c>
      <c r="W1343" s="5"/>
      <c r="X1343" s="15" t="s">
        <v>1677</v>
      </c>
      <c r="Y1343" s="5"/>
    </row>
    <row r="1344" customFormat="false" ht="15" hidden="false" customHeight="false" outlineLevel="0" collapsed="false">
      <c r="A1344" s="5" t="s">
        <v>13173</v>
      </c>
      <c r="B1344" s="5" t="s">
        <v>1379</v>
      </c>
      <c r="C1344" s="5" t="s">
        <v>1380</v>
      </c>
      <c r="D1344" s="11" t="s">
        <v>162</v>
      </c>
      <c r="E1344" s="5" t="n">
        <v>3</v>
      </c>
      <c r="F1344" s="5" t="s">
        <v>13174</v>
      </c>
      <c r="G1344" s="13" t="s">
        <v>13175</v>
      </c>
      <c r="H1344" s="5" t="s">
        <v>13176</v>
      </c>
      <c r="I1344" s="13" t="s">
        <v>13177</v>
      </c>
      <c r="J1344" s="5" t="s">
        <v>13178</v>
      </c>
      <c r="K1344" s="5" t="s">
        <v>13179</v>
      </c>
      <c r="L1344" s="13" t="s">
        <v>13180</v>
      </c>
      <c r="M1344" s="13" t="s">
        <v>13181</v>
      </c>
      <c r="N1344" s="5" t="n">
        <f aca="false">LEN(L1344)</f>
        <v>25</v>
      </c>
      <c r="O1344" s="5" t="n">
        <f aca="false">LEN(M1344)</f>
        <v>25</v>
      </c>
      <c r="P1344" s="14" t="n">
        <f aca="false">IF(N1344=0,"",(N1344-LEN(SUBSTITUTE(SUBSTITUTE(L1344,"G",""),"C","")))/N1344)</f>
        <v>0.84</v>
      </c>
      <c r="Q1344" s="14" t="n">
        <f aca="false">IF(O1344=0,"",(O1344-LEN(SUBSTITUTE(SUBSTITUTE(M1344,"G",""),"C","")))/O1344)</f>
        <v>0.72</v>
      </c>
      <c r="R1344" s="5" t="s">
        <v>1383</v>
      </c>
      <c r="S1344" s="15" t="s">
        <v>1677</v>
      </c>
      <c r="T1344" s="5" t="n">
        <v>265</v>
      </c>
      <c r="U1344" s="5" t="s">
        <v>1678</v>
      </c>
      <c r="V1344" s="5" t="s">
        <v>1302</v>
      </c>
      <c r="W1344" s="5"/>
      <c r="X1344" s="15" t="s">
        <v>1677</v>
      </c>
      <c r="Y1344" s="5"/>
    </row>
    <row r="1345" customFormat="false" ht="15" hidden="false" customHeight="false" outlineLevel="0" collapsed="false">
      <c r="A1345" s="5" t="s">
        <v>13182</v>
      </c>
      <c r="B1345" s="5" t="s">
        <v>1379</v>
      </c>
      <c r="C1345" s="5" t="s">
        <v>1380</v>
      </c>
      <c r="D1345" s="11" t="s">
        <v>162</v>
      </c>
      <c r="E1345" s="5" t="n">
        <v>4</v>
      </c>
      <c r="F1345" s="5" t="s">
        <v>13183</v>
      </c>
      <c r="G1345" s="13" t="s">
        <v>13184</v>
      </c>
      <c r="H1345" s="5" t="s">
        <v>13185</v>
      </c>
      <c r="I1345" s="13" t="s">
        <v>13186</v>
      </c>
      <c r="J1345" s="5" t="s">
        <v>13187</v>
      </c>
      <c r="K1345" s="5" t="s">
        <v>13188</v>
      </c>
      <c r="L1345" s="13" t="s">
        <v>13189</v>
      </c>
      <c r="M1345" s="13" t="s">
        <v>13190</v>
      </c>
      <c r="N1345" s="5" t="n">
        <f aca="false">LEN(L1345)</f>
        <v>25</v>
      </c>
      <c r="O1345" s="5" t="n">
        <f aca="false">LEN(M1345)</f>
        <v>25</v>
      </c>
      <c r="P1345" s="14" t="n">
        <f aca="false">IF(N1345=0,"",(N1345-LEN(SUBSTITUTE(SUBSTITUTE(L1345,"G",""),"C","")))/N1345)</f>
        <v>0.76</v>
      </c>
      <c r="Q1345" s="14" t="n">
        <f aca="false">IF(O1345=0,"",(O1345-LEN(SUBSTITUTE(SUBSTITUTE(M1345,"G",""),"C","")))/O1345)</f>
        <v>0.92</v>
      </c>
      <c r="R1345" s="5" t="s">
        <v>1383</v>
      </c>
      <c r="S1345" s="15" t="s">
        <v>1677</v>
      </c>
      <c r="T1345" s="5" t="n">
        <v>330</v>
      </c>
      <c r="U1345" s="5" t="s">
        <v>1678</v>
      </c>
      <c r="V1345" s="5" t="s">
        <v>1302</v>
      </c>
      <c r="W1345" s="5"/>
      <c r="X1345" s="15" t="s">
        <v>1677</v>
      </c>
      <c r="Y1345" s="5"/>
    </row>
    <row r="1346" customFormat="false" ht="15" hidden="false" customHeight="false" outlineLevel="0" collapsed="false">
      <c r="A1346" s="5" t="s">
        <v>13191</v>
      </c>
      <c r="B1346" s="5" t="s">
        <v>1379</v>
      </c>
      <c r="C1346" s="5" t="s">
        <v>1380</v>
      </c>
      <c r="D1346" s="11" t="s">
        <v>162</v>
      </c>
      <c r="E1346" s="5" t="n">
        <v>5</v>
      </c>
      <c r="F1346" s="5" t="s">
        <v>13192</v>
      </c>
      <c r="G1346" s="13" t="s">
        <v>13193</v>
      </c>
      <c r="H1346" s="5" t="s">
        <v>13194</v>
      </c>
      <c r="I1346" s="13" t="s">
        <v>13195</v>
      </c>
      <c r="J1346" s="5" t="s">
        <v>13196</v>
      </c>
      <c r="K1346" s="5" t="s">
        <v>13197</v>
      </c>
      <c r="L1346" s="13" t="s">
        <v>13198</v>
      </c>
      <c r="M1346" s="13" t="s">
        <v>13199</v>
      </c>
      <c r="N1346" s="5" t="n">
        <f aca="false">LEN(L1346)</f>
        <v>25</v>
      </c>
      <c r="O1346" s="5" t="n">
        <f aca="false">LEN(M1346)</f>
        <v>25</v>
      </c>
      <c r="P1346" s="14" t="n">
        <f aca="false">IF(N1346=0,"",(N1346-LEN(SUBSTITUTE(SUBSTITUTE(L1346,"G",""),"C","")))/N1346)</f>
        <v>0.6</v>
      </c>
      <c r="Q1346" s="14" t="n">
        <f aca="false">IF(O1346=0,"",(O1346-LEN(SUBSTITUTE(SUBSTITUTE(M1346,"G",""),"C","")))/O1346)</f>
        <v>0.72</v>
      </c>
      <c r="R1346" s="5" t="s">
        <v>1383</v>
      </c>
      <c r="S1346" s="15" t="s">
        <v>1677</v>
      </c>
      <c r="T1346" s="5" t="n">
        <v>395</v>
      </c>
      <c r="U1346" s="5" t="s">
        <v>1678</v>
      </c>
      <c r="V1346" s="5" t="s">
        <v>1302</v>
      </c>
      <c r="W1346" s="5"/>
      <c r="X1346" s="15" t="s">
        <v>1677</v>
      </c>
      <c r="Y1346" s="5"/>
    </row>
    <row r="1347" customFormat="false" ht="15" hidden="false" customHeight="false" outlineLevel="0" collapsed="false">
      <c r="A1347" s="5" t="s">
        <v>13200</v>
      </c>
      <c r="B1347" s="5" t="s">
        <v>1379</v>
      </c>
      <c r="C1347" s="5" t="s">
        <v>1380</v>
      </c>
      <c r="D1347" s="11" t="s">
        <v>162</v>
      </c>
      <c r="E1347" s="5" t="n">
        <v>6</v>
      </c>
      <c r="F1347" s="5" t="s">
        <v>13201</v>
      </c>
      <c r="G1347" s="13" t="s">
        <v>13202</v>
      </c>
      <c r="H1347" s="5" t="s">
        <v>13203</v>
      </c>
      <c r="I1347" s="13" t="s">
        <v>13204</v>
      </c>
      <c r="J1347" s="5" t="s">
        <v>13205</v>
      </c>
      <c r="K1347" s="5" t="s">
        <v>13206</v>
      </c>
      <c r="L1347" s="13" t="s">
        <v>13207</v>
      </c>
      <c r="M1347" s="13" t="s">
        <v>13208</v>
      </c>
      <c r="N1347" s="5" t="n">
        <f aca="false">LEN(L1347)</f>
        <v>25</v>
      </c>
      <c r="O1347" s="5" t="n">
        <f aca="false">LEN(M1347)</f>
        <v>25</v>
      </c>
      <c r="P1347" s="14" t="n">
        <f aca="false">IF(N1347=0,"",(N1347-LEN(SUBSTITUTE(SUBSTITUTE(L1347,"G",""),"C","")))/N1347)</f>
        <v>0.76</v>
      </c>
      <c r="Q1347" s="14" t="n">
        <f aca="false">IF(O1347=0,"",(O1347-LEN(SUBSTITUTE(SUBSTITUTE(M1347,"G",""),"C","")))/O1347)</f>
        <v>0.68</v>
      </c>
      <c r="R1347" s="5" t="s">
        <v>1383</v>
      </c>
      <c r="S1347" s="15" t="s">
        <v>1677</v>
      </c>
      <c r="T1347" s="5" t="n">
        <v>455</v>
      </c>
      <c r="U1347" s="5" t="s">
        <v>1678</v>
      </c>
      <c r="V1347" s="5" t="s">
        <v>1302</v>
      </c>
      <c r="W1347" s="5"/>
      <c r="X1347" s="15" t="s">
        <v>1677</v>
      </c>
      <c r="Y1347" s="5"/>
    </row>
    <row r="1348" customFormat="false" ht="15" hidden="false" customHeight="false" outlineLevel="0" collapsed="false">
      <c r="A1348" s="5" t="s">
        <v>13209</v>
      </c>
      <c r="B1348" s="5" t="s">
        <v>1386</v>
      </c>
      <c r="C1348" s="5" t="s">
        <v>1068</v>
      </c>
      <c r="D1348" s="12" t="s">
        <v>1071</v>
      </c>
      <c r="E1348" s="5" t="n">
        <v>1</v>
      </c>
      <c r="F1348" s="5" t="s">
        <v>13210</v>
      </c>
      <c r="G1348" s="13" t="s">
        <v>13211</v>
      </c>
      <c r="H1348" s="5" t="s">
        <v>13212</v>
      </c>
      <c r="I1348" s="13" t="s">
        <v>13213</v>
      </c>
      <c r="J1348" s="5" t="s">
        <v>13214</v>
      </c>
      <c r="K1348" s="5" t="s">
        <v>13215</v>
      </c>
      <c r="L1348" s="13" t="s">
        <v>13216</v>
      </c>
      <c r="M1348" s="13" t="s">
        <v>13217</v>
      </c>
      <c r="N1348" s="5" t="n">
        <f aca="false">LEN(L1348)</f>
        <v>25</v>
      </c>
      <c r="O1348" s="5" t="n">
        <f aca="false">LEN(M1348)</f>
        <v>25</v>
      </c>
      <c r="P1348" s="14" t="n">
        <f aca="false">IF(N1348=0,"",(N1348-LEN(SUBSTITUTE(SUBSTITUTE(L1348,"G",""),"C","")))/N1348)</f>
        <v>0.36</v>
      </c>
      <c r="Q1348" s="14" t="n">
        <f aca="false">IF(O1348=0,"",(O1348-LEN(SUBSTITUTE(SUBSTITUTE(M1348,"G",""),"C","")))/O1348)</f>
        <v>0.4</v>
      </c>
      <c r="R1348" s="5" t="s">
        <v>1072</v>
      </c>
      <c r="S1348" s="15" t="s">
        <v>1677</v>
      </c>
      <c r="T1348" s="5" t="n">
        <v>153</v>
      </c>
      <c r="U1348" s="5" t="s">
        <v>1678</v>
      </c>
      <c r="V1348" s="5" t="s">
        <v>1389</v>
      </c>
      <c r="W1348" s="5"/>
      <c r="X1348" s="15" t="s">
        <v>1677</v>
      </c>
      <c r="Y1348" s="5"/>
    </row>
    <row r="1349" customFormat="false" ht="15" hidden="false" customHeight="false" outlineLevel="0" collapsed="false">
      <c r="A1349" s="5" t="s">
        <v>13218</v>
      </c>
      <c r="B1349" s="5" t="s">
        <v>1386</v>
      </c>
      <c r="C1349" s="5" t="s">
        <v>1068</v>
      </c>
      <c r="D1349" s="12" t="s">
        <v>1071</v>
      </c>
      <c r="E1349" s="5" t="n">
        <v>2</v>
      </c>
      <c r="F1349" s="5" t="s">
        <v>13219</v>
      </c>
      <c r="G1349" s="13" t="s">
        <v>13220</v>
      </c>
      <c r="H1349" s="5" t="s">
        <v>13221</v>
      </c>
      <c r="I1349" s="13" t="s">
        <v>13222</v>
      </c>
      <c r="J1349" s="5" t="s">
        <v>13223</v>
      </c>
      <c r="K1349" s="5" t="s">
        <v>13224</v>
      </c>
      <c r="L1349" s="13" t="s">
        <v>13225</v>
      </c>
      <c r="M1349" s="13" t="s">
        <v>13226</v>
      </c>
      <c r="N1349" s="5" t="n">
        <f aca="false">LEN(L1349)</f>
        <v>26</v>
      </c>
      <c r="O1349" s="5" t="n">
        <f aca="false">LEN(M1349)</f>
        <v>25</v>
      </c>
      <c r="P1349" s="14" t="n">
        <f aca="false">IF(N1349=0,"",(N1349-LEN(SUBSTITUTE(SUBSTITUTE(L1349,"G",""),"C","")))/N1349)</f>
        <v>0.384615384615385</v>
      </c>
      <c r="Q1349" s="14" t="n">
        <f aca="false">IF(O1349=0,"",(O1349-LEN(SUBSTITUTE(SUBSTITUTE(M1349,"G",""),"C","")))/O1349)</f>
        <v>0.24</v>
      </c>
      <c r="R1349" s="5" t="s">
        <v>1072</v>
      </c>
      <c r="S1349" s="15" t="s">
        <v>1677</v>
      </c>
      <c r="T1349" s="5" t="n">
        <v>299</v>
      </c>
      <c r="U1349" s="5" t="s">
        <v>2986</v>
      </c>
      <c r="V1349" s="5" t="s">
        <v>1389</v>
      </c>
      <c r="W1349" s="5"/>
      <c r="X1349" s="8" t="s">
        <v>1769</v>
      </c>
      <c r="Y1349" s="8" t="s">
        <v>13227</v>
      </c>
    </row>
    <row r="1350" customFormat="false" ht="15" hidden="false" customHeight="false" outlineLevel="0" collapsed="false">
      <c r="A1350" s="5" t="s">
        <v>13228</v>
      </c>
      <c r="B1350" s="5" t="s">
        <v>1386</v>
      </c>
      <c r="C1350" s="5" t="s">
        <v>1068</v>
      </c>
      <c r="D1350" s="12" t="s">
        <v>1071</v>
      </c>
      <c r="E1350" s="5" t="n">
        <v>3</v>
      </c>
      <c r="F1350" s="5" t="s">
        <v>13229</v>
      </c>
      <c r="G1350" s="13" t="s">
        <v>13230</v>
      </c>
      <c r="H1350" s="5" t="s">
        <v>13231</v>
      </c>
      <c r="I1350" s="13" t="s">
        <v>13232</v>
      </c>
      <c r="J1350" s="5" t="s">
        <v>13233</v>
      </c>
      <c r="K1350" s="5" t="s">
        <v>13234</v>
      </c>
      <c r="L1350" s="13" t="s">
        <v>13235</v>
      </c>
      <c r="M1350" s="13" t="s">
        <v>13236</v>
      </c>
      <c r="N1350" s="5" t="n">
        <f aca="false">LEN(L1350)</f>
        <v>25</v>
      </c>
      <c r="O1350" s="5" t="n">
        <f aca="false">LEN(M1350)</f>
        <v>25</v>
      </c>
      <c r="P1350" s="14" t="n">
        <f aca="false">IF(N1350=0,"",(N1350-LEN(SUBSTITUTE(SUBSTITUTE(L1350,"G",""),"C","")))/N1350)</f>
        <v>0.44</v>
      </c>
      <c r="Q1350" s="14" t="n">
        <f aca="false">IF(O1350=0,"",(O1350-LEN(SUBSTITUTE(SUBSTITUTE(M1350,"G",""),"C","")))/O1350)</f>
        <v>0.52</v>
      </c>
      <c r="R1350" s="5" t="s">
        <v>1072</v>
      </c>
      <c r="S1350" s="15" t="s">
        <v>1677</v>
      </c>
      <c r="T1350" s="5" t="n">
        <v>444</v>
      </c>
      <c r="U1350" s="5" t="s">
        <v>1678</v>
      </c>
      <c r="V1350" s="5" t="s">
        <v>1389</v>
      </c>
      <c r="W1350" s="5"/>
      <c r="X1350" s="8" t="s">
        <v>1914</v>
      </c>
      <c r="Y1350" s="5"/>
    </row>
    <row r="1351" customFormat="false" ht="15" hidden="false" customHeight="false" outlineLevel="0" collapsed="false">
      <c r="A1351" s="5" t="s">
        <v>13237</v>
      </c>
      <c r="B1351" s="5" t="s">
        <v>1386</v>
      </c>
      <c r="C1351" s="5" t="s">
        <v>1068</v>
      </c>
      <c r="D1351" s="12" t="s">
        <v>1071</v>
      </c>
      <c r="E1351" s="5" t="n">
        <v>4</v>
      </c>
      <c r="F1351" s="5" t="s">
        <v>13238</v>
      </c>
      <c r="G1351" s="13" t="s">
        <v>13239</v>
      </c>
      <c r="H1351" s="5" t="s">
        <v>13240</v>
      </c>
      <c r="I1351" s="13" t="s">
        <v>13241</v>
      </c>
      <c r="J1351" s="5" t="s">
        <v>13242</v>
      </c>
      <c r="K1351" s="5" t="s">
        <v>13243</v>
      </c>
      <c r="L1351" s="13" t="s">
        <v>13244</v>
      </c>
      <c r="M1351" s="13" t="s">
        <v>13245</v>
      </c>
      <c r="N1351" s="5" t="n">
        <f aca="false">LEN(L1351)</f>
        <v>25</v>
      </c>
      <c r="O1351" s="5" t="n">
        <f aca="false">LEN(M1351)</f>
        <v>25</v>
      </c>
      <c r="P1351" s="14" t="n">
        <f aca="false">IF(N1351=0,"",(N1351-LEN(SUBSTITUTE(SUBSTITUTE(L1351,"G",""),"C","")))/N1351)</f>
        <v>0.32</v>
      </c>
      <c r="Q1351" s="14" t="n">
        <f aca="false">IF(O1351=0,"",(O1351-LEN(SUBSTITUTE(SUBSTITUTE(M1351,"G",""),"C","")))/O1351)</f>
        <v>0.32</v>
      </c>
      <c r="R1351" s="5" t="s">
        <v>1072</v>
      </c>
      <c r="S1351" s="15" t="s">
        <v>1677</v>
      </c>
      <c r="T1351" s="5" t="n">
        <v>589</v>
      </c>
      <c r="U1351" s="5" t="s">
        <v>1678</v>
      </c>
      <c r="V1351" s="5" t="s">
        <v>1389</v>
      </c>
      <c r="W1351" s="5"/>
      <c r="X1351" s="15" t="s">
        <v>1677</v>
      </c>
      <c r="Y1351" s="5"/>
    </row>
    <row r="1352" customFormat="false" ht="15" hidden="false" customHeight="false" outlineLevel="0" collapsed="false">
      <c r="A1352" s="5" t="s">
        <v>13246</v>
      </c>
      <c r="B1352" s="5" t="s">
        <v>1386</v>
      </c>
      <c r="C1352" s="5" t="s">
        <v>1068</v>
      </c>
      <c r="D1352" s="12" t="s">
        <v>1071</v>
      </c>
      <c r="E1352" s="5" t="n">
        <v>5</v>
      </c>
      <c r="F1352" s="5" t="s">
        <v>13247</v>
      </c>
      <c r="G1352" s="13" t="s">
        <v>13248</v>
      </c>
      <c r="H1352" s="5" t="s">
        <v>13249</v>
      </c>
      <c r="I1352" s="13" t="s">
        <v>13250</v>
      </c>
      <c r="J1352" s="5" t="s">
        <v>13251</v>
      </c>
      <c r="K1352" s="5" t="s">
        <v>13252</v>
      </c>
      <c r="L1352" s="13" t="s">
        <v>13253</v>
      </c>
      <c r="M1352" s="13" t="s">
        <v>13254</v>
      </c>
      <c r="N1352" s="5" t="n">
        <f aca="false">LEN(L1352)</f>
        <v>25</v>
      </c>
      <c r="O1352" s="5" t="n">
        <f aca="false">LEN(M1352)</f>
        <v>25</v>
      </c>
      <c r="P1352" s="14" t="n">
        <f aca="false">IF(N1352=0,"",(N1352-LEN(SUBSTITUTE(SUBSTITUTE(L1352,"G",""),"C","")))/N1352)</f>
        <v>0.32</v>
      </c>
      <c r="Q1352" s="14" t="n">
        <f aca="false">IF(O1352=0,"",(O1352-LEN(SUBSTITUTE(SUBSTITUTE(M1352,"G",""),"C","")))/O1352)</f>
        <v>0.6</v>
      </c>
      <c r="R1352" s="5" t="s">
        <v>1072</v>
      </c>
      <c r="S1352" s="15" t="s">
        <v>1677</v>
      </c>
      <c r="T1352" s="5" t="n">
        <v>736</v>
      </c>
      <c r="U1352" s="5" t="s">
        <v>1678</v>
      </c>
      <c r="V1352" s="5" t="s">
        <v>1389</v>
      </c>
      <c r="W1352" s="5"/>
      <c r="X1352" s="15" t="s">
        <v>1677</v>
      </c>
      <c r="Y1352" s="5"/>
    </row>
    <row r="1353" customFormat="false" ht="15" hidden="false" customHeight="false" outlineLevel="0" collapsed="false">
      <c r="A1353" s="5" t="s">
        <v>13255</v>
      </c>
      <c r="B1353" s="5" t="s">
        <v>1386</v>
      </c>
      <c r="C1353" s="5" t="s">
        <v>1068</v>
      </c>
      <c r="D1353" s="12" t="s">
        <v>1071</v>
      </c>
      <c r="E1353" s="5" t="n">
        <v>6</v>
      </c>
      <c r="F1353" s="5" t="s">
        <v>13256</v>
      </c>
      <c r="G1353" s="13" t="s">
        <v>13257</v>
      </c>
      <c r="H1353" s="5" t="s">
        <v>13258</v>
      </c>
      <c r="I1353" s="13" t="s">
        <v>13259</v>
      </c>
      <c r="J1353" s="5" t="s">
        <v>13260</v>
      </c>
      <c r="K1353" s="5" t="s">
        <v>13261</v>
      </c>
      <c r="L1353" s="13" t="s">
        <v>13262</v>
      </c>
      <c r="M1353" s="13" t="s">
        <v>13263</v>
      </c>
      <c r="N1353" s="5" t="n">
        <f aca="false">LEN(L1353)</f>
        <v>25</v>
      </c>
      <c r="O1353" s="5" t="n">
        <f aca="false">LEN(M1353)</f>
        <v>25</v>
      </c>
      <c r="P1353" s="14" t="n">
        <f aca="false">IF(N1353=0,"",(N1353-LEN(SUBSTITUTE(SUBSTITUTE(L1353,"G",""),"C","")))/N1353)</f>
        <v>0.56</v>
      </c>
      <c r="Q1353" s="14" t="n">
        <f aca="false">IF(O1353=0,"",(O1353-LEN(SUBSTITUTE(SUBSTITUTE(M1353,"G",""),"C","")))/O1353)</f>
        <v>0.6</v>
      </c>
      <c r="R1353" s="5" t="s">
        <v>1072</v>
      </c>
      <c r="S1353" s="15" t="s">
        <v>1677</v>
      </c>
      <c r="T1353" s="5" t="n">
        <v>882</v>
      </c>
      <c r="U1353" s="5" t="s">
        <v>1678</v>
      </c>
      <c r="V1353" s="5" t="s">
        <v>1389</v>
      </c>
      <c r="W1353" s="5"/>
      <c r="X1353" s="8" t="s">
        <v>1769</v>
      </c>
      <c r="Y1353" s="5"/>
    </row>
    <row r="1354" customFormat="false" ht="15" hidden="false" customHeight="false" outlineLevel="0" collapsed="false">
      <c r="A1354" s="5" t="s">
        <v>13264</v>
      </c>
      <c r="B1354" s="5" t="s">
        <v>1390</v>
      </c>
      <c r="C1354" s="5" t="s">
        <v>371</v>
      </c>
      <c r="D1354" s="12" t="s">
        <v>1071</v>
      </c>
      <c r="E1354" s="5" t="n">
        <v>1</v>
      </c>
      <c r="F1354" s="5" t="s">
        <v>13265</v>
      </c>
      <c r="G1354" s="13" t="s">
        <v>13266</v>
      </c>
      <c r="H1354" s="5" t="s">
        <v>13267</v>
      </c>
      <c r="I1354" s="13" t="s">
        <v>13268</v>
      </c>
      <c r="J1354" s="5" t="s">
        <v>13269</v>
      </c>
      <c r="K1354" s="5" t="s">
        <v>13270</v>
      </c>
      <c r="L1354" s="13" t="s">
        <v>4049</v>
      </c>
      <c r="M1354" s="13" t="s">
        <v>4050</v>
      </c>
      <c r="N1354" s="5" t="n">
        <f aca="false">LEN(L1354)</f>
        <v>25</v>
      </c>
      <c r="O1354" s="5" t="n">
        <f aca="false">LEN(M1354)</f>
        <v>25</v>
      </c>
      <c r="P1354" s="14" t="n">
        <f aca="false">IF(N1354=0,"",(N1354-LEN(SUBSTITUTE(SUBSTITUTE(L1354,"G",""),"C","")))/N1354)</f>
        <v>0.56</v>
      </c>
      <c r="Q1354" s="14" t="n">
        <f aca="false">IF(O1354=0,"",(O1354-LEN(SUBSTITUTE(SUBSTITUTE(M1354,"G",""),"C","")))/O1354)</f>
        <v>0.8</v>
      </c>
      <c r="R1354" s="5" t="s">
        <v>376</v>
      </c>
      <c r="S1354" s="15" t="s">
        <v>1677</v>
      </c>
      <c r="T1354" s="5" t="n">
        <v>75</v>
      </c>
      <c r="U1354" s="5" t="s">
        <v>1678</v>
      </c>
      <c r="V1354" s="5" t="s">
        <v>1389</v>
      </c>
      <c r="W1354" s="5"/>
      <c r="X1354" s="8" t="s">
        <v>2131</v>
      </c>
      <c r="Y1354" s="5"/>
    </row>
    <row r="1355" customFormat="false" ht="15" hidden="false" customHeight="false" outlineLevel="0" collapsed="false">
      <c r="A1355" s="5" t="s">
        <v>13271</v>
      </c>
      <c r="B1355" s="5" t="s">
        <v>1390</v>
      </c>
      <c r="C1355" s="5" t="s">
        <v>371</v>
      </c>
      <c r="D1355" s="12" t="s">
        <v>1071</v>
      </c>
      <c r="E1355" s="5" t="n">
        <v>2</v>
      </c>
      <c r="F1355" s="5" t="s">
        <v>13272</v>
      </c>
      <c r="G1355" s="13" t="s">
        <v>13273</v>
      </c>
      <c r="H1355" s="5" t="s">
        <v>13274</v>
      </c>
      <c r="I1355" s="13" t="s">
        <v>13275</v>
      </c>
      <c r="J1355" s="5" t="s">
        <v>13276</v>
      </c>
      <c r="K1355" s="5" t="s">
        <v>13277</v>
      </c>
      <c r="L1355" s="13" t="s">
        <v>4058</v>
      </c>
      <c r="M1355" s="13" t="s">
        <v>4059</v>
      </c>
      <c r="N1355" s="5" t="n">
        <f aca="false">LEN(L1355)</f>
        <v>25</v>
      </c>
      <c r="O1355" s="5" t="n">
        <f aca="false">LEN(M1355)</f>
        <v>25</v>
      </c>
      <c r="P1355" s="14" t="n">
        <f aca="false">IF(N1355=0,"",(N1355-LEN(SUBSTITUTE(SUBSTITUTE(L1355,"G",""),"C","")))/N1355)</f>
        <v>0.84</v>
      </c>
      <c r="Q1355" s="14" t="n">
        <f aca="false">IF(O1355=0,"",(O1355-LEN(SUBSTITUTE(SUBSTITUTE(M1355,"G",""),"C","")))/O1355)</f>
        <v>0.8</v>
      </c>
      <c r="R1355" s="5" t="s">
        <v>376</v>
      </c>
      <c r="S1355" s="15" t="s">
        <v>1677</v>
      </c>
      <c r="T1355" s="5" t="n">
        <v>141</v>
      </c>
      <c r="U1355" s="5" t="s">
        <v>1678</v>
      </c>
      <c r="V1355" s="5" t="s">
        <v>1389</v>
      </c>
      <c r="W1355" s="5"/>
      <c r="X1355" s="8" t="s">
        <v>2131</v>
      </c>
      <c r="Y1355" s="5"/>
    </row>
    <row r="1356" customFormat="false" ht="15" hidden="false" customHeight="false" outlineLevel="0" collapsed="false">
      <c r="A1356" s="5" t="s">
        <v>13278</v>
      </c>
      <c r="B1356" s="5" t="s">
        <v>1390</v>
      </c>
      <c r="C1356" s="5" t="s">
        <v>371</v>
      </c>
      <c r="D1356" s="12" t="s">
        <v>1071</v>
      </c>
      <c r="E1356" s="5" t="n">
        <v>3</v>
      </c>
      <c r="F1356" s="5" t="s">
        <v>13279</v>
      </c>
      <c r="G1356" s="13" t="s">
        <v>13280</v>
      </c>
      <c r="H1356" s="5" t="s">
        <v>13281</v>
      </c>
      <c r="I1356" s="13" t="s">
        <v>13282</v>
      </c>
      <c r="J1356" s="5" t="s">
        <v>13283</v>
      </c>
      <c r="K1356" s="5" t="s">
        <v>13284</v>
      </c>
      <c r="L1356" s="13" t="s">
        <v>4067</v>
      </c>
      <c r="M1356" s="13" t="s">
        <v>4068</v>
      </c>
      <c r="N1356" s="5" t="n">
        <f aca="false">LEN(L1356)</f>
        <v>25</v>
      </c>
      <c r="O1356" s="5" t="n">
        <f aca="false">LEN(M1356)</f>
        <v>25</v>
      </c>
      <c r="P1356" s="14" t="n">
        <f aca="false">IF(N1356=0,"",(N1356-LEN(SUBSTITUTE(SUBSTITUTE(L1356,"G",""),"C","")))/N1356)</f>
        <v>0.44</v>
      </c>
      <c r="Q1356" s="14" t="n">
        <f aca="false">IF(O1356=0,"",(O1356-LEN(SUBSTITUTE(SUBSTITUTE(M1356,"G",""),"C","")))/O1356)</f>
        <v>0.6</v>
      </c>
      <c r="R1356" s="5" t="s">
        <v>376</v>
      </c>
      <c r="S1356" s="15" t="s">
        <v>1677</v>
      </c>
      <c r="T1356" s="5" t="n">
        <v>273</v>
      </c>
      <c r="U1356" s="5" t="s">
        <v>1678</v>
      </c>
      <c r="V1356" s="5" t="s">
        <v>1389</v>
      </c>
      <c r="W1356" s="5"/>
      <c r="X1356" s="15" t="s">
        <v>1677</v>
      </c>
      <c r="Y1356" s="5"/>
    </row>
    <row r="1357" customFormat="false" ht="15" hidden="false" customHeight="false" outlineLevel="0" collapsed="false">
      <c r="A1357" s="5" t="s">
        <v>13285</v>
      </c>
      <c r="B1357" s="5" t="s">
        <v>1390</v>
      </c>
      <c r="C1357" s="5" t="s">
        <v>371</v>
      </c>
      <c r="D1357" s="12" t="s">
        <v>1071</v>
      </c>
      <c r="E1357" s="5" t="n">
        <v>4</v>
      </c>
      <c r="F1357" s="5" t="s">
        <v>13286</v>
      </c>
      <c r="G1357" s="13" t="s">
        <v>13287</v>
      </c>
      <c r="H1357" s="5" t="s">
        <v>13288</v>
      </c>
      <c r="I1357" s="13" t="s">
        <v>13289</v>
      </c>
      <c r="J1357" s="5" t="s">
        <v>13290</v>
      </c>
      <c r="K1357" s="5" t="s">
        <v>13291</v>
      </c>
      <c r="L1357" s="13" t="s">
        <v>4076</v>
      </c>
      <c r="M1357" s="13" t="s">
        <v>4077</v>
      </c>
      <c r="N1357" s="5" t="n">
        <f aca="false">LEN(L1357)</f>
        <v>25</v>
      </c>
      <c r="O1357" s="5" t="n">
        <f aca="false">LEN(M1357)</f>
        <v>25</v>
      </c>
      <c r="P1357" s="14" t="n">
        <f aca="false">IF(N1357=0,"",(N1357-LEN(SUBSTITUTE(SUBSTITUTE(L1357,"G",""),"C","")))/N1357)</f>
        <v>0.48</v>
      </c>
      <c r="Q1357" s="14" t="n">
        <f aca="false">IF(O1357=0,"",(O1357-LEN(SUBSTITUTE(SUBSTITUTE(M1357,"G",""),"C","")))/O1357)</f>
        <v>0.6</v>
      </c>
      <c r="R1357" s="5" t="s">
        <v>376</v>
      </c>
      <c r="S1357" s="15" t="s">
        <v>1677</v>
      </c>
      <c r="T1357" s="5" t="n">
        <v>339</v>
      </c>
      <c r="U1357" s="5" t="s">
        <v>1678</v>
      </c>
      <c r="V1357" s="5" t="s">
        <v>1389</v>
      </c>
      <c r="W1357" s="5"/>
      <c r="X1357" s="8" t="s">
        <v>1914</v>
      </c>
      <c r="Y1357" s="5"/>
    </row>
    <row r="1358" customFormat="false" ht="15" hidden="false" customHeight="false" outlineLevel="0" collapsed="false">
      <c r="A1358" s="5" t="s">
        <v>13292</v>
      </c>
      <c r="B1358" s="5" t="s">
        <v>1390</v>
      </c>
      <c r="C1358" s="5" t="s">
        <v>371</v>
      </c>
      <c r="D1358" s="12" t="s">
        <v>1071</v>
      </c>
      <c r="E1358" s="5" t="n">
        <v>5</v>
      </c>
      <c r="F1358" s="5" t="s">
        <v>13293</v>
      </c>
      <c r="G1358" s="13" t="s">
        <v>13294</v>
      </c>
      <c r="H1358" s="5" t="s">
        <v>13295</v>
      </c>
      <c r="I1358" s="13" t="s">
        <v>13296</v>
      </c>
      <c r="J1358" s="5" t="s">
        <v>13297</v>
      </c>
      <c r="K1358" s="5" t="s">
        <v>13298</v>
      </c>
      <c r="L1358" s="13" t="s">
        <v>4085</v>
      </c>
      <c r="M1358" s="13" t="s">
        <v>4086</v>
      </c>
      <c r="N1358" s="5" t="n">
        <f aca="false">LEN(L1358)</f>
        <v>25</v>
      </c>
      <c r="O1358" s="5" t="n">
        <f aca="false">LEN(M1358)</f>
        <v>25</v>
      </c>
      <c r="P1358" s="14" t="n">
        <f aca="false">IF(N1358=0,"",(N1358-LEN(SUBSTITUTE(SUBSTITUTE(L1358,"G",""),"C","")))/N1358)</f>
        <v>0.64</v>
      </c>
      <c r="Q1358" s="14" t="n">
        <f aca="false">IF(O1358=0,"",(O1358-LEN(SUBSTITUTE(SUBSTITUTE(M1358,"G",""),"C","")))/O1358)</f>
        <v>0.4</v>
      </c>
      <c r="R1358" s="5" t="s">
        <v>376</v>
      </c>
      <c r="S1358" s="15" t="s">
        <v>1677</v>
      </c>
      <c r="T1358" s="5" t="n">
        <v>472</v>
      </c>
      <c r="U1358" s="5" t="s">
        <v>1678</v>
      </c>
      <c r="V1358" s="5" t="s">
        <v>1389</v>
      </c>
      <c r="W1358" s="5"/>
      <c r="X1358" s="15" t="s">
        <v>1677</v>
      </c>
      <c r="Y1358" s="5"/>
    </row>
    <row r="1359" customFormat="false" ht="15" hidden="false" customHeight="false" outlineLevel="0" collapsed="false">
      <c r="A1359" s="5" t="s">
        <v>13299</v>
      </c>
      <c r="B1359" s="5" t="s">
        <v>1390</v>
      </c>
      <c r="C1359" s="5" t="s">
        <v>371</v>
      </c>
      <c r="D1359" s="12" t="s">
        <v>1071</v>
      </c>
      <c r="E1359" s="5" t="n">
        <v>6</v>
      </c>
      <c r="F1359" s="5" t="s">
        <v>13300</v>
      </c>
      <c r="G1359" s="13" t="s">
        <v>13301</v>
      </c>
      <c r="H1359" s="5" t="s">
        <v>13302</v>
      </c>
      <c r="I1359" s="13" t="s">
        <v>13303</v>
      </c>
      <c r="J1359" s="5" t="s">
        <v>13304</v>
      </c>
      <c r="K1359" s="5" t="s">
        <v>13305</v>
      </c>
      <c r="L1359" s="13" t="s">
        <v>4094</v>
      </c>
      <c r="M1359" s="13" t="s">
        <v>4095</v>
      </c>
      <c r="N1359" s="5" t="n">
        <f aca="false">LEN(L1359)</f>
        <v>25</v>
      </c>
      <c r="O1359" s="5" t="n">
        <f aca="false">LEN(M1359)</f>
        <v>25</v>
      </c>
      <c r="P1359" s="14" t="n">
        <f aca="false">IF(N1359=0,"",(N1359-LEN(SUBSTITUTE(SUBSTITUTE(L1359,"G",""),"C","")))/N1359)</f>
        <v>0.68</v>
      </c>
      <c r="Q1359" s="14" t="n">
        <f aca="false">IF(O1359=0,"",(O1359-LEN(SUBSTITUTE(SUBSTITUTE(M1359,"G",""),"C","")))/O1359)</f>
        <v>0.52</v>
      </c>
      <c r="R1359" s="5" t="s">
        <v>376</v>
      </c>
      <c r="S1359" s="15" t="s">
        <v>1677</v>
      </c>
      <c r="T1359" s="5" t="n">
        <v>538</v>
      </c>
      <c r="U1359" s="5" t="s">
        <v>1678</v>
      </c>
      <c r="V1359" s="5" t="s">
        <v>1389</v>
      </c>
      <c r="W1359" s="5"/>
      <c r="X1359" s="15" t="s">
        <v>1677</v>
      </c>
      <c r="Y1359" s="5"/>
    </row>
    <row r="1360" customFormat="false" ht="15" hidden="false" customHeight="false" outlineLevel="0" collapsed="false">
      <c r="A1360" s="5" t="s">
        <v>13306</v>
      </c>
      <c r="B1360" s="5" t="s">
        <v>1391</v>
      </c>
      <c r="C1360" s="5" t="s">
        <v>1392</v>
      </c>
      <c r="D1360" s="6" t="s">
        <v>45</v>
      </c>
      <c r="E1360" s="5" t="n">
        <v>1</v>
      </c>
      <c r="F1360" s="5" t="s">
        <v>13307</v>
      </c>
      <c r="G1360" s="13" t="s">
        <v>13308</v>
      </c>
      <c r="H1360" s="5" t="s">
        <v>13309</v>
      </c>
      <c r="I1360" s="13" t="s">
        <v>13310</v>
      </c>
      <c r="J1360" s="5" t="s">
        <v>13311</v>
      </c>
      <c r="K1360" s="5" t="s">
        <v>13312</v>
      </c>
      <c r="L1360" s="13" t="s">
        <v>13313</v>
      </c>
      <c r="M1360" s="13" t="s">
        <v>13314</v>
      </c>
      <c r="N1360" s="5" t="n">
        <f aca="false">LEN(L1360)</f>
        <v>25</v>
      </c>
      <c r="O1360" s="5" t="n">
        <f aca="false">LEN(M1360)</f>
        <v>25</v>
      </c>
      <c r="P1360" s="14" t="n">
        <f aca="false">IF(N1360=0,"",(N1360-LEN(SUBSTITUTE(SUBSTITUTE(L1360,"G",""),"C","")))/N1360)</f>
        <v>0.52</v>
      </c>
      <c r="Q1360" s="14" t="n">
        <f aca="false">IF(O1360=0,"",(O1360-LEN(SUBSTITUTE(SUBSTITUTE(M1360,"G",""),"C","")))/O1360)</f>
        <v>0.32</v>
      </c>
      <c r="R1360" s="5" t="s">
        <v>1399</v>
      </c>
      <c r="S1360" s="15" t="s">
        <v>1677</v>
      </c>
      <c r="T1360" s="5" t="n">
        <v>146</v>
      </c>
      <c r="U1360" s="5" t="s">
        <v>1678</v>
      </c>
      <c r="V1360" s="5" t="s">
        <v>1398</v>
      </c>
      <c r="W1360" s="5"/>
      <c r="X1360" s="5"/>
      <c r="Y1360" s="5"/>
    </row>
    <row r="1361" customFormat="false" ht="15" hidden="false" customHeight="false" outlineLevel="0" collapsed="false">
      <c r="A1361" s="5" t="s">
        <v>13315</v>
      </c>
      <c r="B1361" s="5" t="s">
        <v>1391</v>
      </c>
      <c r="C1361" s="5" t="s">
        <v>1392</v>
      </c>
      <c r="D1361" s="6" t="s">
        <v>45</v>
      </c>
      <c r="E1361" s="5" t="n">
        <v>2</v>
      </c>
      <c r="F1361" s="5" t="s">
        <v>13316</v>
      </c>
      <c r="G1361" s="13" t="s">
        <v>13317</v>
      </c>
      <c r="H1361" s="5" t="s">
        <v>13318</v>
      </c>
      <c r="I1361" s="13" t="s">
        <v>13319</v>
      </c>
      <c r="J1361" s="5" t="s">
        <v>13320</v>
      </c>
      <c r="K1361" s="5" t="s">
        <v>13321</v>
      </c>
      <c r="L1361" s="13" t="s">
        <v>13322</v>
      </c>
      <c r="M1361" s="13" t="s">
        <v>13323</v>
      </c>
      <c r="N1361" s="5" t="n">
        <f aca="false">LEN(L1361)</f>
        <v>25</v>
      </c>
      <c r="O1361" s="5" t="n">
        <f aca="false">LEN(M1361)</f>
        <v>25</v>
      </c>
      <c r="P1361" s="14" t="n">
        <f aca="false">IF(N1361=0,"",(N1361-LEN(SUBSTITUTE(SUBSTITUTE(L1361,"G",""),"C","")))/N1361)</f>
        <v>0.48</v>
      </c>
      <c r="Q1361" s="14" t="n">
        <f aca="false">IF(O1361=0,"",(O1361-LEN(SUBSTITUTE(SUBSTITUTE(M1361,"G",""),"C","")))/O1361)</f>
        <v>0.6</v>
      </c>
      <c r="R1361" s="5" t="s">
        <v>1399</v>
      </c>
      <c r="S1361" s="15" t="s">
        <v>1677</v>
      </c>
      <c r="T1361" s="5" t="n">
        <v>216</v>
      </c>
      <c r="U1361" s="5" t="s">
        <v>1678</v>
      </c>
      <c r="V1361" s="5" t="s">
        <v>1398</v>
      </c>
      <c r="W1361" s="5"/>
      <c r="X1361" s="5"/>
      <c r="Y1361" s="5"/>
    </row>
    <row r="1362" customFormat="false" ht="15" hidden="false" customHeight="false" outlineLevel="0" collapsed="false">
      <c r="A1362" s="5" t="s">
        <v>13324</v>
      </c>
      <c r="B1362" s="5" t="s">
        <v>1391</v>
      </c>
      <c r="C1362" s="5" t="s">
        <v>1392</v>
      </c>
      <c r="D1362" s="6" t="s">
        <v>45</v>
      </c>
      <c r="E1362" s="5" t="n">
        <v>3</v>
      </c>
      <c r="F1362" s="5" t="s">
        <v>13325</v>
      </c>
      <c r="G1362" s="13" t="s">
        <v>13326</v>
      </c>
      <c r="H1362" s="5" t="s">
        <v>13327</v>
      </c>
      <c r="I1362" s="13" t="s">
        <v>13328</v>
      </c>
      <c r="J1362" s="5" t="s">
        <v>13329</v>
      </c>
      <c r="K1362" s="5" t="s">
        <v>13330</v>
      </c>
      <c r="L1362" s="13" t="s">
        <v>13331</v>
      </c>
      <c r="M1362" s="13" t="s">
        <v>13332</v>
      </c>
      <c r="N1362" s="5" t="n">
        <f aca="false">LEN(L1362)</f>
        <v>25</v>
      </c>
      <c r="O1362" s="5" t="n">
        <f aca="false">LEN(M1362)</f>
        <v>25</v>
      </c>
      <c r="P1362" s="14" t="n">
        <f aca="false">IF(N1362=0,"",(N1362-LEN(SUBSTITUTE(SUBSTITUTE(L1362,"G",""),"C","")))/N1362)</f>
        <v>0.36</v>
      </c>
      <c r="Q1362" s="14" t="n">
        <f aca="false">IF(O1362=0,"",(O1362-LEN(SUBSTITUTE(SUBSTITUTE(M1362,"G",""),"C","")))/O1362)</f>
        <v>0.52</v>
      </c>
      <c r="R1362" s="5" t="s">
        <v>1399</v>
      </c>
      <c r="S1362" s="15" t="s">
        <v>1677</v>
      </c>
      <c r="T1362" s="5" t="n">
        <v>286</v>
      </c>
      <c r="U1362" s="5" t="s">
        <v>1678</v>
      </c>
      <c r="V1362" s="5" t="s">
        <v>1398</v>
      </c>
      <c r="W1362" s="5"/>
      <c r="X1362" s="5"/>
      <c r="Y1362" s="5"/>
    </row>
    <row r="1363" customFormat="false" ht="15" hidden="false" customHeight="false" outlineLevel="0" collapsed="false">
      <c r="A1363" s="5" t="s">
        <v>13333</v>
      </c>
      <c r="B1363" s="5" t="s">
        <v>1391</v>
      </c>
      <c r="C1363" s="5" t="s">
        <v>1392</v>
      </c>
      <c r="D1363" s="6" t="s">
        <v>45</v>
      </c>
      <c r="E1363" s="5" t="n">
        <v>4</v>
      </c>
      <c r="F1363" s="5" t="s">
        <v>13334</v>
      </c>
      <c r="G1363" s="13" t="s">
        <v>13335</v>
      </c>
      <c r="H1363" s="5" t="s">
        <v>13336</v>
      </c>
      <c r="I1363" s="13" t="s">
        <v>13337</v>
      </c>
      <c r="J1363" s="5" t="s">
        <v>13338</v>
      </c>
      <c r="K1363" s="5" t="s">
        <v>13339</v>
      </c>
      <c r="L1363" s="13" t="s">
        <v>13340</v>
      </c>
      <c r="M1363" s="13" t="s">
        <v>13341</v>
      </c>
      <c r="N1363" s="5" t="n">
        <f aca="false">LEN(L1363)</f>
        <v>25</v>
      </c>
      <c r="O1363" s="5" t="n">
        <f aca="false">LEN(M1363)</f>
        <v>25</v>
      </c>
      <c r="P1363" s="14" t="n">
        <f aca="false">IF(N1363=0,"",(N1363-LEN(SUBSTITUTE(SUBSTITUTE(L1363,"G",""),"C","")))/N1363)</f>
        <v>0.52</v>
      </c>
      <c r="Q1363" s="14" t="n">
        <f aca="false">IF(O1363=0,"",(O1363-LEN(SUBSTITUTE(SUBSTITUTE(M1363,"G",""),"C","")))/O1363)</f>
        <v>0.48</v>
      </c>
      <c r="R1363" s="5" t="s">
        <v>1399</v>
      </c>
      <c r="S1363" s="15" t="s">
        <v>1677</v>
      </c>
      <c r="T1363" s="5" t="n">
        <v>356</v>
      </c>
      <c r="U1363" s="5" t="s">
        <v>1678</v>
      </c>
      <c r="V1363" s="5" t="s">
        <v>1398</v>
      </c>
      <c r="W1363" s="5"/>
      <c r="X1363" s="5"/>
      <c r="Y1363" s="5"/>
    </row>
    <row r="1364" customFormat="false" ht="15" hidden="false" customHeight="false" outlineLevel="0" collapsed="false">
      <c r="A1364" s="5" t="s">
        <v>13342</v>
      </c>
      <c r="B1364" s="5" t="s">
        <v>1391</v>
      </c>
      <c r="C1364" s="5" t="s">
        <v>1392</v>
      </c>
      <c r="D1364" s="6" t="s">
        <v>45</v>
      </c>
      <c r="E1364" s="5" t="n">
        <v>5</v>
      </c>
      <c r="F1364" s="5" t="s">
        <v>13343</v>
      </c>
      <c r="G1364" s="13" t="s">
        <v>13344</v>
      </c>
      <c r="H1364" s="5" t="s">
        <v>13345</v>
      </c>
      <c r="I1364" s="13" t="s">
        <v>13346</v>
      </c>
      <c r="J1364" s="5" t="s">
        <v>13347</v>
      </c>
      <c r="K1364" s="5" t="s">
        <v>13348</v>
      </c>
      <c r="L1364" s="13" t="s">
        <v>13349</v>
      </c>
      <c r="M1364" s="13" t="s">
        <v>13350</v>
      </c>
      <c r="N1364" s="5" t="n">
        <f aca="false">LEN(L1364)</f>
        <v>25</v>
      </c>
      <c r="O1364" s="5" t="n">
        <f aca="false">LEN(M1364)</f>
        <v>25</v>
      </c>
      <c r="P1364" s="14" t="n">
        <f aca="false">IF(N1364=0,"",(N1364-LEN(SUBSTITUTE(SUBSTITUTE(L1364,"G",""),"C","")))/N1364)</f>
        <v>0.32</v>
      </c>
      <c r="Q1364" s="14" t="n">
        <f aca="false">IF(O1364=0,"",(O1364-LEN(SUBSTITUTE(SUBSTITUTE(M1364,"G",""),"C","")))/O1364)</f>
        <v>0.36</v>
      </c>
      <c r="R1364" s="5" t="s">
        <v>1399</v>
      </c>
      <c r="S1364" s="15" t="s">
        <v>1677</v>
      </c>
      <c r="T1364" s="5" t="n">
        <v>426</v>
      </c>
      <c r="U1364" s="5" t="s">
        <v>1678</v>
      </c>
      <c r="V1364" s="5" t="s">
        <v>1398</v>
      </c>
      <c r="W1364" s="5"/>
      <c r="X1364" s="5"/>
      <c r="Y1364" s="5"/>
    </row>
    <row r="1365" customFormat="false" ht="15" hidden="false" customHeight="false" outlineLevel="0" collapsed="false">
      <c r="A1365" s="5" t="s">
        <v>13351</v>
      </c>
      <c r="B1365" s="5" t="s">
        <v>1391</v>
      </c>
      <c r="C1365" s="5" t="s">
        <v>1392</v>
      </c>
      <c r="D1365" s="6" t="s">
        <v>45</v>
      </c>
      <c r="E1365" s="5" t="n">
        <v>6</v>
      </c>
      <c r="F1365" s="5" t="s">
        <v>13352</v>
      </c>
      <c r="G1365" s="13" t="s">
        <v>13353</v>
      </c>
      <c r="H1365" s="5" t="s">
        <v>13354</v>
      </c>
      <c r="I1365" s="13" t="s">
        <v>13355</v>
      </c>
      <c r="J1365" s="5" t="s">
        <v>13356</v>
      </c>
      <c r="K1365" s="5" t="s">
        <v>13357</v>
      </c>
      <c r="L1365" s="13" t="s">
        <v>13358</v>
      </c>
      <c r="M1365" s="13" t="s">
        <v>13359</v>
      </c>
      <c r="N1365" s="5" t="n">
        <f aca="false">LEN(L1365)</f>
        <v>25</v>
      </c>
      <c r="O1365" s="5" t="n">
        <f aca="false">LEN(M1365)</f>
        <v>25</v>
      </c>
      <c r="P1365" s="14" t="n">
        <f aca="false">IF(N1365=0,"",(N1365-LEN(SUBSTITUTE(SUBSTITUTE(L1365,"G",""),"C","")))/N1365)</f>
        <v>0.56</v>
      </c>
      <c r="Q1365" s="14" t="n">
        <f aca="false">IF(O1365=0,"",(O1365-LEN(SUBSTITUTE(SUBSTITUTE(M1365,"G",""),"C","")))/O1365)</f>
        <v>0.56</v>
      </c>
      <c r="R1365" s="5" t="s">
        <v>1399</v>
      </c>
      <c r="S1365" s="15" t="s">
        <v>1677</v>
      </c>
      <c r="T1365" s="5" t="n">
        <v>496</v>
      </c>
      <c r="U1365" s="5" t="s">
        <v>1678</v>
      </c>
      <c r="V1365" s="5" t="s">
        <v>1398</v>
      </c>
      <c r="W1365" s="5"/>
      <c r="X1365" s="5"/>
      <c r="Y1365" s="5"/>
    </row>
    <row r="1366" customFormat="false" ht="15" hidden="false" customHeight="false" outlineLevel="0" collapsed="false">
      <c r="A1366" s="5" t="s">
        <v>13360</v>
      </c>
      <c r="B1366" s="5" t="s">
        <v>1400</v>
      </c>
      <c r="C1366" s="5" t="s">
        <v>1401</v>
      </c>
      <c r="D1366" s="6" t="s">
        <v>45</v>
      </c>
      <c r="E1366" s="5" t="n">
        <v>1</v>
      </c>
      <c r="F1366" s="5" t="s">
        <v>13361</v>
      </c>
      <c r="G1366" s="13" t="s">
        <v>13362</v>
      </c>
      <c r="H1366" s="5" t="s">
        <v>13363</v>
      </c>
      <c r="I1366" s="13" t="s">
        <v>13364</v>
      </c>
      <c r="J1366" s="5" t="s">
        <v>13365</v>
      </c>
      <c r="K1366" s="5" t="s">
        <v>13366</v>
      </c>
      <c r="L1366" s="13" t="s">
        <v>13367</v>
      </c>
      <c r="M1366" s="13" t="s">
        <v>13368</v>
      </c>
      <c r="N1366" s="5" t="n">
        <f aca="false">LEN(L1366)</f>
        <v>25</v>
      </c>
      <c r="O1366" s="5" t="n">
        <f aca="false">LEN(M1366)</f>
        <v>25</v>
      </c>
      <c r="P1366" s="14" t="n">
        <f aca="false">IF(N1366=0,"",(N1366-LEN(SUBSTITUTE(SUBSTITUTE(L1366,"G",""),"C","")))/N1366)</f>
        <v>0.52</v>
      </c>
      <c r="Q1366" s="14" t="n">
        <f aca="false">IF(O1366=0,"",(O1366-LEN(SUBSTITUTE(SUBSTITUTE(M1366,"G",""),"C","")))/O1366)</f>
        <v>0.6</v>
      </c>
      <c r="R1366" s="5" t="s">
        <v>1405</v>
      </c>
      <c r="S1366" s="15" t="s">
        <v>1677</v>
      </c>
      <c r="T1366" s="5" t="n">
        <v>216</v>
      </c>
      <c r="U1366" s="5" t="s">
        <v>1678</v>
      </c>
      <c r="V1366" s="5" t="s">
        <v>1398</v>
      </c>
      <c r="W1366" s="5"/>
      <c r="X1366" s="5"/>
      <c r="Y1366" s="5"/>
    </row>
    <row r="1367" customFormat="false" ht="15" hidden="false" customHeight="false" outlineLevel="0" collapsed="false">
      <c r="A1367" s="5" t="s">
        <v>13369</v>
      </c>
      <c r="B1367" s="5" t="s">
        <v>1400</v>
      </c>
      <c r="C1367" s="5" t="s">
        <v>1401</v>
      </c>
      <c r="D1367" s="6" t="s">
        <v>45</v>
      </c>
      <c r="E1367" s="5" t="n">
        <v>2</v>
      </c>
      <c r="F1367" s="5" t="s">
        <v>13370</v>
      </c>
      <c r="G1367" s="13" t="s">
        <v>13371</v>
      </c>
      <c r="H1367" s="5" t="s">
        <v>13372</v>
      </c>
      <c r="I1367" s="13" t="s">
        <v>13373</v>
      </c>
      <c r="J1367" s="5" t="s">
        <v>13374</v>
      </c>
      <c r="K1367" s="5" t="s">
        <v>13375</v>
      </c>
      <c r="L1367" s="13" t="s">
        <v>13376</v>
      </c>
      <c r="M1367" s="13" t="s">
        <v>13377</v>
      </c>
      <c r="N1367" s="5" t="n">
        <f aca="false">LEN(L1367)</f>
        <v>25</v>
      </c>
      <c r="O1367" s="5" t="n">
        <f aca="false">LEN(M1367)</f>
        <v>25</v>
      </c>
      <c r="P1367" s="14" t="n">
        <f aca="false">IF(N1367=0,"",(N1367-LEN(SUBSTITUTE(SUBSTITUTE(L1367,"G",""),"C","")))/N1367)</f>
        <v>0.44</v>
      </c>
      <c r="Q1367" s="14" t="n">
        <f aca="false">IF(O1367=0,"",(O1367-LEN(SUBSTITUTE(SUBSTITUTE(M1367,"G",""),"C","")))/O1367)</f>
        <v>0.4</v>
      </c>
      <c r="R1367" s="5" t="s">
        <v>1405</v>
      </c>
      <c r="S1367" s="15" t="s">
        <v>1677</v>
      </c>
      <c r="T1367" s="5" t="n">
        <v>286</v>
      </c>
      <c r="U1367" s="5" t="s">
        <v>1678</v>
      </c>
      <c r="V1367" s="5" t="s">
        <v>1398</v>
      </c>
      <c r="W1367" s="5"/>
      <c r="X1367" s="5"/>
      <c r="Y1367" s="5"/>
    </row>
    <row r="1368" customFormat="false" ht="15" hidden="false" customHeight="false" outlineLevel="0" collapsed="false">
      <c r="A1368" s="5" t="s">
        <v>13378</v>
      </c>
      <c r="B1368" s="5" t="s">
        <v>1400</v>
      </c>
      <c r="C1368" s="5" t="s">
        <v>1401</v>
      </c>
      <c r="D1368" s="6" t="s">
        <v>45</v>
      </c>
      <c r="E1368" s="5" t="n">
        <v>3</v>
      </c>
      <c r="F1368" s="5" t="s">
        <v>13379</v>
      </c>
      <c r="G1368" s="13" t="s">
        <v>13380</v>
      </c>
      <c r="H1368" s="5" t="s">
        <v>13381</v>
      </c>
      <c r="I1368" s="13" t="s">
        <v>13382</v>
      </c>
      <c r="J1368" s="5" t="s">
        <v>13383</v>
      </c>
      <c r="K1368" s="5" t="s">
        <v>13384</v>
      </c>
      <c r="L1368" s="13" t="s">
        <v>13385</v>
      </c>
      <c r="M1368" s="13" t="s">
        <v>13386</v>
      </c>
      <c r="N1368" s="5" t="n">
        <f aca="false">LEN(L1368)</f>
        <v>25</v>
      </c>
      <c r="O1368" s="5" t="n">
        <f aca="false">LEN(M1368)</f>
        <v>25</v>
      </c>
      <c r="P1368" s="14" t="n">
        <f aca="false">IF(N1368=0,"",(N1368-LEN(SUBSTITUTE(SUBSTITUTE(L1368,"G",""),"C","")))/N1368)</f>
        <v>0.48</v>
      </c>
      <c r="Q1368" s="14" t="n">
        <f aca="false">IF(O1368=0,"",(O1368-LEN(SUBSTITUTE(SUBSTITUTE(M1368,"G",""),"C","")))/O1368)</f>
        <v>0.44</v>
      </c>
      <c r="R1368" s="5" t="s">
        <v>1405</v>
      </c>
      <c r="S1368" s="15" t="s">
        <v>1677</v>
      </c>
      <c r="T1368" s="5" t="n">
        <v>356</v>
      </c>
      <c r="U1368" s="5" t="s">
        <v>1678</v>
      </c>
      <c r="V1368" s="5" t="s">
        <v>1398</v>
      </c>
      <c r="W1368" s="5"/>
      <c r="X1368" s="5"/>
      <c r="Y1368" s="5"/>
    </row>
    <row r="1369" customFormat="false" ht="15" hidden="false" customHeight="false" outlineLevel="0" collapsed="false">
      <c r="A1369" s="5" t="s">
        <v>13387</v>
      </c>
      <c r="B1369" s="5" t="s">
        <v>1400</v>
      </c>
      <c r="C1369" s="5" t="s">
        <v>1401</v>
      </c>
      <c r="D1369" s="6" t="s">
        <v>45</v>
      </c>
      <c r="E1369" s="5" t="n">
        <v>4</v>
      </c>
      <c r="F1369" s="5" t="s">
        <v>13388</v>
      </c>
      <c r="G1369" s="13" t="s">
        <v>13389</v>
      </c>
      <c r="H1369" s="5" t="s">
        <v>13390</v>
      </c>
      <c r="I1369" s="13" t="s">
        <v>13391</v>
      </c>
      <c r="J1369" s="5" t="s">
        <v>13392</v>
      </c>
      <c r="K1369" s="5" t="s">
        <v>13393</v>
      </c>
      <c r="L1369" s="13" t="s">
        <v>13394</v>
      </c>
      <c r="M1369" s="13" t="s">
        <v>13395</v>
      </c>
      <c r="N1369" s="5" t="n">
        <f aca="false">LEN(L1369)</f>
        <v>25</v>
      </c>
      <c r="O1369" s="5" t="n">
        <f aca="false">LEN(M1369)</f>
        <v>25</v>
      </c>
      <c r="P1369" s="14" t="n">
        <f aca="false">IF(N1369=0,"",(N1369-LEN(SUBSTITUTE(SUBSTITUTE(L1369,"G",""),"C","")))/N1369)</f>
        <v>0.52</v>
      </c>
      <c r="Q1369" s="14" t="n">
        <f aca="false">IF(O1369=0,"",(O1369-LEN(SUBSTITUTE(SUBSTITUTE(M1369,"G",""),"C","")))/O1369)</f>
        <v>0.48</v>
      </c>
      <c r="R1369" s="5" t="s">
        <v>1405</v>
      </c>
      <c r="S1369" s="15" t="s">
        <v>1677</v>
      </c>
      <c r="T1369" s="5" t="n">
        <v>426</v>
      </c>
      <c r="U1369" s="5" t="s">
        <v>1678</v>
      </c>
      <c r="V1369" s="5" t="s">
        <v>1398</v>
      </c>
      <c r="W1369" s="5"/>
      <c r="X1369" s="5"/>
      <c r="Y1369" s="5"/>
    </row>
    <row r="1370" customFormat="false" ht="15" hidden="false" customHeight="false" outlineLevel="0" collapsed="false">
      <c r="A1370" s="5" t="s">
        <v>13396</v>
      </c>
      <c r="B1370" s="5" t="s">
        <v>1400</v>
      </c>
      <c r="C1370" s="5" t="s">
        <v>1401</v>
      </c>
      <c r="D1370" s="6" t="s">
        <v>45</v>
      </c>
      <c r="E1370" s="5" t="n">
        <v>5</v>
      </c>
      <c r="F1370" s="5" t="s">
        <v>13397</v>
      </c>
      <c r="G1370" s="13" t="s">
        <v>13398</v>
      </c>
      <c r="H1370" s="5" t="s">
        <v>13399</v>
      </c>
      <c r="I1370" s="13" t="s">
        <v>13400</v>
      </c>
      <c r="J1370" s="5" t="s">
        <v>13401</v>
      </c>
      <c r="K1370" s="5" t="s">
        <v>13402</v>
      </c>
      <c r="L1370" s="13" t="s">
        <v>13403</v>
      </c>
      <c r="M1370" s="13" t="s">
        <v>13404</v>
      </c>
      <c r="N1370" s="5" t="n">
        <f aca="false">LEN(L1370)</f>
        <v>25</v>
      </c>
      <c r="O1370" s="5" t="n">
        <f aca="false">LEN(M1370)</f>
        <v>25</v>
      </c>
      <c r="P1370" s="14" t="n">
        <f aca="false">IF(N1370=0,"",(N1370-LEN(SUBSTITUTE(SUBSTITUTE(L1370,"G",""),"C","")))/N1370)</f>
        <v>0.64</v>
      </c>
      <c r="Q1370" s="14" t="n">
        <f aca="false">IF(O1370=0,"",(O1370-LEN(SUBSTITUTE(SUBSTITUTE(M1370,"G",""),"C","")))/O1370)</f>
        <v>0.52</v>
      </c>
      <c r="R1370" s="5" t="s">
        <v>1405</v>
      </c>
      <c r="S1370" s="15" t="s">
        <v>1677</v>
      </c>
      <c r="T1370" s="5" t="n">
        <v>496</v>
      </c>
      <c r="U1370" s="5" t="s">
        <v>1678</v>
      </c>
      <c r="V1370" s="5" t="s">
        <v>1398</v>
      </c>
      <c r="W1370" s="5"/>
      <c r="X1370" s="5"/>
      <c r="Y1370" s="5"/>
    </row>
    <row r="1371" customFormat="false" ht="15" hidden="false" customHeight="false" outlineLevel="0" collapsed="false">
      <c r="A1371" s="5" t="s">
        <v>13405</v>
      </c>
      <c r="B1371" s="5" t="s">
        <v>1400</v>
      </c>
      <c r="C1371" s="5" t="s">
        <v>1401</v>
      </c>
      <c r="D1371" s="6" t="s">
        <v>45</v>
      </c>
      <c r="E1371" s="5" t="n">
        <v>6</v>
      </c>
      <c r="F1371" s="5" t="s">
        <v>13406</v>
      </c>
      <c r="G1371" s="13" t="s">
        <v>13407</v>
      </c>
      <c r="H1371" s="5" t="s">
        <v>13408</v>
      </c>
      <c r="I1371" s="13" t="s">
        <v>13409</v>
      </c>
      <c r="J1371" s="5" t="s">
        <v>13410</v>
      </c>
      <c r="K1371" s="5" t="s">
        <v>13411</v>
      </c>
      <c r="L1371" s="13" t="s">
        <v>13412</v>
      </c>
      <c r="M1371" s="13" t="s">
        <v>13413</v>
      </c>
      <c r="N1371" s="5" t="n">
        <f aca="false">LEN(L1371)</f>
        <v>25</v>
      </c>
      <c r="O1371" s="5" t="n">
        <f aca="false">LEN(M1371)</f>
        <v>25</v>
      </c>
      <c r="P1371" s="14" t="n">
        <f aca="false">IF(N1371=0,"",(N1371-LEN(SUBSTITUTE(SUBSTITUTE(L1371,"G",""),"C","")))/N1371)</f>
        <v>0.52</v>
      </c>
      <c r="Q1371" s="14" t="n">
        <f aca="false">IF(O1371=0,"",(O1371-LEN(SUBSTITUTE(SUBSTITUTE(M1371,"G",""),"C","")))/O1371)</f>
        <v>0.52</v>
      </c>
      <c r="R1371" s="5" t="s">
        <v>1405</v>
      </c>
      <c r="S1371" s="15" t="s">
        <v>1677</v>
      </c>
      <c r="T1371" s="5" t="n">
        <v>566</v>
      </c>
      <c r="U1371" s="5" t="s">
        <v>1678</v>
      </c>
      <c r="V1371" s="5" t="s">
        <v>1398</v>
      </c>
      <c r="W1371" s="5"/>
      <c r="X1371" s="5"/>
      <c r="Y1371" s="5"/>
    </row>
    <row r="1372" customFormat="false" ht="15" hidden="false" customHeight="false" outlineLevel="0" collapsed="false">
      <c r="A1372" s="5" t="s">
        <v>13414</v>
      </c>
      <c r="B1372" s="5" t="s">
        <v>1400</v>
      </c>
      <c r="C1372" s="5" t="s">
        <v>1401</v>
      </c>
      <c r="D1372" s="6" t="s">
        <v>45</v>
      </c>
      <c r="E1372" s="5" t="n">
        <v>7</v>
      </c>
      <c r="F1372" s="5" t="s">
        <v>13415</v>
      </c>
      <c r="G1372" s="13" t="s">
        <v>13416</v>
      </c>
      <c r="H1372" s="5" t="s">
        <v>13417</v>
      </c>
      <c r="I1372" s="13" t="s">
        <v>13418</v>
      </c>
      <c r="J1372" s="5" t="s">
        <v>13419</v>
      </c>
      <c r="K1372" s="5" t="s">
        <v>13420</v>
      </c>
      <c r="L1372" s="13" t="s">
        <v>13421</v>
      </c>
      <c r="M1372" s="13" t="s">
        <v>13422</v>
      </c>
      <c r="N1372" s="5" t="n">
        <f aca="false">LEN(L1372)</f>
        <v>25</v>
      </c>
      <c r="O1372" s="5" t="n">
        <f aca="false">LEN(M1372)</f>
        <v>25</v>
      </c>
      <c r="P1372" s="14" t="n">
        <f aca="false">IF(N1372=0,"",(N1372-LEN(SUBSTITUTE(SUBSTITUTE(L1372,"G",""),"C","")))/N1372)</f>
        <v>0.52</v>
      </c>
      <c r="Q1372" s="14" t="n">
        <f aca="false">IF(O1372=0,"",(O1372-LEN(SUBSTITUTE(SUBSTITUTE(M1372,"G",""),"C","")))/O1372)</f>
        <v>0.56</v>
      </c>
      <c r="R1372" s="5" t="s">
        <v>1405</v>
      </c>
      <c r="S1372" s="15" t="s">
        <v>1677</v>
      </c>
      <c r="T1372" s="5" t="n">
        <v>636</v>
      </c>
      <c r="U1372" s="5" t="s">
        <v>1678</v>
      </c>
      <c r="V1372" s="5" t="s">
        <v>1398</v>
      </c>
      <c r="W1372" s="5"/>
      <c r="X1372" s="5"/>
      <c r="Y1372" s="5"/>
    </row>
    <row r="1373" customFormat="false" ht="15" hidden="false" customHeight="false" outlineLevel="0" collapsed="false">
      <c r="A1373" s="5" t="s">
        <v>13423</v>
      </c>
      <c r="B1373" s="5" t="s">
        <v>1400</v>
      </c>
      <c r="C1373" s="5" t="s">
        <v>1401</v>
      </c>
      <c r="D1373" s="6" t="s">
        <v>45</v>
      </c>
      <c r="E1373" s="5" t="n">
        <v>8</v>
      </c>
      <c r="F1373" s="5" t="s">
        <v>13424</v>
      </c>
      <c r="G1373" s="13" t="s">
        <v>13425</v>
      </c>
      <c r="H1373" s="5" t="s">
        <v>13426</v>
      </c>
      <c r="I1373" s="13" t="s">
        <v>13427</v>
      </c>
      <c r="J1373" s="5" t="s">
        <v>13428</v>
      </c>
      <c r="K1373" s="5" t="s">
        <v>13429</v>
      </c>
      <c r="L1373" s="13" t="s">
        <v>13430</v>
      </c>
      <c r="M1373" s="13" t="s">
        <v>13431</v>
      </c>
      <c r="N1373" s="5" t="n">
        <f aca="false">LEN(L1373)</f>
        <v>25</v>
      </c>
      <c r="O1373" s="5" t="n">
        <f aca="false">LEN(M1373)</f>
        <v>25</v>
      </c>
      <c r="P1373" s="14" t="n">
        <f aca="false">IF(N1373=0,"",(N1373-LEN(SUBSTITUTE(SUBSTITUTE(L1373,"G",""),"C","")))/N1373)</f>
        <v>0.56</v>
      </c>
      <c r="Q1373" s="14" t="n">
        <f aca="false">IF(O1373=0,"",(O1373-LEN(SUBSTITUTE(SUBSTITUTE(M1373,"G",""),"C","")))/O1373)</f>
        <v>0.64</v>
      </c>
      <c r="R1373" s="5" t="s">
        <v>1405</v>
      </c>
      <c r="S1373" s="15" t="s">
        <v>1677</v>
      </c>
      <c r="T1373" s="5" t="n">
        <v>706</v>
      </c>
      <c r="U1373" s="5" t="s">
        <v>1678</v>
      </c>
      <c r="V1373" s="5" t="s">
        <v>1398</v>
      </c>
      <c r="W1373" s="5"/>
      <c r="X1373" s="5"/>
      <c r="Y1373" s="5"/>
    </row>
    <row r="1374" customFormat="false" ht="15" hidden="false" customHeight="false" outlineLevel="0" collapsed="false">
      <c r="A1374" s="5" t="s">
        <v>13432</v>
      </c>
      <c r="B1374" s="5" t="s">
        <v>1406</v>
      </c>
      <c r="C1374" s="5" t="s">
        <v>1407</v>
      </c>
      <c r="D1374" s="6" t="s">
        <v>45</v>
      </c>
      <c r="E1374" s="5" t="n">
        <v>1</v>
      </c>
      <c r="F1374" s="5" t="s">
        <v>13433</v>
      </c>
      <c r="G1374" s="13" t="s">
        <v>13434</v>
      </c>
      <c r="H1374" s="5" t="s">
        <v>13435</v>
      </c>
      <c r="I1374" s="13" t="s">
        <v>13436</v>
      </c>
      <c r="J1374" s="5" t="s">
        <v>13437</v>
      </c>
      <c r="K1374" s="5" t="s">
        <v>13438</v>
      </c>
      <c r="L1374" s="13" t="s">
        <v>13439</v>
      </c>
      <c r="M1374" s="13" t="s">
        <v>13440</v>
      </c>
      <c r="N1374" s="5" t="n">
        <f aca="false">LEN(L1374)</f>
        <v>25</v>
      </c>
      <c r="O1374" s="5" t="n">
        <f aca="false">LEN(M1374)</f>
        <v>25</v>
      </c>
      <c r="P1374" s="14" t="n">
        <f aca="false">IF(N1374=0,"",(N1374-LEN(SUBSTITUTE(SUBSTITUTE(L1374,"G",""),"C","")))/N1374)</f>
        <v>0.48</v>
      </c>
      <c r="Q1374" s="14" t="n">
        <f aca="false">IF(O1374=0,"",(O1374-LEN(SUBSTITUTE(SUBSTITUTE(M1374,"G",""),"C","")))/O1374)</f>
        <v>0.48</v>
      </c>
      <c r="R1374" s="5" t="s">
        <v>1411</v>
      </c>
      <c r="S1374" s="15" t="s">
        <v>1677</v>
      </c>
      <c r="T1374" s="5" t="n">
        <v>146</v>
      </c>
      <c r="U1374" s="5" t="s">
        <v>1678</v>
      </c>
      <c r="V1374" s="5" t="s">
        <v>1398</v>
      </c>
      <c r="W1374" s="5"/>
      <c r="X1374" s="5"/>
      <c r="Y1374" s="5"/>
    </row>
    <row r="1375" customFormat="false" ht="15" hidden="false" customHeight="false" outlineLevel="0" collapsed="false">
      <c r="A1375" s="5" t="s">
        <v>13441</v>
      </c>
      <c r="B1375" s="5" t="s">
        <v>1406</v>
      </c>
      <c r="C1375" s="5" t="s">
        <v>1407</v>
      </c>
      <c r="D1375" s="6" t="s">
        <v>45</v>
      </c>
      <c r="E1375" s="5" t="n">
        <v>2</v>
      </c>
      <c r="F1375" s="5" t="s">
        <v>13442</v>
      </c>
      <c r="G1375" s="13" t="s">
        <v>13443</v>
      </c>
      <c r="H1375" s="5" t="s">
        <v>13444</v>
      </c>
      <c r="I1375" s="13" t="s">
        <v>13445</v>
      </c>
      <c r="J1375" s="5" t="s">
        <v>13446</v>
      </c>
      <c r="K1375" s="5" t="s">
        <v>13447</v>
      </c>
      <c r="L1375" s="13" t="s">
        <v>13448</v>
      </c>
      <c r="M1375" s="13" t="s">
        <v>13449</v>
      </c>
      <c r="N1375" s="5" t="n">
        <f aca="false">LEN(L1375)</f>
        <v>25</v>
      </c>
      <c r="O1375" s="5" t="n">
        <f aca="false">LEN(M1375)</f>
        <v>25</v>
      </c>
      <c r="P1375" s="14" t="n">
        <f aca="false">IF(N1375=0,"",(N1375-LEN(SUBSTITUTE(SUBSTITUTE(L1375,"G",""),"C","")))/N1375)</f>
        <v>0.56</v>
      </c>
      <c r="Q1375" s="14" t="n">
        <f aca="false">IF(O1375=0,"",(O1375-LEN(SUBSTITUTE(SUBSTITUTE(M1375,"G",""),"C","")))/O1375)</f>
        <v>0.56</v>
      </c>
      <c r="R1375" s="5" t="s">
        <v>1411</v>
      </c>
      <c r="S1375" s="15" t="s">
        <v>1677</v>
      </c>
      <c r="T1375" s="5" t="n">
        <v>216</v>
      </c>
      <c r="U1375" s="5" t="s">
        <v>1678</v>
      </c>
      <c r="V1375" s="5" t="s">
        <v>1398</v>
      </c>
      <c r="W1375" s="5"/>
      <c r="X1375" s="5"/>
      <c r="Y1375" s="5"/>
    </row>
    <row r="1376" customFormat="false" ht="15" hidden="false" customHeight="false" outlineLevel="0" collapsed="false">
      <c r="A1376" s="5" t="s">
        <v>13450</v>
      </c>
      <c r="B1376" s="5" t="s">
        <v>1406</v>
      </c>
      <c r="C1376" s="5" t="s">
        <v>1407</v>
      </c>
      <c r="D1376" s="6" t="s">
        <v>45</v>
      </c>
      <c r="E1376" s="5" t="n">
        <v>3</v>
      </c>
      <c r="F1376" s="5" t="s">
        <v>13451</v>
      </c>
      <c r="G1376" s="13" t="s">
        <v>13452</v>
      </c>
      <c r="H1376" s="5" t="s">
        <v>13453</v>
      </c>
      <c r="I1376" s="13" t="s">
        <v>13454</v>
      </c>
      <c r="J1376" s="5" t="s">
        <v>13455</v>
      </c>
      <c r="K1376" s="5" t="s">
        <v>13456</v>
      </c>
      <c r="L1376" s="13" t="s">
        <v>13457</v>
      </c>
      <c r="M1376" s="13" t="s">
        <v>13458</v>
      </c>
      <c r="N1376" s="5" t="n">
        <f aca="false">LEN(L1376)</f>
        <v>25</v>
      </c>
      <c r="O1376" s="5" t="n">
        <f aca="false">LEN(M1376)</f>
        <v>25</v>
      </c>
      <c r="P1376" s="14" t="n">
        <f aca="false">IF(N1376=0,"",(N1376-LEN(SUBSTITUTE(SUBSTITUTE(L1376,"G",""),"C","")))/N1376)</f>
        <v>0.44</v>
      </c>
      <c r="Q1376" s="14" t="n">
        <f aca="false">IF(O1376=0,"",(O1376-LEN(SUBSTITUTE(SUBSTITUTE(M1376,"G",""),"C","")))/O1376)</f>
        <v>0.52</v>
      </c>
      <c r="R1376" s="5" t="s">
        <v>1411</v>
      </c>
      <c r="S1376" s="15" t="s">
        <v>1677</v>
      </c>
      <c r="T1376" s="5" t="n">
        <v>286</v>
      </c>
      <c r="U1376" s="5" t="s">
        <v>1678</v>
      </c>
      <c r="V1376" s="5" t="s">
        <v>1398</v>
      </c>
      <c r="W1376" s="5"/>
      <c r="X1376" s="5"/>
      <c r="Y1376" s="5"/>
    </row>
    <row r="1377" customFormat="false" ht="15" hidden="false" customHeight="false" outlineLevel="0" collapsed="false">
      <c r="A1377" s="5" t="s">
        <v>13459</v>
      </c>
      <c r="B1377" s="5" t="s">
        <v>1406</v>
      </c>
      <c r="C1377" s="5" t="s">
        <v>1407</v>
      </c>
      <c r="D1377" s="6" t="s">
        <v>45</v>
      </c>
      <c r="E1377" s="5" t="n">
        <v>4</v>
      </c>
      <c r="F1377" s="5" t="s">
        <v>13460</v>
      </c>
      <c r="G1377" s="13" t="s">
        <v>13461</v>
      </c>
      <c r="H1377" s="5" t="s">
        <v>13462</v>
      </c>
      <c r="I1377" s="13" t="s">
        <v>13463</v>
      </c>
      <c r="J1377" s="5" t="s">
        <v>13464</v>
      </c>
      <c r="K1377" s="5" t="s">
        <v>13465</v>
      </c>
      <c r="L1377" s="13" t="s">
        <v>13466</v>
      </c>
      <c r="M1377" s="13" t="s">
        <v>13467</v>
      </c>
      <c r="N1377" s="5" t="n">
        <f aca="false">LEN(L1377)</f>
        <v>25</v>
      </c>
      <c r="O1377" s="5" t="n">
        <f aca="false">LEN(M1377)</f>
        <v>25</v>
      </c>
      <c r="P1377" s="14" t="n">
        <f aca="false">IF(N1377=0,"",(N1377-LEN(SUBSTITUTE(SUBSTITUTE(L1377,"G",""),"C","")))/N1377)</f>
        <v>0.56</v>
      </c>
      <c r="Q1377" s="14" t="n">
        <f aca="false">IF(O1377=0,"",(O1377-LEN(SUBSTITUTE(SUBSTITUTE(M1377,"G",""),"C","")))/O1377)</f>
        <v>0.4</v>
      </c>
      <c r="R1377" s="5" t="s">
        <v>1411</v>
      </c>
      <c r="S1377" s="15" t="s">
        <v>1677</v>
      </c>
      <c r="T1377" s="5" t="n">
        <v>356</v>
      </c>
      <c r="U1377" s="5" t="s">
        <v>1678</v>
      </c>
      <c r="V1377" s="5" t="s">
        <v>1398</v>
      </c>
      <c r="W1377" s="5"/>
      <c r="X1377" s="5"/>
      <c r="Y1377" s="5"/>
    </row>
    <row r="1378" customFormat="false" ht="15" hidden="false" customHeight="false" outlineLevel="0" collapsed="false">
      <c r="A1378" s="5" t="s">
        <v>13468</v>
      </c>
      <c r="B1378" s="5" t="s">
        <v>1406</v>
      </c>
      <c r="C1378" s="5" t="s">
        <v>1407</v>
      </c>
      <c r="D1378" s="6" t="s">
        <v>45</v>
      </c>
      <c r="E1378" s="5" t="n">
        <v>5</v>
      </c>
      <c r="F1378" s="5" t="s">
        <v>13469</v>
      </c>
      <c r="G1378" s="13" t="s">
        <v>13470</v>
      </c>
      <c r="H1378" s="5" t="s">
        <v>13471</v>
      </c>
      <c r="I1378" s="13" t="s">
        <v>13472</v>
      </c>
      <c r="J1378" s="5" t="s">
        <v>13473</v>
      </c>
      <c r="K1378" s="5" t="s">
        <v>13474</v>
      </c>
      <c r="L1378" s="13" t="s">
        <v>13475</v>
      </c>
      <c r="M1378" s="13" t="s">
        <v>13476</v>
      </c>
      <c r="N1378" s="5" t="n">
        <f aca="false">LEN(L1378)</f>
        <v>25</v>
      </c>
      <c r="O1378" s="5" t="n">
        <f aca="false">LEN(M1378)</f>
        <v>25</v>
      </c>
      <c r="P1378" s="14" t="n">
        <f aca="false">IF(N1378=0,"",(N1378-LEN(SUBSTITUTE(SUBSTITUTE(L1378,"G",""),"C","")))/N1378)</f>
        <v>0.44</v>
      </c>
      <c r="Q1378" s="14" t="n">
        <f aca="false">IF(O1378=0,"",(O1378-LEN(SUBSTITUTE(SUBSTITUTE(M1378,"G",""),"C","")))/O1378)</f>
        <v>0.52</v>
      </c>
      <c r="R1378" s="5" t="s">
        <v>1411</v>
      </c>
      <c r="S1378" s="15" t="s">
        <v>1677</v>
      </c>
      <c r="T1378" s="5" t="n">
        <v>426</v>
      </c>
      <c r="U1378" s="5" t="s">
        <v>1678</v>
      </c>
      <c r="V1378" s="5" t="s">
        <v>1398</v>
      </c>
      <c r="W1378" s="5"/>
      <c r="X1378" s="5"/>
      <c r="Y1378" s="5"/>
    </row>
    <row r="1379" customFormat="false" ht="15" hidden="false" customHeight="false" outlineLevel="0" collapsed="false">
      <c r="A1379" s="5" t="s">
        <v>13477</v>
      </c>
      <c r="B1379" s="5" t="s">
        <v>1406</v>
      </c>
      <c r="C1379" s="5" t="s">
        <v>1407</v>
      </c>
      <c r="D1379" s="6" t="s">
        <v>45</v>
      </c>
      <c r="E1379" s="5" t="n">
        <v>6</v>
      </c>
      <c r="F1379" s="5" t="s">
        <v>13478</v>
      </c>
      <c r="G1379" s="13" t="s">
        <v>13479</v>
      </c>
      <c r="H1379" s="5" t="s">
        <v>13480</v>
      </c>
      <c r="I1379" s="13" t="s">
        <v>13481</v>
      </c>
      <c r="J1379" s="5" t="s">
        <v>13482</v>
      </c>
      <c r="K1379" s="5" t="s">
        <v>13483</v>
      </c>
      <c r="L1379" s="13" t="s">
        <v>13484</v>
      </c>
      <c r="M1379" s="13" t="s">
        <v>13485</v>
      </c>
      <c r="N1379" s="5" t="n">
        <f aca="false">LEN(L1379)</f>
        <v>25</v>
      </c>
      <c r="O1379" s="5" t="n">
        <f aca="false">LEN(M1379)</f>
        <v>25</v>
      </c>
      <c r="P1379" s="14" t="n">
        <f aca="false">IF(N1379=0,"",(N1379-LEN(SUBSTITUTE(SUBSTITUTE(L1379,"G",""),"C","")))/N1379)</f>
        <v>0.52</v>
      </c>
      <c r="Q1379" s="14" t="n">
        <f aca="false">IF(O1379=0,"",(O1379-LEN(SUBSTITUTE(SUBSTITUTE(M1379,"G",""),"C","")))/O1379)</f>
        <v>0.48</v>
      </c>
      <c r="R1379" s="5" t="s">
        <v>1411</v>
      </c>
      <c r="S1379" s="15" t="s">
        <v>1677</v>
      </c>
      <c r="T1379" s="5" t="n">
        <v>496</v>
      </c>
      <c r="U1379" s="5" t="s">
        <v>1678</v>
      </c>
      <c r="V1379" s="5" t="s">
        <v>1398</v>
      </c>
      <c r="W1379" s="5"/>
      <c r="X1379" s="5"/>
      <c r="Y1379" s="5"/>
    </row>
    <row r="1380" customFormat="false" ht="15" hidden="false" customHeight="false" outlineLevel="0" collapsed="false">
      <c r="A1380" s="5" t="s">
        <v>13486</v>
      </c>
      <c r="B1380" s="5" t="s">
        <v>1406</v>
      </c>
      <c r="C1380" s="5" t="s">
        <v>1407</v>
      </c>
      <c r="D1380" s="6" t="s">
        <v>45</v>
      </c>
      <c r="E1380" s="5" t="n">
        <v>7</v>
      </c>
      <c r="F1380" s="5" t="s">
        <v>13487</v>
      </c>
      <c r="G1380" s="13" t="s">
        <v>13488</v>
      </c>
      <c r="H1380" s="5" t="s">
        <v>13489</v>
      </c>
      <c r="I1380" s="13" t="s">
        <v>13490</v>
      </c>
      <c r="J1380" s="5" t="s">
        <v>13491</v>
      </c>
      <c r="K1380" s="5" t="s">
        <v>13492</v>
      </c>
      <c r="L1380" s="13" t="s">
        <v>13493</v>
      </c>
      <c r="M1380" s="13" t="s">
        <v>13494</v>
      </c>
      <c r="N1380" s="5" t="n">
        <f aca="false">LEN(L1380)</f>
        <v>25</v>
      </c>
      <c r="O1380" s="5" t="n">
        <f aca="false">LEN(M1380)</f>
        <v>25</v>
      </c>
      <c r="P1380" s="14" t="n">
        <f aca="false">IF(N1380=0,"",(N1380-LEN(SUBSTITUTE(SUBSTITUTE(L1380,"G",""),"C","")))/N1380)</f>
        <v>0.48</v>
      </c>
      <c r="Q1380" s="14" t="n">
        <f aca="false">IF(O1380=0,"",(O1380-LEN(SUBSTITUTE(SUBSTITUTE(M1380,"G",""),"C","")))/O1380)</f>
        <v>0.44</v>
      </c>
      <c r="R1380" s="5" t="s">
        <v>1411</v>
      </c>
      <c r="S1380" s="15" t="s">
        <v>1677</v>
      </c>
      <c r="T1380" s="5" t="n">
        <v>566</v>
      </c>
      <c r="U1380" s="5" t="s">
        <v>1678</v>
      </c>
      <c r="V1380" s="5" t="s">
        <v>1398</v>
      </c>
      <c r="W1380" s="5"/>
      <c r="X1380" s="5"/>
      <c r="Y1380" s="5"/>
    </row>
    <row r="1381" customFormat="false" ht="15" hidden="false" customHeight="false" outlineLevel="0" collapsed="false">
      <c r="A1381" s="5" t="s">
        <v>13495</v>
      </c>
      <c r="B1381" s="5" t="s">
        <v>1406</v>
      </c>
      <c r="C1381" s="5" t="s">
        <v>1407</v>
      </c>
      <c r="D1381" s="6" t="s">
        <v>45</v>
      </c>
      <c r="E1381" s="5" t="n">
        <v>8</v>
      </c>
      <c r="F1381" s="5" t="s">
        <v>13496</v>
      </c>
      <c r="G1381" s="13" t="s">
        <v>13497</v>
      </c>
      <c r="H1381" s="5" t="s">
        <v>13498</v>
      </c>
      <c r="I1381" s="13" t="s">
        <v>13499</v>
      </c>
      <c r="J1381" s="5" t="s">
        <v>13500</v>
      </c>
      <c r="K1381" s="5" t="s">
        <v>13501</v>
      </c>
      <c r="L1381" s="13" t="s">
        <v>13502</v>
      </c>
      <c r="M1381" s="13" t="s">
        <v>13503</v>
      </c>
      <c r="N1381" s="5" t="n">
        <f aca="false">LEN(L1381)</f>
        <v>25</v>
      </c>
      <c r="O1381" s="5" t="n">
        <f aca="false">LEN(M1381)</f>
        <v>25</v>
      </c>
      <c r="P1381" s="14" t="n">
        <f aca="false">IF(N1381=0,"",(N1381-LEN(SUBSTITUTE(SUBSTITUTE(L1381,"G",""),"C","")))/N1381)</f>
        <v>0.44</v>
      </c>
      <c r="Q1381" s="14" t="n">
        <f aca="false">IF(O1381=0,"",(O1381-LEN(SUBSTITUTE(SUBSTITUTE(M1381,"G",""),"C","")))/O1381)</f>
        <v>0.52</v>
      </c>
      <c r="R1381" s="5" t="s">
        <v>1411</v>
      </c>
      <c r="S1381" s="15" t="s">
        <v>1677</v>
      </c>
      <c r="T1381" s="5" t="n">
        <v>636</v>
      </c>
      <c r="U1381" s="5" t="s">
        <v>1678</v>
      </c>
      <c r="V1381" s="5" t="s">
        <v>1398</v>
      </c>
      <c r="W1381" s="5"/>
      <c r="X1381" s="5"/>
      <c r="Y1381" s="5"/>
    </row>
    <row r="1382" customFormat="false" ht="15" hidden="false" customHeight="false" outlineLevel="0" collapsed="false">
      <c r="A1382" s="5" t="s">
        <v>13504</v>
      </c>
      <c r="B1382" s="5" t="s">
        <v>1412</v>
      </c>
      <c r="C1382" s="5" t="s">
        <v>1413</v>
      </c>
      <c r="D1382" s="6" t="s">
        <v>45</v>
      </c>
      <c r="E1382" s="5" t="n">
        <v>1</v>
      </c>
      <c r="F1382" s="5" t="s">
        <v>13505</v>
      </c>
      <c r="G1382" s="13" t="s">
        <v>13506</v>
      </c>
      <c r="H1382" s="5" t="s">
        <v>13507</v>
      </c>
      <c r="I1382" s="13" t="s">
        <v>13508</v>
      </c>
      <c r="J1382" s="5" t="s">
        <v>13509</v>
      </c>
      <c r="K1382" s="5" t="s">
        <v>13510</v>
      </c>
      <c r="L1382" s="13" t="s">
        <v>13511</v>
      </c>
      <c r="M1382" s="13" t="s">
        <v>13512</v>
      </c>
      <c r="N1382" s="5" t="n">
        <f aca="false">LEN(L1382)</f>
        <v>25</v>
      </c>
      <c r="O1382" s="5" t="n">
        <f aca="false">LEN(M1382)</f>
        <v>25</v>
      </c>
      <c r="P1382" s="14" t="n">
        <f aca="false">IF(N1382=0,"",(N1382-LEN(SUBSTITUTE(SUBSTITUTE(L1382,"G",""),"C","")))/N1382)</f>
        <v>0.6</v>
      </c>
      <c r="Q1382" s="14" t="n">
        <f aca="false">IF(O1382=0,"",(O1382-LEN(SUBSTITUTE(SUBSTITUTE(M1382,"G",""),"C","")))/O1382)</f>
        <v>0.68</v>
      </c>
      <c r="R1382" s="5" t="s">
        <v>1418</v>
      </c>
      <c r="S1382" s="15" t="s">
        <v>1677</v>
      </c>
      <c r="T1382" s="5" t="n">
        <v>216</v>
      </c>
      <c r="U1382" s="5" t="s">
        <v>1678</v>
      </c>
      <c r="V1382" s="5" t="s">
        <v>1398</v>
      </c>
      <c r="W1382" s="5"/>
      <c r="X1382" s="5"/>
      <c r="Y1382" s="5"/>
    </row>
    <row r="1383" customFormat="false" ht="15" hidden="false" customHeight="false" outlineLevel="0" collapsed="false">
      <c r="A1383" s="5" t="s">
        <v>13513</v>
      </c>
      <c r="B1383" s="5" t="s">
        <v>1412</v>
      </c>
      <c r="C1383" s="5" t="s">
        <v>1413</v>
      </c>
      <c r="D1383" s="6" t="s">
        <v>45</v>
      </c>
      <c r="E1383" s="5" t="n">
        <v>2</v>
      </c>
      <c r="F1383" s="5" t="s">
        <v>13514</v>
      </c>
      <c r="G1383" s="13" t="s">
        <v>13515</v>
      </c>
      <c r="H1383" s="5" t="s">
        <v>13516</v>
      </c>
      <c r="I1383" s="13" t="s">
        <v>13517</v>
      </c>
      <c r="J1383" s="5" t="s">
        <v>13518</v>
      </c>
      <c r="K1383" s="5" t="s">
        <v>13519</v>
      </c>
      <c r="L1383" s="13" t="s">
        <v>13520</v>
      </c>
      <c r="M1383" s="13" t="s">
        <v>13521</v>
      </c>
      <c r="N1383" s="5" t="n">
        <f aca="false">LEN(L1383)</f>
        <v>25</v>
      </c>
      <c r="O1383" s="5" t="n">
        <f aca="false">LEN(M1383)</f>
        <v>25</v>
      </c>
      <c r="P1383" s="14" t="n">
        <f aca="false">IF(N1383=0,"",(N1383-LEN(SUBSTITUTE(SUBSTITUTE(L1383,"G",""),"C","")))/N1383)</f>
        <v>0.64</v>
      </c>
      <c r="Q1383" s="14" t="n">
        <f aca="false">IF(O1383=0,"",(O1383-LEN(SUBSTITUTE(SUBSTITUTE(M1383,"G",""),"C","")))/O1383)</f>
        <v>0.68</v>
      </c>
      <c r="R1383" s="5" t="s">
        <v>1418</v>
      </c>
      <c r="S1383" s="15" t="s">
        <v>1677</v>
      </c>
      <c r="T1383" s="5" t="n">
        <v>286</v>
      </c>
      <c r="U1383" s="5" t="s">
        <v>1678</v>
      </c>
      <c r="V1383" s="5" t="s">
        <v>1398</v>
      </c>
      <c r="W1383" s="5"/>
      <c r="X1383" s="5"/>
      <c r="Y1383" s="5"/>
    </row>
    <row r="1384" customFormat="false" ht="15" hidden="false" customHeight="false" outlineLevel="0" collapsed="false">
      <c r="A1384" s="5" t="s">
        <v>13522</v>
      </c>
      <c r="B1384" s="5" t="s">
        <v>1412</v>
      </c>
      <c r="C1384" s="5" t="s">
        <v>1413</v>
      </c>
      <c r="D1384" s="6" t="s">
        <v>45</v>
      </c>
      <c r="E1384" s="5" t="n">
        <v>3</v>
      </c>
      <c r="F1384" s="5" t="s">
        <v>13523</v>
      </c>
      <c r="G1384" s="13" t="s">
        <v>13524</v>
      </c>
      <c r="H1384" s="5" t="s">
        <v>13525</v>
      </c>
      <c r="I1384" s="13" t="s">
        <v>13526</v>
      </c>
      <c r="J1384" s="5" t="s">
        <v>13527</v>
      </c>
      <c r="K1384" s="5" t="s">
        <v>13528</v>
      </c>
      <c r="L1384" s="13" t="s">
        <v>13529</v>
      </c>
      <c r="M1384" s="13" t="s">
        <v>13530</v>
      </c>
      <c r="N1384" s="5" t="n">
        <f aca="false">LEN(L1384)</f>
        <v>25</v>
      </c>
      <c r="O1384" s="5" t="n">
        <f aca="false">LEN(M1384)</f>
        <v>25</v>
      </c>
      <c r="P1384" s="14" t="n">
        <f aca="false">IF(N1384=0,"",(N1384-LEN(SUBSTITUTE(SUBSTITUTE(L1384,"G",""),"C","")))/N1384)</f>
        <v>0.52</v>
      </c>
      <c r="Q1384" s="14" t="n">
        <f aca="false">IF(O1384=0,"",(O1384-LEN(SUBSTITUTE(SUBSTITUTE(M1384,"G",""),"C","")))/O1384)</f>
        <v>0.48</v>
      </c>
      <c r="R1384" s="5" t="s">
        <v>1418</v>
      </c>
      <c r="S1384" s="15" t="s">
        <v>1677</v>
      </c>
      <c r="T1384" s="5" t="n">
        <v>356</v>
      </c>
      <c r="U1384" s="5" t="s">
        <v>1678</v>
      </c>
      <c r="V1384" s="5" t="s">
        <v>1398</v>
      </c>
      <c r="W1384" s="5"/>
      <c r="X1384" s="5"/>
      <c r="Y1384" s="5"/>
    </row>
    <row r="1385" customFormat="false" ht="15" hidden="false" customHeight="false" outlineLevel="0" collapsed="false">
      <c r="A1385" s="5" t="s">
        <v>13531</v>
      </c>
      <c r="B1385" s="5" t="s">
        <v>1412</v>
      </c>
      <c r="C1385" s="5" t="s">
        <v>1413</v>
      </c>
      <c r="D1385" s="6" t="s">
        <v>45</v>
      </c>
      <c r="E1385" s="5" t="n">
        <v>4</v>
      </c>
      <c r="F1385" s="5" t="s">
        <v>13532</v>
      </c>
      <c r="G1385" s="13" t="s">
        <v>13533</v>
      </c>
      <c r="H1385" s="5" t="s">
        <v>13534</v>
      </c>
      <c r="I1385" s="13" t="s">
        <v>13535</v>
      </c>
      <c r="J1385" s="5" t="s">
        <v>13536</v>
      </c>
      <c r="K1385" s="5" t="s">
        <v>13537</v>
      </c>
      <c r="L1385" s="13" t="s">
        <v>13538</v>
      </c>
      <c r="M1385" s="13" t="s">
        <v>13539</v>
      </c>
      <c r="N1385" s="5" t="n">
        <f aca="false">LEN(L1385)</f>
        <v>25</v>
      </c>
      <c r="O1385" s="5" t="n">
        <f aca="false">LEN(M1385)</f>
        <v>25</v>
      </c>
      <c r="P1385" s="14" t="n">
        <f aca="false">IF(N1385=0,"",(N1385-LEN(SUBSTITUTE(SUBSTITUTE(L1385,"G",""),"C","")))/N1385)</f>
        <v>0.6</v>
      </c>
      <c r="Q1385" s="14" t="n">
        <f aca="false">IF(O1385=0,"",(O1385-LEN(SUBSTITUTE(SUBSTITUTE(M1385,"G",""),"C","")))/O1385)</f>
        <v>0.48</v>
      </c>
      <c r="R1385" s="5" t="s">
        <v>1418</v>
      </c>
      <c r="S1385" s="15" t="s">
        <v>1677</v>
      </c>
      <c r="T1385" s="5" t="n">
        <v>426</v>
      </c>
      <c r="U1385" s="5" t="s">
        <v>1678</v>
      </c>
      <c r="V1385" s="5" t="s">
        <v>1398</v>
      </c>
      <c r="W1385" s="5"/>
      <c r="X1385" s="5"/>
      <c r="Y1385" s="5"/>
    </row>
    <row r="1386" customFormat="false" ht="15" hidden="false" customHeight="false" outlineLevel="0" collapsed="false">
      <c r="A1386" s="5" t="s">
        <v>13540</v>
      </c>
      <c r="B1386" s="5" t="s">
        <v>1412</v>
      </c>
      <c r="C1386" s="5" t="s">
        <v>1413</v>
      </c>
      <c r="D1386" s="6" t="s">
        <v>45</v>
      </c>
      <c r="E1386" s="5" t="n">
        <v>5</v>
      </c>
      <c r="F1386" s="5" t="s">
        <v>13541</v>
      </c>
      <c r="G1386" s="13" t="s">
        <v>13542</v>
      </c>
      <c r="H1386" s="5" t="s">
        <v>13543</v>
      </c>
      <c r="I1386" s="13" t="s">
        <v>13544</v>
      </c>
      <c r="J1386" s="5" t="s">
        <v>13545</v>
      </c>
      <c r="K1386" s="5" t="s">
        <v>13546</v>
      </c>
      <c r="L1386" s="13" t="s">
        <v>13547</v>
      </c>
      <c r="M1386" s="13" t="s">
        <v>13548</v>
      </c>
      <c r="N1386" s="5" t="n">
        <f aca="false">LEN(L1386)</f>
        <v>25</v>
      </c>
      <c r="O1386" s="5" t="n">
        <f aca="false">LEN(M1386)</f>
        <v>25</v>
      </c>
      <c r="P1386" s="14" t="n">
        <f aca="false">IF(N1386=0,"",(N1386-LEN(SUBSTITUTE(SUBSTITUTE(L1386,"G",""),"C","")))/N1386)</f>
        <v>0.52</v>
      </c>
      <c r="Q1386" s="14" t="n">
        <f aca="false">IF(O1386=0,"",(O1386-LEN(SUBSTITUTE(SUBSTITUTE(M1386,"G",""),"C","")))/O1386)</f>
        <v>0.4</v>
      </c>
      <c r="R1386" s="5" t="s">
        <v>1418</v>
      </c>
      <c r="S1386" s="15" t="s">
        <v>1677</v>
      </c>
      <c r="T1386" s="5" t="n">
        <v>496</v>
      </c>
      <c r="U1386" s="5" t="s">
        <v>1678</v>
      </c>
      <c r="V1386" s="5" t="s">
        <v>1398</v>
      </c>
      <c r="W1386" s="5"/>
      <c r="X1386" s="5"/>
      <c r="Y1386" s="5"/>
    </row>
    <row r="1387" customFormat="false" ht="15" hidden="false" customHeight="false" outlineLevel="0" collapsed="false">
      <c r="A1387" s="5" t="s">
        <v>13549</v>
      </c>
      <c r="B1387" s="5" t="s">
        <v>1412</v>
      </c>
      <c r="C1387" s="5" t="s">
        <v>1413</v>
      </c>
      <c r="D1387" s="6" t="s">
        <v>45</v>
      </c>
      <c r="E1387" s="5" t="n">
        <v>6</v>
      </c>
      <c r="F1387" s="5" t="s">
        <v>13550</v>
      </c>
      <c r="G1387" s="13" t="s">
        <v>13551</v>
      </c>
      <c r="H1387" s="5" t="s">
        <v>13552</v>
      </c>
      <c r="I1387" s="13" t="s">
        <v>13553</v>
      </c>
      <c r="J1387" s="5" t="s">
        <v>13554</v>
      </c>
      <c r="K1387" s="5" t="s">
        <v>13555</v>
      </c>
      <c r="L1387" s="13" t="s">
        <v>13556</v>
      </c>
      <c r="M1387" s="13" t="s">
        <v>13557</v>
      </c>
      <c r="N1387" s="5" t="n">
        <f aca="false">LEN(L1387)</f>
        <v>25</v>
      </c>
      <c r="O1387" s="5" t="n">
        <f aca="false">LEN(M1387)</f>
        <v>25</v>
      </c>
      <c r="P1387" s="14" t="n">
        <f aca="false">IF(N1387=0,"",(N1387-LEN(SUBSTITUTE(SUBSTITUTE(L1387,"G",""),"C","")))/N1387)</f>
        <v>0.52</v>
      </c>
      <c r="Q1387" s="14" t="n">
        <f aca="false">IF(O1387=0,"",(O1387-LEN(SUBSTITUTE(SUBSTITUTE(M1387,"G",""),"C","")))/O1387)</f>
        <v>0.48</v>
      </c>
      <c r="R1387" s="5" t="s">
        <v>1418</v>
      </c>
      <c r="S1387" s="15" t="s">
        <v>1677</v>
      </c>
      <c r="T1387" s="5" t="n">
        <v>566</v>
      </c>
      <c r="U1387" s="5" t="s">
        <v>1678</v>
      </c>
      <c r="V1387" s="5" t="s">
        <v>1398</v>
      </c>
      <c r="W1387" s="5"/>
      <c r="X1387" s="5"/>
      <c r="Y1387" s="5"/>
    </row>
    <row r="1388" customFormat="false" ht="15" hidden="false" customHeight="false" outlineLevel="0" collapsed="false">
      <c r="A1388" s="5" t="s">
        <v>13558</v>
      </c>
      <c r="B1388" s="5" t="s">
        <v>1419</v>
      </c>
      <c r="C1388" s="5" t="s">
        <v>1420</v>
      </c>
      <c r="D1388" s="6" t="s">
        <v>45</v>
      </c>
      <c r="E1388" s="5" t="n">
        <v>1</v>
      </c>
      <c r="F1388" s="5" t="s">
        <v>13559</v>
      </c>
      <c r="G1388" s="13" t="s">
        <v>13560</v>
      </c>
      <c r="H1388" s="5" t="s">
        <v>13561</v>
      </c>
      <c r="I1388" s="13" t="s">
        <v>13562</v>
      </c>
      <c r="J1388" s="5" t="s">
        <v>13563</v>
      </c>
      <c r="K1388" s="5" t="s">
        <v>13564</v>
      </c>
      <c r="L1388" s="13" t="s">
        <v>13565</v>
      </c>
      <c r="M1388" s="13" t="s">
        <v>13566</v>
      </c>
      <c r="N1388" s="5" t="n">
        <f aca="false">LEN(L1388)</f>
        <v>25</v>
      </c>
      <c r="O1388" s="5" t="n">
        <f aca="false">LEN(M1388)</f>
        <v>25</v>
      </c>
      <c r="P1388" s="14" t="n">
        <f aca="false">IF(N1388=0,"",(N1388-LEN(SUBSTITUTE(SUBSTITUTE(L1388,"G",""),"C","")))/N1388)</f>
        <v>0.6</v>
      </c>
      <c r="Q1388" s="14" t="n">
        <f aca="false">IF(O1388=0,"",(O1388-LEN(SUBSTITUTE(SUBSTITUTE(M1388,"G",""),"C","")))/O1388)</f>
        <v>0.52</v>
      </c>
      <c r="R1388" s="5" t="s">
        <v>1425</v>
      </c>
      <c r="S1388" s="15" t="s">
        <v>1677</v>
      </c>
      <c r="T1388" s="5" t="n">
        <v>146</v>
      </c>
      <c r="U1388" s="5" t="s">
        <v>1678</v>
      </c>
      <c r="V1388" s="5" t="s">
        <v>1398</v>
      </c>
      <c r="W1388" s="5"/>
      <c r="X1388" s="5"/>
      <c r="Y1388" s="5"/>
    </row>
    <row r="1389" customFormat="false" ht="15" hidden="false" customHeight="false" outlineLevel="0" collapsed="false">
      <c r="A1389" s="5" t="s">
        <v>13567</v>
      </c>
      <c r="B1389" s="5" t="s">
        <v>1419</v>
      </c>
      <c r="C1389" s="5" t="s">
        <v>1420</v>
      </c>
      <c r="D1389" s="6" t="s">
        <v>45</v>
      </c>
      <c r="E1389" s="5" t="n">
        <v>2</v>
      </c>
      <c r="F1389" s="5" t="s">
        <v>13568</v>
      </c>
      <c r="G1389" s="13" t="s">
        <v>13569</v>
      </c>
      <c r="H1389" s="5" t="s">
        <v>13570</v>
      </c>
      <c r="I1389" s="13" t="s">
        <v>13571</v>
      </c>
      <c r="J1389" s="5" t="s">
        <v>13572</v>
      </c>
      <c r="K1389" s="5" t="s">
        <v>13573</v>
      </c>
      <c r="L1389" s="13" t="s">
        <v>13574</v>
      </c>
      <c r="M1389" s="13" t="s">
        <v>13575</v>
      </c>
      <c r="N1389" s="5" t="n">
        <f aca="false">LEN(L1389)</f>
        <v>25</v>
      </c>
      <c r="O1389" s="5" t="n">
        <f aca="false">LEN(M1389)</f>
        <v>25</v>
      </c>
      <c r="P1389" s="14" t="n">
        <f aca="false">IF(N1389=0,"",(N1389-LEN(SUBSTITUTE(SUBSTITUTE(L1389,"G",""),"C","")))/N1389)</f>
        <v>0.48</v>
      </c>
      <c r="Q1389" s="14" t="n">
        <f aca="false">IF(O1389=0,"",(O1389-LEN(SUBSTITUTE(SUBSTITUTE(M1389,"G",""),"C","")))/O1389)</f>
        <v>0.56</v>
      </c>
      <c r="R1389" s="5" t="s">
        <v>1425</v>
      </c>
      <c r="S1389" s="15" t="s">
        <v>1677</v>
      </c>
      <c r="T1389" s="5" t="n">
        <v>216</v>
      </c>
      <c r="U1389" s="5" t="s">
        <v>1678</v>
      </c>
      <c r="V1389" s="5" t="s">
        <v>1398</v>
      </c>
      <c r="W1389" s="5"/>
      <c r="X1389" s="5"/>
      <c r="Y1389" s="5"/>
    </row>
    <row r="1390" customFormat="false" ht="15" hidden="false" customHeight="false" outlineLevel="0" collapsed="false">
      <c r="A1390" s="5" t="s">
        <v>13576</v>
      </c>
      <c r="B1390" s="5" t="s">
        <v>1419</v>
      </c>
      <c r="C1390" s="5" t="s">
        <v>1420</v>
      </c>
      <c r="D1390" s="6" t="s">
        <v>45</v>
      </c>
      <c r="E1390" s="5" t="n">
        <v>3</v>
      </c>
      <c r="F1390" s="5" t="s">
        <v>13577</v>
      </c>
      <c r="G1390" s="13" t="s">
        <v>13578</v>
      </c>
      <c r="H1390" s="5" t="s">
        <v>13579</v>
      </c>
      <c r="I1390" s="13" t="s">
        <v>13580</v>
      </c>
      <c r="J1390" s="5" t="s">
        <v>13581</v>
      </c>
      <c r="K1390" s="5" t="s">
        <v>13582</v>
      </c>
      <c r="L1390" s="13" t="s">
        <v>13583</v>
      </c>
      <c r="M1390" s="13" t="s">
        <v>13584</v>
      </c>
      <c r="N1390" s="5" t="n">
        <f aca="false">LEN(L1390)</f>
        <v>25</v>
      </c>
      <c r="O1390" s="5" t="n">
        <f aca="false">LEN(M1390)</f>
        <v>25</v>
      </c>
      <c r="P1390" s="14" t="n">
        <f aca="false">IF(N1390=0,"",(N1390-LEN(SUBSTITUTE(SUBSTITUTE(L1390,"G",""),"C","")))/N1390)</f>
        <v>0.6</v>
      </c>
      <c r="Q1390" s="14" t="n">
        <f aca="false">IF(O1390=0,"",(O1390-LEN(SUBSTITUTE(SUBSTITUTE(M1390,"G",""),"C","")))/O1390)</f>
        <v>0.4</v>
      </c>
      <c r="R1390" s="5" t="s">
        <v>1425</v>
      </c>
      <c r="S1390" s="15" t="s">
        <v>1677</v>
      </c>
      <c r="T1390" s="5" t="n">
        <v>286</v>
      </c>
      <c r="U1390" s="5" t="s">
        <v>1678</v>
      </c>
      <c r="V1390" s="5" t="s">
        <v>1398</v>
      </c>
      <c r="W1390" s="5"/>
      <c r="X1390" s="5"/>
      <c r="Y1390" s="5"/>
    </row>
    <row r="1391" customFormat="false" ht="15" hidden="false" customHeight="false" outlineLevel="0" collapsed="false">
      <c r="A1391" s="5" t="s">
        <v>13585</v>
      </c>
      <c r="B1391" s="5" t="s">
        <v>1419</v>
      </c>
      <c r="C1391" s="5" t="s">
        <v>1420</v>
      </c>
      <c r="D1391" s="6" t="s">
        <v>45</v>
      </c>
      <c r="E1391" s="5" t="n">
        <v>4</v>
      </c>
      <c r="F1391" s="5" t="s">
        <v>13586</v>
      </c>
      <c r="G1391" s="13" t="s">
        <v>13587</v>
      </c>
      <c r="H1391" s="5" t="s">
        <v>13588</v>
      </c>
      <c r="I1391" s="13" t="s">
        <v>13589</v>
      </c>
      <c r="J1391" s="5" t="s">
        <v>13590</v>
      </c>
      <c r="K1391" s="5" t="s">
        <v>13591</v>
      </c>
      <c r="L1391" s="13" t="s">
        <v>13592</v>
      </c>
      <c r="M1391" s="13" t="s">
        <v>13593</v>
      </c>
      <c r="N1391" s="5" t="n">
        <f aca="false">LEN(L1391)</f>
        <v>25</v>
      </c>
      <c r="O1391" s="5" t="n">
        <f aca="false">LEN(M1391)</f>
        <v>25</v>
      </c>
      <c r="P1391" s="14" t="n">
        <f aca="false">IF(N1391=0,"",(N1391-LEN(SUBSTITUTE(SUBSTITUTE(L1391,"G",""),"C","")))/N1391)</f>
        <v>0.36</v>
      </c>
      <c r="Q1391" s="14" t="n">
        <f aca="false">IF(O1391=0,"",(O1391-LEN(SUBSTITUTE(SUBSTITUTE(M1391,"G",""),"C","")))/O1391)</f>
        <v>0.4</v>
      </c>
      <c r="R1391" s="5" t="s">
        <v>1425</v>
      </c>
      <c r="S1391" s="15" t="s">
        <v>1677</v>
      </c>
      <c r="T1391" s="5" t="n">
        <v>356</v>
      </c>
      <c r="U1391" s="5" t="s">
        <v>1678</v>
      </c>
      <c r="V1391" s="5" t="s">
        <v>1398</v>
      </c>
      <c r="W1391" s="5"/>
      <c r="X1391" s="5"/>
      <c r="Y1391" s="5"/>
    </row>
    <row r="1392" customFormat="false" ht="15" hidden="false" customHeight="false" outlineLevel="0" collapsed="false">
      <c r="A1392" s="5" t="s">
        <v>13594</v>
      </c>
      <c r="B1392" s="5" t="s">
        <v>1419</v>
      </c>
      <c r="C1392" s="5" t="s">
        <v>1420</v>
      </c>
      <c r="D1392" s="6" t="s">
        <v>45</v>
      </c>
      <c r="E1392" s="5" t="n">
        <v>5</v>
      </c>
      <c r="F1392" s="5" t="s">
        <v>13595</v>
      </c>
      <c r="G1392" s="13" t="s">
        <v>13596</v>
      </c>
      <c r="H1392" s="5" t="s">
        <v>13597</v>
      </c>
      <c r="I1392" s="13" t="s">
        <v>13598</v>
      </c>
      <c r="J1392" s="5" t="s">
        <v>13599</v>
      </c>
      <c r="K1392" s="5" t="s">
        <v>13600</v>
      </c>
      <c r="L1392" s="13" t="s">
        <v>13601</v>
      </c>
      <c r="M1392" s="13" t="s">
        <v>13602</v>
      </c>
      <c r="N1392" s="5" t="n">
        <f aca="false">LEN(L1392)</f>
        <v>25</v>
      </c>
      <c r="O1392" s="5" t="n">
        <f aca="false">LEN(M1392)</f>
        <v>25</v>
      </c>
      <c r="P1392" s="14" t="n">
        <f aca="false">IF(N1392=0,"",(N1392-LEN(SUBSTITUTE(SUBSTITUTE(L1392,"G",""),"C","")))/N1392)</f>
        <v>0.44</v>
      </c>
      <c r="Q1392" s="14" t="n">
        <f aca="false">IF(O1392=0,"",(O1392-LEN(SUBSTITUTE(SUBSTITUTE(M1392,"G",""),"C","")))/O1392)</f>
        <v>0.4</v>
      </c>
      <c r="R1392" s="5" t="s">
        <v>1425</v>
      </c>
      <c r="S1392" s="15" t="s">
        <v>1677</v>
      </c>
      <c r="T1392" s="5" t="n">
        <v>426</v>
      </c>
      <c r="U1392" s="5" t="s">
        <v>1678</v>
      </c>
      <c r="V1392" s="5" t="s">
        <v>1398</v>
      </c>
      <c r="W1392" s="5"/>
      <c r="X1392" s="5"/>
      <c r="Y1392" s="5"/>
    </row>
    <row r="1393" customFormat="false" ht="15" hidden="false" customHeight="false" outlineLevel="0" collapsed="false">
      <c r="A1393" s="5" t="s">
        <v>13603</v>
      </c>
      <c r="B1393" s="5" t="s">
        <v>1419</v>
      </c>
      <c r="C1393" s="5" t="s">
        <v>1420</v>
      </c>
      <c r="D1393" s="6" t="s">
        <v>45</v>
      </c>
      <c r="E1393" s="5" t="n">
        <v>6</v>
      </c>
      <c r="F1393" s="5" t="s">
        <v>13604</v>
      </c>
      <c r="G1393" s="13" t="s">
        <v>13605</v>
      </c>
      <c r="H1393" s="5" t="s">
        <v>13606</v>
      </c>
      <c r="I1393" s="13" t="s">
        <v>13607</v>
      </c>
      <c r="J1393" s="5" t="s">
        <v>13608</v>
      </c>
      <c r="K1393" s="5" t="s">
        <v>13609</v>
      </c>
      <c r="L1393" s="13" t="s">
        <v>13610</v>
      </c>
      <c r="M1393" s="13" t="s">
        <v>13611</v>
      </c>
      <c r="N1393" s="5" t="n">
        <f aca="false">LEN(L1393)</f>
        <v>25</v>
      </c>
      <c r="O1393" s="5" t="n">
        <f aca="false">LEN(M1393)</f>
        <v>25</v>
      </c>
      <c r="P1393" s="14" t="n">
        <f aca="false">IF(N1393=0,"",(N1393-LEN(SUBSTITUTE(SUBSTITUTE(L1393,"G",""),"C","")))/N1393)</f>
        <v>0.36</v>
      </c>
      <c r="Q1393" s="14" t="n">
        <f aca="false">IF(O1393=0,"",(O1393-LEN(SUBSTITUTE(SUBSTITUTE(M1393,"G",""),"C","")))/O1393)</f>
        <v>0.4</v>
      </c>
      <c r="R1393" s="5" t="s">
        <v>1425</v>
      </c>
      <c r="S1393" s="15" t="s">
        <v>1677</v>
      </c>
      <c r="T1393" s="5" t="n">
        <v>496</v>
      </c>
      <c r="U1393" s="5" t="s">
        <v>1678</v>
      </c>
      <c r="V1393" s="5" t="s">
        <v>1398</v>
      </c>
      <c r="W1393" s="5"/>
      <c r="X1393" s="5"/>
      <c r="Y1393" s="5"/>
    </row>
    <row r="1394" customFormat="false" ht="15" hidden="false" customHeight="false" outlineLevel="0" collapsed="false">
      <c r="A1394" s="5" t="s">
        <v>13612</v>
      </c>
      <c r="B1394" s="5" t="s">
        <v>1419</v>
      </c>
      <c r="C1394" s="5" t="s">
        <v>1420</v>
      </c>
      <c r="D1394" s="6" t="s">
        <v>45</v>
      </c>
      <c r="E1394" s="5" t="n">
        <v>7</v>
      </c>
      <c r="F1394" s="5" t="s">
        <v>13613</v>
      </c>
      <c r="G1394" s="13" t="s">
        <v>13614</v>
      </c>
      <c r="H1394" s="5" t="s">
        <v>13615</v>
      </c>
      <c r="I1394" s="13" t="s">
        <v>13616</v>
      </c>
      <c r="J1394" s="5" t="s">
        <v>13617</v>
      </c>
      <c r="K1394" s="5" t="s">
        <v>13618</v>
      </c>
      <c r="L1394" s="13" t="s">
        <v>13619</v>
      </c>
      <c r="M1394" s="13" t="s">
        <v>13620</v>
      </c>
      <c r="N1394" s="5" t="n">
        <f aca="false">LEN(L1394)</f>
        <v>25</v>
      </c>
      <c r="O1394" s="5" t="n">
        <f aca="false">LEN(M1394)</f>
        <v>25</v>
      </c>
      <c r="P1394" s="14" t="n">
        <f aca="false">IF(N1394=0,"",(N1394-LEN(SUBSTITUTE(SUBSTITUTE(L1394,"G",""),"C","")))/N1394)</f>
        <v>0.56</v>
      </c>
      <c r="Q1394" s="14" t="n">
        <f aca="false">IF(O1394=0,"",(O1394-LEN(SUBSTITUTE(SUBSTITUTE(M1394,"G",""),"C","")))/O1394)</f>
        <v>0.4</v>
      </c>
      <c r="R1394" s="5" t="s">
        <v>1425</v>
      </c>
      <c r="S1394" s="15" t="s">
        <v>1677</v>
      </c>
      <c r="T1394" s="5" t="n">
        <v>566</v>
      </c>
      <c r="U1394" s="5" t="s">
        <v>1678</v>
      </c>
      <c r="V1394" s="5" t="s">
        <v>1398</v>
      </c>
      <c r="W1394" s="5"/>
      <c r="X1394" s="5"/>
      <c r="Y1394" s="5"/>
    </row>
    <row r="1395" customFormat="false" ht="15" hidden="false" customHeight="false" outlineLevel="0" collapsed="false">
      <c r="A1395" s="5" t="s">
        <v>13621</v>
      </c>
      <c r="B1395" s="5" t="s">
        <v>1419</v>
      </c>
      <c r="C1395" s="5" t="s">
        <v>1420</v>
      </c>
      <c r="D1395" s="6" t="s">
        <v>45</v>
      </c>
      <c r="E1395" s="5" t="n">
        <v>8</v>
      </c>
      <c r="F1395" s="5" t="s">
        <v>13622</v>
      </c>
      <c r="G1395" s="13" t="s">
        <v>13623</v>
      </c>
      <c r="H1395" s="5" t="s">
        <v>13624</v>
      </c>
      <c r="I1395" s="13" t="s">
        <v>13625</v>
      </c>
      <c r="J1395" s="5" t="s">
        <v>13626</v>
      </c>
      <c r="K1395" s="5" t="s">
        <v>13627</v>
      </c>
      <c r="L1395" s="13" t="s">
        <v>13628</v>
      </c>
      <c r="M1395" s="13" t="s">
        <v>13629</v>
      </c>
      <c r="N1395" s="5" t="n">
        <f aca="false">LEN(L1395)</f>
        <v>25</v>
      </c>
      <c r="O1395" s="5" t="n">
        <f aca="false">LEN(M1395)</f>
        <v>25</v>
      </c>
      <c r="P1395" s="14" t="n">
        <f aca="false">IF(N1395=0,"",(N1395-LEN(SUBSTITUTE(SUBSTITUTE(L1395,"G",""),"C","")))/N1395)</f>
        <v>0.52</v>
      </c>
      <c r="Q1395" s="14" t="n">
        <f aca="false">IF(O1395=0,"",(O1395-LEN(SUBSTITUTE(SUBSTITUTE(M1395,"G",""),"C","")))/O1395)</f>
        <v>0.56</v>
      </c>
      <c r="R1395" s="5" t="s">
        <v>1425</v>
      </c>
      <c r="S1395" s="15" t="s">
        <v>1677</v>
      </c>
      <c r="T1395" s="5" t="n">
        <v>636</v>
      </c>
      <c r="U1395" s="5" t="s">
        <v>1678</v>
      </c>
      <c r="V1395" s="5" t="s">
        <v>1398</v>
      </c>
      <c r="W1395" s="5"/>
      <c r="X1395" s="5"/>
      <c r="Y1395" s="5"/>
    </row>
    <row r="1396" customFormat="false" ht="15" hidden="false" customHeight="false" outlineLevel="0" collapsed="false">
      <c r="A1396" s="5" t="s">
        <v>13630</v>
      </c>
      <c r="B1396" s="5" t="s">
        <v>1426</v>
      </c>
      <c r="C1396" s="5" t="s">
        <v>1427</v>
      </c>
      <c r="D1396" s="6" t="s">
        <v>45</v>
      </c>
      <c r="E1396" s="5" t="n">
        <v>1</v>
      </c>
      <c r="F1396" s="5" t="s">
        <v>13631</v>
      </c>
      <c r="G1396" s="13" t="s">
        <v>13632</v>
      </c>
      <c r="H1396" s="5" t="s">
        <v>13633</v>
      </c>
      <c r="I1396" s="13" t="s">
        <v>13634</v>
      </c>
      <c r="J1396" s="5" t="s">
        <v>13635</v>
      </c>
      <c r="K1396" s="5" t="s">
        <v>13636</v>
      </c>
      <c r="L1396" s="13" t="s">
        <v>13637</v>
      </c>
      <c r="M1396" s="13" t="s">
        <v>13638</v>
      </c>
      <c r="N1396" s="5" t="n">
        <f aca="false">LEN(L1396)</f>
        <v>25</v>
      </c>
      <c r="O1396" s="5" t="n">
        <f aca="false">LEN(M1396)</f>
        <v>25</v>
      </c>
      <c r="P1396" s="14" t="n">
        <f aca="false">IF(N1396=0,"",(N1396-LEN(SUBSTITUTE(SUBSTITUTE(L1396,"G",""),"C","")))/N1396)</f>
        <v>0.64</v>
      </c>
      <c r="Q1396" s="14" t="n">
        <f aca="false">IF(O1396=0,"",(O1396-LEN(SUBSTITUTE(SUBSTITUTE(M1396,"G",""),"C","")))/O1396)</f>
        <v>0.6</v>
      </c>
      <c r="R1396" s="5" t="s">
        <v>1433</v>
      </c>
      <c r="S1396" s="15" t="s">
        <v>1677</v>
      </c>
      <c r="T1396" s="5" t="n">
        <v>1</v>
      </c>
      <c r="U1396" s="5" t="s">
        <v>1678</v>
      </c>
      <c r="V1396" s="5" t="s">
        <v>1432</v>
      </c>
      <c r="W1396" s="5" t="s">
        <v>13639</v>
      </c>
      <c r="X1396" s="5"/>
      <c r="Y1396" s="5"/>
    </row>
    <row r="1397" customFormat="false" ht="15" hidden="false" customHeight="false" outlineLevel="0" collapsed="false">
      <c r="A1397" s="5" t="s">
        <v>13640</v>
      </c>
      <c r="B1397" s="5" t="s">
        <v>1426</v>
      </c>
      <c r="C1397" s="5" t="s">
        <v>1427</v>
      </c>
      <c r="D1397" s="6" t="s">
        <v>45</v>
      </c>
      <c r="E1397" s="5" t="n">
        <v>2</v>
      </c>
      <c r="F1397" s="5" t="s">
        <v>13641</v>
      </c>
      <c r="G1397" s="13" t="s">
        <v>13642</v>
      </c>
      <c r="H1397" s="5" t="s">
        <v>13643</v>
      </c>
      <c r="I1397" s="13" t="s">
        <v>13644</v>
      </c>
      <c r="J1397" s="5" t="s">
        <v>13645</v>
      </c>
      <c r="K1397" s="5" t="s">
        <v>13646</v>
      </c>
      <c r="L1397" s="13" t="s">
        <v>13647</v>
      </c>
      <c r="M1397" s="13" t="s">
        <v>13648</v>
      </c>
      <c r="N1397" s="5" t="n">
        <f aca="false">LEN(L1397)</f>
        <v>25</v>
      </c>
      <c r="O1397" s="5" t="n">
        <f aca="false">LEN(M1397)</f>
        <v>25</v>
      </c>
      <c r="P1397" s="14" t="n">
        <f aca="false">IF(N1397=0,"",(N1397-LEN(SUBSTITUTE(SUBSTITUTE(L1397,"G",""),"C","")))/N1397)</f>
        <v>0.72</v>
      </c>
      <c r="Q1397" s="14" t="n">
        <f aca="false">IF(O1397=0,"",(O1397-LEN(SUBSTITUTE(SUBSTITUTE(M1397,"G",""),"C","")))/O1397)</f>
        <v>0.64</v>
      </c>
      <c r="R1397" s="5" t="s">
        <v>1433</v>
      </c>
      <c r="S1397" s="15" t="s">
        <v>1677</v>
      </c>
      <c r="T1397" s="5" t="n">
        <v>6</v>
      </c>
      <c r="U1397" s="5" t="s">
        <v>1678</v>
      </c>
      <c r="V1397" s="5" t="s">
        <v>1398</v>
      </c>
      <c r="W1397" s="5"/>
      <c r="X1397" s="5"/>
      <c r="Y1397" s="5"/>
    </row>
    <row r="1398" customFormat="false" ht="15" hidden="false" customHeight="false" outlineLevel="0" collapsed="false">
      <c r="A1398" s="5" t="s">
        <v>13649</v>
      </c>
      <c r="B1398" s="5" t="s">
        <v>1426</v>
      </c>
      <c r="C1398" s="5" t="s">
        <v>1427</v>
      </c>
      <c r="D1398" s="6" t="s">
        <v>45</v>
      </c>
      <c r="E1398" s="5" t="n">
        <v>3</v>
      </c>
      <c r="F1398" s="5" t="s">
        <v>13650</v>
      </c>
      <c r="G1398" s="13" t="s">
        <v>13651</v>
      </c>
      <c r="H1398" s="5" t="s">
        <v>13652</v>
      </c>
      <c r="I1398" s="13" t="s">
        <v>13653</v>
      </c>
      <c r="J1398" s="5" t="s">
        <v>13654</v>
      </c>
      <c r="K1398" s="5" t="s">
        <v>13655</v>
      </c>
      <c r="L1398" s="13" t="s">
        <v>13656</v>
      </c>
      <c r="M1398" s="13" t="s">
        <v>13657</v>
      </c>
      <c r="N1398" s="5" t="n">
        <f aca="false">LEN(L1398)</f>
        <v>25</v>
      </c>
      <c r="O1398" s="5" t="n">
        <f aca="false">LEN(M1398)</f>
        <v>25</v>
      </c>
      <c r="P1398" s="14" t="n">
        <f aca="false">IF(N1398=0,"",(N1398-LEN(SUBSTITUTE(SUBSTITUTE(L1398,"G",""),"C","")))/N1398)</f>
        <v>0.64</v>
      </c>
      <c r="Q1398" s="14" t="n">
        <f aca="false">IF(O1398=0,"",(O1398-LEN(SUBSTITUTE(SUBSTITUTE(M1398,"G",""),"C","")))/O1398)</f>
        <v>0.56</v>
      </c>
      <c r="R1398" s="5" t="s">
        <v>1433</v>
      </c>
      <c r="S1398" s="15" t="s">
        <v>1677</v>
      </c>
      <c r="T1398" s="5" t="n">
        <v>76</v>
      </c>
      <c r="U1398" s="5" t="s">
        <v>1678</v>
      </c>
      <c r="V1398" s="5" t="s">
        <v>1398</v>
      </c>
      <c r="W1398" s="5"/>
      <c r="X1398" s="5"/>
      <c r="Y1398" s="5"/>
    </row>
    <row r="1399" customFormat="false" ht="15" hidden="false" customHeight="false" outlineLevel="0" collapsed="false">
      <c r="A1399" s="5" t="s">
        <v>13658</v>
      </c>
      <c r="B1399" s="5" t="s">
        <v>1426</v>
      </c>
      <c r="C1399" s="5" t="s">
        <v>1427</v>
      </c>
      <c r="D1399" s="6" t="s">
        <v>45</v>
      </c>
      <c r="E1399" s="5" t="n">
        <v>4</v>
      </c>
      <c r="F1399" s="5" t="s">
        <v>13659</v>
      </c>
      <c r="G1399" s="13" t="s">
        <v>13660</v>
      </c>
      <c r="H1399" s="5" t="s">
        <v>13661</v>
      </c>
      <c r="I1399" s="13" t="s">
        <v>13662</v>
      </c>
      <c r="J1399" s="5" t="s">
        <v>13663</v>
      </c>
      <c r="K1399" s="5" t="s">
        <v>13664</v>
      </c>
      <c r="L1399" s="13" t="s">
        <v>13665</v>
      </c>
      <c r="M1399" s="13" t="s">
        <v>13666</v>
      </c>
      <c r="N1399" s="5" t="n">
        <f aca="false">LEN(L1399)</f>
        <v>25</v>
      </c>
      <c r="O1399" s="5" t="n">
        <f aca="false">LEN(M1399)</f>
        <v>25</v>
      </c>
      <c r="P1399" s="14" t="n">
        <f aca="false">IF(N1399=0,"",(N1399-LEN(SUBSTITUTE(SUBSTITUTE(L1399,"G",""),"C","")))/N1399)</f>
        <v>0.56</v>
      </c>
      <c r="Q1399" s="14" t="n">
        <f aca="false">IF(O1399=0,"",(O1399-LEN(SUBSTITUTE(SUBSTITUTE(M1399,"G",""),"C","")))/O1399)</f>
        <v>0.6</v>
      </c>
      <c r="R1399" s="5" t="s">
        <v>1433</v>
      </c>
      <c r="S1399" s="15" t="s">
        <v>1677</v>
      </c>
      <c r="T1399" s="5" t="n">
        <v>81</v>
      </c>
      <c r="U1399" s="5" t="s">
        <v>1678</v>
      </c>
      <c r="V1399" s="5" t="s">
        <v>1432</v>
      </c>
      <c r="W1399" s="5" t="s">
        <v>13639</v>
      </c>
      <c r="X1399" s="5"/>
      <c r="Y1399" s="5"/>
    </row>
    <row r="1400" customFormat="false" ht="15" hidden="false" customHeight="false" outlineLevel="0" collapsed="false">
      <c r="A1400" s="5" t="s">
        <v>13667</v>
      </c>
      <c r="B1400" s="5" t="s">
        <v>1426</v>
      </c>
      <c r="C1400" s="5" t="s">
        <v>1427</v>
      </c>
      <c r="D1400" s="6" t="s">
        <v>45</v>
      </c>
      <c r="E1400" s="5" t="n">
        <v>5</v>
      </c>
      <c r="F1400" s="5" t="s">
        <v>13668</v>
      </c>
      <c r="G1400" s="13" t="s">
        <v>13669</v>
      </c>
      <c r="H1400" s="5" t="s">
        <v>13670</v>
      </c>
      <c r="I1400" s="13" t="s">
        <v>13671</v>
      </c>
      <c r="J1400" s="5" t="s">
        <v>13672</v>
      </c>
      <c r="K1400" s="5" t="s">
        <v>13673</v>
      </c>
      <c r="L1400" s="13" t="s">
        <v>13674</v>
      </c>
      <c r="M1400" s="13" t="s">
        <v>13675</v>
      </c>
      <c r="N1400" s="5" t="n">
        <f aca="false">LEN(L1400)</f>
        <v>25</v>
      </c>
      <c r="O1400" s="5" t="n">
        <f aca="false">LEN(M1400)</f>
        <v>25</v>
      </c>
      <c r="P1400" s="14" t="n">
        <f aca="false">IF(N1400=0,"",(N1400-LEN(SUBSTITUTE(SUBSTITUTE(L1400,"G",""),"C","")))/N1400)</f>
        <v>0.72</v>
      </c>
      <c r="Q1400" s="14" t="n">
        <f aca="false">IF(O1400=0,"",(O1400-LEN(SUBSTITUTE(SUBSTITUTE(M1400,"G",""),"C","")))/O1400)</f>
        <v>0.6</v>
      </c>
      <c r="R1400" s="5" t="s">
        <v>1433</v>
      </c>
      <c r="S1400" s="15" t="s">
        <v>1677</v>
      </c>
      <c r="T1400" s="5" t="n">
        <v>146</v>
      </c>
      <c r="U1400" s="5" t="s">
        <v>1678</v>
      </c>
      <c r="V1400" s="5" t="s">
        <v>1398</v>
      </c>
      <c r="W1400" s="5"/>
      <c r="X1400" s="5"/>
      <c r="Y1400" s="5"/>
    </row>
    <row r="1401" customFormat="false" ht="15" hidden="false" customHeight="false" outlineLevel="0" collapsed="false">
      <c r="A1401" s="5" t="s">
        <v>13676</v>
      </c>
      <c r="B1401" s="5" t="s">
        <v>1426</v>
      </c>
      <c r="C1401" s="5" t="s">
        <v>1427</v>
      </c>
      <c r="D1401" s="6" t="s">
        <v>45</v>
      </c>
      <c r="E1401" s="5" t="n">
        <v>6</v>
      </c>
      <c r="F1401" s="5" t="s">
        <v>13677</v>
      </c>
      <c r="G1401" s="13" t="s">
        <v>13678</v>
      </c>
      <c r="H1401" s="5" t="s">
        <v>13679</v>
      </c>
      <c r="I1401" s="13" t="s">
        <v>13680</v>
      </c>
      <c r="J1401" s="5" t="s">
        <v>13681</v>
      </c>
      <c r="K1401" s="5" t="s">
        <v>13682</v>
      </c>
      <c r="L1401" s="13" t="s">
        <v>13683</v>
      </c>
      <c r="M1401" s="13" t="s">
        <v>13684</v>
      </c>
      <c r="N1401" s="5" t="n">
        <f aca="false">LEN(L1401)</f>
        <v>25</v>
      </c>
      <c r="O1401" s="5" t="n">
        <f aca="false">LEN(M1401)</f>
        <v>25</v>
      </c>
      <c r="P1401" s="14" t="n">
        <f aca="false">IF(N1401=0,"",(N1401-LEN(SUBSTITUTE(SUBSTITUTE(L1401,"G",""),"C","")))/N1401)</f>
        <v>0.6</v>
      </c>
      <c r="Q1401" s="14" t="n">
        <f aca="false">IF(O1401=0,"",(O1401-LEN(SUBSTITUTE(SUBSTITUTE(M1401,"G",""),"C","")))/O1401)</f>
        <v>0.68</v>
      </c>
      <c r="R1401" s="5" t="s">
        <v>1433</v>
      </c>
      <c r="S1401" s="15" t="s">
        <v>1677</v>
      </c>
      <c r="T1401" s="5" t="n">
        <v>161</v>
      </c>
      <c r="U1401" s="5" t="s">
        <v>1678</v>
      </c>
      <c r="V1401" s="5" t="s">
        <v>1432</v>
      </c>
      <c r="W1401" s="5" t="s">
        <v>13639</v>
      </c>
      <c r="X1401" s="5"/>
      <c r="Y1401" s="5"/>
    </row>
    <row r="1402" customFormat="false" ht="15" hidden="false" customHeight="false" outlineLevel="0" collapsed="false">
      <c r="A1402" s="5" t="s">
        <v>13685</v>
      </c>
      <c r="B1402" s="5" t="s">
        <v>1426</v>
      </c>
      <c r="C1402" s="5" t="s">
        <v>1427</v>
      </c>
      <c r="D1402" s="6" t="s">
        <v>45</v>
      </c>
      <c r="E1402" s="5" t="n">
        <v>7</v>
      </c>
      <c r="F1402" s="5" t="s">
        <v>13686</v>
      </c>
      <c r="G1402" s="13" t="s">
        <v>13687</v>
      </c>
      <c r="H1402" s="5" t="s">
        <v>13688</v>
      </c>
      <c r="I1402" s="13" t="s">
        <v>13689</v>
      </c>
      <c r="J1402" s="5" t="s">
        <v>13690</v>
      </c>
      <c r="K1402" s="5" t="s">
        <v>13691</v>
      </c>
      <c r="L1402" s="13" t="s">
        <v>13692</v>
      </c>
      <c r="M1402" s="13" t="s">
        <v>13693</v>
      </c>
      <c r="N1402" s="5" t="n">
        <f aca="false">LEN(L1402)</f>
        <v>25</v>
      </c>
      <c r="O1402" s="5" t="n">
        <f aca="false">LEN(M1402)</f>
        <v>25</v>
      </c>
      <c r="P1402" s="14" t="n">
        <f aca="false">IF(N1402=0,"",(N1402-LEN(SUBSTITUTE(SUBSTITUTE(L1402,"G",""),"C","")))/N1402)</f>
        <v>0.6</v>
      </c>
      <c r="Q1402" s="14" t="n">
        <f aca="false">IF(O1402=0,"",(O1402-LEN(SUBSTITUTE(SUBSTITUTE(M1402,"G",""),"C","")))/O1402)</f>
        <v>0.52</v>
      </c>
      <c r="R1402" s="5" t="s">
        <v>1433</v>
      </c>
      <c r="S1402" s="15" t="s">
        <v>1677</v>
      </c>
      <c r="T1402" s="5" t="n">
        <v>216</v>
      </c>
      <c r="U1402" s="5" t="s">
        <v>1678</v>
      </c>
      <c r="V1402" s="5" t="s">
        <v>1398</v>
      </c>
      <c r="W1402" s="5"/>
      <c r="X1402" s="5"/>
      <c r="Y1402" s="5"/>
    </row>
    <row r="1403" customFormat="false" ht="15" hidden="false" customHeight="false" outlineLevel="0" collapsed="false">
      <c r="A1403" s="5" t="s">
        <v>13694</v>
      </c>
      <c r="B1403" s="5" t="s">
        <v>1426</v>
      </c>
      <c r="C1403" s="5" t="s">
        <v>1427</v>
      </c>
      <c r="D1403" s="6" t="s">
        <v>45</v>
      </c>
      <c r="E1403" s="5" t="n">
        <v>8</v>
      </c>
      <c r="F1403" s="5" t="s">
        <v>13695</v>
      </c>
      <c r="G1403" s="13" t="s">
        <v>13696</v>
      </c>
      <c r="H1403" s="5" t="s">
        <v>13697</v>
      </c>
      <c r="I1403" s="13" t="s">
        <v>13698</v>
      </c>
      <c r="J1403" s="5" t="s">
        <v>13699</v>
      </c>
      <c r="K1403" s="5" t="s">
        <v>13700</v>
      </c>
      <c r="L1403" s="13" t="s">
        <v>13701</v>
      </c>
      <c r="M1403" s="13" t="s">
        <v>13702</v>
      </c>
      <c r="N1403" s="5" t="n">
        <f aca="false">LEN(L1403)</f>
        <v>25</v>
      </c>
      <c r="O1403" s="5" t="n">
        <f aca="false">LEN(M1403)</f>
        <v>25</v>
      </c>
      <c r="P1403" s="14" t="n">
        <f aca="false">IF(N1403=0,"",(N1403-LEN(SUBSTITUTE(SUBSTITUTE(L1403,"G",""),"C","")))/N1403)</f>
        <v>0.48</v>
      </c>
      <c r="Q1403" s="14" t="n">
        <f aca="false">IF(O1403=0,"",(O1403-LEN(SUBSTITUTE(SUBSTITUTE(M1403,"G",""),"C","")))/O1403)</f>
        <v>0.6</v>
      </c>
      <c r="R1403" s="5" t="s">
        <v>1433</v>
      </c>
      <c r="S1403" s="15" t="s">
        <v>1677</v>
      </c>
      <c r="T1403" s="5" t="n">
        <v>241</v>
      </c>
      <c r="U1403" s="5" t="s">
        <v>1678</v>
      </c>
      <c r="V1403" s="5" t="s">
        <v>1432</v>
      </c>
      <c r="W1403" s="5" t="s">
        <v>13639</v>
      </c>
      <c r="X1403" s="5"/>
      <c r="Y1403" s="5"/>
    </row>
    <row r="1404" customFormat="false" ht="15" hidden="false" customHeight="false" outlineLevel="0" collapsed="false">
      <c r="A1404" s="5" t="s">
        <v>13703</v>
      </c>
      <c r="B1404" s="5" t="s">
        <v>1426</v>
      </c>
      <c r="C1404" s="5" t="s">
        <v>1427</v>
      </c>
      <c r="D1404" s="6" t="s">
        <v>45</v>
      </c>
      <c r="E1404" s="5" t="n">
        <v>9</v>
      </c>
      <c r="F1404" s="5" t="s">
        <v>13704</v>
      </c>
      <c r="G1404" s="13" t="s">
        <v>13705</v>
      </c>
      <c r="H1404" s="5" t="s">
        <v>13706</v>
      </c>
      <c r="I1404" s="13" t="s">
        <v>13707</v>
      </c>
      <c r="J1404" s="5" t="s">
        <v>13708</v>
      </c>
      <c r="K1404" s="5" t="s">
        <v>13709</v>
      </c>
      <c r="L1404" s="13" t="s">
        <v>13710</v>
      </c>
      <c r="M1404" s="13" t="s">
        <v>13711</v>
      </c>
      <c r="N1404" s="5" t="n">
        <f aca="false">LEN(L1404)</f>
        <v>25</v>
      </c>
      <c r="O1404" s="5" t="n">
        <f aca="false">LEN(M1404)</f>
        <v>25</v>
      </c>
      <c r="P1404" s="14" t="n">
        <f aca="false">IF(N1404=0,"",(N1404-LEN(SUBSTITUTE(SUBSTITUTE(L1404,"G",""),"C","")))/N1404)</f>
        <v>0.72</v>
      </c>
      <c r="Q1404" s="14" t="n">
        <f aca="false">IF(O1404=0,"",(O1404-LEN(SUBSTITUTE(SUBSTITUTE(M1404,"G",""),"C","")))/O1404)</f>
        <v>0.68</v>
      </c>
      <c r="R1404" s="5" t="s">
        <v>1433</v>
      </c>
      <c r="S1404" s="15" t="s">
        <v>1677</v>
      </c>
      <c r="T1404" s="5" t="n">
        <v>286</v>
      </c>
      <c r="U1404" s="5" t="s">
        <v>1678</v>
      </c>
      <c r="V1404" s="5" t="s">
        <v>1398</v>
      </c>
      <c r="W1404" s="5"/>
      <c r="X1404" s="5"/>
      <c r="Y1404" s="5"/>
    </row>
    <row r="1405" customFormat="false" ht="15" hidden="false" customHeight="false" outlineLevel="0" collapsed="false">
      <c r="A1405" s="5" t="s">
        <v>13712</v>
      </c>
      <c r="B1405" s="5" t="s">
        <v>1426</v>
      </c>
      <c r="C1405" s="5" t="s">
        <v>1427</v>
      </c>
      <c r="D1405" s="6" t="s">
        <v>45</v>
      </c>
      <c r="E1405" s="5" t="n">
        <v>10</v>
      </c>
      <c r="F1405" s="5" t="s">
        <v>13713</v>
      </c>
      <c r="G1405" s="13" t="s">
        <v>13714</v>
      </c>
      <c r="H1405" s="5" t="s">
        <v>13715</v>
      </c>
      <c r="I1405" s="13" t="s">
        <v>13716</v>
      </c>
      <c r="J1405" s="5" t="s">
        <v>13717</v>
      </c>
      <c r="K1405" s="5" t="s">
        <v>13718</v>
      </c>
      <c r="L1405" s="13" t="s">
        <v>13719</v>
      </c>
      <c r="M1405" s="13" t="s">
        <v>13720</v>
      </c>
      <c r="N1405" s="5" t="n">
        <f aca="false">LEN(L1405)</f>
        <v>25</v>
      </c>
      <c r="O1405" s="5" t="n">
        <f aca="false">LEN(M1405)</f>
        <v>25</v>
      </c>
      <c r="P1405" s="14" t="n">
        <f aca="false">IF(N1405=0,"",(N1405-LEN(SUBSTITUTE(SUBSTITUTE(L1405,"G",""),"C","")))/N1405)</f>
        <v>0.68</v>
      </c>
      <c r="Q1405" s="14" t="n">
        <f aca="false">IF(O1405=0,"",(O1405-LEN(SUBSTITUTE(SUBSTITUTE(M1405,"G",""),"C","")))/O1405)</f>
        <v>0.6</v>
      </c>
      <c r="R1405" s="5" t="s">
        <v>1433</v>
      </c>
      <c r="S1405" s="15" t="s">
        <v>1677</v>
      </c>
      <c r="T1405" s="5" t="n">
        <v>321</v>
      </c>
      <c r="U1405" s="5" t="s">
        <v>1678</v>
      </c>
      <c r="V1405" s="5" t="s">
        <v>1432</v>
      </c>
      <c r="W1405" s="5" t="s">
        <v>13639</v>
      </c>
      <c r="X1405" s="5"/>
      <c r="Y1405" s="5"/>
    </row>
    <row r="1406" customFormat="false" ht="15" hidden="false" customHeight="false" outlineLevel="0" collapsed="false">
      <c r="A1406" s="5" t="s">
        <v>13721</v>
      </c>
      <c r="B1406" s="5" t="s">
        <v>1426</v>
      </c>
      <c r="C1406" s="5" t="s">
        <v>1427</v>
      </c>
      <c r="D1406" s="6" t="s">
        <v>45</v>
      </c>
      <c r="E1406" s="5" t="n">
        <v>11</v>
      </c>
      <c r="F1406" s="5" t="s">
        <v>13722</v>
      </c>
      <c r="G1406" s="13" t="s">
        <v>13723</v>
      </c>
      <c r="H1406" s="5" t="s">
        <v>13724</v>
      </c>
      <c r="I1406" s="13" t="s">
        <v>13725</v>
      </c>
      <c r="J1406" s="5" t="s">
        <v>13726</v>
      </c>
      <c r="K1406" s="5" t="s">
        <v>13727</v>
      </c>
      <c r="L1406" s="13" t="s">
        <v>13728</v>
      </c>
      <c r="M1406" s="13" t="s">
        <v>13729</v>
      </c>
      <c r="N1406" s="5" t="n">
        <f aca="false">LEN(L1406)</f>
        <v>25</v>
      </c>
      <c r="O1406" s="5" t="n">
        <f aca="false">LEN(M1406)</f>
        <v>25</v>
      </c>
      <c r="P1406" s="14" t="n">
        <f aca="false">IF(N1406=0,"",(N1406-LEN(SUBSTITUTE(SUBSTITUTE(L1406,"G",""),"C","")))/N1406)</f>
        <v>0.6</v>
      </c>
      <c r="Q1406" s="14" t="n">
        <f aca="false">IF(O1406=0,"",(O1406-LEN(SUBSTITUTE(SUBSTITUTE(M1406,"G",""),"C","")))/O1406)</f>
        <v>0.56</v>
      </c>
      <c r="R1406" s="5" t="s">
        <v>1433</v>
      </c>
      <c r="S1406" s="15" t="s">
        <v>1677</v>
      </c>
      <c r="T1406" s="5" t="n">
        <v>356</v>
      </c>
      <c r="U1406" s="5" t="s">
        <v>1678</v>
      </c>
      <c r="V1406" s="5" t="s">
        <v>1398</v>
      </c>
      <c r="W1406" s="5"/>
      <c r="X1406" s="5"/>
      <c r="Y1406" s="5"/>
    </row>
    <row r="1407" customFormat="false" ht="15" hidden="false" customHeight="false" outlineLevel="0" collapsed="false">
      <c r="A1407" s="5" t="s">
        <v>13730</v>
      </c>
      <c r="B1407" s="5" t="s">
        <v>1426</v>
      </c>
      <c r="C1407" s="5" t="s">
        <v>1427</v>
      </c>
      <c r="D1407" s="6" t="s">
        <v>45</v>
      </c>
      <c r="E1407" s="5" t="n">
        <v>12</v>
      </c>
      <c r="F1407" s="5" t="s">
        <v>13731</v>
      </c>
      <c r="G1407" s="13" t="s">
        <v>13732</v>
      </c>
      <c r="H1407" s="5" t="s">
        <v>13733</v>
      </c>
      <c r="I1407" s="13" t="s">
        <v>13734</v>
      </c>
      <c r="J1407" s="5" t="s">
        <v>13735</v>
      </c>
      <c r="K1407" s="5" t="s">
        <v>13736</v>
      </c>
      <c r="L1407" s="13" t="s">
        <v>13737</v>
      </c>
      <c r="M1407" s="13" t="s">
        <v>13738</v>
      </c>
      <c r="N1407" s="5" t="n">
        <f aca="false">LEN(L1407)</f>
        <v>25</v>
      </c>
      <c r="O1407" s="5" t="n">
        <f aca="false">LEN(M1407)</f>
        <v>25</v>
      </c>
      <c r="P1407" s="14" t="n">
        <f aca="false">IF(N1407=0,"",(N1407-LEN(SUBSTITUTE(SUBSTITUTE(L1407,"G",""),"C","")))/N1407)</f>
        <v>0.56</v>
      </c>
      <c r="Q1407" s="14" t="n">
        <f aca="false">IF(O1407=0,"",(O1407-LEN(SUBSTITUTE(SUBSTITUTE(M1407,"G",""),"C","")))/O1407)</f>
        <v>0.64</v>
      </c>
      <c r="R1407" s="5" t="s">
        <v>1433</v>
      </c>
      <c r="S1407" s="15" t="s">
        <v>1677</v>
      </c>
      <c r="T1407" s="5" t="n">
        <v>401</v>
      </c>
      <c r="U1407" s="5" t="s">
        <v>1678</v>
      </c>
      <c r="V1407" s="5" t="s">
        <v>1432</v>
      </c>
      <c r="W1407" s="5" t="s">
        <v>13639</v>
      </c>
      <c r="X1407" s="5"/>
      <c r="Y1407" s="5"/>
    </row>
    <row r="1408" customFormat="false" ht="15" hidden="false" customHeight="false" outlineLevel="0" collapsed="false">
      <c r="A1408" s="5" t="s">
        <v>13739</v>
      </c>
      <c r="B1408" s="5" t="s">
        <v>1434</v>
      </c>
      <c r="C1408" s="5" t="s">
        <v>1435</v>
      </c>
      <c r="D1408" s="6" t="s">
        <v>45</v>
      </c>
      <c r="E1408" s="5" t="n">
        <v>1</v>
      </c>
      <c r="F1408" s="5" t="s">
        <v>13740</v>
      </c>
      <c r="G1408" s="13" t="s">
        <v>13741</v>
      </c>
      <c r="H1408" s="5" t="s">
        <v>13742</v>
      </c>
      <c r="I1408" s="13" t="s">
        <v>13743</v>
      </c>
      <c r="J1408" s="5" t="s">
        <v>13744</v>
      </c>
      <c r="K1408" s="5" t="s">
        <v>13745</v>
      </c>
      <c r="L1408" s="13" t="s">
        <v>13746</v>
      </c>
      <c r="M1408" s="13" t="s">
        <v>13747</v>
      </c>
      <c r="N1408" s="5" t="n">
        <f aca="false">LEN(L1408)</f>
        <v>25</v>
      </c>
      <c r="O1408" s="5" t="n">
        <f aca="false">LEN(M1408)</f>
        <v>25</v>
      </c>
      <c r="P1408" s="14" t="n">
        <f aca="false">IF(N1408=0,"",(N1408-LEN(SUBSTITUTE(SUBSTITUTE(L1408,"G",""),"C","")))/N1408)</f>
        <v>0.48</v>
      </c>
      <c r="Q1408" s="14" t="n">
        <f aca="false">IF(O1408=0,"",(O1408-LEN(SUBSTITUTE(SUBSTITUTE(M1408,"G",""),"C","")))/O1408)</f>
        <v>0.52</v>
      </c>
      <c r="R1408" s="5" t="s">
        <v>1440</v>
      </c>
      <c r="S1408" s="15" t="s">
        <v>1677</v>
      </c>
      <c r="T1408" s="5" t="n">
        <v>146</v>
      </c>
      <c r="U1408" s="5" t="s">
        <v>1678</v>
      </c>
      <c r="V1408" s="5" t="s">
        <v>1398</v>
      </c>
      <c r="W1408" s="5"/>
      <c r="X1408" s="5"/>
      <c r="Y1408" s="5"/>
    </row>
    <row r="1409" customFormat="false" ht="15" hidden="false" customHeight="false" outlineLevel="0" collapsed="false">
      <c r="A1409" s="5" t="s">
        <v>13748</v>
      </c>
      <c r="B1409" s="5" t="s">
        <v>1434</v>
      </c>
      <c r="C1409" s="5" t="s">
        <v>1435</v>
      </c>
      <c r="D1409" s="6" t="s">
        <v>45</v>
      </c>
      <c r="E1409" s="5" t="n">
        <v>2</v>
      </c>
      <c r="F1409" s="5" t="s">
        <v>13749</v>
      </c>
      <c r="G1409" s="13" t="s">
        <v>13750</v>
      </c>
      <c r="H1409" s="5" t="s">
        <v>13751</v>
      </c>
      <c r="I1409" s="13" t="s">
        <v>13752</v>
      </c>
      <c r="J1409" s="5" t="s">
        <v>13753</v>
      </c>
      <c r="K1409" s="5" t="s">
        <v>13754</v>
      </c>
      <c r="L1409" s="13" t="s">
        <v>13755</v>
      </c>
      <c r="M1409" s="13" t="s">
        <v>13756</v>
      </c>
      <c r="N1409" s="5" t="n">
        <f aca="false">LEN(L1409)</f>
        <v>25</v>
      </c>
      <c r="O1409" s="5" t="n">
        <f aca="false">LEN(M1409)</f>
        <v>25</v>
      </c>
      <c r="P1409" s="14" t="n">
        <f aca="false">IF(N1409=0,"",(N1409-LEN(SUBSTITUTE(SUBSTITUTE(L1409,"G",""),"C","")))/N1409)</f>
        <v>0.56</v>
      </c>
      <c r="Q1409" s="14" t="n">
        <f aca="false">IF(O1409=0,"",(O1409-LEN(SUBSTITUTE(SUBSTITUTE(M1409,"G",""),"C","")))/O1409)</f>
        <v>0.48</v>
      </c>
      <c r="R1409" s="5" t="s">
        <v>1440</v>
      </c>
      <c r="S1409" s="15" t="s">
        <v>1677</v>
      </c>
      <c r="T1409" s="5" t="n">
        <v>216</v>
      </c>
      <c r="U1409" s="5" t="s">
        <v>1678</v>
      </c>
      <c r="V1409" s="5" t="s">
        <v>1398</v>
      </c>
      <c r="W1409" s="5"/>
      <c r="X1409" s="5"/>
      <c r="Y1409" s="5"/>
    </row>
    <row r="1410" customFormat="false" ht="15" hidden="false" customHeight="false" outlineLevel="0" collapsed="false">
      <c r="A1410" s="5" t="s">
        <v>13757</v>
      </c>
      <c r="B1410" s="5" t="s">
        <v>1434</v>
      </c>
      <c r="C1410" s="5" t="s">
        <v>1435</v>
      </c>
      <c r="D1410" s="6" t="s">
        <v>45</v>
      </c>
      <c r="E1410" s="5" t="n">
        <v>3</v>
      </c>
      <c r="F1410" s="5" t="s">
        <v>13758</v>
      </c>
      <c r="G1410" s="13" t="s">
        <v>13759</v>
      </c>
      <c r="H1410" s="5" t="s">
        <v>13760</v>
      </c>
      <c r="I1410" s="13" t="s">
        <v>13761</v>
      </c>
      <c r="J1410" s="5" t="s">
        <v>13762</v>
      </c>
      <c r="K1410" s="5" t="s">
        <v>13763</v>
      </c>
      <c r="L1410" s="13" t="s">
        <v>13764</v>
      </c>
      <c r="M1410" s="13" t="s">
        <v>13765</v>
      </c>
      <c r="N1410" s="5" t="n">
        <f aca="false">LEN(L1410)</f>
        <v>25</v>
      </c>
      <c r="O1410" s="5" t="n">
        <f aca="false">LEN(M1410)</f>
        <v>25</v>
      </c>
      <c r="P1410" s="14" t="n">
        <f aca="false">IF(N1410=0,"",(N1410-LEN(SUBSTITUTE(SUBSTITUTE(L1410,"G",""),"C","")))/N1410)</f>
        <v>0.44</v>
      </c>
      <c r="Q1410" s="14" t="n">
        <f aca="false">IF(O1410=0,"",(O1410-LEN(SUBSTITUTE(SUBSTITUTE(M1410,"G",""),"C","")))/O1410)</f>
        <v>0.52</v>
      </c>
      <c r="R1410" s="5" t="s">
        <v>1440</v>
      </c>
      <c r="S1410" s="15" t="s">
        <v>1677</v>
      </c>
      <c r="T1410" s="5" t="n">
        <v>286</v>
      </c>
      <c r="U1410" s="5" t="s">
        <v>1678</v>
      </c>
      <c r="V1410" s="5" t="s">
        <v>1398</v>
      </c>
      <c r="W1410" s="5"/>
      <c r="X1410" s="5"/>
      <c r="Y1410" s="5"/>
    </row>
    <row r="1411" customFormat="false" ht="15" hidden="false" customHeight="false" outlineLevel="0" collapsed="false">
      <c r="A1411" s="5" t="s">
        <v>13766</v>
      </c>
      <c r="B1411" s="5" t="s">
        <v>1434</v>
      </c>
      <c r="C1411" s="5" t="s">
        <v>1435</v>
      </c>
      <c r="D1411" s="6" t="s">
        <v>45</v>
      </c>
      <c r="E1411" s="5" t="n">
        <v>4</v>
      </c>
      <c r="F1411" s="5" t="s">
        <v>13767</v>
      </c>
      <c r="G1411" s="13" t="s">
        <v>13768</v>
      </c>
      <c r="H1411" s="5" t="s">
        <v>13769</v>
      </c>
      <c r="I1411" s="13" t="s">
        <v>13770</v>
      </c>
      <c r="J1411" s="5" t="s">
        <v>13771</v>
      </c>
      <c r="K1411" s="5" t="s">
        <v>13772</v>
      </c>
      <c r="L1411" s="13" t="s">
        <v>13773</v>
      </c>
      <c r="M1411" s="13" t="s">
        <v>13774</v>
      </c>
      <c r="N1411" s="5" t="n">
        <f aca="false">LEN(L1411)</f>
        <v>25</v>
      </c>
      <c r="O1411" s="5" t="n">
        <f aca="false">LEN(M1411)</f>
        <v>25</v>
      </c>
      <c r="P1411" s="14" t="n">
        <f aca="false">IF(N1411=0,"",(N1411-LEN(SUBSTITUTE(SUBSTITUTE(L1411,"G",""),"C","")))/N1411)</f>
        <v>0.52</v>
      </c>
      <c r="Q1411" s="14" t="n">
        <f aca="false">IF(O1411=0,"",(O1411-LEN(SUBSTITUTE(SUBSTITUTE(M1411,"G",""),"C","")))/O1411)</f>
        <v>0.48</v>
      </c>
      <c r="R1411" s="5" t="s">
        <v>1440</v>
      </c>
      <c r="S1411" s="15" t="s">
        <v>1677</v>
      </c>
      <c r="T1411" s="5" t="n">
        <v>356</v>
      </c>
      <c r="U1411" s="5" t="s">
        <v>1678</v>
      </c>
      <c r="V1411" s="5" t="s">
        <v>1398</v>
      </c>
      <c r="W1411" s="5"/>
      <c r="X1411" s="5"/>
      <c r="Y1411" s="5"/>
    </row>
    <row r="1412" customFormat="false" ht="15" hidden="false" customHeight="false" outlineLevel="0" collapsed="false">
      <c r="A1412" s="5" t="s">
        <v>13775</v>
      </c>
      <c r="B1412" s="5" t="s">
        <v>1434</v>
      </c>
      <c r="C1412" s="5" t="s">
        <v>1435</v>
      </c>
      <c r="D1412" s="6" t="s">
        <v>45</v>
      </c>
      <c r="E1412" s="5" t="n">
        <v>5</v>
      </c>
      <c r="F1412" s="5" t="s">
        <v>13776</v>
      </c>
      <c r="G1412" s="13" t="s">
        <v>13777</v>
      </c>
      <c r="H1412" s="5" t="s">
        <v>13778</v>
      </c>
      <c r="I1412" s="13" t="s">
        <v>13779</v>
      </c>
      <c r="J1412" s="5" t="s">
        <v>13780</v>
      </c>
      <c r="K1412" s="5" t="s">
        <v>13781</v>
      </c>
      <c r="L1412" s="13" t="s">
        <v>13782</v>
      </c>
      <c r="M1412" s="13" t="s">
        <v>13783</v>
      </c>
      <c r="N1412" s="5" t="n">
        <f aca="false">LEN(L1412)</f>
        <v>25</v>
      </c>
      <c r="O1412" s="5" t="n">
        <f aca="false">LEN(M1412)</f>
        <v>25</v>
      </c>
      <c r="P1412" s="14" t="n">
        <f aca="false">IF(N1412=0,"",(N1412-LEN(SUBSTITUTE(SUBSTITUTE(L1412,"G",""),"C","")))/N1412)</f>
        <v>0.4</v>
      </c>
      <c r="Q1412" s="14" t="n">
        <f aca="false">IF(O1412=0,"",(O1412-LEN(SUBSTITUTE(SUBSTITUTE(M1412,"G",""),"C","")))/O1412)</f>
        <v>0.4</v>
      </c>
      <c r="R1412" s="5" t="s">
        <v>1440</v>
      </c>
      <c r="S1412" s="15" t="s">
        <v>1677</v>
      </c>
      <c r="T1412" s="5" t="n">
        <v>426</v>
      </c>
      <c r="U1412" s="5" t="s">
        <v>1678</v>
      </c>
      <c r="V1412" s="5" t="s">
        <v>1398</v>
      </c>
      <c r="W1412" s="5"/>
      <c r="X1412" s="5"/>
      <c r="Y1412" s="5"/>
    </row>
    <row r="1413" customFormat="false" ht="15" hidden="false" customHeight="false" outlineLevel="0" collapsed="false">
      <c r="A1413" s="5" t="s">
        <v>13784</v>
      </c>
      <c r="B1413" s="5" t="s">
        <v>1434</v>
      </c>
      <c r="C1413" s="5" t="s">
        <v>1435</v>
      </c>
      <c r="D1413" s="6" t="s">
        <v>45</v>
      </c>
      <c r="E1413" s="5" t="n">
        <v>6</v>
      </c>
      <c r="F1413" s="5" t="s">
        <v>13785</v>
      </c>
      <c r="G1413" s="13" t="s">
        <v>13786</v>
      </c>
      <c r="H1413" s="5" t="s">
        <v>13787</v>
      </c>
      <c r="I1413" s="13" t="s">
        <v>13788</v>
      </c>
      <c r="J1413" s="5" t="s">
        <v>13789</v>
      </c>
      <c r="K1413" s="5" t="s">
        <v>13790</v>
      </c>
      <c r="L1413" s="13" t="s">
        <v>13791</v>
      </c>
      <c r="M1413" s="13" t="s">
        <v>13792</v>
      </c>
      <c r="N1413" s="5" t="n">
        <f aca="false">LEN(L1413)</f>
        <v>25</v>
      </c>
      <c r="O1413" s="5" t="n">
        <f aca="false">LEN(M1413)</f>
        <v>25</v>
      </c>
      <c r="P1413" s="14" t="n">
        <f aca="false">IF(N1413=0,"",(N1413-LEN(SUBSTITUTE(SUBSTITUTE(L1413,"G",""),"C","")))/N1413)</f>
        <v>0.48</v>
      </c>
      <c r="Q1413" s="14" t="n">
        <f aca="false">IF(O1413=0,"",(O1413-LEN(SUBSTITUTE(SUBSTITUTE(M1413,"G",""),"C","")))/O1413)</f>
        <v>0.4</v>
      </c>
      <c r="R1413" s="5" t="s">
        <v>1440</v>
      </c>
      <c r="S1413" s="15" t="s">
        <v>1677</v>
      </c>
      <c r="T1413" s="5" t="n">
        <v>496</v>
      </c>
      <c r="U1413" s="5" t="s">
        <v>1678</v>
      </c>
      <c r="V1413" s="5" t="s">
        <v>1398</v>
      </c>
      <c r="W1413" s="5"/>
      <c r="X1413" s="5"/>
      <c r="Y1413" s="5"/>
    </row>
    <row r="1414" customFormat="false" ht="15" hidden="false" customHeight="false" outlineLevel="0" collapsed="false">
      <c r="A1414" s="5" t="s">
        <v>13793</v>
      </c>
      <c r="B1414" s="5" t="s">
        <v>1434</v>
      </c>
      <c r="C1414" s="5" t="s">
        <v>1435</v>
      </c>
      <c r="D1414" s="6" t="s">
        <v>45</v>
      </c>
      <c r="E1414" s="5" t="n">
        <v>7</v>
      </c>
      <c r="F1414" s="5" t="s">
        <v>13794</v>
      </c>
      <c r="G1414" s="13" t="s">
        <v>13795</v>
      </c>
      <c r="H1414" s="5" t="s">
        <v>13796</v>
      </c>
      <c r="I1414" s="13" t="s">
        <v>13797</v>
      </c>
      <c r="J1414" s="5" t="s">
        <v>13798</v>
      </c>
      <c r="K1414" s="5" t="s">
        <v>13799</v>
      </c>
      <c r="L1414" s="13" t="s">
        <v>13800</v>
      </c>
      <c r="M1414" s="13" t="s">
        <v>13801</v>
      </c>
      <c r="N1414" s="5" t="n">
        <f aca="false">LEN(L1414)</f>
        <v>25</v>
      </c>
      <c r="O1414" s="5" t="n">
        <f aca="false">LEN(M1414)</f>
        <v>25</v>
      </c>
      <c r="P1414" s="14" t="n">
        <f aca="false">IF(N1414=0,"",(N1414-LEN(SUBSTITUTE(SUBSTITUTE(L1414,"G",""),"C","")))/N1414)</f>
        <v>0.52</v>
      </c>
      <c r="Q1414" s="14" t="n">
        <f aca="false">IF(O1414=0,"",(O1414-LEN(SUBSTITUTE(SUBSTITUTE(M1414,"G",""),"C","")))/O1414)</f>
        <v>0.6</v>
      </c>
      <c r="R1414" s="5" t="s">
        <v>1440</v>
      </c>
      <c r="S1414" s="15" t="s">
        <v>1677</v>
      </c>
      <c r="T1414" s="5" t="n">
        <v>566</v>
      </c>
      <c r="U1414" s="5" t="s">
        <v>1678</v>
      </c>
      <c r="V1414" s="5" t="s">
        <v>1398</v>
      </c>
      <c r="W1414" s="5"/>
      <c r="X1414" s="5"/>
      <c r="Y1414" s="5"/>
    </row>
    <row r="1415" customFormat="false" ht="15" hidden="false" customHeight="false" outlineLevel="0" collapsed="false">
      <c r="A1415" s="5" t="s">
        <v>13802</v>
      </c>
      <c r="B1415" s="5" t="s">
        <v>1434</v>
      </c>
      <c r="C1415" s="5" t="s">
        <v>1435</v>
      </c>
      <c r="D1415" s="6" t="s">
        <v>45</v>
      </c>
      <c r="E1415" s="5" t="n">
        <v>8</v>
      </c>
      <c r="F1415" s="5" t="s">
        <v>13803</v>
      </c>
      <c r="G1415" s="13" t="s">
        <v>13804</v>
      </c>
      <c r="H1415" s="5" t="s">
        <v>13805</v>
      </c>
      <c r="I1415" s="13" t="s">
        <v>13806</v>
      </c>
      <c r="J1415" s="5" t="s">
        <v>13807</v>
      </c>
      <c r="K1415" s="5" t="s">
        <v>13808</v>
      </c>
      <c r="L1415" s="13" t="s">
        <v>13809</v>
      </c>
      <c r="M1415" s="13" t="s">
        <v>13810</v>
      </c>
      <c r="N1415" s="5" t="n">
        <f aca="false">LEN(L1415)</f>
        <v>25</v>
      </c>
      <c r="O1415" s="5" t="n">
        <f aca="false">LEN(M1415)</f>
        <v>25</v>
      </c>
      <c r="P1415" s="14" t="n">
        <f aca="false">IF(N1415=0,"",(N1415-LEN(SUBSTITUTE(SUBSTITUTE(L1415,"G",""),"C","")))/N1415)</f>
        <v>0.44</v>
      </c>
      <c r="Q1415" s="14" t="n">
        <f aca="false">IF(O1415=0,"",(O1415-LEN(SUBSTITUTE(SUBSTITUTE(M1415,"G",""),"C","")))/O1415)</f>
        <v>0.44</v>
      </c>
      <c r="R1415" s="5" t="s">
        <v>1440</v>
      </c>
      <c r="S1415" s="15" t="s">
        <v>1677</v>
      </c>
      <c r="T1415" s="5" t="n">
        <v>636</v>
      </c>
      <c r="U1415" s="5" t="s">
        <v>1678</v>
      </c>
      <c r="V1415" s="5" t="s">
        <v>1398</v>
      </c>
      <c r="W1415" s="5"/>
      <c r="X1415" s="5"/>
      <c r="Y1415" s="5"/>
    </row>
    <row r="1416" customFormat="false" ht="15" hidden="false" customHeight="false" outlineLevel="0" collapsed="false">
      <c r="A1416" s="5" t="s">
        <v>13811</v>
      </c>
      <c r="B1416" s="5" t="s">
        <v>1441</v>
      </c>
      <c r="C1416" s="5" t="s">
        <v>1442</v>
      </c>
      <c r="D1416" s="9" t="s">
        <v>66</v>
      </c>
      <c r="E1416" s="5" t="n">
        <v>1</v>
      </c>
      <c r="F1416" s="5" t="s">
        <v>13812</v>
      </c>
      <c r="G1416" s="13" t="s">
        <v>13813</v>
      </c>
      <c r="H1416" s="5" t="s">
        <v>13814</v>
      </c>
      <c r="I1416" s="13" t="s">
        <v>13815</v>
      </c>
      <c r="J1416" s="5" t="s">
        <v>13816</v>
      </c>
      <c r="K1416" s="5" t="s">
        <v>13817</v>
      </c>
      <c r="L1416" s="13" t="s">
        <v>13818</v>
      </c>
      <c r="M1416" s="13" t="s">
        <v>13819</v>
      </c>
      <c r="N1416" s="5" t="n">
        <f aca="false">LEN(L1416)</f>
        <v>25</v>
      </c>
      <c r="O1416" s="5" t="n">
        <f aca="false">LEN(M1416)</f>
        <v>25</v>
      </c>
      <c r="P1416" s="14" t="n">
        <f aca="false">IF(N1416=0,"",(N1416-LEN(SUBSTITUTE(SUBSTITUTE(L1416,"G",""),"C","")))/N1416)</f>
        <v>0.36</v>
      </c>
      <c r="Q1416" s="14" t="n">
        <f aca="false">IF(O1416=0,"",(O1416-LEN(SUBSTITUTE(SUBSTITUTE(M1416,"G",""),"C","")))/O1416)</f>
        <v>0.48</v>
      </c>
      <c r="R1416" s="5" t="s">
        <v>1447</v>
      </c>
      <c r="S1416" s="15" t="s">
        <v>1677</v>
      </c>
      <c r="T1416" s="5" t="n">
        <v>76</v>
      </c>
      <c r="U1416" s="5" t="s">
        <v>1678</v>
      </c>
      <c r="V1416" s="5" t="s">
        <v>1398</v>
      </c>
      <c r="W1416" s="5"/>
      <c r="X1416" s="5"/>
      <c r="Y1416" s="5"/>
    </row>
    <row r="1417" customFormat="false" ht="15" hidden="false" customHeight="false" outlineLevel="0" collapsed="false">
      <c r="A1417" s="5" t="s">
        <v>13820</v>
      </c>
      <c r="B1417" s="5" t="s">
        <v>1441</v>
      </c>
      <c r="C1417" s="5" t="s">
        <v>1442</v>
      </c>
      <c r="D1417" s="9" t="s">
        <v>66</v>
      </c>
      <c r="E1417" s="5" t="n">
        <v>2</v>
      </c>
      <c r="F1417" s="5" t="s">
        <v>13821</v>
      </c>
      <c r="G1417" s="13" t="s">
        <v>13822</v>
      </c>
      <c r="H1417" s="5" t="s">
        <v>13823</v>
      </c>
      <c r="I1417" s="13" t="s">
        <v>13824</v>
      </c>
      <c r="J1417" s="5" t="s">
        <v>13825</v>
      </c>
      <c r="K1417" s="5" t="s">
        <v>13826</v>
      </c>
      <c r="L1417" s="13" t="s">
        <v>13827</v>
      </c>
      <c r="M1417" s="13" t="s">
        <v>13828</v>
      </c>
      <c r="N1417" s="5" t="n">
        <f aca="false">LEN(L1417)</f>
        <v>25</v>
      </c>
      <c r="O1417" s="5" t="n">
        <f aca="false">LEN(M1417)</f>
        <v>25</v>
      </c>
      <c r="P1417" s="14" t="n">
        <f aca="false">IF(N1417=0,"",(N1417-LEN(SUBSTITUTE(SUBSTITUTE(L1417,"G",""),"C","")))/N1417)</f>
        <v>0.56</v>
      </c>
      <c r="Q1417" s="14" t="n">
        <f aca="false">IF(O1417=0,"",(O1417-LEN(SUBSTITUTE(SUBSTITUTE(M1417,"G",""),"C","")))/O1417)</f>
        <v>0.48</v>
      </c>
      <c r="R1417" s="5" t="s">
        <v>1447</v>
      </c>
      <c r="S1417" s="15" t="s">
        <v>1677</v>
      </c>
      <c r="T1417" s="5" t="n">
        <v>146</v>
      </c>
      <c r="U1417" s="5" t="s">
        <v>1678</v>
      </c>
      <c r="V1417" s="5" t="s">
        <v>1398</v>
      </c>
      <c r="W1417" s="5"/>
      <c r="X1417" s="5"/>
      <c r="Y1417" s="5"/>
    </row>
    <row r="1418" customFormat="false" ht="15" hidden="false" customHeight="false" outlineLevel="0" collapsed="false">
      <c r="A1418" s="5" t="s">
        <v>13829</v>
      </c>
      <c r="B1418" s="5" t="s">
        <v>1441</v>
      </c>
      <c r="C1418" s="5" t="s">
        <v>1442</v>
      </c>
      <c r="D1418" s="9" t="s">
        <v>66</v>
      </c>
      <c r="E1418" s="5" t="n">
        <v>3</v>
      </c>
      <c r="F1418" s="5" t="s">
        <v>13830</v>
      </c>
      <c r="G1418" s="13" t="s">
        <v>13831</v>
      </c>
      <c r="H1418" s="5" t="s">
        <v>13832</v>
      </c>
      <c r="I1418" s="13" t="s">
        <v>13833</v>
      </c>
      <c r="J1418" s="5" t="s">
        <v>13834</v>
      </c>
      <c r="K1418" s="5" t="s">
        <v>13835</v>
      </c>
      <c r="L1418" s="13" t="s">
        <v>13836</v>
      </c>
      <c r="M1418" s="13" t="s">
        <v>13837</v>
      </c>
      <c r="N1418" s="5" t="n">
        <f aca="false">LEN(L1418)</f>
        <v>25</v>
      </c>
      <c r="O1418" s="5" t="n">
        <f aca="false">LEN(M1418)</f>
        <v>25</v>
      </c>
      <c r="P1418" s="14" t="n">
        <f aca="false">IF(N1418=0,"",(N1418-LEN(SUBSTITUTE(SUBSTITUTE(L1418,"G",""),"C","")))/N1418)</f>
        <v>0.36</v>
      </c>
      <c r="Q1418" s="14" t="n">
        <f aca="false">IF(O1418=0,"",(O1418-LEN(SUBSTITUTE(SUBSTITUTE(M1418,"G",""),"C","")))/O1418)</f>
        <v>0.44</v>
      </c>
      <c r="R1418" s="5" t="s">
        <v>1447</v>
      </c>
      <c r="S1418" s="15" t="s">
        <v>1677</v>
      </c>
      <c r="T1418" s="5" t="n">
        <v>216</v>
      </c>
      <c r="U1418" s="5" t="s">
        <v>1678</v>
      </c>
      <c r="V1418" s="5" t="s">
        <v>1398</v>
      </c>
      <c r="W1418" s="5"/>
      <c r="X1418" s="5"/>
      <c r="Y1418" s="5"/>
    </row>
    <row r="1419" customFormat="false" ht="15" hidden="false" customHeight="false" outlineLevel="0" collapsed="false">
      <c r="A1419" s="5" t="s">
        <v>13838</v>
      </c>
      <c r="B1419" s="5" t="s">
        <v>1441</v>
      </c>
      <c r="C1419" s="5" t="s">
        <v>1442</v>
      </c>
      <c r="D1419" s="9" t="s">
        <v>66</v>
      </c>
      <c r="E1419" s="5" t="n">
        <v>4</v>
      </c>
      <c r="F1419" s="5" t="s">
        <v>13839</v>
      </c>
      <c r="G1419" s="13" t="s">
        <v>13840</v>
      </c>
      <c r="H1419" s="5" t="s">
        <v>13841</v>
      </c>
      <c r="I1419" s="13" t="s">
        <v>13842</v>
      </c>
      <c r="J1419" s="5" t="s">
        <v>13843</v>
      </c>
      <c r="K1419" s="5" t="s">
        <v>13844</v>
      </c>
      <c r="L1419" s="13" t="s">
        <v>13845</v>
      </c>
      <c r="M1419" s="13" t="s">
        <v>13846</v>
      </c>
      <c r="N1419" s="5" t="n">
        <f aca="false">LEN(L1419)</f>
        <v>25</v>
      </c>
      <c r="O1419" s="5" t="n">
        <f aca="false">LEN(M1419)</f>
        <v>25</v>
      </c>
      <c r="P1419" s="14" t="n">
        <f aca="false">IF(N1419=0,"",(N1419-LEN(SUBSTITUTE(SUBSTITUTE(L1419,"G",""),"C","")))/N1419)</f>
        <v>0.48</v>
      </c>
      <c r="Q1419" s="14" t="n">
        <f aca="false">IF(O1419=0,"",(O1419-LEN(SUBSTITUTE(SUBSTITUTE(M1419,"G",""),"C","")))/O1419)</f>
        <v>0.48</v>
      </c>
      <c r="R1419" s="5" t="s">
        <v>1447</v>
      </c>
      <c r="S1419" s="15" t="s">
        <v>1677</v>
      </c>
      <c r="T1419" s="5" t="n">
        <v>286</v>
      </c>
      <c r="U1419" s="5" t="s">
        <v>1678</v>
      </c>
      <c r="V1419" s="5" t="s">
        <v>1398</v>
      </c>
      <c r="W1419" s="5"/>
      <c r="X1419" s="5"/>
      <c r="Y1419" s="5"/>
    </row>
    <row r="1420" customFormat="false" ht="15" hidden="false" customHeight="false" outlineLevel="0" collapsed="false">
      <c r="A1420" s="5" t="s">
        <v>13847</v>
      </c>
      <c r="B1420" s="5" t="s">
        <v>1441</v>
      </c>
      <c r="C1420" s="5" t="s">
        <v>1442</v>
      </c>
      <c r="D1420" s="9" t="s">
        <v>66</v>
      </c>
      <c r="E1420" s="5" t="n">
        <v>5</v>
      </c>
      <c r="F1420" s="5" t="s">
        <v>13848</v>
      </c>
      <c r="G1420" s="13" t="s">
        <v>13849</v>
      </c>
      <c r="H1420" s="5" t="s">
        <v>13850</v>
      </c>
      <c r="I1420" s="13" t="s">
        <v>13851</v>
      </c>
      <c r="J1420" s="5" t="s">
        <v>13852</v>
      </c>
      <c r="K1420" s="5" t="s">
        <v>13853</v>
      </c>
      <c r="L1420" s="13" t="s">
        <v>13854</v>
      </c>
      <c r="M1420" s="13" t="s">
        <v>13855</v>
      </c>
      <c r="N1420" s="5" t="n">
        <f aca="false">LEN(L1420)</f>
        <v>25</v>
      </c>
      <c r="O1420" s="5" t="n">
        <f aca="false">LEN(M1420)</f>
        <v>25</v>
      </c>
      <c r="P1420" s="14" t="n">
        <f aca="false">IF(N1420=0,"",(N1420-LEN(SUBSTITUTE(SUBSTITUTE(L1420,"G",""),"C","")))/N1420)</f>
        <v>0.52</v>
      </c>
      <c r="Q1420" s="14" t="n">
        <f aca="false">IF(O1420=0,"",(O1420-LEN(SUBSTITUTE(SUBSTITUTE(M1420,"G",""),"C","")))/O1420)</f>
        <v>0.44</v>
      </c>
      <c r="R1420" s="5" t="s">
        <v>1447</v>
      </c>
      <c r="S1420" s="15" t="s">
        <v>1677</v>
      </c>
      <c r="T1420" s="5" t="n">
        <v>356</v>
      </c>
      <c r="U1420" s="5" t="s">
        <v>1678</v>
      </c>
      <c r="V1420" s="5" t="s">
        <v>1398</v>
      </c>
      <c r="W1420" s="5"/>
      <c r="X1420" s="5"/>
      <c r="Y1420" s="5"/>
    </row>
    <row r="1421" customFormat="false" ht="15" hidden="false" customHeight="false" outlineLevel="0" collapsed="false">
      <c r="A1421" s="5" t="s">
        <v>13856</v>
      </c>
      <c r="B1421" s="5" t="s">
        <v>1441</v>
      </c>
      <c r="C1421" s="5" t="s">
        <v>1442</v>
      </c>
      <c r="D1421" s="9" t="s">
        <v>66</v>
      </c>
      <c r="E1421" s="5" t="n">
        <v>6</v>
      </c>
      <c r="F1421" s="5" t="s">
        <v>13857</v>
      </c>
      <c r="G1421" s="13" t="s">
        <v>13858</v>
      </c>
      <c r="H1421" s="5" t="s">
        <v>13859</v>
      </c>
      <c r="I1421" s="13" t="s">
        <v>13860</v>
      </c>
      <c r="J1421" s="5" t="s">
        <v>13861</v>
      </c>
      <c r="K1421" s="5" t="s">
        <v>13862</v>
      </c>
      <c r="L1421" s="13" t="s">
        <v>13863</v>
      </c>
      <c r="M1421" s="13" t="s">
        <v>13864</v>
      </c>
      <c r="N1421" s="5" t="n">
        <f aca="false">LEN(L1421)</f>
        <v>25</v>
      </c>
      <c r="O1421" s="5" t="n">
        <f aca="false">LEN(M1421)</f>
        <v>25</v>
      </c>
      <c r="P1421" s="14" t="n">
        <f aca="false">IF(N1421=0,"",(N1421-LEN(SUBSTITUTE(SUBSTITUTE(L1421,"G",""),"C","")))/N1421)</f>
        <v>0.52</v>
      </c>
      <c r="Q1421" s="14" t="n">
        <f aca="false">IF(O1421=0,"",(O1421-LEN(SUBSTITUTE(SUBSTITUTE(M1421,"G",""),"C","")))/O1421)</f>
        <v>0.28</v>
      </c>
      <c r="R1421" s="5" t="s">
        <v>1447</v>
      </c>
      <c r="S1421" s="15" t="s">
        <v>1677</v>
      </c>
      <c r="T1421" s="5" t="n">
        <v>426</v>
      </c>
      <c r="U1421" s="5" t="s">
        <v>1678</v>
      </c>
      <c r="V1421" s="5" t="s">
        <v>1398</v>
      </c>
      <c r="W1421" s="5"/>
      <c r="X1421" s="5"/>
      <c r="Y1421" s="5"/>
    </row>
    <row r="1422" customFormat="false" ht="15" hidden="false" customHeight="false" outlineLevel="0" collapsed="false">
      <c r="A1422" s="5" t="s">
        <v>13865</v>
      </c>
      <c r="B1422" s="5" t="s">
        <v>1448</v>
      </c>
      <c r="C1422" s="5" t="s">
        <v>1449</v>
      </c>
      <c r="D1422" s="9" t="s">
        <v>66</v>
      </c>
      <c r="E1422" s="5" t="n">
        <v>1</v>
      </c>
      <c r="F1422" s="5" t="s">
        <v>13866</v>
      </c>
      <c r="G1422" s="13" t="s">
        <v>13867</v>
      </c>
      <c r="H1422" s="5" t="s">
        <v>13868</v>
      </c>
      <c r="I1422" s="13" t="s">
        <v>13869</v>
      </c>
      <c r="J1422" s="5" t="s">
        <v>13870</v>
      </c>
      <c r="K1422" s="5" t="s">
        <v>13871</v>
      </c>
      <c r="L1422" s="13" t="s">
        <v>13872</v>
      </c>
      <c r="M1422" s="13" t="s">
        <v>13873</v>
      </c>
      <c r="N1422" s="5" t="n">
        <f aca="false">LEN(L1422)</f>
        <v>25</v>
      </c>
      <c r="O1422" s="5" t="n">
        <f aca="false">LEN(M1422)</f>
        <v>25</v>
      </c>
      <c r="P1422" s="14" t="n">
        <f aca="false">IF(N1422=0,"",(N1422-LEN(SUBSTITUTE(SUBSTITUTE(L1422,"G",""),"C","")))/N1422)</f>
        <v>0.48</v>
      </c>
      <c r="Q1422" s="14" t="n">
        <f aca="false">IF(O1422=0,"",(O1422-LEN(SUBSTITUTE(SUBSTITUTE(M1422,"G",""),"C","")))/O1422)</f>
        <v>0.6</v>
      </c>
      <c r="R1422" s="5" t="s">
        <v>1453</v>
      </c>
      <c r="S1422" s="15" t="s">
        <v>1677</v>
      </c>
      <c r="T1422" s="5" t="n">
        <v>146</v>
      </c>
      <c r="U1422" s="5" t="s">
        <v>1678</v>
      </c>
      <c r="V1422" s="5" t="s">
        <v>1398</v>
      </c>
      <c r="W1422" s="5"/>
      <c r="X1422" s="5"/>
      <c r="Y1422" s="5"/>
    </row>
    <row r="1423" customFormat="false" ht="15" hidden="false" customHeight="false" outlineLevel="0" collapsed="false">
      <c r="A1423" s="5" t="s">
        <v>13874</v>
      </c>
      <c r="B1423" s="5" t="s">
        <v>1448</v>
      </c>
      <c r="C1423" s="5" t="s">
        <v>1449</v>
      </c>
      <c r="D1423" s="9" t="s">
        <v>66</v>
      </c>
      <c r="E1423" s="5" t="n">
        <v>2</v>
      </c>
      <c r="F1423" s="5" t="s">
        <v>13875</v>
      </c>
      <c r="G1423" s="13" t="s">
        <v>13876</v>
      </c>
      <c r="H1423" s="5" t="s">
        <v>13877</v>
      </c>
      <c r="I1423" s="13" t="s">
        <v>13878</v>
      </c>
      <c r="J1423" s="5" t="s">
        <v>13879</v>
      </c>
      <c r="K1423" s="5" t="s">
        <v>13880</v>
      </c>
      <c r="L1423" s="13" t="s">
        <v>13881</v>
      </c>
      <c r="M1423" s="13" t="s">
        <v>13882</v>
      </c>
      <c r="N1423" s="5" t="n">
        <f aca="false">LEN(L1423)</f>
        <v>25</v>
      </c>
      <c r="O1423" s="5" t="n">
        <f aca="false">LEN(M1423)</f>
        <v>25</v>
      </c>
      <c r="P1423" s="14" t="n">
        <f aca="false">IF(N1423=0,"",(N1423-LEN(SUBSTITUTE(SUBSTITUTE(L1423,"G",""),"C","")))/N1423)</f>
        <v>0.48</v>
      </c>
      <c r="Q1423" s="14" t="n">
        <f aca="false">IF(O1423=0,"",(O1423-LEN(SUBSTITUTE(SUBSTITUTE(M1423,"G",""),"C","")))/O1423)</f>
        <v>0.4</v>
      </c>
      <c r="R1423" s="5" t="s">
        <v>1453</v>
      </c>
      <c r="S1423" s="15" t="s">
        <v>1677</v>
      </c>
      <c r="T1423" s="5" t="n">
        <v>216</v>
      </c>
      <c r="U1423" s="5" t="s">
        <v>1678</v>
      </c>
      <c r="V1423" s="5" t="s">
        <v>1398</v>
      </c>
      <c r="W1423" s="5"/>
      <c r="X1423" s="5"/>
      <c r="Y1423" s="5"/>
    </row>
    <row r="1424" customFormat="false" ht="15" hidden="false" customHeight="false" outlineLevel="0" collapsed="false">
      <c r="A1424" s="5" t="s">
        <v>13883</v>
      </c>
      <c r="B1424" s="5" t="s">
        <v>1448</v>
      </c>
      <c r="C1424" s="5" t="s">
        <v>1449</v>
      </c>
      <c r="D1424" s="9" t="s">
        <v>66</v>
      </c>
      <c r="E1424" s="5" t="n">
        <v>3</v>
      </c>
      <c r="F1424" s="5" t="s">
        <v>13884</v>
      </c>
      <c r="G1424" s="13" t="s">
        <v>13885</v>
      </c>
      <c r="H1424" s="5" t="s">
        <v>13886</v>
      </c>
      <c r="I1424" s="13" t="s">
        <v>13887</v>
      </c>
      <c r="J1424" s="5" t="s">
        <v>13888</v>
      </c>
      <c r="K1424" s="5" t="s">
        <v>13889</v>
      </c>
      <c r="L1424" s="13" t="s">
        <v>13890</v>
      </c>
      <c r="M1424" s="13" t="s">
        <v>13891</v>
      </c>
      <c r="N1424" s="5" t="n">
        <f aca="false">LEN(L1424)</f>
        <v>25</v>
      </c>
      <c r="O1424" s="5" t="n">
        <f aca="false">LEN(M1424)</f>
        <v>25</v>
      </c>
      <c r="P1424" s="14" t="n">
        <f aca="false">IF(N1424=0,"",(N1424-LEN(SUBSTITUTE(SUBSTITUTE(L1424,"G",""),"C","")))/N1424)</f>
        <v>0.4</v>
      </c>
      <c r="Q1424" s="14" t="n">
        <f aca="false">IF(O1424=0,"",(O1424-LEN(SUBSTITUTE(SUBSTITUTE(M1424,"G",""),"C","")))/O1424)</f>
        <v>0.52</v>
      </c>
      <c r="R1424" s="5" t="s">
        <v>1453</v>
      </c>
      <c r="S1424" s="15" t="s">
        <v>1677</v>
      </c>
      <c r="T1424" s="5" t="n">
        <v>286</v>
      </c>
      <c r="U1424" s="5" t="s">
        <v>1678</v>
      </c>
      <c r="V1424" s="5" t="s">
        <v>1398</v>
      </c>
      <c r="W1424" s="5"/>
      <c r="X1424" s="5"/>
      <c r="Y1424" s="5"/>
    </row>
    <row r="1425" customFormat="false" ht="15" hidden="false" customHeight="false" outlineLevel="0" collapsed="false">
      <c r="A1425" s="5" t="s">
        <v>13892</v>
      </c>
      <c r="B1425" s="5" t="s">
        <v>1448</v>
      </c>
      <c r="C1425" s="5" t="s">
        <v>1449</v>
      </c>
      <c r="D1425" s="9" t="s">
        <v>66</v>
      </c>
      <c r="E1425" s="5" t="n">
        <v>4</v>
      </c>
      <c r="F1425" s="5" t="s">
        <v>13893</v>
      </c>
      <c r="G1425" s="13" t="s">
        <v>13894</v>
      </c>
      <c r="H1425" s="5" t="s">
        <v>13895</v>
      </c>
      <c r="I1425" s="13" t="s">
        <v>13896</v>
      </c>
      <c r="J1425" s="5" t="s">
        <v>13897</v>
      </c>
      <c r="K1425" s="5" t="s">
        <v>13898</v>
      </c>
      <c r="L1425" s="13" t="s">
        <v>13899</v>
      </c>
      <c r="M1425" s="13" t="s">
        <v>13900</v>
      </c>
      <c r="N1425" s="5" t="n">
        <f aca="false">LEN(L1425)</f>
        <v>25</v>
      </c>
      <c r="O1425" s="5" t="n">
        <f aca="false">LEN(M1425)</f>
        <v>25</v>
      </c>
      <c r="P1425" s="14" t="n">
        <f aca="false">IF(N1425=0,"",(N1425-LEN(SUBSTITUTE(SUBSTITUTE(L1425,"G",""),"C","")))/N1425)</f>
        <v>0.44</v>
      </c>
      <c r="Q1425" s="14" t="n">
        <f aca="false">IF(O1425=0,"",(O1425-LEN(SUBSTITUTE(SUBSTITUTE(M1425,"G",""),"C","")))/O1425)</f>
        <v>0.6</v>
      </c>
      <c r="R1425" s="5" t="s">
        <v>1453</v>
      </c>
      <c r="S1425" s="15" t="s">
        <v>1677</v>
      </c>
      <c r="T1425" s="5" t="n">
        <v>356</v>
      </c>
      <c r="U1425" s="5" t="s">
        <v>1678</v>
      </c>
      <c r="V1425" s="5" t="s">
        <v>1398</v>
      </c>
      <c r="W1425" s="5"/>
      <c r="X1425" s="5"/>
      <c r="Y1425" s="5"/>
    </row>
    <row r="1426" customFormat="false" ht="15" hidden="false" customHeight="false" outlineLevel="0" collapsed="false">
      <c r="A1426" s="5" t="s">
        <v>13901</v>
      </c>
      <c r="B1426" s="5" t="s">
        <v>1448</v>
      </c>
      <c r="C1426" s="5" t="s">
        <v>1449</v>
      </c>
      <c r="D1426" s="9" t="s">
        <v>66</v>
      </c>
      <c r="E1426" s="5" t="n">
        <v>5</v>
      </c>
      <c r="F1426" s="5" t="s">
        <v>13902</v>
      </c>
      <c r="G1426" s="13" t="s">
        <v>13903</v>
      </c>
      <c r="H1426" s="5" t="s">
        <v>13904</v>
      </c>
      <c r="I1426" s="13" t="s">
        <v>13905</v>
      </c>
      <c r="J1426" s="5" t="s">
        <v>13906</v>
      </c>
      <c r="K1426" s="5" t="s">
        <v>13907</v>
      </c>
      <c r="L1426" s="13" t="s">
        <v>13908</v>
      </c>
      <c r="M1426" s="13" t="s">
        <v>13909</v>
      </c>
      <c r="N1426" s="5" t="n">
        <f aca="false">LEN(L1426)</f>
        <v>25</v>
      </c>
      <c r="O1426" s="5" t="n">
        <f aca="false">LEN(M1426)</f>
        <v>25</v>
      </c>
      <c r="P1426" s="14" t="n">
        <f aca="false">IF(N1426=0,"",(N1426-LEN(SUBSTITUTE(SUBSTITUTE(L1426,"G",""),"C","")))/N1426)</f>
        <v>0.52</v>
      </c>
      <c r="Q1426" s="14" t="n">
        <f aca="false">IF(O1426=0,"",(O1426-LEN(SUBSTITUTE(SUBSTITUTE(M1426,"G",""),"C","")))/O1426)</f>
        <v>0.44</v>
      </c>
      <c r="R1426" s="5" t="s">
        <v>1453</v>
      </c>
      <c r="S1426" s="15" t="s">
        <v>1677</v>
      </c>
      <c r="T1426" s="5" t="n">
        <v>426</v>
      </c>
      <c r="U1426" s="5" t="s">
        <v>1678</v>
      </c>
      <c r="V1426" s="5" t="s">
        <v>1398</v>
      </c>
      <c r="W1426" s="5"/>
      <c r="X1426" s="5"/>
      <c r="Y1426" s="5"/>
    </row>
    <row r="1427" customFormat="false" ht="15" hidden="false" customHeight="false" outlineLevel="0" collapsed="false">
      <c r="A1427" s="5" t="s">
        <v>13910</v>
      </c>
      <c r="B1427" s="5" t="s">
        <v>1448</v>
      </c>
      <c r="C1427" s="5" t="s">
        <v>1449</v>
      </c>
      <c r="D1427" s="9" t="s">
        <v>66</v>
      </c>
      <c r="E1427" s="5" t="n">
        <v>6</v>
      </c>
      <c r="F1427" s="5" t="s">
        <v>13911</v>
      </c>
      <c r="G1427" s="13" t="s">
        <v>13912</v>
      </c>
      <c r="H1427" s="5" t="s">
        <v>13913</v>
      </c>
      <c r="I1427" s="13" t="s">
        <v>13914</v>
      </c>
      <c r="J1427" s="5" t="s">
        <v>13915</v>
      </c>
      <c r="K1427" s="5" t="s">
        <v>13916</v>
      </c>
      <c r="L1427" s="13" t="s">
        <v>13917</v>
      </c>
      <c r="M1427" s="13" t="s">
        <v>13918</v>
      </c>
      <c r="N1427" s="5" t="n">
        <f aca="false">LEN(L1427)</f>
        <v>25</v>
      </c>
      <c r="O1427" s="5" t="n">
        <f aca="false">LEN(M1427)</f>
        <v>25</v>
      </c>
      <c r="P1427" s="14" t="n">
        <f aca="false">IF(N1427=0,"",(N1427-LEN(SUBSTITUTE(SUBSTITUTE(L1427,"G",""),"C","")))/N1427)</f>
        <v>0.48</v>
      </c>
      <c r="Q1427" s="14" t="n">
        <f aca="false">IF(O1427=0,"",(O1427-LEN(SUBSTITUTE(SUBSTITUTE(M1427,"G",""),"C","")))/O1427)</f>
        <v>0.6</v>
      </c>
      <c r="R1427" s="5" t="s">
        <v>1453</v>
      </c>
      <c r="S1427" s="15" t="s">
        <v>1677</v>
      </c>
      <c r="T1427" s="5" t="n">
        <v>496</v>
      </c>
      <c r="U1427" s="5" t="s">
        <v>1678</v>
      </c>
      <c r="V1427" s="5" t="s">
        <v>1398</v>
      </c>
      <c r="W1427" s="5"/>
      <c r="X1427" s="5"/>
      <c r="Y1427" s="5"/>
    </row>
    <row r="1428" customFormat="false" ht="15" hidden="false" customHeight="false" outlineLevel="0" collapsed="false">
      <c r="A1428" s="5" t="s">
        <v>13919</v>
      </c>
      <c r="B1428" s="5" t="s">
        <v>1448</v>
      </c>
      <c r="C1428" s="5" t="s">
        <v>1449</v>
      </c>
      <c r="D1428" s="9" t="s">
        <v>66</v>
      </c>
      <c r="E1428" s="5" t="n">
        <v>7</v>
      </c>
      <c r="F1428" s="5" t="s">
        <v>13920</v>
      </c>
      <c r="G1428" s="13" t="s">
        <v>13921</v>
      </c>
      <c r="H1428" s="5" t="s">
        <v>13922</v>
      </c>
      <c r="I1428" s="13" t="s">
        <v>13923</v>
      </c>
      <c r="J1428" s="5" t="s">
        <v>13924</v>
      </c>
      <c r="K1428" s="5" t="s">
        <v>13925</v>
      </c>
      <c r="L1428" s="13" t="s">
        <v>13926</v>
      </c>
      <c r="M1428" s="13" t="s">
        <v>13927</v>
      </c>
      <c r="N1428" s="5" t="n">
        <f aca="false">LEN(L1428)</f>
        <v>25</v>
      </c>
      <c r="O1428" s="5" t="n">
        <f aca="false">LEN(M1428)</f>
        <v>25</v>
      </c>
      <c r="P1428" s="14" t="n">
        <f aca="false">IF(N1428=0,"",(N1428-LEN(SUBSTITUTE(SUBSTITUTE(L1428,"G",""),"C","")))/N1428)</f>
        <v>0.52</v>
      </c>
      <c r="Q1428" s="14" t="n">
        <f aca="false">IF(O1428=0,"",(O1428-LEN(SUBSTITUTE(SUBSTITUTE(M1428,"G",""),"C","")))/O1428)</f>
        <v>0.44</v>
      </c>
      <c r="R1428" s="5" t="s">
        <v>1453</v>
      </c>
      <c r="S1428" s="15" t="s">
        <v>1677</v>
      </c>
      <c r="T1428" s="5" t="n">
        <v>566</v>
      </c>
      <c r="U1428" s="5" t="s">
        <v>1678</v>
      </c>
      <c r="V1428" s="5" t="s">
        <v>1398</v>
      </c>
      <c r="W1428" s="5"/>
      <c r="X1428" s="5"/>
      <c r="Y1428" s="5"/>
    </row>
    <row r="1429" customFormat="false" ht="15" hidden="false" customHeight="false" outlineLevel="0" collapsed="false">
      <c r="A1429" s="5" t="s">
        <v>13928</v>
      </c>
      <c r="B1429" s="5" t="s">
        <v>1448</v>
      </c>
      <c r="C1429" s="5" t="s">
        <v>1449</v>
      </c>
      <c r="D1429" s="9" t="s">
        <v>66</v>
      </c>
      <c r="E1429" s="5" t="n">
        <v>8</v>
      </c>
      <c r="F1429" s="5" t="s">
        <v>13929</v>
      </c>
      <c r="G1429" s="13" t="s">
        <v>13930</v>
      </c>
      <c r="H1429" s="5" t="s">
        <v>13931</v>
      </c>
      <c r="I1429" s="13" t="s">
        <v>13932</v>
      </c>
      <c r="J1429" s="5" t="s">
        <v>13933</v>
      </c>
      <c r="K1429" s="5" t="s">
        <v>13934</v>
      </c>
      <c r="L1429" s="13" t="s">
        <v>13935</v>
      </c>
      <c r="M1429" s="13" t="s">
        <v>13936</v>
      </c>
      <c r="N1429" s="5" t="n">
        <f aca="false">LEN(L1429)</f>
        <v>25</v>
      </c>
      <c r="O1429" s="5" t="n">
        <f aca="false">LEN(M1429)</f>
        <v>25</v>
      </c>
      <c r="P1429" s="14" t="n">
        <f aca="false">IF(N1429=0,"",(N1429-LEN(SUBSTITUTE(SUBSTITUTE(L1429,"G",""),"C","")))/N1429)</f>
        <v>0.36</v>
      </c>
      <c r="Q1429" s="14" t="n">
        <f aca="false">IF(O1429=0,"",(O1429-LEN(SUBSTITUTE(SUBSTITUTE(M1429,"G",""),"C","")))/O1429)</f>
        <v>0.48</v>
      </c>
      <c r="R1429" s="5" t="s">
        <v>1453</v>
      </c>
      <c r="S1429" s="15" t="s">
        <v>1677</v>
      </c>
      <c r="T1429" s="5" t="n">
        <v>636</v>
      </c>
      <c r="U1429" s="5" t="s">
        <v>1678</v>
      </c>
      <c r="V1429" s="5" t="s">
        <v>1398</v>
      </c>
      <c r="W1429" s="5"/>
      <c r="X1429" s="5"/>
      <c r="Y1429" s="5"/>
    </row>
    <row r="1430" customFormat="false" ht="15" hidden="false" customHeight="false" outlineLevel="0" collapsed="false">
      <c r="A1430" s="5" t="s">
        <v>13937</v>
      </c>
      <c r="B1430" s="5" t="s">
        <v>1454</v>
      </c>
      <c r="C1430" s="5" t="s">
        <v>1455</v>
      </c>
      <c r="D1430" s="9" t="s">
        <v>66</v>
      </c>
      <c r="E1430" s="5" t="n">
        <v>1</v>
      </c>
      <c r="F1430" s="5" t="s">
        <v>13938</v>
      </c>
      <c r="G1430" s="13" t="s">
        <v>13939</v>
      </c>
      <c r="H1430" s="5" t="s">
        <v>13940</v>
      </c>
      <c r="I1430" s="13" t="s">
        <v>13941</v>
      </c>
      <c r="J1430" s="5" t="s">
        <v>13942</v>
      </c>
      <c r="K1430" s="5" t="s">
        <v>13943</v>
      </c>
      <c r="L1430" s="13" t="s">
        <v>13944</v>
      </c>
      <c r="M1430" s="13" t="s">
        <v>13945</v>
      </c>
      <c r="N1430" s="5" t="n">
        <f aca="false">LEN(L1430)</f>
        <v>25</v>
      </c>
      <c r="O1430" s="5" t="n">
        <f aca="false">LEN(M1430)</f>
        <v>25</v>
      </c>
      <c r="P1430" s="14" t="n">
        <f aca="false">IF(N1430=0,"",(N1430-LEN(SUBSTITUTE(SUBSTITUTE(L1430,"G",""),"C","")))/N1430)</f>
        <v>0.44</v>
      </c>
      <c r="Q1430" s="14" t="n">
        <f aca="false">IF(O1430=0,"",(O1430-LEN(SUBSTITUTE(SUBSTITUTE(M1430,"G",""),"C","")))/O1430)</f>
        <v>0.36</v>
      </c>
      <c r="R1430" s="5" t="s">
        <v>1459</v>
      </c>
      <c r="S1430" s="15" t="s">
        <v>1677</v>
      </c>
      <c r="T1430" s="5" t="n">
        <v>216</v>
      </c>
      <c r="U1430" s="5" t="s">
        <v>1678</v>
      </c>
      <c r="V1430" s="5" t="s">
        <v>1398</v>
      </c>
      <c r="W1430" s="5"/>
      <c r="X1430" s="5"/>
      <c r="Y1430" s="5"/>
    </row>
    <row r="1431" customFormat="false" ht="15" hidden="false" customHeight="false" outlineLevel="0" collapsed="false">
      <c r="A1431" s="5" t="s">
        <v>13946</v>
      </c>
      <c r="B1431" s="5" t="s">
        <v>1454</v>
      </c>
      <c r="C1431" s="5" t="s">
        <v>1455</v>
      </c>
      <c r="D1431" s="9" t="s">
        <v>66</v>
      </c>
      <c r="E1431" s="5" t="n">
        <v>2</v>
      </c>
      <c r="F1431" s="5" t="s">
        <v>13947</v>
      </c>
      <c r="G1431" s="13" t="s">
        <v>13948</v>
      </c>
      <c r="H1431" s="5" t="s">
        <v>13949</v>
      </c>
      <c r="I1431" s="13" t="s">
        <v>13950</v>
      </c>
      <c r="J1431" s="5" t="s">
        <v>13951</v>
      </c>
      <c r="K1431" s="5" t="s">
        <v>13952</v>
      </c>
      <c r="L1431" s="13" t="s">
        <v>13953</v>
      </c>
      <c r="M1431" s="13" t="s">
        <v>13954</v>
      </c>
      <c r="N1431" s="5" t="n">
        <f aca="false">LEN(L1431)</f>
        <v>25</v>
      </c>
      <c r="O1431" s="5" t="n">
        <f aca="false">LEN(M1431)</f>
        <v>25</v>
      </c>
      <c r="P1431" s="14" t="n">
        <f aca="false">IF(N1431=0,"",(N1431-LEN(SUBSTITUTE(SUBSTITUTE(L1431,"G",""),"C","")))/N1431)</f>
        <v>0.44</v>
      </c>
      <c r="Q1431" s="14" t="n">
        <f aca="false">IF(O1431=0,"",(O1431-LEN(SUBSTITUTE(SUBSTITUTE(M1431,"G",""),"C","")))/O1431)</f>
        <v>0.52</v>
      </c>
      <c r="R1431" s="5" t="s">
        <v>1459</v>
      </c>
      <c r="S1431" s="15" t="s">
        <v>1677</v>
      </c>
      <c r="T1431" s="5" t="n">
        <v>286</v>
      </c>
      <c r="U1431" s="5" t="s">
        <v>1678</v>
      </c>
      <c r="V1431" s="5" t="s">
        <v>1398</v>
      </c>
      <c r="W1431" s="5"/>
      <c r="X1431" s="5"/>
      <c r="Y1431" s="5"/>
    </row>
    <row r="1432" customFormat="false" ht="15" hidden="false" customHeight="false" outlineLevel="0" collapsed="false">
      <c r="A1432" s="5" t="s">
        <v>13955</v>
      </c>
      <c r="B1432" s="5" t="s">
        <v>1454</v>
      </c>
      <c r="C1432" s="5" t="s">
        <v>1455</v>
      </c>
      <c r="D1432" s="9" t="s">
        <v>66</v>
      </c>
      <c r="E1432" s="5" t="n">
        <v>3</v>
      </c>
      <c r="F1432" s="5" t="s">
        <v>13956</v>
      </c>
      <c r="G1432" s="13" t="s">
        <v>13957</v>
      </c>
      <c r="H1432" s="5" t="s">
        <v>13958</v>
      </c>
      <c r="I1432" s="13" t="s">
        <v>13959</v>
      </c>
      <c r="J1432" s="5" t="s">
        <v>13960</v>
      </c>
      <c r="K1432" s="5" t="s">
        <v>13961</v>
      </c>
      <c r="L1432" s="13" t="s">
        <v>13962</v>
      </c>
      <c r="M1432" s="13" t="s">
        <v>13963</v>
      </c>
      <c r="N1432" s="5" t="n">
        <f aca="false">LEN(L1432)</f>
        <v>25</v>
      </c>
      <c r="O1432" s="5" t="n">
        <f aca="false">LEN(M1432)</f>
        <v>25</v>
      </c>
      <c r="P1432" s="14" t="n">
        <f aca="false">IF(N1432=0,"",(N1432-LEN(SUBSTITUTE(SUBSTITUTE(L1432,"G",""),"C","")))/N1432)</f>
        <v>0.52</v>
      </c>
      <c r="Q1432" s="14" t="n">
        <f aca="false">IF(O1432=0,"",(O1432-LEN(SUBSTITUTE(SUBSTITUTE(M1432,"G",""),"C","")))/O1432)</f>
        <v>0.48</v>
      </c>
      <c r="R1432" s="5" t="s">
        <v>1459</v>
      </c>
      <c r="S1432" s="15" t="s">
        <v>1677</v>
      </c>
      <c r="T1432" s="5" t="n">
        <v>356</v>
      </c>
      <c r="U1432" s="5" t="s">
        <v>1678</v>
      </c>
      <c r="V1432" s="5" t="s">
        <v>1398</v>
      </c>
      <c r="W1432" s="5"/>
      <c r="X1432" s="5"/>
      <c r="Y1432" s="5"/>
    </row>
    <row r="1433" customFormat="false" ht="15" hidden="false" customHeight="false" outlineLevel="0" collapsed="false">
      <c r="A1433" s="5" t="s">
        <v>13964</v>
      </c>
      <c r="B1433" s="5" t="s">
        <v>1454</v>
      </c>
      <c r="C1433" s="5" t="s">
        <v>1455</v>
      </c>
      <c r="D1433" s="9" t="s">
        <v>66</v>
      </c>
      <c r="E1433" s="5" t="n">
        <v>4</v>
      </c>
      <c r="F1433" s="5" t="s">
        <v>13965</v>
      </c>
      <c r="G1433" s="13" t="s">
        <v>13966</v>
      </c>
      <c r="H1433" s="5" t="s">
        <v>13967</v>
      </c>
      <c r="I1433" s="13" t="s">
        <v>13968</v>
      </c>
      <c r="J1433" s="5" t="s">
        <v>13969</v>
      </c>
      <c r="K1433" s="5" t="s">
        <v>13970</v>
      </c>
      <c r="L1433" s="13" t="s">
        <v>13971</v>
      </c>
      <c r="M1433" s="13" t="s">
        <v>13972</v>
      </c>
      <c r="N1433" s="5" t="n">
        <f aca="false">LEN(L1433)</f>
        <v>25</v>
      </c>
      <c r="O1433" s="5" t="n">
        <f aca="false">LEN(M1433)</f>
        <v>25</v>
      </c>
      <c r="P1433" s="14" t="n">
        <f aca="false">IF(N1433=0,"",(N1433-LEN(SUBSTITUTE(SUBSTITUTE(L1433,"G",""),"C","")))/N1433)</f>
        <v>0.6</v>
      </c>
      <c r="Q1433" s="14" t="n">
        <f aca="false">IF(O1433=0,"",(O1433-LEN(SUBSTITUTE(SUBSTITUTE(M1433,"G",""),"C","")))/O1433)</f>
        <v>0.56</v>
      </c>
      <c r="R1433" s="5" t="s">
        <v>1459</v>
      </c>
      <c r="S1433" s="15" t="s">
        <v>1677</v>
      </c>
      <c r="T1433" s="5" t="n">
        <v>426</v>
      </c>
      <c r="U1433" s="5" t="s">
        <v>1678</v>
      </c>
      <c r="V1433" s="5" t="s">
        <v>1398</v>
      </c>
      <c r="W1433" s="5"/>
      <c r="X1433" s="5"/>
      <c r="Y1433" s="5"/>
    </row>
    <row r="1434" customFormat="false" ht="15" hidden="false" customHeight="false" outlineLevel="0" collapsed="false">
      <c r="A1434" s="5" t="s">
        <v>13973</v>
      </c>
      <c r="B1434" s="5" t="s">
        <v>1454</v>
      </c>
      <c r="C1434" s="5" t="s">
        <v>1455</v>
      </c>
      <c r="D1434" s="9" t="s">
        <v>66</v>
      </c>
      <c r="E1434" s="5" t="n">
        <v>5</v>
      </c>
      <c r="F1434" s="5" t="s">
        <v>13974</v>
      </c>
      <c r="G1434" s="13" t="s">
        <v>13975</v>
      </c>
      <c r="H1434" s="5" t="s">
        <v>13976</v>
      </c>
      <c r="I1434" s="13" t="s">
        <v>13977</v>
      </c>
      <c r="J1434" s="5" t="s">
        <v>13978</v>
      </c>
      <c r="K1434" s="5" t="s">
        <v>13979</v>
      </c>
      <c r="L1434" s="13" t="s">
        <v>13980</v>
      </c>
      <c r="M1434" s="13" t="s">
        <v>13981</v>
      </c>
      <c r="N1434" s="5" t="n">
        <f aca="false">LEN(L1434)</f>
        <v>25</v>
      </c>
      <c r="O1434" s="5" t="n">
        <f aca="false">LEN(M1434)</f>
        <v>25</v>
      </c>
      <c r="P1434" s="14" t="n">
        <f aca="false">IF(N1434=0,"",(N1434-LEN(SUBSTITUTE(SUBSTITUTE(L1434,"G",""),"C","")))/N1434)</f>
        <v>0.48</v>
      </c>
      <c r="Q1434" s="14" t="n">
        <f aca="false">IF(O1434=0,"",(O1434-LEN(SUBSTITUTE(SUBSTITUTE(M1434,"G",""),"C","")))/O1434)</f>
        <v>0.56</v>
      </c>
      <c r="R1434" s="5" t="s">
        <v>1459</v>
      </c>
      <c r="S1434" s="15" t="s">
        <v>1677</v>
      </c>
      <c r="T1434" s="5" t="n">
        <v>496</v>
      </c>
      <c r="U1434" s="5" t="s">
        <v>1678</v>
      </c>
      <c r="V1434" s="5" t="s">
        <v>1398</v>
      </c>
      <c r="W1434" s="5"/>
      <c r="X1434" s="5"/>
      <c r="Y1434" s="5"/>
    </row>
    <row r="1435" customFormat="false" ht="15" hidden="false" customHeight="false" outlineLevel="0" collapsed="false">
      <c r="A1435" s="5" t="s">
        <v>13982</v>
      </c>
      <c r="B1435" s="5" t="s">
        <v>1454</v>
      </c>
      <c r="C1435" s="5" t="s">
        <v>1455</v>
      </c>
      <c r="D1435" s="9" t="s">
        <v>66</v>
      </c>
      <c r="E1435" s="5" t="n">
        <v>6</v>
      </c>
      <c r="F1435" s="5" t="s">
        <v>13983</v>
      </c>
      <c r="G1435" s="13" t="s">
        <v>13984</v>
      </c>
      <c r="H1435" s="5" t="s">
        <v>13985</v>
      </c>
      <c r="I1435" s="13" t="s">
        <v>13986</v>
      </c>
      <c r="J1435" s="5" t="s">
        <v>13987</v>
      </c>
      <c r="K1435" s="5" t="s">
        <v>13988</v>
      </c>
      <c r="L1435" s="13" t="s">
        <v>13989</v>
      </c>
      <c r="M1435" s="13" t="s">
        <v>13990</v>
      </c>
      <c r="N1435" s="5" t="n">
        <f aca="false">LEN(L1435)</f>
        <v>25</v>
      </c>
      <c r="O1435" s="5" t="n">
        <f aca="false">LEN(M1435)</f>
        <v>25</v>
      </c>
      <c r="P1435" s="14" t="n">
        <f aca="false">IF(N1435=0,"",(N1435-LEN(SUBSTITUTE(SUBSTITUTE(L1435,"G",""),"C","")))/N1435)</f>
        <v>0.52</v>
      </c>
      <c r="Q1435" s="14" t="n">
        <f aca="false">IF(O1435=0,"",(O1435-LEN(SUBSTITUTE(SUBSTITUTE(M1435,"G",""),"C","")))/O1435)</f>
        <v>0.6</v>
      </c>
      <c r="R1435" s="5" t="s">
        <v>1459</v>
      </c>
      <c r="S1435" s="15" t="s">
        <v>1677</v>
      </c>
      <c r="T1435" s="5" t="n">
        <v>566</v>
      </c>
      <c r="U1435" s="5" t="s">
        <v>1678</v>
      </c>
      <c r="V1435" s="5" t="s">
        <v>1398</v>
      </c>
      <c r="W1435" s="5"/>
      <c r="X1435" s="5"/>
      <c r="Y1435" s="5"/>
    </row>
    <row r="1436" customFormat="false" ht="15" hidden="false" customHeight="false" outlineLevel="0" collapsed="false">
      <c r="A1436" s="5" t="s">
        <v>13991</v>
      </c>
      <c r="B1436" s="5" t="s">
        <v>1454</v>
      </c>
      <c r="C1436" s="5" t="s">
        <v>1455</v>
      </c>
      <c r="D1436" s="9" t="s">
        <v>66</v>
      </c>
      <c r="E1436" s="5" t="n">
        <v>7</v>
      </c>
      <c r="F1436" s="5" t="s">
        <v>13992</v>
      </c>
      <c r="G1436" s="13" t="s">
        <v>13993</v>
      </c>
      <c r="H1436" s="5" t="s">
        <v>13994</v>
      </c>
      <c r="I1436" s="13" t="s">
        <v>13995</v>
      </c>
      <c r="J1436" s="5" t="s">
        <v>13996</v>
      </c>
      <c r="K1436" s="5" t="s">
        <v>13997</v>
      </c>
      <c r="L1436" s="13" t="s">
        <v>13998</v>
      </c>
      <c r="M1436" s="13" t="s">
        <v>13999</v>
      </c>
      <c r="N1436" s="5" t="n">
        <f aca="false">LEN(L1436)</f>
        <v>25</v>
      </c>
      <c r="O1436" s="5" t="n">
        <f aca="false">LEN(M1436)</f>
        <v>25</v>
      </c>
      <c r="P1436" s="14" t="n">
        <f aca="false">IF(N1436=0,"",(N1436-LEN(SUBSTITUTE(SUBSTITUTE(L1436,"G",""),"C","")))/N1436)</f>
        <v>0.4</v>
      </c>
      <c r="Q1436" s="14" t="n">
        <f aca="false">IF(O1436=0,"",(O1436-LEN(SUBSTITUTE(SUBSTITUTE(M1436,"G",""),"C","")))/O1436)</f>
        <v>0.48</v>
      </c>
      <c r="R1436" s="5" t="s">
        <v>1459</v>
      </c>
      <c r="S1436" s="15" t="s">
        <v>1677</v>
      </c>
      <c r="T1436" s="5" t="n">
        <v>636</v>
      </c>
      <c r="U1436" s="5" t="s">
        <v>1678</v>
      </c>
      <c r="V1436" s="5" t="s">
        <v>1398</v>
      </c>
      <c r="W1436" s="5"/>
      <c r="X1436" s="5"/>
      <c r="Y1436" s="5"/>
    </row>
    <row r="1437" customFormat="false" ht="15" hidden="false" customHeight="false" outlineLevel="0" collapsed="false">
      <c r="A1437" s="5" t="s">
        <v>14000</v>
      </c>
      <c r="B1437" s="5" t="s">
        <v>1454</v>
      </c>
      <c r="C1437" s="5" t="s">
        <v>1455</v>
      </c>
      <c r="D1437" s="9" t="s">
        <v>66</v>
      </c>
      <c r="E1437" s="5" t="n">
        <v>8</v>
      </c>
      <c r="F1437" s="5" t="s">
        <v>14001</v>
      </c>
      <c r="G1437" s="13" t="s">
        <v>14002</v>
      </c>
      <c r="H1437" s="5" t="s">
        <v>14003</v>
      </c>
      <c r="I1437" s="13" t="s">
        <v>14004</v>
      </c>
      <c r="J1437" s="5" t="s">
        <v>14005</v>
      </c>
      <c r="K1437" s="5" t="s">
        <v>14006</v>
      </c>
      <c r="L1437" s="13" t="s">
        <v>14007</v>
      </c>
      <c r="M1437" s="13" t="s">
        <v>14008</v>
      </c>
      <c r="N1437" s="5" t="n">
        <f aca="false">LEN(L1437)</f>
        <v>25</v>
      </c>
      <c r="O1437" s="5" t="n">
        <f aca="false">LEN(M1437)</f>
        <v>25</v>
      </c>
      <c r="P1437" s="14" t="n">
        <f aca="false">IF(N1437=0,"",(N1437-LEN(SUBSTITUTE(SUBSTITUTE(L1437,"G",""),"C","")))/N1437)</f>
        <v>0.4</v>
      </c>
      <c r="Q1437" s="14" t="n">
        <f aca="false">IF(O1437=0,"",(O1437-LEN(SUBSTITUTE(SUBSTITUTE(M1437,"G",""),"C","")))/O1437)</f>
        <v>0.52</v>
      </c>
      <c r="R1437" s="5" t="s">
        <v>1459</v>
      </c>
      <c r="S1437" s="15" t="s">
        <v>1677</v>
      </c>
      <c r="T1437" s="5" t="n">
        <v>706</v>
      </c>
      <c r="U1437" s="5" t="s">
        <v>1678</v>
      </c>
      <c r="V1437" s="5" t="s">
        <v>1398</v>
      </c>
      <c r="W1437" s="5"/>
      <c r="X1437" s="5"/>
      <c r="Y1437" s="5"/>
    </row>
    <row r="1438" customFormat="false" ht="15" hidden="false" customHeight="false" outlineLevel="0" collapsed="false">
      <c r="A1438" s="5" t="s">
        <v>14009</v>
      </c>
      <c r="B1438" s="5" t="s">
        <v>1460</v>
      </c>
      <c r="C1438" s="5" t="s">
        <v>1461</v>
      </c>
      <c r="D1438" s="9" t="s">
        <v>66</v>
      </c>
      <c r="E1438" s="5" t="n">
        <v>1</v>
      </c>
      <c r="F1438" s="5" t="s">
        <v>14010</v>
      </c>
      <c r="G1438" s="13" t="s">
        <v>14011</v>
      </c>
      <c r="H1438" s="5" t="s">
        <v>14012</v>
      </c>
      <c r="I1438" s="13" t="s">
        <v>14013</v>
      </c>
      <c r="J1438" s="5" t="s">
        <v>14014</v>
      </c>
      <c r="K1438" s="5" t="s">
        <v>14015</v>
      </c>
      <c r="L1438" s="13" t="s">
        <v>14016</v>
      </c>
      <c r="M1438" s="13" t="s">
        <v>14017</v>
      </c>
      <c r="N1438" s="5" t="n">
        <f aca="false">LEN(L1438)</f>
        <v>25</v>
      </c>
      <c r="O1438" s="5" t="n">
        <f aca="false">LEN(M1438)</f>
        <v>25</v>
      </c>
      <c r="P1438" s="14" t="n">
        <f aca="false">IF(N1438=0,"",(N1438-LEN(SUBSTITUTE(SUBSTITUTE(L1438,"G",""),"C","")))/N1438)</f>
        <v>0.52</v>
      </c>
      <c r="Q1438" s="14" t="n">
        <f aca="false">IF(O1438=0,"",(O1438-LEN(SUBSTITUTE(SUBSTITUTE(M1438,"G",""),"C","")))/O1438)</f>
        <v>0.48</v>
      </c>
      <c r="R1438" s="5" t="s">
        <v>1466</v>
      </c>
      <c r="S1438" s="15" t="s">
        <v>1677</v>
      </c>
      <c r="T1438" s="5" t="n">
        <v>216</v>
      </c>
      <c r="U1438" s="5" t="s">
        <v>1678</v>
      </c>
      <c r="V1438" s="5" t="s">
        <v>1398</v>
      </c>
      <c r="W1438" s="5"/>
      <c r="X1438" s="5"/>
      <c r="Y1438" s="5"/>
    </row>
    <row r="1439" customFormat="false" ht="15" hidden="false" customHeight="false" outlineLevel="0" collapsed="false">
      <c r="A1439" s="5" t="s">
        <v>14018</v>
      </c>
      <c r="B1439" s="5" t="s">
        <v>1460</v>
      </c>
      <c r="C1439" s="5" t="s">
        <v>1461</v>
      </c>
      <c r="D1439" s="9" t="s">
        <v>66</v>
      </c>
      <c r="E1439" s="5" t="n">
        <v>2</v>
      </c>
      <c r="F1439" s="5" t="s">
        <v>14019</v>
      </c>
      <c r="G1439" s="13" t="s">
        <v>14020</v>
      </c>
      <c r="H1439" s="5" t="s">
        <v>14021</v>
      </c>
      <c r="I1439" s="13" t="s">
        <v>14022</v>
      </c>
      <c r="J1439" s="5" t="s">
        <v>14023</v>
      </c>
      <c r="K1439" s="5" t="s">
        <v>14024</v>
      </c>
      <c r="L1439" s="13" t="s">
        <v>14025</v>
      </c>
      <c r="M1439" s="13" t="s">
        <v>14026</v>
      </c>
      <c r="N1439" s="5" t="n">
        <f aca="false">LEN(L1439)</f>
        <v>25</v>
      </c>
      <c r="O1439" s="5" t="n">
        <f aca="false">LEN(M1439)</f>
        <v>25</v>
      </c>
      <c r="P1439" s="14" t="n">
        <f aca="false">IF(N1439=0,"",(N1439-LEN(SUBSTITUTE(SUBSTITUTE(L1439,"G",""),"C","")))/N1439)</f>
        <v>0.56</v>
      </c>
      <c r="Q1439" s="14" t="n">
        <f aca="false">IF(O1439=0,"",(O1439-LEN(SUBSTITUTE(SUBSTITUTE(M1439,"G",""),"C","")))/O1439)</f>
        <v>0.64</v>
      </c>
      <c r="R1439" s="5" t="s">
        <v>1466</v>
      </c>
      <c r="S1439" s="15" t="s">
        <v>1677</v>
      </c>
      <c r="T1439" s="5" t="n">
        <v>286</v>
      </c>
      <c r="U1439" s="5" t="s">
        <v>1678</v>
      </c>
      <c r="V1439" s="5" t="s">
        <v>1398</v>
      </c>
      <c r="W1439" s="5"/>
      <c r="X1439" s="5"/>
      <c r="Y1439" s="5"/>
    </row>
    <row r="1440" customFormat="false" ht="15" hidden="false" customHeight="false" outlineLevel="0" collapsed="false">
      <c r="A1440" s="5" t="s">
        <v>14027</v>
      </c>
      <c r="B1440" s="5" t="s">
        <v>1460</v>
      </c>
      <c r="C1440" s="5" t="s">
        <v>1461</v>
      </c>
      <c r="D1440" s="9" t="s">
        <v>66</v>
      </c>
      <c r="E1440" s="5" t="n">
        <v>3</v>
      </c>
      <c r="F1440" s="5" t="s">
        <v>14028</v>
      </c>
      <c r="G1440" s="13" t="s">
        <v>14029</v>
      </c>
      <c r="H1440" s="5" t="s">
        <v>14030</v>
      </c>
      <c r="I1440" s="13" t="s">
        <v>14031</v>
      </c>
      <c r="J1440" s="5" t="s">
        <v>14032</v>
      </c>
      <c r="K1440" s="5" t="s">
        <v>14033</v>
      </c>
      <c r="L1440" s="13" t="s">
        <v>14034</v>
      </c>
      <c r="M1440" s="13" t="s">
        <v>14035</v>
      </c>
      <c r="N1440" s="5" t="n">
        <f aca="false">LEN(L1440)</f>
        <v>25</v>
      </c>
      <c r="O1440" s="5" t="n">
        <f aca="false">LEN(M1440)</f>
        <v>25</v>
      </c>
      <c r="P1440" s="14" t="n">
        <f aca="false">IF(N1440=0,"",(N1440-LEN(SUBSTITUTE(SUBSTITUTE(L1440,"G",""),"C","")))/N1440)</f>
        <v>0.48</v>
      </c>
      <c r="Q1440" s="14" t="n">
        <f aca="false">IF(O1440=0,"",(O1440-LEN(SUBSTITUTE(SUBSTITUTE(M1440,"G",""),"C","")))/O1440)</f>
        <v>0.52</v>
      </c>
      <c r="R1440" s="5" t="s">
        <v>1466</v>
      </c>
      <c r="S1440" s="15" t="s">
        <v>1677</v>
      </c>
      <c r="T1440" s="5" t="n">
        <v>356</v>
      </c>
      <c r="U1440" s="5" t="s">
        <v>1678</v>
      </c>
      <c r="V1440" s="5" t="s">
        <v>1398</v>
      </c>
      <c r="W1440" s="5"/>
      <c r="X1440" s="5"/>
      <c r="Y1440" s="5"/>
    </row>
    <row r="1441" customFormat="false" ht="15" hidden="false" customHeight="false" outlineLevel="0" collapsed="false">
      <c r="A1441" s="5" t="s">
        <v>14036</v>
      </c>
      <c r="B1441" s="5" t="s">
        <v>1460</v>
      </c>
      <c r="C1441" s="5" t="s">
        <v>1461</v>
      </c>
      <c r="D1441" s="9" t="s">
        <v>66</v>
      </c>
      <c r="E1441" s="5" t="n">
        <v>4</v>
      </c>
      <c r="F1441" s="5" t="s">
        <v>14037</v>
      </c>
      <c r="G1441" s="13" t="s">
        <v>14038</v>
      </c>
      <c r="H1441" s="5" t="s">
        <v>14039</v>
      </c>
      <c r="I1441" s="13" t="s">
        <v>14040</v>
      </c>
      <c r="J1441" s="5" t="s">
        <v>14041</v>
      </c>
      <c r="K1441" s="5" t="s">
        <v>14042</v>
      </c>
      <c r="L1441" s="13" t="s">
        <v>14043</v>
      </c>
      <c r="M1441" s="13" t="s">
        <v>14044</v>
      </c>
      <c r="N1441" s="5" t="n">
        <f aca="false">LEN(L1441)</f>
        <v>25</v>
      </c>
      <c r="O1441" s="5" t="n">
        <f aca="false">LEN(M1441)</f>
        <v>25</v>
      </c>
      <c r="P1441" s="14" t="n">
        <f aca="false">IF(N1441=0,"",(N1441-LEN(SUBSTITUTE(SUBSTITUTE(L1441,"G",""),"C","")))/N1441)</f>
        <v>0.64</v>
      </c>
      <c r="Q1441" s="14" t="n">
        <f aca="false">IF(O1441=0,"",(O1441-LEN(SUBSTITUTE(SUBSTITUTE(M1441,"G",""),"C","")))/O1441)</f>
        <v>0.76</v>
      </c>
      <c r="R1441" s="5" t="s">
        <v>1466</v>
      </c>
      <c r="S1441" s="15" t="s">
        <v>1677</v>
      </c>
      <c r="T1441" s="5" t="n">
        <v>426</v>
      </c>
      <c r="U1441" s="5" t="s">
        <v>1678</v>
      </c>
      <c r="V1441" s="5" t="s">
        <v>1398</v>
      </c>
      <c r="W1441" s="5"/>
      <c r="X1441" s="5"/>
      <c r="Y1441" s="5"/>
    </row>
    <row r="1442" customFormat="false" ht="15" hidden="false" customHeight="false" outlineLevel="0" collapsed="false">
      <c r="A1442" s="5" t="s">
        <v>14045</v>
      </c>
      <c r="B1442" s="5" t="s">
        <v>1460</v>
      </c>
      <c r="C1442" s="5" t="s">
        <v>1461</v>
      </c>
      <c r="D1442" s="9" t="s">
        <v>66</v>
      </c>
      <c r="E1442" s="5" t="n">
        <v>5</v>
      </c>
      <c r="F1442" s="5" t="s">
        <v>14046</v>
      </c>
      <c r="G1442" s="13" t="s">
        <v>14047</v>
      </c>
      <c r="H1442" s="5" t="s">
        <v>14048</v>
      </c>
      <c r="I1442" s="13" t="s">
        <v>14049</v>
      </c>
      <c r="J1442" s="5" t="s">
        <v>14050</v>
      </c>
      <c r="K1442" s="5" t="s">
        <v>14051</v>
      </c>
      <c r="L1442" s="13" t="s">
        <v>14052</v>
      </c>
      <c r="M1442" s="13" t="s">
        <v>14053</v>
      </c>
      <c r="N1442" s="5" t="n">
        <f aca="false">LEN(L1442)</f>
        <v>25</v>
      </c>
      <c r="O1442" s="5" t="n">
        <f aca="false">LEN(M1442)</f>
        <v>25</v>
      </c>
      <c r="P1442" s="14" t="n">
        <f aca="false">IF(N1442=0,"",(N1442-LEN(SUBSTITUTE(SUBSTITUTE(L1442,"G",""),"C","")))/N1442)</f>
        <v>0.56</v>
      </c>
      <c r="Q1442" s="14" t="n">
        <f aca="false">IF(O1442=0,"",(O1442-LEN(SUBSTITUTE(SUBSTITUTE(M1442,"G",""),"C","")))/O1442)</f>
        <v>0.56</v>
      </c>
      <c r="R1442" s="5" t="s">
        <v>1466</v>
      </c>
      <c r="S1442" s="15" t="s">
        <v>1677</v>
      </c>
      <c r="T1442" s="5" t="n">
        <v>496</v>
      </c>
      <c r="U1442" s="5" t="s">
        <v>1678</v>
      </c>
      <c r="V1442" s="5" t="s">
        <v>1398</v>
      </c>
      <c r="W1442" s="5"/>
      <c r="X1442" s="5"/>
      <c r="Y1442" s="5"/>
    </row>
    <row r="1443" customFormat="false" ht="15" hidden="false" customHeight="false" outlineLevel="0" collapsed="false">
      <c r="A1443" s="5" t="s">
        <v>14054</v>
      </c>
      <c r="B1443" s="5" t="s">
        <v>1460</v>
      </c>
      <c r="C1443" s="5" t="s">
        <v>1461</v>
      </c>
      <c r="D1443" s="9" t="s">
        <v>66</v>
      </c>
      <c r="E1443" s="5" t="n">
        <v>6</v>
      </c>
      <c r="F1443" s="5" t="s">
        <v>14055</v>
      </c>
      <c r="G1443" s="13" t="s">
        <v>14056</v>
      </c>
      <c r="H1443" s="5" t="s">
        <v>14057</v>
      </c>
      <c r="I1443" s="13" t="s">
        <v>14058</v>
      </c>
      <c r="J1443" s="5" t="s">
        <v>14059</v>
      </c>
      <c r="K1443" s="5" t="s">
        <v>14060</v>
      </c>
      <c r="L1443" s="13" t="s">
        <v>14061</v>
      </c>
      <c r="M1443" s="13" t="s">
        <v>14062</v>
      </c>
      <c r="N1443" s="5" t="n">
        <f aca="false">LEN(L1443)</f>
        <v>25</v>
      </c>
      <c r="O1443" s="5" t="n">
        <f aca="false">LEN(M1443)</f>
        <v>25</v>
      </c>
      <c r="P1443" s="14" t="n">
        <f aca="false">IF(N1443=0,"",(N1443-LEN(SUBSTITUTE(SUBSTITUTE(L1443,"G",""),"C","")))/N1443)</f>
        <v>0.6</v>
      </c>
      <c r="Q1443" s="14" t="n">
        <f aca="false">IF(O1443=0,"",(O1443-LEN(SUBSTITUTE(SUBSTITUTE(M1443,"G",""),"C","")))/O1443)</f>
        <v>0.64</v>
      </c>
      <c r="R1443" s="5" t="s">
        <v>1466</v>
      </c>
      <c r="S1443" s="15" t="s">
        <v>1677</v>
      </c>
      <c r="T1443" s="5" t="n">
        <v>566</v>
      </c>
      <c r="U1443" s="5" t="s">
        <v>1678</v>
      </c>
      <c r="V1443" s="5" t="s">
        <v>1398</v>
      </c>
      <c r="W1443" s="5"/>
      <c r="X1443" s="5"/>
      <c r="Y1443" s="5"/>
    </row>
    <row r="1444" customFormat="false" ht="15" hidden="false" customHeight="false" outlineLevel="0" collapsed="false">
      <c r="A1444" s="5" t="s">
        <v>14063</v>
      </c>
      <c r="B1444" s="5" t="s">
        <v>1460</v>
      </c>
      <c r="C1444" s="5" t="s">
        <v>1461</v>
      </c>
      <c r="D1444" s="9" t="s">
        <v>66</v>
      </c>
      <c r="E1444" s="5" t="n">
        <v>7</v>
      </c>
      <c r="F1444" s="5" t="s">
        <v>14064</v>
      </c>
      <c r="G1444" s="13" t="s">
        <v>14065</v>
      </c>
      <c r="H1444" s="5" t="s">
        <v>14066</v>
      </c>
      <c r="I1444" s="13" t="s">
        <v>14067</v>
      </c>
      <c r="J1444" s="5" t="s">
        <v>14068</v>
      </c>
      <c r="K1444" s="5" t="s">
        <v>14069</v>
      </c>
      <c r="L1444" s="13" t="s">
        <v>14070</v>
      </c>
      <c r="M1444" s="13" t="s">
        <v>14071</v>
      </c>
      <c r="N1444" s="5" t="n">
        <f aca="false">LEN(L1444)</f>
        <v>25</v>
      </c>
      <c r="O1444" s="5" t="n">
        <f aca="false">LEN(M1444)</f>
        <v>25</v>
      </c>
      <c r="P1444" s="14" t="n">
        <f aca="false">IF(N1444=0,"",(N1444-LEN(SUBSTITUTE(SUBSTITUTE(L1444,"G",""),"C","")))/N1444)</f>
        <v>0.72</v>
      </c>
      <c r="Q1444" s="14" t="n">
        <f aca="false">IF(O1444=0,"",(O1444-LEN(SUBSTITUTE(SUBSTITUTE(M1444,"G",""),"C","")))/O1444)</f>
        <v>0.72</v>
      </c>
      <c r="R1444" s="5" t="s">
        <v>1466</v>
      </c>
      <c r="S1444" s="15" t="s">
        <v>1677</v>
      </c>
      <c r="T1444" s="5" t="n">
        <v>636</v>
      </c>
      <c r="U1444" s="5" t="s">
        <v>1678</v>
      </c>
      <c r="V1444" s="5" t="s">
        <v>1398</v>
      </c>
      <c r="W1444" s="5"/>
      <c r="X1444" s="5"/>
      <c r="Y1444" s="5"/>
    </row>
    <row r="1445" customFormat="false" ht="15" hidden="false" customHeight="false" outlineLevel="0" collapsed="false">
      <c r="A1445" s="5" t="s">
        <v>14072</v>
      </c>
      <c r="B1445" s="5" t="s">
        <v>1460</v>
      </c>
      <c r="C1445" s="5" t="s">
        <v>1461</v>
      </c>
      <c r="D1445" s="9" t="s">
        <v>66</v>
      </c>
      <c r="E1445" s="5" t="n">
        <v>8</v>
      </c>
      <c r="F1445" s="5" t="s">
        <v>14073</v>
      </c>
      <c r="G1445" s="13" t="s">
        <v>14074</v>
      </c>
      <c r="H1445" s="5" t="s">
        <v>14075</v>
      </c>
      <c r="I1445" s="13" t="s">
        <v>14076</v>
      </c>
      <c r="J1445" s="5" t="s">
        <v>14077</v>
      </c>
      <c r="K1445" s="5" t="s">
        <v>14078</v>
      </c>
      <c r="L1445" s="13" t="s">
        <v>14079</v>
      </c>
      <c r="M1445" s="13" t="s">
        <v>14080</v>
      </c>
      <c r="N1445" s="5" t="n">
        <f aca="false">LEN(L1445)</f>
        <v>25</v>
      </c>
      <c r="O1445" s="5" t="n">
        <f aca="false">LEN(M1445)</f>
        <v>25</v>
      </c>
      <c r="P1445" s="14" t="n">
        <f aca="false">IF(N1445=0,"",(N1445-LEN(SUBSTITUTE(SUBSTITUTE(L1445,"G",""),"C","")))/N1445)</f>
        <v>0.48</v>
      </c>
      <c r="Q1445" s="14" t="n">
        <f aca="false">IF(O1445=0,"",(O1445-LEN(SUBSTITUTE(SUBSTITUTE(M1445,"G",""),"C","")))/O1445)</f>
        <v>0.48</v>
      </c>
      <c r="R1445" s="5" t="s">
        <v>1466</v>
      </c>
      <c r="S1445" s="15" t="s">
        <v>1677</v>
      </c>
      <c r="T1445" s="5" t="n">
        <v>706</v>
      </c>
      <c r="U1445" s="5" t="s">
        <v>1678</v>
      </c>
      <c r="V1445" s="5" t="s">
        <v>1398</v>
      </c>
      <c r="W1445" s="5"/>
      <c r="X1445" s="5"/>
      <c r="Y1445" s="5"/>
    </row>
    <row r="1446" customFormat="false" ht="15" hidden="false" customHeight="false" outlineLevel="0" collapsed="false">
      <c r="A1446" s="5" t="s">
        <v>14081</v>
      </c>
      <c r="B1446" s="5" t="s">
        <v>1467</v>
      </c>
      <c r="C1446" s="5" t="s">
        <v>1468</v>
      </c>
      <c r="D1446" s="9" t="s">
        <v>66</v>
      </c>
      <c r="E1446" s="5" t="n">
        <v>1</v>
      </c>
      <c r="F1446" s="5" t="s">
        <v>14082</v>
      </c>
      <c r="G1446" s="13" t="s">
        <v>14083</v>
      </c>
      <c r="H1446" s="5" t="s">
        <v>14084</v>
      </c>
      <c r="I1446" s="13" t="s">
        <v>14085</v>
      </c>
      <c r="J1446" s="5" t="s">
        <v>14086</v>
      </c>
      <c r="K1446" s="5" t="s">
        <v>14087</v>
      </c>
      <c r="L1446" s="13" t="s">
        <v>14088</v>
      </c>
      <c r="M1446" s="13" t="s">
        <v>14089</v>
      </c>
      <c r="N1446" s="5" t="n">
        <f aca="false">LEN(L1446)</f>
        <v>25</v>
      </c>
      <c r="O1446" s="5" t="n">
        <f aca="false">LEN(M1446)</f>
        <v>25</v>
      </c>
      <c r="P1446" s="14" t="n">
        <f aca="false">IF(N1446=0,"",(N1446-LEN(SUBSTITUTE(SUBSTITUTE(L1446,"G",""),"C","")))/N1446)</f>
        <v>0.6</v>
      </c>
      <c r="Q1446" s="14" t="n">
        <f aca="false">IF(O1446=0,"",(O1446-LEN(SUBSTITUTE(SUBSTITUTE(M1446,"G",""),"C","")))/O1446)</f>
        <v>0.6</v>
      </c>
      <c r="R1446" s="5" t="s">
        <v>1473</v>
      </c>
      <c r="S1446" s="15" t="s">
        <v>1677</v>
      </c>
      <c r="T1446" s="5" t="n">
        <v>146</v>
      </c>
      <c r="U1446" s="5" t="s">
        <v>1678</v>
      </c>
      <c r="V1446" s="5" t="s">
        <v>1398</v>
      </c>
      <c r="W1446" s="5"/>
      <c r="X1446" s="5"/>
      <c r="Y1446" s="5"/>
    </row>
    <row r="1447" customFormat="false" ht="15" hidden="false" customHeight="false" outlineLevel="0" collapsed="false">
      <c r="A1447" s="5" t="s">
        <v>14090</v>
      </c>
      <c r="B1447" s="5" t="s">
        <v>1467</v>
      </c>
      <c r="C1447" s="5" t="s">
        <v>1468</v>
      </c>
      <c r="D1447" s="9" t="s">
        <v>66</v>
      </c>
      <c r="E1447" s="5" t="n">
        <v>2</v>
      </c>
      <c r="F1447" s="5" t="s">
        <v>14091</v>
      </c>
      <c r="G1447" s="13" t="s">
        <v>14092</v>
      </c>
      <c r="H1447" s="5" t="s">
        <v>14093</v>
      </c>
      <c r="I1447" s="13" t="s">
        <v>14094</v>
      </c>
      <c r="J1447" s="5" t="s">
        <v>14095</v>
      </c>
      <c r="K1447" s="5" t="s">
        <v>14096</v>
      </c>
      <c r="L1447" s="13" t="s">
        <v>14097</v>
      </c>
      <c r="M1447" s="13" t="s">
        <v>14098</v>
      </c>
      <c r="N1447" s="5" t="n">
        <f aca="false">LEN(L1447)</f>
        <v>25</v>
      </c>
      <c r="O1447" s="5" t="n">
        <f aca="false">LEN(M1447)</f>
        <v>25</v>
      </c>
      <c r="P1447" s="14" t="n">
        <f aca="false">IF(N1447=0,"",(N1447-LEN(SUBSTITUTE(SUBSTITUTE(L1447,"G",""),"C","")))/N1447)</f>
        <v>0.68</v>
      </c>
      <c r="Q1447" s="14" t="n">
        <f aca="false">IF(O1447=0,"",(O1447-LEN(SUBSTITUTE(SUBSTITUTE(M1447,"G",""),"C","")))/O1447)</f>
        <v>0.64</v>
      </c>
      <c r="R1447" s="5" t="s">
        <v>1473</v>
      </c>
      <c r="S1447" s="15" t="s">
        <v>1677</v>
      </c>
      <c r="T1447" s="5" t="n">
        <v>216</v>
      </c>
      <c r="U1447" s="5" t="s">
        <v>1678</v>
      </c>
      <c r="V1447" s="5" t="s">
        <v>1398</v>
      </c>
      <c r="W1447" s="5"/>
      <c r="X1447" s="5"/>
      <c r="Y1447" s="5"/>
    </row>
    <row r="1448" customFormat="false" ht="15" hidden="false" customHeight="false" outlineLevel="0" collapsed="false">
      <c r="A1448" s="5" t="s">
        <v>14099</v>
      </c>
      <c r="B1448" s="5" t="s">
        <v>1467</v>
      </c>
      <c r="C1448" s="5" t="s">
        <v>1468</v>
      </c>
      <c r="D1448" s="9" t="s">
        <v>66</v>
      </c>
      <c r="E1448" s="5" t="n">
        <v>3</v>
      </c>
      <c r="F1448" s="5" t="s">
        <v>14100</v>
      </c>
      <c r="G1448" s="13" t="s">
        <v>14101</v>
      </c>
      <c r="H1448" s="5" t="s">
        <v>14102</v>
      </c>
      <c r="I1448" s="13" t="s">
        <v>14103</v>
      </c>
      <c r="J1448" s="5" t="s">
        <v>14104</v>
      </c>
      <c r="K1448" s="5" t="s">
        <v>14105</v>
      </c>
      <c r="L1448" s="13" t="s">
        <v>14106</v>
      </c>
      <c r="M1448" s="13" t="s">
        <v>14107</v>
      </c>
      <c r="N1448" s="5" t="n">
        <f aca="false">LEN(L1448)</f>
        <v>25</v>
      </c>
      <c r="O1448" s="5" t="n">
        <f aca="false">LEN(M1448)</f>
        <v>25</v>
      </c>
      <c r="P1448" s="14" t="n">
        <f aca="false">IF(N1448=0,"",(N1448-LEN(SUBSTITUTE(SUBSTITUTE(L1448,"G",""),"C","")))/N1448)</f>
        <v>0.48</v>
      </c>
      <c r="Q1448" s="14" t="n">
        <f aca="false">IF(O1448=0,"",(O1448-LEN(SUBSTITUTE(SUBSTITUTE(M1448,"G",""),"C","")))/O1448)</f>
        <v>0.56</v>
      </c>
      <c r="R1448" s="5" t="s">
        <v>1473</v>
      </c>
      <c r="S1448" s="15" t="s">
        <v>1677</v>
      </c>
      <c r="T1448" s="5" t="n">
        <v>286</v>
      </c>
      <c r="U1448" s="5" t="s">
        <v>1678</v>
      </c>
      <c r="V1448" s="5" t="s">
        <v>1398</v>
      </c>
      <c r="W1448" s="5"/>
      <c r="X1448" s="5"/>
      <c r="Y1448" s="5"/>
    </row>
    <row r="1449" customFormat="false" ht="15" hidden="false" customHeight="false" outlineLevel="0" collapsed="false">
      <c r="A1449" s="5" t="s">
        <v>14108</v>
      </c>
      <c r="B1449" s="5" t="s">
        <v>1467</v>
      </c>
      <c r="C1449" s="5" t="s">
        <v>1468</v>
      </c>
      <c r="D1449" s="9" t="s">
        <v>66</v>
      </c>
      <c r="E1449" s="5" t="n">
        <v>4</v>
      </c>
      <c r="F1449" s="5" t="s">
        <v>14109</v>
      </c>
      <c r="G1449" s="13" t="s">
        <v>14110</v>
      </c>
      <c r="H1449" s="5" t="s">
        <v>14111</v>
      </c>
      <c r="I1449" s="13" t="s">
        <v>14112</v>
      </c>
      <c r="J1449" s="5" t="s">
        <v>14113</v>
      </c>
      <c r="K1449" s="5" t="s">
        <v>14114</v>
      </c>
      <c r="L1449" s="13" t="s">
        <v>14115</v>
      </c>
      <c r="M1449" s="13" t="s">
        <v>14116</v>
      </c>
      <c r="N1449" s="5" t="n">
        <f aca="false">LEN(L1449)</f>
        <v>25</v>
      </c>
      <c r="O1449" s="5" t="n">
        <f aca="false">LEN(M1449)</f>
        <v>25</v>
      </c>
      <c r="P1449" s="14" t="n">
        <f aca="false">IF(N1449=0,"",(N1449-LEN(SUBSTITUTE(SUBSTITUTE(L1449,"G",""),"C","")))/N1449)</f>
        <v>0.68</v>
      </c>
      <c r="Q1449" s="14" t="n">
        <f aca="false">IF(O1449=0,"",(O1449-LEN(SUBSTITUTE(SUBSTITUTE(M1449,"G",""),"C","")))/O1449)</f>
        <v>0.68</v>
      </c>
      <c r="R1449" s="5" t="s">
        <v>1473</v>
      </c>
      <c r="S1449" s="15" t="s">
        <v>1677</v>
      </c>
      <c r="T1449" s="5" t="n">
        <v>356</v>
      </c>
      <c r="U1449" s="5" t="s">
        <v>1678</v>
      </c>
      <c r="V1449" s="5" t="s">
        <v>1398</v>
      </c>
      <c r="W1449" s="5"/>
      <c r="X1449" s="5"/>
      <c r="Y1449" s="5"/>
    </row>
    <row r="1450" customFormat="false" ht="15" hidden="false" customHeight="false" outlineLevel="0" collapsed="false">
      <c r="A1450" s="5" t="s">
        <v>14117</v>
      </c>
      <c r="B1450" s="5" t="s">
        <v>1467</v>
      </c>
      <c r="C1450" s="5" t="s">
        <v>1468</v>
      </c>
      <c r="D1450" s="9" t="s">
        <v>66</v>
      </c>
      <c r="E1450" s="5" t="n">
        <v>5</v>
      </c>
      <c r="F1450" s="5" t="s">
        <v>14118</v>
      </c>
      <c r="G1450" s="13" t="s">
        <v>14119</v>
      </c>
      <c r="H1450" s="5" t="s">
        <v>14120</v>
      </c>
      <c r="I1450" s="13" t="s">
        <v>14121</v>
      </c>
      <c r="J1450" s="5" t="s">
        <v>14122</v>
      </c>
      <c r="K1450" s="5" t="s">
        <v>14123</v>
      </c>
      <c r="L1450" s="13" t="s">
        <v>14124</v>
      </c>
      <c r="M1450" s="13" t="s">
        <v>14125</v>
      </c>
      <c r="N1450" s="5" t="n">
        <f aca="false">LEN(L1450)</f>
        <v>25</v>
      </c>
      <c r="O1450" s="5" t="n">
        <f aca="false">LEN(M1450)</f>
        <v>25</v>
      </c>
      <c r="P1450" s="14" t="n">
        <f aca="false">IF(N1450=0,"",(N1450-LEN(SUBSTITUTE(SUBSTITUTE(L1450,"G",""),"C","")))/N1450)</f>
        <v>0.56</v>
      </c>
      <c r="Q1450" s="14" t="n">
        <f aca="false">IF(O1450=0,"",(O1450-LEN(SUBSTITUTE(SUBSTITUTE(M1450,"G",""),"C","")))/O1450)</f>
        <v>0.68</v>
      </c>
      <c r="R1450" s="5" t="s">
        <v>1473</v>
      </c>
      <c r="S1450" s="15" t="s">
        <v>1677</v>
      </c>
      <c r="T1450" s="5" t="n">
        <v>426</v>
      </c>
      <c r="U1450" s="5" t="s">
        <v>1678</v>
      </c>
      <c r="V1450" s="5" t="s">
        <v>1398</v>
      </c>
      <c r="W1450" s="5"/>
      <c r="X1450" s="5"/>
      <c r="Y1450" s="5"/>
    </row>
    <row r="1451" customFormat="false" ht="15" hidden="false" customHeight="false" outlineLevel="0" collapsed="false">
      <c r="A1451" s="5" t="s">
        <v>14126</v>
      </c>
      <c r="B1451" s="5" t="s">
        <v>1467</v>
      </c>
      <c r="C1451" s="5" t="s">
        <v>1468</v>
      </c>
      <c r="D1451" s="9" t="s">
        <v>66</v>
      </c>
      <c r="E1451" s="5" t="n">
        <v>6</v>
      </c>
      <c r="F1451" s="5" t="s">
        <v>14127</v>
      </c>
      <c r="G1451" s="13" t="s">
        <v>14128</v>
      </c>
      <c r="H1451" s="5" t="s">
        <v>14129</v>
      </c>
      <c r="I1451" s="13" t="s">
        <v>14130</v>
      </c>
      <c r="J1451" s="5" t="s">
        <v>14131</v>
      </c>
      <c r="K1451" s="5" t="s">
        <v>14132</v>
      </c>
      <c r="L1451" s="13" t="s">
        <v>14133</v>
      </c>
      <c r="M1451" s="13" t="s">
        <v>14134</v>
      </c>
      <c r="N1451" s="5" t="n">
        <f aca="false">LEN(L1451)</f>
        <v>25</v>
      </c>
      <c r="O1451" s="5" t="n">
        <f aca="false">LEN(M1451)</f>
        <v>25</v>
      </c>
      <c r="P1451" s="14" t="n">
        <f aca="false">IF(N1451=0,"",(N1451-LEN(SUBSTITUTE(SUBSTITUTE(L1451,"G",""),"C","")))/N1451)</f>
        <v>0.52</v>
      </c>
      <c r="Q1451" s="14" t="n">
        <f aca="false">IF(O1451=0,"",(O1451-LEN(SUBSTITUTE(SUBSTITUTE(M1451,"G",""),"C","")))/O1451)</f>
        <v>0.56</v>
      </c>
      <c r="R1451" s="5" t="s">
        <v>1473</v>
      </c>
      <c r="S1451" s="15" t="s">
        <v>1677</v>
      </c>
      <c r="T1451" s="5" t="n">
        <v>496</v>
      </c>
      <c r="U1451" s="5" t="s">
        <v>1678</v>
      </c>
      <c r="V1451" s="5" t="s">
        <v>1398</v>
      </c>
      <c r="W1451" s="5"/>
      <c r="X1451" s="5"/>
      <c r="Y1451" s="5"/>
    </row>
    <row r="1452" customFormat="false" ht="15" hidden="false" customHeight="false" outlineLevel="0" collapsed="false">
      <c r="A1452" s="5" t="s">
        <v>14135</v>
      </c>
      <c r="B1452" s="5" t="s">
        <v>1474</v>
      </c>
      <c r="C1452" s="5" t="s">
        <v>1475</v>
      </c>
      <c r="D1452" s="9" t="s">
        <v>66</v>
      </c>
      <c r="E1452" s="5" t="n">
        <v>1</v>
      </c>
      <c r="F1452" s="5" t="s">
        <v>14136</v>
      </c>
      <c r="G1452" s="13" t="s">
        <v>14137</v>
      </c>
      <c r="H1452" s="5" t="s">
        <v>14138</v>
      </c>
      <c r="I1452" s="13" t="s">
        <v>14139</v>
      </c>
      <c r="J1452" s="5" t="s">
        <v>14140</v>
      </c>
      <c r="K1452" s="5" t="s">
        <v>14141</v>
      </c>
      <c r="L1452" s="13" t="s">
        <v>14142</v>
      </c>
      <c r="M1452" s="13" t="s">
        <v>14143</v>
      </c>
      <c r="N1452" s="5" t="n">
        <f aca="false">LEN(L1452)</f>
        <v>25</v>
      </c>
      <c r="O1452" s="5" t="n">
        <f aca="false">LEN(M1452)</f>
        <v>25</v>
      </c>
      <c r="P1452" s="14" t="n">
        <f aca="false">IF(N1452=0,"",(N1452-LEN(SUBSTITUTE(SUBSTITUTE(L1452,"G",""),"C","")))/N1452)</f>
        <v>0.4</v>
      </c>
      <c r="Q1452" s="14" t="n">
        <f aca="false">IF(O1452=0,"",(O1452-LEN(SUBSTITUTE(SUBSTITUTE(M1452,"G",""),"C","")))/O1452)</f>
        <v>0.68</v>
      </c>
      <c r="R1452" s="5" t="s">
        <v>1480</v>
      </c>
      <c r="S1452" s="15" t="s">
        <v>1677</v>
      </c>
      <c r="T1452" s="5" t="n">
        <v>146</v>
      </c>
      <c r="U1452" s="5" t="s">
        <v>1678</v>
      </c>
      <c r="V1452" s="5" t="s">
        <v>1398</v>
      </c>
      <c r="W1452" s="5"/>
      <c r="X1452" s="5"/>
      <c r="Y1452" s="5"/>
    </row>
    <row r="1453" customFormat="false" ht="15" hidden="false" customHeight="false" outlineLevel="0" collapsed="false">
      <c r="A1453" s="5" t="s">
        <v>14144</v>
      </c>
      <c r="B1453" s="5" t="s">
        <v>1474</v>
      </c>
      <c r="C1453" s="5" t="s">
        <v>1475</v>
      </c>
      <c r="D1453" s="9" t="s">
        <v>66</v>
      </c>
      <c r="E1453" s="5" t="n">
        <v>2</v>
      </c>
      <c r="F1453" s="5" t="s">
        <v>14145</v>
      </c>
      <c r="G1453" s="13" t="s">
        <v>14146</v>
      </c>
      <c r="H1453" s="5" t="s">
        <v>14147</v>
      </c>
      <c r="I1453" s="13" t="s">
        <v>14148</v>
      </c>
      <c r="J1453" s="5" t="s">
        <v>14149</v>
      </c>
      <c r="K1453" s="5" t="s">
        <v>14150</v>
      </c>
      <c r="L1453" s="13" t="s">
        <v>14151</v>
      </c>
      <c r="M1453" s="13" t="s">
        <v>14152</v>
      </c>
      <c r="N1453" s="5" t="n">
        <f aca="false">LEN(L1453)</f>
        <v>25</v>
      </c>
      <c r="O1453" s="5" t="n">
        <f aca="false">LEN(M1453)</f>
        <v>25</v>
      </c>
      <c r="P1453" s="14" t="n">
        <f aca="false">IF(N1453=0,"",(N1453-LEN(SUBSTITUTE(SUBSTITUTE(L1453,"G",""),"C","")))/N1453)</f>
        <v>0.48</v>
      </c>
      <c r="Q1453" s="14" t="n">
        <f aca="false">IF(O1453=0,"",(O1453-LEN(SUBSTITUTE(SUBSTITUTE(M1453,"G",""),"C","")))/O1453)</f>
        <v>0.48</v>
      </c>
      <c r="R1453" s="5" t="s">
        <v>1480</v>
      </c>
      <c r="S1453" s="15" t="s">
        <v>1677</v>
      </c>
      <c r="T1453" s="5" t="n">
        <v>216</v>
      </c>
      <c r="U1453" s="5" t="s">
        <v>1678</v>
      </c>
      <c r="V1453" s="5" t="s">
        <v>1398</v>
      </c>
      <c r="W1453" s="5"/>
      <c r="X1453" s="5"/>
      <c r="Y1453" s="5"/>
    </row>
    <row r="1454" customFormat="false" ht="15" hidden="false" customHeight="false" outlineLevel="0" collapsed="false">
      <c r="A1454" s="5" t="s">
        <v>14153</v>
      </c>
      <c r="B1454" s="5" t="s">
        <v>1474</v>
      </c>
      <c r="C1454" s="5" t="s">
        <v>1475</v>
      </c>
      <c r="D1454" s="9" t="s">
        <v>66</v>
      </c>
      <c r="E1454" s="5" t="n">
        <v>3</v>
      </c>
      <c r="F1454" s="5" t="s">
        <v>14154</v>
      </c>
      <c r="G1454" s="13" t="s">
        <v>14155</v>
      </c>
      <c r="H1454" s="5" t="s">
        <v>14156</v>
      </c>
      <c r="I1454" s="13" t="s">
        <v>14157</v>
      </c>
      <c r="J1454" s="5" t="s">
        <v>14158</v>
      </c>
      <c r="K1454" s="5" t="s">
        <v>14159</v>
      </c>
      <c r="L1454" s="13" t="s">
        <v>14160</v>
      </c>
      <c r="M1454" s="13" t="s">
        <v>14161</v>
      </c>
      <c r="N1454" s="5" t="n">
        <f aca="false">LEN(L1454)</f>
        <v>25</v>
      </c>
      <c r="O1454" s="5" t="n">
        <f aca="false">LEN(M1454)</f>
        <v>25</v>
      </c>
      <c r="P1454" s="14" t="n">
        <f aca="false">IF(N1454=0,"",(N1454-LEN(SUBSTITUTE(SUBSTITUTE(L1454,"G",""),"C","")))/N1454)</f>
        <v>0.4</v>
      </c>
      <c r="Q1454" s="14" t="n">
        <f aca="false">IF(O1454=0,"",(O1454-LEN(SUBSTITUTE(SUBSTITUTE(M1454,"G",""),"C","")))/O1454)</f>
        <v>0.6</v>
      </c>
      <c r="R1454" s="5" t="s">
        <v>1480</v>
      </c>
      <c r="S1454" s="15" t="s">
        <v>1677</v>
      </c>
      <c r="T1454" s="5" t="n">
        <v>286</v>
      </c>
      <c r="U1454" s="5" t="s">
        <v>1678</v>
      </c>
      <c r="V1454" s="5" t="s">
        <v>1398</v>
      </c>
      <c r="W1454" s="5"/>
      <c r="X1454" s="5"/>
      <c r="Y1454" s="5"/>
    </row>
    <row r="1455" customFormat="false" ht="15" hidden="false" customHeight="false" outlineLevel="0" collapsed="false">
      <c r="A1455" s="5" t="s">
        <v>14162</v>
      </c>
      <c r="B1455" s="5" t="s">
        <v>1474</v>
      </c>
      <c r="C1455" s="5" t="s">
        <v>1475</v>
      </c>
      <c r="D1455" s="9" t="s">
        <v>66</v>
      </c>
      <c r="E1455" s="5" t="n">
        <v>4</v>
      </c>
      <c r="F1455" s="5" t="s">
        <v>14163</v>
      </c>
      <c r="G1455" s="13" t="s">
        <v>14164</v>
      </c>
      <c r="H1455" s="5" t="s">
        <v>14165</v>
      </c>
      <c r="I1455" s="13" t="s">
        <v>14166</v>
      </c>
      <c r="J1455" s="5" t="s">
        <v>14167</v>
      </c>
      <c r="K1455" s="5" t="s">
        <v>14168</v>
      </c>
      <c r="L1455" s="13" t="s">
        <v>14169</v>
      </c>
      <c r="M1455" s="13" t="s">
        <v>14170</v>
      </c>
      <c r="N1455" s="5" t="n">
        <f aca="false">LEN(L1455)</f>
        <v>25</v>
      </c>
      <c r="O1455" s="5" t="n">
        <f aca="false">LEN(M1455)</f>
        <v>25</v>
      </c>
      <c r="P1455" s="14" t="n">
        <f aca="false">IF(N1455=0,"",(N1455-LEN(SUBSTITUTE(SUBSTITUTE(L1455,"G",""),"C","")))/N1455)</f>
        <v>0.36</v>
      </c>
      <c r="Q1455" s="14" t="n">
        <f aca="false">IF(O1455=0,"",(O1455-LEN(SUBSTITUTE(SUBSTITUTE(M1455,"G",""),"C","")))/O1455)</f>
        <v>0.56</v>
      </c>
      <c r="R1455" s="5" t="s">
        <v>1480</v>
      </c>
      <c r="S1455" s="15" t="s">
        <v>1677</v>
      </c>
      <c r="T1455" s="5" t="n">
        <v>356</v>
      </c>
      <c r="U1455" s="5" t="s">
        <v>1678</v>
      </c>
      <c r="V1455" s="5" t="s">
        <v>1398</v>
      </c>
      <c r="W1455" s="5"/>
      <c r="X1455" s="5"/>
      <c r="Y1455" s="5"/>
    </row>
    <row r="1456" customFormat="false" ht="15" hidden="false" customHeight="false" outlineLevel="0" collapsed="false">
      <c r="A1456" s="5" t="s">
        <v>14171</v>
      </c>
      <c r="B1456" s="5" t="s">
        <v>1474</v>
      </c>
      <c r="C1456" s="5" t="s">
        <v>1475</v>
      </c>
      <c r="D1456" s="9" t="s">
        <v>66</v>
      </c>
      <c r="E1456" s="5" t="n">
        <v>5</v>
      </c>
      <c r="F1456" s="5" t="s">
        <v>14172</v>
      </c>
      <c r="G1456" s="13" t="s">
        <v>14173</v>
      </c>
      <c r="H1456" s="5" t="s">
        <v>14174</v>
      </c>
      <c r="I1456" s="13" t="s">
        <v>14175</v>
      </c>
      <c r="J1456" s="5" t="s">
        <v>14176</v>
      </c>
      <c r="K1456" s="5" t="s">
        <v>14177</v>
      </c>
      <c r="L1456" s="13" t="s">
        <v>14178</v>
      </c>
      <c r="M1456" s="13" t="s">
        <v>14179</v>
      </c>
      <c r="N1456" s="5" t="n">
        <f aca="false">LEN(L1456)</f>
        <v>25</v>
      </c>
      <c r="O1456" s="5" t="n">
        <f aca="false">LEN(M1456)</f>
        <v>25</v>
      </c>
      <c r="P1456" s="14" t="n">
        <f aca="false">IF(N1456=0,"",(N1456-LEN(SUBSTITUTE(SUBSTITUTE(L1456,"G",""),"C","")))/N1456)</f>
        <v>0.76</v>
      </c>
      <c r="Q1456" s="14" t="n">
        <f aca="false">IF(O1456=0,"",(O1456-LEN(SUBSTITUTE(SUBSTITUTE(M1456,"G",""),"C","")))/O1456)</f>
        <v>0.64</v>
      </c>
      <c r="R1456" s="5" t="s">
        <v>1480</v>
      </c>
      <c r="S1456" s="15" t="s">
        <v>1677</v>
      </c>
      <c r="T1456" s="5" t="n">
        <v>426</v>
      </c>
      <c r="U1456" s="5" t="s">
        <v>1678</v>
      </c>
      <c r="V1456" s="5" t="s">
        <v>1398</v>
      </c>
      <c r="W1456" s="5"/>
      <c r="X1456" s="5"/>
      <c r="Y1456" s="5"/>
    </row>
    <row r="1457" customFormat="false" ht="15" hidden="false" customHeight="false" outlineLevel="0" collapsed="false">
      <c r="A1457" s="5" t="s">
        <v>14180</v>
      </c>
      <c r="B1457" s="5" t="s">
        <v>1474</v>
      </c>
      <c r="C1457" s="5" t="s">
        <v>1475</v>
      </c>
      <c r="D1457" s="9" t="s">
        <v>66</v>
      </c>
      <c r="E1457" s="5" t="n">
        <v>6</v>
      </c>
      <c r="F1457" s="5" t="s">
        <v>14181</v>
      </c>
      <c r="G1457" s="13" t="s">
        <v>14182</v>
      </c>
      <c r="H1457" s="5" t="s">
        <v>14183</v>
      </c>
      <c r="I1457" s="13" t="s">
        <v>14184</v>
      </c>
      <c r="J1457" s="5" t="s">
        <v>14185</v>
      </c>
      <c r="K1457" s="5" t="s">
        <v>14186</v>
      </c>
      <c r="L1457" s="13" t="s">
        <v>14187</v>
      </c>
      <c r="M1457" s="13" t="s">
        <v>14188</v>
      </c>
      <c r="N1457" s="5" t="n">
        <f aca="false">LEN(L1457)</f>
        <v>25</v>
      </c>
      <c r="O1457" s="5" t="n">
        <f aca="false">LEN(M1457)</f>
        <v>25</v>
      </c>
      <c r="P1457" s="14" t="n">
        <f aca="false">IF(N1457=0,"",(N1457-LEN(SUBSTITUTE(SUBSTITUTE(L1457,"G",""),"C","")))/N1457)</f>
        <v>0.52</v>
      </c>
      <c r="Q1457" s="14" t="n">
        <f aca="false">IF(O1457=0,"",(O1457-LEN(SUBSTITUTE(SUBSTITUTE(M1457,"G",""),"C","")))/O1457)</f>
        <v>0.56</v>
      </c>
      <c r="R1457" s="5" t="s">
        <v>1480</v>
      </c>
      <c r="S1457" s="15" t="s">
        <v>1677</v>
      </c>
      <c r="T1457" s="5" t="n">
        <v>496</v>
      </c>
      <c r="U1457" s="5" t="s">
        <v>1678</v>
      </c>
      <c r="V1457" s="5" t="s">
        <v>1398</v>
      </c>
      <c r="W1457" s="5"/>
      <c r="X1457" s="5"/>
      <c r="Y1457" s="5"/>
    </row>
    <row r="1458" customFormat="false" ht="15" hidden="false" customHeight="false" outlineLevel="0" collapsed="false">
      <c r="A1458" s="5" t="s">
        <v>14189</v>
      </c>
      <c r="B1458" s="5" t="s">
        <v>1474</v>
      </c>
      <c r="C1458" s="5" t="s">
        <v>1475</v>
      </c>
      <c r="D1458" s="9" t="s">
        <v>66</v>
      </c>
      <c r="E1458" s="5" t="n">
        <v>7</v>
      </c>
      <c r="F1458" s="5" t="s">
        <v>14190</v>
      </c>
      <c r="G1458" s="13" t="s">
        <v>14191</v>
      </c>
      <c r="H1458" s="5" t="s">
        <v>14192</v>
      </c>
      <c r="I1458" s="13" t="s">
        <v>14193</v>
      </c>
      <c r="J1458" s="5" t="s">
        <v>14194</v>
      </c>
      <c r="K1458" s="5" t="s">
        <v>14195</v>
      </c>
      <c r="L1458" s="13" t="s">
        <v>14196</v>
      </c>
      <c r="M1458" s="13" t="s">
        <v>14197</v>
      </c>
      <c r="N1458" s="5" t="n">
        <f aca="false">LEN(L1458)</f>
        <v>25</v>
      </c>
      <c r="O1458" s="5" t="n">
        <f aca="false">LEN(M1458)</f>
        <v>25</v>
      </c>
      <c r="P1458" s="14" t="n">
        <f aca="false">IF(N1458=0,"",(N1458-LEN(SUBSTITUTE(SUBSTITUTE(L1458,"G",""),"C","")))/N1458)</f>
        <v>0.56</v>
      </c>
      <c r="Q1458" s="14" t="n">
        <f aca="false">IF(O1458=0,"",(O1458-LEN(SUBSTITUTE(SUBSTITUTE(M1458,"G",""),"C","")))/O1458)</f>
        <v>0.64</v>
      </c>
      <c r="R1458" s="5" t="s">
        <v>1480</v>
      </c>
      <c r="S1458" s="15" t="s">
        <v>1677</v>
      </c>
      <c r="T1458" s="5" t="n">
        <v>566</v>
      </c>
      <c r="U1458" s="5" t="s">
        <v>1678</v>
      </c>
      <c r="V1458" s="5" t="s">
        <v>1398</v>
      </c>
      <c r="W1458" s="5"/>
      <c r="X1458" s="5"/>
      <c r="Y1458" s="5"/>
    </row>
    <row r="1459" customFormat="false" ht="15" hidden="false" customHeight="false" outlineLevel="0" collapsed="false">
      <c r="A1459" s="5" t="s">
        <v>14198</v>
      </c>
      <c r="B1459" s="5" t="s">
        <v>1474</v>
      </c>
      <c r="C1459" s="5" t="s">
        <v>1475</v>
      </c>
      <c r="D1459" s="9" t="s">
        <v>66</v>
      </c>
      <c r="E1459" s="5" t="n">
        <v>8</v>
      </c>
      <c r="F1459" s="5" t="s">
        <v>14199</v>
      </c>
      <c r="G1459" s="13" t="s">
        <v>14200</v>
      </c>
      <c r="H1459" s="5" t="s">
        <v>14201</v>
      </c>
      <c r="I1459" s="13" t="s">
        <v>14202</v>
      </c>
      <c r="J1459" s="5" t="s">
        <v>14203</v>
      </c>
      <c r="K1459" s="5" t="s">
        <v>14204</v>
      </c>
      <c r="L1459" s="13" t="s">
        <v>14205</v>
      </c>
      <c r="M1459" s="13" t="s">
        <v>14206</v>
      </c>
      <c r="N1459" s="5" t="n">
        <f aca="false">LEN(L1459)</f>
        <v>25</v>
      </c>
      <c r="O1459" s="5" t="n">
        <f aca="false">LEN(M1459)</f>
        <v>25</v>
      </c>
      <c r="P1459" s="14" t="n">
        <f aca="false">IF(N1459=0,"",(N1459-LEN(SUBSTITUTE(SUBSTITUTE(L1459,"G",""),"C","")))/N1459)</f>
        <v>0.44</v>
      </c>
      <c r="Q1459" s="14" t="n">
        <f aca="false">IF(O1459=0,"",(O1459-LEN(SUBSTITUTE(SUBSTITUTE(M1459,"G",""),"C","")))/O1459)</f>
        <v>0.76</v>
      </c>
      <c r="R1459" s="5" t="s">
        <v>1480</v>
      </c>
      <c r="S1459" s="15" t="s">
        <v>1677</v>
      </c>
      <c r="T1459" s="5" t="n">
        <v>636</v>
      </c>
      <c r="U1459" s="5" t="s">
        <v>1678</v>
      </c>
      <c r="V1459" s="5" t="s">
        <v>1398</v>
      </c>
      <c r="W1459" s="5"/>
      <c r="X1459" s="5"/>
      <c r="Y1459" s="5"/>
    </row>
    <row r="1460" customFormat="false" ht="15" hidden="false" customHeight="false" outlineLevel="0" collapsed="false">
      <c r="A1460" s="5" t="s">
        <v>14207</v>
      </c>
      <c r="B1460" s="5" t="s">
        <v>1481</v>
      </c>
      <c r="C1460" s="5" t="s">
        <v>1482</v>
      </c>
      <c r="D1460" s="9" t="s">
        <v>66</v>
      </c>
      <c r="E1460" s="5" t="n">
        <v>1</v>
      </c>
      <c r="F1460" s="5" t="s">
        <v>14208</v>
      </c>
      <c r="G1460" s="13" t="s">
        <v>14209</v>
      </c>
      <c r="H1460" s="5" t="s">
        <v>14210</v>
      </c>
      <c r="I1460" s="13" t="s">
        <v>14211</v>
      </c>
      <c r="J1460" s="5" t="s">
        <v>14212</v>
      </c>
      <c r="K1460" s="5" t="s">
        <v>14213</v>
      </c>
      <c r="L1460" s="13" t="s">
        <v>14214</v>
      </c>
      <c r="M1460" s="13" t="s">
        <v>14215</v>
      </c>
      <c r="N1460" s="5" t="n">
        <f aca="false">LEN(L1460)</f>
        <v>25</v>
      </c>
      <c r="O1460" s="5" t="n">
        <f aca="false">LEN(M1460)</f>
        <v>25</v>
      </c>
      <c r="P1460" s="14" t="n">
        <f aca="false">IF(N1460=0,"",(N1460-LEN(SUBSTITUTE(SUBSTITUTE(L1460,"G",""),"C","")))/N1460)</f>
        <v>0.52</v>
      </c>
      <c r="Q1460" s="14" t="n">
        <f aca="false">IF(O1460=0,"",(O1460-LEN(SUBSTITUTE(SUBSTITUTE(M1460,"G",""),"C","")))/O1460)</f>
        <v>0.44</v>
      </c>
      <c r="R1460" s="5" t="s">
        <v>1487</v>
      </c>
      <c r="S1460" s="15" t="s">
        <v>1677</v>
      </c>
      <c r="T1460" s="5" t="n">
        <v>76</v>
      </c>
      <c r="U1460" s="5" t="s">
        <v>1678</v>
      </c>
      <c r="V1460" s="5" t="s">
        <v>1398</v>
      </c>
      <c r="W1460" s="5"/>
      <c r="X1460" s="5"/>
      <c r="Y1460" s="5"/>
    </row>
    <row r="1461" customFormat="false" ht="15" hidden="false" customHeight="false" outlineLevel="0" collapsed="false">
      <c r="A1461" s="5" t="s">
        <v>14216</v>
      </c>
      <c r="B1461" s="5" t="s">
        <v>1481</v>
      </c>
      <c r="C1461" s="5" t="s">
        <v>1482</v>
      </c>
      <c r="D1461" s="9" t="s">
        <v>66</v>
      </c>
      <c r="E1461" s="5" t="n">
        <v>2</v>
      </c>
      <c r="F1461" s="5" t="s">
        <v>14217</v>
      </c>
      <c r="G1461" s="13" t="s">
        <v>14218</v>
      </c>
      <c r="H1461" s="5" t="s">
        <v>14219</v>
      </c>
      <c r="I1461" s="13" t="s">
        <v>14220</v>
      </c>
      <c r="J1461" s="5" t="s">
        <v>14221</v>
      </c>
      <c r="K1461" s="5" t="s">
        <v>14222</v>
      </c>
      <c r="L1461" s="13" t="s">
        <v>14223</v>
      </c>
      <c r="M1461" s="13" t="s">
        <v>14224</v>
      </c>
      <c r="N1461" s="5" t="n">
        <f aca="false">LEN(L1461)</f>
        <v>25</v>
      </c>
      <c r="O1461" s="5" t="n">
        <f aca="false">LEN(M1461)</f>
        <v>25</v>
      </c>
      <c r="P1461" s="14" t="n">
        <f aca="false">IF(N1461=0,"",(N1461-LEN(SUBSTITUTE(SUBSTITUTE(L1461,"G",""),"C","")))/N1461)</f>
        <v>0.56</v>
      </c>
      <c r="Q1461" s="14" t="n">
        <f aca="false">IF(O1461=0,"",(O1461-LEN(SUBSTITUTE(SUBSTITUTE(M1461,"G",""),"C","")))/O1461)</f>
        <v>0.48</v>
      </c>
      <c r="R1461" s="5" t="s">
        <v>1487</v>
      </c>
      <c r="S1461" s="15" t="s">
        <v>1677</v>
      </c>
      <c r="T1461" s="5" t="n">
        <v>146</v>
      </c>
      <c r="U1461" s="5" t="s">
        <v>1678</v>
      </c>
      <c r="V1461" s="5" t="s">
        <v>1398</v>
      </c>
      <c r="W1461" s="5"/>
      <c r="X1461" s="5"/>
      <c r="Y1461" s="5"/>
    </row>
    <row r="1462" customFormat="false" ht="15" hidden="false" customHeight="false" outlineLevel="0" collapsed="false">
      <c r="A1462" s="5" t="s">
        <v>14225</v>
      </c>
      <c r="B1462" s="5" t="s">
        <v>1481</v>
      </c>
      <c r="C1462" s="5" t="s">
        <v>1482</v>
      </c>
      <c r="D1462" s="9" t="s">
        <v>66</v>
      </c>
      <c r="E1462" s="5" t="n">
        <v>3</v>
      </c>
      <c r="F1462" s="5" t="s">
        <v>14226</v>
      </c>
      <c r="G1462" s="13" t="s">
        <v>14227</v>
      </c>
      <c r="H1462" s="5" t="s">
        <v>14228</v>
      </c>
      <c r="I1462" s="13" t="s">
        <v>14229</v>
      </c>
      <c r="J1462" s="5" t="s">
        <v>14230</v>
      </c>
      <c r="K1462" s="5" t="s">
        <v>14231</v>
      </c>
      <c r="L1462" s="13" t="s">
        <v>14232</v>
      </c>
      <c r="M1462" s="13" t="s">
        <v>14233</v>
      </c>
      <c r="N1462" s="5" t="n">
        <f aca="false">LEN(L1462)</f>
        <v>25</v>
      </c>
      <c r="O1462" s="5" t="n">
        <f aca="false">LEN(M1462)</f>
        <v>25</v>
      </c>
      <c r="P1462" s="14" t="n">
        <f aca="false">IF(N1462=0,"",(N1462-LEN(SUBSTITUTE(SUBSTITUTE(L1462,"G",""),"C","")))/N1462)</f>
        <v>0.44</v>
      </c>
      <c r="Q1462" s="14" t="n">
        <f aca="false">IF(O1462=0,"",(O1462-LEN(SUBSTITUTE(SUBSTITUTE(M1462,"G",""),"C","")))/O1462)</f>
        <v>0.36</v>
      </c>
      <c r="R1462" s="5" t="s">
        <v>1487</v>
      </c>
      <c r="S1462" s="15" t="s">
        <v>1677</v>
      </c>
      <c r="T1462" s="5" t="n">
        <v>216</v>
      </c>
      <c r="U1462" s="5" t="s">
        <v>1678</v>
      </c>
      <c r="V1462" s="5" t="s">
        <v>1398</v>
      </c>
      <c r="W1462" s="5"/>
      <c r="X1462" s="5"/>
      <c r="Y1462" s="5"/>
    </row>
    <row r="1463" customFormat="false" ht="15" hidden="false" customHeight="false" outlineLevel="0" collapsed="false">
      <c r="A1463" s="5" t="s">
        <v>14234</v>
      </c>
      <c r="B1463" s="5" t="s">
        <v>1481</v>
      </c>
      <c r="C1463" s="5" t="s">
        <v>1482</v>
      </c>
      <c r="D1463" s="9" t="s">
        <v>66</v>
      </c>
      <c r="E1463" s="5" t="n">
        <v>4</v>
      </c>
      <c r="F1463" s="5" t="s">
        <v>14235</v>
      </c>
      <c r="G1463" s="13" t="s">
        <v>14236</v>
      </c>
      <c r="H1463" s="5" t="s">
        <v>14237</v>
      </c>
      <c r="I1463" s="13" t="s">
        <v>14238</v>
      </c>
      <c r="J1463" s="5" t="s">
        <v>14239</v>
      </c>
      <c r="K1463" s="5" t="s">
        <v>14240</v>
      </c>
      <c r="L1463" s="13" t="s">
        <v>14241</v>
      </c>
      <c r="M1463" s="13" t="s">
        <v>14242</v>
      </c>
      <c r="N1463" s="5" t="n">
        <f aca="false">LEN(L1463)</f>
        <v>25</v>
      </c>
      <c r="O1463" s="5" t="n">
        <f aca="false">LEN(M1463)</f>
        <v>25</v>
      </c>
      <c r="P1463" s="14" t="n">
        <f aca="false">IF(N1463=0,"",(N1463-LEN(SUBSTITUTE(SUBSTITUTE(L1463,"G",""),"C","")))/N1463)</f>
        <v>0.36</v>
      </c>
      <c r="Q1463" s="14" t="n">
        <f aca="false">IF(O1463=0,"",(O1463-LEN(SUBSTITUTE(SUBSTITUTE(M1463,"G",""),"C","")))/O1463)</f>
        <v>0.6</v>
      </c>
      <c r="R1463" s="5" t="s">
        <v>1487</v>
      </c>
      <c r="S1463" s="15" t="s">
        <v>1677</v>
      </c>
      <c r="T1463" s="5" t="n">
        <v>286</v>
      </c>
      <c r="U1463" s="5" t="s">
        <v>1678</v>
      </c>
      <c r="V1463" s="5" t="s">
        <v>1398</v>
      </c>
      <c r="W1463" s="5"/>
      <c r="X1463" s="5"/>
      <c r="Y1463" s="5"/>
    </row>
    <row r="1464" customFormat="false" ht="15" hidden="false" customHeight="false" outlineLevel="0" collapsed="false">
      <c r="A1464" s="5" t="s">
        <v>14243</v>
      </c>
      <c r="B1464" s="5" t="s">
        <v>1481</v>
      </c>
      <c r="C1464" s="5" t="s">
        <v>1482</v>
      </c>
      <c r="D1464" s="9" t="s">
        <v>66</v>
      </c>
      <c r="E1464" s="5" t="n">
        <v>5</v>
      </c>
      <c r="F1464" s="5" t="s">
        <v>14244</v>
      </c>
      <c r="G1464" s="13" t="s">
        <v>14245</v>
      </c>
      <c r="H1464" s="5" t="s">
        <v>14246</v>
      </c>
      <c r="I1464" s="13" t="s">
        <v>14247</v>
      </c>
      <c r="J1464" s="5" t="s">
        <v>14248</v>
      </c>
      <c r="K1464" s="5" t="s">
        <v>14249</v>
      </c>
      <c r="L1464" s="13" t="s">
        <v>14250</v>
      </c>
      <c r="M1464" s="13" t="s">
        <v>14251</v>
      </c>
      <c r="N1464" s="5" t="n">
        <f aca="false">LEN(L1464)</f>
        <v>25</v>
      </c>
      <c r="O1464" s="5" t="n">
        <f aca="false">LEN(M1464)</f>
        <v>25</v>
      </c>
      <c r="P1464" s="14" t="n">
        <f aca="false">IF(N1464=0,"",(N1464-LEN(SUBSTITUTE(SUBSTITUTE(L1464,"G",""),"C","")))/N1464)</f>
        <v>0.6</v>
      </c>
      <c r="Q1464" s="14" t="n">
        <f aca="false">IF(O1464=0,"",(O1464-LEN(SUBSTITUTE(SUBSTITUTE(M1464,"G",""),"C","")))/O1464)</f>
        <v>0.8</v>
      </c>
      <c r="R1464" s="5" t="s">
        <v>1487</v>
      </c>
      <c r="S1464" s="15" t="s">
        <v>1677</v>
      </c>
      <c r="T1464" s="5" t="n">
        <v>356</v>
      </c>
      <c r="U1464" s="5" t="s">
        <v>1678</v>
      </c>
      <c r="V1464" s="5" t="s">
        <v>1398</v>
      </c>
      <c r="W1464" s="5"/>
      <c r="X1464" s="5"/>
      <c r="Y1464" s="5"/>
    </row>
    <row r="1465" customFormat="false" ht="15" hidden="false" customHeight="false" outlineLevel="0" collapsed="false">
      <c r="A1465" s="5" t="s">
        <v>14252</v>
      </c>
      <c r="B1465" s="5" t="s">
        <v>1481</v>
      </c>
      <c r="C1465" s="5" t="s">
        <v>1482</v>
      </c>
      <c r="D1465" s="9" t="s">
        <v>66</v>
      </c>
      <c r="E1465" s="5" t="n">
        <v>6</v>
      </c>
      <c r="F1465" s="5" t="s">
        <v>14253</v>
      </c>
      <c r="G1465" s="13" t="s">
        <v>14254</v>
      </c>
      <c r="H1465" s="5" t="s">
        <v>14255</v>
      </c>
      <c r="I1465" s="13" t="s">
        <v>14256</v>
      </c>
      <c r="J1465" s="5" t="s">
        <v>14257</v>
      </c>
      <c r="K1465" s="5" t="s">
        <v>14258</v>
      </c>
      <c r="L1465" s="13" t="s">
        <v>14259</v>
      </c>
      <c r="M1465" s="13" t="s">
        <v>14260</v>
      </c>
      <c r="N1465" s="5" t="n">
        <f aca="false">LEN(L1465)</f>
        <v>25</v>
      </c>
      <c r="O1465" s="5" t="n">
        <f aca="false">LEN(M1465)</f>
        <v>25</v>
      </c>
      <c r="P1465" s="14" t="n">
        <f aca="false">IF(N1465=0,"",(N1465-LEN(SUBSTITUTE(SUBSTITUTE(L1465,"G",""),"C","")))/N1465)</f>
        <v>0.72</v>
      </c>
      <c r="Q1465" s="14" t="n">
        <f aca="false">IF(O1465=0,"",(O1465-LEN(SUBSTITUTE(SUBSTITUTE(M1465,"G",""),"C","")))/O1465)</f>
        <v>0.48</v>
      </c>
      <c r="R1465" s="5" t="s">
        <v>1487</v>
      </c>
      <c r="S1465" s="15" t="s">
        <v>1677</v>
      </c>
      <c r="T1465" s="5" t="n">
        <v>426</v>
      </c>
      <c r="U1465" s="5" t="s">
        <v>1678</v>
      </c>
      <c r="V1465" s="5" t="s">
        <v>1398</v>
      </c>
      <c r="W1465" s="5"/>
      <c r="X1465" s="5"/>
      <c r="Y1465" s="5"/>
    </row>
    <row r="1466" customFormat="false" ht="15" hidden="false" customHeight="false" outlineLevel="0" collapsed="false">
      <c r="A1466" s="5" t="s">
        <v>14261</v>
      </c>
      <c r="B1466" s="5" t="s">
        <v>1481</v>
      </c>
      <c r="C1466" s="5" t="s">
        <v>1482</v>
      </c>
      <c r="D1466" s="9" t="s">
        <v>66</v>
      </c>
      <c r="E1466" s="5" t="n">
        <v>7</v>
      </c>
      <c r="F1466" s="5" t="s">
        <v>14262</v>
      </c>
      <c r="G1466" s="13" t="s">
        <v>14263</v>
      </c>
      <c r="H1466" s="5" t="s">
        <v>14264</v>
      </c>
      <c r="I1466" s="13" t="s">
        <v>14265</v>
      </c>
      <c r="J1466" s="5" t="s">
        <v>14266</v>
      </c>
      <c r="K1466" s="5" t="s">
        <v>14267</v>
      </c>
      <c r="L1466" s="13" t="s">
        <v>14268</v>
      </c>
      <c r="M1466" s="13" t="s">
        <v>14269</v>
      </c>
      <c r="N1466" s="5" t="n">
        <f aca="false">LEN(L1466)</f>
        <v>25</v>
      </c>
      <c r="O1466" s="5" t="n">
        <f aca="false">LEN(M1466)</f>
        <v>25</v>
      </c>
      <c r="P1466" s="14" t="n">
        <f aca="false">IF(N1466=0,"",(N1466-LEN(SUBSTITUTE(SUBSTITUTE(L1466,"G",""),"C","")))/N1466)</f>
        <v>0.44</v>
      </c>
      <c r="Q1466" s="14" t="n">
        <f aca="false">IF(O1466=0,"",(O1466-LEN(SUBSTITUTE(SUBSTITUTE(M1466,"G",""),"C","")))/O1466)</f>
        <v>0.6</v>
      </c>
      <c r="R1466" s="5" t="s">
        <v>1487</v>
      </c>
      <c r="S1466" s="15" t="s">
        <v>1677</v>
      </c>
      <c r="T1466" s="5" t="n">
        <v>496</v>
      </c>
      <c r="U1466" s="5" t="s">
        <v>1678</v>
      </c>
      <c r="V1466" s="5" t="s">
        <v>1398</v>
      </c>
      <c r="W1466" s="5"/>
      <c r="X1466" s="5"/>
      <c r="Y1466" s="5"/>
    </row>
    <row r="1467" customFormat="false" ht="15" hidden="false" customHeight="false" outlineLevel="0" collapsed="false">
      <c r="A1467" s="5" t="s">
        <v>14270</v>
      </c>
      <c r="B1467" s="5" t="s">
        <v>1481</v>
      </c>
      <c r="C1467" s="5" t="s">
        <v>1482</v>
      </c>
      <c r="D1467" s="9" t="s">
        <v>66</v>
      </c>
      <c r="E1467" s="5" t="n">
        <v>8</v>
      </c>
      <c r="F1467" s="5" t="s">
        <v>14271</v>
      </c>
      <c r="G1467" s="13" t="s">
        <v>14272</v>
      </c>
      <c r="H1467" s="5" t="s">
        <v>14273</v>
      </c>
      <c r="I1467" s="13" t="s">
        <v>14274</v>
      </c>
      <c r="J1467" s="5" t="s">
        <v>14275</v>
      </c>
      <c r="K1467" s="5" t="s">
        <v>14276</v>
      </c>
      <c r="L1467" s="13" t="s">
        <v>14277</v>
      </c>
      <c r="M1467" s="13" t="s">
        <v>14278</v>
      </c>
      <c r="N1467" s="5" t="n">
        <f aca="false">LEN(L1467)</f>
        <v>25</v>
      </c>
      <c r="O1467" s="5" t="n">
        <f aca="false">LEN(M1467)</f>
        <v>25</v>
      </c>
      <c r="P1467" s="14" t="n">
        <f aca="false">IF(N1467=0,"",(N1467-LEN(SUBSTITUTE(SUBSTITUTE(L1467,"G",""),"C","")))/N1467)</f>
        <v>0.52</v>
      </c>
      <c r="Q1467" s="14" t="n">
        <f aca="false">IF(O1467=0,"",(O1467-LEN(SUBSTITUTE(SUBSTITUTE(M1467,"G",""),"C","")))/O1467)</f>
        <v>0.6</v>
      </c>
      <c r="R1467" s="5" t="s">
        <v>1487</v>
      </c>
      <c r="S1467" s="15" t="s">
        <v>1677</v>
      </c>
      <c r="T1467" s="5" t="n">
        <v>566</v>
      </c>
      <c r="U1467" s="5" t="s">
        <v>1678</v>
      </c>
      <c r="V1467" s="5" t="s">
        <v>1398</v>
      </c>
      <c r="W1467" s="5"/>
      <c r="X1467" s="5"/>
      <c r="Y1467" s="5"/>
    </row>
    <row r="1468" customFormat="false" ht="15" hidden="false" customHeight="false" outlineLevel="0" collapsed="false">
      <c r="A1468" s="5" t="s">
        <v>14279</v>
      </c>
      <c r="B1468" s="5" t="s">
        <v>1488</v>
      </c>
      <c r="C1468" s="5" t="s">
        <v>1489</v>
      </c>
      <c r="D1468" s="9" t="s">
        <v>66</v>
      </c>
      <c r="E1468" s="5" t="n">
        <v>1</v>
      </c>
      <c r="F1468" s="5" t="s">
        <v>14280</v>
      </c>
      <c r="G1468" s="13" t="s">
        <v>14281</v>
      </c>
      <c r="H1468" s="5" t="s">
        <v>14282</v>
      </c>
      <c r="I1468" s="13" t="s">
        <v>14283</v>
      </c>
      <c r="J1468" s="5" t="s">
        <v>14284</v>
      </c>
      <c r="K1468" s="5" t="s">
        <v>14285</v>
      </c>
      <c r="L1468" s="13" t="s">
        <v>14286</v>
      </c>
      <c r="M1468" s="13" t="s">
        <v>14287</v>
      </c>
      <c r="N1468" s="5" t="n">
        <f aca="false">LEN(L1468)</f>
        <v>25</v>
      </c>
      <c r="O1468" s="5" t="n">
        <f aca="false">LEN(M1468)</f>
        <v>25</v>
      </c>
      <c r="P1468" s="14" t="n">
        <f aca="false">IF(N1468=0,"",(N1468-LEN(SUBSTITUTE(SUBSTITUTE(L1468,"G",""),"C","")))/N1468)</f>
        <v>0.56</v>
      </c>
      <c r="Q1468" s="14" t="n">
        <f aca="false">IF(O1468=0,"",(O1468-LEN(SUBSTITUTE(SUBSTITUTE(M1468,"G",""),"C","")))/O1468)</f>
        <v>0.48</v>
      </c>
      <c r="R1468" s="5" t="s">
        <v>1491</v>
      </c>
      <c r="S1468" s="15" t="s">
        <v>1677</v>
      </c>
      <c r="T1468" s="5" t="n">
        <v>146</v>
      </c>
      <c r="U1468" s="5" t="s">
        <v>1678</v>
      </c>
      <c r="V1468" s="5" t="s">
        <v>1398</v>
      </c>
      <c r="W1468" s="5"/>
      <c r="X1468" s="5"/>
      <c r="Y1468" s="5"/>
    </row>
    <row r="1469" customFormat="false" ht="15" hidden="false" customHeight="false" outlineLevel="0" collapsed="false">
      <c r="A1469" s="5" t="s">
        <v>14288</v>
      </c>
      <c r="B1469" s="5" t="s">
        <v>1488</v>
      </c>
      <c r="C1469" s="5" t="s">
        <v>1489</v>
      </c>
      <c r="D1469" s="9" t="s">
        <v>66</v>
      </c>
      <c r="E1469" s="5" t="n">
        <v>2</v>
      </c>
      <c r="F1469" s="5" t="s">
        <v>14289</v>
      </c>
      <c r="G1469" s="13" t="s">
        <v>14290</v>
      </c>
      <c r="H1469" s="5" t="s">
        <v>14291</v>
      </c>
      <c r="I1469" s="13" t="s">
        <v>14292</v>
      </c>
      <c r="J1469" s="5" t="s">
        <v>14293</v>
      </c>
      <c r="K1469" s="5" t="s">
        <v>14294</v>
      </c>
      <c r="L1469" s="13" t="s">
        <v>14295</v>
      </c>
      <c r="M1469" s="13" t="s">
        <v>14296</v>
      </c>
      <c r="N1469" s="5" t="n">
        <f aca="false">LEN(L1469)</f>
        <v>25</v>
      </c>
      <c r="O1469" s="5" t="n">
        <f aca="false">LEN(M1469)</f>
        <v>25</v>
      </c>
      <c r="P1469" s="14" t="n">
        <f aca="false">IF(N1469=0,"",(N1469-LEN(SUBSTITUTE(SUBSTITUTE(L1469,"G",""),"C","")))/N1469)</f>
        <v>0.6</v>
      </c>
      <c r="Q1469" s="14" t="n">
        <f aca="false">IF(O1469=0,"",(O1469-LEN(SUBSTITUTE(SUBSTITUTE(M1469,"G",""),"C","")))/O1469)</f>
        <v>0.48</v>
      </c>
      <c r="R1469" s="5" t="s">
        <v>1491</v>
      </c>
      <c r="S1469" s="15" t="s">
        <v>1677</v>
      </c>
      <c r="T1469" s="5" t="n">
        <v>216</v>
      </c>
      <c r="U1469" s="5" t="s">
        <v>1678</v>
      </c>
      <c r="V1469" s="5" t="s">
        <v>1398</v>
      </c>
      <c r="W1469" s="5"/>
      <c r="X1469" s="5"/>
      <c r="Y1469" s="5"/>
    </row>
    <row r="1470" customFormat="false" ht="15" hidden="false" customHeight="false" outlineLevel="0" collapsed="false">
      <c r="A1470" s="5" t="s">
        <v>14297</v>
      </c>
      <c r="B1470" s="5" t="s">
        <v>1488</v>
      </c>
      <c r="C1470" s="5" t="s">
        <v>1489</v>
      </c>
      <c r="D1470" s="9" t="s">
        <v>66</v>
      </c>
      <c r="E1470" s="5" t="n">
        <v>3</v>
      </c>
      <c r="F1470" s="5" t="s">
        <v>14298</v>
      </c>
      <c r="G1470" s="13" t="s">
        <v>14299</v>
      </c>
      <c r="H1470" s="5" t="s">
        <v>14300</v>
      </c>
      <c r="I1470" s="13" t="s">
        <v>14301</v>
      </c>
      <c r="J1470" s="5" t="s">
        <v>14302</v>
      </c>
      <c r="K1470" s="5" t="s">
        <v>14303</v>
      </c>
      <c r="L1470" s="13" t="s">
        <v>14304</v>
      </c>
      <c r="M1470" s="13" t="s">
        <v>14305</v>
      </c>
      <c r="N1470" s="5" t="n">
        <f aca="false">LEN(L1470)</f>
        <v>25</v>
      </c>
      <c r="O1470" s="5" t="n">
        <f aca="false">LEN(M1470)</f>
        <v>25</v>
      </c>
      <c r="P1470" s="14" t="n">
        <f aca="false">IF(N1470=0,"",(N1470-LEN(SUBSTITUTE(SUBSTITUTE(L1470,"G",""),"C","")))/N1470)</f>
        <v>0.68</v>
      </c>
      <c r="Q1470" s="14" t="n">
        <f aca="false">IF(O1470=0,"",(O1470-LEN(SUBSTITUTE(SUBSTITUTE(M1470,"G",""),"C","")))/O1470)</f>
        <v>0.64</v>
      </c>
      <c r="R1470" s="5" t="s">
        <v>1491</v>
      </c>
      <c r="S1470" s="15" t="s">
        <v>1677</v>
      </c>
      <c r="T1470" s="5" t="n">
        <v>286</v>
      </c>
      <c r="U1470" s="5" t="s">
        <v>1678</v>
      </c>
      <c r="V1470" s="5" t="s">
        <v>1398</v>
      </c>
      <c r="W1470" s="5"/>
      <c r="X1470" s="5"/>
      <c r="Y1470" s="5"/>
    </row>
    <row r="1471" customFormat="false" ht="15" hidden="false" customHeight="false" outlineLevel="0" collapsed="false">
      <c r="A1471" s="5" t="s">
        <v>14306</v>
      </c>
      <c r="B1471" s="5" t="s">
        <v>1488</v>
      </c>
      <c r="C1471" s="5" t="s">
        <v>1489</v>
      </c>
      <c r="D1471" s="9" t="s">
        <v>66</v>
      </c>
      <c r="E1471" s="5" t="n">
        <v>4</v>
      </c>
      <c r="F1471" s="5" t="s">
        <v>14307</v>
      </c>
      <c r="G1471" s="13" t="s">
        <v>14308</v>
      </c>
      <c r="H1471" s="5" t="s">
        <v>14309</v>
      </c>
      <c r="I1471" s="13" t="s">
        <v>14310</v>
      </c>
      <c r="J1471" s="5" t="s">
        <v>14311</v>
      </c>
      <c r="K1471" s="5" t="s">
        <v>14312</v>
      </c>
      <c r="L1471" s="13" t="s">
        <v>14313</v>
      </c>
      <c r="M1471" s="13" t="s">
        <v>14314</v>
      </c>
      <c r="N1471" s="5" t="n">
        <f aca="false">LEN(L1471)</f>
        <v>25</v>
      </c>
      <c r="O1471" s="5" t="n">
        <f aca="false">LEN(M1471)</f>
        <v>25</v>
      </c>
      <c r="P1471" s="14" t="n">
        <f aca="false">IF(N1471=0,"",(N1471-LEN(SUBSTITUTE(SUBSTITUTE(L1471,"G",""),"C","")))/N1471)</f>
        <v>0.52</v>
      </c>
      <c r="Q1471" s="14" t="n">
        <f aca="false">IF(O1471=0,"",(O1471-LEN(SUBSTITUTE(SUBSTITUTE(M1471,"G",""),"C","")))/O1471)</f>
        <v>0.48</v>
      </c>
      <c r="R1471" s="5" t="s">
        <v>1491</v>
      </c>
      <c r="S1471" s="15" t="s">
        <v>1677</v>
      </c>
      <c r="T1471" s="5" t="n">
        <v>356</v>
      </c>
      <c r="U1471" s="5" t="s">
        <v>1678</v>
      </c>
      <c r="V1471" s="5" t="s">
        <v>1398</v>
      </c>
      <c r="W1471" s="5"/>
      <c r="X1471" s="5"/>
      <c r="Y1471" s="5"/>
    </row>
    <row r="1472" customFormat="false" ht="15" hidden="false" customHeight="false" outlineLevel="0" collapsed="false">
      <c r="A1472" s="5" t="s">
        <v>14315</v>
      </c>
      <c r="B1472" s="5" t="s">
        <v>1488</v>
      </c>
      <c r="C1472" s="5" t="s">
        <v>1489</v>
      </c>
      <c r="D1472" s="9" t="s">
        <v>66</v>
      </c>
      <c r="E1472" s="5" t="n">
        <v>5</v>
      </c>
      <c r="F1472" s="5" t="s">
        <v>14316</v>
      </c>
      <c r="G1472" s="13" t="s">
        <v>14317</v>
      </c>
      <c r="H1472" s="5" t="s">
        <v>14318</v>
      </c>
      <c r="I1472" s="13" t="s">
        <v>14319</v>
      </c>
      <c r="J1472" s="5" t="s">
        <v>14320</v>
      </c>
      <c r="K1472" s="5" t="s">
        <v>14321</v>
      </c>
      <c r="L1472" s="13" t="s">
        <v>14322</v>
      </c>
      <c r="M1472" s="13" t="s">
        <v>14323</v>
      </c>
      <c r="N1472" s="5" t="n">
        <f aca="false">LEN(L1472)</f>
        <v>25</v>
      </c>
      <c r="O1472" s="5" t="n">
        <f aca="false">LEN(M1472)</f>
        <v>25</v>
      </c>
      <c r="P1472" s="14" t="n">
        <f aca="false">IF(N1472=0,"",(N1472-LEN(SUBSTITUTE(SUBSTITUTE(L1472,"G",""),"C","")))/N1472)</f>
        <v>0.44</v>
      </c>
      <c r="Q1472" s="14" t="n">
        <f aca="false">IF(O1472=0,"",(O1472-LEN(SUBSTITUTE(SUBSTITUTE(M1472,"G",""),"C","")))/O1472)</f>
        <v>0.64</v>
      </c>
      <c r="R1472" s="5" t="s">
        <v>1491</v>
      </c>
      <c r="S1472" s="15" t="s">
        <v>1677</v>
      </c>
      <c r="T1472" s="5" t="n">
        <v>426</v>
      </c>
      <c r="U1472" s="5" t="s">
        <v>1678</v>
      </c>
      <c r="V1472" s="5" t="s">
        <v>1398</v>
      </c>
      <c r="W1472" s="5"/>
      <c r="X1472" s="5"/>
      <c r="Y1472" s="5"/>
    </row>
    <row r="1473" customFormat="false" ht="15" hidden="false" customHeight="false" outlineLevel="0" collapsed="false">
      <c r="A1473" s="5" t="s">
        <v>14324</v>
      </c>
      <c r="B1473" s="5" t="s">
        <v>1488</v>
      </c>
      <c r="C1473" s="5" t="s">
        <v>1489</v>
      </c>
      <c r="D1473" s="9" t="s">
        <v>66</v>
      </c>
      <c r="E1473" s="5" t="n">
        <v>6</v>
      </c>
      <c r="F1473" s="5" t="s">
        <v>14325</v>
      </c>
      <c r="G1473" s="13" t="s">
        <v>14326</v>
      </c>
      <c r="H1473" s="5" t="s">
        <v>14327</v>
      </c>
      <c r="I1473" s="13" t="s">
        <v>14328</v>
      </c>
      <c r="J1473" s="5" t="s">
        <v>14329</v>
      </c>
      <c r="K1473" s="5" t="s">
        <v>14330</v>
      </c>
      <c r="L1473" s="13" t="s">
        <v>14331</v>
      </c>
      <c r="M1473" s="13" t="s">
        <v>14332</v>
      </c>
      <c r="N1473" s="5" t="n">
        <f aca="false">LEN(L1473)</f>
        <v>25</v>
      </c>
      <c r="O1473" s="5" t="n">
        <f aca="false">LEN(M1473)</f>
        <v>25</v>
      </c>
      <c r="P1473" s="14" t="n">
        <f aca="false">IF(N1473=0,"",(N1473-LEN(SUBSTITUTE(SUBSTITUTE(L1473,"G",""),"C","")))/N1473)</f>
        <v>0.6</v>
      </c>
      <c r="Q1473" s="14" t="n">
        <f aca="false">IF(O1473=0,"",(O1473-LEN(SUBSTITUTE(SUBSTITUTE(M1473,"G",""),"C","")))/O1473)</f>
        <v>0.6</v>
      </c>
      <c r="R1473" s="5" t="s">
        <v>1491</v>
      </c>
      <c r="S1473" s="15" t="s">
        <v>1677</v>
      </c>
      <c r="T1473" s="5" t="n">
        <v>496</v>
      </c>
      <c r="U1473" s="5" t="s">
        <v>1678</v>
      </c>
      <c r="V1473" s="5" t="s">
        <v>1398</v>
      </c>
      <c r="W1473" s="5"/>
      <c r="X1473" s="5"/>
      <c r="Y1473" s="5"/>
    </row>
    <row r="1474" customFormat="false" ht="15" hidden="false" customHeight="false" outlineLevel="0" collapsed="false">
      <c r="A1474" s="5" t="s">
        <v>14333</v>
      </c>
      <c r="B1474" s="5" t="s">
        <v>1488</v>
      </c>
      <c r="C1474" s="5" t="s">
        <v>1489</v>
      </c>
      <c r="D1474" s="9" t="s">
        <v>66</v>
      </c>
      <c r="E1474" s="5" t="n">
        <v>7</v>
      </c>
      <c r="F1474" s="5" t="s">
        <v>14334</v>
      </c>
      <c r="G1474" s="13" t="s">
        <v>14335</v>
      </c>
      <c r="H1474" s="5" t="s">
        <v>14336</v>
      </c>
      <c r="I1474" s="13" t="s">
        <v>14337</v>
      </c>
      <c r="J1474" s="5" t="s">
        <v>14338</v>
      </c>
      <c r="K1474" s="5" t="s">
        <v>14339</v>
      </c>
      <c r="L1474" s="13" t="s">
        <v>14340</v>
      </c>
      <c r="M1474" s="13" t="s">
        <v>14341</v>
      </c>
      <c r="N1474" s="5" t="n">
        <f aca="false">LEN(L1474)</f>
        <v>25</v>
      </c>
      <c r="O1474" s="5" t="n">
        <f aca="false">LEN(M1474)</f>
        <v>25</v>
      </c>
      <c r="P1474" s="14" t="n">
        <f aca="false">IF(N1474=0,"",(N1474-LEN(SUBSTITUTE(SUBSTITUTE(L1474,"G",""),"C","")))/N1474)</f>
        <v>0.6</v>
      </c>
      <c r="Q1474" s="14" t="n">
        <f aca="false">IF(O1474=0,"",(O1474-LEN(SUBSTITUTE(SUBSTITUTE(M1474,"G",""),"C","")))/O1474)</f>
        <v>0.52</v>
      </c>
      <c r="R1474" s="5" t="s">
        <v>1491</v>
      </c>
      <c r="S1474" s="15" t="s">
        <v>1677</v>
      </c>
      <c r="T1474" s="5" t="n">
        <v>566</v>
      </c>
      <c r="U1474" s="5" t="s">
        <v>1678</v>
      </c>
      <c r="V1474" s="5" t="s">
        <v>1398</v>
      </c>
      <c r="W1474" s="5"/>
      <c r="X1474" s="5"/>
      <c r="Y1474" s="5"/>
    </row>
    <row r="1475" customFormat="false" ht="15" hidden="false" customHeight="false" outlineLevel="0" collapsed="false">
      <c r="A1475" s="5" t="s">
        <v>14342</v>
      </c>
      <c r="B1475" s="5" t="s">
        <v>1488</v>
      </c>
      <c r="C1475" s="5" t="s">
        <v>1489</v>
      </c>
      <c r="D1475" s="9" t="s">
        <v>66</v>
      </c>
      <c r="E1475" s="5" t="n">
        <v>8</v>
      </c>
      <c r="F1475" s="5" t="s">
        <v>14343</v>
      </c>
      <c r="G1475" s="13" t="s">
        <v>14344</v>
      </c>
      <c r="H1475" s="5" t="s">
        <v>14345</v>
      </c>
      <c r="I1475" s="13" t="s">
        <v>14346</v>
      </c>
      <c r="J1475" s="5" t="s">
        <v>14347</v>
      </c>
      <c r="K1475" s="5" t="s">
        <v>14348</v>
      </c>
      <c r="L1475" s="13" t="s">
        <v>14349</v>
      </c>
      <c r="M1475" s="13" t="s">
        <v>14350</v>
      </c>
      <c r="N1475" s="5" t="n">
        <f aca="false">LEN(L1475)</f>
        <v>25</v>
      </c>
      <c r="O1475" s="5" t="n">
        <f aca="false">LEN(M1475)</f>
        <v>25</v>
      </c>
      <c r="P1475" s="14" t="n">
        <f aca="false">IF(N1475=0,"",(N1475-LEN(SUBSTITUTE(SUBSTITUTE(L1475,"G",""),"C","")))/N1475)</f>
        <v>0.64</v>
      </c>
      <c r="Q1475" s="14" t="n">
        <f aca="false">IF(O1475=0,"",(O1475-LEN(SUBSTITUTE(SUBSTITUTE(M1475,"G",""),"C","")))/O1475)</f>
        <v>0.6</v>
      </c>
      <c r="R1475" s="5" t="s">
        <v>1491</v>
      </c>
      <c r="S1475" s="15" t="s">
        <v>1677</v>
      </c>
      <c r="T1475" s="5" t="n">
        <v>636</v>
      </c>
      <c r="U1475" s="5" t="s">
        <v>1678</v>
      </c>
      <c r="V1475" s="5" t="s">
        <v>1398</v>
      </c>
      <c r="W1475" s="5"/>
      <c r="X1475" s="5"/>
      <c r="Y1475" s="5"/>
    </row>
    <row r="1476" customFormat="false" ht="15" hidden="false" customHeight="false" outlineLevel="0" collapsed="false">
      <c r="A1476" s="5" t="s">
        <v>14351</v>
      </c>
      <c r="B1476" s="5" t="s">
        <v>1492</v>
      </c>
      <c r="C1476" s="5" t="s">
        <v>1493</v>
      </c>
      <c r="D1476" s="9" t="s">
        <v>66</v>
      </c>
      <c r="E1476" s="5" t="n">
        <v>1</v>
      </c>
      <c r="F1476" s="5" t="s">
        <v>14352</v>
      </c>
      <c r="G1476" s="13" t="s">
        <v>14353</v>
      </c>
      <c r="H1476" s="5" t="s">
        <v>14354</v>
      </c>
      <c r="I1476" s="13" t="s">
        <v>14355</v>
      </c>
      <c r="J1476" s="5" t="s">
        <v>14356</v>
      </c>
      <c r="K1476" s="5" t="s">
        <v>14357</v>
      </c>
      <c r="L1476" s="13" t="s">
        <v>14358</v>
      </c>
      <c r="M1476" s="13" t="s">
        <v>14359</v>
      </c>
      <c r="N1476" s="5" t="n">
        <f aca="false">LEN(L1476)</f>
        <v>25</v>
      </c>
      <c r="O1476" s="5" t="n">
        <f aca="false">LEN(M1476)</f>
        <v>25</v>
      </c>
      <c r="P1476" s="14" t="n">
        <f aca="false">IF(N1476=0,"",(N1476-LEN(SUBSTITUTE(SUBSTITUTE(L1476,"G",""),"C","")))/N1476)</f>
        <v>0.44</v>
      </c>
      <c r="Q1476" s="14" t="n">
        <f aca="false">IF(O1476=0,"",(O1476-LEN(SUBSTITUTE(SUBSTITUTE(M1476,"G",""),"C","")))/O1476)</f>
        <v>0.4</v>
      </c>
      <c r="R1476" s="5" t="s">
        <v>1498</v>
      </c>
      <c r="S1476" s="15" t="s">
        <v>1677</v>
      </c>
      <c r="T1476" s="5" t="n">
        <v>2</v>
      </c>
      <c r="U1476" s="5" t="s">
        <v>1678</v>
      </c>
      <c r="V1476" s="5" t="s">
        <v>1432</v>
      </c>
      <c r="W1476" s="5" t="s">
        <v>13639</v>
      </c>
      <c r="X1476" s="5"/>
      <c r="Y1476" s="5"/>
    </row>
    <row r="1477" customFormat="false" ht="15" hidden="false" customHeight="false" outlineLevel="0" collapsed="false">
      <c r="A1477" s="5" t="s">
        <v>14360</v>
      </c>
      <c r="B1477" s="5" t="s">
        <v>1492</v>
      </c>
      <c r="C1477" s="5" t="s">
        <v>1493</v>
      </c>
      <c r="D1477" s="9" t="s">
        <v>66</v>
      </c>
      <c r="E1477" s="5" t="n">
        <v>2</v>
      </c>
      <c r="F1477" s="5" t="s">
        <v>14361</v>
      </c>
      <c r="G1477" s="13" t="s">
        <v>14362</v>
      </c>
      <c r="H1477" s="5" t="s">
        <v>14363</v>
      </c>
      <c r="I1477" s="13" t="s">
        <v>14364</v>
      </c>
      <c r="J1477" s="5" t="s">
        <v>14365</v>
      </c>
      <c r="K1477" s="5" t="s">
        <v>14366</v>
      </c>
      <c r="L1477" s="13" t="s">
        <v>14367</v>
      </c>
      <c r="M1477" s="13" t="s">
        <v>14368</v>
      </c>
      <c r="N1477" s="5" t="n">
        <f aca="false">LEN(L1477)</f>
        <v>25</v>
      </c>
      <c r="O1477" s="5" t="n">
        <f aca="false">LEN(M1477)</f>
        <v>25</v>
      </c>
      <c r="P1477" s="14" t="n">
        <f aca="false">IF(N1477=0,"",(N1477-LEN(SUBSTITUTE(SUBSTITUTE(L1477,"G",""),"C","")))/N1477)</f>
        <v>0.56</v>
      </c>
      <c r="Q1477" s="14" t="n">
        <f aca="false">IF(O1477=0,"",(O1477-LEN(SUBSTITUTE(SUBSTITUTE(M1477,"G",""),"C","")))/O1477)</f>
        <v>0.52</v>
      </c>
      <c r="R1477" s="5" t="s">
        <v>1498</v>
      </c>
      <c r="S1477" s="15" t="s">
        <v>1677</v>
      </c>
      <c r="T1477" s="5" t="n">
        <v>82</v>
      </c>
      <c r="U1477" s="5" t="s">
        <v>1678</v>
      </c>
      <c r="V1477" s="5" t="s">
        <v>1432</v>
      </c>
      <c r="W1477" s="5" t="s">
        <v>13639</v>
      </c>
      <c r="X1477" s="5"/>
      <c r="Y1477" s="5"/>
    </row>
    <row r="1478" customFormat="false" ht="15" hidden="false" customHeight="false" outlineLevel="0" collapsed="false">
      <c r="A1478" s="5" t="s">
        <v>14369</v>
      </c>
      <c r="B1478" s="5" t="s">
        <v>1492</v>
      </c>
      <c r="C1478" s="5" t="s">
        <v>1493</v>
      </c>
      <c r="D1478" s="9" t="s">
        <v>66</v>
      </c>
      <c r="E1478" s="5" t="n">
        <v>3</v>
      </c>
      <c r="F1478" s="5" t="s">
        <v>14370</v>
      </c>
      <c r="G1478" s="13" t="s">
        <v>14371</v>
      </c>
      <c r="H1478" s="5" t="s">
        <v>14372</v>
      </c>
      <c r="I1478" s="13" t="s">
        <v>14373</v>
      </c>
      <c r="J1478" s="5" t="s">
        <v>14374</v>
      </c>
      <c r="K1478" s="5" t="s">
        <v>14375</v>
      </c>
      <c r="L1478" s="13" t="s">
        <v>14376</v>
      </c>
      <c r="M1478" s="13" t="s">
        <v>14377</v>
      </c>
      <c r="N1478" s="5" t="n">
        <f aca="false">LEN(L1478)</f>
        <v>25</v>
      </c>
      <c r="O1478" s="5" t="n">
        <f aca="false">LEN(M1478)</f>
        <v>25</v>
      </c>
      <c r="P1478" s="14" t="n">
        <f aca="false">IF(N1478=0,"",(N1478-LEN(SUBSTITUTE(SUBSTITUTE(L1478,"G",""),"C","")))/N1478)</f>
        <v>0.68</v>
      </c>
      <c r="Q1478" s="14" t="n">
        <f aca="false">IF(O1478=0,"",(O1478-LEN(SUBSTITUTE(SUBSTITUTE(M1478,"G",""),"C","")))/O1478)</f>
        <v>0.48</v>
      </c>
      <c r="R1478" s="5" t="s">
        <v>1498</v>
      </c>
      <c r="S1478" s="15" t="s">
        <v>1677</v>
      </c>
      <c r="T1478" s="5" t="n">
        <v>162</v>
      </c>
      <c r="U1478" s="5" t="s">
        <v>1678</v>
      </c>
      <c r="V1478" s="5" t="s">
        <v>1432</v>
      </c>
      <c r="W1478" s="5" t="s">
        <v>13639</v>
      </c>
      <c r="X1478" s="5"/>
      <c r="Y1478" s="5"/>
    </row>
    <row r="1479" customFormat="false" ht="15" hidden="false" customHeight="false" outlineLevel="0" collapsed="false">
      <c r="A1479" s="5" t="s">
        <v>14378</v>
      </c>
      <c r="B1479" s="5" t="s">
        <v>1492</v>
      </c>
      <c r="C1479" s="5" t="s">
        <v>1493</v>
      </c>
      <c r="D1479" s="9" t="s">
        <v>66</v>
      </c>
      <c r="E1479" s="5" t="n">
        <v>4</v>
      </c>
      <c r="F1479" s="5" t="s">
        <v>14379</v>
      </c>
      <c r="G1479" s="13" t="s">
        <v>14380</v>
      </c>
      <c r="H1479" s="5" t="s">
        <v>14381</v>
      </c>
      <c r="I1479" s="13" t="s">
        <v>14382</v>
      </c>
      <c r="J1479" s="5" t="s">
        <v>14383</v>
      </c>
      <c r="K1479" s="5" t="s">
        <v>14384</v>
      </c>
      <c r="L1479" s="13" t="s">
        <v>14385</v>
      </c>
      <c r="M1479" s="13" t="s">
        <v>14386</v>
      </c>
      <c r="N1479" s="5" t="n">
        <f aca="false">LEN(L1479)</f>
        <v>25</v>
      </c>
      <c r="O1479" s="5" t="n">
        <f aca="false">LEN(M1479)</f>
        <v>25</v>
      </c>
      <c r="P1479" s="14" t="n">
        <f aca="false">IF(N1479=0,"",(N1479-LEN(SUBSTITUTE(SUBSTITUTE(L1479,"G",""),"C","")))/N1479)</f>
        <v>0.56</v>
      </c>
      <c r="Q1479" s="14" t="n">
        <f aca="false">IF(O1479=0,"",(O1479-LEN(SUBSTITUTE(SUBSTITUTE(M1479,"G",""),"C","")))/O1479)</f>
        <v>0.56</v>
      </c>
      <c r="R1479" s="5" t="s">
        <v>1498</v>
      </c>
      <c r="S1479" s="15" t="s">
        <v>1677</v>
      </c>
      <c r="T1479" s="5" t="n">
        <v>242</v>
      </c>
      <c r="U1479" s="5" t="s">
        <v>1678</v>
      </c>
      <c r="V1479" s="5" t="s">
        <v>1432</v>
      </c>
      <c r="W1479" s="5" t="s">
        <v>13639</v>
      </c>
      <c r="X1479" s="5"/>
      <c r="Y1479" s="5"/>
    </row>
    <row r="1480" customFormat="false" ht="15" hidden="false" customHeight="false" outlineLevel="0" collapsed="false">
      <c r="A1480" s="5" t="s">
        <v>14387</v>
      </c>
      <c r="B1480" s="5" t="s">
        <v>1492</v>
      </c>
      <c r="C1480" s="5" t="s">
        <v>1493</v>
      </c>
      <c r="D1480" s="9" t="s">
        <v>66</v>
      </c>
      <c r="E1480" s="5" t="n">
        <v>5</v>
      </c>
      <c r="F1480" s="5" t="s">
        <v>14388</v>
      </c>
      <c r="G1480" s="13" t="s">
        <v>14389</v>
      </c>
      <c r="H1480" s="5" t="s">
        <v>14390</v>
      </c>
      <c r="I1480" s="13" t="s">
        <v>14391</v>
      </c>
      <c r="J1480" s="5" t="s">
        <v>14392</v>
      </c>
      <c r="K1480" s="5" t="s">
        <v>14393</v>
      </c>
      <c r="L1480" s="13" t="s">
        <v>14394</v>
      </c>
      <c r="M1480" s="13" t="s">
        <v>14395</v>
      </c>
      <c r="N1480" s="5" t="n">
        <f aca="false">LEN(L1480)</f>
        <v>25</v>
      </c>
      <c r="O1480" s="5" t="n">
        <f aca="false">LEN(M1480)</f>
        <v>25</v>
      </c>
      <c r="P1480" s="14" t="n">
        <f aca="false">IF(N1480=0,"",(N1480-LEN(SUBSTITUTE(SUBSTITUTE(L1480,"G",""),"C","")))/N1480)</f>
        <v>0.44</v>
      </c>
      <c r="Q1480" s="14" t="n">
        <f aca="false">IF(O1480=0,"",(O1480-LEN(SUBSTITUTE(SUBSTITUTE(M1480,"G",""),"C","")))/O1480)</f>
        <v>0.44</v>
      </c>
      <c r="R1480" s="5" t="s">
        <v>1498</v>
      </c>
      <c r="S1480" s="15" t="s">
        <v>1677</v>
      </c>
      <c r="T1480" s="5" t="n">
        <v>286</v>
      </c>
      <c r="U1480" s="5" t="s">
        <v>1678</v>
      </c>
      <c r="V1480" s="5" t="s">
        <v>1398</v>
      </c>
      <c r="W1480" s="5"/>
      <c r="X1480" s="5"/>
      <c r="Y1480" s="5"/>
    </row>
    <row r="1481" customFormat="false" ht="15" hidden="false" customHeight="false" outlineLevel="0" collapsed="false">
      <c r="A1481" s="5" t="s">
        <v>14396</v>
      </c>
      <c r="B1481" s="5" t="s">
        <v>1492</v>
      </c>
      <c r="C1481" s="5" t="s">
        <v>1493</v>
      </c>
      <c r="D1481" s="9" t="s">
        <v>66</v>
      </c>
      <c r="E1481" s="5" t="n">
        <v>6</v>
      </c>
      <c r="F1481" s="5" t="s">
        <v>14397</v>
      </c>
      <c r="G1481" s="13" t="s">
        <v>14398</v>
      </c>
      <c r="H1481" s="5" t="s">
        <v>14399</v>
      </c>
      <c r="I1481" s="13" t="s">
        <v>14400</v>
      </c>
      <c r="J1481" s="5" t="s">
        <v>14401</v>
      </c>
      <c r="K1481" s="5" t="s">
        <v>14402</v>
      </c>
      <c r="L1481" s="13" t="s">
        <v>14403</v>
      </c>
      <c r="M1481" s="13" t="s">
        <v>14404</v>
      </c>
      <c r="N1481" s="5" t="n">
        <f aca="false">LEN(L1481)</f>
        <v>25</v>
      </c>
      <c r="O1481" s="5" t="n">
        <f aca="false">LEN(M1481)</f>
        <v>25</v>
      </c>
      <c r="P1481" s="14" t="n">
        <f aca="false">IF(N1481=0,"",(N1481-LEN(SUBSTITUTE(SUBSTITUTE(L1481,"G",""),"C","")))/N1481)</f>
        <v>0.48</v>
      </c>
      <c r="Q1481" s="14" t="n">
        <f aca="false">IF(O1481=0,"",(O1481-LEN(SUBSTITUTE(SUBSTITUTE(M1481,"G",""),"C","")))/O1481)</f>
        <v>0.44</v>
      </c>
      <c r="R1481" s="5" t="s">
        <v>1498</v>
      </c>
      <c r="S1481" s="15" t="s">
        <v>1677</v>
      </c>
      <c r="T1481" s="5" t="n">
        <v>322</v>
      </c>
      <c r="U1481" s="5" t="s">
        <v>1678</v>
      </c>
      <c r="V1481" s="5" t="s">
        <v>1432</v>
      </c>
      <c r="W1481" s="5" t="s">
        <v>13639</v>
      </c>
      <c r="X1481" s="5"/>
      <c r="Y1481" s="5"/>
    </row>
    <row r="1482" customFormat="false" ht="15" hidden="false" customHeight="false" outlineLevel="0" collapsed="false">
      <c r="A1482" s="5" t="s">
        <v>14405</v>
      </c>
      <c r="B1482" s="5" t="s">
        <v>1492</v>
      </c>
      <c r="C1482" s="5" t="s">
        <v>1493</v>
      </c>
      <c r="D1482" s="9" t="s">
        <v>66</v>
      </c>
      <c r="E1482" s="5" t="n">
        <v>7</v>
      </c>
      <c r="F1482" s="5" t="s">
        <v>14406</v>
      </c>
      <c r="G1482" s="13" t="s">
        <v>14407</v>
      </c>
      <c r="H1482" s="5" t="s">
        <v>14408</v>
      </c>
      <c r="I1482" s="13" t="s">
        <v>14409</v>
      </c>
      <c r="J1482" s="5" t="s">
        <v>14410</v>
      </c>
      <c r="K1482" s="5" t="s">
        <v>14411</v>
      </c>
      <c r="L1482" s="13" t="s">
        <v>14412</v>
      </c>
      <c r="M1482" s="13" t="s">
        <v>14413</v>
      </c>
      <c r="N1482" s="5" t="n">
        <f aca="false">LEN(L1482)</f>
        <v>25</v>
      </c>
      <c r="O1482" s="5" t="n">
        <f aca="false">LEN(M1482)</f>
        <v>25</v>
      </c>
      <c r="P1482" s="14" t="n">
        <f aca="false">IF(N1482=0,"",(N1482-LEN(SUBSTITUTE(SUBSTITUTE(L1482,"G",""),"C","")))/N1482)</f>
        <v>0.48</v>
      </c>
      <c r="Q1482" s="14" t="n">
        <f aca="false">IF(O1482=0,"",(O1482-LEN(SUBSTITUTE(SUBSTITUTE(M1482,"G",""),"C","")))/O1482)</f>
        <v>0.56</v>
      </c>
      <c r="R1482" s="5" t="s">
        <v>1498</v>
      </c>
      <c r="S1482" s="15" t="s">
        <v>1677</v>
      </c>
      <c r="T1482" s="5" t="n">
        <v>356</v>
      </c>
      <c r="U1482" s="5" t="s">
        <v>1678</v>
      </c>
      <c r="V1482" s="5" t="s">
        <v>1398</v>
      </c>
      <c r="W1482" s="5"/>
      <c r="X1482" s="5"/>
      <c r="Y1482" s="5"/>
    </row>
    <row r="1483" customFormat="false" ht="15" hidden="false" customHeight="false" outlineLevel="0" collapsed="false">
      <c r="A1483" s="5" t="s">
        <v>14414</v>
      </c>
      <c r="B1483" s="5" t="s">
        <v>1492</v>
      </c>
      <c r="C1483" s="5" t="s">
        <v>1493</v>
      </c>
      <c r="D1483" s="9" t="s">
        <v>66</v>
      </c>
      <c r="E1483" s="5" t="n">
        <v>8</v>
      </c>
      <c r="F1483" s="5" t="s">
        <v>14415</v>
      </c>
      <c r="G1483" s="13" t="s">
        <v>14416</v>
      </c>
      <c r="H1483" s="5" t="s">
        <v>14417</v>
      </c>
      <c r="I1483" s="13" t="s">
        <v>14418</v>
      </c>
      <c r="J1483" s="5" t="s">
        <v>14419</v>
      </c>
      <c r="K1483" s="5" t="s">
        <v>14420</v>
      </c>
      <c r="L1483" s="13" t="s">
        <v>14421</v>
      </c>
      <c r="M1483" s="13" t="s">
        <v>14422</v>
      </c>
      <c r="N1483" s="5" t="n">
        <f aca="false">LEN(L1483)</f>
        <v>25</v>
      </c>
      <c r="O1483" s="5" t="n">
        <f aca="false">LEN(M1483)</f>
        <v>25</v>
      </c>
      <c r="P1483" s="14" t="n">
        <f aca="false">IF(N1483=0,"",(N1483-LEN(SUBSTITUTE(SUBSTITUTE(L1483,"G",""),"C","")))/N1483)</f>
        <v>0.52</v>
      </c>
      <c r="Q1483" s="14" t="n">
        <f aca="false">IF(O1483=0,"",(O1483-LEN(SUBSTITUTE(SUBSTITUTE(M1483,"G",""),"C","")))/O1483)</f>
        <v>0.48</v>
      </c>
      <c r="R1483" s="5" t="s">
        <v>1498</v>
      </c>
      <c r="S1483" s="15" t="s">
        <v>1677</v>
      </c>
      <c r="T1483" s="5" t="n">
        <v>402</v>
      </c>
      <c r="U1483" s="5" t="s">
        <v>1678</v>
      </c>
      <c r="V1483" s="5" t="s">
        <v>1432</v>
      </c>
      <c r="W1483" s="5" t="s">
        <v>13639</v>
      </c>
      <c r="X1483" s="5"/>
      <c r="Y1483" s="5"/>
    </row>
    <row r="1484" customFormat="false" ht="15" hidden="false" customHeight="false" outlineLevel="0" collapsed="false">
      <c r="A1484" s="5" t="s">
        <v>14423</v>
      </c>
      <c r="B1484" s="5" t="s">
        <v>1492</v>
      </c>
      <c r="C1484" s="5" t="s">
        <v>1493</v>
      </c>
      <c r="D1484" s="9" t="s">
        <v>66</v>
      </c>
      <c r="E1484" s="5" t="n">
        <v>9</v>
      </c>
      <c r="F1484" s="5" t="s">
        <v>14424</v>
      </c>
      <c r="G1484" s="13" t="s">
        <v>14425</v>
      </c>
      <c r="H1484" s="5" t="s">
        <v>14426</v>
      </c>
      <c r="I1484" s="13" t="s">
        <v>14427</v>
      </c>
      <c r="J1484" s="5" t="s">
        <v>14428</v>
      </c>
      <c r="K1484" s="5" t="s">
        <v>14429</v>
      </c>
      <c r="L1484" s="13" t="s">
        <v>14430</v>
      </c>
      <c r="M1484" s="13" t="s">
        <v>14431</v>
      </c>
      <c r="N1484" s="5" t="n">
        <f aca="false">LEN(L1484)</f>
        <v>25</v>
      </c>
      <c r="O1484" s="5" t="n">
        <f aca="false">LEN(M1484)</f>
        <v>25</v>
      </c>
      <c r="P1484" s="14" t="n">
        <f aca="false">IF(N1484=0,"",(N1484-LEN(SUBSTITUTE(SUBSTITUTE(L1484,"G",""),"C","")))/N1484)</f>
        <v>0.44</v>
      </c>
      <c r="Q1484" s="14" t="n">
        <f aca="false">IF(O1484=0,"",(O1484-LEN(SUBSTITUTE(SUBSTITUTE(M1484,"G",""),"C","")))/O1484)</f>
        <v>0.52</v>
      </c>
      <c r="R1484" s="5" t="s">
        <v>1498</v>
      </c>
      <c r="S1484" s="15" t="s">
        <v>1677</v>
      </c>
      <c r="T1484" s="5" t="n">
        <v>426</v>
      </c>
      <c r="U1484" s="5" t="s">
        <v>1678</v>
      </c>
      <c r="V1484" s="5" t="s">
        <v>1398</v>
      </c>
      <c r="W1484" s="5"/>
      <c r="X1484" s="5"/>
      <c r="Y1484" s="5"/>
    </row>
    <row r="1485" customFormat="false" ht="15" hidden="false" customHeight="false" outlineLevel="0" collapsed="false">
      <c r="A1485" s="5" t="s">
        <v>14432</v>
      </c>
      <c r="B1485" s="5" t="s">
        <v>1492</v>
      </c>
      <c r="C1485" s="5" t="s">
        <v>1493</v>
      </c>
      <c r="D1485" s="9" t="s">
        <v>66</v>
      </c>
      <c r="E1485" s="5" t="n">
        <v>10</v>
      </c>
      <c r="F1485" s="5" t="s">
        <v>14433</v>
      </c>
      <c r="G1485" s="13" t="s">
        <v>14434</v>
      </c>
      <c r="H1485" s="5" t="s">
        <v>14435</v>
      </c>
      <c r="I1485" s="13" t="s">
        <v>14436</v>
      </c>
      <c r="J1485" s="5" t="s">
        <v>14437</v>
      </c>
      <c r="K1485" s="5" t="s">
        <v>14438</v>
      </c>
      <c r="L1485" s="13" t="s">
        <v>14439</v>
      </c>
      <c r="M1485" s="13" t="s">
        <v>14440</v>
      </c>
      <c r="N1485" s="5" t="n">
        <f aca="false">LEN(L1485)</f>
        <v>25</v>
      </c>
      <c r="O1485" s="5" t="n">
        <f aca="false">LEN(M1485)</f>
        <v>25</v>
      </c>
      <c r="P1485" s="14" t="n">
        <f aca="false">IF(N1485=0,"",(N1485-LEN(SUBSTITUTE(SUBSTITUTE(L1485,"G",""),"C","")))/N1485)</f>
        <v>0.44</v>
      </c>
      <c r="Q1485" s="14" t="n">
        <f aca="false">IF(O1485=0,"",(O1485-LEN(SUBSTITUTE(SUBSTITUTE(M1485,"G",""),"C","")))/O1485)</f>
        <v>0.48</v>
      </c>
      <c r="R1485" s="5" t="s">
        <v>1498</v>
      </c>
      <c r="S1485" s="15" t="s">
        <v>1677</v>
      </c>
      <c r="T1485" s="5" t="n">
        <v>482</v>
      </c>
      <c r="U1485" s="5" t="s">
        <v>1678</v>
      </c>
      <c r="V1485" s="5" t="s">
        <v>1432</v>
      </c>
      <c r="W1485" s="5" t="s">
        <v>13639</v>
      </c>
      <c r="X1485" s="5"/>
      <c r="Y1485" s="5"/>
    </row>
    <row r="1486" customFormat="false" ht="15" hidden="false" customHeight="false" outlineLevel="0" collapsed="false">
      <c r="A1486" s="5" t="s">
        <v>14441</v>
      </c>
      <c r="B1486" s="5" t="s">
        <v>1492</v>
      </c>
      <c r="C1486" s="5" t="s">
        <v>1493</v>
      </c>
      <c r="D1486" s="9" t="s">
        <v>66</v>
      </c>
      <c r="E1486" s="5" t="n">
        <v>11</v>
      </c>
      <c r="F1486" s="5" t="s">
        <v>14442</v>
      </c>
      <c r="G1486" s="13" t="s">
        <v>14443</v>
      </c>
      <c r="H1486" s="5" t="s">
        <v>14444</v>
      </c>
      <c r="I1486" s="13" t="s">
        <v>14445</v>
      </c>
      <c r="J1486" s="5" t="s">
        <v>14446</v>
      </c>
      <c r="K1486" s="5" t="s">
        <v>14447</v>
      </c>
      <c r="L1486" s="13" t="s">
        <v>14448</v>
      </c>
      <c r="M1486" s="13" t="s">
        <v>14449</v>
      </c>
      <c r="N1486" s="5" t="n">
        <f aca="false">LEN(L1486)</f>
        <v>25</v>
      </c>
      <c r="O1486" s="5" t="n">
        <f aca="false">LEN(M1486)</f>
        <v>25</v>
      </c>
      <c r="P1486" s="14" t="n">
        <f aca="false">IF(N1486=0,"",(N1486-LEN(SUBSTITUTE(SUBSTITUTE(L1486,"G",""),"C","")))/N1486)</f>
        <v>0.52</v>
      </c>
      <c r="Q1486" s="14" t="n">
        <f aca="false">IF(O1486=0,"",(O1486-LEN(SUBSTITUTE(SUBSTITUTE(M1486,"G",""),"C","")))/O1486)</f>
        <v>0.52</v>
      </c>
      <c r="R1486" s="5" t="s">
        <v>1498</v>
      </c>
      <c r="S1486" s="15" t="s">
        <v>1677</v>
      </c>
      <c r="T1486" s="5" t="n">
        <v>496</v>
      </c>
      <c r="U1486" s="5" t="s">
        <v>1678</v>
      </c>
      <c r="V1486" s="5" t="s">
        <v>1398</v>
      </c>
      <c r="W1486" s="5"/>
      <c r="X1486" s="5"/>
      <c r="Y1486" s="5"/>
    </row>
    <row r="1487" customFormat="false" ht="15" hidden="false" customHeight="false" outlineLevel="0" collapsed="false">
      <c r="A1487" s="5" t="s">
        <v>14450</v>
      </c>
      <c r="B1487" s="5" t="s">
        <v>1492</v>
      </c>
      <c r="C1487" s="5" t="s">
        <v>1493</v>
      </c>
      <c r="D1487" s="9" t="s">
        <v>66</v>
      </c>
      <c r="E1487" s="5" t="n">
        <v>12</v>
      </c>
      <c r="F1487" s="5" t="s">
        <v>14451</v>
      </c>
      <c r="G1487" s="13" t="s">
        <v>14452</v>
      </c>
      <c r="H1487" s="5" t="s">
        <v>14453</v>
      </c>
      <c r="I1487" s="13" t="s">
        <v>14454</v>
      </c>
      <c r="J1487" s="5" t="s">
        <v>14455</v>
      </c>
      <c r="K1487" s="5" t="s">
        <v>14456</v>
      </c>
      <c r="L1487" s="13" t="s">
        <v>14457</v>
      </c>
      <c r="M1487" s="13" t="s">
        <v>14458</v>
      </c>
      <c r="N1487" s="5" t="n">
        <f aca="false">LEN(L1487)</f>
        <v>25</v>
      </c>
      <c r="O1487" s="5" t="n">
        <f aca="false">LEN(M1487)</f>
        <v>25</v>
      </c>
      <c r="P1487" s="14" t="n">
        <f aca="false">IF(N1487=0,"",(N1487-LEN(SUBSTITUTE(SUBSTITUTE(L1487,"G",""),"C","")))/N1487)</f>
        <v>0.48</v>
      </c>
      <c r="Q1487" s="14" t="n">
        <f aca="false">IF(O1487=0,"",(O1487-LEN(SUBSTITUTE(SUBSTITUTE(M1487,"G",""),"C","")))/O1487)</f>
        <v>0.52</v>
      </c>
      <c r="R1487" s="5" t="s">
        <v>1498</v>
      </c>
      <c r="S1487" s="15" t="s">
        <v>1677</v>
      </c>
      <c r="T1487" s="5" t="n">
        <v>562</v>
      </c>
      <c r="U1487" s="5" t="s">
        <v>1678</v>
      </c>
      <c r="V1487" s="5" t="s">
        <v>1432</v>
      </c>
      <c r="W1487" s="5" t="s">
        <v>13639</v>
      </c>
      <c r="X1487" s="5"/>
      <c r="Y1487" s="5"/>
    </row>
    <row r="1488" customFormat="false" ht="15" hidden="false" customHeight="false" outlineLevel="0" collapsed="false">
      <c r="A1488" s="5" t="s">
        <v>14459</v>
      </c>
      <c r="B1488" s="5" t="s">
        <v>1492</v>
      </c>
      <c r="C1488" s="5" t="s">
        <v>1493</v>
      </c>
      <c r="D1488" s="9" t="s">
        <v>66</v>
      </c>
      <c r="E1488" s="5" t="n">
        <v>13</v>
      </c>
      <c r="F1488" s="5" t="s">
        <v>14460</v>
      </c>
      <c r="G1488" s="13" t="s">
        <v>14461</v>
      </c>
      <c r="H1488" s="5" t="s">
        <v>14462</v>
      </c>
      <c r="I1488" s="13" t="s">
        <v>14463</v>
      </c>
      <c r="J1488" s="5" t="s">
        <v>14464</v>
      </c>
      <c r="K1488" s="5" t="s">
        <v>14465</v>
      </c>
      <c r="L1488" s="13" t="s">
        <v>14466</v>
      </c>
      <c r="M1488" s="13" t="s">
        <v>14467</v>
      </c>
      <c r="N1488" s="5" t="n">
        <f aca="false">LEN(L1488)</f>
        <v>25</v>
      </c>
      <c r="O1488" s="5" t="n">
        <f aca="false">LEN(M1488)</f>
        <v>25</v>
      </c>
      <c r="P1488" s="14" t="n">
        <f aca="false">IF(N1488=0,"",(N1488-LEN(SUBSTITUTE(SUBSTITUTE(L1488,"G",""),"C","")))/N1488)</f>
        <v>0.52</v>
      </c>
      <c r="Q1488" s="14" t="n">
        <f aca="false">IF(O1488=0,"",(O1488-LEN(SUBSTITUTE(SUBSTITUTE(M1488,"G",""),"C","")))/O1488)</f>
        <v>0.48</v>
      </c>
      <c r="R1488" s="5" t="s">
        <v>1498</v>
      </c>
      <c r="S1488" s="15" t="s">
        <v>1677</v>
      </c>
      <c r="T1488" s="5" t="n">
        <v>566</v>
      </c>
      <c r="U1488" s="5" t="s">
        <v>1678</v>
      </c>
      <c r="V1488" s="5" t="s">
        <v>1398</v>
      </c>
      <c r="W1488" s="5"/>
      <c r="X1488" s="5"/>
      <c r="Y1488" s="5"/>
    </row>
    <row r="1489" customFormat="false" ht="15" hidden="false" customHeight="false" outlineLevel="0" collapsed="false">
      <c r="A1489" s="5" t="s">
        <v>14468</v>
      </c>
      <c r="B1489" s="5" t="s">
        <v>1492</v>
      </c>
      <c r="C1489" s="5" t="s">
        <v>1493</v>
      </c>
      <c r="D1489" s="9" t="s">
        <v>66</v>
      </c>
      <c r="E1489" s="5" t="n">
        <v>14</v>
      </c>
      <c r="F1489" s="5" t="s">
        <v>14469</v>
      </c>
      <c r="G1489" s="13" t="s">
        <v>14470</v>
      </c>
      <c r="H1489" s="5" t="s">
        <v>14471</v>
      </c>
      <c r="I1489" s="13" t="s">
        <v>14472</v>
      </c>
      <c r="J1489" s="5" t="s">
        <v>14473</v>
      </c>
      <c r="K1489" s="5" t="s">
        <v>14474</v>
      </c>
      <c r="L1489" s="13" t="s">
        <v>14475</v>
      </c>
      <c r="M1489" s="13" t="s">
        <v>14476</v>
      </c>
      <c r="N1489" s="5" t="n">
        <f aca="false">LEN(L1489)</f>
        <v>25</v>
      </c>
      <c r="O1489" s="5" t="n">
        <f aca="false">LEN(M1489)</f>
        <v>25</v>
      </c>
      <c r="P1489" s="14" t="n">
        <f aca="false">IF(N1489=0,"",(N1489-LEN(SUBSTITUTE(SUBSTITUTE(L1489,"G",""),"C","")))/N1489)</f>
        <v>0.44</v>
      </c>
      <c r="Q1489" s="14" t="n">
        <f aca="false">IF(O1489=0,"",(O1489-LEN(SUBSTITUTE(SUBSTITUTE(M1489,"G",""),"C","")))/O1489)</f>
        <v>0.36</v>
      </c>
      <c r="R1489" s="5" t="s">
        <v>1498</v>
      </c>
      <c r="S1489" s="15" t="s">
        <v>1677</v>
      </c>
      <c r="T1489" s="5" t="n">
        <v>636</v>
      </c>
      <c r="U1489" s="5" t="s">
        <v>1678</v>
      </c>
      <c r="V1489" s="5" t="s">
        <v>1398</v>
      </c>
      <c r="W1489" s="5"/>
      <c r="X1489" s="5"/>
      <c r="Y1489" s="5"/>
    </row>
    <row r="1490" customFormat="false" ht="15" hidden="false" customHeight="false" outlineLevel="0" collapsed="false">
      <c r="A1490" s="5" t="s">
        <v>14477</v>
      </c>
      <c r="B1490" s="5" t="s">
        <v>1492</v>
      </c>
      <c r="C1490" s="5" t="s">
        <v>1493</v>
      </c>
      <c r="D1490" s="9" t="s">
        <v>66</v>
      </c>
      <c r="E1490" s="5" t="n">
        <v>15</v>
      </c>
      <c r="F1490" s="5" t="s">
        <v>14478</v>
      </c>
      <c r="G1490" s="13" t="s">
        <v>14479</v>
      </c>
      <c r="H1490" s="5" t="s">
        <v>14480</v>
      </c>
      <c r="I1490" s="13" t="s">
        <v>14481</v>
      </c>
      <c r="J1490" s="5" t="s">
        <v>14482</v>
      </c>
      <c r="K1490" s="5" t="s">
        <v>14483</v>
      </c>
      <c r="L1490" s="13" t="s">
        <v>14484</v>
      </c>
      <c r="M1490" s="13" t="s">
        <v>14485</v>
      </c>
      <c r="N1490" s="5" t="n">
        <f aca="false">LEN(L1490)</f>
        <v>25</v>
      </c>
      <c r="O1490" s="5" t="n">
        <f aca="false">LEN(M1490)</f>
        <v>25</v>
      </c>
      <c r="P1490" s="14" t="n">
        <f aca="false">IF(N1490=0,"",(N1490-LEN(SUBSTITUTE(SUBSTITUTE(L1490,"G",""),"C","")))/N1490)</f>
        <v>0.4</v>
      </c>
      <c r="Q1490" s="14" t="n">
        <f aca="false">IF(O1490=0,"",(O1490-LEN(SUBSTITUTE(SUBSTITUTE(M1490,"G",""),"C","")))/O1490)</f>
        <v>0.4</v>
      </c>
      <c r="R1490" s="5" t="s">
        <v>1498</v>
      </c>
      <c r="S1490" s="15" t="s">
        <v>1677</v>
      </c>
      <c r="T1490" s="5" t="n">
        <v>667</v>
      </c>
      <c r="U1490" s="5" t="s">
        <v>1678</v>
      </c>
      <c r="V1490" s="5" t="s">
        <v>1432</v>
      </c>
      <c r="W1490" s="5" t="s">
        <v>13639</v>
      </c>
      <c r="X1490" s="5"/>
      <c r="Y1490" s="5"/>
    </row>
    <row r="1491" customFormat="false" ht="15" hidden="false" customHeight="false" outlineLevel="0" collapsed="false">
      <c r="A1491" s="5" t="s">
        <v>14486</v>
      </c>
      <c r="B1491" s="5" t="s">
        <v>1492</v>
      </c>
      <c r="C1491" s="5" t="s">
        <v>1493</v>
      </c>
      <c r="D1491" s="9" t="s">
        <v>66</v>
      </c>
      <c r="E1491" s="5" t="n">
        <v>16</v>
      </c>
      <c r="F1491" s="5" t="s">
        <v>14487</v>
      </c>
      <c r="G1491" s="13" t="s">
        <v>14488</v>
      </c>
      <c r="H1491" s="5" t="s">
        <v>14489</v>
      </c>
      <c r="I1491" s="13" t="s">
        <v>14490</v>
      </c>
      <c r="J1491" s="5" t="s">
        <v>14491</v>
      </c>
      <c r="K1491" s="5" t="s">
        <v>14492</v>
      </c>
      <c r="L1491" s="13" t="s">
        <v>14493</v>
      </c>
      <c r="M1491" s="13" t="s">
        <v>14494</v>
      </c>
      <c r="N1491" s="5" t="n">
        <f aca="false">LEN(L1491)</f>
        <v>25</v>
      </c>
      <c r="O1491" s="5" t="n">
        <f aca="false">LEN(M1491)</f>
        <v>25</v>
      </c>
      <c r="P1491" s="14" t="n">
        <f aca="false">IF(N1491=0,"",(N1491-LEN(SUBSTITUTE(SUBSTITUTE(L1491,"G",""),"C","")))/N1491)</f>
        <v>0.52</v>
      </c>
      <c r="Q1491" s="14" t="n">
        <f aca="false">IF(O1491=0,"",(O1491-LEN(SUBSTITUTE(SUBSTITUTE(M1491,"G",""),"C","")))/O1491)</f>
        <v>0.52</v>
      </c>
      <c r="R1491" s="5" t="s">
        <v>1498</v>
      </c>
      <c r="S1491" s="15" t="s">
        <v>1677</v>
      </c>
      <c r="T1491" s="5" t="n">
        <v>706</v>
      </c>
      <c r="U1491" s="5" t="s">
        <v>1678</v>
      </c>
      <c r="V1491" s="5" t="s">
        <v>1398</v>
      </c>
      <c r="W1491" s="5"/>
      <c r="X1491" s="5"/>
      <c r="Y1491" s="5"/>
    </row>
    <row r="1492" customFormat="false" ht="15" hidden="false" customHeight="false" outlineLevel="0" collapsed="false">
      <c r="A1492" s="5" t="s">
        <v>14495</v>
      </c>
      <c r="B1492" s="5" t="s">
        <v>1492</v>
      </c>
      <c r="C1492" s="5" t="s">
        <v>1493</v>
      </c>
      <c r="D1492" s="9" t="s">
        <v>66</v>
      </c>
      <c r="E1492" s="5" t="n">
        <v>17</v>
      </c>
      <c r="F1492" s="5" t="s">
        <v>14496</v>
      </c>
      <c r="G1492" s="13" t="s">
        <v>14497</v>
      </c>
      <c r="H1492" s="5" t="s">
        <v>14498</v>
      </c>
      <c r="I1492" s="13" t="s">
        <v>14499</v>
      </c>
      <c r="J1492" s="5" t="s">
        <v>14500</v>
      </c>
      <c r="K1492" s="5" t="s">
        <v>14501</v>
      </c>
      <c r="L1492" s="13" t="s">
        <v>14502</v>
      </c>
      <c r="M1492" s="13" t="s">
        <v>14503</v>
      </c>
      <c r="N1492" s="5" t="n">
        <f aca="false">LEN(L1492)</f>
        <v>25</v>
      </c>
      <c r="O1492" s="5" t="n">
        <f aca="false">LEN(M1492)</f>
        <v>25</v>
      </c>
      <c r="P1492" s="14" t="n">
        <f aca="false">IF(N1492=0,"",(N1492-LEN(SUBSTITUTE(SUBSTITUTE(L1492,"G",""),"C","")))/N1492)</f>
        <v>0.68</v>
      </c>
      <c r="Q1492" s="14" t="n">
        <f aca="false">IF(O1492=0,"",(O1492-LEN(SUBSTITUTE(SUBSTITUTE(M1492,"G",""),"C","")))/O1492)</f>
        <v>0.48</v>
      </c>
      <c r="R1492" s="5" t="s">
        <v>1498</v>
      </c>
      <c r="S1492" s="15" t="s">
        <v>1677</v>
      </c>
      <c r="T1492" s="5" t="n">
        <v>747</v>
      </c>
      <c r="U1492" s="5" t="s">
        <v>1678</v>
      </c>
      <c r="V1492" s="5" t="s">
        <v>1432</v>
      </c>
      <c r="W1492" s="5" t="s">
        <v>13639</v>
      </c>
      <c r="X1492" s="5"/>
      <c r="Y1492" s="5"/>
    </row>
    <row r="1493" customFormat="false" ht="15" hidden="false" customHeight="false" outlineLevel="0" collapsed="false">
      <c r="A1493" s="5" t="s">
        <v>14504</v>
      </c>
      <c r="B1493" s="5" t="s">
        <v>1492</v>
      </c>
      <c r="C1493" s="5" t="s">
        <v>1493</v>
      </c>
      <c r="D1493" s="9" t="s">
        <v>66</v>
      </c>
      <c r="E1493" s="5" t="n">
        <v>18</v>
      </c>
      <c r="F1493" s="5" t="s">
        <v>14505</v>
      </c>
      <c r="G1493" s="13" t="s">
        <v>14506</v>
      </c>
      <c r="H1493" s="5" t="s">
        <v>14507</v>
      </c>
      <c r="I1493" s="13" t="s">
        <v>14508</v>
      </c>
      <c r="J1493" s="5" t="s">
        <v>14509</v>
      </c>
      <c r="K1493" s="5" t="s">
        <v>14510</v>
      </c>
      <c r="L1493" s="13" t="s">
        <v>14511</v>
      </c>
      <c r="M1493" s="13" t="s">
        <v>14512</v>
      </c>
      <c r="N1493" s="5" t="n">
        <f aca="false">LEN(L1493)</f>
        <v>25</v>
      </c>
      <c r="O1493" s="5" t="n">
        <f aca="false">LEN(M1493)</f>
        <v>25</v>
      </c>
      <c r="P1493" s="14" t="n">
        <f aca="false">IF(N1493=0,"",(N1493-LEN(SUBSTITUTE(SUBSTITUTE(L1493,"G",""),"C","")))/N1493)</f>
        <v>0.52</v>
      </c>
      <c r="Q1493" s="14" t="n">
        <f aca="false">IF(O1493=0,"",(O1493-LEN(SUBSTITUTE(SUBSTITUTE(M1493,"G",""),"C","")))/O1493)</f>
        <v>0.32</v>
      </c>
      <c r="R1493" s="5" t="s">
        <v>1498</v>
      </c>
      <c r="S1493" s="15" t="s">
        <v>1677</v>
      </c>
      <c r="T1493" s="5" t="n">
        <v>776</v>
      </c>
      <c r="U1493" s="5" t="s">
        <v>1678</v>
      </c>
      <c r="V1493" s="5" t="s">
        <v>1398</v>
      </c>
      <c r="W1493" s="5"/>
      <c r="X1493" s="5"/>
      <c r="Y1493" s="5"/>
    </row>
    <row r="1494" customFormat="false" ht="15" hidden="false" customHeight="false" outlineLevel="0" collapsed="false">
      <c r="A1494" s="5" t="s">
        <v>14513</v>
      </c>
      <c r="B1494" s="5" t="s">
        <v>1492</v>
      </c>
      <c r="C1494" s="5" t="s">
        <v>1493</v>
      </c>
      <c r="D1494" s="9" t="s">
        <v>66</v>
      </c>
      <c r="E1494" s="5" t="n">
        <v>19</v>
      </c>
      <c r="F1494" s="5" t="s">
        <v>14514</v>
      </c>
      <c r="G1494" s="13" t="s">
        <v>14515</v>
      </c>
      <c r="H1494" s="5" t="s">
        <v>14516</v>
      </c>
      <c r="I1494" s="13" t="s">
        <v>14517</v>
      </c>
      <c r="J1494" s="5" t="s">
        <v>14518</v>
      </c>
      <c r="K1494" s="5" t="s">
        <v>14519</v>
      </c>
      <c r="L1494" s="13" t="s">
        <v>14520</v>
      </c>
      <c r="M1494" s="13" t="s">
        <v>14521</v>
      </c>
      <c r="N1494" s="5" t="n">
        <f aca="false">LEN(L1494)</f>
        <v>25</v>
      </c>
      <c r="O1494" s="5" t="n">
        <f aca="false">LEN(M1494)</f>
        <v>25</v>
      </c>
      <c r="P1494" s="14" t="n">
        <f aca="false">IF(N1494=0,"",(N1494-LEN(SUBSTITUTE(SUBSTITUTE(L1494,"G",""),"C","")))/N1494)</f>
        <v>0.4</v>
      </c>
      <c r="Q1494" s="14" t="n">
        <f aca="false">IF(O1494=0,"",(O1494-LEN(SUBSTITUTE(SUBSTITUTE(M1494,"G",""),"C","")))/O1494)</f>
        <v>0.52</v>
      </c>
      <c r="R1494" s="5" t="s">
        <v>1498</v>
      </c>
      <c r="S1494" s="15" t="s">
        <v>1677</v>
      </c>
      <c r="T1494" s="5" t="n">
        <v>828</v>
      </c>
      <c r="U1494" s="5" t="s">
        <v>1678</v>
      </c>
      <c r="V1494" s="5" t="s">
        <v>1432</v>
      </c>
      <c r="W1494" s="5" t="s">
        <v>13639</v>
      </c>
      <c r="X1494" s="5"/>
      <c r="Y1494" s="5"/>
    </row>
    <row r="1495" customFormat="false" ht="15" hidden="false" customHeight="false" outlineLevel="0" collapsed="false">
      <c r="A1495" s="5" t="s">
        <v>14522</v>
      </c>
      <c r="B1495" s="5" t="s">
        <v>1492</v>
      </c>
      <c r="C1495" s="5" t="s">
        <v>1493</v>
      </c>
      <c r="D1495" s="9" t="s">
        <v>66</v>
      </c>
      <c r="E1495" s="5" t="n">
        <v>20</v>
      </c>
      <c r="F1495" s="5" t="s">
        <v>14523</v>
      </c>
      <c r="G1495" s="13" t="s">
        <v>14524</v>
      </c>
      <c r="H1495" s="5" t="s">
        <v>14525</v>
      </c>
      <c r="I1495" s="13" t="s">
        <v>14526</v>
      </c>
      <c r="J1495" s="5" t="s">
        <v>14527</v>
      </c>
      <c r="K1495" s="5" t="s">
        <v>14528</v>
      </c>
      <c r="L1495" s="13" t="s">
        <v>14529</v>
      </c>
      <c r="M1495" s="13" t="s">
        <v>14530</v>
      </c>
      <c r="N1495" s="5" t="n">
        <f aca="false">LEN(L1495)</f>
        <v>25</v>
      </c>
      <c r="O1495" s="5" t="n">
        <f aca="false">LEN(M1495)</f>
        <v>25</v>
      </c>
      <c r="P1495" s="14" t="n">
        <f aca="false">IF(N1495=0,"",(N1495-LEN(SUBSTITUTE(SUBSTITUTE(L1495,"G",""),"C","")))/N1495)</f>
        <v>0.52</v>
      </c>
      <c r="Q1495" s="14" t="n">
        <f aca="false">IF(O1495=0,"",(O1495-LEN(SUBSTITUTE(SUBSTITUTE(M1495,"G",""),"C","")))/O1495)</f>
        <v>0.56</v>
      </c>
      <c r="R1495" s="5" t="s">
        <v>1498</v>
      </c>
      <c r="S1495" s="15" t="s">
        <v>1677</v>
      </c>
      <c r="T1495" s="5" t="n">
        <v>908</v>
      </c>
      <c r="U1495" s="5" t="s">
        <v>1678</v>
      </c>
      <c r="V1495" s="5" t="s">
        <v>1432</v>
      </c>
      <c r="W1495" s="5" t="s">
        <v>13639</v>
      </c>
      <c r="X1495" s="5"/>
      <c r="Y1495" s="5"/>
    </row>
    <row r="1496" customFormat="false" ht="15" hidden="false" customHeight="false" outlineLevel="0" collapsed="false">
      <c r="A1496" s="5" t="s">
        <v>14531</v>
      </c>
      <c r="B1496" s="5" t="s">
        <v>1492</v>
      </c>
      <c r="C1496" s="5" t="s">
        <v>1493</v>
      </c>
      <c r="D1496" s="9" t="s">
        <v>66</v>
      </c>
      <c r="E1496" s="5" t="n">
        <v>21</v>
      </c>
      <c r="F1496" s="5" t="s">
        <v>14532</v>
      </c>
      <c r="G1496" s="13" t="s">
        <v>14533</v>
      </c>
      <c r="H1496" s="5" t="s">
        <v>14534</v>
      </c>
      <c r="I1496" s="13" t="s">
        <v>14535</v>
      </c>
      <c r="J1496" s="5" t="s">
        <v>14536</v>
      </c>
      <c r="K1496" s="5" t="s">
        <v>14537</v>
      </c>
      <c r="L1496" s="13" t="s">
        <v>14538</v>
      </c>
      <c r="M1496" s="13" t="s">
        <v>14539</v>
      </c>
      <c r="N1496" s="5" t="n">
        <f aca="false">LEN(L1496)</f>
        <v>25</v>
      </c>
      <c r="O1496" s="5" t="n">
        <f aca="false">LEN(M1496)</f>
        <v>25</v>
      </c>
      <c r="P1496" s="14" t="n">
        <f aca="false">IF(N1496=0,"",(N1496-LEN(SUBSTITUTE(SUBSTITUTE(L1496,"G",""),"C","")))/N1496)</f>
        <v>0.52</v>
      </c>
      <c r="Q1496" s="14" t="n">
        <f aca="false">IF(O1496=0,"",(O1496-LEN(SUBSTITUTE(SUBSTITUTE(M1496,"G",""),"C","")))/O1496)</f>
        <v>0.44</v>
      </c>
      <c r="R1496" s="5" t="s">
        <v>1498</v>
      </c>
      <c r="S1496" s="15" t="s">
        <v>1677</v>
      </c>
      <c r="T1496" s="5" t="n">
        <v>988</v>
      </c>
      <c r="U1496" s="5" t="s">
        <v>1678</v>
      </c>
      <c r="V1496" s="5" t="s">
        <v>1432</v>
      </c>
      <c r="W1496" s="5" t="s">
        <v>13639</v>
      </c>
      <c r="X1496" s="5"/>
      <c r="Y1496" s="5"/>
    </row>
    <row r="1497" customFormat="false" ht="15" hidden="false" customHeight="false" outlineLevel="0" collapsed="false">
      <c r="A1497" s="5" t="s">
        <v>14540</v>
      </c>
      <c r="B1497" s="5" t="s">
        <v>1492</v>
      </c>
      <c r="C1497" s="5" t="s">
        <v>1493</v>
      </c>
      <c r="D1497" s="9" t="s">
        <v>66</v>
      </c>
      <c r="E1497" s="5" t="n">
        <v>22</v>
      </c>
      <c r="F1497" s="5" t="s">
        <v>14541</v>
      </c>
      <c r="G1497" s="13" t="s">
        <v>14542</v>
      </c>
      <c r="H1497" s="5" t="s">
        <v>14543</v>
      </c>
      <c r="I1497" s="13" t="s">
        <v>14544</v>
      </c>
      <c r="J1497" s="5" t="s">
        <v>14545</v>
      </c>
      <c r="K1497" s="5" t="s">
        <v>14546</v>
      </c>
      <c r="L1497" s="13" t="s">
        <v>14547</v>
      </c>
      <c r="M1497" s="13" t="s">
        <v>14548</v>
      </c>
      <c r="N1497" s="5" t="n">
        <f aca="false">LEN(L1497)</f>
        <v>25</v>
      </c>
      <c r="O1497" s="5" t="n">
        <f aca="false">LEN(M1497)</f>
        <v>25</v>
      </c>
      <c r="P1497" s="14" t="n">
        <f aca="false">IF(N1497=0,"",(N1497-LEN(SUBSTITUTE(SUBSTITUTE(L1497,"G",""),"C","")))/N1497)</f>
        <v>0.48</v>
      </c>
      <c r="Q1497" s="14" t="n">
        <f aca="false">IF(O1497=0,"",(O1497-LEN(SUBSTITUTE(SUBSTITUTE(M1497,"G",""),"C","")))/O1497)</f>
        <v>0.56</v>
      </c>
      <c r="R1497" s="5" t="s">
        <v>1498</v>
      </c>
      <c r="S1497" s="15" t="s">
        <v>1677</v>
      </c>
      <c r="T1497" s="5" t="n">
        <v>1068</v>
      </c>
      <c r="U1497" s="5" t="s">
        <v>1678</v>
      </c>
      <c r="V1497" s="5" t="s">
        <v>1432</v>
      </c>
      <c r="W1497" s="5" t="s">
        <v>13639</v>
      </c>
      <c r="X1497" s="5"/>
      <c r="Y1497" s="5"/>
    </row>
    <row r="1498" customFormat="false" ht="15" hidden="false" customHeight="false" outlineLevel="0" collapsed="false">
      <c r="A1498" s="5" t="s">
        <v>14549</v>
      </c>
      <c r="B1498" s="5" t="s">
        <v>1499</v>
      </c>
      <c r="C1498" s="5" t="s">
        <v>1500</v>
      </c>
      <c r="D1498" s="9" t="s">
        <v>66</v>
      </c>
      <c r="E1498" s="5" t="n">
        <v>1</v>
      </c>
      <c r="F1498" s="5" t="s">
        <v>14550</v>
      </c>
      <c r="G1498" s="13" t="s">
        <v>14551</v>
      </c>
      <c r="H1498" s="5" t="s">
        <v>14552</v>
      </c>
      <c r="I1498" s="13" t="s">
        <v>14553</v>
      </c>
      <c r="J1498" s="5" t="s">
        <v>14554</v>
      </c>
      <c r="K1498" s="5" t="s">
        <v>14555</v>
      </c>
      <c r="L1498" s="13" t="s">
        <v>14556</v>
      </c>
      <c r="M1498" s="13" t="s">
        <v>14557</v>
      </c>
      <c r="N1498" s="5" t="n">
        <f aca="false">LEN(L1498)</f>
        <v>25</v>
      </c>
      <c r="O1498" s="5" t="n">
        <f aca="false">LEN(M1498)</f>
        <v>25</v>
      </c>
      <c r="P1498" s="14" t="n">
        <f aca="false">IF(N1498=0,"",(N1498-LEN(SUBSTITUTE(SUBSTITUTE(L1498,"G",""),"C","")))/N1498)</f>
        <v>0.56</v>
      </c>
      <c r="Q1498" s="14" t="n">
        <f aca="false">IF(O1498=0,"",(O1498-LEN(SUBSTITUTE(SUBSTITUTE(M1498,"G",""),"C","")))/O1498)</f>
        <v>0.6</v>
      </c>
      <c r="R1498" s="5" t="s">
        <v>1505</v>
      </c>
      <c r="S1498" s="15" t="s">
        <v>1677</v>
      </c>
      <c r="T1498" s="5" t="n">
        <v>146</v>
      </c>
      <c r="U1498" s="5" t="s">
        <v>1678</v>
      </c>
      <c r="V1498" s="5" t="s">
        <v>1398</v>
      </c>
      <c r="W1498" s="5"/>
      <c r="X1498" s="5"/>
      <c r="Y1498" s="5"/>
    </row>
    <row r="1499" customFormat="false" ht="15" hidden="false" customHeight="false" outlineLevel="0" collapsed="false">
      <c r="A1499" s="5" t="s">
        <v>14558</v>
      </c>
      <c r="B1499" s="5" t="s">
        <v>1499</v>
      </c>
      <c r="C1499" s="5" t="s">
        <v>1500</v>
      </c>
      <c r="D1499" s="9" t="s">
        <v>66</v>
      </c>
      <c r="E1499" s="5" t="n">
        <v>2</v>
      </c>
      <c r="F1499" s="5" t="s">
        <v>14559</v>
      </c>
      <c r="G1499" s="13" t="s">
        <v>14560</v>
      </c>
      <c r="H1499" s="5" t="s">
        <v>14561</v>
      </c>
      <c r="I1499" s="13" t="s">
        <v>14562</v>
      </c>
      <c r="J1499" s="5" t="s">
        <v>14563</v>
      </c>
      <c r="K1499" s="5" t="s">
        <v>14564</v>
      </c>
      <c r="L1499" s="13" t="s">
        <v>14565</v>
      </c>
      <c r="M1499" s="13" t="s">
        <v>14566</v>
      </c>
      <c r="N1499" s="5" t="n">
        <f aca="false">LEN(L1499)</f>
        <v>25</v>
      </c>
      <c r="O1499" s="5" t="n">
        <f aca="false">LEN(M1499)</f>
        <v>25</v>
      </c>
      <c r="P1499" s="14" t="n">
        <f aca="false">IF(N1499=0,"",(N1499-LEN(SUBSTITUTE(SUBSTITUTE(L1499,"G",""),"C","")))/N1499)</f>
        <v>0.52</v>
      </c>
      <c r="Q1499" s="14" t="n">
        <f aca="false">IF(O1499=0,"",(O1499-LEN(SUBSTITUTE(SUBSTITUTE(M1499,"G",""),"C","")))/O1499)</f>
        <v>0.4</v>
      </c>
      <c r="R1499" s="5" t="s">
        <v>1505</v>
      </c>
      <c r="S1499" s="15" t="s">
        <v>1677</v>
      </c>
      <c r="T1499" s="5" t="n">
        <v>216</v>
      </c>
      <c r="U1499" s="5" t="s">
        <v>1678</v>
      </c>
      <c r="V1499" s="5" t="s">
        <v>1398</v>
      </c>
      <c r="W1499" s="5"/>
      <c r="X1499" s="5"/>
      <c r="Y1499" s="5"/>
    </row>
    <row r="1500" customFormat="false" ht="15" hidden="false" customHeight="false" outlineLevel="0" collapsed="false">
      <c r="A1500" s="5" t="s">
        <v>14567</v>
      </c>
      <c r="B1500" s="5" t="s">
        <v>1499</v>
      </c>
      <c r="C1500" s="5" t="s">
        <v>1500</v>
      </c>
      <c r="D1500" s="9" t="s">
        <v>66</v>
      </c>
      <c r="E1500" s="5" t="n">
        <v>3</v>
      </c>
      <c r="F1500" s="5" t="s">
        <v>14568</v>
      </c>
      <c r="G1500" s="13" t="s">
        <v>14569</v>
      </c>
      <c r="H1500" s="5" t="s">
        <v>14570</v>
      </c>
      <c r="I1500" s="13" t="s">
        <v>14571</v>
      </c>
      <c r="J1500" s="5" t="s">
        <v>14572</v>
      </c>
      <c r="K1500" s="5" t="s">
        <v>14573</v>
      </c>
      <c r="L1500" s="13" t="s">
        <v>14574</v>
      </c>
      <c r="M1500" s="13" t="s">
        <v>14575</v>
      </c>
      <c r="N1500" s="5" t="n">
        <f aca="false">LEN(L1500)</f>
        <v>25</v>
      </c>
      <c r="O1500" s="5" t="n">
        <f aca="false">LEN(M1500)</f>
        <v>25</v>
      </c>
      <c r="P1500" s="14" t="n">
        <f aca="false">IF(N1500=0,"",(N1500-LEN(SUBSTITUTE(SUBSTITUTE(L1500,"G",""),"C","")))/N1500)</f>
        <v>0.56</v>
      </c>
      <c r="Q1500" s="14" t="n">
        <f aca="false">IF(O1500=0,"",(O1500-LEN(SUBSTITUTE(SUBSTITUTE(M1500,"G",""),"C","")))/O1500)</f>
        <v>0.44</v>
      </c>
      <c r="R1500" s="5" t="s">
        <v>1505</v>
      </c>
      <c r="S1500" s="15" t="s">
        <v>1677</v>
      </c>
      <c r="T1500" s="5" t="n">
        <v>286</v>
      </c>
      <c r="U1500" s="5" t="s">
        <v>1678</v>
      </c>
      <c r="V1500" s="5" t="s">
        <v>1398</v>
      </c>
      <c r="W1500" s="5"/>
      <c r="X1500" s="5"/>
      <c r="Y1500" s="5"/>
    </row>
    <row r="1501" customFormat="false" ht="15" hidden="false" customHeight="false" outlineLevel="0" collapsed="false">
      <c r="A1501" s="5" t="s">
        <v>14576</v>
      </c>
      <c r="B1501" s="5" t="s">
        <v>1499</v>
      </c>
      <c r="C1501" s="5" t="s">
        <v>1500</v>
      </c>
      <c r="D1501" s="9" t="s">
        <v>66</v>
      </c>
      <c r="E1501" s="5" t="n">
        <v>4</v>
      </c>
      <c r="F1501" s="5" t="s">
        <v>14577</v>
      </c>
      <c r="G1501" s="13" t="s">
        <v>14578</v>
      </c>
      <c r="H1501" s="5" t="s">
        <v>14579</v>
      </c>
      <c r="I1501" s="13" t="s">
        <v>14580</v>
      </c>
      <c r="J1501" s="5" t="s">
        <v>14581</v>
      </c>
      <c r="K1501" s="5" t="s">
        <v>14582</v>
      </c>
      <c r="L1501" s="13" t="s">
        <v>14583</v>
      </c>
      <c r="M1501" s="13" t="s">
        <v>14584</v>
      </c>
      <c r="N1501" s="5" t="n">
        <f aca="false">LEN(L1501)</f>
        <v>25</v>
      </c>
      <c r="O1501" s="5" t="n">
        <f aca="false">LEN(M1501)</f>
        <v>25</v>
      </c>
      <c r="P1501" s="14" t="n">
        <f aca="false">IF(N1501=0,"",(N1501-LEN(SUBSTITUTE(SUBSTITUTE(L1501,"G",""),"C","")))/N1501)</f>
        <v>0.48</v>
      </c>
      <c r="Q1501" s="14" t="n">
        <f aca="false">IF(O1501=0,"",(O1501-LEN(SUBSTITUTE(SUBSTITUTE(M1501,"G",""),"C","")))/O1501)</f>
        <v>0.52</v>
      </c>
      <c r="R1501" s="5" t="s">
        <v>1505</v>
      </c>
      <c r="S1501" s="15" t="s">
        <v>1677</v>
      </c>
      <c r="T1501" s="5" t="n">
        <v>356</v>
      </c>
      <c r="U1501" s="5" t="s">
        <v>1678</v>
      </c>
      <c r="V1501" s="5" t="s">
        <v>1398</v>
      </c>
      <c r="W1501" s="5"/>
      <c r="X1501" s="5"/>
      <c r="Y1501" s="5"/>
    </row>
    <row r="1502" customFormat="false" ht="15" hidden="false" customHeight="false" outlineLevel="0" collapsed="false">
      <c r="A1502" s="5" t="s">
        <v>14585</v>
      </c>
      <c r="B1502" s="5" t="s">
        <v>1499</v>
      </c>
      <c r="C1502" s="5" t="s">
        <v>1500</v>
      </c>
      <c r="D1502" s="9" t="s">
        <v>66</v>
      </c>
      <c r="E1502" s="5" t="n">
        <v>5</v>
      </c>
      <c r="F1502" s="5" t="s">
        <v>14586</v>
      </c>
      <c r="G1502" s="13" t="s">
        <v>14587</v>
      </c>
      <c r="H1502" s="5" t="s">
        <v>14588</v>
      </c>
      <c r="I1502" s="13" t="s">
        <v>14589</v>
      </c>
      <c r="J1502" s="5" t="s">
        <v>14590</v>
      </c>
      <c r="K1502" s="5" t="s">
        <v>14591</v>
      </c>
      <c r="L1502" s="13" t="s">
        <v>14592</v>
      </c>
      <c r="M1502" s="13" t="s">
        <v>14593</v>
      </c>
      <c r="N1502" s="5" t="n">
        <f aca="false">LEN(L1502)</f>
        <v>25</v>
      </c>
      <c r="O1502" s="5" t="n">
        <f aca="false">LEN(M1502)</f>
        <v>25</v>
      </c>
      <c r="P1502" s="14" t="n">
        <f aca="false">IF(N1502=0,"",(N1502-LEN(SUBSTITUTE(SUBSTITUTE(L1502,"G",""),"C","")))/N1502)</f>
        <v>0.56</v>
      </c>
      <c r="Q1502" s="14" t="n">
        <f aca="false">IF(O1502=0,"",(O1502-LEN(SUBSTITUTE(SUBSTITUTE(M1502,"G",""),"C","")))/O1502)</f>
        <v>0.6</v>
      </c>
      <c r="R1502" s="5" t="s">
        <v>1505</v>
      </c>
      <c r="S1502" s="15" t="s">
        <v>1677</v>
      </c>
      <c r="T1502" s="5" t="n">
        <v>426</v>
      </c>
      <c r="U1502" s="5" t="s">
        <v>1678</v>
      </c>
      <c r="V1502" s="5" t="s">
        <v>1398</v>
      </c>
      <c r="W1502" s="5"/>
      <c r="X1502" s="5"/>
      <c r="Y1502" s="5"/>
    </row>
    <row r="1503" customFormat="false" ht="15" hidden="false" customHeight="false" outlineLevel="0" collapsed="false">
      <c r="A1503" s="5" t="s">
        <v>14594</v>
      </c>
      <c r="B1503" s="5" t="s">
        <v>1499</v>
      </c>
      <c r="C1503" s="5" t="s">
        <v>1500</v>
      </c>
      <c r="D1503" s="9" t="s">
        <v>66</v>
      </c>
      <c r="E1503" s="5" t="n">
        <v>6</v>
      </c>
      <c r="F1503" s="5" t="s">
        <v>14595</v>
      </c>
      <c r="G1503" s="13" t="s">
        <v>14596</v>
      </c>
      <c r="H1503" s="5" t="s">
        <v>14597</v>
      </c>
      <c r="I1503" s="13" t="s">
        <v>14598</v>
      </c>
      <c r="J1503" s="5" t="s">
        <v>14599</v>
      </c>
      <c r="K1503" s="5" t="s">
        <v>14600</v>
      </c>
      <c r="L1503" s="13" t="s">
        <v>14601</v>
      </c>
      <c r="M1503" s="13" t="s">
        <v>14602</v>
      </c>
      <c r="N1503" s="5" t="n">
        <f aca="false">LEN(L1503)</f>
        <v>25</v>
      </c>
      <c r="O1503" s="5" t="n">
        <f aca="false">LEN(M1503)</f>
        <v>25</v>
      </c>
      <c r="P1503" s="14" t="n">
        <f aca="false">IF(N1503=0,"",(N1503-LEN(SUBSTITUTE(SUBSTITUTE(L1503,"G",""),"C","")))/N1503)</f>
        <v>0.4</v>
      </c>
      <c r="Q1503" s="14" t="n">
        <f aca="false">IF(O1503=0,"",(O1503-LEN(SUBSTITUTE(SUBSTITUTE(M1503,"G",""),"C","")))/O1503)</f>
        <v>0.4</v>
      </c>
      <c r="R1503" s="5" t="s">
        <v>1505</v>
      </c>
      <c r="S1503" s="15" t="s">
        <v>1677</v>
      </c>
      <c r="T1503" s="5" t="n">
        <v>496</v>
      </c>
      <c r="U1503" s="5" t="s">
        <v>1678</v>
      </c>
      <c r="V1503" s="5" t="s">
        <v>1398</v>
      </c>
      <c r="W1503" s="5"/>
      <c r="X1503" s="5"/>
      <c r="Y1503" s="5"/>
    </row>
    <row r="1504" customFormat="false" ht="15" hidden="false" customHeight="false" outlineLevel="0" collapsed="false">
      <c r="A1504" s="5" t="s">
        <v>14603</v>
      </c>
      <c r="B1504" s="5" t="s">
        <v>1499</v>
      </c>
      <c r="C1504" s="5" t="s">
        <v>1500</v>
      </c>
      <c r="D1504" s="9" t="s">
        <v>66</v>
      </c>
      <c r="E1504" s="5" t="n">
        <v>7</v>
      </c>
      <c r="F1504" s="5" t="s">
        <v>14604</v>
      </c>
      <c r="G1504" s="13" t="s">
        <v>14605</v>
      </c>
      <c r="H1504" s="5" t="s">
        <v>14606</v>
      </c>
      <c r="I1504" s="13" t="s">
        <v>14607</v>
      </c>
      <c r="J1504" s="5" t="s">
        <v>14608</v>
      </c>
      <c r="K1504" s="5" t="s">
        <v>14609</v>
      </c>
      <c r="L1504" s="13" t="s">
        <v>14610</v>
      </c>
      <c r="M1504" s="13" t="s">
        <v>14611</v>
      </c>
      <c r="N1504" s="5" t="n">
        <f aca="false">LEN(L1504)</f>
        <v>25</v>
      </c>
      <c r="O1504" s="5" t="n">
        <f aca="false">LEN(M1504)</f>
        <v>25</v>
      </c>
      <c r="P1504" s="14" t="n">
        <f aca="false">IF(N1504=0,"",(N1504-LEN(SUBSTITUTE(SUBSTITUTE(L1504,"G",""),"C","")))/N1504)</f>
        <v>0.52</v>
      </c>
      <c r="Q1504" s="14" t="n">
        <f aca="false">IF(O1504=0,"",(O1504-LEN(SUBSTITUTE(SUBSTITUTE(M1504,"G",""),"C","")))/O1504)</f>
        <v>0.64</v>
      </c>
      <c r="R1504" s="5" t="s">
        <v>1505</v>
      </c>
      <c r="S1504" s="15" t="s">
        <v>1677</v>
      </c>
      <c r="T1504" s="5" t="n">
        <v>566</v>
      </c>
      <c r="U1504" s="5" t="s">
        <v>1678</v>
      </c>
      <c r="V1504" s="5" t="s">
        <v>1398</v>
      </c>
      <c r="W1504" s="5"/>
      <c r="X1504" s="5"/>
      <c r="Y1504" s="5"/>
    </row>
    <row r="1505" customFormat="false" ht="15" hidden="false" customHeight="false" outlineLevel="0" collapsed="false">
      <c r="A1505" s="5" t="s">
        <v>14612</v>
      </c>
      <c r="B1505" s="5" t="s">
        <v>1499</v>
      </c>
      <c r="C1505" s="5" t="s">
        <v>1500</v>
      </c>
      <c r="D1505" s="9" t="s">
        <v>66</v>
      </c>
      <c r="E1505" s="5" t="n">
        <v>8</v>
      </c>
      <c r="F1505" s="5" t="s">
        <v>14613</v>
      </c>
      <c r="G1505" s="13" t="s">
        <v>14614</v>
      </c>
      <c r="H1505" s="5" t="s">
        <v>14615</v>
      </c>
      <c r="I1505" s="13" t="s">
        <v>14616</v>
      </c>
      <c r="J1505" s="5" t="s">
        <v>14617</v>
      </c>
      <c r="K1505" s="5" t="s">
        <v>14618</v>
      </c>
      <c r="L1505" s="13" t="s">
        <v>14619</v>
      </c>
      <c r="M1505" s="13" t="s">
        <v>14620</v>
      </c>
      <c r="N1505" s="5" t="n">
        <f aca="false">LEN(L1505)</f>
        <v>25</v>
      </c>
      <c r="O1505" s="5" t="n">
        <f aca="false">LEN(M1505)</f>
        <v>25</v>
      </c>
      <c r="P1505" s="14" t="n">
        <f aca="false">IF(N1505=0,"",(N1505-LEN(SUBSTITUTE(SUBSTITUTE(L1505,"G",""),"C","")))/N1505)</f>
        <v>0.48</v>
      </c>
      <c r="Q1505" s="14" t="n">
        <f aca="false">IF(O1505=0,"",(O1505-LEN(SUBSTITUTE(SUBSTITUTE(M1505,"G",""),"C","")))/O1505)</f>
        <v>0.36</v>
      </c>
      <c r="R1505" s="5" t="s">
        <v>1505</v>
      </c>
      <c r="S1505" s="15" t="s">
        <v>1677</v>
      </c>
      <c r="T1505" s="5" t="n">
        <v>636</v>
      </c>
      <c r="U1505" s="5" t="s">
        <v>1678</v>
      </c>
      <c r="V1505" s="5" t="s">
        <v>1398</v>
      </c>
      <c r="W1505" s="5"/>
      <c r="X1505" s="5"/>
      <c r="Y1505" s="5"/>
    </row>
    <row r="1506" customFormat="false" ht="15" hidden="false" customHeight="false" outlineLevel="0" collapsed="false">
      <c r="A1506" s="5" t="s">
        <v>14621</v>
      </c>
      <c r="B1506" s="5" t="s">
        <v>1506</v>
      </c>
      <c r="C1506" s="5" t="s">
        <v>1507</v>
      </c>
      <c r="D1506" s="10" t="s">
        <v>137</v>
      </c>
      <c r="E1506" s="5" t="n">
        <v>1</v>
      </c>
      <c r="F1506" s="5" t="s">
        <v>14622</v>
      </c>
      <c r="G1506" s="13" t="s">
        <v>14623</v>
      </c>
      <c r="H1506" s="5" t="s">
        <v>14624</v>
      </c>
      <c r="I1506" s="13" t="s">
        <v>14625</v>
      </c>
      <c r="J1506" s="5" t="s">
        <v>14626</v>
      </c>
      <c r="K1506" s="5" t="s">
        <v>14627</v>
      </c>
      <c r="L1506" s="13" t="s">
        <v>14628</v>
      </c>
      <c r="M1506" s="13" t="s">
        <v>14629</v>
      </c>
      <c r="N1506" s="5" t="n">
        <f aca="false">LEN(L1506)</f>
        <v>25</v>
      </c>
      <c r="O1506" s="5" t="n">
        <f aca="false">LEN(M1506)</f>
        <v>25</v>
      </c>
      <c r="P1506" s="14" t="n">
        <f aca="false">IF(N1506=0,"",(N1506-LEN(SUBSTITUTE(SUBSTITUTE(L1506,"G",""),"C","")))/N1506)</f>
        <v>0.48</v>
      </c>
      <c r="Q1506" s="14" t="n">
        <f aca="false">IF(O1506=0,"",(O1506-LEN(SUBSTITUTE(SUBSTITUTE(M1506,"G",""),"C","")))/O1506)</f>
        <v>0.36</v>
      </c>
      <c r="R1506" s="5" t="s">
        <v>1511</v>
      </c>
      <c r="S1506" s="15" t="s">
        <v>1677</v>
      </c>
      <c r="T1506" s="5" t="n">
        <v>146</v>
      </c>
      <c r="U1506" s="5" t="s">
        <v>1678</v>
      </c>
      <c r="V1506" s="5" t="s">
        <v>1398</v>
      </c>
      <c r="W1506" s="5"/>
      <c r="X1506" s="5"/>
      <c r="Y1506" s="5"/>
    </row>
    <row r="1507" customFormat="false" ht="15" hidden="false" customHeight="false" outlineLevel="0" collapsed="false">
      <c r="A1507" s="5" t="s">
        <v>14630</v>
      </c>
      <c r="B1507" s="5" t="s">
        <v>1506</v>
      </c>
      <c r="C1507" s="5" t="s">
        <v>1507</v>
      </c>
      <c r="D1507" s="10" t="s">
        <v>137</v>
      </c>
      <c r="E1507" s="5" t="n">
        <v>2</v>
      </c>
      <c r="F1507" s="5" t="s">
        <v>14631</v>
      </c>
      <c r="G1507" s="13" t="s">
        <v>14632</v>
      </c>
      <c r="H1507" s="5" t="s">
        <v>14633</v>
      </c>
      <c r="I1507" s="13" t="s">
        <v>14634</v>
      </c>
      <c r="J1507" s="5" t="s">
        <v>14635</v>
      </c>
      <c r="K1507" s="5" t="s">
        <v>14636</v>
      </c>
      <c r="L1507" s="13" t="s">
        <v>14637</v>
      </c>
      <c r="M1507" s="13" t="s">
        <v>14638</v>
      </c>
      <c r="N1507" s="5" t="n">
        <f aca="false">LEN(L1507)</f>
        <v>25</v>
      </c>
      <c r="O1507" s="5" t="n">
        <f aca="false">LEN(M1507)</f>
        <v>25</v>
      </c>
      <c r="P1507" s="14" t="n">
        <f aca="false">IF(N1507=0,"",(N1507-LEN(SUBSTITUTE(SUBSTITUTE(L1507,"G",""),"C","")))/N1507)</f>
        <v>0.32</v>
      </c>
      <c r="Q1507" s="14" t="n">
        <f aca="false">IF(O1507=0,"",(O1507-LEN(SUBSTITUTE(SUBSTITUTE(M1507,"G",""),"C","")))/O1507)</f>
        <v>0.4</v>
      </c>
      <c r="R1507" s="5" t="s">
        <v>1511</v>
      </c>
      <c r="S1507" s="15" t="s">
        <v>1677</v>
      </c>
      <c r="T1507" s="5" t="n">
        <v>216</v>
      </c>
      <c r="U1507" s="5" t="s">
        <v>1678</v>
      </c>
      <c r="V1507" s="5" t="s">
        <v>1398</v>
      </c>
      <c r="W1507" s="5"/>
      <c r="X1507" s="5"/>
      <c r="Y1507" s="5"/>
    </row>
    <row r="1508" customFormat="false" ht="15" hidden="false" customHeight="false" outlineLevel="0" collapsed="false">
      <c r="A1508" s="5" t="s">
        <v>14639</v>
      </c>
      <c r="B1508" s="5" t="s">
        <v>1506</v>
      </c>
      <c r="C1508" s="5" t="s">
        <v>1507</v>
      </c>
      <c r="D1508" s="10" t="s">
        <v>137</v>
      </c>
      <c r="E1508" s="5" t="n">
        <v>3</v>
      </c>
      <c r="F1508" s="5" t="s">
        <v>14640</v>
      </c>
      <c r="G1508" s="13" t="s">
        <v>14641</v>
      </c>
      <c r="H1508" s="5" t="s">
        <v>14642</v>
      </c>
      <c r="I1508" s="13" t="s">
        <v>14643</v>
      </c>
      <c r="J1508" s="5" t="s">
        <v>14644</v>
      </c>
      <c r="K1508" s="5" t="s">
        <v>14645</v>
      </c>
      <c r="L1508" s="13" t="s">
        <v>14646</v>
      </c>
      <c r="M1508" s="13" t="s">
        <v>14647</v>
      </c>
      <c r="N1508" s="5" t="n">
        <f aca="false">LEN(L1508)</f>
        <v>25</v>
      </c>
      <c r="O1508" s="5" t="n">
        <f aca="false">LEN(M1508)</f>
        <v>25</v>
      </c>
      <c r="P1508" s="14" t="n">
        <f aca="false">IF(N1508=0,"",(N1508-LEN(SUBSTITUTE(SUBSTITUTE(L1508,"G",""),"C","")))/N1508)</f>
        <v>0.44</v>
      </c>
      <c r="Q1508" s="14" t="n">
        <f aca="false">IF(O1508=0,"",(O1508-LEN(SUBSTITUTE(SUBSTITUTE(M1508,"G",""),"C","")))/O1508)</f>
        <v>0.4</v>
      </c>
      <c r="R1508" s="5" t="s">
        <v>1511</v>
      </c>
      <c r="S1508" s="15" t="s">
        <v>1677</v>
      </c>
      <c r="T1508" s="5" t="n">
        <v>286</v>
      </c>
      <c r="U1508" s="5" t="s">
        <v>1678</v>
      </c>
      <c r="V1508" s="5" t="s">
        <v>1398</v>
      </c>
      <c r="W1508" s="5"/>
      <c r="X1508" s="5"/>
      <c r="Y1508" s="5"/>
    </row>
    <row r="1509" customFormat="false" ht="15" hidden="false" customHeight="false" outlineLevel="0" collapsed="false">
      <c r="A1509" s="5" t="s">
        <v>14648</v>
      </c>
      <c r="B1509" s="5" t="s">
        <v>1506</v>
      </c>
      <c r="C1509" s="5" t="s">
        <v>1507</v>
      </c>
      <c r="D1509" s="10" t="s">
        <v>137</v>
      </c>
      <c r="E1509" s="5" t="n">
        <v>4</v>
      </c>
      <c r="F1509" s="5" t="s">
        <v>14649</v>
      </c>
      <c r="G1509" s="13" t="s">
        <v>14650</v>
      </c>
      <c r="H1509" s="5" t="s">
        <v>14651</v>
      </c>
      <c r="I1509" s="13" t="s">
        <v>14652</v>
      </c>
      <c r="J1509" s="5" t="s">
        <v>14653</v>
      </c>
      <c r="K1509" s="5" t="s">
        <v>14654</v>
      </c>
      <c r="L1509" s="13" t="s">
        <v>14655</v>
      </c>
      <c r="M1509" s="13" t="s">
        <v>14656</v>
      </c>
      <c r="N1509" s="5" t="n">
        <f aca="false">LEN(L1509)</f>
        <v>25</v>
      </c>
      <c r="O1509" s="5" t="n">
        <f aca="false">LEN(M1509)</f>
        <v>25</v>
      </c>
      <c r="P1509" s="14" t="n">
        <f aca="false">IF(N1509=0,"",(N1509-LEN(SUBSTITUTE(SUBSTITUTE(L1509,"G",""),"C","")))/N1509)</f>
        <v>0.36</v>
      </c>
      <c r="Q1509" s="14" t="n">
        <f aca="false">IF(O1509=0,"",(O1509-LEN(SUBSTITUTE(SUBSTITUTE(M1509,"G",""),"C","")))/O1509)</f>
        <v>0.48</v>
      </c>
      <c r="R1509" s="5" t="s">
        <v>1511</v>
      </c>
      <c r="S1509" s="15" t="s">
        <v>1677</v>
      </c>
      <c r="T1509" s="5" t="n">
        <v>356</v>
      </c>
      <c r="U1509" s="5" t="s">
        <v>1678</v>
      </c>
      <c r="V1509" s="5" t="s">
        <v>1398</v>
      </c>
      <c r="W1509" s="5"/>
      <c r="X1509" s="5"/>
      <c r="Y1509" s="5"/>
    </row>
    <row r="1510" customFormat="false" ht="15" hidden="false" customHeight="false" outlineLevel="0" collapsed="false">
      <c r="A1510" s="5" t="s">
        <v>14657</v>
      </c>
      <c r="B1510" s="5" t="s">
        <v>1506</v>
      </c>
      <c r="C1510" s="5" t="s">
        <v>1507</v>
      </c>
      <c r="D1510" s="10" t="s">
        <v>137</v>
      </c>
      <c r="E1510" s="5" t="n">
        <v>5</v>
      </c>
      <c r="F1510" s="5" t="s">
        <v>14658</v>
      </c>
      <c r="G1510" s="13" t="s">
        <v>14659</v>
      </c>
      <c r="H1510" s="5" t="s">
        <v>14660</v>
      </c>
      <c r="I1510" s="13" t="s">
        <v>14661</v>
      </c>
      <c r="J1510" s="5" t="s">
        <v>14662</v>
      </c>
      <c r="K1510" s="5" t="s">
        <v>14663</v>
      </c>
      <c r="L1510" s="13" t="s">
        <v>14664</v>
      </c>
      <c r="M1510" s="13" t="s">
        <v>14665</v>
      </c>
      <c r="N1510" s="5" t="n">
        <f aca="false">LEN(L1510)</f>
        <v>25</v>
      </c>
      <c r="O1510" s="5" t="n">
        <f aca="false">LEN(M1510)</f>
        <v>25</v>
      </c>
      <c r="P1510" s="14" t="n">
        <f aca="false">IF(N1510=0,"",(N1510-LEN(SUBSTITUTE(SUBSTITUTE(L1510,"G",""),"C","")))/N1510)</f>
        <v>0.44</v>
      </c>
      <c r="Q1510" s="14" t="n">
        <f aca="false">IF(O1510=0,"",(O1510-LEN(SUBSTITUTE(SUBSTITUTE(M1510,"G",""),"C","")))/O1510)</f>
        <v>0.24</v>
      </c>
      <c r="R1510" s="5" t="s">
        <v>1511</v>
      </c>
      <c r="S1510" s="15" t="s">
        <v>1677</v>
      </c>
      <c r="T1510" s="5" t="n">
        <v>426</v>
      </c>
      <c r="U1510" s="5" t="s">
        <v>1678</v>
      </c>
      <c r="V1510" s="5" t="s">
        <v>1398</v>
      </c>
      <c r="W1510" s="5"/>
      <c r="X1510" s="5"/>
      <c r="Y1510" s="5"/>
    </row>
    <row r="1511" customFormat="false" ht="15" hidden="false" customHeight="false" outlineLevel="0" collapsed="false">
      <c r="A1511" s="5" t="s">
        <v>14666</v>
      </c>
      <c r="B1511" s="5" t="s">
        <v>1506</v>
      </c>
      <c r="C1511" s="5" t="s">
        <v>1507</v>
      </c>
      <c r="D1511" s="10" t="s">
        <v>137</v>
      </c>
      <c r="E1511" s="5" t="n">
        <v>6</v>
      </c>
      <c r="F1511" s="5" t="s">
        <v>14667</v>
      </c>
      <c r="G1511" s="13" t="s">
        <v>14668</v>
      </c>
      <c r="H1511" s="5" t="s">
        <v>14669</v>
      </c>
      <c r="I1511" s="13" t="s">
        <v>14670</v>
      </c>
      <c r="J1511" s="5" t="s">
        <v>14671</v>
      </c>
      <c r="K1511" s="5" t="s">
        <v>14672</v>
      </c>
      <c r="L1511" s="13" t="s">
        <v>14673</v>
      </c>
      <c r="M1511" s="13" t="s">
        <v>14674</v>
      </c>
      <c r="N1511" s="5" t="n">
        <f aca="false">LEN(L1511)</f>
        <v>25</v>
      </c>
      <c r="O1511" s="5" t="n">
        <f aca="false">LEN(M1511)</f>
        <v>25</v>
      </c>
      <c r="P1511" s="14" t="n">
        <f aca="false">IF(N1511=0,"",(N1511-LEN(SUBSTITUTE(SUBSTITUTE(L1511,"G",""),"C","")))/N1511)</f>
        <v>0.56</v>
      </c>
      <c r="Q1511" s="14" t="n">
        <f aca="false">IF(O1511=0,"",(O1511-LEN(SUBSTITUTE(SUBSTITUTE(M1511,"G",""),"C","")))/O1511)</f>
        <v>0.36</v>
      </c>
      <c r="R1511" s="5" t="s">
        <v>1511</v>
      </c>
      <c r="S1511" s="15" t="s">
        <v>1677</v>
      </c>
      <c r="T1511" s="5" t="n">
        <v>496</v>
      </c>
      <c r="U1511" s="5" t="s">
        <v>1678</v>
      </c>
      <c r="V1511" s="5" t="s">
        <v>1398</v>
      </c>
      <c r="W1511" s="5"/>
      <c r="X1511" s="5"/>
      <c r="Y1511" s="5"/>
    </row>
    <row r="1512" customFormat="false" ht="15" hidden="false" customHeight="false" outlineLevel="0" collapsed="false">
      <c r="A1512" s="5" t="s">
        <v>14675</v>
      </c>
      <c r="B1512" s="5" t="s">
        <v>1512</v>
      </c>
      <c r="C1512" s="5" t="s">
        <v>1513</v>
      </c>
      <c r="D1512" s="10" t="s">
        <v>137</v>
      </c>
      <c r="E1512" s="5" t="n">
        <v>1</v>
      </c>
      <c r="F1512" s="5" t="s">
        <v>14676</v>
      </c>
      <c r="G1512" s="13" t="s">
        <v>14677</v>
      </c>
      <c r="H1512" s="5" t="s">
        <v>14678</v>
      </c>
      <c r="I1512" s="13" t="s">
        <v>14679</v>
      </c>
      <c r="J1512" s="5" t="s">
        <v>14680</v>
      </c>
      <c r="K1512" s="5" t="s">
        <v>14681</v>
      </c>
      <c r="L1512" s="13" t="s">
        <v>14682</v>
      </c>
      <c r="M1512" s="13" t="s">
        <v>14683</v>
      </c>
      <c r="N1512" s="5" t="n">
        <f aca="false">LEN(L1512)</f>
        <v>25</v>
      </c>
      <c r="O1512" s="5" t="n">
        <f aca="false">LEN(M1512)</f>
        <v>25</v>
      </c>
      <c r="P1512" s="14" t="n">
        <f aca="false">IF(N1512=0,"",(N1512-LEN(SUBSTITUTE(SUBSTITUTE(L1512,"G",""),"C","")))/N1512)</f>
        <v>0.52</v>
      </c>
      <c r="Q1512" s="14" t="n">
        <f aca="false">IF(O1512=0,"",(O1512-LEN(SUBSTITUTE(SUBSTITUTE(M1512,"G",""),"C","")))/O1512)</f>
        <v>0.6</v>
      </c>
      <c r="R1512" s="5" t="s">
        <v>1516</v>
      </c>
      <c r="S1512" s="15" t="s">
        <v>1677</v>
      </c>
      <c r="T1512" s="5" t="n">
        <v>216</v>
      </c>
      <c r="U1512" s="5" t="s">
        <v>1678</v>
      </c>
      <c r="V1512" s="5" t="s">
        <v>1398</v>
      </c>
      <c r="W1512" s="5"/>
      <c r="X1512" s="5"/>
      <c r="Y1512" s="5"/>
    </row>
    <row r="1513" customFormat="false" ht="15" hidden="false" customHeight="false" outlineLevel="0" collapsed="false">
      <c r="A1513" s="5" t="s">
        <v>14684</v>
      </c>
      <c r="B1513" s="5" t="s">
        <v>1512</v>
      </c>
      <c r="C1513" s="5" t="s">
        <v>1513</v>
      </c>
      <c r="D1513" s="10" t="s">
        <v>137</v>
      </c>
      <c r="E1513" s="5" t="n">
        <v>2</v>
      </c>
      <c r="F1513" s="5" t="s">
        <v>14685</v>
      </c>
      <c r="G1513" s="13" t="s">
        <v>14686</v>
      </c>
      <c r="H1513" s="5" t="s">
        <v>14687</v>
      </c>
      <c r="I1513" s="13" t="s">
        <v>14688</v>
      </c>
      <c r="J1513" s="5" t="s">
        <v>14689</v>
      </c>
      <c r="K1513" s="5" t="s">
        <v>14690</v>
      </c>
      <c r="L1513" s="13" t="s">
        <v>14691</v>
      </c>
      <c r="M1513" s="13" t="s">
        <v>14692</v>
      </c>
      <c r="N1513" s="5" t="n">
        <f aca="false">LEN(L1513)</f>
        <v>25</v>
      </c>
      <c r="O1513" s="5" t="n">
        <f aca="false">LEN(M1513)</f>
        <v>25</v>
      </c>
      <c r="P1513" s="14" t="n">
        <f aca="false">IF(N1513=0,"",(N1513-LEN(SUBSTITUTE(SUBSTITUTE(L1513,"G",""),"C","")))/N1513)</f>
        <v>0.68</v>
      </c>
      <c r="Q1513" s="14" t="n">
        <f aca="false">IF(O1513=0,"",(O1513-LEN(SUBSTITUTE(SUBSTITUTE(M1513,"G",""),"C","")))/O1513)</f>
        <v>0.56</v>
      </c>
      <c r="R1513" s="5" t="s">
        <v>1516</v>
      </c>
      <c r="S1513" s="15" t="s">
        <v>1677</v>
      </c>
      <c r="T1513" s="5" t="n">
        <v>286</v>
      </c>
      <c r="U1513" s="5" t="s">
        <v>1678</v>
      </c>
      <c r="V1513" s="5" t="s">
        <v>1398</v>
      </c>
      <c r="W1513" s="5"/>
      <c r="X1513" s="5"/>
      <c r="Y1513" s="5"/>
    </row>
    <row r="1514" customFormat="false" ht="15" hidden="false" customHeight="false" outlineLevel="0" collapsed="false">
      <c r="A1514" s="5" t="s">
        <v>14693</v>
      </c>
      <c r="B1514" s="5" t="s">
        <v>1512</v>
      </c>
      <c r="C1514" s="5" t="s">
        <v>1513</v>
      </c>
      <c r="D1514" s="10" t="s">
        <v>137</v>
      </c>
      <c r="E1514" s="5" t="n">
        <v>3</v>
      </c>
      <c r="F1514" s="5" t="s">
        <v>14694</v>
      </c>
      <c r="G1514" s="13" t="s">
        <v>14695</v>
      </c>
      <c r="H1514" s="5" t="s">
        <v>14696</v>
      </c>
      <c r="I1514" s="13" t="s">
        <v>14697</v>
      </c>
      <c r="J1514" s="5" t="s">
        <v>14698</v>
      </c>
      <c r="K1514" s="5" t="s">
        <v>14699</v>
      </c>
      <c r="L1514" s="13" t="s">
        <v>14700</v>
      </c>
      <c r="M1514" s="13" t="s">
        <v>14701</v>
      </c>
      <c r="N1514" s="5" t="n">
        <f aca="false">LEN(L1514)</f>
        <v>25</v>
      </c>
      <c r="O1514" s="5" t="n">
        <f aca="false">LEN(M1514)</f>
        <v>25</v>
      </c>
      <c r="P1514" s="14" t="n">
        <f aca="false">IF(N1514=0,"",(N1514-LEN(SUBSTITUTE(SUBSTITUTE(L1514,"G",""),"C","")))/N1514)</f>
        <v>0.44</v>
      </c>
      <c r="Q1514" s="14" t="n">
        <f aca="false">IF(O1514=0,"",(O1514-LEN(SUBSTITUTE(SUBSTITUTE(M1514,"G",""),"C","")))/O1514)</f>
        <v>0.48</v>
      </c>
      <c r="R1514" s="5" t="s">
        <v>1516</v>
      </c>
      <c r="S1514" s="15" t="s">
        <v>1677</v>
      </c>
      <c r="T1514" s="5" t="n">
        <v>356</v>
      </c>
      <c r="U1514" s="5" t="s">
        <v>1678</v>
      </c>
      <c r="V1514" s="5" t="s">
        <v>1398</v>
      </c>
      <c r="W1514" s="5"/>
      <c r="X1514" s="5"/>
      <c r="Y1514" s="5"/>
    </row>
    <row r="1515" customFormat="false" ht="15" hidden="false" customHeight="false" outlineLevel="0" collapsed="false">
      <c r="A1515" s="5" t="s">
        <v>14702</v>
      </c>
      <c r="B1515" s="5" t="s">
        <v>1512</v>
      </c>
      <c r="C1515" s="5" t="s">
        <v>1513</v>
      </c>
      <c r="D1515" s="10" t="s">
        <v>137</v>
      </c>
      <c r="E1515" s="5" t="n">
        <v>4</v>
      </c>
      <c r="F1515" s="5" t="s">
        <v>14703</v>
      </c>
      <c r="G1515" s="13" t="s">
        <v>14704</v>
      </c>
      <c r="H1515" s="5" t="s">
        <v>14705</v>
      </c>
      <c r="I1515" s="13" t="s">
        <v>14706</v>
      </c>
      <c r="J1515" s="5" t="s">
        <v>14707</v>
      </c>
      <c r="K1515" s="5" t="s">
        <v>14708</v>
      </c>
      <c r="L1515" s="13" t="s">
        <v>14709</v>
      </c>
      <c r="M1515" s="13" t="s">
        <v>14710</v>
      </c>
      <c r="N1515" s="5" t="n">
        <f aca="false">LEN(L1515)</f>
        <v>25</v>
      </c>
      <c r="O1515" s="5" t="n">
        <f aca="false">LEN(M1515)</f>
        <v>25</v>
      </c>
      <c r="P1515" s="14" t="n">
        <f aca="false">IF(N1515=0,"",(N1515-LEN(SUBSTITUTE(SUBSTITUTE(L1515,"G",""),"C","")))/N1515)</f>
        <v>0.68</v>
      </c>
      <c r="Q1515" s="14" t="n">
        <f aca="false">IF(O1515=0,"",(O1515-LEN(SUBSTITUTE(SUBSTITUTE(M1515,"G",""),"C","")))/O1515)</f>
        <v>0.48</v>
      </c>
      <c r="R1515" s="5" t="s">
        <v>1516</v>
      </c>
      <c r="S1515" s="15" t="s">
        <v>1677</v>
      </c>
      <c r="T1515" s="5" t="n">
        <v>426</v>
      </c>
      <c r="U1515" s="5" t="s">
        <v>1678</v>
      </c>
      <c r="V1515" s="5" t="s">
        <v>1398</v>
      </c>
      <c r="W1515" s="5"/>
      <c r="X1515" s="5"/>
      <c r="Y1515" s="5"/>
    </row>
    <row r="1516" customFormat="false" ht="15" hidden="false" customHeight="false" outlineLevel="0" collapsed="false">
      <c r="A1516" s="5" t="s">
        <v>14711</v>
      </c>
      <c r="B1516" s="5" t="s">
        <v>1512</v>
      </c>
      <c r="C1516" s="5" t="s">
        <v>1513</v>
      </c>
      <c r="D1516" s="10" t="s">
        <v>137</v>
      </c>
      <c r="E1516" s="5" t="n">
        <v>5</v>
      </c>
      <c r="F1516" s="5" t="s">
        <v>14712</v>
      </c>
      <c r="G1516" s="13" t="s">
        <v>14713</v>
      </c>
      <c r="H1516" s="5" t="s">
        <v>14714</v>
      </c>
      <c r="I1516" s="13" t="s">
        <v>14715</v>
      </c>
      <c r="J1516" s="5" t="s">
        <v>14716</v>
      </c>
      <c r="K1516" s="5" t="s">
        <v>14717</v>
      </c>
      <c r="L1516" s="13" t="s">
        <v>14718</v>
      </c>
      <c r="M1516" s="13" t="s">
        <v>14719</v>
      </c>
      <c r="N1516" s="5" t="n">
        <f aca="false">LEN(L1516)</f>
        <v>25</v>
      </c>
      <c r="O1516" s="5" t="n">
        <f aca="false">LEN(M1516)</f>
        <v>25</v>
      </c>
      <c r="P1516" s="14" t="n">
        <f aca="false">IF(N1516=0,"",(N1516-LEN(SUBSTITUTE(SUBSTITUTE(L1516,"G",""),"C","")))/N1516)</f>
        <v>0.72</v>
      </c>
      <c r="Q1516" s="14" t="n">
        <f aca="false">IF(O1516=0,"",(O1516-LEN(SUBSTITUTE(SUBSTITUTE(M1516,"G",""),"C","")))/O1516)</f>
        <v>0.56</v>
      </c>
      <c r="R1516" s="5" t="s">
        <v>1516</v>
      </c>
      <c r="S1516" s="15" t="s">
        <v>1677</v>
      </c>
      <c r="T1516" s="5" t="n">
        <v>496</v>
      </c>
      <c r="U1516" s="5" t="s">
        <v>1678</v>
      </c>
      <c r="V1516" s="5" t="s">
        <v>1398</v>
      </c>
      <c r="W1516" s="5"/>
      <c r="X1516" s="5"/>
      <c r="Y1516" s="5"/>
    </row>
    <row r="1517" customFormat="false" ht="15" hidden="false" customHeight="false" outlineLevel="0" collapsed="false">
      <c r="A1517" s="5" t="s">
        <v>14720</v>
      </c>
      <c r="B1517" s="5" t="s">
        <v>1512</v>
      </c>
      <c r="C1517" s="5" t="s">
        <v>1513</v>
      </c>
      <c r="D1517" s="10" t="s">
        <v>137</v>
      </c>
      <c r="E1517" s="5" t="n">
        <v>6</v>
      </c>
      <c r="F1517" s="5" t="s">
        <v>14721</v>
      </c>
      <c r="G1517" s="13" t="s">
        <v>14722</v>
      </c>
      <c r="H1517" s="5" t="s">
        <v>14723</v>
      </c>
      <c r="I1517" s="13" t="s">
        <v>14724</v>
      </c>
      <c r="J1517" s="5" t="s">
        <v>14725</v>
      </c>
      <c r="K1517" s="5" t="s">
        <v>14726</v>
      </c>
      <c r="L1517" s="13" t="s">
        <v>14727</v>
      </c>
      <c r="M1517" s="13" t="s">
        <v>14728</v>
      </c>
      <c r="N1517" s="5" t="n">
        <f aca="false">LEN(L1517)</f>
        <v>25</v>
      </c>
      <c r="O1517" s="5" t="n">
        <f aca="false">LEN(M1517)</f>
        <v>25</v>
      </c>
      <c r="P1517" s="14" t="n">
        <f aca="false">IF(N1517=0,"",(N1517-LEN(SUBSTITUTE(SUBSTITUTE(L1517,"G",""),"C","")))/N1517)</f>
        <v>0.52</v>
      </c>
      <c r="Q1517" s="14" t="n">
        <f aca="false">IF(O1517=0,"",(O1517-LEN(SUBSTITUTE(SUBSTITUTE(M1517,"G",""),"C","")))/O1517)</f>
        <v>0.64</v>
      </c>
      <c r="R1517" s="5" t="s">
        <v>1516</v>
      </c>
      <c r="S1517" s="15" t="s">
        <v>1677</v>
      </c>
      <c r="T1517" s="5" t="n">
        <v>566</v>
      </c>
      <c r="U1517" s="5" t="s">
        <v>1678</v>
      </c>
      <c r="V1517" s="5" t="s">
        <v>1398</v>
      </c>
      <c r="W1517" s="5"/>
      <c r="X1517" s="5"/>
      <c r="Y1517" s="5"/>
    </row>
    <row r="1518" customFormat="false" ht="15" hidden="false" customHeight="false" outlineLevel="0" collapsed="false">
      <c r="A1518" s="5" t="s">
        <v>14729</v>
      </c>
      <c r="B1518" s="5" t="s">
        <v>1512</v>
      </c>
      <c r="C1518" s="5" t="s">
        <v>1513</v>
      </c>
      <c r="D1518" s="10" t="s">
        <v>137</v>
      </c>
      <c r="E1518" s="5" t="n">
        <v>7</v>
      </c>
      <c r="F1518" s="5" t="s">
        <v>14730</v>
      </c>
      <c r="G1518" s="13" t="s">
        <v>14731</v>
      </c>
      <c r="H1518" s="5" t="s">
        <v>14732</v>
      </c>
      <c r="I1518" s="13" t="s">
        <v>14733</v>
      </c>
      <c r="J1518" s="5" t="s">
        <v>14734</v>
      </c>
      <c r="K1518" s="5" t="s">
        <v>14735</v>
      </c>
      <c r="L1518" s="13" t="s">
        <v>14736</v>
      </c>
      <c r="M1518" s="13" t="s">
        <v>14737</v>
      </c>
      <c r="N1518" s="5" t="n">
        <f aca="false">LEN(L1518)</f>
        <v>25</v>
      </c>
      <c r="O1518" s="5" t="n">
        <f aca="false">LEN(M1518)</f>
        <v>25</v>
      </c>
      <c r="P1518" s="14" t="n">
        <f aca="false">IF(N1518=0,"",(N1518-LEN(SUBSTITUTE(SUBSTITUTE(L1518,"G",""),"C","")))/N1518)</f>
        <v>0.52</v>
      </c>
      <c r="Q1518" s="14" t="n">
        <f aca="false">IF(O1518=0,"",(O1518-LEN(SUBSTITUTE(SUBSTITUTE(M1518,"G",""),"C","")))/O1518)</f>
        <v>0.48</v>
      </c>
      <c r="R1518" s="5" t="s">
        <v>1516</v>
      </c>
      <c r="S1518" s="15" t="s">
        <v>1677</v>
      </c>
      <c r="T1518" s="5" t="n">
        <v>636</v>
      </c>
      <c r="U1518" s="5" t="s">
        <v>1678</v>
      </c>
      <c r="V1518" s="5" t="s">
        <v>1398</v>
      </c>
      <c r="W1518" s="5"/>
      <c r="X1518" s="5"/>
      <c r="Y1518" s="5"/>
    </row>
    <row r="1519" customFormat="false" ht="15" hidden="false" customHeight="false" outlineLevel="0" collapsed="false">
      <c r="A1519" s="5" t="s">
        <v>14738</v>
      </c>
      <c r="B1519" s="5" t="s">
        <v>1512</v>
      </c>
      <c r="C1519" s="5" t="s">
        <v>1513</v>
      </c>
      <c r="D1519" s="10" t="s">
        <v>137</v>
      </c>
      <c r="E1519" s="5" t="n">
        <v>8</v>
      </c>
      <c r="F1519" s="5" t="s">
        <v>14739</v>
      </c>
      <c r="G1519" s="13" t="s">
        <v>14740</v>
      </c>
      <c r="H1519" s="5" t="s">
        <v>14741</v>
      </c>
      <c r="I1519" s="13" t="s">
        <v>14742</v>
      </c>
      <c r="J1519" s="5" t="s">
        <v>14743</v>
      </c>
      <c r="K1519" s="5" t="s">
        <v>14744</v>
      </c>
      <c r="L1519" s="13" t="s">
        <v>14745</v>
      </c>
      <c r="M1519" s="13" t="s">
        <v>14746</v>
      </c>
      <c r="N1519" s="5" t="n">
        <f aca="false">LEN(L1519)</f>
        <v>25</v>
      </c>
      <c r="O1519" s="5" t="n">
        <f aca="false">LEN(M1519)</f>
        <v>25</v>
      </c>
      <c r="P1519" s="14" t="n">
        <f aca="false">IF(N1519=0,"",(N1519-LEN(SUBSTITUTE(SUBSTITUTE(L1519,"G",""),"C","")))/N1519)</f>
        <v>0.76</v>
      </c>
      <c r="Q1519" s="14" t="n">
        <f aca="false">IF(O1519=0,"",(O1519-LEN(SUBSTITUTE(SUBSTITUTE(M1519,"G",""),"C","")))/O1519)</f>
        <v>0.64</v>
      </c>
      <c r="R1519" s="5" t="s">
        <v>1516</v>
      </c>
      <c r="S1519" s="15" t="s">
        <v>1677</v>
      </c>
      <c r="T1519" s="5" t="n">
        <v>706</v>
      </c>
      <c r="U1519" s="5" t="s">
        <v>1678</v>
      </c>
      <c r="V1519" s="5" t="s">
        <v>1398</v>
      </c>
      <c r="W1519" s="5"/>
      <c r="X1519" s="5"/>
      <c r="Y1519" s="5"/>
    </row>
    <row r="1520" customFormat="false" ht="15" hidden="false" customHeight="false" outlineLevel="0" collapsed="false">
      <c r="A1520" s="5" t="s">
        <v>14747</v>
      </c>
      <c r="B1520" s="5" t="s">
        <v>1517</v>
      </c>
      <c r="C1520" s="5" t="s">
        <v>1518</v>
      </c>
      <c r="D1520" s="10" t="s">
        <v>137</v>
      </c>
      <c r="E1520" s="5" t="n">
        <v>1</v>
      </c>
      <c r="F1520" s="5" t="s">
        <v>14748</v>
      </c>
      <c r="G1520" s="13" t="s">
        <v>14749</v>
      </c>
      <c r="H1520" s="5" t="s">
        <v>14750</v>
      </c>
      <c r="I1520" s="13" t="s">
        <v>14751</v>
      </c>
      <c r="J1520" s="5" t="s">
        <v>14752</v>
      </c>
      <c r="K1520" s="5" t="s">
        <v>14753</v>
      </c>
      <c r="L1520" s="13" t="s">
        <v>14754</v>
      </c>
      <c r="M1520" s="13" t="s">
        <v>14755</v>
      </c>
      <c r="N1520" s="5" t="n">
        <f aca="false">LEN(L1520)</f>
        <v>25</v>
      </c>
      <c r="O1520" s="5" t="n">
        <f aca="false">LEN(M1520)</f>
        <v>25</v>
      </c>
      <c r="P1520" s="14" t="n">
        <f aca="false">IF(N1520=0,"",(N1520-LEN(SUBSTITUTE(SUBSTITUTE(L1520,"G",""),"C","")))/N1520)</f>
        <v>0.56</v>
      </c>
      <c r="Q1520" s="14" t="n">
        <f aca="false">IF(O1520=0,"",(O1520-LEN(SUBSTITUTE(SUBSTITUTE(M1520,"G",""),"C","")))/O1520)</f>
        <v>0.48</v>
      </c>
      <c r="R1520" s="5" t="s">
        <v>1522</v>
      </c>
      <c r="S1520" s="15" t="s">
        <v>1677</v>
      </c>
      <c r="T1520" s="5" t="n">
        <v>146</v>
      </c>
      <c r="U1520" s="5" t="s">
        <v>1678</v>
      </c>
      <c r="V1520" s="5" t="s">
        <v>1398</v>
      </c>
      <c r="W1520" s="5"/>
      <c r="X1520" s="5"/>
      <c r="Y1520" s="5"/>
    </row>
    <row r="1521" customFormat="false" ht="15" hidden="false" customHeight="false" outlineLevel="0" collapsed="false">
      <c r="A1521" s="5" t="s">
        <v>14756</v>
      </c>
      <c r="B1521" s="5" t="s">
        <v>1517</v>
      </c>
      <c r="C1521" s="5" t="s">
        <v>1518</v>
      </c>
      <c r="D1521" s="10" t="s">
        <v>137</v>
      </c>
      <c r="E1521" s="5" t="n">
        <v>2</v>
      </c>
      <c r="F1521" s="5" t="s">
        <v>14757</v>
      </c>
      <c r="G1521" s="13" t="s">
        <v>14758</v>
      </c>
      <c r="H1521" s="5" t="s">
        <v>14759</v>
      </c>
      <c r="I1521" s="13" t="s">
        <v>14760</v>
      </c>
      <c r="J1521" s="5" t="s">
        <v>14761</v>
      </c>
      <c r="K1521" s="5" t="s">
        <v>14762</v>
      </c>
      <c r="L1521" s="13" t="s">
        <v>14763</v>
      </c>
      <c r="M1521" s="13" t="s">
        <v>14764</v>
      </c>
      <c r="N1521" s="5" t="n">
        <f aca="false">LEN(L1521)</f>
        <v>25</v>
      </c>
      <c r="O1521" s="5" t="n">
        <f aca="false">LEN(M1521)</f>
        <v>25</v>
      </c>
      <c r="P1521" s="14" t="n">
        <f aca="false">IF(N1521=0,"",(N1521-LEN(SUBSTITUTE(SUBSTITUTE(L1521,"G",""),"C","")))/N1521)</f>
        <v>0.4</v>
      </c>
      <c r="Q1521" s="14" t="n">
        <f aca="false">IF(O1521=0,"",(O1521-LEN(SUBSTITUTE(SUBSTITUTE(M1521,"G",""),"C","")))/O1521)</f>
        <v>0.48</v>
      </c>
      <c r="R1521" s="5" t="s">
        <v>1522</v>
      </c>
      <c r="S1521" s="15" t="s">
        <v>1677</v>
      </c>
      <c r="T1521" s="5" t="n">
        <v>216</v>
      </c>
      <c r="U1521" s="5" t="s">
        <v>1678</v>
      </c>
      <c r="V1521" s="5" t="s">
        <v>1398</v>
      </c>
      <c r="W1521" s="5"/>
      <c r="X1521" s="5"/>
      <c r="Y1521" s="5"/>
    </row>
    <row r="1522" customFormat="false" ht="15" hidden="false" customHeight="false" outlineLevel="0" collapsed="false">
      <c r="A1522" s="5" t="s">
        <v>14765</v>
      </c>
      <c r="B1522" s="5" t="s">
        <v>1517</v>
      </c>
      <c r="C1522" s="5" t="s">
        <v>1518</v>
      </c>
      <c r="D1522" s="10" t="s">
        <v>137</v>
      </c>
      <c r="E1522" s="5" t="n">
        <v>3</v>
      </c>
      <c r="F1522" s="5" t="s">
        <v>14766</v>
      </c>
      <c r="G1522" s="13" t="s">
        <v>14767</v>
      </c>
      <c r="H1522" s="5" t="s">
        <v>14768</v>
      </c>
      <c r="I1522" s="13" t="s">
        <v>14769</v>
      </c>
      <c r="J1522" s="5" t="s">
        <v>14770</v>
      </c>
      <c r="K1522" s="5" t="s">
        <v>14771</v>
      </c>
      <c r="L1522" s="13" t="s">
        <v>14772</v>
      </c>
      <c r="M1522" s="13" t="s">
        <v>14773</v>
      </c>
      <c r="N1522" s="5" t="n">
        <f aca="false">LEN(L1522)</f>
        <v>25</v>
      </c>
      <c r="O1522" s="5" t="n">
        <f aca="false">LEN(M1522)</f>
        <v>25</v>
      </c>
      <c r="P1522" s="14" t="n">
        <f aca="false">IF(N1522=0,"",(N1522-LEN(SUBSTITUTE(SUBSTITUTE(L1522,"G",""),"C","")))/N1522)</f>
        <v>0.4</v>
      </c>
      <c r="Q1522" s="14" t="n">
        <f aca="false">IF(O1522=0,"",(O1522-LEN(SUBSTITUTE(SUBSTITUTE(M1522,"G",""),"C","")))/O1522)</f>
        <v>0.56</v>
      </c>
      <c r="R1522" s="5" t="s">
        <v>1522</v>
      </c>
      <c r="S1522" s="15" t="s">
        <v>1677</v>
      </c>
      <c r="T1522" s="5" t="n">
        <v>286</v>
      </c>
      <c r="U1522" s="5" t="s">
        <v>1678</v>
      </c>
      <c r="V1522" s="5" t="s">
        <v>1398</v>
      </c>
      <c r="W1522" s="5"/>
      <c r="X1522" s="5"/>
      <c r="Y1522" s="5"/>
    </row>
    <row r="1523" customFormat="false" ht="15" hidden="false" customHeight="false" outlineLevel="0" collapsed="false">
      <c r="A1523" s="5" t="s">
        <v>14774</v>
      </c>
      <c r="B1523" s="5" t="s">
        <v>1517</v>
      </c>
      <c r="C1523" s="5" t="s">
        <v>1518</v>
      </c>
      <c r="D1523" s="10" t="s">
        <v>137</v>
      </c>
      <c r="E1523" s="5" t="n">
        <v>4</v>
      </c>
      <c r="F1523" s="5" t="s">
        <v>14775</v>
      </c>
      <c r="G1523" s="13" t="s">
        <v>14776</v>
      </c>
      <c r="H1523" s="5" t="s">
        <v>14777</v>
      </c>
      <c r="I1523" s="13" t="s">
        <v>14778</v>
      </c>
      <c r="J1523" s="5" t="s">
        <v>14779</v>
      </c>
      <c r="K1523" s="5" t="s">
        <v>14780</v>
      </c>
      <c r="L1523" s="13" t="s">
        <v>14781</v>
      </c>
      <c r="M1523" s="13" t="s">
        <v>14782</v>
      </c>
      <c r="N1523" s="5" t="n">
        <f aca="false">LEN(L1523)</f>
        <v>25</v>
      </c>
      <c r="O1523" s="5" t="n">
        <f aca="false">LEN(M1523)</f>
        <v>25</v>
      </c>
      <c r="P1523" s="14" t="n">
        <f aca="false">IF(N1523=0,"",(N1523-LEN(SUBSTITUTE(SUBSTITUTE(L1523,"G",""),"C","")))/N1523)</f>
        <v>0.48</v>
      </c>
      <c r="Q1523" s="14" t="n">
        <f aca="false">IF(O1523=0,"",(O1523-LEN(SUBSTITUTE(SUBSTITUTE(M1523,"G",""),"C","")))/O1523)</f>
        <v>0.44</v>
      </c>
      <c r="R1523" s="5" t="s">
        <v>1522</v>
      </c>
      <c r="S1523" s="15" t="s">
        <v>1677</v>
      </c>
      <c r="T1523" s="5" t="n">
        <v>356</v>
      </c>
      <c r="U1523" s="5" t="s">
        <v>1678</v>
      </c>
      <c r="V1523" s="5" t="s">
        <v>1398</v>
      </c>
      <c r="W1523" s="5"/>
      <c r="X1523" s="5"/>
      <c r="Y1523" s="5"/>
    </row>
    <row r="1524" customFormat="false" ht="15" hidden="false" customHeight="false" outlineLevel="0" collapsed="false">
      <c r="A1524" s="5" t="s">
        <v>14783</v>
      </c>
      <c r="B1524" s="5" t="s">
        <v>1517</v>
      </c>
      <c r="C1524" s="5" t="s">
        <v>1518</v>
      </c>
      <c r="D1524" s="10" t="s">
        <v>137</v>
      </c>
      <c r="E1524" s="5" t="n">
        <v>5</v>
      </c>
      <c r="F1524" s="5" t="s">
        <v>14784</v>
      </c>
      <c r="G1524" s="13" t="s">
        <v>14785</v>
      </c>
      <c r="H1524" s="5" t="s">
        <v>14786</v>
      </c>
      <c r="I1524" s="13" t="s">
        <v>14787</v>
      </c>
      <c r="J1524" s="5" t="s">
        <v>14788</v>
      </c>
      <c r="K1524" s="5" t="s">
        <v>14789</v>
      </c>
      <c r="L1524" s="13" t="s">
        <v>14790</v>
      </c>
      <c r="M1524" s="13" t="s">
        <v>14791</v>
      </c>
      <c r="N1524" s="5" t="n">
        <f aca="false">LEN(L1524)</f>
        <v>25</v>
      </c>
      <c r="O1524" s="5" t="n">
        <f aca="false">LEN(M1524)</f>
        <v>25</v>
      </c>
      <c r="P1524" s="14" t="n">
        <f aca="false">IF(N1524=0,"",(N1524-LEN(SUBSTITUTE(SUBSTITUTE(L1524,"G",""),"C","")))/N1524)</f>
        <v>0.44</v>
      </c>
      <c r="Q1524" s="14" t="n">
        <f aca="false">IF(O1524=0,"",(O1524-LEN(SUBSTITUTE(SUBSTITUTE(M1524,"G",""),"C","")))/O1524)</f>
        <v>0.44</v>
      </c>
      <c r="R1524" s="5" t="s">
        <v>1522</v>
      </c>
      <c r="S1524" s="15" t="s">
        <v>1677</v>
      </c>
      <c r="T1524" s="5" t="n">
        <v>426</v>
      </c>
      <c r="U1524" s="5" t="s">
        <v>1678</v>
      </c>
      <c r="V1524" s="5" t="s">
        <v>1398</v>
      </c>
      <c r="W1524" s="5"/>
      <c r="X1524" s="5"/>
      <c r="Y1524" s="5"/>
    </row>
    <row r="1525" customFormat="false" ht="15" hidden="false" customHeight="false" outlineLevel="0" collapsed="false">
      <c r="A1525" s="5" t="s">
        <v>14792</v>
      </c>
      <c r="B1525" s="5" t="s">
        <v>1517</v>
      </c>
      <c r="C1525" s="5" t="s">
        <v>1518</v>
      </c>
      <c r="D1525" s="10" t="s">
        <v>137</v>
      </c>
      <c r="E1525" s="5" t="n">
        <v>6</v>
      </c>
      <c r="F1525" s="5" t="s">
        <v>14793</v>
      </c>
      <c r="G1525" s="13" t="s">
        <v>14794</v>
      </c>
      <c r="H1525" s="5" t="s">
        <v>14795</v>
      </c>
      <c r="I1525" s="13" t="s">
        <v>14796</v>
      </c>
      <c r="J1525" s="5" t="s">
        <v>14797</v>
      </c>
      <c r="K1525" s="5" t="s">
        <v>14798</v>
      </c>
      <c r="L1525" s="13" t="s">
        <v>14799</v>
      </c>
      <c r="M1525" s="13" t="s">
        <v>14800</v>
      </c>
      <c r="N1525" s="5" t="n">
        <f aca="false">LEN(L1525)</f>
        <v>25</v>
      </c>
      <c r="O1525" s="5" t="n">
        <f aca="false">LEN(M1525)</f>
        <v>25</v>
      </c>
      <c r="P1525" s="14" t="n">
        <f aca="false">IF(N1525=0,"",(N1525-LEN(SUBSTITUTE(SUBSTITUTE(L1525,"G",""),"C","")))/N1525)</f>
        <v>0.56</v>
      </c>
      <c r="Q1525" s="14" t="n">
        <f aca="false">IF(O1525=0,"",(O1525-LEN(SUBSTITUTE(SUBSTITUTE(M1525,"G",""),"C","")))/O1525)</f>
        <v>0.48</v>
      </c>
      <c r="R1525" s="5" t="s">
        <v>1522</v>
      </c>
      <c r="S1525" s="15" t="s">
        <v>1677</v>
      </c>
      <c r="T1525" s="5" t="n">
        <v>496</v>
      </c>
      <c r="U1525" s="5" t="s">
        <v>1678</v>
      </c>
      <c r="V1525" s="5" t="s">
        <v>1398</v>
      </c>
      <c r="W1525" s="5"/>
      <c r="X1525" s="5"/>
      <c r="Y1525" s="5"/>
    </row>
    <row r="1526" customFormat="false" ht="15" hidden="false" customHeight="false" outlineLevel="0" collapsed="false">
      <c r="A1526" s="5" t="s">
        <v>14801</v>
      </c>
      <c r="B1526" s="5" t="s">
        <v>1523</v>
      </c>
      <c r="C1526" s="5" t="s">
        <v>1482</v>
      </c>
      <c r="D1526" s="10" t="s">
        <v>137</v>
      </c>
      <c r="E1526" s="5" t="n">
        <v>1</v>
      </c>
      <c r="F1526" s="5" t="s">
        <v>14802</v>
      </c>
      <c r="G1526" s="13" t="s">
        <v>14803</v>
      </c>
      <c r="H1526" s="5" t="s">
        <v>14804</v>
      </c>
      <c r="I1526" s="13" t="s">
        <v>14805</v>
      </c>
      <c r="J1526" s="5" t="s">
        <v>14806</v>
      </c>
      <c r="K1526" s="5" t="s">
        <v>14807</v>
      </c>
      <c r="L1526" s="13" t="s">
        <v>14214</v>
      </c>
      <c r="M1526" s="13" t="s">
        <v>14215</v>
      </c>
      <c r="N1526" s="5" t="n">
        <f aca="false">LEN(L1526)</f>
        <v>25</v>
      </c>
      <c r="O1526" s="5" t="n">
        <f aca="false">LEN(M1526)</f>
        <v>25</v>
      </c>
      <c r="P1526" s="14" t="n">
        <f aca="false">IF(N1526=0,"",(N1526-LEN(SUBSTITUTE(SUBSTITUTE(L1526,"G",""),"C","")))/N1526)</f>
        <v>0.52</v>
      </c>
      <c r="Q1526" s="14" t="n">
        <f aca="false">IF(O1526=0,"",(O1526-LEN(SUBSTITUTE(SUBSTITUTE(M1526,"G",""),"C","")))/O1526)</f>
        <v>0.44</v>
      </c>
      <c r="R1526" s="5" t="s">
        <v>1487</v>
      </c>
      <c r="S1526" s="15" t="s">
        <v>1677</v>
      </c>
      <c r="T1526" s="5" t="n">
        <v>76</v>
      </c>
      <c r="U1526" s="5" t="s">
        <v>1678</v>
      </c>
      <c r="V1526" s="5" t="s">
        <v>1398</v>
      </c>
      <c r="W1526" s="5"/>
      <c r="X1526" s="5"/>
      <c r="Y1526" s="5"/>
    </row>
    <row r="1527" customFormat="false" ht="15" hidden="false" customHeight="false" outlineLevel="0" collapsed="false">
      <c r="A1527" s="5" t="s">
        <v>14808</v>
      </c>
      <c r="B1527" s="5" t="s">
        <v>1523</v>
      </c>
      <c r="C1527" s="5" t="s">
        <v>1482</v>
      </c>
      <c r="D1527" s="10" t="s">
        <v>137</v>
      </c>
      <c r="E1527" s="5" t="n">
        <v>2</v>
      </c>
      <c r="F1527" s="5" t="s">
        <v>14809</v>
      </c>
      <c r="G1527" s="13" t="s">
        <v>14810</v>
      </c>
      <c r="H1527" s="5" t="s">
        <v>14811</v>
      </c>
      <c r="I1527" s="13" t="s">
        <v>14812</v>
      </c>
      <c r="J1527" s="5" t="s">
        <v>14813</v>
      </c>
      <c r="K1527" s="5" t="s">
        <v>14814</v>
      </c>
      <c r="L1527" s="13" t="s">
        <v>14223</v>
      </c>
      <c r="M1527" s="13" t="s">
        <v>14224</v>
      </c>
      <c r="N1527" s="5" t="n">
        <f aca="false">LEN(L1527)</f>
        <v>25</v>
      </c>
      <c r="O1527" s="5" t="n">
        <f aca="false">LEN(M1527)</f>
        <v>25</v>
      </c>
      <c r="P1527" s="14" t="n">
        <f aca="false">IF(N1527=0,"",(N1527-LEN(SUBSTITUTE(SUBSTITUTE(L1527,"G",""),"C","")))/N1527)</f>
        <v>0.56</v>
      </c>
      <c r="Q1527" s="14" t="n">
        <f aca="false">IF(O1527=0,"",(O1527-LEN(SUBSTITUTE(SUBSTITUTE(M1527,"G",""),"C","")))/O1527)</f>
        <v>0.48</v>
      </c>
      <c r="R1527" s="5" t="s">
        <v>1487</v>
      </c>
      <c r="S1527" s="15" t="s">
        <v>1677</v>
      </c>
      <c r="T1527" s="5" t="n">
        <v>146</v>
      </c>
      <c r="U1527" s="5" t="s">
        <v>1678</v>
      </c>
      <c r="V1527" s="5" t="s">
        <v>1398</v>
      </c>
      <c r="W1527" s="5"/>
      <c r="X1527" s="5"/>
      <c r="Y1527" s="5"/>
    </row>
    <row r="1528" customFormat="false" ht="15" hidden="false" customHeight="false" outlineLevel="0" collapsed="false">
      <c r="A1528" s="5" t="s">
        <v>14815</v>
      </c>
      <c r="B1528" s="5" t="s">
        <v>1523</v>
      </c>
      <c r="C1528" s="5" t="s">
        <v>1482</v>
      </c>
      <c r="D1528" s="10" t="s">
        <v>137</v>
      </c>
      <c r="E1528" s="5" t="n">
        <v>3</v>
      </c>
      <c r="F1528" s="5" t="s">
        <v>14816</v>
      </c>
      <c r="G1528" s="13" t="s">
        <v>14817</v>
      </c>
      <c r="H1528" s="5" t="s">
        <v>14818</v>
      </c>
      <c r="I1528" s="13" t="s">
        <v>14819</v>
      </c>
      <c r="J1528" s="5" t="s">
        <v>14820</v>
      </c>
      <c r="K1528" s="5" t="s">
        <v>14821</v>
      </c>
      <c r="L1528" s="13" t="s">
        <v>14232</v>
      </c>
      <c r="M1528" s="13" t="s">
        <v>14233</v>
      </c>
      <c r="N1528" s="5" t="n">
        <f aca="false">LEN(L1528)</f>
        <v>25</v>
      </c>
      <c r="O1528" s="5" t="n">
        <f aca="false">LEN(M1528)</f>
        <v>25</v>
      </c>
      <c r="P1528" s="14" t="n">
        <f aca="false">IF(N1528=0,"",(N1528-LEN(SUBSTITUTE(SUBSTITUTE(L1528,"G",""),"C","")))/N1528)</f>
        <v>0.44</v>
      </c>
      <c r="Q1528" s="14" t="n">
        <f aca="false">IF(O1528=0,"",(O1528-LEN(SUBSTITUTE(SUBSTITUTE(M1528,"G",""),"C","")))/O1528)</f>
        <v>0.36</v>
      </c>
      <c r="R1528" s="5" t="s">
        <v>1487</v>
      </c>
      <c r="S1528" s="15" t="s">
        <v>1677</v>
      </c>
      <c r="T1528" s="5" t="n">
        <v>216</v>
      </c>
      <c r="U1528" s="5" t="s">
        <v>1678</v>
      </c>
      <c r="V1528" s="5" t="s">
        <v>1398</v>
      </c>
      <c r="W1528" s="5"/>
      <c r="X1528" s="5"/>
      <c r="Y1528" s="5"/>
    </row>
    <row r="1529" customFormat="false" ht="15" hidden="false" customHeight="false" outlineLevel="0" collapsed="false">
      <c r="A1529" s="5" t="s">
        <v>14822</v>
      </c>
      <c r="B1529" s="5" t="s">
        <v>1523</v>
      </c>
      <c r="C1529" s="5" t="s">
        <v>1482</v>
      </c>
      <c r="D1529" s="10" t="s">
        <v>137</v>
      </c>
      <c r="E1529" s="5" t="n">
        <v>4</v>
      </c>
      <c r="F1529" s="5" t="s">
        <v>14823</v>
      </c>
      <c r="G1529" s="13" t="s">
        <v>14824</v>
      </c>
      <c r="H1529" s="5" t="s">
        <v>14825</v>
      </c>
      <c r="I1529" s="13" t="s">
        <v>14826</v>
      </c>
      <c r="J1529" s="5" t="s">
        <v>14827</v>
      </c>
      <c r="K1529" s="5" t="s">
        <v>14828</v>
      </c>
      <c r="L1529" s="13" t="s">
        <v>14241</v>
      </c>
      <c r="M1529" s="13" t="s">
        <v>14242</v>
      </c>
      <c r="N1529" s="5" t="n">
        <f aca="false">LEN(L1529)</f>
        <v>25</v>
      </c>
      <c r="O1529" s="5" t="n">
        <f aca="false">LEN(M1529)</f>
        <v>25</v>
      </c>
      <c r="P1529" s="14" t="n">
        <f aca="false">IF(N1529=0,"",(N1529-LEN(SUBSTITUTE(SUBSTITUTE(L1529,"G",""),"C","")))/N1529)</f>
        <v>0.36</v>
      </c>
      <c r="Q1529" s="14" t="n">
        <f aca="false">IF(O1529=0,"",(O1529-LEN(SUBSTITUTE(SUBSTITUTE(M1529,"G",""),"C","")))/O1529)</f>
        <v>0.6</v>
      </c>
      <c r="R1529" s="5" t="s">
        <v>1487</v>
      </c>
      <c r="S1529" s="15" t="s">
        <v>1677</v>
      </c>
      <c r="T1529" s="5" t="n">
        <v>286</v>
      </c>
      <c r="U1529" s="5" t="s">
        <v>1678</v>
      </c>
      <c r="V1529" s="5" t="s">
        <v>1398</v>
      </c>
      <c r="W1529" s="5"/>
      <c r="X1529" s="5"/>
      <c r="Y1529" s="5"/>
    </row>
    <row r="1530" customFormat="false" ht="15" hidden="false" customHeight="false" outlineLevel="0" collapsed="false">
      <c r="A1530" s="5" t="s">
        <v>14829</v>
      </c>
      <c r="B1530" s="5" t="s">
        <v>1523</v>
      </c>
      <c r="C1530" s="5" t="s">
        <v>1482</v>
      </c>
      <c r="D1530" s="10" t="s">
        <v>137</v>
      </c>
      <c r="E1530" s="5" t="n">
        <v>5</v>
      </c>
      <c r="F1530" s="5" t="s">
        <v>14830</v>
      </c>
      <c r="G1530" s="13" t="s">
        <v>14831</v>
      </c>
      <c r="H1530" s="5" t="s">
        <v>14832</v>
      </c>
      <c r="I1530" s="13" t="s">
        <v>14833</v>
      </c>
      <c r="J1530" s="5" t="s">
        <v>14834</v>
      </c>
      <c r="K1530" s="5" t="s">
        <v>14835</v>
      </c>
      <c r="L1530" s="13" t="s">
        <v>14250</v>
      </c>
      <c r="M1530" s="13" t="s">
        <v>14251</v>
      </c>
      <c r="N1530" s="5" t="n">
        <f aca="false">LEN(L1530)</f>
        <v>25</v>
      </c>
      <c r="O1530" s="5" t="n">
        <f aca="false">LEN(M1530)</f>
        <v>25</v>
      </c>
      <c r="P1530" s="14" t="n">
        <f aca="false">IF(N1530=0,"",(N1530-LEN(SUBSTITUTE(SUBSTITUTE(L1530,"G",""),"C","")))/N1530)</f>
        <v>0.6</v>
      </c>
      <c r="Q1530" s="14" t="n">
        <f aca="false">IF(O1530=0,"",(O1530-LEN(SUBSTITUTE(SUBSTITUTE(M1530,"G",""),"C","")))/O1530)</f>
        <v>0.8</v>
      </c>
      <c r="R1530" s="5" t="s">
        <v>1487</v>
      </c>
      <c r="S1530" s="15" t="s">
        <v>1677</v>
      </c>
      <c r="T1530" s="5" t="n">
        <v>356</v>
      </c>
      <c r="U1530" s="5" t="s">
        <v>1678</v>
      </c>
      <c r="V1530" s="5" t="s">
        <v>1398</v>
      </c>
      <c r="W1530" s="5"/>
      <c r="X1530" s="5"/>
      <c r="Y1530" s="5"/>
    </row>
    <row r="1531" customFormat="false" ht="15" hidden="false" customHeight="false" outlineLevel="0" collapsed="false">
      <c r="A1531" s="5" t="s">
        <v>14836</v>
      </c>
      <c r="B1531" s="5" t="s">
        <v>1523</v>
      </c>
      <c r="C1531" s="5" t="s">
        <v>1482</v>
      </c>
      <c r="D1531" s="10" t="s">
        <v>137</v>
      </c>
      <c r="E1531" s="5" t="n">
        <v>6</v>
      </c>
      <c r="F1531" s="5" t="s">
        <v>14837</v>
      </c>
      <c r="G1531" s="13" t="s">
        <v>14838</v>
      </c>
      <c r="H1531" s="5" t="s">
        <v>14839</v>
      </c>
      <c r="I1531" s="13" t="s">
        <v>14840</v>
      </c>
      <c r="J1531" s="5" t="s">
        <v>14841</v>
      </c>
      <c r="K1531" s="5" t="s">
        <v>14842</v>
      </c>
      <c r="L1531" s="13" t="s">
        <v>14259</v>
      </c>
      <c r="M1531" s="13" t="s">
        <v>14260</v>
      </c>
      <c r="N1531" s="5" t="n">
        <f aca="false">LEN(L1531)</f>
        <v>25</v>
      </c>
      <c r="O1531" s="5" t="n">
        <f aca="false">LEN(M1531)</f>
        <v>25</v>
      </c>
      <c r="P1531" s="14" t="n">
        <f aca="false">IF(N1531=0,"",(N1531-LEN(SUBSTITUTE(SUBSTITUTE(L1531,"G",""),"C","")))/N1531)</f>
        <v>0.72</v>
      </c>
      <c r="Q1531" s="14" t="n">
        <f aca="false">IF(O1531=0,"",(O1531-LEN(SUBSTITUTE(SUBSTITUTE(M1531,"G",""),"C","")))/O1531)</f>
        <v>0.48</v>
      </c>
      <c r="R1531" s="5" t="s">
        <v>1487</v>
      </c>
      <c r="S1531" s="15" t="s">
        <v>1677</v>
      </c>
      <c r="T1531" s="5" t="n">
        <v>426</v>
      </c>
      <c r="U1531" s="5" t="s">
        <v>1678</v>
      </c>
      <c r="V1531" s="5" t="s">
        <v>1398</v>
      </c>
      <c r="W1531" s="5"/>
      <c r="X1531" s="5"/>
      <c r="Y1531" s="5"/>
    </row>
    <row r="1532" customFormat="false" ht="15" hidden="false" customHeight="false" outlineLevel="0" collapsed="false">
      <c r="A1532" s="5" t="s">
        <v>14843</v>
      </c>
      <c r="B1532" s="5" t="s">
        <v>1523</v>
      </c>
      <c r="C1532" s="5" t="s">
        <v>1482</v>
      </c>
      <c r="D1532" s="10" t="s">
        <v>137</v>
      </c>
      <c r="E1532" s="5" t="n">
        <v>7</v>
      </c>
      <c r="F1532" s="5" t="s">
        <v>14844</v>
      </c>
      <c r="G1532" s="13" t="s">
        <v>14845</v>
      </c>
      <c r="H1532" s="5" t="s">
        <v>14846</v>
      </c>
      <c r="I1532" s="13" t="s">
        <v>14847</v>
      </c>
      <c r="J1532" s="5" t="s">
        <v>14848</v>
      </c>
      <c r="K1532" s="5" t="s">
        <v>14849</v>
      </c>
      <c r="L1532" s="13" t="s">
        <v>14268</v>
      </c>
      <c r="M1532" s="13" t="s">
        <v>14269</v>
      </c>
      <c r="N1532" s="5" t="n">
        <f aca="false">LEN(L1532)</f>
        <v>25</v>
      </c>
      <c r="O1532" s="5" t="n">
        <f aca="false">LEN(M1532)</f>
        <v>25</v>
      </c>
      <c r="P1532" s="14" t="n">
        <f aca="false">IF(N1532=0,"",(N1532-LEN(SUBSTITUTE(SUBSTITUTE(L1532,"G",""),"C","")))/N1532)</f>
        <v>0.44</v>
      </c>
      <c r="Q1532" s="14" t="n">
        <f aca="false">IF(O1532=0,"",(O1532-LEN(SUBSTITUTE(SUBSTITUTE(M1532,"G",""),"C","")))/O1532)</f>
        <v>0.6</v>
      </c>
      <c r="R1532" s="5" t="s">
        <v>1487</v>
      </c>
      <c r="S1532" s="15" t="s">
        <v>1677</v>
      </c>
      <c r="T1532" s="5" t="n">
        <v>496</v>
      </c>
      <c r="U1532" s="5" t="s">
        <v>1678</v>
      </c>
      <c r="V1532" s="5" t="s">
        <v>1398</v>
      </c>
      <c r="W1532" s="5"/>
      <c r="X1532" s="5"/>
      <c r="Y1532" s="5"/>
    </row>
    <row r="1533" customFormat="false" ht="15" hidden="false" customHeight="false" outlineLevel="0" collapsed="false">
      <c r="A1533" s="5" t="s">
        <v>14850</v>
      </c>
      <c r="B1533" s="5" t="s">
        <v>1523</v>
      </c>
      <c r="C1533" s="5" t="s">
        <v>1482</v>
      </c>
      <c r="D1533" s="10" t="s">
        <v>137</v>
      </c>
      <c r="E1533" s="5" t="n">
        <v>8</v>
      </c>
      <c r="F1533" s="5" t="s">
        <v>14851</v>
      </c>
      <c r="G1533" s="13" t="s">
        <v>14852</v>
      </c>
      <c r="H1533" s="5" t="s">
        <v>14853</v>
      </c>
      <c r="I1533" s="13" t="s">
        <v>14854</v>
      </c>
      <c r="J1533" s="5" t="s">
        <v>14855</v>
      </c>
      <c r="K1533" s="5" t="s">
        <v>14856</v>
      </c>
      <c r="L1533" s="13" t="s">
        <v>14277</v>
      </c>
      <c r="M1533" s="13" t="s">
        <v>14278</v>
      </c>
      <c r="N1533" s="5" t="n">
        <f aca="false">LEN(L1533)</f>
        <v>25</v>
      </c>
      <c r="O1533" s="5" t="n">
        <f aca="false">LEN(M1533)</f>
        <v>25</v>
      </c>
      <c r="P1533" s="14" t="n">
        <f aca="false">IF(N1533=0,"",(N1533-LEN(SUBSTITUTE(SUBSTITUTE(L1533,"G",""),"C","")))/N1533)</f>
        <v>0.52</v>
      </c>
      <c r="Q1533" s="14" t="n">
        <f aca="false">IF(O1533=0,"",(O1533-LEN(SUBSTITUTE(SUBSTITUTE(M1533,"G",""),"C","")))/O1533)</f>
        <v>0.6</v>
      </c>
      <c r="R1533" s="5" t="s">
        <v>1487</v>
      </c>
      <c r="S1533" s="15" t="s">
        <v>1677</v>
      </c>
      <c r="T1533" s="5" t="n">
        <v>566</v>
      </c>
      <c r="U1533" s="5" t="s">
        <v>1678</v>
      </c>
      <c r="V1533" s="5" t="s">
        <v>1398</v>
      </c>
      <c r="W1533" s="5"/>
      <c r="X1533" s="5"/>
      <c r="Y1533" s="5"/>
    </row>
    <row r="1534" customFormat="false" ht="15" hidden="false" customHeight="false" outlineLevel="0" collapsed="false">
      <c r="A1534" s="5" t="s">
        <v>14857</v>
      </c>
      <c r="B1534" s="5" t="s">
        <v>1524</v>
      </c>
      <c r="C1534" s="5" t="s">
        <v>1525</v>
      </c>
      <c r="D1534" s="10" t="s">
        <v>137</v>
      </c>
      <c r="E1534" s="5" t="n">
        <v>1</v>
      </c>
      <c r="F1534" s="5" t="s">
        <v>14858</v>
      </c>
      <c r="G1534" s="13" t="s">
        <v>14859</v>
      </c>
      <c r="H1534" s="5" t="s">
        <v>14860</v>
      </c>
      <c r="I1534" s="13" t="s">
        <v>14861</v>
      </c>
      <c r="J1534" s="5" t="s">
        <v>14862</v>
      </c>
      <c r="K1534" s="5" t="s">
        <v>14863</v>
      </c>
      <c r="L1534" s="13" t="s">
        <v>14864</v>
      </c>
      <c r="M1534" s="13" t="s">
        <v>14865</v>
      </c>
      <c r="N1534" s="5" t="n">
        <f aca="false">LEN(L1534)</f>
        <v>25</v>
      </c>
      <c r="O1534" s="5" t="n">
        <f aca="false">LEN(M1534)</f>
        <v>25</v>
      </c>
      <c r="P1534" s="14" t="n">
        <f aca="false">IF(N1534=0,"",(N1534-LEN(SUBSTITUTE(SUBSTITUTE(L1534,"G",""),"C","")))/N1534)</f>
        <v>0.4</v>
      </c>
      <c r="Q1534" s="14" t="n">
        <f aca="false">IF(O1534=0,"",(O1534-LEN(SUBSTITUTE(SUBSTITUTE(M1534,"G",""),"C","")))/O1534)</f>
        <v>0.52</v>
      </c>
      <c r="R1534" s="5" t="s">
        <v>1529</v>
      </c>
      <c r="S1534" s="15" t="s">
        <v>1677</v>
      </c>
      <c r="T1534" s="5" t="n">
        <v>146</v>
      </c>
      <c r="U1534" s="5" t="s">
        <v>1678</v>
      </c>
      <c r="V1534" s="5" t="s">
        <v>1398</v>
      </c>
      <c r="W1534" s="5"/>
      <c r="X1534" s="5"/>
      <c r="Y1534" s="5"/>
    </row>
    <row r="1535" customFormat="false" ht="15" hidden="false" customHeight="false" outlineLevel="0" collapsed="false">
      <c r="A1535" s="5" t="s">
        <v>14866</v>
      </c>
      <c r="B1535" s="5" t="s">
        <v>1524</v>
      </c>
      <c r="C1535" s="5" t="s">
        <v>1525</v>
      </c>
      <c r="D1535" s="10" t="s">
        <v>137</v>
      </c>
      <c r="E1535" s="5" t="n">
        <v>2</v>
      </c>
      <c r="F1535" s="5" t="s">
        <v>14867</v>
      </c>
      <c r="G1535" s="13" t="s">
        <v>14868</v>
      </c>
      <c r="H1535" s="5" t="s">
        <v>14869</v>
      </c>
      <c r="I1535" s="13" t="s">
        <v>14870</v>
      </c>
      <c r="J1535" s="5" t="s">
        <v>14871</v>
      </c>
      <c r="K1535" s="5" t="s">
        <v>14872</v>
      </c>
      <c r="L1535" s="13" t="s">
        <v>14873</v>
      </c>
      <c r="M1535" s="13" t="s">
        <v>14874</v>
      </c>
      <c r="N1535" s="5" t="n">
        <f aca="false">LEN(L1535)</f>
        <v>25</v>
      </c>
      <c r="O1535" s="5" t="n">
        <f aca="false">LEN(M1535)</f>
        <v>25</v>
      </c>
      <c r="P1535" s="14" t="n">
        <f aca="false">IF(N1535=0,"",(N1535-LEN(SUBSTITUTE(SUBSTITUTE(L1535,"G",""),"C","")))/N1535)</f>
        <v>0.56</v>
      </c>
      <c r="Q1535" s="14" t="n">
        <f aca="false">IF(O1535=0,"",(O1535-LEN(SUBSTITUTE(SUBSTITUTE(M1535,"G",""),"C","")))/O1535)</f>
        <v>0.4</v>
      </c>
      <c r="R1535" s="5" t="s">
        <v>1529</v>
      </c>
      <c r="S1535" s="15" t="s">
        <v>1677</v>
      </c>
      <c r="T1535" s="5" t="n">
        <v>216</v>
      </c>
      <c r="U1535" s="5" t="s">
        <v>1678</v>
      </c>
      <c r="V1535" s="5" t="s">
        <v>1398</v>
      </c>
      <c r="W1535" s="5"/>
      <c r="X1535" s="5"/>
      <c r="Y1535" s="5"/>
    </row>
    <row r="1536" customFormat="false" ht="15" hidden="false" customHeight="false" outlineLevel="0" collapsed="false">
      <c r="A1536" s="5" t="s">
        <v>14875</v>
      </c>
      <c r="B1536" s="5" t="s">
        <v>1524</v>
      </c>
      <c r="C1536" s="5" t="s">
        <v>1525</v>
      </c>
      <c r="D1536" s="10" t="s">
        <v>137</v>
      </c>
      <c r="E1536" s="5" t="n">
        <v>3</v>
      </c>
      <c r="F1536" s="5" t="s">
        <v>14876</v>
      </c>
      <c r="G1536" s="13" t="s">
        <v>14877</v>
      </c>
      <c r="H1536" s="5" t="s">
        <v>14878</v>
      </c>
      <c r="I1536" s="13" t="s">
        <v>14879</v>
      </c>
      <c r="J1536" s="5" t="s">
        <v>14880</v>
      </c>
      <c r="K1536" s="5" t="s">
        <v>14881</v>
      </c>
      <c r="L1536" s="13" t="s">
        <v>14882</v>
      </c>
      <c r="M1536" s="13" t="s">
        <v>14883</v>
      </c>
      <c r="N1536" s="5" t="n">
        <f aca="false">LEN(L1536)</f>
        <v>25</v>
      </c>
      <c r="O1536" s="5" t="n">
        <f aca="false">LEN(M1536)</f>
        <v>25</v>
      </c>
      <c r="P1536" s="14" t="n">
        <f aca="false">IF(N1536=0,"",(N1536-LEN(SUBSTITUTE(SUBSTITUTE(L1536,"G",""),"C","")))/N1536)</f>
        <v>0.48</v>
      </c>
      <c r="Q1536" s="14" t="n">
        <f aca="false">IF(O1536=0,"",(O1536-LEN(SUBSTITUTE(SUBSTITUTE(M1536,"G",""),"C","")))/O1536)</f>
        <v>0.6</v>
      </c>
      <c r="R1536" s="5" t="s">
        <v>1529</v>
      </c>
      <c r="S1536" s="15" t="s">
        <v>1677</v>
      </c>
      <c r="T1536" s="5" t="n">
        <v>286</v>
      </c>
      <c r="U1536" s="5" t="s">
        <v>1678</v>
      </c>
      <c r="V1536" s="5" t="s">
        <v>1398</v>
      </c>
      <c r="W1536" s="5"/>
      <c r="X1536" s="5"/>
      <c r="Y1536" s="5"/>
    </row>
    <row r="1537" customFormat="false" ht="15" hidden="false" customHeight="false" outlineLevel="0" collapsed="false">
      <c r="A1537" s="5" t="s">
        <v>14884</v>
      </c>
      <c r="B1537" s="5" t="s">
        <v>1524</v>
      </c>
      <c r="C1537" s="5" t="s">
        <v>1525</v>
      </c>
      <c r="D1537" s="10" t="s">
        <v>137</v>
      </c>
      <c r="E1537" s="5" t="n">
        <v>4</v>
      </c>
      <c r="F1537" s="5" t="s">
        <v>14885</v>
      </c>
      <c r="G1537" s="13" t="s">
        <v>14886</v>
      </c>
      <c r="H1537" s="5" t="s">
        <v>14887</v>
      </c>
      <c r="I1537" s="13" t="s">
        <v>14888</v>
      </c>
      <c r="J1537" s="5" t="s">
        <v>14889</v>
      </c>
      <c r="K1537" s="5" t="s">
        <v>14890</v>
      </c>
      <c r="L1537" s="13" t="s">
        <v>14891</v>
      </c>
      <c r="M1537" s="13" t="s">
        <v>14892</v>
      </c>
      <c r="N1537" s="5" t="n">
        <f aca="false">LEN(L1537)</f>
        <v>25</v>
      </c>
      <c r="O1537" s="5" t="n">
        <f aca="false">LEN(M1537)</f>
        <v>25</v>
      </c>
      <c r="P1537" s="14" t="n">
        <f aca="false">IF(N1537=0,"",(N1537-LEN(SUBSTITUTE(SUBSTITUTE(L1537,"G",""),"C","")))/N1537)</f>
        <v>0.48</v>
      </c>
      <c r="Q1537" s="14" t="n">
        <f aca="false">IF(O1537=0,"",(O1537-LEN(SUBSTITUTE(SUBSTITUTE(M1537,"G",""),"C","")))/O1537)</f>
        <v>0.6</v>
      </c>
      <c r="R1537" s="5" t="s">
        <v>1529</v>
      </c>
      <c r="S1537" s="15" t="s">
        <v>1677</v>
      </c>
      <c r="T1537" s="5" t="n">
        <v>356</v>
      </c>
      <c r="U1537" s="5" t="s">
        <v>1678</v>
      </c>
      <c r="V1537" s="5" t="s">
        <v>1398</v>
      </c>
      <c r="W1537" s="5"/>
      <c r="X1537" s="5"/>
      <c r="Y1537" s="5"/>
    </row>
    <row r="1538" customFormat="false" ht="15" hidden="false" customHeight="false" outlineLevel="0" collapsed="false">
      <c r="A1538" s="5" t="s">
        <v>14893</v>
      </c>
      <c r="B1538" s="5" t="s">
        <v>1524</v>
      </c>
      <c r="C1538" s="5" t="s">
        <v>1525</v>
      </c>
      <c r="D1538" s="10" t="s">
        <v>137</v>
      </c>
      <c r="E1538" s="5" t="n">
        <v>5</v>
      </c>
      <c r="F1538" s="5" t="s">
        <v>14894</v>
      </c>
      <c r="G1538" s="13" t="s">
        <v>14895</v>
      </c>
      <c r="H1538" s="5" t="s">
        <v>14896</v>
      </c>
      <c r="I1538" s="13" t="s">
        <v>14897</v>
      </c>
      <c r="J1538" s="5" t="s">
        <v>14898</v>
      </c>
      <c r="K1538" s="5" t="s">
        <v>14899</v>
      </c>
      <c r="L1538" s="13" t="s">
        <v>14900</v>
      </c>
      <c r="M1538" s="13" t="s">
        <v>14901</v>
      </c>
      <c r="N1538" s="5" t="n">
        <f aca="false">LEN(L1538)</f>
        <v>25</v>
      </c>
      <c r="O1538" s="5" t="n">
        <f aca="false">LEN(M1538)</f>
        <v>25</v>
      </c>
      <c r="P1538" s="14" t="n">
        <f aca="false">IF(N1538=0,"",(N1538-LEN(SUBSTITUTE(SUBSTITUTE(L1538,"G",""),"C","")))/N1538)</f>
        <v>0.48</v>
      </c>
      <c r="Q1538" s="14" t="n">
        <f aca="false">IF(O1538=0,"",(O1538-LEN(SUBSTITUTE(SUBSTITUTE(M1538,"G",""),"C","")))/O1538)</f>
        <v>0.64</v>
      </c>
      <c r="R1538" s="5" t="s">
        <v>1529</v>
      </c>
      <c r="S1538" s="15" t="s">
        <v>1677</v>
      </c>
      <c r="T1538" s="5" t="n">
        <v>426</v>
      </c>
      <c r="U1538" s="5" t="s">
        <v>1678</v>
      </c>
      <c r="V1538" s="5" t="s">
        <v>1398</v>
      </c>
      <c r="W1538" s="5"/>
      <c r="X1538" s="5"/>
      <c r="Y1538" s="5"/>
    </row>
    <row r="1539" customFormat="false" ht="15" hidden="false" customHeight="false" outlineLevel="0" collapsed="false">
      <c r="A1539" s="5" t="s">
        <v>14902</v>
      </c>
      <c r="B1539" s="5" t="s">
        <v>1524</v>
      </c>
      <c r="C1539" s="5" t="s">
        <v>1525</v>
      </c>
      <c r="D1539" s="10" t="s">
        <v>137</v>
      </c>
      <c r="E1539" s="5" t="n">
        <v>6</v>
      </c>
      <c r="F1539" s="5" t="s">
        <v>14903</v>
      </c>
      <c r="G1539" s="13" t="s">
        <v>14904</v>
      </c>
      <c r="H1539" s="5" t="s">
        <v>14905</v>
      </c>
      <c r="I1539" s="13" t="s">
        <v>14906</v>
      </c>
      <c r="J1539" s="5" t="s">
        <v>14907</v>
      </c>
      <c r="K1539" s="5" t="s">
        <v>14908</v>
      </c>
      <c r="L1539" s="13" t="s">
        <v>14909</v>
      </c>
      <c r="M1539" s="13" t="s">
        <v>14910</v>
      </c>
      <c r="N1539" s="5" t="n">
        <f aca="false">LEN(L1539)</f>
        <v>25</v>
      </c>
      <c r="O1539" s="5" t="n">
        <f aca="false">LEN(M1539)</f>
        <v>25</v>
      </c>
      <c r="P1539" s="14" t="n">
        <f aca="false">IF(N1539=0,"",(N1539-LEN(SUBSTITUTE(SUBSTITUTE(L1539,"G",""),"C","")))/N1539)</f>
        <v>0.44</v>
      </c>
      <c r="Q1539" s="14" t="n">
        <f aca="false">IF(O1539=0,"",(O1539-LEN(SUBSTITUTE(SUBSTITUTE(M1539,"G",""),"C","")))/O1539)</f>
        <v>0.36</v>
      </c>
      <c r="R1539" s="5" t="s">
        <v>1529</v>
      </c>
      <c r="S1539" s="15" t="s">
        <v>1677</v>
      </c>
      <c r="T1539" s="5" t="n">
        <v>496</v>
      </c>
      <c r="U1539" s="5" t="s">
        <v>1678</v>
      </c>
      <c r="V1539" s="5" t="s">
        <v>1398</v>
      </c>
      <c r="W1539" s="5"/>
      <c r="X1539" s="5"/>
      <c r="Y1539" s="5"/>
    </row>
    <row r="1540" customFormat="false" ht="15" hidden="false" customHeight="false" outlineLevel="0" collapsed="false">
      <c r="A1540" s="5" t="s">
        <v>14911</v>
      </c>
      <c r="B1540" s="5" t="s">
        <v>1524</v>
      </c>
      <c r="C1540" s="5" t="s">
        <v>1525</v>
      </c>
      <c r="D1540" s="10" t="s">
        <v>137</v>
      </c>
      <c r="E1540" s="5" t="n">
        <v>7</v>
      </c>
      <c r="F1540" s="5" t="s">
        <v>14912</v>
      </c>
      <c r="G1540" s="13" t="s">
        <v>14913</v>
      </c>
      <c r="H1540" s="5" t="s">
        <v>14914</v>
      </c>
      <c r="I1540" s="13" t="s">
        <v>14915</v>
      </c>
      <c r="J1540" s="5" t="s">
        <v>14916</v>
      </c>
      <c r="K1540" s="5" t="s">
        <v>14917</v>
      </c>
      <c r="L1540" s="13" t="s">
        <v>14918</v>
      </c>
      <c r="M1540" s="13" t="s">
        <v>14919</v>
      </c>
      <c r="N1540" s="5" t="n">
        <f aca="false">LEN(L1540)</f>
        <v>25</v>
      </c>
      <c r="O1540" s="5" t="n">
        <f aca="false">LEN(M1540)</f>
        <v>25</v>
      </c>
      <c r="P1540" s="14" t="n">
        <f aca="false">IF(N1540=0,"",(N1540-LEN(SUBSTITUTE(SUBSTITUTE(L1540,"G",""),"C","")))/N1540)</f>
        <v>0.56</v>
      </c>
      <c r="Q1540" s="14" t="n">
        <f aca="false">IF(O1540=0,"",(O1540-LEN(SUBSTITUTE(SUBSTITUTE(M1540,"G",""),"C","")))/O1540)</f>
        <v>0.68</v>
      </c>
      <c r="R1540" s="5" t="s">
        <v>1529</v>
      </c>
      <c r="S1540" s="15" t="s">
        <v>1677</v>
      </c>
      <c r="T1540" s="5" t="n">
        <v>566</v>
      </c>
      <c r="U1540" s="5" t="s">
        <v>1678</v>
      </c>
      <c r="V1540" s="5" t="s">
        <v>1398</v>
      </c>
      <c r="W1540" s="5"/>
      <c r="X1540" s="5"/>
      <c r="Y1540" s="5"/>
    </row>
    <row r="1541" customFormat="false" ht="15" hidden="false" customHeight="false" outlineLevel="0" collapsed="false">
      <c r="A1541" s="5" t="s">
        <v>14920</v>
      </c>
      <c r="B1541" s="5" t="s">
        <v>1524</v>
      </c>
      <c r="C1541" s="5" t="s">
        <v>1525</v>
      </c>
      <c r="D1541" s="10" t="s">
        <v>137</v>
      </c>
      <c r="E1541" s="5" t="n">
        <v>8</v>
      </c>
      <c r="F1541" s="5" t="s">
        <v>14921</v>
      </c>
      <c r="G1541" s="13" t="s">
        <v>14922</v>
      </c>
      <c r="H1541" s="5" t="s">
        <v>14923</v>
      </c>
      <c r="I1541" s="13" t="s">
        <v>14924</v>
      </c>
      <c r="J1541" s="5" t="s">
        <v>14925</v>
      </c>
      <c r="K1541" s="5" t="s">
        <v>14926</v>
      </c>
      <c r="L1541" s="13" t="s">
        <v>14927</v>
      </c>
      <c r="M1541" s="13" t="s">
        <v>14928</v>
      </c>
      <c r="N1541" s="5" t="n">
        <f aca="false">LEN(L1541)</f>
        <v>25</v>
      </c>
      <c r="O1541" s="5" t="n">
        <f aca="false">LEN(M1541)</f>
        <v>25</v>
      </c>
      <c r="P1541" s="14" t="n">
        <f aca="false">IF(N1541=0,"",(N1541-LEN(SUBSTITUTE(SUBSTITUTE(L1541,"G",""),"C","")))/N1541)</f>
        <v>0.6</v>
      </c>
      <c r="Q1541" s="14" t="n">
        <f aca="false">IF(O1541=0,"",(O1541-LEN(SUBSTITUTE(SUBSTITUTE(M1541,"G",""),"C","")))/O1541)</f>
        <v>0.52</v>
      </c>
      <c r="R1541" s="5" t="s">
        <v>1529</v>
      </c>
      <c r="S1541" s="15" t="s">
        <v>1677</v>
      </c>
      <c r="T1541" s="5" t="n">
        <v>636</v>
      </c>
      <c r="U1541" s="5" t="s">
        <v>1678</v>
      </c>
      <c r="V1541" s="5" t="s">
        <v>1398</v>
      </c>
      <c r="W1541" s="5"/>
      <c r="X1541" s="5"/>
      <c r="Y1541" s="5"/>
    </row>
    <row r="1542" customFormat="false" ht="15" hidden="false" customHeight="false" outlineLevel="0" collapsed="false">
      <c r="A1542" s="5" t="s">
        <v>14929</v>
      </c>
      <c r="B1542" s="5" t="s">
        <v>1530</v>
      </c>
      <c r="C1542" s="5" t="s">
        <v>1531</v>
      </c>
      <c r="D1542" s="10" t="s">
        <v>137</v>
      </c>
      <c r="E1542" s="5" t="n">
        <v>1</v>
      </c>
      <c r="F1542" s="5" t="s">
        <v>14930</v>
      </c>
      <c r="G1542" s="13" t="s">
        <v>14931</v>
      </c>
      <c r="H1542" s="5" t="s">
        <v>14932</v>
      </c>
      <c r="I1542" s="13" t="s">
        <v>14933</v>
      </c>
      <c r="J1542" s="5" t="s">
        <v>14934</v>
      </c>
      <c r="K1542" s="5" t="s">
        <v>14935</v>
      </c>
      <c r="L1542" s="13" t="s">
        <v>14936</v>
      </c>
      <c r="M1542" s="13" t="s">
        <v>14937</v>
      </c>
      <c r="N1542" s="5" t="n">
        <f aca="false">LEN(L1542)</f>
        <v>25</v>
      </c>
      <c r="O1542" s="5" t="n">
        <f aca="false">LEN(M1542)</f>
        <v>25</v>
      </c>
      <c r="P1542" s="14" t="n">
        <f aca="false">IF(N1542=0,"",(N1542-LEN(SUBSTITUTE(SUBSTITUTE(L1542,"G",""),"C","")))/N1542)</f>
        <v>0.44</v>
      </c>
      <c r="Q1542" s="14" t="n">
        <f aca="false">IF(O1542=0,"",(O1542-LEN(SUBSTITUTE(SUBSTITUTE(M1542,"G",""),"C","")))/O1542)</f>
        <v>0.6</v>
      </c>
      <c r="R1542" s="5" t="s">
        <v>1534</v>
      </c>
      <c r="S1542" s="15" t="s">
        <v>1677</v>
      </c>
      <c r="T1542" s="5" t="n">
        <v>6</v>
      </c>
      <c r="U1542" s="5" t="s">
        <v>1678</v>
      </c>
      <c r="V1542" s="5" t="s">
        <v>1398</v>
      </c>
      <c r="W1542" s="5"/>
      <c r="X1542" s="5"/>
      <c r="Y1542" s="5"/>
    </row>
    <row r="1543" customFormat="false" ht="15" hidden="false" customHeight="false" outlineLevel="0" collapsed="false">
      <c r="A1543" s="5" t="s">
        <v>14938</v>
      </c>
      <c r="B1543" s="5" t="s">
        <v>1530</v>
      </c>
      <c r="C1543" s="5" t="s">
        <v>1531</v>
      </c>
      <c r="D1543" s="10" t="s">
        <v>137</v>
      </c>
      <c r="E1543" s="5" t="n">
        <v>2</v>
      </c>
      <c r="F1543" s="5" t="s">
        <v>14939</v>
      </c>
      <c r="G1543" s="13" t="s">
        <v>14940</v>
      </c>
      <c r="H1543" s="5" t="s">
        <v>14941</v>
      </c>
      <c r="I1543" s="13" t="s">
        <v>14942</v>
      </c>
      <c r="J1543" s="5" t="s">
        <v>14943</v>
      </c>
      <c r="K1543" s="5" t="s">
        <v>14944</v>
      </c>
      <c r="L1543" s="13" t="s">
        <v>14945</v>
      </c>
      <c r="M1543" s="13" t="s">
        <v>14946</v>
      </c>
      <c r="N1543" s="5" t="n">
        <f aca="false">LEN(L1543)</f>
        <v>25</v>
      </c>
      <c r="O1543" s="5" t="n">
        <f aca="false">LEN(M1543)</f>
        <v>25</v>
      </c>
      <c r="P1543" s="14" t="n">
        <f aca="false">IF(N1543=0,"",(N1543-LEN(SUBSTITUTE(SUBSTITUTE(L1543,"G",""),"C","")))/N1543)</f>
        <v>0.52</v>
      </c>
      <c r="Q1543" s="14" t="n">
        <f aca="false">IF(O1543=0,"",(O1543-LEN(SUBSTITUTE(SUBSTITUTE(M1543,"G",""),"C","")))/O1543)</f>
        <v>0.6</v>
      </c>
      <c r="R1543" s="5" t="s">
        <v>1534</v>
      </c>
      <c r="S1543" s="15" t="s">
        <v>1677</v>
      </c>
      <c r="T1543" s="5" t="n">
        <v>76</v>
      </c>
      <c r="U1543" s="5" t="s">
        <v>1678</v>
      </c>
      <c r="V1543" s="5" t="s">
        <v>1398</v>
      </c>
      <c r="W1543" s="5"/>
      <c r="X1543" s="5"/>
      <c r="Y1543" s="5"/>
    </row>
    <row r="1544" customFormat="false" ht="15" hidden="false" customHeight="false" outlineLevel="0" collapsed="false">
      <c r="A1544" s="5" t="s">
        <v>14947</v>
      </c>
      <c r="B1544" s="5" t="s">
        <v>1530</v>
      </c>
      <c r="C1544" s="5" t="s">
        <v>1531</v>
      </c>
      <c r="D1544" s="10" t="s">
        <v>137</v>
      </c>
      <c r="E1544" s="5" t="n">
        <v>3</v>
      </c>
      <c r="F1544" s="5" t="s">
        <v>14948</v>
      </c>
      <c r="G1544" s="13" t="s">
        <v>14949</v>
      </c>
      <c r="H1544" s="5" t="s">
        <v>14950</v>
      </c>
      <c r="I1544" s="13" t="s">
        <v>14951</v>
      </c>
      <c r="J1544" s="5" t="s">
        <v>14952</v>
      </c>
      <c r="K1544" s="5" t="s">
        <v>14953</v>
      </c>
      <c r="L1544" s="13" t="s">
        <v>14954</v>
      </c>
      <c r="M1544" s="13" t="s">
        <v>14955</v>
      </c>
      <c r="N1544" s="5" t="n">
        <f aca="false">LEN(L1544)</f>
        <v>25</v>
      </c>
      <c r="O1544" s="5" t="n">
        <f aca="false">LEN(M1544)</f>
        <v>25</v>
      </c>
      <c r="P1544" s="14" t="n">
        <f aca="false">IF(N1544=0,"",(N1544-LEN(SUBSTITUTE(SUBSTITUTE(L1544,"G",""),"C","")))/N1544)</f>
        <v>0.52</v>
      </c>
      <c r="Q1544" s="14" t="n">
        <f aca="false">IF(O1544=0,"",(O1544-LEN(SUBSTITUTE(SUBSTITUTE(M1544,"G",""),"C","")))/O1544)</f>
        <v>0.56</v>
      </c>
      <c r="R1544" s="5" t="s">
        <v>1534</v>
      </c>
      <c r="S1544" s="15" t="s">
        <v>1677</v>
      </c>
      <c r="T1544" s="5" t="n">
        <v>146</v>
      </c>
      <c r="U1544" s="5" t="s">
        <v>1678</v>
      </c>
      <c r="V1544" s="5" t="s">
        <v>1398</v>
      </c>
      <c r="W1544" s="5"/>
      <c r="X1544" s="5"/>
      <c r="Y1544" s="5"/>
    </row>
    <row r="1545" customFormat="false" ht="15" hidden="false" customHeight="false" outlineLevel="0" collapsed="false">
      <c r="A1545" s="5" t="s">
        <v>14956</v>
      </c>
      <c r="B1545" s="5" t="s">
        <v>1530</v>
      </c>
      <c r="C1545" s="5" t="s">
        <v>1531</v>
      </c>
      <c r="D1545" s="10" t="s">
        <v>137</v>
      </c>
      <c r="E1545" s="5" t="n">
        <v>4</v>
      </c>
      <c r="F1545" s="5" t="s">
        <v>14957</v>
      </c>
      <c r="G1545" s="13" t="s">
        <v>14958</v>
      </c>
      <c r="H1545" s="5" t="s">
        <v>14959</v>
      </c>
      <c r="I1545" s="13" t="s">
        <v>14960</v>
      </c>
      <c r="J1545" s="5" t="s">
        <v>14961</v>
      </c>
      <c r="K1545" s="5" t="s">
        <v>14962</v>
      </c>
      <c r="L1545" s="13" t="s">
        <v>14963</v>
      </c>
      <c r="M1545" s="13" t="s">
        <v>14964</v>
      </c>
      <c r="N1545" s="5" t="n">
        <f aca="false">LEN(L1545)</f>
        <v>25</v>
      </c>
      <c r="O1545" s="5" t="n">
        <f aca="false">LEN(M1545)</f>
        <v>25</v>
      </c>
      <c r="P1545" s="14" t="n">
        <f aca="false">IF(N1545=0,"",(N1545-LEN(SUBSTITUTE(SUBSTITUTE(L1545,"G",""),"C","")))/N1545)</f>
        <v>0.72</v>
      </c>
      <c r="Q1545" s="14" t="n">
        <f aca="false">IF(O1545=0,"",(O1545-LEN(SUBSTITUTE(SUBSTITUTE(M1545,"G",""),"C","")))/O1545)</f>
        <v>0.64</v>
      </c>
      <c r="R1545" s="5" t="s">
        <v>1534</v>
      </c>
      <c r="S1545" s="15" t="s">
        <v>1677</v>
      </c>
      <c r="T1545" s="5" t="n">
        <v>216</v>
      </c>
      <c r="U1545" s="5" t="s">
        <v>1678</v>
      </c>
      <c r="V1545" s="5" t="s">
        <v>1398</v>
      </c>
      <c r="W1545" s="5"/>
      <c r="X1545" s="5"/>
      <c r="Y1545" s="5"/>
    </row>
    <row r="1546" customFormat="false" ht="15" hidden="false" customHeight="false" outlineLevel="0" collapsed="false">
      <c r="A1546" s="5" t="s">
        <v>14965</v>
      </c>
      <c r="B1546" s="5" t="s">
        <v>1530</v>
      </c>
      <c r="C1546" s="5" t="s">
        <v>1531</v>
      </c>
      <c r="D1546" s="10" t="s">
        <v>137</v>
      </c>
      <c r="E1546" s="5" t="n">
        <v>5</v>
      </c>
      <c r="F1546" s="5" t="s">
        <v>14966</v>
      </c>
      <c r="G1546" s="13" t="s">
        <v>14967</v>
      </c>
      <c r="H1546" s="5" t="s">
        <v>14968</v>
      </c>
      <c r="I1546" s="13" t="s">
        <v>14969</v>
      </c>
      <c r="J1546" s="5" t="s">
        <v>14970</v>
      </c>
      <c r="K1546" s="5" t="s">
        <v>14971</v>
      </c>
      <c r="L1546" s="13" t="s">
        <v>14972</v>
      </c>
      <c r="M1546" s="13" t="s">
        <v>14973</v>
      </c>
      <c r="N1546" s="5" t="n">
        <f aca="false">LEN(L1546)</f>
        <v>25</v>
      </c>
      <c r="O1546" s="5" t="n">
        <f aca="false">LEN(M1546)</f>
        <v>25</v>
      </c>
      <c r="P1546" s="14" t="n">
        <f aca="false">IF(N1546=0,"",(N1546-LEN(SUBSTITUTE(SUBSTITUTE(L1546,"G",""),"C","")))/N1546)</f>
        <v>0.64</v>
      </c>
      <c r="Q1546" s="14" t="n">
        <f aca="false">IF(O1546=0,"",(O1546-LEN(SUBSTITUTE(SUBSTITUTE(M1546,"G",""),"C","")))/O1546)</f>
        <v>0.52</v>
      </c>
      <c r="R1546" s="5" t="s">
        <v>1534</v>
      </c>
      <c r="S1546" s="15" t="s">
        <v>1677</v>
      </c>
      <c r="T1546" s="5" t="n">
        <v>286</v>
      </c>
      <c r="U1546" s="5" t="s">
        <v>1678</v>
      </c>
      <c r="V1546" s="5" t="s">
        <v>1398</v>
      </c>
      <c r="W1546" s="5"/>
      <c r="X1546" s="5"/>
      <c r="Y1546" s="5"/>
    </row>
    <row r="1547" customFormat="false" ht="15" hidden="false" customHeight="false" outlineLevel="0" collapsed="false">
      <c r="A1547" s="5" t="s">
        <v>14974</v>
      </c>
      <c r="B1547" s="5" t="s">
        <v>1530</v>
      </c>
      <c r="C1547" s="5" t="s">
        <v>1531</v>
      </c>
      <c r="D1547" s="10" t="s">
        <v>137</v>
      </c>
      <c r="E1547" s="5" t="n">
        <v>6</v>
      </c>
      <c r="F1547" s="5" t="s">
        <v>14975</v>
      </c>
      <c r="G1547" s="13" t="s">
        <v>14976</v>
      </c>
      <c r="H1547" s="5" t="s">
        <v>14977</v>
      </c>
      <c r="I1547" s="13" t="s">
        <v>14978</v>
      </c>
      <c r="J1547" s="5" t="s">
        <v>14979</v>
      </c>
      <c r="K1547" s="5" t="s">
        <v>14980</v>
      </c>
      <c r="L1547" s="13" t="s">
        <v>14981</v>
      </c>
      <c r="M1547" s="13" t="s">
        <v>14982</v>
      </c>
      <c r="N1547" s="5" t="n">
        <f aca="false">LEN(L1547)</f>
        <v>25</v>
      </c>
      <c r="O1547" s="5" t="n">
        <f aca="false">LEN(M1547)</f>
        <v>25</v>
      </c>
      <c r="P1547" s="14" t="n">
        <f aca="false">IF(N1547=0,"",(N1547-LEN(SUBSTITUTE(SUBSTITUTE(L1547,"G",""),"C","")))/N1547)</f>
        <v>0.6</v>
      </c>
      <c r="Q1547" s="14" t="n">
        <f aca="false">IF(O1547=0,"",(O1547-LEN(SUBSTITUTE(SUBSTITUTE(M1547,"G",""),"C","")))/O1547)</f>
        <v>0.44</v>
      </c>
      <c r="R1547" s="5" t="s">
        <v>1534</v>
      </c>
      <c r="S1547" s="15" t="s">
        <v>1677</v>
      </c>
      <c r="T1547" s="5" t="n">
        <v>356</v>
      </c>
      <c r="U1547" s="5" t="s">
        <v>1678</v>
      </c>
      <c r="V1547" s="5" t="s">
        <v>1398</v>
      </c>
      <c r="W1547" s="5"/>
      <c r="X1547" s="5"/>
      <c r="Y1547" s="5"/>
    </row>
    <row r="1548" customFormat="false" ht="15" hidden="false" customHeight="false" outlineLevel="0" collapsed="false">
      <c r="A1548" s="5" t="s">
        <v>14983</v>
      </c>
      <c r="B1548" s="5" t="s">
        <v>1535</v>
      </c>
      <c r="C1548" s="5" t="s">
        <v>1500</v>
      </c>
      <c r="D1548" s="10" t="s">
        <v>137</v>
      </c>
      <c r="E1548" s="5" t="n">
        <v>1</v>
      </c>
      <c r="F1548" s="5" t="s">
        <v>14984</v>
      </c>
      <c r="G1548" s="13" t="s">
        <v>14985</v>
      </c>
      <c r="H1548" s="5" t="s">
        <v>14986</v>
      </c>
      <c r="I1548" s="13" t="s">
        <v>14987</v>
      </c>
      <c r="J1548" s="5" t="s">
        <v>14988</v>
      </c>
      <c r="K1548" s="5" t="s">
        <v>14989</v>
      </c>
      <c r="L1548" s="13" t="s">
        <v>14990</v>
      </c>
      <c r="M1548" s="13" t="s">
        <v>14991</v>
      </c>
      <c r="N1548" s="5" t="n">
        <f aca="false">LEN(L1548)</f>
        <v>25</v>
      </c>
      <c r="O1548" s="5" t="n">
        <f aca="false">LEN(M1548)</f>
        <v>25</v>
      </c>
      <c r="P1548" s="14" t="n">
        <f aca="false">IF(N1548=0,"",(N1548-LEN(SUBSTITUTE(SUBSTITUTE(L1548,"G",""),"C","")))/N1548)</f>
        <v>0.48</v>
      </c>
      <c r="Q1548" s="14" t="n">
        <f aca="false">IF(O1548=0,"",(O1548-LEN(SUBSTITUTE(SUBSTITUTE(M1548,"G",""),"C","")))/O1548)</f>
        <v>0.6</v>
      </c>
      <c r="R1548" s="5" t="s">
        <v>1505</v>
      </c>
      <c r="S1548" s="15" t="s">
        <v>1677</v>
      </c>
      <c r="T1548" s="5" t="n">
        <v>1</v>
      </c>
      <c r="U1548" s="5" t="s">
        <v>1678</v>
      </c>
      <c r="V1548" s="5" t="s">
        <v>1432</v>
      </c>
      <c r="W1548" s="5" t="s">
        <v>13639</v>
      </c>
      <c r="X1548" s="5"/>
      <c r="Y1548" s="5"/>
    </row>
    <row r="1549" customFormat="false" ht="15" hidden="false" customHeight="false" outlineLevel="0" collapsed="false">
      <c r="A1549" s="5" t="s">
        <v>14992</v>
      </c>
      <c r="B1549" s="5" t="s">
        <v>1535</v>
      </c>
      <c r="C1549" s="5" t="s">
        <v>1500</v>
      </c>
      <c r="D1549" s="10" t="s">
        <v>137</v>
      </c>
      <c r="E1549" s="5" t="n">
        <v>2</v>
      </c>
      <c r="F1549" s="5" t="s">
        <v>14993</v>
      </c>
      <c r="G1549" s="13" t="s">
        <v>14994</v>
      </c>
      <c r="H1549" s="5" t="s">
        <v>14995</v>
      </c>
      <c r="I1549" s="13" t="s">
        <v>14996</v>
      </c>
      <c r="J1549" s="5" t="s">
        <v>14997</v>
      </c>
      <c r="K1549" s="5" t="s">
        <v>14998</v>
      </c>
      <c r="L1549" s="13" t="s">
        <v>14999</v>
      </c>
      <c r="M1549" s="13" t="s">
        <v>15000</v>
      </c>
      <c r="N1549" s="5" t="n">
        <f aca="false">LEN(L1549)</f>
        <v>25</v>
      </c>
      <c r="O1549" s="5" t="n">
        <f aca="false">LEN(M1549)</f>
        <v>25</v>
      </c>
      <c r="P1549" s="14" t="n">
        <f aca="false">IF(N1549=0,"",(N1549-LEN(SUBSTITUTE(SUBSTITUTE(L1549,"G",""),"C","")))/N1549)</f>
        <v>0.48</v>
      </c>
      <c r="Q1549" s="14" t="n">
        <f aca="false">IF(O1549=0,"",(O1549-LEN(SUBSTITUTE(SUBSTITUTE(M1549,"G",""),"C","")))/O1549)</f>
        <v>0.44</v>
      </c>
      <c r="R1549" s="5" t="s">
        <v>1505</v>
      </c>
      <c r="S1549" s="15" t="s">
        <v>1677</v>
      </c>
      <c r="T1549" s="5" t="n">
        <v>81</v>
      </c>
      <c r="U1549" s="5" t="s">
        <v>1678</v>
      </c>
      <c r="V1549" s="5" t="s">
        <v>1432</v>
      </c>
      <c r="W1549" s="5" t="s">
        <v>13639</v>
      </c>
      <c r="X1549" s="5"/>
      <c r="Y1549" s="5"/>
    </row>
    <row r="1550" customFormat="false" ht="15" hidden="false" customHeight="false" outlineLevel="0" collapsed="false">
      <c r="A1550" s="5" t="s">
        <v>15001</v>
      </c>
      <c r="B1550" s="5" t="s">
        <v>1535</v>
      </c>
      <c r="C1550" s="5" t="s">
        <v>1500</v>
      </c>
      <c r="D1550" s="10" t="s">
        <v>137</v>
      </c>
      <c r="E1550" s="5" t="n">
        <v>3</v>
      </c>
      <c r="F1550" s="5" t="s">
        <v>15002</v>
      </c>
      <c r="G1550" s="13" t="s">
        <v>15003</v>
      </c>
      <c r="H1550" s="5" t="s">
        <v>15004</v>
      </c>
      <c r="I1550" s="13" t="s">
        <v>15005</v>
      </c>
      <c r="J1550" s="5" t="s">
        <v>15006</v>
      </c>
      <c r="K1550" s="5" t="s">
        <v>15007</v>
      </c>
      <c r="L1550" s="13" t="s">
        <v>15008</v>
      </c>
      <c r="M1550" s="13" t="s">
        <v>15009</v>
      </c>
      <c r="N1550" s="5" t="n">
        <f aca="false">LEN(L1550)</f>
        <v>25</v>
      </c>
      <c r="O1550" s="5" t="n">
        <f aca="false">LEN(M1550)</f>
        <v>25</v>
      </c>
      <c r="P1550" s="14" t="n">
        <f aca="false">IF(N1550=0,"",(N1550-LEN(SUBSTITUTE(SUBSTITUTE(L1550,"G",""),"C","")))/N1550)</f>
        <v>0.68</v>
      </c>
      <c r="Q1550" s="14" t="n">
        <f aca="false">IF(O1550=0,"",(O1550-LEN(SUBSTITUTE(SUBSTITUTE(M1550,"G",""),"C","")))/O1550)</f>
        <v>0.64</v>
      </c>
      <c r="R1550" s="5" t="s">
        <v>1505</v>
      </c>
      <c r="S1550" s="15" t="s">
        <v>1677</v>
      </c>
      <c r="T1550" s="5" t="n">
        <v>161</v>
      </c>
      <c r="U1550" s="5" t="s">
        <v>1678</v>
      </c>
      <c r="V1550" s="5" t="s">
        <v>1432</v>
      </c>
      <c r="W1550" s="5" t="s">
        <v>13639</v>
      </c>
      <c r="X1550" s="5"/>
      <c r="Y1550" s="5"/>
    </row>
    <row r="1551" customFormat="false" ht="15" hidden="false" customHeight="false" outlineLevel="0" collapsed="false">
      <c r="A1551" s="5" t="s">
        <v>15010</v>
      </c>
      <c r="B1551" s="5" t="s">
        <v>1535</v>
      </c>
      <c r="C1551" s="5" t="s">
        <v>1500</v>
      </c>
      <c r="D1551" s="10" t="s">
        <v>137</v>
      </c>
      <c r="E1551" s="5" t="n">
        <v>4</v>
      </c>
      <c r="F1551" s="5" t="s">
        <v>15011</v>
      </c>
      <c r="G1551" s="13" t="s">
        <v>15012</v>
      </c>
      <c r="H1551" s="5" t="s">
        <v>15013</v>
      </c>
      <c r="I1551" s="13" t="s">
        <v>15014</v>
      </c>
      <c r="J1551" s="5" t="s">
        <v>15015</v>
      </c>
      <c r="K1551" s="5" t="s">
        <v>15016</v>
      </c>
      <c r="L1551" s="13" t="s">
        <v>14566</v>
      </c>
      <c r="M1551" s="13" t="s">
        <v>15017</v>
      </c>
      <c r="N1551" s="5" t="n">
        <f aca="false">LEN(L1551)</f>
        <v>25</v>
      </c>
      <c r="O1551" s="5" t="n">
        <f aca="false">LEN(M1551)</f>
        <v>25</v>
      </c>
      <c r="P1551" s="14" t="n">
        <f aca="false">IF(N1551=0,"",(N1551-LEN(SUBSTITUTE(SUBSTITUTE(L1551,"G",""),"C","")))/N1551)</f>
        <v>0.4</v>
      </c>
      <c r="Q1551" s="14" t="n">
        <f aca="false">IF(O1551=0,"",(O1551-LEN(SUBSTITUTE(SUBSTITUTE(M1551,"G",""),"C","")))/O1551)</f>
        <v>0.56</v>
      </c>
      <c r="R1551" s="5" t="s">
        <v>1505</v>
      </c>
      <c r="S1551" s="15" t="s">
        <v>1677</v>
      </c>
      <c r="T1551" s="5" t="n">
        <v>243</v>
      </c>
      <c r="U1551" s="5" t="s">
        <v>1678</v>
      </c>
      <c r="V1551" s="5" t="s">
        <v>1432</v>
      </c>
      <c r="W1551" s="5" t="s">
        <v>13639</v>
      </c>
      <c r="X1551" s="5"/>
      <c r="Y1551" s="5"/>
    </row>
    <row r="1552" customFormat="false" ht="15" hidden="false" customHeight="false" outlineLevel="0" collapsed="false">
      <c r="A1552" s="5" t="s">
        <v>15018</v>
      </c>
      <c r="B1552" s="5" t="s">
        <v>1535</v>
      </c>
      <c r="C1552" s="5" t="s">
        <v>1500</v>
      </c>
      <c r="D1552" s="10" t="s">
        <v>137</v>
      </c>
      <c r="E1552" s="5" t="n">
        <v>5</v>
      </c>
      <c r="F1552" s="5" t="s">
        <v>15019</v>
      </c>
      <c r="G1552" s="13" t="s">
        <v>15020</v>
      </c>
      <c r="H1552" s="5" t="s">
        <v>15021</v>
      </c>
      <c r="I1552" s="13" t="s">
        <v>15022</v>
      </c>
      <c r="J1552" s="5" t="s">
        <v>15023</v>
      </c>
      <c r="K1552" s="5" t="s">
        <v>15024</v>
      </c>
      <c r="L1552" s="13" t="s">
        <v>15025</v>
      </c>
      <c r="M1552" s="13" t="s">
        <v>15026</v>
      </c>
      <c r="N1552" s="5" t="n">
        <f aca="false">LEN(L1552)</f>
        <v>25</v>
      </c>
      <c r="O1552" s="5" t="n">
        <f aca="false">LEN(M1552)</f>
        <v>25</v>
      </c>
      <c r="P1552" s="14" t="n">
        <f aca="false">IF(N1552=0,"",(N1552-LEN(SUBSTITUTE(SUBSTITUTE(L1552,"G",""),"C","")))/N1552)</f>
        <v>0.44</v>
      </c>
      <c r="Q1552" s="14" t="n">
        <f aca="false">IF(O1552=0,"",(O1552-LEN(SUBSTITUTE(SUBSTITUTE(M1552,"G",""),"C","")))/O1552)</f>
        <v>0.44</v>
      </c>
      <c r="R1552" s="5" t="s">
        <v>1505</v>
      </c>
      <c r="S1552" s="15" t="s">
        <v>1677</v>
      </c>
      <c r="T1552" s="5" t="n">
        <v>323</v>
      </c>
      <c r="U1552" s="5" t="s">
        <v>1678</v>
      </c>
      <c r="V1552" s="5" t="s">
        <v>1432</v>
      </c>
      <c r="W1552" s="5" t="s">
        <v>13639</v>
      </c>
      <c r="X1552" s="5"/>
      <c r="Y1552" s="5"/>
    </row>
    <row r="1553" customFormat="false" ht="15" hidden="false" customHeight="false" outlineLevel="0" collapsed="false">
      <c r="A1553" s="5" t="s">
        <v>15027</v>
      </c>
      <c r="B1553" s="5" t="s">
        <v>1535</v>
      </c>
      <c r="C1553" s="5" t="s">
        <v>1500</v>
      </c>
      <c r="D1553" s="10" t="s">
        <v>137</v>
      </c>
      <c r="E1553" s="5" t="n">
        <v>6</v>
      </c>
      <c r="F1553" s="5" t="s">
        <v>15028</v>
      </c>
      <c r="G1553" s="13" t="s">
        <v>15029</v>
      </c>
      <c r="H1553" s="5" t="s">
        <v>15030</v>
      </c>
      <c r="I1553" s="13" t="s">
        <v>15031</v>
      </c>
      <c r="J1553" s="5" t="s">
        <v>15032</v>
      </c>
      <c r="K1553" s="5" t="s">
        <v>15033</v>
      </c>
      <c r="L1553" s="13" t="s">
        <v>15034</v>
      </c>
      <c r="M1553" s="13" t="s">
        <v>15035</v>
      </c>
      <c r="N1553" s="5" t="n">
        <f aca="false">LEN(L1553)</f>
        <v>25</v>
      </c>
      <c r="O1553" s="5" t="n">
        <f aca="false">LEN(M1553)</f>
        <v>25</v>
      </c>
      <c r="P1553" s="14" t="n">
        <f aca="false">IF(N1553=0,"",(N1553-LEN(SUBSTITUTE(SUBSTITUTE(L1553,"G",""),"C","")))/N1553)</f>
        <v>0.48</v>
      </c>
      <c r="Q1553" s="14" t="n">
        <f aca="false">IF(O1553=0,"",(O1553-LEN(SUBSTITUTE(SUBSTITUTE(M1553,"G",""),"C","")))/O1553)</f>
        <v>0.64</v>
      </c>
      <c r="R1553" s="5" t="s">
        <v>1505</v>
      </c>
      <c r="S1553" s="15" t="s">
        <v>1677</v>
      </c>
      <c r="T1553" s="5" t="n">
        <v>403</v>
      </c>
      <c r="U1553" s="5" t="s">
        <v>1678</v>
      </c>
      <c r="V1553" s="5" t="s">
        <v>1432</v>
      </c>
      <c r="W1553" s="5" t="s">
        <v>13639</v>
      </c>
      <c r="X1553" s="5"/>
      <c r="Y1553" s="5"/>
    </row>
    <row r="1554" customFormat="false" ht="15" hidden="false" customHeight="false" outlineLevel="0" collapsed="false">
      <c r="A1554" s="5" t="s">
        <v>15036</v>
      </c>
      <c r="B1554" s="5" t="s">
        <v>1535</v>
      </c>
      <c r="C1554" s="5" t="s">
        <v>1500</v>
      </c>
      <c r="D1554" s="10" t="s">
        <v>137</v>
      </c>
      <c r="E1554" s="5" t="n">
        <v>7</v>
      </c>
      <c r="F1554" s="5" t="s">
        <v>15037</v>
      </c>
      <c r="G1554" s="13" t="s">
        <v>15038</v>
      </c>
      <c r="H1554" s="5" t="s">
        <v>15039</v>
      </c>
      <c r="I1554" s="13" t="s">
        <v>15040</v>
      </c>
      <c r="J1554" s="5" t="s">
        <v>15041</v>
      </c>
      <c r="K1554" s="5" t="s">
        <v>15042</v>
      </c>
      <c r="L1554" s="13" t="s">
        <v>15043</v>
      </c>
      <c r="M1554" s="13" t="s">
        <v>15044</v>
      </c>
      <c r="N1554" s="5" t="n">
        <f aca="false">LEN(L1554)</f>
        <v>25</v>
      </c>
      <c r="O1554" s="5" t="n">
        <f aca="false">LEN(M1554)</f>
        <v>25</v>
      </c>
      <c r="P1554" s="14" t="n">
        <f aca="false">IF(N1554=0,"",(N1554-LEN(SUBSTITUTE(SUBSTITUTE(L1554,"G",""),"C","")))/N1554)</f>
        <v>0.44</v>
      </c>
      <c r="Q1554" s="14" t="n">
        <f aca="false">IF(O1554=0,"",(O1554-LEN(SUBSTITUTE(SUBSTITUTE(M1554,"G",""),"C","")))/O1554)</f>
        <v>0.44</v>
      </c>
      <c r="R1554" s="5" t="s">
        <v>1505</v>
      </c>
      <c r="S1554" s="15" t="s">
        <v>1677</v>
      </c>
      <c r="T1554" s="5" t="n">
        <v>483</v>
      </c>
      <c r="U1554" s="5" t="s">
        <v>1678</v>
      </c>
      <c r="V1554" s="5" t="s">
        <v>1432</v>
      </c>
      <c r="W1554" s="5" t="s">
        <v>13639</v>
      </c>
      <c r="X1554" s="5"/>
      <c r="Y1554" s="5"/>
    </row>
    <row r="1555" customFormat="false" ht="15" hidden="false" customHeight="false" outlineLevel="0" collapsed="false">
      <c r="A1555" s="5" t="s">
        <v>15045</v>
      </c>
      <c r="B1555" s="5" t="s">
        <v>1535</v>
      </c>
      <c r="C1555" s="5" t="s">
        <v>1500</v>
      </c>
      <c r="D1555" s="10" t="s">
        <v>137</v>
      </c>
      <c r="E1555" s="5" t="n">
        <v>8</v>
      </c>
      <c r="F1555" s="5" t="s">
        <v>15046</v>
      </c>
      <c r="G1555" s="13" t="s">
        <v>15047</v>
      </c>
      <c r="H1555" s="5" t="s">
        <v>15048</v>
      </c>
      <c r="I1555" s="13" t="s">
        <v>15049</v>
      </c>
      <c r="J1555" s="5" t="s">
        <v>15050</v>
      </c>
      <c r="K1555" s="5" t="s">
        <v>15051</v>
      </c>
      <c r="L1555" s="13" t="s">
        <v>15052</v>
      </c>
      <c r="M1555" s="13" t="s">
        <v>15053</v>
      </c>
      <c r="N1555" s="5" t="n">
        <f aca="false">LEN(L1555)</f>
        <v>25</v>
      </c>
      <c r="O1555" s="5" t="n">
        <f aca="false">LEN(M1555)</f>
        <v>25</v>
      </c>
      <c r="P1555" s="14" t="n">
        <f aca="false">IF(N1555=0,"",(N1555-LEN(SUBSTITUTE(SUBSTITUTE(L1555,"G",""),"C","")))/N1555)</f>
        <v>0.52</v>
      </c>
      <c r="Q1555" s="14" t="n">
        <f aca="false">IF(O1555=0,"",(O1555-LEN(SUBSTITUTE(SUBSTITUTE(M1555,"G",""),"C","")))/O1555)</f>
        <v>0.68</v>
      </c>
      <c r="R1555" s="5" t="s">
        <v>1505</v>
      </c>
      <c r="S1555" s="15" t="s">
        <v>1677</v>
      </c>
      <c r="T1555" s="5" t="n">
        <v>563</v>
      </c>
      <c r="U1555" s="5" t="s">
        <v>1678</v>
      </c>
      <c r="V1555" s="5" t="s">
        <v>1432</v>
      </c>
      <c r="W1555" s="5" t="s">
        <v>13639</v>
      </c>
      <c r="X1555" s="5"/>
      <c r="Y1555" s="5"/>
    </row>
    <row r="1556" customFormat="false" ht="15" hidden="false" customHeight="false" outlineLevel="0" collapsed="false">
      <c r="A1556" s="5" t="s">
        <v>15054</v>
      </c>
      <c r="B1556" s="5" t="s">
        <v>1535</v>
      </c>
      <c r="C1556" s="5" t="s">
        <v>1500</v>
      </c>
      <c r="D1556" s="10" t="s">
        <v>137</v>
      </c>
      <c r="E1556" s="5" t="n">
        <v>9</v>
      </c>
      <c r="F1556" s="5" t="s">
        <v>15055</v>
      </c>
      <c r="G1556" s="13" t="s">
        <v>15056</v>
      </c>
      <c r="H1556" s="5" t="s">
        <v>15057</v>
      </c>
      <c r="I1556" s="13" t="s">
        <v>15058</v>
      </c>
      <c r="J1556" s="5" t="s">
        <v>15059</v>
      </c>
      <c r="K1556" s="5" t="s">
        <v>15060</v>
      </c>
      <c r="L1556" s="13" t="s">
        <v>15061</v>
      </c>
      <c r="M1556" s="13" t="s">
        <v>15062</v>
      </c>
      <c r="N1556" s="5" t="n">
        <f aca="false">LEN(L1556)</f>
        <v>25</v>
      </c>
      <c r="O1556" s="5" t="n">
        <f aca="false">LEN(M1556)</f>
        <v>25</v>
      </c>
      <c r="P1556" s="14" t="n">
        <f aca="false">IF(N1556=0,"",(N1556-LEN(SUBSTITUTE(SUBSTITUTE(L1556,"G",""),"C","")))/N1556)</f>
        <v>0.4</v>
      </c>
      <c r="Q1556" s="14" t="n">
        <f aca="false">IF(O1556=0,"",(O1556-LEN(SUBSTITUTE(SUBSTITUTE(M1556,"G",""),"C","")))/O1556)</f>
        <v>0.6</v>
      </c>
      <c r="R1556" s="5" t="s">
        <v>1505</v>
      </c>
      <c r="S1556" s="15" t="s">
        <v>1677</v>
      </c>
      <c r="T1556" s="5" t="n">
        <v>692</v>
      </c>
      <c r="U1556" s="5" t="s">
        <v>1678</v>
      </c>
      <c r="V1556" s="5" t="s">
        <v>1432</v>
      </c>
      <c r="W1556" s="5" t="s">
        <v>13639</v>
      </c>
      <c r="X1556" s="5"/>
      <c r="Y1556" s="5"/>
    </row>
    <row r="1557" customFormat="false" ht="15" hidden="false" customHeight="false" outlineLevel="0" collapsed="false">
      <c r="A1557" s="5" t="s">
        <v>15063</v>
      </c>
      <c r="B1557" s="5" t="s">
        <v>1535</v>
      </c>
      <c r="C1557" s="5" t="s">
        <v>1500</v>
      </c>
      <c r="D1557" s="10" t="s">
        <v>137</v>
      </c>
      <c r="E1557" s="5" t="n">
        <v>10</v>
      </c>
      <c r="F1557" s="5" t="s">
        <v>15064</v>
      </c>
      <c r="G1557" s="13" t="s">
        <v>15065</v>
      </c>
      <c r="H1557" s="5" t="s">
        <v>15066</v>
      </c>
      <c r="I1557" s="13" t="s">
        <v>15067</v>
      </c>
      <c r="J1557" s="5" t="s">
        <v>15068</v>
      </c>
      <c r="K1557" s="5" t="s">
        <v>15069</v>
      </c>
      <c r="L1557" s="13" t="s">
        <v>15070</v>
      </c>
      <c r="M1557" s="13" t="s">
        <v>15071</v>
      </c>
      <c r="N1557" s="5" t="n">
        <f aca="false">LEN(L1557)</f>
        <v>25</v>
      </c>
      <c r="O1557" s="5" t="n">
        <f aca="false">LEN(M1557)</f>
        <v>25</v>
      </c>
      <c r="P1557" s="14" t="n">
        <f aca="false">IF(N1557=0,"",(N1557-LEN(SUBSTITUTE(SUBSTITUTE(L1557,"G",""),"C","")))/N1557)</f>
        <v>0.56</v>
      </c>
      <c r="Q1557" s="14" t="n">
        <f aca="false">IF(O1557=0,"",(O1557-LEN(SUBSTITUTE(SUBSTITUTE(M1557,"G",""),"C","")))/O1557)</f>
        <v>0.56</v>
      </c>
      <c r="R1557" s="5" t="s">
        <v>1505</v>
      </c>
      <c r="S1557" s="15" t="s">
        <v>1677</v>
      </c>
      <c r="T1557" s="5" t="n">
        <v>772</v>
      </c>
      <c r="U1557" s="5" t="s">
        <v>1678</v>
      </c>
      <c r="V1557" s="5" t="s">
        <v>1432</v>
      </c>
      <c r="W1557" s="5" t="s">
        <v>13639</v>
      </c>
      <c r="X1557" s="5"/>
      <c r="Y1557" s="5"/>
    </row>
    <row r="1558" customFormat="false" ht="15" hidden="false" customHeight="false" outlineLevel="0" collapsed="false">
      <c r="A1558" s="5" t="s">
        <v>15072</v>
      </c>
      <c r="B1558" s="5" t="s">
        <v>1535</v>
      </c>
      <c r="C1558" s="5" t="s">
        <v>1500</v>
      </c>
      <c r="D1558" s="10" t="s">
        <v>137</v>
      </c>
      <c r="E1558" s="5" t="n">
        <v>11</v>
      </c>
      <c r="F1558" s="5" t="s">
        <v>15073</v>
      </c>
      <c r="G1558" s="13" t="s">
        <v>15074</v>
      </c>
      <c r="H1558" s="5" t="s">
        <v>15075</v>
      </c>
      <c r="I1558" s="13" t="s">
        <v>15076</v>
      </c>
      <c r="J1558" s="5" t="s">
        <v>15077</v>
      </c>
      <c r="K1558" s="5" t="s">
        <v>15078</v>
      </c>
      <c r="L1558" s="13" t="s">
        <v>15079</v>
      </c>
      <c r="M1558" s="13" t="s">
        <v>15080</v>
      </c>
      <c r="N1558" s="5" t="n">
        <f aca="false">LEN(L1558)</f>
        <v>25</v>
      </c>
      <c r="O1558" s="5" t="n">
        <f aca="false">LEN(M1558)</f>
        <v>25</v>
      </c>
      <c r="P1558" s="14" t="n">
        <f aca="false">IF(N1558=0,"",(N1558-LEN(SUBSTITUTE(SUBSTITUTE(L1558,"G",""),"C","")))/N1558)</f>
        <v>0.56</v>
      </c>
      <c r="Q1558" s="14" t="n">
        <f aca="false">IF(O1558=0,"",(O1558-LEN(SUBSTITUTE(SUBSTITUTE(M1558,"G",""),"C","")))/O1558)</f>
        <v>0.56</v>
      </c>
      <c r="R1558" s="5" t="s">
        <v>1505</v>
      </c>
      <c r="S1558" s="15" t="s">
        <v>1677</v>
      </c>
      <c r="T1558" s="5" t="n">
        <v>852</v>
      </c>
      <c r="U1558" s="5" t="s">
        <v>1678</v>
      </c>
      <c r="V1558" s="5" t="s">
        <v>1432</v>
      </c>
      <c r="W1558" s="5" t="s">
        <v>13639</v>
      </c>
      <c r="X1558" s="5"/>
      <c r="Y1558" s="5"/>
    </row>
    <row r="1559" customFormat="false" ht="15" hidden="false" customHeight="false" outlineLevel="0" collapsed="false">
      <c r="A1559" s="5" t="s">
        <v>15081</v>
      </c>
      <c r="B1559" s="5" t="s">
        <v>1535</v>
      </c>
      <c r="C1559" s="5" t="s">
        <v>1500</v>
      </c>
      <c r="D1559" s="10" t="s">
        <v>137</v>
      </c>
      <c r="E1559" s="5" t="n">
        <v>12</v>
      </c>
      <c r="F1559" s="5" t="s">
        <v>15082</v>
      </c>
      <c r="G1559" s="13" t="s">
        <v>15083</v>
      </c>
      <c r="H1559" s="5" t="s">
        <v>15084</v>
      </c>
      <c r="I1559" s="13" t="s">
        <v>15085</v>
      </c>
      <c r="J1559" s="5" t="s">
        <v>15086</v>
      </c>
      <c r="K1559" s="5" t="s">
        <v>15087</v>
      </c>
      <c r="L1559" s="13" t="s">
        <v>15088</v>
      </c>
      <c r="M1559" s="13" t="s">
        <v>15089</v>
      </c>
      <c r="N1559" s="5" t="n">
        <f aca="false">LEN(L1559)</f>
        <v>25</v>
      </c>
      <c r="O1559" s="5" t="n">
        <f aca="false">LEN(M1559)</f>
        <v>25</v>
      </c>
      <c r="P1559" s="14" t="n">
        <f aca="false">IF(N1559=0,"",(N1559-LEN(SUBSTITUTE(SUBSTITUTE(L1559,"G",""),"C","")))/N1559)</f>
        <v>0.52</v>
      </c>
      <c r="Q1559" s="14" t="n">
        <f aca="false">IF(O1559=0,"",(O1559-LEN(SUBSTITUTE(SUBSTITUTE(M1559,"G",""),"C","")))/O1559)</f>
        <v>0.52</v>
      </c>
      <c r="R1559" s="5" t="s">
        <v>1505</v>
      </c>
      <c r="S1559" s="15" t="s">
        <v>1677</v>
      </c>
      <c r="T1559" s="5" t="n">
        <v>932</v>
      </c>
      <c r="U1559" s="5" t="s">
        <v>1678</v>
      </c>
      <c r="V1559" s="5" t="s">
        <v>1432</v>
      </c>
      <c r="W1559" s="5" t="s">
        <v>13639</v>
      </c>
      <c r="X1559" s="5"/>
      <c r="Y1559" s="5"/>
    </row>
    <row r="1560" customFormat="false" ht="15" hidden="false" customHeight="false" outlineLevel="0" collapsed="false">
      <c r="A1560" s="5" t="s">
        <v>15090</v>
      </c>
      <c r="B1560" s="5" t="s">
        <v>1535</v>
      </c>
      <c r="C1560" s="5" t="s">
        <v>1500</v>
      </c>
      <c r="D1560" s="10" t="s">
        <v>137</v>
      </c>
      <c r="E1560" s="5" t="n">
        <v>13</v>
      </c>
      <c r="F1560" s="5" t="s">
        <v>15091</v>
      </c>
      <c r="G1560" s="13" t="s">
        <v>15092</v>
      </c>
      <c r="H1560" s="5" t="s">
        <v>15093</v>
      </c>
      <c r="I1560" s="13" t="s">
        <v>15094</v>
      </c>
      <c r="J1560" s="5" t="s">
        <v>15095</v>
      </c>
      <c r="K1560" s="5" t="s">
        <v>15096</v>
      </c>
      <c r="L1560" s="13" t="s">
        <v>15097</v>
      </c>
      <c r="M1560" s="13" t="s">
        <v>15098</v>
      </c>
      <c r="N1560" s="5" t="n">
        <f aca="false">LEN(L1560)</f>
        <v>25</v>
      </c>
      <c r="O1560" s="5" t="n">
        <f aca="false">LEN(M1560)</f>
        <v>25</v>
      </c>
      <c r="P1560" s="14" t="n">
        <f aca="false">IF(N1560=0,"",(N1560-LEN(SUBSTITUTE(SUBSTITUTE(L1560,"G",""),"C","")))/N1560)</f>
        <v>0.6</v>
      </c>
      <c r="Q1560" s="14" t="n">
        <f aca="false">IF(O1560=0,"",(O1560-LEN(SUBSTITUTE(SUBSTITUTE(M1560,"G",""),"C","")))/O1560)</f>
        <v>0.52</v>
      </c>
      <c r="R1560" s="5" t="s">
        <v>1505</v>
      </c>
      <c r="S1560" s="15" t="s">
        <v>1677</v>
      </c>
      <c r="T1560" s="5" t="n">
        <v>1012</v>
      </c>
      <c r="U1560" s="5" t="s">
        <v>1678</v>
      </c>
      <c r="V1560" s="5" t="s">
        <v>1432</v>
      </c>
      <c r="W1560" s="5" t="s">
        <v>13639</v>
      </c>
      <c r="X1560" s="5"/>
      <c r="Y1560" s="5"/>
    </row>
    <row r="1561" customFormat="false" ht="15" hidden="false" customHeight="false" outlineLevel="0" collapsed="false">
      <c r="A1561" s="5" t="s">
        <v>15099</v>
      </c>
      <c r="B1561" s="5" t="s">
        <v>1535</v>
      </c>
      <c r="C1561" s="5" t="s">
        <v>1500</v>
      </c>
      <c r="D1561" s="10" t="s">
        <v>137</v>
      </c>
      <c r="E1561" s="5" t="n">
        <v>14</v>
      </c>
      <c r="F1561" s="5" t="s">
        <v>15100</v>
      </c>
      <c r="G1561" s="13" t="s">
        <v>15101</v>
      </c>
      <c r="H1561" s="5" t="s">
        <v>15102</v>
      </c>
      <c r="I1561" s="13" t="s">
        <v>15103</v>
      </c>
      <c r="J1561" s="5" t="s">
        <v>15104</v>
      </c>
      <c r="K1561" s="5" t="s">
        <v>15105</v>
      </c>
      <c r="L1561" s="13" t="s">
        <v>15106</v>
      </c>
      <c r="M1561" s="13" t="s">
        <v>15107</v>
      </c>
      <c r="N1561" s="5" t="n">
        <f aca="false">LEN(L1561)</f>
        <v>25</v>
      </c>
      <c r="O1561" s="5" t="n">
        <f aca="false">LEN(M1561)</f>
        <v>25</v>
      </c>
      <c r="P1561" s="14" t="n">
        <f aca="false">IF(N1561=0,"",(N1561-LEN(SUBSTITUTE(SUBSTITUTE(L1561,"G",""),"C","")))/N1561)</f>
        <v>0.68</v>
      </c>
      <c r="Q1561" s="14" t="n">
        <f aca="false">IF(O1561=0,"",(O1561-LEN(SUBSTITUTE(SUBSTITUTE(M1561,"G",""),"C","")))/O1561)</f>
        <v>0.52</v>
      </c>
      <c r="R1561" s="5" t="s">
        <v>1505</v>
      </c>
      <c r="S1561" s="15" t="s">
        <v>1677</v>
      </c>
      <c r="T1561" s="5" t="n">
        <v>1092</v>
      </c>
      <c r="U1561" s="5" t="s">
        <v>1678</v>
      </c>
      <c r="V1561" s="5" t="s">
        <v>1432</v>
      </c>
      <c r="W1561" s="5" t="s">
        <v>13639</v>
      </c>
      <c r="X1561" s="5"/>
      <c r="Y1561" s="5"/>
    </row>
    <row r="1562" customFormat="false" ht="15" hidden="false" customHeight="false" outlineLevel="0" collapsed="false">
      <c r="A1562" s="5" t="s">
        <v>15108</v>
      </c>
      <c r="B1562" s="5" t="s">
        <v>1536</v>
      </c>
      <c r="C1562" s="5" t="s">
        <v>1537</v>
      </c>
      <c r="D1562" s="10" t="s">
        <v>137</v>
      </c>
      <c r="E1562" s="5" t="n">
        <v>1</v>
      </c>
      <c r="F1562" s="5" t="s">
        <v>15109</v>
      </c>
      <c r="G1562" s="13" t="s">
        <v>15110</v>
      </c>
      <c r="H1562" s="5" t="s">
        <v>15111</v>
      </c>
      <c r="I1562" s="13" t="s">
        <v>15112</v>
      </c>
      <c r="J1562" s="5" t="s">
        <v>15113</v>
      </c>
      <c r="K1562" s="5" t="s">
        <v>15114</v>
      </c>
      <c r="L1562" s="13" t="s">
        <v>15115</v>
      </c>
      <c r="M1562" s="13" t="s">
        <v>15116</v>
      </c>
      <c r="N1562" s="5" t="n">
        <f aca="false">LEN(L1562)</f>
        <v>25</v>
      </c>
      <c r="O1562" s="5" t="n">
        <f aca="false">LEN(M1562)</f>
        <v>25</v>
      </c>
      <c r="P1562" s="14" t="n">
        <f aca="false">IF(N1562=0,"",(N1562-LEN(SUBSTITUTE(SUBSTITUTE(L1562,"G",""),"C","")))/N1562)</f>
        <v>0.64</v>
      </c>
      <c r="Q1562" s="14" t="n">
        <f aca="false">IF(O1562=0,"",(O1562-LEN(SUBSTITUTE(SUBSTITUTE(M1562,"G",""),"C","")))/O1562)</f>
        <v>0.48</v>
      </c>
      <c r="R1562" s="5" t="s">
        <v>1542</v>
      </c>
      <c r="S1562" s="15" t="s">
        <v>1677</v>
      </c>
      <c r="T1562" s="5" t="n">
        <v>216</v>
      </c>
      <c r="U1562" s="5" t="s">
        <v>1678</v>
      </c>
      <c r="V1562" s="5" t="s">
        <v>1398</v>
      </c>
      <c r="W1562" s="5"/>
      <c r="X1562" s="5"/>
      <c r="Y1562" s="5"/>
    </row>
    <row r="1563" customFormat="false" ht="15" hidden="false" customHeight="false" outlineLevel="0" collapsed="false">
      <c r="A1563" s="5" t="s">
        <v>15117</v>
      </c>
      <c r="B1563" s="5" t="s">
        <v>1536</v>
      </c>
      <c r="C1563" s="5" t="s">
        <v>1537</v>
      </c>
      <c r="D1563" s="10" t="s">
        <v>137</v>
      </c>
      <c r="E1563" s="5" t="n">
        <v>2</v>
      </c>
      <c r="F1563" s="5" t="s">
        <v>15118</v>
      </c>
      <c r="G1563" s="13" t="s">
        <v>15119</v>
      </c>
      <c r="H1563" s="5" t="s">
        <v>15120</v>
      </c>
      <c r="I1563" s="13" t="s">
        <v>15121</v>
      </c>
      <c r="J1563" s="5" t="s">
        <v>15122</v>
      </c>
      <c r="K1563" s="5" t="s">
        <v>15123</v>
      </c>
      <c r="L1563" s="13" t="s">
        <v>15124</v>
      </c>
      <c r="M1563" s="13" t="s">
        <v>15125</v>
      </c>
      <c r="N1563" s="5" t="n">
        <f aca="false">LEN(L1563)</f>
        <v>25</v>
      </c>
      <c r="O1563" s="5" t="n">
        <f aca="false">LEN(M1563)</f>
        <v>25</v>
      </c>
      <c r="P1563" s="14" t="n">
        <f aca="false">IF(N1563=0,"",(N1563-LEN(SUBSTITUTE(SUBSTITUTE(L1563,"G",""),"C","")))/N1563)</f>
        <v>0.52</v>
      </c>
      <c r="Q1563" s="14" t="n">
        <f aca="false">IF(O1563=0,"",(O1563-LEN(SUBSTITUTE(SUBSTITUTE(M1563,"G",""),"C","")))/O1563)</f>
        <v>0.68</v>
      </c>
      <c r="R1563" s="5" t="s">
        <v>1542</v>
      </c>
      <c r="S1563" s="15" t="s">
        <v>1677</v>
      </c>
      <c r="T1563" s="5" t="n">
        <v>286</v>
      </c>
      <c r="U1563" s="5" t="s">
        <v>1678</v>
      </c>
      <c r="V1563" s="5" t="s">
        <v>1398</v>
      </c>
      <c r="W1563" s="5"/>
      <c r="X1563" s="5"/>
      <c r="Y1563" s="5"/>
    </row>
    <row r="1564" customFormat="false" ht="15" hidden="false" customHeight="false" outlineLevel="0" collapsed="false">
      <c r="A1564" s="5" t="s">
        <v>15126</v>
      </c>
      <c r="B1564" s="5" t="s">
        <v>1536</v>
      </c>
      <c r="C1564" s="5" t="s">
        <v>1537</v>
      </c>
      <c r="D1564" s="10" t="s">
        <v>137</v>
      </c>
      <c r="E1564" s="5" t="n">
        <v>3</v>
      </c>
      <c r="F1564" s="5" t="s">
        <v>15127</v>
      </c>
      <c r="G1564" s="13" t="s">
        <v>15128</v>
      </c>
      <c r="H1564" s="5" t="s">
        <v>15129</v>
      </c>
      <c r="I1564" s="13" t="s">
        <v>15130</v>
      </c>
      <c r="J1564" s="5" t="s">
        <v>15131</v>
      </c>
      <c r="K1564" s="5" t="s">
        <v>15132</v>
      </c>
      <c r="L1564" s="13" t="s">
        <v>15133</v>
      </c>
      <c r="M1564" s="13" t="s">
        <v>15134</v>
      </c>
      <c r="N1564" s="5" t="n">
        <f aca="false">LEN(L1564)</f>
        <v>25</v>
      </c>
      <c r="O1564" s="5" t="n">
        <f aca="false">LEN(M1564)</f>
        <v>25</v>
      </c>
      <c r="P1564" s="14" t="n">
        <f aca="false">IF(N1564=0,"",(N1564-LEN(SUBSTITUTE(SUBSTITUTE(L1564,"G",""),"C","")))/N1564)</f>
        <v>0.52</v>
      </c>
      <c r="Q1564" s="14" t="n">
        <f aca="false">IF(O1564=0,"",(O1564-LEN(SUBSTITUTE(SUBSTITUTE(M1564,"G",""),"C","")))/O1564)</f>
        <v>0.52</v>
      </c>
      <c r="R1564" s="5" t="s">
        <v>1542</v>
      </c>
      <c r="S1564" s="15" t="s">
        <v>1677</v>
      </c>
      <c r="T1564" s="5" t="n">
        <v>356</v>
      </c>
      <c r="U1564" s="5" t="s">
        <v>1678</v>
      </c>
      <c r="V1564" s="5" t="s">
        <v>1398</v>
      </c>
      <c r="W1564" s="5"/>
      <c r="X1564" s="5"/>
      <c r="Y1564" s="5"/>
    </row>
    <row r="1565" customFormat="false" ht="15" hidden="false" customHeight="false" outlineLevel="0" collapsed="false">
      <c r="A1565" s="5" t="s">
        <v>15135</v>
      </c>
      <c r="B1565" s="5" t="s">
        <v>1536</v>
      </c>
      <c r="C1565" s="5" t="s">
        <v>1537</v>
      </c>
      <c r="D1565" s="10" t="s">
        <v>137</v>
      </c>
      <c r="E1565" s="5" t="n">
        <v>4</v>
      </c>
      <c r="F1565" s="5" t="s">
        <v>15136</v>
      </c>
      <c r="G1565" s="13" t="s">
        <v>15137</v>
      </c>
      <c r="H1565" s="5" t="s">
        <v>15138</v>
      </c>
      <c r="I1565" s="13" t="s">
        <v>15139</v>
      </c>
      <c r="J1565" s="5" t="s">
        <v>15140</v>
      </c>
      <c r="K1565" s="5" t="s">
        <v>15141</v>
      </c>
      <c r="L1565" s="13" t="s">
        <v>15142</v>
      </c>
      <c r="M1565" s="13" t="s">
        <v>15143</v>
      </c>
      <c r="N1565" s="5" t="n">
        <f aca="false">LEN(L1565)</f>
        <v>25</v>
      </c>
      <c r="O1565" s="5" t="n">
        <f aca="false">LEN(M1565)</f>
        <v>25</v>
      </c>
      <c r="P1565" s="14" t="n">
        <f aca="false">IF(N1565=0,"",(N1565-LEN(SUBSTITUTE(SUBSTITUTE(L1565,"G",""),"C","")))/N1565)</f>
        <v>0.56</v>
      </c>
      <c r="Q1565" s="14" t="n">
        <f aca="false">IF(O1565=0,"",(O1565-LEN(SUBSTITUTE(SUBSTITUTE(M1565,"G",""),"C","")))/O1565)</f>
        <v>0.4</v>
      </c>
      <c r="R1565" s="5" t="s">
        <v>1542</v>
      </c>
      <c r="S1565" s="15" t="s">
        <v>1677</v>
      </c>
      <c r="T1565" s="5" t="n">
        <v>426</v>
      </c>
      <c r="U1565" s="5" t="s">
        <v>1678</v>
      </c>
      <c r="V1565" s="5" t="s">
        <v>1398</v>
      </c>
      <c r="W1565" s="5"/>
      <c r="X1565" s="5"/>
      <c r="Y1565" s="5"/>
    </row>
    <row r="1566" customFormat="false" ht="15" hidden="false" customHeight="false" outlineLevel="0" collapsed="false">
      <c r="A1566" s="5" t="s">
        <v>15144</v>
      </c>
      <c r="B1566" s="5" t="s">
        <v>1536</v>
      </c>
      <c r="C1566" s="5" t="s">
        <v>1537</v>
      </c>
      <c r="D1566" s="10" t="s">
        <v>137</v>
      </c>
      <c r="E1566" s="5" t="n">
        <v>5</v>
      </c>
      <c r="F1566" s="5" t="s">
        <v>15145</v>
      </c>
      <c r="G1566" s="13" t="s">
        <v>15146</v>
      </c>
      <c r="H1566" s="5" t="s">
        <v>15147</v>
      </c>
      <c r="I1566" s="13" t="s">
        <v>15148</v>
      </c>
      <c r="J1566" s="5" t="s">
        <v>15149</v>
      </c>
      <c r="K1566" s="5" t="s">
        <v>15150</v>
      </c>
      <c r="L1566" s="13" t="s">
        <v>15151</v>
      </c>
      <c r="M1566" s="13" t="s">
        <v>15152</v>
      </c>
      <c r="N1566" s="5" t="n">
        <f aca="false">LEN(L1566)</f>
        <v>25</v>
      </c>
      <c r="O1566" s="5" t="n">
        <f aca="false">LEN(M1566)</f>
        <v>25</v>
      </c>
      <c r="P1566" s="14" t="n">
        <f aca="false">IF(N1566=0,"",(N1566-LEN(SUBSTITUTE(SUBSTITUTE(L1566,"G",""),"C","")))/N1566)</f>
        <v>0.4</v>
      </c>
      <c r="Q1566" s="14" t="n">
        <f aca="false">IF(O1566=0,"",(O1566-LEN(SUBSTITUTE(SUBSTITUTE(M1566,"G",""),"C","")))/O1566)</f>
        <v>0.44</v>
      </c>
      <c r="R1566" s="5" t="s">
        <v>1542</v>
      </c>
      <c r="S1566" s="15" t="s">
        <v>1677</v>
      </c>
      <c r="T1566" s="5" t="n">
        <v>496</v>
      </c>
      <c r="U1566" s="5" t="s">
        <v>1678</v>
      </c>
      <c r="V1566" s="5" t="s">
        <v>1398</v>
      </c>
      <c r="W1566" s="5"/>
      <c r="X1566" s="5"/>
      <c r="Y1566" s="5"/>
    </row>
    <row r="1567" customFormat="false" ht="15" hidden="false" customHeight="false" outlineLevel="0" collapsed="false">
      <c r="A1567" s="5" t="s">
        <v>15153</v>
      </c>
      <c r="B1567" s="5" t="s">
        <v>1536</v>
      </c>
      <c r="C1567" s="5" t="s">
        <v>1537</v>
      </c>
      <c r="D1567" s="10" t="s">
        <v>137</v>
      </c>
      <c r="E1567" s="5" t="n">
        <v>6</v>
      </c>
      <c r="F1567" s="5" t="s">
        <v>15154</v>
      </c>
      <c r="G1567" s="13" t="s">
        <v>15155</v>
      </c>
      <c r="H1567" s="5" t="s">
        <v>15156</v>
      </c>
      <c r="I1567" s="13" t="s">
        <v>15157</v>
      </c>
      <c r="J1567" s="5" t="s">
        <v>15158</v>
      </c>
      <c r="K1567" s="5" t="s">
        <v>15159</v>
      </c>
      <c r="L1567" s="13" t="s">
        <v>15160</v>
      </c>
      <c r="M1567" s="13" t="s">
        <v>15161</v>
      </c>
      <c r="N1567" s="5" t="n">
        <f aca="false">LEN(L1567)</f>
        <v>25</v>
      </c>
      <c r="O1567" s="5" t="n">
        <f aca="false">LEN(M1567)</f>
        <v>25</v>
      </c>
      <c r="P1567" s="14" t="n">
        <f aca="false">IF(N1567=0,"",(N1567-LEN(SUBSTITUTE(SUBSTITUTE(L1567,"G",""),"C","")))/N1567)</f>
        <v>0.44</v>
      </c>
      <c r="Q1567" s="14" t="n">
        <f aca="false">IF(O1567=0,"",(O1567-LEN(SUBSTITUTE(SUBSTITUTE(M1567,"G",""),"C","")))/O1567)</f>
        <v>0.6</v>
      </c>
      <c r="R1567" s="5" t="s">
        <v>1542</v>
      </c>
      <c r="S1567" s="15" t="s">
        <v>1677</v>
      </c>
      <c r="T1567" s="5" t="n">
        <v>566</v>
      </c>
      <c r="U1567" s="5" t="s">
        <v>1678</v>
      </c>
      <c r="V1567" s="5" t="s">
        <v>1398</v>
      </c>
      <c r="W1567" s="5"/>
      <c r="X1567" s="5"/>
      <c r="Y1567" s="5"/>
    </row>
    <row r="1568" customFormat="false" ht="15" hidden="false" customHeight="false" outlineLevel="0" collapsed="false">
      <c r="A1568" s="5" t="s">
        <v>15162</v>
      </c>
      <c r="B1568" s="5" t="s">
        <v>1536</v>
      </c>
      <c r="C1568" s="5" t="s">
        <v>1537</v>
      </c>
      <c r="D1568" s="10" t="s">
        <v>137</v>
      </c>
      <c r="E1568" s="5" t="n">
        <v>7</v>
      </c>
      <c r="F1568" s="5" t="s">
        <v>15163</v>
      </c>
      <c r="G1568" s="13" t="s">
        <v>15164</v>
      </c>
      <c r="H1568" s="5" t="s">
        <v>15165</v>
      </c>
      <c r="I1568" s="13" t="s">
        <v>15166</v>
      </c>
      <c r="J1568" s="5" t="s">
        <v>15167</v>
      </c>
      <c r="K1568" s="5" t="s">
        <v>15168</v>
      </c>
      <c r="L1568" s="13" t="s">
        <v>15169</v>
      </c>
      <c r="M1568" s="13" t="s">
        <v>15170</v>
      </c>
      <c r="N1568" s="5" t="n">
        <f aca="false">LEN(L1568)</f>
        <v>25</v>
      </c>
      <c r="O1568" s="5" t="n">
        <f aca="false">LEN(M1568)</f>
        <v>25</v>
      </c>
      <c r="P1568" s="14" t="n">
        <f aca="false">IF(N1568=0,"",(N1568-LEN(SUBSTITUTE(SUBSTITUTE(L1568,"G",""),"C","")))/N1568)</f>
        <v>0.56</v>
      </c>
      <c r="Q1568" s="14" t="n">
        <f aca="false">IF(O1568=0,"",(O1568-LEN(SUBSTITUTE(SUBSTITUTE(M1568,"G",""),"C","")))/O1568)</f>
        <v>0.56</v>
      </c>
      <c r="R1568" s="5" t="s">
        <v>1542</v>
      </c>
      <c r="S1568" s="15" t="s">
        <v>1677</v>
      </c>
      <c r="T1568" s="5" t="n">
        <v>636</v>
      </c>
      <c r="U1568" s="5" t="s">
        <v>1678</v>
      </c>
      <c r="V1568" s="5" t="s">
        <v>1398</v>
      </c>
      <c r="W1568" s="5"/>
      <c r="X1568" s="5"/>
      <c r="Y1568" s="5"/>
    </row>
    <row r="1569" customFormat="false" ht="15" hidden="false" customHeight="false" outlineLevel="0" collapsed="false">
      <c r="A1569" s="5" t="s">
        <v>15171</v>
      </c>
      <c r="B1569" s="5" t="s">
        <v>1536</v>
      </c>
      <c r="C1569" s="5" t="s">
        <v>1537</v>
      </c>
      <c r="D1569" s="10" t="s">
        <v>137</v>
      </c>
      <c r="E1569" s="5" t="n">
        <v>8</v>
      </c>
      <c r="F1569" s="5" t="s">
        <v>15172</v>
      </c>
      <c r="G1569" s="13" t="s">
        <v>15173</v>
      </c>
      <c r="H1569" s="5" t="s">
        <v>15174</v>
      </c>
      <c r="I1569" s="13" t="s">
        <v>15175</v>
      </c>
      <c r="J1569" s="5" t="s">
        <v>15176</v>
      </c>
      <c r="K1569" s="5" t="s">
        <v>15177</v>
      </c>
      <c r="L1569" s="13" t="s">
        <v>15178</v>
      </c>
      <c r="M1569" s="13" t="s">
        <v>15179</v>
      </c>
      <c r="N1569" s="5" t="n">
        <f aca="false">LEN(L1569)</f>
        <v>25</v>
      </c>
      <c r="O1569" s="5" t="n">
        <f aca="false">LEN(M1569)</f>
        <v>25</v>
      </c>
      <c r="P1569" s="14" t="n">
        <f aca="false">IF(N1569=0,"",(N1569-LEN(SUBSTITUTE(SUBSTITUTE(L1569,"G",""),"C","")))/N1569)</f>
        <v>0.56</v>
      </c>
      <c r="Q1569" s="14" t="n">
        <f aca="false">IF(O1569=0,"",(O1569-LEN(SUBSTITUTE(SUBSTITUTE(M1569,"G",""),"C","")))/O1569)</f>
        <v>0.52</v>
      </c>
      <c r="R1569" s="5" t="s">
        <v>1542</v>
      </c>
      <c r="S1569" s="15" t="s">
        <v>1677</v>
      </c>
      <c r="T1569" s="5" t="n">
        <v>706</v>
      </c>
      <c r="U1569" s="5" t="s">
        <v>1678</v>
      </c>
      <c r="V1569" s="5" t="s">
        <v>1398</v>
      </c>
      <c r="W1569" s="5"/>
      <c r="X1569" s="5"/>
      <c r="Y1569" s="5"/>
    </row>
    <row r="1570" customFormat="false" ht="15" hidden="false" customHeight="false" outlineLevel="0" collapsed="false">
      <c r="A1570" s="5" t="s">
        <v>15180</v>
      </c>
      <c r="B1570" s="5" t="s">
        <v>1543</v>
      </c>
      <c r="C1570" s="5" t="s">
        <v>1544</v>
      </c>
      <c r="D1570" s="6" t="s">
        <v>45</v>
      </c>
      <c r="E1570" s="5" t="n">
        <v>1</v>
      </c>
      <c r="F1570" s="5" t="s">
        <v>15181</v>
      </c>
      <c r="G1570" s="13" t="s">
        <v>15182</v>
      </c>
      <c r="H1570" s="5" t="s">
        <v>15183</v>
      </c>
      <c r="I1570" s="13" t="s">
        <v>15184</v>
      </c>
      <c r="J1570" s="5" t="s">
        <v>15185</v>
      </c>
      <c r="K1570" s="5" t="s">
        <v>15186</v>
      </c>
      <c r="L1570" s="13" t="s">
        <v>15187</v>
      </c>
      <c r="M1570" s="13" t="s">
        <v>15188</v>
      </c>
      <c r="N1570" s="5" t="n">
        <f aca="false">LEN(L1570)</f>
        <v>25</v>
      </c>
      <c r="O1570" s="5" t="n">
        <f aca="false">LEN(M1570)</f>
        <v>25</v>
      </c>
      <c r="P1570" s="14" t="n">
        <f aca="false">IF(N1570=0,"",(N1570-LEN(SUBSTITUTE(SUBSTITUTE(L1570,"G",""),"C","")))/N1570)</f>
        <v>0.6</v>
      </c>
      <c r="Q1570" s="14" t="n">
        <f aca="false">IF(O1570=0,"",(O1570-LEN(SUBSTITUTE(SUBSTITUTE(M1570,"G",""),"C","")))/O1570)</f>
        <v>0.52</v>
      </c>
      <c r="R1570" s="5"/>
      <c r="S1570" s="8" t="s">
        <v>2131</v>
      </c>
      <c r="T1570" s="5"/>
      <c r="U1570" s="5" t="s">
        <v>2986</v>
      </c>
      <c r="V1570" s="5" t="s">
        <v>1546</v>
      </c>
      <c r="W1570" s="5" t="s">
        <v>15189</v>
      </c>
      <c r="X1570" s="5"/>
      <c r="Y1570" s="5"/>
    </row>
    <row r="1571" customFormat="false" ht="15" hidden="false" customHeight="false" outlineLevel="0" collapsed="false">
      <c r="A1571" s="5" t="s">
        <v>15190</v>
      </c>
      <c r="B1571" s="5" t="s">
        <v>1543</v>
      </c>
      <c r="C1571" s="5" t="s">
        <v>1544</v>
      </c>
      <c r="D1571" s="6" t="s">
        <v>45</v>
      </c>
      <c r="E1571" s="5" t="n">
        <v>2</v>
      </c>
      <c r="F1571" s="5" t="s">
        <v>15191</v>
      </c>
      <c r="G1571" s="13" t="s">
        <v>15192</v>
      </c>
      <c r="H1571" s="5" t="s">
        <v>15193</v>
      </c>
      <c r="I1571" s="13" t="s">
        <v>15194</v>
      </c>
      <c r="J1571" s="5" t="s">
        <v>15195</v>
      </c>
      <c r="K1571" s="5" t="s">
        <v>15196</v>
      </c>
      <c r="L1571" s="13" t="s">
        <v>15197</v>
      </c>
      <c r="M1571" s="13" t="s">
        <v>15198</v>
      </c>
      <c r="N1571" s="5" t="n">
        <f aca="false">LEN(L1571)</f>
        <v>25</v>
      </c>
      <c r="O1571" s="5" t="n">
        <f aca="false">LEN(M1571)</f>
        <v>25</v>
      </c>
      <c r="P1571" s="14" t="n">
        <f aca="false">IF(N1571=0,"",(N1571-LEN(SUBSTITUTE(SUBSTITUTE(L1571,"G",""),"C","")))/N1571)</f>
        <v>0.68</v>
      </c>
      <c r="Q1571" s="14" t="n">
        <f aca="false">IF(O1571=0,"",(O1571-LEN(SUBSTITUTE(SUBSTITUTE(M1571,"G",""),"C","")))/O1571)</f>
        <v>0.56</v>
      </c>
      <c r="R1571" s="5"/>
      <c r="S1571" s="8" t="s">
        <v>2131</v>
      </c>
      <c r="T1571" s="5"/>
      <c r="U1571" s="5" t="s">
        <v>2986</v>
      </c>
      <c r="V1571" s="5" t="s">
        <v>1546</v>
      </c>
      <c r="W1571" s="5" t="s">
        <v>15189</v>
      </c>
      <c r="X1571" s="5"/>
      <c r="Y1571" s="5"/>
    </row>
    <row r="1572" customFormat="false" ht="15" hidden="false" customHeight="false" outlineLevel="0" collapsed="false">
      <c r="A1572" s="5" t="s">
        <v>15199</v>
      </c>
      <c r="B1572" s="5" t="s">
        <v>1543</v>
      </c>
      <c r="C1572" s="5" t="s">
        <v>1544</v>
      </c>
      <c r="D1572" s="6" t="s">
        <v>45</v>
      </c>
      <c r="E1572" s="5" t="n">
        <v>3</v>
      </c>
      <c r="F1572" s="5" t="s">
        <v>15200</v>
      </c>
      <c r="G1572" s="13" t="s">
        <v>15201</v>
      </c>
      <c r="H1572" s="5" t="s">
        <v>15202</v>
      </c>
      <c r="I1572" s="13" t="s">
        <v>15203</v>
      </c>
      <c r="J1572" s="5" t="s">
        <v>15204</v>
      </c>
      <c r="K1572" s="5" t="s">
        <v>15205</v>
      </c>
      <c r="L1572" s="13" t="s">
        <v>15206</v>
      </c>
      <c r="M1572" s="13" t="s">
        <v>15207</v>
      </c>
      <c r="N1572" s="5" t="n">
        <f aca="false">LEN(L1572)</f>
        <v>25</v>
      </c>
      <c r="O1572" s="5" t="n">
        <f aca="false">LEN(M1572)</f>
        <v>25</v>
      </c>
      <c r="P1572" s="14" t="n">
        <f aca="false">IF(N1572=0,"",(N1572-LEN(SUBSTITUTE(SUBSTITUTE(L1572,"G",""),"C","")))/N1572)</f>
        <v>0.56</v>
      </c>
      <c r="Q1572" s="14" t="n">
        <f aca="false">IF(O1572=0,"",(O1572-LEN(SUBSTITUTE(SUBSTITUTE(M1572,"G",""),"C","")))/O1572)</f>
        <v>0.6</v>
      </c>
      <c r="R1572" s="5"/>
      <c r="S1572" s="8" t="s">
        <v>2131</v>
      </c>
      <c r="T1572" s="5"/>
      <c r="U1572" s="5" t="s">
        <v>2986</v>
      </c>
      <c r="V1572" s="5" t="s">
        <v>1546</v>
      </c>
      <c r="W1572" s="5" t="s">
        <v>15189</v>
      </c>
      <c r="X1572" s="5"/>
      <c r="Y1572" s="5"/>
    </row>
    <row r="1573" customFormat="false" ht="15" hidden="false" customHeight="false" outlineLevel="0" collapsed="false">
      <c r="A1573" s="5" t="s">
        <v>15208</v>
      </c>
      <c r="B1573" s="5" t="s">
        <v>1543</v>
      </c>
      <c r="C1573" s="5" t="s">
        <v>1544</v>
      </c>
      <c r="D1573" s="6" t="s">
        <v>45</v>
      </c>
      <c r="E1573" s="5" t="n">
        <v>4</v>
      </c>
      <c r="F1573" s="5" t="s">
        <v>15209</v>
      </c>
      <c r="G1573" s="13" t="s">
        <v>15210</v>
      </c>
      <c r="H1573" s="5" t="s">
        <v>15211</v>
      </c>
      <c r="I1573" s="13" t="s">
        <v>15212</v>
      </c>
      <c r="J1573" s="5" t="s">
        <v>15213</v>
      </c>
      <c r="K1573" s="5" t="s">
        <v>15214</v>
      </c>
      <c r="L1573" s="13" t="s">
        <v>15215</v>
      </c>
      <c r="M1573" s="13" t="s">
        <v>15216</v>
      </c>
      <c r="N1573" s="5" t="n">
        <f aca="false">LEN(L1573)</f>
        <v>25</v>
      </c>
      <c r="O1573" s="5" t="n">
        <f aca="false">LEN(M1573)</f>
        <v>25</v>
      </c>
      <c r="P1573" s="14" t="n">
        <f aca="false">IF(N1573=0,"",(N1573-LEN(SUBSTITUTE(SUBSTITUTE(L1573,"G",""),"C","")))/N1573)</f>
        <v>0.56</v>
      </c>
      <c r="Q1573" s="14" t="n">
        <f aca="false">IF(O1573=0,"",(O1573-LEN(SUBSTITUTE(SUBSTITUTE(M1573,"G",""),"C","")))/O1573)</f>
        <v>0.52</v>
      </c>
      <c r="R1573" s="5"/>
      <c r="S1573" s="8" t="s">
        <v>2131</v>
      </c>
      <c r="T1573" s="5"/>
      <c r="U1573" s="5" t="s">
        <v>2986</v>
      </c>
      <c r="V1573" s="5" t="s">
        <v>1546</v>
      </c>
      <c r="W1573" s="5" t="s">
        <v>15189</v>
      </c>
      <c r="X1573" s="5"/>
      <c r="Y1573" s="5"/>
    </row>
    <row r="1574" customFormat="false" ht="15" hidden="false" customHeight="false" outlineLevel="0" collapsed="false">
      <c r="A1574" s="5" t="s">
        <v>15217</v>
      </c>
      <c r="B1574" s="5" t="s">
        <v>1543</v>
      </c>
      <c r="C1574" s="5" t="s">
        <v>1544</v>
      </c>
      <c r="D1574" s="6" t="s">
        <v>45</v>
      </c>
      <c r="E1574" s="5" t="n">
        <v>5</v>
      </c>
      <c r="F1574" s="5" t="s">
        <v>15218</v>
      </c>
      <c r="G1574" s="13" t="s">
        <v>15219</v>
      </c>
      <c r="H1574" s="5" t="s">
        <v>15220</v>
      </c>
      <c r="I1574" s="13" t="s">
        <v>15221</v>
      </c>
      <c r="J1574" s="5" t="s">
        <v>15222</v>
      </c>
      <c r="K1574" s="5" t="s">
        <v>15223</v>
      </c>
      <c r="L1574" s="13" t="s">
        <v>15224</v>
      </c>
      <c r="M1574" s="13" t="s">
        <v>15225</v>
      </c>
      <c r="N1574" s="5" t="n">
        <f aca="false">LEN(L1574)</f>
        <v>25</v>
      </c>
      <c r="O1574" s="5" t="n">
        <f aca="false">LEN(M1574)</f>
        <v>25</v>
      </c>
      <c r="P1574" s="14" t="n">
        <f aca="false">IF(N1574=0,"",(N1574-LEN(SUBSTITUTE(SUBSTITUTE(L1574,"G",""),"C","")))/N1574)</f>
        <v>0.52</v>
      </c>
      <c r="Q1574" s="14" t="n">
        <f aca="false">IF(O1574=0,"",(O1574-LEN(SUBSTITUTE(SUBSTITUTE(M1574,"G",""),"C","")))/O1574)</f>
        <v>0.64</v>
      </c>
      <c r="R1574" s="5"/>
      <c r="S1574" s="8" t="s">
        <v>2131</v>
      </c>
      <c r="T1574" s="5"/>
      <c r="U1574" s="5" t="s">
        <v>2986</v>
      </c>
      <c r="V1574" s="5" t="s">
        <v>1546</v>
      </c>
      <c r="W1574" s="5" t="s">
        <v>15189</v>
      </c>
      <c r="X1574" s="5"/>
      <c r="Y1574" s="5"/>
    </row>
    <row r="1575" customFormat="false" ht="15" hidden="false" customHeight="false" outlineLevel="0" collapsed="false">
      <c r="A1575" s="5" t="s">
        <v>15226</v>
      </c>
      <c r="B1575" s="5" t="s">
        <v>1543</v>
      </c>
      <c r="C1575" s="5" t="s">
        <v>1544</v>
      </c>
      <c r="D1575" s="6" t="s">
        <v>45</v>
      </c>
      <c r="E1575" s="5" t="n">
        <v>6</v>
      </c>
      <c r="F1575" s="5" t="s">
        <v>15227</v>
      </c>
      <c r="G1575" s="13" t="s">
        <v>15228</v>
      </c>
      <c r="H1575" s="5" t="s">
        <v>15229</v>
      </c>
      <c r="I1575" s="13" t="s">
        <v>15230</v>
      </c>
      <c r="J1575" s="5" t="s">
        <v>15231</v>
      </c>
      <c r="K1575" s="5" t="s">
        <v>15232</v>
      </c>
      <c r="L1575" s="13" t="s">
        <v>15233</v>
      </c>
      <c r="M1575" s="13" t="s">
        <v>15234</v>
      </c>
      <c r="N1575" s="5" t="n">
        <f aca="false">LEN(L1575)</f>
        <v>25</v>
      </c>
      <c r="O1575" s="5" t="n">
        <f aca="false">LEN(M1575)</f>
        <v>25</v>
      </c>
      <c r="P1575" s="14" t="n">
        <f aca="false">IF(N1575=0,"",(N1575-LEN(SUBSTITUTE(SUBSTITUTE(L1575,"G",""),"C","")))/N1575)</f>
        <v>0.48</v>
      </c>
      <c r="Q1575" s="14" t="n">
        <f aca="false">IF(O1575=0,"",(O1575-LEN(SUBSTITUTE(SUBSTITUTE(M1575,"G",""),"C","")))/O1575)</f>
        <v>0.72</v>
      </c>
      <c r="R1575" s="5"/>
      <c r="S1575" s="8" t="s">
        <v>2131</v>
      </c>
      <c r="T1575" s="5"/>
      <c r="U1575" s="5" t="s">
        <v>2986</v>
      </c>
      <c r="V1575" s="5" t="s">
        <v>1546</v>
      </c>
      <c r="W1575" s="5" t="s">
        <v>15189</v>
      </c>
      <c r="X1575" s="5"/>
      <c r="Y1575" s="5"/>
    </row>
    <row r="1576" customFormat="false" ht="15" hidden="false" customHeight="false" outlineLevel="0" collapsed="false">
      <c r="A1576" s="5" t="s">
        <v>15235</v>
      </c>
      <c r="B1576" s="5" t="s">
        <v>1547</v>
      </c>
      <c r="C1576" s="5" t="s">
        <v>1548</v>
      </c>
      <c r="D1576" s="6" t="s">
        <v>45</v>
      </c>
      <c r="E1576" s="5" t="n">
        <v>1</v>
      </c>
      <c r="F1576" s="5" t="s">
        <v>15236</v>
      </c>
      <c r="G1576" s="13" t="s">
        <v>15237</v>
      </c>
      <c r="H1576" s="5" t="s">
        <v>15238</v>
      </c>
      <c r="I1576" s="13" t="s">
        <v>15239</v>
      </c>
      <c r="J1576" s="5" t="s">
        <v>15240</v>
      </c>
      <c r="K1576" s="5" t="s">
        <v>15241</v>
      </c>
      <c r="L1576" s="13" t="s">
        <v>15242</v>
      </c>
      <c r="M1576" s="13" t="s">
        <v>15243</v>
      </c>
      <c r="N1576" s="5" t="n">
        <f aca="false">LEN(L1576)</f>
        <v>25</v>
      </c>
      <c r="O1576" s="5" t="n">
        <f aca="false">LEN(M1576)</f>
        <v>25</v>
      </c>
      <c r="P1576" s="14" t="n">
        <f aca="false">IF(N1576=0,"",(N1576-LEN(SUBSTITUTE(SUBSTITUTE(L1576,"G",""),"C","")))/N1576)</f>
        <v>0.44</v>
      </c>
      <c r="Q1576" s="14" t="n">
        <f aca="false">IF(O1576=0,"",(O1576-LEN(SUBSTITUTE(SUBSTITUTE(M1576,"G",""),"C","")))/O1576)</f>
        <v>0.52</v>
      </c>
      <c r="R1576" s="5"/>
      <c r="S1576" s="8" t="s">
        <v>2131</v>
      </c>
      <c r="T1576" s="5"/>
      <c r="U1576" s="5" t="s">
        <v>15244</v>
      </c>
      <c r="V1576" s="5" t="s">
        <v>1549</v>
      </c>
      <c r="W1576" s="5"/>
      <c r="X1576" s="5"/>
      <c r="Y1576" s="5"/>
    </row>
    <row r="1577" customFormat="false" ht="15" hidden="false" customHeight="false" outlineLevel="0" collapsed="false">
      <c r="A1577" s="5" t="s">
        <v>15245</v>
      </c>
      <c r="B1577" s="5" t="s">
        <v>1547</v>
      </c>
      <c r="C1577" s="5" t="s">
        <v>1548</v>
      </c>
      <c r="D1577" s="6" t="s">
        <v>45</v>
      </c>
      <c r="E1577" s="5" t="n">
        <v>2</v>
      </c>
      <c r="F1577" s="5" t="s">
        <v>15246</v>
      </c>
      <c r="G1577" s="13" t="s">
        <v>15247</v>
      </c>
      <c r="H1577" s="5" t="s">
        <v>15248</v>
      </c>
      <c r="I1577" s="13" t="s">
        <v>15249</v>
      </c>
      <c r="J1577" s="5" t="s">
        <v>15250</v>
      </c>
      <c r="K1577" s="5" t="s">
        <v>15251</v>
      </c>
      <c r="L1577" s="13" t="s">
        <v>15252</v>
      </c>
      <c r="M1577" s="13" t="s">
        <v>15253</v>
      </c>
      <c r="N1577" s="5" t="n">
        <f aca="false">LEN(L1577)</f>
        <v>25</v>
      </c>
      <c r="O1577" s="5" t="n">
        <f aca="false">LEN(M1577)</f>
        <v>25</v>
      </c>
      <c r="P1577" s="14" t="n">
        <f aca="false">IF(N1577=0,"",(N1577-LEN(SUBSTITUTE(SUBSTITUTE(L1577,"G",""),"C","")))/N1577)</f>
        <v>0.72</v>
      </c>
      <c r="Q1577" s="14" t="n">
        <f aca="false">IF(O1577=0,"",(O1577-LEN(SUBSTITUTE(SUBSTITUTE(M1577,"G",""),"C","")))/O1577)</f>
        <v>0.6</v>
      </c>
      <c r="R1577" s="5"/>
      <c r="S1577" s="8" t="s">
        <v>2131</v>
      </c>
      <c r="T1577" s="5"/>
      <c r="U1577" s="5" t="s">
        <v>15244</v>
      </c>
      <c r="V1577" s="5" t="s">
        <v>1549</v>
      </c>
      <c r="W1577" s="5"/>
      <c r="X1577" s="5"/>
      <c r="Y1577" s="5"/>
    </row>
    <row r="1578" customFormat="false" ht="15" hidden="false" customHeight="false" outlineLevel="0" collapsed="false">
      <c r="A1578" s="5" t="s">
        <v>15254</v>
      </c>
      <c r="B1578" s="5" t="s">
        <v>1547</v>
      </c>
      <c r="C1578" s="5" t="s">
        <v>1548</v>
      </c>
      <c r="D1578" s="6" t="s">
        <v>45</v>
      </c>
      <c r="E1578" s="5" t="n">
        <v>3</v>
      </c>
      <c r="F1578" s="5" t="s">
        <v>15255</v>
      </c>
      <c r="G1578" s="13" t="s">
        <v>15256</v>
      </c>
      <c r="H1578" s="5" t="s">
        <v>15257</v>
      </c>
      <c r="I1578" s="13" t="s">
        <v>15258</v>
      </c>
      <c r="J1578" s="5" t="s">
        <v>15259</v>
      </c>
      <c r="K1578" s="5" t="s">
        <v>15260</v>
      </c>
      <c r="L1578" s="13" t="s">
        <v>15261</v>
      </c>
      <c r="M1578" s="13" t="s">
        <v>15262</v>
      </c>
      <c r="N1578" s="5" t="n">
        <f aca="false">LEN(L1578)</f>
        <v>25</v>
      </c>
      <c r="O1578" s="5" t="n">
        <f aca="false">LEN(M1578)</f>
        <v>25</v>
      </c>
      <c r="P1578" s="14" t="n">
        <f aca="false">IF(N1578=0,"",(N1578-LEN(SUBSTITUTE(SUBSTITUTE(L1578,"G",""),"C","")))/N1578)</f>
        <v>0.44</v>
      </c>
      <c r="Q1578" s="14" t="n">
        <f aca="false">IF(O1578=0,"",(O1578-LEN(SUBSTITUTE(SUBSTITUTE(M1578,"G",""),"C","")))/O1578)</f>
        <v>0.68</v>
      </c>
      <c r="R1578" s="5"/>
      <c r="S1578" s="8" t="s">
        <v>2131</v>
      </c>
      <c r="T1578" s="5"/>
      <c r="U1578" s="5" t="s">
        <v>15244</v>
      </c>
      <c r="V1578" s="5" t="s">
        <v>1549</v>
      </c>
      <c r="W1578" s="5"/>
      <c r="X1578" s="5"/>
      <c r="Y1578" s="5"/>
    </row>
    <row r="1579" customFormat="false" ht="15" hidden="false" customHeight="false" outlineLevel="0" collapsed="false">
      <c r="A1579" s="5" t="s">
        <v>15263</v>
      </c>
      <c r="B1579" s="5" t="s">
        <v>1547</v>
      </c>
      <c r="C1579" s="5" t="s">
        <v>1548</v>
      </c>
      <c r="D1579" s="6" t="s">
        <v>45</v>
      </c>
      <c r="E1579" s="5" t="n">
        <v>4</v>
      </c>
      <c r="F1579" s="5" t="s">
        <v>15264</v>
      </c>
      <c r="G1579" s="13" t="s">
        <v>15265</v>
      </c>
      <c r="H1579" s="5" t="s">
        <v>15266</v>
      </c>
      <c r="I1579" s="13" t="s">
        <v>15267</v>
      </c>
      <c r="J1579" s="5" t="s">
        <v>15268</v>
      </c>
      <c r="K1579" s="5" t="s">
        <v>15269</v>
      </c>
      <c r="L1579" s="13" t="s">
        <v>15270</v>
      </c>
      <c r="M1579" s="13" t="s">
        <v>15271</v>
      </c>
      <c r="N1579" s="5" t="n">
        <f aca="false">LEN(L1579)</f>
        <v>25</v>
      </c>
      <c r="O1579" s="5" t="n">
        <f aca="false">LEN(M1579)</f>
        <v>25</v>
      </c>
      <c r="P1579" s="14" t="n">
        <f aca="false">IF(N1579=0,"",(N1579-LEN(SUBSTITUTE(SUBSTITUTE(L1579,"G",""),"C","")))/N1579)</f>
        <v>0.6</v>
      </c>
      <c r="Q1579" s="14" t="n">
        <f aca="false">IF(O1579=0,"",(O1579-LEN(SUBSTITUTE(SUBSTITUTE(M1579,"G",""),"C","")))/O1579)</f>
        <v>0.6</v>
      </c>
      <c r="R1579" s="5"/>
      <c r="S1579" s="8" t="s">
        <v>2131</v>
      </c>
      <c r="T1579" s="5"/>
      <c r="U1579" s="5" t="s">
        <v>15244</v>
      </c>
      <c r="V1579" s="5" t="s">
        <v>1549</v>
      </c>
      <c r="W1579" s="5"/>
      <c r="X1579" s="5"/>
      <c r="Y1579" s="5"/>
    </row>
    <row r="1580" customFormat="false" ht="15" hidden="false" customHeight="false" outlineLevel="0" collapsed="false">
      <c r="A1580" s="5" t="s">
        <v>15272</v>
      </c>
      <c r="B1580" s="5" t="s">
        <v>1547</v>
      </c>
      <c r="C1580" s="5" t="s">
        <v>1548</v>
      </c>
      <c r="D1580" s="6" t="s">
        <v>45</v>
      </c>
      <c r="E1580" s="5" t="n">
        <v>5</v>
      </c>
      <c r="F1580" s="5" t="s">
        <v>15273</v>
      </c>
      <c r="G1580" s="13" t="s">
        <v>15274</v>
      </c>
      <c r="H1580" s="5" t="s">
        <v>15275</v>
      </c>
      <c r="I1580" s="13" t="s">
        <v>15276</v>
      </c>
      <c r="J1580" s="5" t="s">
        <v>15277</v>
      </c>
      <c r="K1580" s="5" t="s">
        <v>15278</v>
      </c>
      <c r="L1580" s="13" t="s">
        <v>15279</v>
      </c>
      <c r="M1580" s="13" t="s">
        <v>15280</v>
      </c>
      <c r="N1580" s="5" t="n">
        <f aca="false">LEN(L1580)</f>
        <v>25</v>
      </c>
      <c r="O1580" s="5" t="n">
        <f aca="false">LEN(M1580)</f>
        <v>25</v>
      </c>
      <c r="P1580" s="14" t="n">
        <f aca="false">IF(N1580=0,"",(N1580-LEN(SUBSTITUTE(SUBSTITUTE(L1580,"G",""),"C","")))/N1580)</f>
        <v>0.6</v>
      </c>
      <c r="Q1580" s="14" t="n">
        <f aca="false">IF(O1580=0,"",(O1580-LEN(SUBSTITUTE(SUBSTITUTE(M1580,"G",""),"C","")))/O1580)</f>
        <v>0.6</v>
      </c>
      <c r="R1580" s="5"/>
      <c r="S1580" s="8" t="s">
        <v>2131</v>
      </c>
      <c r="T1580" s="5"/>
      <c r="U1580" s="5" t="s">
        <v>15244</v>
      </c>
      <c r="V1580" s="5" t="s">
        <v>1549</v>
      </c>
      <c r="W1580" s="5"/>
      <c r="X1580" s="5"/>
      <c r="Y1580" s="5"/>
    </row>
    <row r="1581" customFormat="false" ht="15" hidden="false" customHeight="false" outlineLevel="0" collapsed="false">
      <c r="A1581" s="5" t="s">
        <v>15281</v>
      </c>
      <c r="B1581" s="5" t="s">
        <v>1547</v>
      </c>
      <c r="C1581" s="5" t="s">
        <v>1548</v>
      </c>
      <c r="D1581" s="6" t="s">
        <v>45</v>
      </c>
      <c r="E1581" s="5" t="n">
        <v>6</v>
      </c>
      <c r="F1581" s="5" t="s">
        <v>15282</v>
      </c>
      <c r="G1581" s="13" t="s">
        <v>15283</v>
      </c>
      <c r="H1581" s="5" t="s">
        <v>15284</v>
      </c>
      <c r="I1581" s="13" t="s">
        <v>15285</v>
      </c>
      <c r="J1581" s="5" t="s">
        <v>15286</v>
      </c>
      <c r="K1581" s="5" t="s">
        <v>15287</v>
      </c>
      <c r="L1581" s="13" t="s">
        <v>15288</v>
      </c>
      <c r="M1581" s="13" t="s">
        <v>15289</v>
      </c>
      <c r="N1581" s="5" t="n">
        <f aca="false">LEN(L1581)</f>
        <v>25</v>
      </c>
      <c r="O1581" s="5" t="n">
        <f aca="false">LEN(M1581)</f>
        <v>25</v>
      </c>
      <c r="P1581" s="14" t="n">
        <f aca="false">IF(N1581=0,"",(N1581-LEN(SUBSTITUTE(SUBSTITUTE(L1581,"G",""),"C","")))/N1581)</f>
        <v>0.6</v>
      </c>
      <c r="Q1581" s="14" t="n">
        <f aca="false">IF(O1581=0,"",(O1581-LEN(SUBSTITUTE(SUBSTITUTE(M1581,"G",""),"C","")))/O1581)</f>
        <v>0.52</v>
      </c>
      <c r="R1581" s="5"/>
      <c r="S1581" s="8" t="s">
        <v>2131</v>
      </c>
      <c r="T1581" s="5"/>
      <c r="U1581" s="5" t="s">
        <v>15244</v>
      </c>
      <c r="V1581" s="5" t="s">
        <v>1549</v>
      </c>
      <c r="W1581" s="5"/>
      <c r="X1581" s="5"/>
      <c r="Y1581" s="5"/>
    </row>
    <row r="1582" customFormat="false" ht="15" hidden="false" customHeight="false" outlineLevel="0" collapsed="false">
      <c r="A1582" s="5" t="s">
        <v>15290</v>
      </c>
      <c r="B1582" s="5" t="s">
        <v>1550</v>
      </c>
      <c r="C1582" s="5" t="s">
        <v>1551</v>
      </c>
      <c r="D1582" s="6" t="s">
        <v>45</v>
      </c>
      <c r="E1582" s="5" t="n">
        <v>1</v>
      </c>
      <c r="F1582" s="5" t="s">
        <v>15291</v>
      </c>
      <c r="G1582" s="13" t="s">
        <v>15292</v>
      </c>
      <c r="H1582" s="5" t="s">
        <v>15293</v>
      </c>
      <c r="I1582" s="13" t="s">
        <v>15294</v>
      </c>
      <c r="J1582" s="5" t="s">
        <v>15295</v>
      </c>
      <c r="K1582" s="5" t="s">
        <v>15296</v>
      </c>
      <c r="L1582" s="13" t="s">
        <v>15297</v>
      </c>
      <c r="M1582" s="13" t="s">
        <v>15298</v>
      </c>
      <c r="N1582" s="5" t="n">
        <f aca="false">LEN(L1582)</f>
        <v>25</v>
      </c>
      <c r="O1582" s="5" t="n">
        <f aca="false">LEN(M1582)</f>
        <v>25</v>
      </c>
      <c r="P1582" s="14" t="n">
        <f aca="false">IF(N1582=0,"",(N1582-LEN(SUBSTITUTE(SUBSTITUTE(L1582,"G",""),"C","")))/N1582)</f>
        <v>0.76</v>
      </c>
      <c r="Q1582" s="14" t="n">
        <f aca="false">IF(O1582=0,"",(O1582-LEN(SUBSTITUTE(SUBSTITUTE(M1582,"G",""),"C","")))/O1582)</f>
        <v>0.64</v>
      </c>
      <c r="R1582" s="5"/>
      <c r="S1582" s="8" t="s">
        <v>2131</v>
      </c>
      <c r="T1582" s="5"/>
      <c r="U1582" s="5" t="s">
        <v>15244</v>
      </c>
      <c r="V1582" s="5" t="s">
        <v>1549</v>
      </c>
      <c r="W1582" s="5"/>
      <c r="X1582" s="5"/>
      <c r="Y1582" s="5"/>
    </row>
    <row r="1583" customFormat="false" ht="15" hidden="false" customHeight="false" outlineLevel="0" collapsed="false">
      <c r="A1583" s="5" t="s">
        <v>15299</v>
      </c>
      <c r="B1583" s="5" t="s">
        <v>1550</v>
      </c>
      <c r="C1583" s="5" t="s">
        <v>1551</v>
      </c>
      <c r="D1583" s="6" t="s">
        <v>45</v>
      </c>
      <c r="E1583" s="5" t="n">
        <v>2</v>
      </c>
      <c r="F1583" s="5" t="s">
        <v>15300</v>
      </c>
      <c r="G1583" s="13" t="s">
        <v>15301</v>
      </c>
      <c r="H1583" s="5" t="s">
        <v>15302</v>
      </c>
      <c r="I1583" s="13" t="s">
        <v>15303</v>
      </c>
      <c r="J1583" s="5" t="s">
        <v>15304</v>
      </c>
      <c r="K1583" s="5" t="s">
        <v>15305</v>
      </c>
      <c r="L1583" s="13" t="s">
        <v>15306</v>
      </c>
      <c r="M1583" s="13" t="s">
        <v>15307</v>
      </c>
      <c r="N1583" s="5" t="n">
        <f aca="false">LEN(L1583)</f>
        <v>25</v>
      </c>
      <c r="O1583" s="5" t="n">
        <f aca="false">LEN(M1583)</f>
        <v>25</v>
      </c>
      <c r="P1583" s="14" t="n">
        <f aca="false">IF(N1583=0,"",(N1583-LEN(SUBSTITUTE(SUBSTITUTE(L1583,"G",""),"C","")))/N1583)</f>
        <v>0.52</v>
      </c>
      <c r="Q1583" s="14" t="n">
        <f aca="false">IF(O1583=0,"",(O1583-LEN(SUBSTITUTE(SUBSTITUTE(M1583,"G",""),"C","")))/O1583)</f>
        <v>0.56</v>
      </c>
      <c r="R1583" s="5"/>
      <c r="S1583" s="8" t="s">
        <v>2131</v>
      </c>
      <c r="T1583" s="5"/>
      <c r="U1583" s="5" t="s">
        <v>15244</v>
      </c>
      <c r="V1583" s="5" t="s">
        <v>1549</v>
      </c>
      <c r="W1583" s="5"/>
      <c r="X1583" s="5"/>
      <c r="Y1583" s="5"/>
    </row>
    <row r="1584" customFormat="false" ht="15" hidden="false" customHeight="false" outlineLevel="0" collapsed="false">
      <c r="A1584" s="5" t="s">
        <v>15308</v>
      </c>
      <c r="B1584" s="5" t="s">
        <v>1550</v>
      </c>
      <c r="C1584" s="5" t="s">
        <v>1551</v>
      </c>
      <c r="D1584" s="6" t="s">
        <v>45</v>
      </c>
      <c r="E1584" s="5" t="n">
        <v>3</v>
      </c>
      <c r="F1584" s="5" t="s">
        <v>15309</v>
      </c>
      <c r="G1584" s="13" t="s">
        <v>15310</v>
      </c>
      <c r="H1584" s="5" t="s">
        <v>15311</v>
      </c>
      <c r="I1584" s="13" t="s">
        <v>15312</v>
      </c>
      <c r="J1584" s="5" t="s">
        <v>15313</v>
      </c>
      <c r="K1584" s="5" t="s">
        <v>15314</v>
      </c>
      <c r="L1584" s="13" t="s">
        <v>15315</v>
      </c>
      <c r="M1584" s="13" t="s">
        <v>15316</v>
      </c>
      <c r="N1584" s="5" t="n">
        <f aca="false">LEN(L1584)</f>
        <v>25</v>
      </c>
      <c r="O1584" s="5" t="n">
        <f aca="false">LEN(M1584)</f>
        <v>25</v>
      </c>
      <c r="P1584" s="14" t="n">
        <f aca="false">IF(N1584=0,"",(N1584-LEN(SUBSTITUTE(SUBSTITUTE(L1584,"G",""),"C","")))/N1584)</f>
        <v>0.48</v>
      </c>
      <c r="Q1584" s="14" t="n">
        <f aca="false">IF(O1584=0,"",(O1584-LEN(SUBSTITUTE(SUBSTITUTE(M1584,"G",""),"C","")))/O1584)</f>
        <v>0.56</v>
      </c>
      <c r="R1584" s="5"/>
      <c r="S1584" s="8" t="s">
        <v>2131</v>
      </c>
      <c r="T1584" s="5"/>
      <c r="U1584" s="5" t="s">
        <v>15244</v>
      </c>
      <c r="V1584" s="5" t="s">
        <v>1549</v>
      </c>
      <c r="W1584" s="5"/>
      <c r="X1584" s="5"/>
      <c r="Y1584" s="5"/>
    </row>
    <row r="1585" customFormat="false" ht="15" hidden="false" customHeight="false" outlineLevel="0" collapsed="false">
      <c r="A1585" s="5" t="s">
        <v>15317</v>
      </c>
      <c r="B1585" s="5" t="s">
        <v>1550</v>
      </c>
      <c r="C1585" s="5" t="s">
        <v>1551</v>
      </c>
      <c r="D1585" s="6" t="s">
        <v>45</v>
      </c>
      <c r="E1585" s="5" t="n">
        <v>4</v>
      </c>
      <c r="F1585" s="5" t="s">
        <v>15318</v>
      </c>
      <c r="G1585" s="13" t="s">
        <v>15319</v>
      </c>
      <c r="H1585" s="5" t="s">
        <v>15320</v>
      </c>
      <c r="I1585" s="13" t="s">
        <v>15321</v>
      </c>
      <c r="J1585" s="5" t="s">
        <v>15322</v>
      </c>
      <c r="K1585" s="5" t="s">
        <v>15323</v>
      </c>
      <c r="L1585" s="13" t="s">
        <v>15324</v>
      </c>
      <c r="M1585" s="13" t="s">
        <v>15325</v>
      </c>
      <c r="N1585" s="5" t="n">
        <f aca="false">LEN(L1585)</f>
        <v>25</v>
      </c>
      <c r="O1585" s="5" t="n">
        <f aca="false">LEN(M1585)</f>
        <v>25</v>
      </c>
      <c r="P1585" s="14" t="n">
        <f aca="false">IF(N1585=0,"",(N1585-LEN(SUBSTITUTE(SUBSTITUTE(L1585,"G",""),"C","")))/N1585)</f>
        <v>0.48</v>
      </c>
      <c r="Q1585" s="14" t="n">
        <f aca="false">IF(O1585=0,"",(O1585-LEN(SUBSTITUTE(SUBSTITUTE(M1585,"G",""),"C","")))/O1585)</f>
        <v>0.24</v>
      </c>
      <c r="R1585" s="5"/>
      <c r="S1585" s="8" t="s">
        <v>2131</v>
      </c>
      <c r="T1585" s="5"/>
      <c r="U1585" s="5" t="s">
        <v>15244</v>
      </c>
      <c r="V1585" s="5" t="s">
        <v>1549</v>
      </c>
      <c r="W1585" s="5"/>
      <c r="X1585" s="5"/>
      <c r="Y1585" s="5"/>
    </row>
    <row r="1586" customFormat="false" ht="15" hidden="false" customHeight="false" outlineLevel="0" collapsed="false">
      <c r="A1586" s="5" t="s">
        <v>15326</v>
      </c>
      <c r="B1586" s="5" t="s">
        <v>1550</v>
      </c>
      <c r="C1586" s="5" t="s">
        <v>1551</v>
      </c>
      <c r="D1586" s="6" t="s">
        <v>45</v>
      </c>
      <c r="E1586" s="5" t="n">
        <v>5</v>
      </c>
      <c r="F1586" s="5" t="s">
        <v>15327</v>
      </c>
      <c r="G1586" s="13" t="s">
        <v>15328</v>
      </c>
      <c r="H1586" s="5" t="s">
        <v>15329</v>
      </c>
      <c r="I1586" s="13" t="s">
        <v>15330</v>
      </c>
      <c r="J1586" s="5" t="s">
        <v>15331</v>
      </c>
      <c r="K1586" s="5" t="s">
        <v>15332</v>
      </c>
      <c r="L1586" s="13" t="s">
        <v>15333</v>
      </c>
      <c r="M1586" s="13" t="s">
        <v>15334</v>
      </c>
      <c r="N1586" s="5" t="n">
        <f aca="false">LEN(L1586)</f>
        <v>25</v>
      </c>
      <c r="O1586" s="5" t="n">
        <f aca="false">LEN(M1586)</f>
        <v>25</v>
      </c>
      <c r="P1586" s="14" t="n">
        <f aca="false">IF(N1586=0,"",(N1586-LEN(SUBSTITUTE(SUBSTITUTE(L1586,"G",""),"C","")))/N1586)</f>
        <v>0.36</v>
      </c>
      <c r="Q1586" s="14" t="n">
        <f aca="false">IF(O1586=0,"",(O1586-LEN(SUBSTITUTE(SUBSTITUTE(M1586,"G",""),"C","")))/O1586)</f>
        <v>0.48</v>
      </c>
      <c r="R1586" s="5"/>
      <c r="S1586" s="8" t="s">
        <v>2131</v>
      </c>
      <c r="T1586" s="5"/>
      <c r="U1586" s="5" t="s">
        <v>15244</v>
      </c>
      <c r="V1586" s="5" t="s">
        <v>1549</v>
      </c>
      <c r="W1586" s="5"/>
      <c r="X1586" s="5"/>
      <c r="Y1586" s="5"/>
    </row>
    <row r="1587" customFormat="false" ht="15" hidden="false" customHeight="false" outlineLevel="0" collapsed="false">
      <c r="A1587" s="5" t="s">
        <v>15335</v>
      </c>
      <c r="B1587" s="5" t="s">
        <v>1550</v>
      </c>
      <c r="C1587" s="5" t="s">
        <v>1551</v>
      </c>
      <c r="D1587" s="6" t="s">
        <v>45</v>
      </c>
      <c r="E1587" s="5" t="n">
        <v>6</v>
      </c>
      <c r="F1587" s="5" t="s">
        <v>15336</v>
      </c>
      <c r="G1587" s="13" t="s">
        <v>15337</v>
      </c>
      <c r="H1587" s="5" t="s">
        <v>15338</v>
      </c>
      <c r="I1587" s="13" t="s">
        <v>15339</v>
      </c>
      <c r="J1587" s="5" t="s">
        <v>15340</v>
      </c>
      <c r="K1587" s="5" t="s">
        <v>15341</v>
      </c>
      <c r="L1587" s="13" t="s">
        <v>15342</v>
      </c>
      <c r="M1587" s="13" t="s">
        <v>15343</v>
      </c>
      <c r="N1587" s="5" t="n">
        <f aca="false">LEN(L1587)</f>
        <v>25</v>
      </c>
      <c r="O1587" s="5" t="n">
        <f aca="false">LEN(M1587)</f>
        <v>25</v>
      </c>
      <c r="P1587" s="14" t="n">
        <f aca="false">IF(N1587=0,"",(N1587-LEN(SUBSTITUTE(SUBSTITUTE(L1587,"G",""),"C","")))/N1587)</f>
        <v>0.56</v>
      </c>
      <c r="Q1587" s="14" t="n">
        <f aca="false">IF(O1587=0,"",(O1587-LEN(SUBSTITUTE(SUBSTITUTE(M1587,"G",""),"C","")))/O1587)</f>
        <v>0.56</v>
      </c>
      <c r="R1587" s="5"/>
      <c r="S1587" s="8" t="s">
        <v>2131</v>
      </c>
      <c r="T1587" s="5"/>
      <c r="U1587" s="5" t="s">
        <v>15244</v>
      </c>
      <c r="V1587" s="5" t="s">
        <v>1549</v>
      </c>
      <c r="W1587" s="5"/>
      <c r="X1587" s="5"/>
      <c r="Y1587" s="5"/>
    </row>
    <row r="1588" customFormat="false" ht="15" hidden="false" customHeight="false" outlineLevel="0" collapsed="false">
      <c r="A1588" s="5" t="s">
        <v>15344</v>
      </c>
      <c r="B1588" s="5" t="s">
        <v>1552</v>
      </c>
      <c r="C1588" s="5" t="s">
        <v>1553</v>
      </c>
      <c r="D1588" s="6" t="s">
        <v>45</v>
      </c>
      <c r="E1588" s="5" t="n">
        <v>1</v>
      </c>
      <c r="F1588" s="5" t="s">
        <v>15345</v>
      </c>
      <c r="G1588" s="13" t="s">
        <v>15346</v>
      </c>
      <c r="H1588" s="5" t="s">
        <v>15347</v>
      </c>
      <c r="I1588" s="13" t="s">
        <v>15348</v>
      </c>
      <c r="J1588" s="5" t="s">
        <v>15349</v>
      </c>
      <c r="K1588" s="5" t="s">
        <v>15350</v>
      </c>
      <c r="L1588" s="13" t="s">
        <v>15351</v>
      </c>
      <c r="M1588" s="13" t="s">
        <v>15352</v>
      </c>
      <c r="N1588" s="5" t="n">
        <f aca="false">LEN(L1588)</f>
        <v>25</v>
      </c>
      <c r="O1588" s="5" t="n">
        <f aca="false">LEN(M1588)</f>
        <v>25</v>
      </c>
      <c r="P1588" s="14" t="n">
        <f aca="false">IF(N1588=0,"",(N1588-LEN(SUBSTITUTE(SUBSTITUTE(L1588,"G",""),"C","")))/N1588)</f>
        <v>0.44</v>
      </c>
      <c r="Q1588" s="14" t="n">
        <f aca="false">IF(O1588=0,"",(O1588-LEN(SUBSTITUTE(SUBSTITUTE(M1588,"G",""),"C","")))/O1588)</f>
        <v>0.6</v>
      </c>
      <c r="R1588" s="5"/>
      <c r="S1588" s="8" t="s">
        <v>2131</v>
      </c>
      <c r="T1588" s="5"/>
      <c r="U1588" s="5" t="s">
        <v>2986</v>
      </c>
      <c r="V1588" s="5" t="s">
        <v>1546</v>
      </c>
      <c r="W1588" s="5" t="s">
        <v>15353</v>
      </c>
      <c r="X1588" s="5"/>
      <c r="Y1588" s="5"/>
    </row>
    <row r="1589" customFormat="false" ht="15" hidden="false" customHeight="false" outlineLevel="0" collapsed="false">
      <c r="A1589" s="5" t="s">
        <v>15354</v>
      </c>
      <c r="B1589" s="5" t="s">
        <v>1552</v>
      </c>
      <c r="C1589" s="5" t="s">
        <v>1553</v>
      </c>
      <c r="D1589" s="6" t="s">
        <v>45</v>
      </c>
      <c r="E1589" s="5" t="n">
        <v>2</v>
      </c>
      <c r="F1589" s="5" t="s">
        <v>15355</v>
      </c>
      <c r="G1589" s="13" t="s">
        <v>15356</v>
      </c>
      <c r="H1589" s="5" t="s">
        <v>15357</v>
      </c>
      <c r="I1589" s="13" t="s">
        <v>15358</v>
      </c>
      <c r="J1589" s="5" t="s">
        <v>15359</v>
      </c>
      <c r="K1589" s="5" t="s">
        <v>15360</v>
      </c>
      <c r="L1589" s="13" t="s">
        <v>15361</v>
      </c>
      <c r="M1589" s="13" t="s">
        <v>15362</v>
      </c>
      <c r="N1589" s="5" t="n">
        <f aca="false">LEN(L1589)</f>
        <v>25</v>
      </c>
      <c r="O1589" s="5" t="n">
        <f aca="false">LEN(M1589)</f>
        <v>25</v>
      </c>
      <c r="P1589" s="14" t="n">
        <f aca="false">IF(N1589=0,"",(N1589-LEN(SUBSTITUTE(SUBSTITUTE(L1589,"G",""),"C","")))/N1589)</f>
        <v>0.56</v>
      </c>
      <c r="Q1589" s="14" t="n">
        <f aca="false">IF(O1589=0,"",(O1589-LEN(SUBSTITUTE(SUBSTITUTE(M1589,"G",""),"C","")))/O1589)</f>
        <v>0.44</v>
      </c>
      <c r="R1589" s="5"/>
      <c r="S1589" s="8" t="s">
        <v>2131</v>
      </c>
      <c r="T1589" s="5"/>
      <c r="U1589" s="5" t="s">
        <v>2986</v>
      </c>
      <c r="V1589" s="5" t="s">
        <v>1546</v>
      </c>
      <c r="W1589" s="5" t="s">
        <v>15353</v>
      </c>
      <c r="X1589" s="5"/>
      <c r="Y1589" s="5"/>
    </row>
    <row r="1590" customFormat="false" ht="15" hidden="false" customHeight="false" outlineLevel="0" collapsed="false">
      <c r="A1590" s="5" t="s">
        <v>15363</v>
      </c>
      <c r="B1590" s="5" t="s">
        <v>1552</v>
      </c>
      <c r="C1590" s="5" t="s">
        <v>1553</v>
      </c>
      <c r="D1590" s="6" t="s">
        <v>45</v>
      </c>
      <c r="E1590" s="5" t="n">
        <v>3</v>
      </c>
      <c r="F1590" s="5" t="s">
        <v>15364</v>
      </c>
      <c r="G1590" s="13" t="s">
        <v>15365</v>
      </c>
      <c r="H1590" s="5" t="s">
        <v>15366</v>
      </c>
      <c r="I1590" s="13" t="s">
        <v>15367</v>
      </c>
      <c r="J1590" s="5" t="s">
        <v>15368</v>
      </c>
      <c r="K1590" s="5" t="s">
        <v>15369</v>
      </c>
      <c r="L1590" s="13" t="s">
        <v>15370</v>
      </c>
      <c r="M1590" s="13" t="s">
        <v>15371</v>
      </c>
      <c r="N1590" s="5" t="n">
        <f aca="false">LEN(L1590)</f>
        <v>25</v>
      </c>
      <c r="O1590" s="5" t="n">
        <f aca="false">LEN(M1590)</f>
        <v>25</v>
      </c>
      <c r="P1590" s="14" t="n">
        <f aca="false">IF(N1590=0,"",(N1590-LEN(SUBSTITUTE(SUBSTITUTE(L1590,"G",""),"C","")))/N1590)</f>
        <v>0.48</v>
      </c>
      <c r="Q1590" s="14" t="n">
        <f aca="false">IF(O1590=0,"",(O1590-LEN(SUBSTITUTE(SUBSTITUTE(M1590,"G",""),"C","")))/O1590)</f>
        <v>0.32</v>
      </c>
      <c r="R1590" s="5"/>
      <c r="S1590" s="8" t="s">
        <v>2131</v>
      </c>
      <c r="T1590" s="5"/>
      <c r="U1590" s="5" t="s">
        <v>2986</v>
      </c>
      <c r="V1590" s="5" t="s">
        <v>1546</v>
      </c>
      <c r="W1590" s="5" t="s">
        <v>15353</v>
      </c>
      <c r="X1590" s="5"/>
      <c r="Y1590" s="5"/>
    </row>
    <row r="1591" customFormat="false" ht="15" hidden="false" customHeight="false" outlineLevel="0" collapsed="false">
      <c r="A1591" s="5" t="s">
        <v>15372</v>
      </c>
      <c r="B1591" s="5" t="s">
        <v>1552</v>
      </c>
      <c r="C1591" s="5" t="s">
        <v>1553</v>
      </c>
      <c r="D1591" s="6" t="s">
        <v>45</v>
      </c>
      <c r="E1591" s="5" t="n">
        <v>4</v>
      </c>
      <c r="F1591" s="5" t="s">
        <v>15373</v>
      </c>
      <c r="G1591" s="13" t="s">
        <v>15374</v>
      </c>
      <c r="H1591" s="5" t="s">
        <v>15375</v>
      </c>
      <c r="I1591" s="13" t="s">
        <v>15376</v>
      </c>
      <c r="J1591" s="5" t="s">
        <v>15377</v>
      </c>
      <c r="K1591" s="5" t="s">
        <v>15378</v>
      </c>
      <c r="L1591" s="13" t="s">
        <v>15379</v>
      </c>
      <c r="M1591" s="13" t="s">
        <v>15380</v>
      </c>
      <c r="N1591" s="5" t="n">
        <f aca="false">LEN(L1591)</f>
        <v>25</v>
      </c>
      <c r="O1591" s="5" t="n">
        <f aca="false">LEN(M1591)</f>
        <v>25</v>
      </c>
      <c r="P1591" s="14" t="n">
        <f aca="false">IF(N1591=0,"",(N1591-LEN(SUBSTITUTE(SUBSTITUTE(L1591,"G",""),"C","")))/N1591)</f>
        <v>0.56</v>
      </c>
      <c r="Q1591" s="14" t="n">
        <f aca="false">IF(O1591=0,"",(O1591-LEN(SUBSTITUTE(SUBSTITUTE(M1591,"G",""),"C","")))/O1591)</f>
        <v>0.64</v>
      </c>
      <c r="R1591" s="5"/>
      <c r="S1591" s="8" t="s">
        <v>2131</v>
      </c>
      <c r="T1591" s="5"/>
      <c r="U1591" s="5" t="s">
        <v>2986</v>
      </c>
      <c r="V1591" s="5" t="s">
        <v>1546</v>
      </c>
      <c r="W1591" s="5" t="s">
        <v>15353</v>
      </c>
      <c r="X1591" s="5"/>
      <c r="Y1591" s="5"/>
    </row>
    <row r="1592" customFormat="false" ht="15" hidden="false" customHeight="false" outlineLevel="0" collapsed="false">
      <c r="A1592" s="5" t="s">
        <v>15381</v>
      </c>
      <c r="B1592" s="5" t="s">
        <v>1552</v>
      </c>
      <c r="C1592" s="5" t="s">
        <v>1553</v>
      </c>
      <c r="D1592" s="6" t="s">
        <v>45</v>
      </c>
      <c r="E1592" s="5" t="n">
        <v>5</v>
      </c>
      <c r="F1592" s="5" t="s">
        <v>15382</v>
      </c>
      <c r="G1592" s="13" t="s">
        <v>15383</v>
      </c>
      <c r="H1592" s="5" t="s">
        <v>15384</v>
      </c>
      <c r="I1592" s="13" t="s">
        <v>15385</v>
      </c>
      <c r="J1592" s="5" t="s">
        <v>15386</v>
      </c>
      <c r="K1592" s="5" t="s">
        <v>15387</v>
      </c>
      <c r="L1592" s="13" t="s">
        <v>15388</v>
      </c>
      <c r="M1592" s="13" t="s">
        <v>15389</v>
      </c>
      <c r="N1592" s="5" t="n">
        <f aca="false">LEN(L1592)</f>
        <v>25</v>
      </c>
      <c r="O1592" s="5" t="n">
        <f aca="false">LEN(M1592)</f>
        <v>25</v>
      </c>
      <c r="P1592" s="14" t="n">
        <f aca="false">IF(N1592=0,"",(N1592-LEN(SUBSTITUTE(SUBSTITUTE(L1592,"G",""),"C","")))/N1592)</f>
        <v>0.48</v>
      </c>
      <c r="Q1592" s="14" t="n">
        <f aca="false">IF(O1592=0,"",(O1592-LEN(SUBSTITUTE(SUBSTITUTE(M1592,"G",""),"C","")))/O1592)</f>
        <v>0.52</v>
      </c>
      <c r="R1592" s="5"/>
      <c r="S1592" s="8" t="s">
        <v>2131</v>
      </c>
      <c r="T1592" s="5"/>
      <c r="U1592" s="5" t="s">
        <v>2986</v>
      </c>
      <c r="V1592" s="5" t="s">
        <v>1546</v>
      </c>
      <c r="W1592" s="5" t="s">
        <v>15353</v>
      </c>
      <c r="X1592" s="5"/>
      <c r="Y1592" s="5"/>
    </row>
    <row r="1593" customFormat="false" ht="15" hidden="false" customHeight="false" outlineLevel="0" collapsed="false">
      <c r="A1593" s="5" t="s">
        <v>15390</v>
      </c>
      <c r="B1593" s="5" t="s">
        <v>1552</v>
      </c>
      <c r="C1593" s="5" t="s">
        <v>1553</v>
      </c>
      <c r="D1593" s="6" t="s">
        <v>45</v>
      </c>
      <c r="E1593" s="5" t="n">
        <v>6</v>
      </c>
      <c r="F1593" s="5" t="s">
        <v>15391</v>
      </c>
      <c r="G1593" s="13" t="s">
        <v>15392</v>
      </c>
      <c r="H1593" s="5" t="s">
        <v>15393</v>
      </c>
      <c r="I1593" s="13" t="s">
        <v>15394</v>
      </c>
      <c r="J1593" s="5" t="s">
        <v>15395</v>
      </c>
      <c r="K1593" s="5" t="s">
        <v>15396</v>
      </c>
      <c r="L1593" s="13" t="s">
        <v>15397</v>
      </c>
      <c r="M1593" s="13" t="s">
        <v>15398</v>
      </c>
      <c r="N1593" s="5" t="n">
        <f aca="false">LEN(L1593)</f>
        <v>25</v>
      </c>
      <c r="O1593" s="5" t="n">
        <f aca="false">LEN(M1593)</f>
        <v>25</v>
      </c>
      <c r="P1593" s="14" t="n">
        <f aca="false">IF(N1593=0,"",(N1593-LEN(SUBSTITUTE(SUBSTITUTE(L1593,"G",""),"C","")))/N1593)</f>
        <v>0.56</v>
      </c>
      <c r="Q1593" s="14" t="n">
        <f aca="false">IF(O1593=0,"",(O1593-LEN(SUBSTITUTE(SUBSTITUTE(M1593,"G",""),"C","")))/O1593)</f>
        <v>0.48</v>
      </c>
      <c r="R1593" s="5"/>
      <c r="S1593" s="8" t="s">
        <v>2131</v>
      </c>
      <c r="T1593" s="5"/>
      <c r="U1593" s="5" t="s">
        <v>2986</v>
      </c>
      <c r="V1593" s="5" t="s">
        <v>1546</v>
      </c>
      <c r="W1593" s="5" t="s">
        <v>15353</v>
      </c>
      <c r="X1593" s="5"/>
      <c r="Y1593" s="5"/>
    </row>
    <row r="1594" customFormat="false" ht="15" hidden="false" customHeight="false" outlineLevel="0" collapsed="false">
      <c r="A1594" s="5" t="s">
        <v>15399</v>
      </c>
      <c r="B1594" s="5" t="s">
        <v>1554</v>
      </c>
      <c r="C1594" s="5" t="s">
        <v>1555</v>
      </c>
      <c r="D1594" s="6" t="s">
        <v>45</v>
      </c>
      <c r="E1594" s="5" t="n">
        <v>1</v>
      </c>
      <c r="F1594" s="5" t="s">
        <v>15400</v>
      </c>
      <c r="G1594" s="13" t="s">
        <v>15401</v>
      </c>
      <c r="H1594" s="5" t="s">
        <v>15402</v>
      </c>
      <c r="I1594" s="13" t="s">
        <v>15403</v>
      </c>
      <c r="J1594" s="5" t="s">
        <v>15404</v>
      </c>
      <c r="K1594" s="5" t="s">
        <v>15405</v>
      </c>
      <c r="L1594" s="13" t="s">
        <v>15406</v>
      </c>
      <c r="M1594" s="13" t="s">
        <v>15407</v>
      </c>
      <c r="N1594" s="5" t="n">
        <f aca="false">LEN(L1594)</f>
        <v>25</v>
      </c>
      <c r="O1594" s="5" t="n">
        <f aca="false">LEN(M1594)</f>
        <v>25</v>
      </c>
      <c r="P1594" s="14" t="n">
        <f aca="false">IF(N1594=0,"",(N1594-LEN(SUBSTITUTE(SUBSTITUTE(L1594,"G",""),"C","")))/N1594)</f>
        <v>0.48</v>
      </c>
      <c r="Q1594" s="14" t="n">
        <f aca="false">IF(O1594=0,"",(O1594-LEN(SUBSTITUTE(SUBSTITUTE(M1594,"G",""),"C","")))/O1594)</f>
        <v>0.48</v>
      </c>
      <c r="R1594" s="5"/>
      <c r="S1594" s="8" t="s">
        <v>2131</v>
      </c>
      <c r="T1594" s="5"/>
      <c r="U1594" s="5" t="s">
        <v>2986</v>
      </c>
      <c r="V1594" s="5" t="s">
        <v>1556</v>
      </c>
      <c r="W1594" s="5"/>
      <c r="X1594" s="5"/>
      <c r="Y1594" s="5"/>
    </row>
    <row r="1595" customFormat="false" ht="15" hidden="false" customHeight="false" outlineLevel="0" collapsed="false">
      <c r="A1595" s="5" t="s">
        <v>15408</v>
      </c>
      <c r="B1595" s="5" t="s">
        <v>1554</v>
      </c>
      <c r="C1595" s="5" t="s">
        <v>1555</v>
      </c>
      <c r="D1595" s="6" t="s">
        <v>45</v>
      </c>
      <c r="E1595" s="5" t="n">
        <v>2</v>
      </c>
      <c r="F1595" s="5" t="s">
        <v>15409</v>
      </c>
      <c r="G1595" s="13" t="s">
        <v>15410</v>
      </c>
      <c r="H1595" s="5" t="s">
        <v>15411</v>
      </c>
      <c r="I1595" s="13" t="s">
        <v>15412</v>
      </c>
      <c r="J1595" s="5" t="s">
        <v>15413</v>
      </c>
      <c r="K1595" s="5" t="s">
        <v>15414</v>
      </c>
      <c r="L1595" s="13" t="s">
        <v>15415</v>
      </c>
      <c r="M1595" s="13" t="s">
        <v>15416</v>
      </c>
      <c r="N1595" s="5" t="n">
        <f aca="false">LEN(L1595)</f>
        <v>25</v>
      </c>
      <c r="O1595" s="5" t="n">
        <f aca="false">LEN(M1595)</f>
        <v>25</v>
      </c>
      <c r="P1595" s="14" t="n">
        <f aca="false">IF(N1595=0,"",(N1595-LEN(SUBSTITUTE(SUBSTITUTE(L1595,"G",""),"C","")))/N1595)</f>
        <v>0.6</v>
      </c>
      <c r="Q1595" s="14" t="n">
        <f aca="false">IF(O1595=0,"",(O1595-LEN(SUBSTITUTE(SUBSTITUTE(M1595,"G",""),"C","")))/O1595)</f>
        <v>0.6</v>
      </c>
      <c r="R1595" s="5"/>
      <c r="S1595" s="8" t="s">
        <v>2131</v>
      </c>
      <c r="T1595" s="5"/>
      <c r="U1595" s="5" t="s">
        <v>2986</v>
      </c>
      <c r="V1595" s="5" t="s">
        <v>1556</v>
      </c>
      <c r="W1595" s="5"/>
      <c r="X1595" s="5"/>
      <c r="Y1595" s="5"/>
    </row>
    <row r="1596" customFormat="false" ht="15" hidden="false" customHeight="false" outlineLevel="0" collapsed="false">
      <c r="A1596" s="5" t="s">
        <v>15417</v>
      </c>
      <c r="B1596" s="5" t="s">
        <v>1554</v>
      </c>
      <c r="C1596" s="5" t="s">
        <v>1555</v>
      </c>
      <c r="D1596" s="6" t="s">
        <v>45</v>
      </c>
      <c r="E1596" s="5" t="n">
        <v>3</v>
      </c>
      <c r="F1596" s="5" t="s">
        <v>15418</v>
      </c>
      <c r="G1596" s="13" t="s">
        <v>15419</v>
      </c>
      <c r="H1596" s="5" t="s">
        <v>15420</v>
      </c>
      <c r="I1596" s="13" t="s">
        <v>15421</v>
      </c>
      <c r="J1596" s="5" t="s">
        <v>15422</v>
      </c>
      <c r="K1596" s="5" t="s">
        <v>15423</v>
      </c>
      <c r="L1596" s="13" t="s">
        <v>15424</v>
      </c>
      <c r="M1596" s="13" t="s">
        <v>15425</v>
      </c>
      <c r="N1596" s="5" t="n">
        <f aca="false">LEN(L1596)</f>
        <v>25</v>
      </c>
      <c r="O1596" s="5" t="n">
        <f aca="false">LEN(M1596)</f>
        <v>25</v>
      </c>
      <c r="P1596" s="14" t="n">
        <f aca="false">IF(N1596=0,"",(N1596-LEN(SUBSTITUTE(SUBSTITUTE(L1596,"G",""),"C","")))/N1596)</f>
        <v>0.52</v>
      </c>
      <c r="Q1596" s="14" t="n">
        <f aca="false">IF(O1596=0,"",(O1596-LEN(SUBSTITUTE(SUBSTITUTE(M1596,"G",""),"C","")))/O1596)</f>
        <v>0.4</v>
      </c>
      <c r="R1596" s="5"/>
      <c r="S1596" s="8" t="s">
        <v>2131</v>
      </c>
      <c r="T1596" s="5"/>
      <c r="U1596" s="5" t="s">
        <v>2986</v>
      </c>
      <c r="V1596" s="5" t="s">
        <v>1556</v>
      </c>
      <c r="W1596" s="5"/>
      <c r="X1596" s="5"/>
      <c r="Y1596" s="5"/>
    </row>
    <row r="1597" customFormat="false" ht="15" hidden="false" customHeight="false" outlineLevel="0" collapsed="false">
      <c r="A1597" s="5" t="s">
        <v>15426</v>
      </c>
      <c r="B1597" s="5" t="s">
        <v>1554</v>
      </c>
      <c r="C1597" s="5" t="s">
        <v>1555</v>
      </c>
      <c r="D1597" s="6" t="s">
        <v>45</v>
      </c>
      <c r="E1597" s="5" t="n">
        <v>4</v>
      </c>
      <c r="F1597" s="5" t="s">
        <v>15427</v>
      </c>
      <c r="G1597" s="13" t="s">
        <v>15428</v>
      </c>
      <c r="H1597" s="5" t="s">
        <v>15429</v>
      </c>
      <c r="I1597" s="13" t="s">
        <v>15430</v>
      </c>
      <c r="J1597" s="5" t="s">
        <v>15431</v>
      </c>
      <c r="K1597" s="5" t="s">
        <v>15432</v>
      </c>
      <c r="L1597" s="13" t="s">
        <v>15433</v>
      </c>
      <c r="M1597" s="13" t="s">
        <v>15434</v>
      </c>
      <c r="N1597" s="5" t="n">
        <f aca="false">LEN(L1597)</f>
        <v>25</v>
      </c>
      <c r="O1597" s="5" t="n">
        <f aca="false">LEN(M1597)</f>
        <v>25</v>
      </c>
      <c r="P1597" s="14" t="n">
        <f aca="false">IF(N1597=0,"",(N1597-LEN(SUBSTITUTE(SUBSTITUTE(L1597,"G",""),"C","")))/N1597)</f>
        <v>0.52</v>
      </c>
      <c r="Q1597" s="14" t="n">
        <f aca="false">IF(O1597=0,"",(O1597-LEN(SUBSTITUTE(SUBSTITUTE(M1597,"G",""),"C","")))/O1597)</f>
        <v>0.52</v>
      </c>
      <c r="R1597" s="5"/>
      <c r="S1597" s="8" t="s">
        <v>2131</v>
      </c>
      <c r="T1597" s="5"/>
      <c r="U1597" s="5" t="s">
        <v>2986</v>
      </c>
      <c r="V1597" s="5" t="s">
        <v>1556</v>
      </c>
      <c r="W1597" s="5"/>
      <c r="X1597" s="5"/>
      <c r="Y1597" s="5"/>
    </row>
    <row r="1598" customFormat="false" ht="15" hidden="false" customHeight="false" outlineLevel="0" collapsed="false">
      <c r="A1598" s="5" t="s">
        <v>15435</v>
      </c>
      <c r="B1598" s="5" t="s">
        <v>1554</v>
      </c>
      <c r="C1598" s="5" t="s">
        <v>1555</v>
      </c>
      <c r="D1598" s="6" t="s">
        <v>45</v>
      </c>
      <c r="E1598" s="5" t="n">
        <v>5</v>
      </c>
      <c r="F1598" s="5" t="s">
        <v>15436</v>
      </c>
      <c r="G1598" s="13" t="s">
        <v>15437</v>
      </c>
      <c r="H1598" s="5" t="s">
        <v>15438</v>
      </c>
      <c r="I1598" s="13" t="s">
        <v>15439</v>
      </c>
      <c r="J1598" s="5" t="s">
        <v>15440</v>
      </c>
      <c r="K1598" s="5" t="s">
        <v>15441</v>
      </c>
      <c r="L1598" s="13" t="s">
        <v>15442</v>
      </c>
      <c r="M1598" s="13" t="s">
        <v>15443</v>
      </c>
      <c r="N1598" s="5" t="n">
        <f aca="false">LEN(L1598)</f>
        <v>25</v>
      </c>
      <c r="O1598" s="5" t="n">
        <f aca="false">LEN(M1598)</f>
        <v>25</v>
      </c>
      <c r="P1598" s="14" t="n">
        <f aca="false">IF(N1598=0,"",(N1598-LEN(SUBSTITUTE(SUBSTITUTE(L1598,"G",""),"C","")))/N1598)</f>
        <v>0.56</v>
      </c>
      <c r="Q1598" s="14" t="n">
        <f aca="false">IF(O1598=0,"",(O1598-LEN(SUBSTITUTE(SUBSTITUTE(M1598,"G",""),"C","")))/O1598)</f>
        <v>0.44</v>
      </c>
      <c r="R1598" s="5"/>
      <c r="S1598" s="8" t="s">
        <v>2131</v>
      </c>
      <c r="T1598" s="5"/>
      <c r="U1598" s="5" t="s">
        <v>2986</v>
      </c>
      <c r="V1598" s="5" t="s">
        <v>1556</v>
      </c>
      <c r="W1598" s="5"/>
      <c r="X1598" s="5"/>
      <c r="Y1598" s="5"/>
    </row>
    <row r="1599" customFormat="false" ht="15" hidden="false" customHeight="false" outlineLevel="0" collapsed="false">
      <c r="A1599" s="5" t="s">
        <v>15444</v>
      </c>
      <c r="B1599" s="5" t="s">
        <v>1554</v>
      </c>
      <c r="C1599" s="5" t="s">
        <v>1555</v>
      </c>
      <c r="D1599" s="6" t="s">
        <v>45</v>
      </c>
      <c r="E1599" s="5" t="n">
        <v>6</v>
      </c>
      <c r="F1599" s="5" t="s">
        <v>15445</v>
      </c>
      <c r="G1599" s="13" t="s">
        <v>15446</v>
      </c>
      <c r="H1599" s="5" t="s">
        <v>15447</v>
      </c>
      <c r="I1599" s="13" t="s">
        <v>15448</v>
      </c>
      <c r="J1599" s="5" t="s">
        <v>15449</v>
      </c>
      <c r="K1599" s="5" t="s">
        <v>15450</v>
      </c>
      <c r="L1599" s="13" t="s">
        <v>15451</v>
      </c>
      <c r="M1599" s="13" t="s">
        <v>15452</v>
      </c>
      <c r="N1599" s="5" t="n">
        <f aca="false">LEN(L1599)</f>
        <v>25</v>
      </c>
      <c r="O1599" s="5" t="n">
        <f aca="false">LEN(M1599)</f>
        <v>25</v>
      </c>
      <c r="P1599" s="14" t="n">
        <f aca="false">IF(N1599=0,"",(N1599-LEN(SUBSTITUTE(SUBSTITUTE(L1599,"G",""),"C","")))/N1599)</f>
        <v>0.52</v>
      </c>
      <c r="Q1599" s="14" t="n">
        <f aca="false">IF(O1599=0,"",(O1599-LEN(SUBSTITUTE(SUBSTITUTE(M1599,"G",""),"C","")))/O1599)</f>
        <v>0.4</v>
      </c>
      <c r="R1599" s="5"/>
      <c r="S1599" s="8" t="s">
        <v>2131</v>
      </c>
      <c r="T1599" s="5"/>
      <c r="U1599" s="5" t="s">
        <v>2986</v>
      </c>
      <c r="V1599" s="5" t="s">
        <v>1556</v>
      </c>
      <c r="W1599" s="5"/>
      <c r="X1599" s="5"/>
      <c r="Y1599" s="5"/>
    </row>
    <row r="1600" customFormat="false" ht="15" hidden="false" customHeight="false" outlineLevel="0" collapsed="false">
      <c r="A1600" s="5" t="s">
        <v>15453</v>
      </c>
      <c r="B1600" s="5" t="s">
        <v>1554</v>
      </c>
      <c r="C1600" s="5" t="s">
        <v>1555</v>
      </c>
      <c r="D1600" s="6" t="s">
        <v>45</v>
      </c>
      <c r="E1600" s="5" t="n">
        <v>7</v>
      </c>
      <c r="F1600" s="5" t="s">
        <v>15454</v>
      </c>
      <c r="G1600" s="13" t="s">
        <v>15455</v>
      </c>
      <c r="H1600" s="5" t="s">
        <v>15456</v>
      </c>
      <c r="I1600" s="13" t="s">
        <v>15457</v>
      </c>
      <c r="J1600" s="5" t="s">
        <v>15458</v>
      </c>
      <c r="K1600" s="5" t="s">
        <v>15459</v>
      </c>
      <c r="L1600" s="13" t="s">
        <v>15460</v>
      </c>
      <c r="M1600" s="13" t="s">
        <v>15461</v>
      </c>
      <c r="N1600" s="5" t="n">
        <f aca="false">LEN(L1600)</f>
        <v>25</v>
      </c>
      <c r="O1600" s="5" t="n">
        <f aca="false">LEN(M1600)</f>
        <v>25</v>
      </c>
      <c r="P1600" s="14" t="n">
        <f aca="false">IF(N1600=0,"",(N1600-LEN(SUBSTITUTE(SUBSTITUTE(L1600,"G",""),"C","")))/N1600)</f>
        <v>0.56</v>
      </c>
      <c r="Q1600" s="14" t="n">
        <f aca="false">IF(O1600=0,"",(O1600-LEN(SUBSTITUTE(SUBSTITUTE(M1600,"G",""),"C","")))/O1600)</f>
        <v>0.56</v>
      </c>
      <c r="R1600" s="5"/>
      <c r="S1600" s="8" t="s">
        <v>2131</v>
      </c>
      <c r="T1600" s="5"/>
      <c r="U1600" s="5" t="s">
        <v>2986</v>
      </c>
      <c r="V1600" s="5" t="s">
        <v>1556</v>
      </c>
      <c r="W1600" s="5"/>
      <c r="X1600" s="5"/>
      <c r="Y1600" s="5"/>
    </row>
    <row r="1601" customFormat="false" ht="15" hidden="false" customHeight="false" outlineLevel="0" collapsed="false">
      <c r="A1601" s="5" t="s">
        <v>15462</v>
      </c>
      <c r="B1601" s="5" t="s">
        <v>1554</v>
      </c>
      <c r="C1601" s="5" t="s">
        <v>1555</v>
      </c>
      <c r="D1601" s="6" t="s">
        <v>45</v>
      </c>
      <c r="E1601" s="5" t="n">
        <v>8</v>
      </c>
      <c r="F1601" s="5" t="s">
        <v>15463</v>
      </c>
      <c r="G1601" s="13" t="s">
        <v>15464</v>
      </c>
      <c r="H1601" s="5" t="s">
        <v>15465</v>
      </c>
      <c r="I1601" s="13" t="s">
        <v>15466</v>
      </c>
      <c r="J1601" s="5" t="s">
        <v>15467</v>
      </c>
      <c r="K1601" s="5" t="s">
        <v>15468</v>
      </c>
      <c r="L1601" s="13" t="s">
        <v>15469</v>
      </c>
      <c r="M1601" s="13" t="s">
        <v>15470</v>
      </c>
      <c r="N1601" s="5" t="n">
        <f aca="false">LEN(L1601)</f>
        <v>25</v>
      </c>
      <c r="O1601" s="5" t="n">
        <f aca="false">LEN(M1601)</f>
        <v>25</v>
      </c>
      <c r="P1601" s="14" t="n">
        <f aca="false">IF(N1601=0,"",(N1601-LEN(SUBSTITUTE(SUBSTITUTE(L1601,"G",""),"C","")))/N1601)</f>
        <v>0.6</v>
      </c>
      <c r="Q1601" s="14" t="n">
        <f aca="false">IF(O1601=0,"",(O1601-LEN(SUBSTITUTE(SUBSTITUTE(M1601,"G",""),"C","")))/O1601)</f>
        <v>0.64</v>
      </c>
      <c r="R1601" s="5"/>
      <c r="S1601" s="8" t="s">
        <v>2131</v>
      </c>
      <c r="T1601" s="5"/>
      <c r="U1601" s="5" t="s">
        <v>2986</v>
      </c>
      <c r="V1601" s="5" t="s">
        <v>1556</v>
      </c>
      <c r="W1601" s="5"/>
      <c r="X1601" s="5"/>
      <c r="Y1601" s="5"/>
    </row>
    <row r="1602" customFormat="false" ht="15" hidden="false" customHeight="false" outlineLevel="0" collapsed="false">
      <c r="A1602" s="5" t="s">
        <v>15471</v>
      </c>
      <c r="B1602" s="5" t="s">
        <v>1557</v>
      </c>
      <c r="C1602" s="5" t="s">
        <v>1558</v>
      </c>
      <c r="D1602" s="6" t="s">
        <v>45</v>
      </c>
      <c r="E1602" s="5" t="n">
        <v>1</v>
      </c>
      <c r="F1602" s="5" t="s">
        <v>15472</v>
      </c>
      <c r="G1602" s="13" t="s">
        <v>15473</v>
      </c>
      <c r="H1602" s="5" t="s">
        <v>15474</v>
      </c>
      <c r="I1602" s="13" t="s">
        <v>15475</v>
      </c>
      <c r="J1602" s="5" t="s">
        <v>15476</v>
      </c>
      <c r="K1602" s="5" t="s">
        <v>15477</v>
      </c>
      <c r="L1602" s="13" t="s">
        <v>15478</v>
      </c>
      <c r="M1602" s="13" t="s">
        <v>15479</v>
      </c>
      <c r="N1602" s="5" t="n">
        <f aca="false">LEN(L1602)</f>
        <v>25</v>
      </c>
      <c r="O1602" s="5" t="n">
        <f aca="false">LEN(M1602)</f>
        <v>25</v>
      </c>
      <c r="P1602" s="14" t="n">
        <f aca="false">IF(N1602=0,"",(N1602-LEN(SUBSTITUTE(SUBSTITUTE(L1602,"G",""),"C","")))/N1602)</f>
        <v>0.52</v>
      </c>
      <c r="Q1602" s="14" t="n">
        <f aca="false">IF(O1602=0,"",(O1602-LEN(SUBSTITUTE(SUBSTITUTE(M1602,"G",""),"C","")))/O1602)</f>
        <v>0.64</v>
      </c>
      <c r="R1602" s="5"/>
      <c r="S1602" s="8" t="s">
        <v>2131</v>
      </c>
      <c r="T1602" s="5"/>
      <c r="U1602" s="5" t="s">
        <v>15244</v>
      </c>
      <c r="V1602" s="5" t="s">
        <v>1549</v>
      </c>
      <c r="W1602" s="5"/>
      <c r="X1602" s="5"/>
      <c r="Y1602" s="5"/>
    </row>
    <row r="1603" customFormat="false" ht="15" hidden="false" customHeight="false" outlineLevel="0" collapsed="false">
      <c r="A1603" s="5" t="s">
        <v>15480</v>
      </c>
      <c r="B1603" s="5" t="s">
        <v>1557</v>
      </c>
      <c r="C1603" s="5" t="s">
        <v>1558</v>
      </c>
      <c r="D1603" s="6" t="s">
        <v>45</v>
      </c>
      <c r="E1603" s="5" t="n">
        <v>2</v>
      </c>
      <c r="F1603" s="5" t="s">
        <v>15481</v>
      </c>
      <c r="G1603" s="13" t="s">
        <v>15482</v>
      </c>
      <c r="H1603" s="5" t="s">
        <v>15483</v>
      </c>
      <c r="I1603" s="13" t="s">
        <v>15484</v>
      </c>
      <c r="J1603" s="5" t="s">
        <v>15485</v>
      </c>
      <c r="K1603" s="5" t="s">
        <v>15486</v>
      </c>
      <c r="L1603" s="13" t="s">
        <v>15487</v>
      </c>
      <c r="M1603" s="13" t="s">
        <v>15488</v>
      </c>
      <c r="N1603" s="5" t="n">
        <f aca="false">LEN(L1603)</f>
        <v>25</v>
      </c>
      <c r="O1603" s="5" t="n">
        <f aca="false">LEN(M1603)</f>
        <v>25</v>
      </c>
      <c r="P1603" s="14" t="n">
        <f aca="false">IF(N1603=0,"",(N1603-LEN(SUBSTITUTE(SUBSTITUTE(L1603,"G",""),"C","")))/N1603)</f>
        <v>0.56</v>
      </c>
      <c r="Q1603" s="14" t="n">
        <f aca="false">IF(O1603=0,"",(O1603-LEN(SUBSTITUTE(SUBSTITUTE(M1603,"G",""),"C","")))/O1603)</f>
        <v>0.6</v>
      </c>
      <c r="R1603" s="5"/>
      <c r="S1603" s="8" t="s">
        <v>2131</v>
      </c>
      <c r="T1603" s="5"/>
      <c r="U1603" s="5" t="s">
        <v>15244</v>
      </c>
      <c r="V1603" s="5" t="s">
        <v>1549</v>
      </c>
      <c r="W1603" s="5"/>
      <c r="X1603" s="5"/>
      <c r="Y1603" s="5"/>
    </row>
    <row r="1604" customFormat="false" ht="15" hidden="false" customHeight="false" outlineLevel="0" collapsed="false">
      <c r="A1604" s="5" t="s">
        <v>15489</v>
      </c>
      <c r="B1604" s="5" t="s">
        <v>1557</v>
      </c>
      <c r="C1604" s="5" t="s">
        <v>1558</v>
      </c>
      <c r="D1604" s="6" t="s">
        <v>45</v>
      </c>
      <c r="E1604" s="5" t="n">
        <v>3</v>
      </c>
      <c r="F1604" s="5" t="s">
        <v>15490</v>
      </c>
      <c r="G1604" s="13" t="s">
        <v>15491</v>
      </c>
      <c r="H1604" s="5" t="s">
        <v>15492</v>
      </c>
      <c r="I1604" s="13" t="s">
        <v>15493</v>
      </c>
      <c r="J1604" s="5" t="s">
        <v>15494</v>
      </c>
      <c r="K1604" s="5" t="s">
        <v>15495</v>
      </c>
      <c r="L1604" s="13" t="s">
        <v>15496</v>
      </c>
      <c r="M1604" s="13" t="s">
        <v>15497</v>
      </c>
      <c r="N1604" s="5" t="n">
        <f aca="false">LEN(L1604)</f>
        <v>25</v>
      </c>
      <c r="O1604" s="5" t="n">
        <f aca="false">LEN(M1604)</f>
        <v>25</v>
      </c>
      <c r="P1604" s="14" t="n">
        <f aca="false">IF(N1604=0,"",(N1604-LEN(SUBSTITUTE(SUBSTITUTE(L1604,"G",""),"C","")))/N1604)</f>
        <v>0.56</v>
      </c>
      <c r="Q1604" s="14" t="n">
        <f aca="false">IF(O1604=0,"",(O1604-LEN(SUBSTITUTE(SUBSTITUTE(M1604,"G",""),"C","")))/O1604)</f>
        <v>0.64</v>
      </c>
      <c r="R1604" s="5"/>
      <c r="S1604" s="8" t="s">
        <v>2131</v>
      </c>
      <c r="T1604" s="5"/>
      <c r="U1604" s="5" t="s">
        <v>15244</v>
      </c>
      <c r="V1604" s="5" t="s">
        <v>1549</v>
      </c>
      <c r="W1604" s="5"/>
      <c r="X1604" s="5"/>
      <c r="Y1604" s="5"/>
    </row>
    <row r="1605" customFormat="false" ht="15" hidden="false" customHeight="false" outlineLevel="0" collapsed="false">
      <c r="A1605" s="5" t="s">
        <v>15498</v>
      </c>
      <c r="B1605" s="5" t="s">
        <v>1557</v>
      </c>
      <c r="C1605" s="5" t="s">
        <v>1558</v>
      </c>
      <c r="D1605" s="6" t="s">
        <v>45</v>
      </c>
      <c r="E1605" s="5" t="n">
        <v>4</v>
      </c>
      <c r="F1605" s="5" t="s">
        <v>15499</v>
      </c>
      <c r="G1605" s="13" t="s">
        <v>15500</v>
      </c>
      <c r="H1605" s="5" t="s">
        <v>15501</v>
      </c>
      <c r="I1605" s="13" t="s">
        <v>15502</v>
      </c>
      <c r="J1605" s="5" t="s">
        <v>15503</v>
      </c>
      <c r="K1605" s="5" t="s">
        <v>15504</v>
      </c>
      <c r="L1605" s="13" t="s">
        <v>15505</v>
      </c>
      <c r="M1605" s="13" t="s">
        <v>15506</v>
      </c>
      <c r="N1605" s="5" t="n">
        <f aca="false">LEN(L1605)</f>
        <v>25</v>
      </c>
      <c r="O1605" s="5" t="n">
        <f aca="false">LEN(M1605)</f>
        <v>25</v>
      </c>
      <c r="P1605" s="14" t="n">
        <f aca="false">IF(N1605=0,"",(N1605-LEN(SUBSTITUTE(SUBSTITUTE(L1605,"G",""),"C","")))/N1605)</f>
        <v>0.52</v>
      </c>
      <c r="Q1605" s="14" t="n">
        <f aca="false">IF(O1605=0,"",(O1605-LEN(SUBSTITUTE(SUBSTITUTE(M1605,"G",""),"C","")))/O1605)</f>
        <v>0.48</v>
      </c>
      <c r="R1605" s="5"/>
      <c r="S1605" s="8" t="s">
        <v>2131</v>
      </c>
      <c r="T1605" s="5"/>
      <c r="U1605" s="5" t="s">
        <v>15244</v>
      </c>
      <c r="V1605" s="5" t="s">
        <v>1549</v>
      </c>
      <c r="W1605" s="5"/>
      <c r="X1605" s="5"/>
      <c r="Y1605" s="5"/>
    </row>
    <row r="1606" customFormat="false" ht="15" hidden="false" customHeight="false" outlineLevel="0" collapsed="false">
      <c r="A1606" s="5" t="s">
        <v>15507</v>
      </c>
      <c r="B1606" s="5" t="s">
        <v>1557</v>
      </c>
      <c r="C1606" s="5" t="s">
        <v>1558</v>
      </c>
      <c r="D1606" s="6" t="s">
        <v>45</v>
      </c>
      <c r="E1606" s="5" t="n">
        <v>5</v>
      </c>
      <c r="F1606" s="5" t="s">
        <v>15508</v>
      </c>
      <c r="G1606" s="13" t="s">
        <v>15509</v>
      </c>
      <c r="H1606" s="5" t="s">
        <v>15510</v>
      </c>
      <c r="I1606" s="13" t="s">
        <v>15511</v>
      </c>
      <c r="J1606" s="5" t="s">
        <v>15512</v>
      </c>
      <c r="K1606" s="5" t="s">
        <v>15513</v>
      </c>
      <c r="L1606" s="13" t="s">
        <v>15514</v>
      </c>
      <c r="M1606" s="13" t="s">
        <v>15515</v>
      </c>
      <c r="N1606" s="5" t="n">
        <f aca="false">LEN(L1606)</f>
        <v>25</v>
      </c>
      <c r="O1606" s="5" t="n">
        <f aca="false">LEN(M1606)</f>
        <v>25</v>
      </c>
      <c r="P1606" s="14" t="n">
        <f aca="false">IF(N1606=0,"",(N1606-LEN(SUBSTITUTE(SUBSTITUTE(L1606,"G",""),"C","")))/N1606)</f>
        <v>0.48</v>
      </c>
      <c r="Q1606" s="14" t="n">
        <f aca="false">IF(O1606=0,"",(O1606-LEN(SUBSTITUTE(SUBSTITUTE(M1606,"G",""),"C","")))/O1606)</f>
        <v>0.52</v>
      </c>
      <c r="R1606" s="5"/>
      <c r="S1606" s="8" t="s">
        <v>2131</v>
      </c>
      <c r="T1606" s="5"/>
      <c r="U1606" s="5" t="s">
        <v>15244</v>
      </c>
      <c r="V1606" s="5" t="s">
        <v>1549</v>
      </c>
      <c r="W1606" s="5"/>
      <c r="X1606" s="5"/>
      <c r="Y1606" s="5"/>
    </row>
    <row r="1607" customFormat="false" ht="15" hidden="false" customHeight="false" outlineLevel="0" collapsed="false">
      <c r="A1607" s="5" t="s">
        <v>15516</v>
      </c>
      <c r="B1607" s="5" t="s">
        <v>1557</v>
      </c>
      <c r="C1607" s="5" t="s">
        <v>1558</v>
      </c>
      <c r="D1607" s="6" t="s">
        <v>45</v>
      </c>
      <c r="E1607" s="5" t="n">
        <v>6</v>
      </c>
      <c r="F1607" s="5" t="s">
        <v>15517</v>
      </c>
      <c r="G1607" s="13" t="s">
        <v>15518</v>
      </c>
      <c r="H1607" s="5" t="s">
        <v>15519</v>
      </c>
      <c r="I1607" s="13" t="s">
        <v>15520</v>
      </c>
      <c r="J1607" s="5" t="s">
        <v>15521</v>
      </c>
      <c r="K1607" s="5" t="s">
        <v>15522</v>
      </c>
      <c r="L1607" s="13" t="s">
        <v>15523</v>
      </c>
      <c r="M1607" s="13" t="s">
        <v>15524</v>
      </c>
      <c r="N1607" s="5" t="n">
        <f aca="false">LEN(L1607)</f>
        <v>25</v>
      </c>
      <c r="O1607" s="5" t="n">
        <f aca="false">LEN(M1607)</f>
        <v>25</v>
      </c>
      <c r="P1607" s="14" t="n">
        <f aca="false">IF(N1607=0,"",(N1607-LEN(SUBSTITUTE(SUBSTITUTE(L1607,"G",""),"C","")))/N1607)</f>
        <v>0.48</v>
      </c>
      <c r="Q1607" s="14" t="n">
        <f aca="false">IF(O1607=0,"",(O1607-LEN(SUBSTITUTE(SUBSTITUTE(M1607,"G",""),"C","")))/O1607)</f>
        <v>0.68</v>
      </c>
      <c r="R1607" s="5"/>
      <c r="S1607" s="8" t="s">
        <v>2131</v>
      </c>
      <c r="T1607" s="5"/>
      <c r="U1607" s="5" t="s">
        <v>15244</v>
      </c>
      <c r="V1607" s="5" t="s">
        <v>1549</v>
      </c>
      <c r="W1607" s="5"/>
      <c r="X1607" s="5"/>
      <c r="Y1607" s="5"/>
    </row>
    <row r="1608" customFormat="false" ht="15" hidden="false" customHeight="false" outlineLevel="0" collapsed="false">
      <c r="A1608" s="5" t="s">
        <v>15525</v>
      </c>
      <c r="B1608" s="5" t="s">
        <v>1559</v>
      </c>
      <c r="C1608" s="5" t="s">
        <v>1560</v>
      </c>
      <c r="D1608" s="6" t="s">
        <v>45</v>
      </c>
      <c r="E1608" s="5" t="n">
        <v>1</v>
      </c>
      <c r="F1608" s="5" t="s">
        <v>15526</v>
      </c>
      <c r="G1608" s="13" t="s">
        <v>15527</v>
      </c>
      <c r="H1608" s="5" t="s">
        <v>15528</v>
      </c>
      <c r="I1608" s="13" t="s">
        <v>15529</v>
      </c>
      <c r="J1608" s="5" t="s">
        <v>15530</v>
      </c>
      <c r="K1608" s="5" t="s">
        <v>15531</v>
      </c>
      <c r="L1608" s="13" t="s">
        <v>15532</v>
      </c>
      <c r="M1608" s="13" t="s">
        <v>15533</v>
      </c>
      <c r="N1608" s="5" t="n">
        <f aca="false">LEN(L1608)</f>
        <v>25</v>
      </c>
      <c r="O1608" s="5" t="n">
        <f aca="false">LEN(M1608)</f>
        <v>25</v>
      </c>
      <c r="P1608" s="14" t="n">
        <f aca="false">IF(N1608=0,"",(N1608-LEN(SUBSTITUTE(SUBSTITUTE(L1608,"G",""),"C","")))/N1608)</f>
        <v>0.36</v>
      </c>
      <c r="Q1608" s="14" t="n">
        <f aca="false">IF(O1608=0,"",(O1608-LEN(SUBSTITUTE(SUBSTITUTE(M1608,"G",""),"C","")))/O1608)</f>
        <v>0.36</v>
      </c>
      <c r="R1608" s="5"/>
      <c r="S1608" s="8" t="s">
        <v>2131</v>
      </c>
      <c r="T1608" s="5"/>
      <c r="U1608" s="5" t="s">
        <v>2986</v>
      </c>
      <c r="V1608" s="5" t="s">
        <v>1546</v>
      </c>
      <c r="W1608" s="5" t="s">
        <v>15534</v>
      </c>
      <c r="X1608" s="5"/>
      <c r="Y1608" s="5"/>
    </row>
    <row r="1609" customFormat="false" ht="15" hidden="false" customHeight="false" outlineLevel="0" collapsed="false">
      <c r="A1609" s="5" t="s">
        <v>15535</v>
      </c>
      <c r="B1609" s="5" t="s">
        <v>1559</v>
      </c>
      <c r="C1609" s="5" t="s">
        <v>1560</v>
      </c>
      <c r="D1609" s="6" t="s">
        <v>45</v>
      </c>
      <c r="E1609" s="5" t="n">
        <v>2</v>
      </c>
      <c r="F1609" s="5" t="s">
        <v>15536</v>
      </c>
      <c r="G1609" s="13" t="s">
        <v>15537</v>
      </c>
      <c r="H1609" s="5" t="s">
        <v>15538</v>
      </c>
      <c r="I1609" s="13" t="s">
        <v>15539</v>
      </c>
      <c r="J1609" s="5" t="s">
        <v>15540</v>
      </c>
      <c r="K1609" s="5" t="s">
        <v>15541</v>
      </c>
      <c r="L1609" s="13" t="s">
        <v>15542</v>
      </c>
      <c r="M1609" s="13" t="s">
        <v>15543</v>
      </c>
      <c r="N1609" s="5" t="n">
        <f aca="false">LEN(L1609)</f>
        <v>25</v>
      </c>
      <c r="O1609" s="5" t="n">
        <f aca="false">LEN(M1609)</f>
        <v>25</v>
      </c>
      <c r="P1609" s="14" t="n">
        <f aca="false">IF(N1609=0,"",(N1609-LEN(SUBSTITUTE(SUBSTITUTE(L1609,"G",""),"C","")))/N1609)</f>
        <v>0.48</v>
      </c>
      <c r="Q1609" s="14" t="n">
        <f aca="false">IF(O1609=0,"",(O1609-LEN(SUBSTITUTE(SUBSTITUTE(M1609,"G",""),"C","")))/O1609)</f>
        <v>0.36</v>
      </c>
      <c r="R1609" s="5"/>
      <c r="S1609" s="8" t="s">
        <v>2131</v>
      </c>
      <c r="T1609" s="5"/>
      <c r="U1609" s="5" t="s">
        <v>2986</v>
      </c>
      <c r="V1609" s="5" t="s">
        <v>1546</v>
      </c>
      <c r="W1609" s="5" t="s">
        <v>15534</v>
      </c>
      <c r="X1609" s="5"/>
      <c r="Y1609" s="5"/>
    </row>
    <row r="1610" customFormat="false" ht="15" hidden="false" customHeight="false" outlineLevel="0" collapsed="false">
      <c r="A1610" s="5" t="s">
        <v>15544</v>
      </c>
      <c r="B1610" s="5" t="s">
        <v>1559</v>
      </c>
      <c r="C1610" s="5" t="s">
        <v>1560</v>
      </c>
      <c r="D1610" s="6" t="s">
        <v>45</v>
      </c>
      <c r="E1610" s="5" t="n">
        <v>3</v>
      </c>
      <c r="F1610" s="5" t="s">
        <v>15545</v>
      </c>
      <c r="G1610" s="13" t="s">
        <v>15546</v>
      </c>
      <c r="H1610" s="5" t="s">
        <v>15547</v>
      </c>
      <c r="I1610" s="13" t="s">
        <v>15548</v>
      </c>
      <c r="J1610" s="5" t="s">
        <v>15549</v>
      </c>
      <c r="K1610" s="5" t="s">
        <v>15550</v>
      </c>
      <c r="L1610" s="13" t="s">
        <v>15551</v>
      </c>
      <c r="M1610" s="13" t="s">
        <v>15552</v>
      </c>
      <c r="N1610" s="5" t="n">
        <f aca="false">LEN(L1610)</f>
        <v>25</v>
      </c>
      <c r="O1610" s="5" t="n">
        <f aca="false">LEN(M1610)</f>
        <v>25</v>
      </c>
      <c r="P1610" s="14" t="n">
        <f aca="false">IF(N1610=0,"",(N1610-LEN(SUBSTITUTE(SUBSTITUTE(L1610,"G",""),"C","")))/N1610)</f>
        <v>0.48</v>
      </c>
      <c r="Q1610" s="14" t="n">
        <f aca="false">IF(O1610=0,"",(O1610-LEN(SUBSTITUTE(SUBSTITUTE(M1610,"G",""),"C","")))/O1610)</f>
        <v>0.6</v>
      </c>
      <c r="R1610" s="5"/>
      <c r="S1610" s="8" t="s">
        <v>2131</v>
      </c>
      <c r="T1610" s="5"/>
      <c r="U1610" s="5" t="s">
        <v>2986</v>
      </c>
      <c r="V1610" s="5" t="s">
        <v>1546</v>
      </c>
      <c r="W1610" s="5" t="s">
        <v>15534</v>
      </c>
      <c r="X1610" s="5"/>
      <c r="Y1610" s="5"/>
    </row>
    <row r="1611" customFormat="false" ht="15" hidden="false" customHeight="false" outlineLevel="0" collapsed="false">
      <c r="A1611" s="5" t="s">
        <v>15553</v>
      </c>
      <c r="B1611" s="5" t="s">
        <v>1559</v>
      </c>
      <c r="C1611" s="5" t="s">
        <v>1560</v>
      </c>
      <c r="D1611" s="6" t="s">
        <v>45</v>
      </c>
      <c r="E1611" s="5" t="n">
        <v>4</v>
      </c>
      <c r="F1611" s="5" t="s">
        <v>15554</v>
      </c>
      <c r="G1611" s="13" t="s">
        <v>15555</v>
      </c>
      <c r="H1611" s="5" t="s">
        <v>15556</v>
      </c>
      <c r="I1611" s="13" t="s">
        <v>15557</v>
      </c>
      <c r="J1611" s="5" t="s">
        <v>15558</v>
      </c>
      <c r="K1611" s="5" t="s">
        <v>15559</v>
      </c>
      <c r="L1611" s="13" t="s">
        <v>15560</v>
      </c>
      <c r="M1611" s="13" t="s">
        <v>15561</v>
      </c>
      <c r="N1611" s="5" t="n">
        <f aca="false">LEN(L1611)</f>
        <v>25</v>
      </c>
      <c r="O1611" s="5" t="n">
        <f aca="false">LEN(M1611)</f>
        <v>25</v>
      </c>
      <c r="P1611" s="14" t="n">
        <f aca="false">IF(N1611=0,"",(N1611-LEN(SUBSTITUTE(SUBSTITUTE(L1611,"G",""),"C","")))/N1611)</f>
        <v>0.56</v>
      </c>
      <c r="Q1611" s="14" t="n">
        <f aca="false">IF(O1611=0,"",(O1611-LEN(SUBSTITUTE(SUBSTITUTE(M1611,"G",""),"C","")))/O1611)</f>
        <v>0.4</v>
      </c>
      <c r="R1611" s="5"/>
      <c r="S1611" s="8" t="s">
        <v>2131</v>
      </c>
      <c r="T1611" s="5"/>
      <c r="U1611" s="5" t="s">
        <v>2986</v>
      </c>
      <c r="V1611" s="5" t="s">
        <v>1546</v>
      </c>
      <c r="W1611" s="5" t="s">
        <v>15534</v>
      </c>
      <c r="X1611" s="5"/>
      <c r="Y1611" s="5"/>
    </row>
    <row r="1612" customFormat="false" ht="15" hidden="false" customHeight="false" outlineLevel="0" collapsed="false">
      <c r="A1612" s="5" t="s">
        <v>15562</v>
      </c>
      <c r="B1612" s="5" t="s">
        <v>1559</v>
      </c>
      <c r="C1612" s="5" t="s">
        <v>1560</v>
      </c>
      <c r="D1612" s="6" t="s">
        <v>45</v>
      </c>
      <c r="E1612" s="5" t="n">
        <v>5</v>
      </c>
      <c r="F1612" s="5" t="s">
        <v>15563</v>
      </c>
      <c r="G1612" s="13" t="s">
        <v>15564</v>
      </c>
      <c r="H1612" s="5" t="s">
        <v>15565</v>
      </c>
      <c r="I1612" s="13" t="s">
        <v>15566</v>
      </c>
      <c r="J1612" s="5" t="s">
        <v>15567</v>
      </c>
      <c r="K1612" s="5" t="s">
        <v>15568</v>
      </c>
      <c r="L1612" s="13" t="s">
        <v>15569</v>
      </c>
      <c r="M1612" s="13" t="s">
        <v>15570</v>
      </c>
      <c r="N1612" s="5" t="n">
        <f aca="false">LEN(L1612)</f>
        <v>25</v>
      </c>
      <c r="O1612" s="5" t="n">
        <f aca="false">LEN(M1612)</f>
        <v>25</v>
      </c>
      <c r="P1612" s="14" t="n">
        <f aca="false">IF(N1612=0,"",(N1612-LEN(SUBSTITUTE(SUBSTITUTE(L1612,"G",""),"C","")))/N1612)</f>
        <v>0.4</v>
      </c>
      <c r="Q1612" s="14" t="n">
        <f aca="false">IF(O1612=0,"",(O1612-LEN(SUBSTITUTE(SUBSTITUTE(M1612,"G",""),"C","")))/O1612)</f>
        <v>0.6</v>
      </c>
      <c r="R1612" s="5"/>
      <c r="S1612" s="8" t="s">
        <v>2131</v>
      </c>
      <c r="T1612" s="5"/>
      <c r="U1612" s="5" t="s">
        <v>2986</v>
      </c>
      <c r="V1612" s="5" t="s">
        <v>1546</v>
      </c>
      <c r="W1612" s="5" t="s">
        <v>15534</v>
      </c>
      <c r="X1612" s="5"/>
      <c r="Y1612" s="5"/>
    </row>
    <row r="1613" customFormat="false" ht="15" hidden="false" customHeight="false" outlineLevel="0" collapsed="false">
      <c r="A1613" s="5" t="s">
        <v>15571</v>
      </c>
      <c r="B1613" s="5" t="s">
        <v>1559</v>
      </c>
      <c r="C1613" s="5" t="s">
        <v>1560</v>
      </c>
      <c r="D1613" s="6" t="s">
        <v>45</v>
      </c>
      <c r="E1613" s="5" t="n">
        <v>6</v>
      </c>
      <c r="F1613" s="5" t="s">
        <v>15572</v>
      </c>
      <c r="G1613" s="13" t="s">
        <v>15573</v>
      </c>
      <c r="H1613" s="5" t="s">
        <v>15574</v>
      </c>
      <c r="I1613" s="13" t="s">
        <v>15575</v>
      </c>
      <c r="J1613" s="5" t="s">
        <v>15576</v>
      </c>
      <c r="K1613" s="5" t="s">
        <v>15577</v>
      </c>
      <c r="L1613" s="13" t="s">
        <v>15578</v>
      </c>
      <c r="M1613" s="13" t="s">
        <v>15579</v>
      </c>
      <c r="N1613" s="5" t="n">
        <f aca="false">LEN(L1613)</f>
        <v>25</v>
      </c>
      <c r="O1613" s="5" t="n">
        <f aca="false">LEN(M1613)</f>
        <v>25</v>
      </c>
      <c r="P1613" s="14" t="n">
        <f aca="false">IF(N1613=0,"",(N1613-LEN(SUBSTITUTE(SUBSTITUTE(L1613,"G",""),"C","")))/N1613)</f>
        <v>0.64</v>
      </c>
      <c r="Q1613" s="14" t="n">
        <f aca="false">IF(O1613=0,"",(O1613-LEN(SUBSTITUTE(SUBSTITUTE(M1613,"G",""),"C","")))/O1613)</f>
        <v>0.48</v>
      </c>
      <c r="R1613" s="5"/>
      <c r="S1613" s="8" t="s">
        <v>2131</v>
      </c>
      <c r="T1613" s="5"/>
      <c r="U1613" s="5" t="s">
        <v>2986</v>
      </c>
      <c r="V1613" s="5" t="s">
        <v>1546</v>
      </c>
      <c r="W1613" s="5" t="s">
        <v>15534</v>
      </c>
      <c r="X1613" s="5"/>
      <c r="Y1613" s="5"/>
    </row>
    <row r="1614" customFormat="false" ht="15" hidden="false" customHeight="false" outlineLevel="0" collapsed="false">
      <c r="A1614" s="5" t="s">
        <v>15580</v>
      </c>
      <c r="B1614" s="5" t="s">
        <v>1561</v>
      </c>
      <c r="C1614" s="5" t="s">
        <v>1562</v>
      </c>
      <c r="D1614" s="6" t="s">
        <v>45</v>
      </c>
      <c r="E1614" s="5" t="n">
        <v>1</v>
      </c>
      <c r="F1614" s="5" t="s">
        <v>15581</v>
      </c>
      <c r="G1614" s="13" t="s">
        <v>15582</v>
      </c>
      <c r="H1614" s="5" t="s">
        <v>15583</v>
      </c>
      <c r="I1614" s="13" t="s">
        <v>15584</v>
      </c>
      <c r="J1614" s="5" t="s">
        <v>15585</v>
      </c>
      <c r="K1614" s="5" t="s">
        <v>15586</v>
      </c>
      <c r="L1614" s="13" t="s">
        <v>15587</v>
      </c>
      <c r="M1614" s="13" t="s">
        <v>15588</v>
      </c>
      <c r="N1614" s="5" t="n">
        <f aca="false">LEN(L1614)</f>
        <v>25</v>
      </c>
      <c r="O1614" s="5" t="n">
        <f aca="false">LEN(M1614)</f>
        <v>25</v>
      </c>
      <c r="P1614" s="14" t="n">
        <f aca="false">IF(N1614=0,"",(N1614-LEN(SUBSTITUTE(SUBSTITUTE(L1614,"G",""),"C","")))/N1614)</f>
        <v>0.44</v>
      </c>
      <c r="Q1614" s="14" t="n">
        <f aca="false">IF(O1614=0,"",(O1614-LEN(SUBSTITUTE(SUBSTITUTE(M1614,"G",""),"C","")))/O1614)</f>
        <v>0.48</v>
      </c>
      <c r="R1614" s="5"/>
      <c r="S1614" s="8" t="s">
        <v>2131</v>
      </c>
      <c r="T1614" s="5"/>
      <c r="U1614" s="5" t="s">
        <v>15244</v>
      </c>
      <c r="V1614" s="5" t="s">
        <v>1549</v>
      </c>
      <c r="W1614" s="5"/>
      <c r="X1614" s="5"/>
      <c r="Y1614" s="5"/>
    </row>
    <row r="1615" customFormat="false" ht="15" hidden="false" customHeight="false" outlineLevel="0" collapsed="false">
      <c r="A1615" s="5" t="s">
        <v>15589</v>
      </c>
      <c r="B1615" s="5" t="s">
        <v>1561</v>
      </c>
      <c r="C1615" s="5" t="s">
        <v>1562</v>
      </c>
      <c r="D1615" s="6" t="s">
        <v>45</v>
      </c>
      <c r="E1615" s="5" t="n">
        <v>2</v>
      </c>
      <c r="F1615" s="5" t="s">
        <v>15590</v>
      </c>
      <c r="G1615" s="13" t="s">
        <v>15591</v>
      </c>
      <c r="H1615" s="5" t="s">
        <v>15592</v>
      </c>
      <c r="I1615" s="13" t="s">
        <v>15593</v>
      </c>
      <c r="J1615" s="5" t="s">
        <v>15594</v>
      </c>
      <c r="K1615" s="5" t="s">
        <v>15595</v>
      </c>
      <c r="L1615" s="13" t="s">
        <v>15596</v>
      </c>
      <c r="M1615" s="13" t="s">
        <v>15597</v>
      </c>
      <c r="N1615" s="5" t="n">
        <f aca="false">LEN(L1615)</f>
        <v>25</v>
      </c>
      <c r="O1615" s="5" t="n">
        <f aca="false">LEN(M1615)</f>
        <v>25</v>
      </c>
      <c r="P1615" s="14" t="n">
        <f aca="false">IF(N1615=0,"",(N1615-LEN(SUBSTITUTE(SUBSTITUTE(L1615,"G",""),"C","")))/N1615)</f>
        <v>0.32</v>
      </c>
      <c r="Q1615" s="14" t="n">
        <f aca="false">IF(O1615=0,"",(O1615-LEN(SUBSTITUTE(SUBSTITUTE(M1615,"G",""),"C","")))/O1615)</f>
        <v>0.4</v>
      </c>
      <c r="R1615" s="5"/>
      <c r="S1615" s="8" t="s">
        <v>2131</v>
      </c>
      <c r="T1615" s="5"/>
      <c r="U1615" s="5" t="s">
        <v>15244</v>
      </c>
      <c r="V1615" s="5" t="s">
        <v>1549</v>
      </c>
      <c r="W1615" s="5"/>
      <c r="X1615" s="5"/>
      <c r="Y1615" s="5"/>
    </row>
    <row r="1616" customFormat="false" ht="15" hidden="false" customHeight="false" outlineLevel="0" collapsed="false">
      <c r="A1616" s="5" t="s">
        <v>15598</v>
      </c>
      <c r="B1616" s="5" t="s">
        <v>1561</v>
      </c>
      <c r="C1616" s="5" t="s">
        <v>1562</v>
      </c>
      <c r="D1616" s="6" t="s">
        <v>45</v>
      </c>
      <c r="E1616" s="5" t="n">
        <v>3</v>
      </c>
      <c r="F1616" s="5" t="s">
        <v>15599</v>
      </c>
      <c r="G1616" s="13" t="s">
        <v>15600</v>
      </c>
      <c r="H1616" s="5" t="s">
        <v>15601</v>
      </c>
      <c r="I1616" s="13" t="s">
        <v>15602</v>
      </c>
      <c r="J1616" s="5" t="s">
        <v>15603</v>
      </c>
      <c r="K1616" s="5" t="s">
        <v>15604</v>
      </c>
      <c r="L1616" s="13" t="s">
        <v>15605</v>
      </c>
      <c r="M1616" s="13" t="s">
        <v>15606</v>
      </c>
      <c r="N1616" s="5" t="n">
        <f aca="false">LEN(L1616)</f>
        <v>25</v>
      </c>
      <c r="O1616" s="5" t="n">
        <f aca="false">LEN(M1616)</f>
        <v>25</v>
      </c>
      <c r="P1616" s="14" t="n">
        <f aca="false">IF(N1616=0,"",(N1616-LEN(SUBSTITUTE(SUBSTITUTE(L1616,"G",""),"C","")))/N1616)</f>
        <v>0.4</v>
      </c>
      <c r="Q1616" s="14" t="n">
        <f aca="false">IF(O1616=0,"",(O1616-LEN(SUBSTITUTE(SUBSTITUTE(M1616,"G",""),"C","")))/O1616)</f>
        <v>0.6</v>
      </c>
      <c r="R1616" s="5"/>
      <c r="S1616" s="8" t="s">
        <v>2131</v>
      </c>
      <c r="T1616" s="5"/>
      <c r="U1616" s="5" t="s">
        <v>15244</v>
      </c>
      <c r="V1616" s="5" t="s">
        <v>1549</v>
      </c>
      <c r="W1616" s="5"/>
      <c r="X1616" s="5"/>
      <c r="Y1616" s="5"/>
    </row>
    <row r="1617" customFormat="false" ht="15" hidden="false" customHeight="false" outlineLevel="0" collapsed="false">
      <c r="A1617" s="5" t="s">
        <v>15607</v>
      </c>
      <c r="B1617" s="5" t="s">
        <v>1561</v>
      </c>
      <c r="C1617" s="5" t="s">
        <v>1562</v>
      </c>
      <c r="D1617" s="6" t="s">
        <v>45</v>
      </c>
      <c r="E1617" s="5" t="n">
        <v>4</v>
      </c>
      <c r="F1617" s="5" t="s">
        <v>15608</v>
      </c>
      <c r="G1617" s="13" t="s">
        <v>15609</v>
      </c>
      <c r="H1617" s="5" t="s">
        <v>15610</v>
      </c>
      <c r="I1617" s="13" t="s">
        <v>15611</v>
      </c>
      <c r="J1617" s="5" t="s">
        <v>15612</v>
      </c>
      <c r="K1617" s="5" t="s">
        <v>15613</v>
      </c>
      <c r="L1617" s="13" t="s">
        <v>15614</v>
      </c>
      <c r="M1617" s="13" t="s">
        <v>15615</v>
      </c>
      <c r="N1617" s="5" t="n">
        <f aca="false">LEN(L1617)</f>
        <v>25</v>
      </c>
      <c r="O1617" s="5" t="n">
        <f aca="false">LEN(M1617)</f>
        <v>25</v>
      </c>
      <c r="P1617" s="14" t="n">
        <f aca="false">IF(N1617=0,"",(N1617-LEN(SUBSTITUTE(SUBSTITUTE(L1617,"G",""),"C","")))/N1617)</f>
        <v>0.4</v>
      </c>
      <c r="Q1617" s="14" t="n">
        <f aca="false">IF(O1617=0,"",(O1617-LEN(SUBSTITUTE(SUBSTITUTE(M1617,"G",""),"C","")))/O1617)</f>
        <v>0.64</v>
      </c>
      <c r="R1617" s="5"/>
      <c r="S1617" s="8" t="s">
        <v>2131</v>
      </c>
      <c r="T1617" s="5"/>
      <c r="U1617" s="5" t="s">
        <v>15244</v>
      </c>
      <c r="V1617" s="5" t="s">
        <v>1549</v>
      </c>
      <c r="W1617" s="5"/>
      <c r="X1617" s="5"/>
      <c r="Y1617" s="5"/>
    </row>
    <row r="1618" customFormat="false" ht="15" hidden="false" customHeight="false" outlineLevel="0" collapsed="false">
      <c r="A1618" s="5" t="s">
        <v>15616</v>
      </c>
      <c r="B1618" s="5" t="s">
        <v>1561</v>
      </c>
      <c r="C1618" s="5" t="s">
        <v>1562</v>
      </c>
      <c r="D1618" s="6" t="s">
        <v>45</v>
      </c>
      <c r="E1618" s="5" t="n">
        <v>5</v>
      </c>
      <c r="F1618" s="5" t="s">
        <v>15617</v>
      </c>
      <c r="G1618" s="13" t="s">
        <v>15618</v>
      </c>
      <c r="H1618" s="5" t="s">
        <v>15619</v>
      </c>
      <c r="I1618" s="13" t="s">
        <v>15620</v>
      </c>
      <c r="J1618" s="5" t="s">
        <v>15621</v>
      </c>
      <c r="K1618" s="5" t="s">
        <v>15622</v>
      </c>
      <c r="L1618" s="13" t="s">
        <v>15623</v>
      </c>
      <c r="M1618" s="13" t="s">
        <v>15624</v>
      </c>
      <c r="N1618" s="5" t="n">
        <f aca="false">LEN(L1618)</f>
        <v>25</v>
      </c>
      <c r="O1618" s="5" t="n">
        <f aca="false">LEN(M1618)</f>
        <v>25</v>
      </c>
      <c r="P1618" s="14" t="n">
        <f aca="false">IF(N1618=0,"",(N1618-LEN(SUBSTITUTE(SUBSTITUTE(L1618,"G",""),"C","")))/N1618)</f>
        <v>0.52</v>
      </c>
      <c r="Q1618" s="14" t="n">
        <f aca="false">IF(O1618=0,"",(O1618-LEN(SUBSTITUTE(SUBSTITUTE(M1618,"G",""),"C","")))/O1618)</f>
        <v>0.52</v>
      </c>
      <c r="R1618" s="5"/>
      <c r="S1618" s="8" t="s">
        <v>2131</v>
      </c>
      <c r="T1618" s="5"/>
      <c r="U1618" s="5" t="s">
        <v>15244</v>
      </c>
      <c r="V1618" s="5" t="s">
        <v>1549</v>
      </c>
      <c r="W1618" s="5"/>
      <c r="X1618" s="5"/>
      <c r="Y1618" s="5"/>
    </row>
    <row r="1619" customFormat="false" ht="15" hidden="false" customHeight="false" outlineLevel="0" collapsed="false">
      <c r="A1619" s="5" t="s">
        <v>15625</v>
      </c>
      <c r="B1619" s="5" t="s">
        <v>1561</v>
      </c>
      <c r="C1619" s="5" t="s">
        <v>1562</v>
      </c>
      <c r="D1619" s="6" t="s">
        <v>45</v>
      </c>
      <c r="E1619" s="5" t="n">
        <v>6</v>
      </c>
      <c r="F1619" s="5" t="s">
        <v>15626</v>
      </c>
      <c r="G1619" s="13" t="s">
        <v>15627</v>
      </c>
      <c r="H1619" s="5" t="s">
        <v>15628</v>
      </c>
      <c r="I1619" s="13" t="s">
        <v>15629</v>
      </c>
      <c r="J1619" s="5" t="s">
        <v>15630</v>
      </c>
      <c r="K1619" s="5" t="s">
        <v>15631</v>
      </c>
      <c r="L1619" s="13" t="s">
        <v>15632</v>
      </c>
      <c r="M1619" s="13" t="s">
        <v>15633</v>
      </c>
      <c r="N1619" s="5" t="n">
        <f aca="false">LEN(L1619)</f>
        <v>25</v>
      </c>
      <c r="O1619" s="5" t="n">
        <f aca="false">LEN(M1619)</f>
        <v>25</v>
      </c>
      <c r="P1619" s="14" t="n">
        <f aca="false">IF(N1619=0,"",(N1619-LEN(SUBSTITUTE(SUBSTITUTE(L1619,"G",""),"C","")))/N1619)</f>
        <v>0.56</v>
      </c>
      <c r="Q1619" s="14" t="n">
        <f aca="false">IF(O1619=0,"",(O1619-LEN(SUBSTITUTE(SUBSTITUTE(M1619,"G",""),"C","")))/O1619)</f>
        <v>0.44</v>
      </c>
      <c r="R1619" s="5"/>
      <c r="S1619" s="8" t="s">
        <v>2131</v>
      </c>
      <c r="T1619" s="5"/>
      <c r="U1619" s="5" t="s">
        <v>15244</v>
      </c>
      <c r="V1619" s="5" t="s">
        <v>1549</v>
      </c>
      <c r="W1619" s="5"/>
      <c r="X1619" s="5"/>
      <c r="Y1619" s="5"/>
    </row>
    <row r="1620" customFormat="false" ht="15" hidden="false" customHeight="false" outlineLevel="0" collapsed="false">
      <c r="A1620" s="5" t="s">
        <v>15634</v>
      </c>
      <c r="B1620" s="5" t="s">
        <v>1563</v>
      </c>
      <c r="C1620" s="5" t="s">
        <v>1564</v>
      </c>
      <c r="D1620" s="6" t="s">
        <v>45</v>
      </c>
      <c r="E1620" s="5" t="n">
        <v>1</v>
      </c>
      <c r="F1620" s="5" t="s">
        <v>15635</v>
      </c>
      <c r="G1620" s="13" t="s">
        <v>15636</v>
      </c>
      <c r="H1620" s="5" t="s">
        <v>15637</v>
      </c>
      <c r="I1620" s="13" t="s">
        <v>15638</v>
      </c>
      <c r="J1620" s="5" t="s">
        <v>15639</v>
      </c>
      <c r="K1620" s="5" t="s">
        <v>15640</v>
      </c>
      <c r="L1620" s="13" t="s">
        <v>15641</v>
      </c>
      <c r="M1620" s="13" t="s">
        <v>15642</v>
      </c>
      <c r="N1620" s="5" t="n">
        <f aca="false">LEN(L1620)</f>
        <v>25</v>
      </c>
      <c r="O1620" s="5" t="n">
        <f aca="false">LEN(M1620)</f>
        <v>25</v>
      </c>
      <c r="P1620" s="14" t="n">
        <f aca="false">IF(N1620=0,"",(N1620-LEN(SUBSTITUTE(SUBSTITUTE(L1620,"G",""),"C","")))/N1620)</f>
        <v>0.6</v>
      </c>
      <c r="Q1620" s="14" t="n">
        <f aca="false">IF(O1620=0,"",(O1620-LEN(SUBSTITUTE(SUBSTITUTE(M1620,"G",""),"C","")))/O1620)</f>
        <v>0.36</v>
      </c>
      <c r="R1620" s="5"/>
      <c r="S1620" s="8" t="s">
        <v>2131</v>
      </c>
      <c r="T1620" s="5"/>
      <c r="U1620" s="5" t="s">
        <v>15244</v>
      </c>
      <c r="V1620" s="5" t="s">
        <v>1549</v>
      </c>
      <c r="W1620" s="5"/>
      <c r="X1620" s="5"/>
      <c r="Y1620" s="5"/>
    </row>
    <row r="1621" customFormat="false" ht="15" hidden="false" customHeight="false" outlineLevel="0" collapsed="false">
      <c r="A1621" s="5" t="s">
        <v>15643</v>
      </c>
      <c r="B1621" s="5" t="s">
        <v>1563</v>
      </c>
      <c r="C1621" s="5" t="s">
        <v>1564</v>
      </c>
      <c r="D1621" s="6" t="s">
        <v>45</v>
      </c>
      <c r="E1621" s="5" t="n">
        <v>2</v>
      </c>
      <c r="F1621" s="5" t="s">
        <v>15644</v>
      </c>
      <c r="G1621" s="13" t="s">
        <v>15645</v>
      </c>
      <c r="H1621" s="5" t="s">
        <v>15646</v>
      </c>
      <c r="I1621" s="13" t="s">
        <v>15647</v>
      </c>
      <c r="J1621" s="5" t="s">
        <v>15648</v>
      </c>
      <c r="K1621" s="5" t="s">
        <v>15649</v>
      </c>
      <c r="L1621" s="13" t="s">
        <v>15650</v>
      </c>
      <c r="M1621" s="13" t="s">
        <v>15651</v>
      </c>
      <c r="N1621" s="5" t="n">
        <f aca="false">LEN(L1621)</f>
        <v>25</v>
      </c>
      <c r="O1621" s="5" t="n">
        <f aca="false">LEN(M1621)</f>
        <v>25</v>
      </c>
      <c r="P1621" s="14" t="n">
        <f aca="false">IF(N1621=0,"",(N1621-LEN(SUBSTITUTE(SUBSTITUTE(L1621,"G",""),"C","")))/N1621)</f>
        <v>0.56</v>
      </c>
      <c r="Q1621" s="14" t="n">
        <f aca="false">IF(O1621=0,"",(O1621-LEN(SUBSTITUTE(SUBSTITUTE(M1621,"G",""),"C","")))/O1621)</f>
        <v>0.48</v>
      </c>
      <c r="R1621" s="5"/>
      <c r="S1621" s="8" t="s">
        <v>2131</v>
      </c>
      <c r="T1621" s="5"/>
      <c r="U1621" s="5" t="s">
        <v>15244</v>
      </c>
      <c r="V1621" s="5" t="s">
        <v>1549</v>
      </c>
      <c r="W1621" s="5"/>
      <c r="X1621" s="5"/>
      <c r="Y1621" s="5"/>
    </row>
    <row r="1622" customFormat="false" ht="15" hidden="false" customHeight="false" outlineLevel="0" collapsed="false">
      <c r="A1622" s="5" t="s">
        <v>15652</v>
      </c>
      <c r="B1622" s="5" t="s">
        <v>1563</v>
      </c>
      <c r="C1622" s="5" t="s">
        <v>1564</v>
      </c>
      <c r="D1622" s="6" t="s">
        <v>45</v>
      </c>
      <c r="E1622" s="5" t="n">
        <v>3</v>
      </c>
      <c r="F1622" s="5" t="s">
        <v>15653</v>
      </c>
      <c r="G1622" s="13" t="s">
        <v>15654</v>
      </c>
      <c r="H1622" s="5" t="s">
        <v>15655</v>
      </c>
      <c r="I1622" s="13" t="s">
        <v>15656</v>
      </c>
      <c r="J1622" s="5" t="s">
        <v>15657</v>
      </c>
      <c r="K1622" s="5" t="s">
        <v>15658</v>
      </c>
      <c r="L1622" s="13" t="s">
        <v>15659</v>
      </c>
      <c r="M1622" s="13" t="s">
        <v>15660</v>
      </c>
      <c r="N1622" s="5" t="n">
        <f aca="false">LEN(L1622)</f>
        <v>25</v>
      </c>
      <c r="O1622" s="5" t="n">
        <f aca="false">LEN(M1622)</f>
        <v>25</v>
      </c>
      <c r="P1622" s="14" t="n">
        <f aca="false">IF(N1622=0,"",(N1622-LEN(SUBSTITUTE(SUBSTITUTE(L1622,"G",""),"C","")))/N1622)</f>
        <v>0.48</v>
      </c>
      <c r="Q1622" s="14" t="n">
        <f aca="false">IF(O1622=0,"",(O1622-LEN(SUBSTITUTE(SUBSTITUTE(M1622,"G",""),"C","")))/O1622)</f>
        <v>0.44</v>
      </c>
      <c r="R1622" s="5"/>
      <c r="S1622" s="8" t="s">
        <v>2131</v>
      </c>
      <c r="T1622" s="5"/>
      <c r="U1622" s="5" t="s">
        <v>15244</v>
      </c>
      <c r="V1622" s="5" t="s">
        <v>1549</v>
      </c>
      <c r="W1622" s="5"/>
      <c r="X1622" s="5"/>
      <c r="Y1622" s="5"/>
    </row>
    <row r="1623" customFormat="false" ht="15" hidden="false" customHeight="false" outlineLevel="0" collapsed="false">
      <c r="A1623" s="5" t="s">
        <v>15661</v>
      </c>
      <c r="B1623" s="5" t="s">
        <v>1563</v>
      </c>
      <c r="C1623" s="5" t="s">
        <v>1564</v>
      </c>
      <c r="D1623" s="6" t="s">
        <v>45</v>
      </c>
      <c r="E1623" s="5" t="n">
        <v>4</v>
      </c>
      <c r="F1623" s="5" t="s">
        <v>15662</v>
      </c>
      <c r="G1623" s="13" t="s">
        <v>15663</v>
      </c>
      <c r="H1623" s="5" t="s">
        <v>15664</v>
      </c>
      <c r="I1623" s="13" t="s">
        <v>15665</v>
      </c>
      <c r="J1623" s="5" t="s">
        <v>15666</v>
      </c>
      <c r="K1623" s="5" t="s">
        <v>15667</v>
      </c>
      <c r="L1623" s="13" t="s">
        <v>15668</v>
      </c>
      <c r="M1623" s="13" t="s">
        <v>15669</v>
      </c>
      <c r="N1623" s="5" t="n">
        <f aca="false">LEN(L1623)</f>
        <v>25</v>
      </c>
      <c r="O1623" s="5" t="n">
        <f aca="false">LEN(M1623)</f>
        <v>25</v>
      </c>
      <c r="P1623" s="14" t="n">
        <f aca="false">IF(N1623=0,"",(N1623-LEN(SUBSTITUTE(SUBSTITUTE(L1623,"G",""),"C","")))/N1623)</f>
        <v>0.56</v>
      </c>
      <c r="Q1623" s="14" t="n">
        <f aca="false">IF(O1623=0,"",(O1623-LEN(SUBSTITUTE(SUBSTITUTE(M1623,"G",""),"C","")))/O1623)</f>
        <v>0.52</v>
      </c>
      <c r="R1623" s="5"/>
      <c r="S1623" s="8" t="s">
        <v>2131</v>
      </c>
      <c r="T1623" s="5"/>
      <c r="U1623" s="5" t="s">
        <v>15244</v>
      </c>
      <c r="V1623" s="5" t="s">
        <v>1549</v>
      </c>
      <c r="W1623" s="5"/>
      <c r="X1623" s="5"/>
      <c r="Y1623" s="5"/>
    </row>
    <row r="1624" customFormat="false" ht="15" hidden="false" customHeight="false" outlineLevel="0" collapsed="false">
      <c r="A1624" s="5" t="s">
        <v>15670</v>
      </c>
      <c r="B1624" s="5" t="s">
        <v>1563</v>
      </c>
      <c r="C1624" s="5" t="s">
        <v>1564</v>
      </c>
      <c r="D1624" s="6" t="s">
        <v>45</v>
      </c>
      <c r="E1624" s="5" t="n">
        <v>5</v>
      </c>
      <c r="F1624" s="5" t="s">
        <v>15671</v>
      </c>
      <c r="G1624" s="13" t="s">
        <v>15672</v>
      </c>
      <c r="H1624" s="5" t="s">
        <v>15673</v>
      </c>
      <c r="I1624" s="13" t="s">
        <v>15674</v>
      </c>
      <c r="J1624" s="5" t="s">
        <v>15675</v>
      </c>
      <c r="K1624" s="5" t="s">
        <v>15676</v>
      </c>
      <c r="L1624" s="13" t="s">
        <v>15677</v>
      </c>
      <c r="M1624" s="13" t="s">
        <v>15678</v>
      </c>
      <c r="N1624" s="5" t="n">
        <f aca="false">LEN(L1624)</f>
        <v>25</v>
      </c>
      <c r="O1624" s="5" t="n">
        <f aca="false">LEN(M1624)</f>
        <v>25</v>
      </c>
      <c r="P1624" s="14" t="n">
        <f aca="false">IF(N1624=0,"",(N1624-LEN(SUBSTITUTE(SUBSTITUTE(L1624,"G",""),"C","")))/N1624)</f>
        <v>0.44</v>
      </c>
      <c r="Q1624" s="14" t="n">
        <f aca="false">IF(O1624=0,"",(O1624-LEN(SUBSTITUTE(SUBSTITUTE(M1624,"G",""),"C","")))/O1624)</f>
        <v>0.48</v>
      </c>
      <c r="R1624" s="5"/>
      <c r="S1624" s="8" t="s">
        <v>2131</v>
      </c>
      <c r="T1624" s="5"/>
      <c r="U1624" s="5" t="s">
        <v>15244</v>
      </c>
      <c r="V1624" s="5" t="s">
        <v>1549</v>
      </c>
      <c r="W1624" s="5"/>
      <c r="X1624" s="5"/>
      <c r="Y1624" s="5"/>
    </row>
    <row r="1625" customFormat="false" ht="15" hidden="false" customHeight="false" outlineLevel="0" collapsed="false">
      <c r="A1625" s="5" t="s">
        <v>15679</v>
      </c>
      <c r="B1625" s="5" t="s">
        <v>1563</v>
      </c>
      <c r="C1625" s="5" t="s">
        <v>1564</v>
      </c>
      <c r="D1625" s="6" t="s">
        <v>45</v>
      </c>
      <c r="E1625" s="5" t="n">
        <v>6</v>
      </c>
      <c r="F1625" s="5" t="s">
        <v>15680</v>
      </c>
      <c r="G1625" s="13" t="s">
        <v>15681</v>
      </c>
      <c r="H1625" s="5" t="s">
        <v>15682</v>
      </c>
      <c r="I1625" s="13" t="s">
        <v>15683</v>
      </c>
      <c r="J1625" s="5" t="s">
        <v>15684</v>
      </c>
      <c r="K1625" s="5" t="s">
        <v>15685</v>
      </c>
      <c r="L1625" s="13" t="s">
        <v>15686</v>
      </c>
      <c r="M1625" s="13" t="s">
        <v>15687</v>
      </c>
      <c r="N1625" s="5" t="n">
        <f aca="false">LEN(L1625)</f>
        <v>25</v>
      </c>
      <c r="O1625" s="5" t="n">
        <f aca="false">LEN(M1625)</f>
        <v>25</v>
      </c>
      <c r="P1625" s="14" t="n">
        <f aca="false">IF(N1625=0,"",(N1625-LEN(SUBSTITUTE(SUBSTITUTE(L1625,"G",""),"C","")))/N1625)</f>
        <v>0.48</v>
      </c>
      <c r="Q1625" s="14" t="n">
        <f aca="false">IF(O1625=0,"",(O1625-LEN(SUBSTITUTE(SUBSTITUTE(M1625,"G",""),"C","")))/O1625)</f>
        <v>0.36</v>
      </c>
      <c r="R1625" s="5"/>
      <c r="S1625" s="8" t="s">
        <v>2131</v>
      </c>
      <c r="T1625" s="5"/>
      <c r="U1625" s="5" t="s">
        <v>15244</v>
      </c>
      <c r="V1625" s="5" t="s">
        <v>1549</v>
      </c>
      <c r="W1625" s="5"/>
      <c r="X1625" s="5"/>
      <c r="Y1625" s="5"/>
    </row>
    <row r="1626" customFormat="false" ht="15" hidden="false" customHeight="false" outlineLevel="0" collapsed="false">
      <c r="A1626" s="5" t="s">
        <v>15688</v>
      </c>
      <c r="B1626" s="5" t="s">
        <v>1565</v>
      </c>
      <c r="C1626" s="5" t="s">
        <v>1566</v>
      </c>
      <c r="D1626" s="6" t="s">
        <v>45</v>
      </c>
      <c r="E1626" s="5" t="n">
        <v>1</v>
      </c>
      <c r="F1626" s="5" t="s">
        <v>15689</v>
      </c>
      <c r="G1626" s="13" t="s">
        <v>15690</v>
      </c>
      <c r="H1626" s="5" t="s">
        <v>15691</v>
      </c>
      <c r="I1626" s="13" t="s">
        <v>15692</v>
      </c>
      <c r="J1626" s="5" t="s">
        <v>15693</v>
      </c>
      <c r="K1626" s="5" t="s">
        <v>15694</v>
      </c>
      <c r="L1626" s="13" t="s">
        <v>15695</v>
      </c>
      <c r="M1626" s="13" t="s">
        <v>15696</v>
      </c>
      <c r="N1626" s="5" t="n">
        <f aca="false">LEN(L1626)</f>
        <v>25</v>
      </c>
      <c r="O1626" s="5" t="n">
        <f aca="false">LEN(M1626)</f>
        <v>25</v>
      </c>
      <c r="P1626" s="14" t="n">
        <f aca="false">IF(N1626=0,"",(N1626-LEN(SUBSTITUTE(SUBSTITUTE(L1626,"G",""),"C","")))/N1626)</f>
        <v>0.56</v>
      </c>
      <c r="Q1626" s="14" t="n">
        <f aca="false">IF(O1626=0,"",(O1626-LEN(SUBSTITUTE(SUBSTITUTE(M1626,"G",""),"C","")))/O1626)</f>
        <v>0.56</v>
      </c>
      <c r="R1626" s="5"/>
      <c r="S1626" s="8" t="s">
        <v>2131</v>
      </c>
      <c r="T1626" s="5"/>
      <c r="U1626" s="5" t="s">
        <v>15244</v>
      </c>
      <c r="V1626" s="5" t="s">
        <v>1549</v>
      </c>
      <c r="W1626" s="5"/>
      <c r="X1626" s="5"/>
      <c r="Y1626" s="5"/>
    </row>
    <row r="1627" customFormat="false" ht="15" hidden="false" customHeight="false" outlineLevel="0" collapsed="false">
      <c r="A1627" s="5" t="s">
        <v>15697</v>
      </c>
      <c r="B1627" s="5" t="s">
        <v>1565</v>
      </c>
      <c r="C1627" s="5" t="s">
        <v>1566</v>
      </c>
      <c r="D1627" s="6" t="s">
        <v>45</v>
      </c>
      <c r="E1627" s="5" t="n">
        <v>2</v>
      </c>
      <c r="F1627" s="5" t="s">
        <v>15698</v>
      </c>
      <c r="G1627" s="13" t="s">
        <v>15699</v>
      </c>
      <c r="H1627" s="5" t="s">
        <v>15700</v>
      </c>
      <c r="I1627" s="13" t="s">
        <v>15701</v>
      </c>
      <c r="J1627" s="5" t="s">
        <v>15702</v>
      </c>
      <c r="K1627" s="5" t="s">
        <v>15703</v>
      </c>
      <c r="L1627" s="13" t="s">
        <v>15704</v>
      </c>
      <c r="M1627" s="13" t="s">
        <v>15705</v>
      </c>
      <c r="N1627" s="5" t="n">
        <f aca="false">LEN(L1627)</f>
        <v>25</v>
      </c>
      <c r="O1627" s="5" t="n">
        <f aca="false">LEN(M1627)</f>
        <v>25</v>
      </c>
      <c r="P1627" s="14" t="n">
        <f aca="false">IF(N1627=0,"",(N1627-LEN(SUBSTITUTE(SUBSTITUTE(L1627,"G",""),"C","")))/N1627)</f>
        <v>0.52</v>
      </c>
      <c r="Q1627" s="14" t="n">
        <f aca="false">IF(O1627=0,"",(O1627-LEN(SUBSTITUTE(SUBSTITUTE(M1627,"G",""),"C","")))/O1627)</f>
        <v>0.48</v>
      </c>
      <c r="R1627" s="5"/>
      <c r="S1627" s="8" t="s">
        <v>2131</v>
      </c>
      <c r="T1627" s="5"/>
      <c r="U1627" s="5" t="s">
        <v>15244</v>
      </c>
      <c r="V1627" s="5" t="s">
        <v>1549</v>
      </c>
      <c r="W1627" s="5"/>
      <c r="X1627" s="5"/>
      <c r="Y1627" s="5"/>
    </row>
    <row r="1628" customFormat="false" ht="15" hidden="false" customHeight="false" outlineLevel="0" collapsed="false">
      <c r="A1628" s="5" t="s">
        <v>15706</v>
      </c>
      <c r="B1628" s="5" t="s">
        <v>1565</v>
      </c>
      <c r="C1628" s="5" t="s">
        <v>1566</v>
      </c>
      <c r="D1628" s="6" t="s">
        <v>45</v>
      </c>
      <c r="E1628" s="5" t="n">
        <v>3</v>
      </c>
      <c r="F1628" s="5" t="s">
        <v>15707</v>
      </c>
      <c r="G1628" s="13" t="s">
        <v>15708</v>
      </c>
      <c r="H1628" s="5" t="s">
        <v>15709</v>
      </c>
      <c r="I1628" s="13" t="s">
        <v>15710</v>
      </c>
      <c r="J1628" s="5" t="s">
        <v>15711</v>
      </c>
      <c r="K1628" s="5" t="s">
        <v>15712</v>
      </c>
      <c r="L1628" s="13" t="s">
        <v>15713</v>
      </c>
      <c r="M1628" s="13" t="s">
        <v>15714</v>
      </c>
      <c r="N1628" s="5" t="n">
        <f aca="false">LEN(L1628)</f>
        <v>25</v>
      </c>
      <c r="O1628" s="5" t="n">
        <f aca="false">LEN(M1628)</f>
        <v>25</v>
      </c>
      <c r="P1628" s="14" t="n">
        <f aca="false">IF(N1628=0,"",(N1628-LEN(SUBSTITUTE(SUBSTITUTE(L1628,"G",""),"C","")))/N1628)</f>
        <v>0.52</v>
      </c>
      <c r="Q1628" s="14" t="n">
        <f aca="false">IF(O1628=0,"",(O1628-LEN(SUBSTITUTE(SUBSTITUTE(M1628,"G",""),"C","")))/O1628)</f>
        <v>0.4</v>
      </c>
      <c r="R1628" s="5"/>
      <c r="S1628" s="8" t="s">
        <v>2131</v>
      </c>
      <c r="T1628" s="5"/>
      <c r="U1628" s="5" t="s">
        <v>15244</v>
      </c>
      <c r="V1628" s="5" t="s">
        <v>1549</v>
      </c>
      <c r="W1628" s="5"/>
      <c r="X1628" s="5"/>
      <c r="Y1628" s="5"/>
    </row>
    <row r="1629" customFormat="false" ht="15" hidden="false" customHeight="false" outlineLevel="0" collapsed="false">
      <c r="A1629" s="5" t="s">
        <v>15715</v>
      </c>
      <c r="B1629" s="5" t="s">
        <v>1565</v>
      </c>
      <c r="C1629" s="5" t="s">
        <v>1566</v>
      </c>
      <c r="D1629" s="6" t="s">
        <v>45</v>
      </c>
      <c r="E1629" s="5" t="n">
        <v>4</v>
      </c>
      <c r="F1629" s="5" t="s">
        <v>15716</v>
      </c>
      <c r="G1629" s="13" t="s">
        <v>15717</v>
      </c>
      <c r="H1629" s="5" t="s">
        <v>15718</v>
      </c>
      <c r="I1629" s="13" t="s">
        <v>15719</v>
      </c>
      <c r="J1629" s="5" t="s">
        <v>15720</v>
      </c>
      <c r="K1629" s="5" t="s">
        <v>15721</v>
      </c>
      <c r="L1629" s="13" t="s">
        <v>15722</v>
      </c>
      <c r="M1629" s="13" t="s">
        <v>15723</v>
      </c>
      <c r="N1629" s="5" t="n">
        <f aca="false">LEN(L1629)</f>
        <v>25</v>
      </c>
      <c r="O1629" s="5" t="n">
        <f aca="false">LEN(M1629)</f>
        <v>25</v>
      </c>
      <c r="P1629" s="14" t="n">
        <f aca="false">IF(N1629=0,"",(N1629-LEN(SUBSTITUTE(SUBSTITUTE(L1629,"G",""),"C","")))/N1629)</f>
        <v>0.68</v>
      </c>
      <c r="Q1629" s="14" t="n">
        <f aca="false">IF(O1629=0,"",(O1629-LEN(SUBSTITUTE(SUBSTITUTE(M1629,"G",""),"C","")))/O1629)</f>
        <v>0.32</v>
      </c>
      <c r="R1629" s="5"/>
      <c r="S1629" s="8" t="s">
        <v>2131</v>
      </c>
      <c r="T1629" s="5"/>
      <c r="U1629" s="5" t="s">
        <v>15244</v>
      </c>
      <c r="V1629" s="5" t="s">
        <v>1549</v>
      </c>
      <c r="W1629" s="5"/>
      <c r="X1629" s="5"/>
      <c r="Y1629" s="5"/>
    </row>
    <row r="1630" customFormat="false" ht="15" hidden="false" customHeight="false" outlineLevel="0" collapsed="false">
      <c r="A1630" s="5" t="s">
        <v>15724</v>
      </c>
      <c r="B1630" s="5" t="s">
        <v>1565</v>
      </c>
      <c r="C1630" s="5" t="s">
        <v>1566</v>
      </c>
      <c r="D1630" s="6" t="s">
        <v>45</v>
      </c>
      <c r="E1630" s="5" t="n">
        <v>5</v>
      </c>
      <c r="F1630" s="5" t="s">
        <v>15725</v>
      </c>
      <c r="G1630" s="13" t="s">
        <v>15726</v>
      </c>
      <c r="H1630" s="5" t="s">
        <v>15727</v>
      </c>
      <c r="I1630" s="13" t="s">
        <v>15728</v>
      </c>
      <c r="J1630" s="5" t="s">
        <v>15729</v>
      </c>
      <c r="K1630" s="5" t="s">
        <v>15730</v>
      </c>
      <c r="L1630" s="13" t="s">
        <v>15731</v>
      </c>
      <c r="M1630" s="13" t="s">
        <v>15732</v>
      </c>
      <c r="N1630" s="5" t="n">
        <f aca="false">LEN(L1630)</f>
        <v>25</v>
      </c>
      <c r="O1630" s="5" t="n">
        <f aca="false">LEN(M1630)</f>
        <v>25</v>
      </c>
      <c r="P1630" s="14" t="n">
        <f aca="false">IF(N1630=0,"",(N1630-LEN(SUBSTITUTE(SUBSTITUTE(L1630,"G",""),"C","")))/N1630)</f>
        <v>0.32</v>
      </c>
      <c r="Q1630" s="14" t="n">
        <f aca="false">IF(O1630=0,"",(O1630-LEN(SUBSTITUTE(SUBSTITUTE(M1630,"G",""),"C","")))/O1630)</f>
        <v>0.48</v>
      </c>
      <c r="R1630" s="5"/>
      <c r="S1630" s="8" t="s">
        <v>2131</v>
      </c>
      <c r="T1630" s="5"/>
      <c r="U1630" s="5" t="s">
        <v>15244</v>
      </c>
      <c r="V1630" s="5" t="s">
        <v>1549</v>
      </c>
      <c r="W1630" s="5"/>
      <c r="X1630" s="5"/>
      <c r="Y1630" s="5"/>
    </row>
    <row r="1631" customFormat="false" ht="15" hidden="false" customHeight="false" outlineLevel="0" collapsed="false">
      <c r="A1631" s="5" t="s">
        <v>15733</v>
      </c>
      <c r="B1631" s="5" t="s">
        <v>1565</v>
      </c>
      <c r="C1631" s="5" t="s">
        <v>1566</v>
      </c>
      <c r="D1631" s="6" t="s">
        <v>45</v>
      </c>
      <c r="E1631" s="5" t="n">
        <v>6</v>
      </c>
      <c r="F1631" s="5" t="s">
        <v>15734</v>
      </c>
      <c r="G1631" s="13" t="s">
        <v>15735</v>
      </c>
      <c r="H1631" s="5" t="s">
        <v>15736</v>
      </c>
      <c r="I1631" s="13" t="s">
        <v>15737</v>
      </c>
      <c r="J1631" s="5" t="s">
        <v>15738</v>
      </c>
      <c r="K1631" s="5" t="s">
        <v>15739</v>
      </c>
      <c r="L1631" s="13" t="s">
        <v>15740</v>
      </c>
      <c r="M1631" s="13" t="s">
        <v>15741</v>
      </c>
      <c r="N1631" s="5" t="n">
        <f aca="false">LEN(L1631)</f>
        <v>25</v>
      </c>
      <c r="O1631" s="5" t="n">
        <f aca="false">LEN(M1631)</f>
        <v>25</v>
      </c>
      <c r="P1631" s="14" t="n">
        <f aca="false">IF(N1631=0,"",(N1631-LEN(SUBSTITUTE(SUBSTITUTE(L1631,"G",""),"C","")))/N1631)</f>
        <v>0.52</v>
      </c>
      <c r="Q1631" s="14" t="n">
        <f aca="false">IF(O1631=0,"",(O1631-LEN(SUBSTITUTE(SUBSTITUTE(M1631,"G",""),"C","")))/O1631)</f>
        <v>0.52</v>
      </c>
      <c r="R1631" s="5"/>
      <c r="S1631" s="8" t="s">
        <v>2131</v>
      </c>
      <c r="T1631" s="5"/>
      <c r="U1631" s="5" t="s">
        <v>15244</v>
      </c>
      <c r="V1631" s="5" t="s">
        <v>1549</v>
      </c>
      <c r="W1631" s="5"/>
      <c r="X1631" s="5"/>
      <c r="Y1631" s="5"/>
    </row>
    <row r="1632" customFormat="false" ht="15" hidden="false" customHeight="false" outlineLevel="0" collapsed="false">
      <c r="A1632" s="5" t="s">
        <v>15742</v>
      </c>
      <c r="B1632" s="5" t="s">
        <v>1567</v>
      </c>
      <c r="C1632" s="5" t="s">
        <v>1568</v>
      </c>
      <c r="D1632" s="6" t="s">
        <v>45</v>
      </c>
      <c r="E1632" s="5" t="n">
        <v>1</v>
      </c>
      <c r="F1632" s="5" t="s">
        <v>15743</v>
      </c>
      <c r="G1632" s="13" t="s">
        <v>15744</v>
      </c>
      <c r="H1632" s="5" t="s">
        <v>15745</v>
      </c>
      <c r="I1632" s="13" t="s">
        <v>15746</v>
      </c>
      <c r="J1632" s="5" t="s">
        <v>15747</v>
      </c>
      <c r="K1632" s="5" t="s">
        <v>15748</v>
      </c>
      <c r="L1632" s="13" t="s">
        <v>15749</v>
      </c>
      <c r="M1632" s="13" t="s">
        <v>15750</v>
      </c>
      <c r="N1632" s="5" t="n">
        <f aca="false">LEN(L1632)</f>
        <v>25</v>
      </c>
      <c r="O1632" s="5" t="n">
        <f aca="false">LEN(M1632)</f>
        <v>25</v>
      </c>
      <c r="P1632" s="14" t="n">
        <f aca="false">IF(N1632=0,"",(N1632-LEN(SUBSTITUTE(SUBSTITUTE(L1632,"G",""),"C","")))/N1632)</f>
        <v>0.52</v>
      </c>
      <c r="Q1632" s="14" t="n">
        <f aca="false">IF(O1632=0,"",(O1632-LEN(SUBSTITUTE(SUBSTITUTE(M1632,"G",""),"C","")))/O1632)</f>
        <v>0.48</v>
      </c>
      <c r="R1632" s="5"/>
      <c r="S1632" s="8" t="s">
        <v>2131</v>
      </c>
      <c r="T1632" s="5"/>
      <c r="U1632" s="5" t="s">
        <v>2986</v>
      </c>
      <c r="V1632" s="5" t="s">
        <v>1546</v>
      </c>
      <c r="W1632" s="5" t="s">
        <v>15751</v>
      </c>
      <c r="X1632" s="5"/>
      <c r="Y1632" s="5"/>
    </row>
    <row r="1633" customFormat="false" ht="15" hidden="false" customHeight="false" outlineLevel="0" collapsed="false">
      <c r="A1633" s="5" t="s">
        <v>15752</v>
      </c>
      <c r="B1633" s="5" t="s">
        <v>1567</v>
      </c>
      <c r="C1633" s="5" t="s">
        <v>1568</v>
      </c>
      <c r="D1633" s="6" t="s">
        <v>45</v>
      </c>
      <c r="E1633" s="5" t="n">
        <v>2</v>
      </c>
      <c r="F1633" s="5" t="s">
        <v>15753</v>
      </c>
      <c r="G1633" s="13" t="s">
        <v>15754</v>
      </c>
      <c r="H1633" s="5" t="s">
        <v>15755</v>
      </c>
      <c r="I1633" s="13" t="s">
        <v>15756</v>
      </c>
      <c r="J1633" s="5" t="s">
        <v>15757</v>
      </c>
      <c r="K1633" s="5" t="s">
        <v>15758</v>
      </c>
      <c r="L1633" s="13" t="s">
        <v>15759</v>
      </c>
      <c r="M1633" s="13" t="s">
        <v>15760</v>
      </c>
      <c r="N1633" s="5" t="n">
        <f aca="false">LEN(L1633)</f>
        <v>25</v>
      </c>
      <c r="O1633" s="5" t="n">
        <f aca="false">LEN(M1633)</f>
        <v>25</v>
      </c>
      <c r="P1633" s="14" t="n">
        <f aca="false">IF(N1633=0,"",(N1633-LEN(SUBSTITUTE(SUBSTITUTE(L1633,"G",""),"C","")))/N1633)</f>
        <v>0.6</v>
      </c>
      <c r="Q1633" s="14" t="n">
        <f aca="false">IF(O1633=0,"",(O1633-LEN(SUBSTITUTE(SUBSTITUTE(M1633,"G",""),"C","")))/O1633)</f>
        <v>0.4</v>
      </c>
      <c r="R1633" s="5"/>
      <c r="S1633" s="8" t="s">
        <v>2131</v>
      </c>
      <c r="T1633" s="5"/>
      <c r="U1633" s="5" t="s">
        <v>2986</v>
      </c>
      <c r="V1633" s="5" t="s">
        <v>1546</v>
      </c>
      <c r="W1633" s="5" t="s">
        <v>15751</v>
      </c>
      <c r="X1633" s="5"/>
      <c r="Y1633" s="5"/>
    </row>
    <row r="1634" customFormat="false" ht="15" hidden="false" customHeight="false" outlineLevel="0" collapsed="false">
      <c r="A1634" s="5" t="s">
        <v>15761</v>
      </c>
      <c r="B1634" s="5" t="s">
        <v>1567</v>
      </c>
      <c r="C1634" s="5" t="s">
        <v>1568</v>
      </c>
      <c r="D1634" s="6" t="s">
        <v>45</v>
      </c>
      <c r="E1634" s="5" t="n">
        <v>3</v>
      </c>
      <c r="F1634" s="5" t="s">
        <v>15762</v>
      </c>
      <c r="G1634" s="13" t="s">
        <v>15763</v>
      </c>
      <c r="H1634" s="5" t="s">
        <v>15764</v>
      </c>
      <c r="I1634" s="13" t="s">
        <v>15765</v>
      </c>
      <c r="J1634" s="5" t="s">
        <v>15766</v>
      </c>
      <c r="K1634" s="5" t="s">
        <v>15767</v>
      </c>
      <c r="L1634" s="13" t="s">
        <v>15768</v>
      </c>
      <c r="M1634" s="13" t="s">
        <v>15769</v>
      </c>
      <c r="N1634" s="5" t="n">
        <f aca="false">LEN(L1634)</f>
        <v>25</v>
      </c>
      <c r="O1634" s="5" t="n">
        <f aca="false">LEN(M1634)</f>
        <v>25</v>
      </c>
      <c r="P1634" s="14" t="n">
        <f aca="false">IF(N1634=0,"",(N1634-LEN(SUBSTITUTE(SUBSTITUTE(L1634,"G",""),"C","")))/N1634)</f>
        <v>0.44</v>
      </c>
      <c r="Q1634" s="14" t="n">
        <f aca="false">IF(O1634=0,"",(O1634-LEN(SUBSTITUTE(SUBSTITUTE(M1634,"G",""),"C","")))/O1634)</f>
        <v>0.56</v>
      </c>
      <c r="R1634" s="5"/>
      <c r="S1634" s="8" t="s">
        <v>2131</v>
      </c>
      <c r="T1634" s="5"/>
      <c r="U1634" s="5" t="s">
        <v>2986</v>
      </c>
      <c r="V1634" s="5" t="s">
        <v>1546</v>
      </c>
      <c r="W1634" s="5" t="s">
        <v>15751</v>
      </c>
      <c r="X1634" s="5"/>
      <c r="Y1634" s="5"/>
    </row>
    <row r="1635" customFormat="false" ht="15" hidden="false" customHeight="false" outlineLevel="0" collapsed="false">
      <c r="A1635" s="5" t="s">
        <v>15770</v>
      </c>
      <c r="B1635" s="5" t="s">
        <v>1567</v>
      </c>
      <c r="C1635" s="5" t="s">
        <v>1568</v>
      </c>
      <c r="D1635" s="6" t="s">
        <v>45</v>
      </c>
      <c r="E1635" s="5" t="n">
        <v>4</v>
      </c>
      <c r="F1635" s="5" t="s">
        <v>15771</v>
      </c>
      <c r="G1635" s="13" t="s">
        <v>15772</v>
      </c>
      <c r="H1635" s="5" t="s">
        <v>15773</v>
      </c>
      <c r="I1635" s="13" t="s">
        <v>15774</v>
      </c>
      <c r="J1635" s="5" t="s">
        <v>15775</v>
      </c>
      <c r="K1635" s="5" t="s">
        <v>15776</v>
      </c>
      <c r="L1635" s="13" t="s">
        <v>15777</v>
      </c>
      <c r="M1635" s="13" t="s">
        <v>15778</v>
      </c>
      <c r="N1635" s="5" t="n">
        <f aca="false">LEN(L1635)</f>
        <v>25</v>
      </c>
      <c r="O1635" s="5" t="n">
        <f aca="false">LEN(M1635)</f>
        <v>25</v>
      </c>
      <c r="P1635" s="14" t="n">
        <f aca="false">IF(N1635=0,"",(N1635-LEN(SUBSTITUTE(SUBSTITUTE(L1635,"G",""),"C","")))/N1635)</f>
        <v>0.52</v>
      </c>
      <c r="Q1635" s="14" t="n">
        <f aca="false">IF(O1635=0,"",(O1635-LEN(SUBSTITUTE(SUBSTITUTE(M1635,"G",""),"C","")))/O1635)</f>
        <v>0.56</v>
      </c>
      <c r="R1635" s="5"/>
      <c r="S1635" s="8" t="s">
        <v>2131</v>
      </c>
      <c r="T1635" s="5"/>
      <c r="U1635" s="5" t="s">
        <v>2986</v>
      </c>
      <c r="V1635" s="5" t="s">
        <v>1546</v>
      </c>
      <c r="W1635" s="5" t="s">
        <v>15751</v>
      </c>
      <c r="X1635" s="5"/>
      <c r="Y1635" s="5"/>
    </row>
    <row r="1636" customFormat="false" ht="15" hidden="false" customHeight="false" outlineLevel="0" collapsed="false">
      <c r="A1636" s="5" t="s">
        <v>15779</v>
      </c>
      <c r="B1636" s="5" t="s">
        <v>1567</v>
      </c>
      <c r="C1636" s="5" t="s">
        <v>1568</v>
      </c>
      <c r="D1636" s="6" t="s">
        <v>45</v>
      </c>
      <c r="E1636" s="5" t="n">
        <v>5</v>
      </c>
      <c r="F1636" s="5" t="s">
        <v>15780</v>
      </c>
      <c r="G1636" s="13" t="s">
        <v>15781</v>
      </c>
      <c r="H1636" s="5" t="s">
        <v>15782</v>
      </c>
      <c r="I1636" s="13" t="s">
        <v>15783</v>
      </c>
      <c r="J1636" s="5" t="s">
        <v>15784</v>
      </c>
      <c r="K1636" s="5" t="s">
        <v>15785</v>
      </c>
      <c r="L1636" s="13" t="s">
        <v>15786</v>
      </c>
      <c r="M1636" s="13" t="s">
        <v>15787</v>
      </c>
      <c r="N1636" s="5" t="n">
        <f aca="false">LEN(L1636)</f>
        <v>25</v>
      </c>
      <c r="O1636" s="5" t="n">
        <f aca="false">LEN(M1636)</f>
        <v>25</v>
      </c>
      <c r="P1636" s="14" t="n">
        <f aca="false">IF(N1636=0,"",(N1636-LEN(SUBSTITUTE(SUBSTITUTE(L1636,"G",""),"C","")))/N1636)</f>
        <v>0.52</v>
      </c>
      <c r="Q1636" s="14" t="n">
        <f aca="false">IF(O1636=0,"",(O1636-LEN(SUBSTITUTE(SUBSTITUTE(M1636,"G",""),"C","")))/O1636)</f>
        <v>0.36</v>
      </c>
      <c r="R1636" s="5"/>
      <c r="S1636" s="8" t="s">
        <v>2131</v>
      </c>
      <c r="T1636" s="5"/>
      <c r="U1636" s="5" t="s">
        <v>2986</v>
      </c>
      <c r="V1636" s="5" t="s">
        <v>1546</v>
      </c>
      <c r="W1636" s="5" t="s">
        <v>15751</v>
      </c>
      <c r="X1636" s="5"/>
      <c r="Y1636" s="5"/>
    </row>
    <row r="1637" customFormat="false" ht="15" hidden="false" customHeight="false" outlineLevel="0" collapsed="false">
      <c r="A1637" s="5" t="s">
        <v>15788</v>
      </c>
      <c r="B1637" s="5" t="s">
        <v>1567</v>
      </c>
      <c r="C1637" s="5" t="s">
        <v>1568</v>
      </c>
      <c r="D1637" s="6" t="s">
        <v>45</v>
      </c>
      <c r="E1637" s="5" t="n">
        <v>6</v>
      </c>
      <c r="F1637" s="5" t="s">
        <v>15789</v>
      </c>
      <c r="G1637" s="13" t="s">
        <v>15790</v>
      </c>
      <c r="H1637" s="5" t="s">
        <v>15791</v>
      </c>
      <c r="I1637" s="13" t="s">
        <v>15792</v>
      </c>
      <c r="J1637" s="5" t="s">
        <v>15793</v>
      </c>
      <c r="K1637" s="5" t="s">
        <v>15794</v>
      </c>
      <c r="L1637" s="13" t="s">
        <v>15795</v>
      </c>
      <c r="M1637" s="13" t="s">
        <v>15796</v>
      </c>
      <c r="N1637" s="5" t="n">
        <f aca="false">LEN(L1637)</f>
        <v>25</v>
      </c>
      <c r="O1637" s="5" t="n">
        <f aca="false">LEN(M1637)</f>
        <v>25</v>
      </c>
      <c r="P1637" s="14" t="n">
        <f aca="false">IF(N1637=0,"",(N1637-LEN(SUBSTITUTE(SUBSTITUTE(L1637,"G",""),"C","")))/N1637)</f>
        <v>0.56</v>
      </c>
      <c r="Q1637" s="14" t="n">
        <f aca="false">IF(O1637=0,"",(O1637-LEN(SUBSTITUTE(SUBSTITUTE(M1637,"G",""),"C","")))/O1637)</f>
        <v>0.4</v>
      </c>
      <c r="R1637" s="5"/>
      <c r="S1637" s="8" t="s">
        <v>2131</v>
      </c>
      <c r="T1637" s="5"/>
      <c r="U1637" s="5" t="s">
        <v>2986</v>
      </c>
      <c r="V1637" s="5" t="s">
        <v>1546</v>
      </c>
      <c r="W1637" s="5" t="s">
        <v>15751</v>
      </c>
      <c r="X1637" s="5"/>
      <c r="Y1637" s="5"/>
    </row>
    <row r="1638" customFormat="false" ht="15" hidden="false" customHeight="false" outlineLevel="0" collapsed="false">
      <c r="A1638" s="5" t="s">
        <v>15797</v>
      </c>
      <c r="B1638" s="5" t="s">
        <v>1569</v>
      </c>
      <c r="C1638" s="5" t="s">
        <v>1570</v>
      </c>
      <c r="D1638" s="6" t="s">
        <v>45</v>
      </c>
      <c r="E1638" s="5" t="n">
        <v>1</v>
      </c>
      <c r="F1638" s="5" t="s">
        <v>15798</v>
      </c>
      <c r="G1638" s="13" t="s">
        <v>15799</v>
      </c>
      <c r="H1638" s="5" t="s">
        <v>15800</v>
      </c>
      <c r="I1638" s="13" t="s">
        <v>15801</v>
      </c>
      <c r="J1638" s="5" t="s">
        <v>15802</v>
      </c>
      <c r="K1638" s="5" t="s">
        <v>15803</v>
      </c>
      <c r="L1638" s="13" t="s">
        <v>15804</v>
      </c>
      <c r="M1638" s="13" t="s">
        <v>15805</v>
      </c>
      <c r="N1638" s="5" t="n">
        <f aca="false">LEN(L1638)</f>
        <v>25</v>
      </c>
      <c r="O1638" s="5" t="n">
        <f aca="false">LEN(M1638)</f>
        <v>25</v>
      </c>
      <c r="P1638" s="14" t="n">
        <f aca="false">IF(N1638=0,"",(N1638-LEN(SUBSTITUTE(SUBSTITUTE(L1638,"G",""),"C","")))/N1638)</f>
        <v>0.68</v>
      </c>
      <c r="Q1638" s="14" t="n">
        <f aca="false">IF(O1638=0,"",(O1638-LEN(SUBSTITUTE(SUBSTITUTE(M1638,"G",""),"C","")))/O1638)</f>
        <v>0.52</v>
      </c>
      <c r="R1638" s="5"/>
      <c r="S1638" s="8" t="s">
        <v>2131</v>
      </c>
      <c r="T1638" s="5"/>
      <c r="U1638" s="5" t="s">
        <v>15244</v>
      </c>
      <c r="V1638" s="5" t="s">
        <v>1549</v>
      </c>
      <c r="W1638" s="5"/>
      <c r="X1638" s="5"/>
      <c r="Y1638" s="5"/>
    </row>
    <row r="1639" customFormat="false" ht="15" hidden="false" customHeight="false" outlineLevel="0" collapsed="false">
      <c r="A1639" s="5" t="s">
        <v>15806</v>
      </c>
      <c r="B1639" s="5" t="s">
        <v>1569</v>
      </c>
      <c r="C1639" s="5" t="s">
        <v>1570</v>
      </c>
      <c r="D1639" s="6" t="s">
        <v>45</v>
      </c>
      <c r="E1639" s="5" t="n">
        <v>2</v>
      </c>
      <c r="F1639" s="5" t="s">
        <v>15807</v>
      </c>
      <c r="G1639" s="13" t="s">
        <v>15808</v>
      </c>
      <c r="H1639" s="5" t="s">
        <v>15809</v>
      </c>
      <c r="I1639" s="13" t="s">
        <v>15810</v>
      </c>
      <c r="J1639" s="5" t="s">
        <v>15811</v>
      </c>
      <c r="K1639" s="5" t="s">
        <v>15812</v>
      </c>
      <c r="L1639" s="13" t="s">
        <v>15813</v>
      </c>
      <c r="M1639" s="13" t="s">
        <v>15814</v>
      </c>
      <c r="N1639" s="5" t="n">
        <f aca="false">LEN(L1639)</f>
        <v>25</v>
      </c>
      <c r="O1639" s="5" t="n">
        <f aca="false">LEN(M1639)</f>
        <v>25</v>
      </c>
      <c r="P1639" s="14" t="n">
        <f aca="false">IF(N1639=0,"",(N1639-LEN(SUBSTITUTE(SUBSTITUTE(L1639,"G",""),"C","")))/N1639)</f>
        <v>0.52</v>
      </c>
      <c r="Q1639" s="14" t="n">
        <f aca="false">IF(O1639=0,"",(O1639-LEN(SUBSTITUTE(SUBSTITUTE(M1639,"G",""),"C","")))/O1639)</f>
        <v>0.44</v>
      </c>
      <c r="R1639" s="5"/>
      <c r="S1639" s="8" t="s">
        <v>2131</v>
      </c>
      <c r="T1639" s="5"/>
      <c r="U1639" s="5" t="s">
        <v>15244</v>
      </c>
      <c r="V1639" s="5" t="s">
        <v>1549</v>
      </c>
      <c r="W1639" s="5"/>
      <c r="X1639" s="5"/>
      <c r="Y1639" s="5"/>
    </row>
    <row r="1640" customFormat="false" ht="15" hidden="false" customHeight="false" outlineLevel="0" collapsed="false">
      <c r="A1640" s="5" t="s">
        <v>15815</v>
      </c>
      <c r="B1640" s="5" t="s">
        <v>1569</v>
      </c>
      <c r="C1640" s="5" t="s">
        <v>1570</v>
      </c>
      <c r="D1640" s="6" t="s">
        <v>45</v>
      </c>
      <c r="E1640" s="5" t="n">
        <v>3</v>
      </c>
      <c r="F1640" s="5" t="s">
        <v>15816</v>
      </c>
      <c r="G1640" s="13" t="s">
        <v>15817</v>
      </c>
      <c r="H1640" s="5" t="s">
        <v>15818</v>
      </c>
      <c r="I1640" s="13" t="s">
        <v>15819</v>
      </c>
      <c r="J1640" s="5" t="s">
        <v>15820</v>
      </c>
      <c r="K1640" s="5" t="s">
        <v>15821</v>
      </c>
      <c r="L1640" s="13" t="s">
        <v>15822</v>
      </c>
      <c r="M1640" s="13" t="s">
        <v>15823</v>
      </c>
      <c r="N1640" s="5" t="n">
        <f aca="false">LEN(L1640)</f>
        <v>25</v>
      </c>
      <c r="O1640" s="5" t="n">
        <f aca="false">LEN(M1640)</f>
        <v>25</v>
      </c>
      <c r="P1640" s="14" t="n">
        <f aca="false">IF(N1640=0,"",(N1640-LEN(SUBSTITUTE(SUBSTITUTE(L1640,"G",""),"C","")))/N1640)</f>
        <v>0.56</v>
      </c>
      <c r="Q1640" s="14" t="n">
        <f aca="false">IF(O1640=0,"",(O1640-LEN(SUBSTITUTE(SUBSTITUTE(M1640,"G",""),"C","")))/O1640)</f>
        <v>0.6</v>
      </c>
      <c r="R1640" s="5"/>
      <c r="S1640" s="8" t="s">
        <v>2131</v>
      </c>
      <c r="T1640" s="5"/>
      <c r="U1640" s="5" t="s">
        <v>15244</v>
      </c>
      <c r="V1640" s="5" t="s">
        <v>1549</v>
      </c>
      <c r="W1640" s="5"/>
      <c r="X1640" s="5"/>
      <c r="Y1640" s="5"/>
    </row>
    <row r="1641" customFormat="false" ht="15" hidden="false" customHeight="false" outlineLevel="0" collapsed="false">
      <c r="A1641" s="5" t="s">
        <v>15824</v>
      </c>
      <c r="B1641" s="5" t="s">
        <v>1569</v>
      </c>
      <c r="C1641" s="5" t="s">
        <v>1570</v>
      </c>
      <c r="D1641" s="6" t="s">
        <v>45</v>
      </c>
      <c r="E1641" s="5" t="n">
        <v>4</v>
      </c>
      <c r="F1641" s="5" t="s">
        <v>15825</v>
      </c>
      <c r="G1641" s="13" t="s">
        <v>15826</v>
      </c>
      <c r="H1641" s="5" t="s">
        <v>15827</v>
      </c>
      <c r="I1641" s="13" t="s">
        <v>15828</v>
      </c>
      <c r="J1641" s="5" t="s">
        <v>15829</v>
      </c>
      <c r="K1641" s="5" t="s">
        <v>15830</v>
      </c>
      <c r="L1641" s="13" t="s">
        <v>15831</v>
      </c>
      <c r="M1641" s="13" t="s">
        <v>15832</v>
      </c>
      <c r="N1641" s="5" t="n">
        <f aca="false">LEN(L1641)</f>
        <v>25</v>
      </c>
      <c r="O1641" s="5" t="n">
        <f aca="false">LEN(M1641)</f>
        <v>25</v>
      </c>
      <c r="P1641" s="14" t="n">
        <f aca="false">IF(N1641=0,"",(N1641-LEN(SUBSTITUTE(SUBSTITUTE(L1641,"G",""),"C","")))/N1641)</f>
        <v>0.44</v>
      </c>
      <c r="Q1641" s="14" t="n">
        <f aca="false">IF(O1641=0,"",(O1641-LEN(SUBSTITUTE(SUBSTITUTE(M1641,"G",""),"C","")))/O1641)</f>
        <v>0.64</v>
      </c>
      <c r="R1641" s="5"/>
      <c r="S1641" s="8" t="s">
        <v>2131</v>
      </c>
      <c r="T1641" s="5"/>
      <c r="U1641" s="5" t="s">
        <v>15244</v>
      </c>
      <c r="V1641" s="5" t="s">
        <v>1549</v>
      </c>
      <c r="W1641" s="5"/>
      <c r="X1641" s="5"/>
      <c r="Y1641" s="5"/>
    </row>
    <row r="1642" customFormat="false" ht="15" hidden="false" customHeight="false" outlineLevel="0" collapsed="false">
      <c r="A1642" s="5" t="s">
        <v>15833</v>
      </c>
      <c r="B1642" s="5" t="s">
        <v>1569</v>
      </c>
      <c r="C1642" s="5" t="s">
        <v>1570</v>
      </c>
      <c r="D1642" s="6" t="s">
        <v>45</v>
      </c>
      <c r="E1642" s="5" t="n">
        <v>5</v>
      </c>
      <c r="F1642" s="5" t="s">
        <v>15834</v>
      </c>
      <c r="G1642" s="13" t="s">
        <v>15835</v>
      </c>
      <c r="H1642" s="5" t="s">
        <v>15836</v>
      </c>
      <c r="I1642" s="13" t="s">
        <v>15837</v>
      </c>
      <c r="J1642" s="5" t="s">
        <v>15838</v>
      </c>
      <c r="K1642" s="5" t="s">
        <v>15839</v>
      </c>
      <c r="L1642" s="13" t="s">
        <v>15840</v>
      </c>
      <c r="M1642" s="13" t="s">
        <v>15841</v>
      </c>
      <c r="N1642" s="5" t="n">
        <f aca="false">LEN(L1642)</f>
        <v>25</v>
      </c>
      <c r="O1642" s="5" t="n">
        <f aca="false">LEN(M1642)</f>
        <v>25</v>
      </c>
      <c r="P1642" s="14" t="n">
        <f aca="false">IF(N1642=0,"",(N1642-LEN(SUBSTITUTE(SUBSTITUTE(L1642,"G",""),"C","")))/N1642)</f>
        <v>0.6</v>
      </c>
      <c r="Q1642" s="14" t="n">
        <f aca="false">IF(O1642=0,"",(O1642-LEN(SUBSTITUTE(SUBSTITUTE(M1642,"G",""),"C","")))/O1642)</f>
        <v>0.64</v>
      </c>
      <c r="R1642" s="5"/>
      <c r="S1642" s="8" t="s">
        <v>2131</v>
      </c>
      <c r="T1642" s="5"/>
      <c r="U1642" s="5" t="s">
        <v>15244</v>
      </c>
      <c r="V1642" s="5" t="s">
        <v>1549</v>
      </c>
      <c r="W1642" s="5"/>
      <c r="X1642" s="5"/>
      <c r="Y1642" s="5"/>
    </row>
    <row r="1643" customFormat="false" ht="15" hidden="false" customHeight="false" outlineLevel="0" collapsed="false">
      <c r="A1643" s="5" t="s">
        <v>15842</v>
      </c>
      <c r="B1643" s="5" t="s">
        <v>1569</v>
      </c>
      <c r="C1643" s="5" t="s">
        <v>1570</v>
      </c>
      <c r="D1643" s="6" t="s">
        <v>45</v>
      </c>
      <c r="E1643" s="5" t="n">
        <v>6</v>
      </c>
      <c r="F1643" s="5" t="s">
        <v>15843</v>
      </c>
      <c r="G1643" s="13" t="s">
        <v>15844</v>
      </c>
      <c r="H1643" s="5" t="s">
        <v>15845</v>
      </c>
      <c r="I1643" s="13" t="s">
        <v>15846</v>
      </c>
      <c r="J1643" s="5" t="s">
        <v>15847</v>
      </c>
      <c r="K1643" s="5" t="s">
        <v>15848</v>
      </c>
      <c r="L1643" s="13" t="s">
        <v>15849</v>
      </c>
      <c r="M1643" s="13" t="s">
        <v>15850</v>
      </c>
      <c r="N1643" s="5" t="n">
        <f aca="false">LEN(L1643)</f>
        <v>25</v>
      </c>
      <c r="O1643" s="5" t="n">
        <f aca="false">LEN(M1643)</f>
        <v>25</v>
      </c>
      <c r="P1643" s="14" t="n">
        <f aca="false">IF(N1643=0,"",(N1643-LEN(SUBSTITUTE(SUBSTITUTE(L1643,"G",""),"C","")))/N1643)</f>
        <v>0.52</v>
      </c>
      <c r="Q1643" s="14" t="n">
        <f aca="false">IF(O1643=0,"",(O1643-LEN(SUBSTITUTE(SUBSTITUTE(M1643,"G",""),"C","")))/O1643)</f>
        <v>0.56</v>
      </c>
      <c r="R1643" s="5"/>
      <c r="S1643" s="8" t="s">
        <v>2131</v>
      </c>
      <c r="T1643" s="5"/>
      <c r="U1643" s="5" t="s">
        <v>15244</v>
      </c>
      <c r="V1643" s="5" t="s">
        <v>1549</v>
      </c>
      <c r="W1643" s="5"/>
      <c r="X1643" s="5"/>
      <c r="Y1643" s="5"/>
    </row>
    <row r="1644" customFormat="false" ht="15" hidden="false" customHeight="false" outlineLevel="0" collapsed="false">
      <c r="A1644" s="5" t="s">
        <v>15851</v>
      </c>
      <c r="B1644" s="5" t="s">
        <v>1571</v>
      </c>
      <c r="C1644" s="5" t="s">
        <v>1572</v>
      </c>
      <c r="D1644" s="6" t="s">
        <v>45</v>
      </c>
      <c r="E1644" s="5" t="n">
        <v>1</v>
      </c>
      <c r="F1644" s="5" t="s">
        <v>15852</v>
      </c>
      <c r="G1644" s="13" t="s">
        <v>15853</v>
      </c>
      <c r="H1644" s="5" t="s">
        <v>15854</v>
      </c>
      <c r="I1644" s="13" t="s">
        <v>15855</v>
      </c>
      <c r="J1644" s="5" t="s">
        <v>15856</v>
      </c>
      <c r="K1644" s="5" t="s">
        <v>15857</v>
      </c>
      <c r="L1644" s="13" t="s">
        <v>15858</v>
      </c>
      <c r="M1644" s="13" t="s">
        <v>15859</v>
      </c>
      <c r="N1644" s="5" t="n">
        <f aca="false">LEN(L1644)</f>
        <v>25</v>
      </c>
      <c r="O1644" s="5" t="n">
        <f aca="false">LEN(M1644)</f>
        <v>25</v>
      </c>
      <c r="P1644" s="14" t="n">
        <f aca="false">IF(N1644=0,"",(N1644-LEN(SUBSTITUTE(SUBSTITUTE(L1644,"G",""),"C","")))/N1644)</f>
        <v>0.6</v>
      </c>
      <c r="Q1644" s="14" t="n">
        <f aca="false">IF(O1644=0,"",(O1644-LEN(SUBSTITUTE(SUBSTITUTE(M1644,"G",""),"C","")))/O1644)</f>
        <v>0.6</v>
      </c>
      <c r="R1644" s="5"/>
      <c r="S1644" s="8" t="s">
        <v>2131</v>
      </c>
      <c r="T1644" s="5"/>
      <c r="U1644" s="5" t="s">
        <v>2986</v>
      </c>
      <c r="V1644" s="5" t="s">
        <v>1546</v>
      </c>
      <c r="W1644" s="5" t="s">
        <v>15860</v>
      </c>
      <c r="X1644" s="5"/>
      <c r="Y1644" s="5"/>
    </row>
    <row r="1645" customFormat="false" ht="15" hidden="false" customHeight="false" outlineLevel="0" collapsed="false">
      <c r="A1645" s="5" t="s">
        <v>15861</v>
      </c>
      <c r="B1645" s="5" t="s">
        <v>1571</v>
      </c>
      <c r="C1645" s="5" t="s">
        <v>1572</v>
      </c>
      <c r="D1645" s="6" t="s">
        <v>45</v>
      </c>
      <c r="E1645" s="5" t="n">
        <v>2</v>
      </c>
      <c r="F1645" s="5" t="s">
        <v>15862</v>
      </c>
      <c r="G1645" s="13" t="s">
        <v>15863</v>
      </c>
      <c r="H1645" s="5" t="s">
        <v>15864</v>
      </c>
      <c r="I1645" s="13" t="s">
        <v>15865</v>
      </c>
      <c r="J1645" s="5" t="s">
        <v>15866</v>
      </c>
      <c r="K1645" s="5" t="s">
        <v>15867</v>
      </c>
      <c r="L1645" s="13" t="s">
        <v>15868</v>
      </c>
      <c r="M1645" s="13" t="s">
        <v>15869</v>
      </c>
      <c r="N1645" s="5" t="n">
        <f aca="false">LEN(L1645)</f>
        <v>25</v>
      </c>
      <c r="O1645" s="5" t="n">
        <f aca="false">LEN(M1645)</f>
        <v>25</v>
      </c>
      <c r="P1645" s="14" t="n">
        <f aca="false">IF(N1645=0,"",(N1645-LEN(SUBSTITUTE(SUBSTITUTE(L1645,"G",""),"C","")))/N1645)</f>
        <v>0.76</v>
      </c>
      <c r="Q1645" s="14" t="n">
        <f aca="false">IF(O1645=0,"",(O1645-LEN(SUBSTITUTE(SUBSTITUTE(M1645,"G",""),"C","")))/O1645)</f>
        <v>0.68</v>
      </c>
      <c r="R1645" s="5"/>
      <c r="S1645" s="8" t="s">
        <v>2131</v>
      </c>
      <c r="T1645" s="5"/>
      <c r="U1645" s="5" t="s">
        <v>2986</v>
      </c>
      <c r="V1645" s="5" t="s">
        <v>1546</v>
      </c>
      <c r="W1645" s="5" t="s">
        <v>15860</v>
      </c>
      <c r="X1645" s="5"/>
      <c r="Y1645" s="5"/>
    </row>
    <row r="1646" customFormat="false" ht="15" hidden="false" customHeight="false" outlineLevel="0" collapsed="false">
      <c r="A1646" s="5" t="s">
        <v>15870</v>
      </c>
      <c r="B1646" s="5" t="s">
        <v>1571</v>
      </c>
      <c r="C1646" s="5" t="s">
        <v>1572</v>
      </c>
      <c r="D1646" s="6" t="s">
        <v>45</v>
      </c>
      <c r="E1646" s="5" t="n">
        <v>3</v>
      </c>
      <c r="F1646" s="5" t="s">
        <v>15871</v>
      </c>
      <c r="G1646" s="13" t="s">
        <v>15872</v>
      </c>
      <c r="H1646" s="5" t="s">
        <v>15873</v>
      </c>
      <c r="I1646" s="13" t="s">
        <v>15874</v>
      </c>
      <c r="J1646" s="5" t="s">
        <v>15875</v>
      </c>
      <c r="K1646" s="5" t="s">
        <v>15876</v>
      </c>
      <c r="L1646" s="13" t="s">
        <v>15877</v>
      </c>
      <c r="M1646" s="13" t="s">
        <v>15878</v>
      </c>
      <c r="N1646" s="5" t="n">
        <f aca="false">LEN(L1646)</f>
        <v>25</v>
      </c>
      <c r="O1646" s="5" t="n">
        <f aca="false">LEN(M1646)</f>
        <v>25</v>
      </c>
      <c r="P1646" s="14" t="n">
        <f aca="false">IF(N1646=0,"",(N1646-LEN(SUBSTITUTE(SUBSTITUTE(L1646,"G",""),"C","")))/N1646)</f>
        <v>0.56</v>
      </c>
      <c r="Q1646" s="14" t="n">
        <f aca="false">IF(O1646=0,"",(O1646-LEN(SUBSTITUTE(SUBSTITUTE(M1646,"G",""),"C","")))/O1646)</f>
        <v>0.52</v>
      </c>
      <c r="R1646" s="5"/>
      <c r="S1646" s="8" t="s">
        <v>2131</v>
      </c>
      <c r="T1646" s="5"/>
      <c r="U1646" s="5" t="s">
        <v>2986</v>
      </c>
      <c r="V1646" s="5" t="s">
        <v>1546</v>
      </c>
      <c r="W1646" s="5" t="s">
        <v>15860</v>
      </c>
      <c r="X1646" s="5"/>
      <c r="Y1646" s="5"/>
    </row>
    <row r="1647" customFormat="false" ht="15" hidden="false" customHeight="false" outlineLevel="0" collapsed="false">
      <c r="A1647" s="5" t="s">
        <v>15879</v>
      </c>
      <c r="B1647" s="5" t="s">
        <v>1571</v>
      </c>
      <c r="C1647" s="5" t="s">
        <v>1572</v>
      </c>
      <c r="D1647" s="6" t="s">
        <v>45</v>
      </c>
      <c r="E1647" s="5" t="n">
        <v>4</v>
      </c>
      <c r="F1647" s="5" t="s">
        <v>15880</v>
      </c>
      <c r="G1647" s="13" t="s">
        <v>15881</v>
      </c>
      <c r="H1647" s="5" t="s">
        <v>15882</v>
      </c>
      <c r="I1647" s="13" t="s">
        <v>15883</v>
      </c>
      <c r="J1647" s="5" t="s">
        <v>15884</v>
      </c>
      <c r="K1647" s="5" t="s">
        <v>15885</v>
      </c>
      <c r="L1647" s="13" t="s">
        <v>15886</v>
      </c>
      <c r="M1647" s="13" t="s">
        <v>15887</v>
      </c>
      <c r="N1647" s="5" t="n">
        <f aca="false">LEN(L1647)</f>
        <v>25</v>
      </c>
      <c r="O1647" s="5" t="n">
        <f aca="false">LEN(M1647)</f>
        <v>25</v>
      </c>
      <c r="P1647" s="14" t="n">
        <f aca="false">IF(N1647=0,"",(N1647-LEN(SUBSTITUTE(SUBSTITUTE(L1647,"G",""),"C","")))/N1647)</f>
        <v>0.52</v>
      </c>
      <c r="Q1647" s="14" t="n">
        <f aca="false">IF(O1647=0,"",(O1647-LEN(SUBSTITUTE(SUBSTITUTE(M1647,"G",""),"C","")))/O1647)</f>
        <v>0.48</v>
      </c>
      <c r="R1647" s="5"/>
      <c r="S1647" s="8" t="s">
        <v>2131</v>
      </c>
      <c r="T1647" s="5"/>
      <c r="U1647" s="5" t="s">
        <v>2986</v>
      </c>
      <c r="V1647" s="5" t="s">
        <v>1546</v>
      </c>
      <c r="W1647" s="5" t="s">
        <v>15860</v>
      </c>
      <c r="X1647" s="5"/>
      <c r="Y1647" s="5"/>
    </row>
    <row r="1648" customFormat="false" ht="15" hidden="false" customHeight="false" outlineLevel="0" collapsed="false">
      <c r="A1648" s="5" t="s">
        <v>15888</v>
      </c>
      <c r="B1648" s="5" t="s">
        <v>1573</v>
      </c>
      <c r="C1648" s="5" t="s">
        <v>1574</v>
      </c>
      <c r="D1648" s="6" t="s">
        <v>45</v>
      </c>
      <c r="E1648" s="5" t="n">
        <v>1</v>
      </c>
      <c r="F1648" s="5" t="s">
        <v>15889</v>
      </c>
      <c r="G1648" s="13" t="s">
        <v>15890</v>
      </c>
      <c r="H1648" s="5" t="s">
        <v>15891</v>
      </c>
      <c r="I1648" s="13" t="s">
        <v>15892</v>
      </c>
      <c r="J1648" s="5" t="s">
        <v>15893</v>
      </c>
      <c r="K1648" s="5" t="s">
        <v>15894</v>
      </c>
      <c r="L1648" s="13" t="s">
        <v>15895</v>
      </c>
      <c r="M1648" s="13" t="s">
        <v>15896</v>
      </c>
      <c r="N1648" s="5" t="n">
        <f aca="false">LEN(L1648)</f>
        <v>25</v>
      </c>
      <c r="O1648" s="5" t="n">
        <f aca="false">LEN(M1648)</f>
        <v>25</v>
      </c>
      <c r="P1648" s="14" t="n">
        <f aca="false">IF(N1648=0,"",(N1648-LEN(SUBSTITUTE(SUBSTITUTE(L1648,"G",""),"C","")))/N1648)</f>
        <v>0.6</v>
      </c>
      <c r="Q1648" s="14" t="n">
        <f aca="false">IF(O1648=0,"",(O1648-LEN(SUBSTITUTE(SUBSTITUTE(M1648,"G",""),"C","")))/O1648)</f>
        <v>0.88</v>
      </c>
      <c r="R1648" s="5"/>
      <c r="S1648" s="8" t="s">
        <v>2131</v>
      </c>
      <c r="T1648" s="5"/>
      <c r="U1648" s="5" t="s">
        <v>2986</v>
      </c>
      <c r="V1648" s="5" t="s">
        <v>1546</v>
      </c>
      <c r="W1648" s="5" t="s">
        <v>15897</v>
      </c>
      <c r="X1648" s="5"/>
      <c r="Y1648" s="5"/>
    </row>
    <row r="1649" customFormat="false" ht="15" hidden="false" customHeight="false" outlineLevel="0" collapsed="false">
      <c r="A1649" s="5" t="s">
        <v>15898</v>
      </c>
      <c r="B1649" s="5" t="s">
        <v>1573</v>
      </c>
      <c r="C1649" s="5" t="s">
        <v>1574</v>
      </c>
      <c r="D1649" s="6" t="s">
        <v>45</v>
      </c>
      <c r="E1649" s="5" t="n">
        <v>2</v>
      </c>
      <c r="F1649" s="5" t="s">
        <v>15899</v>
      </c>
      <c r="G1649" s="13" t="s">
        <v>15900</v>
      </c>
      <c r="H1649" s="5" t="s">
        <v>15901</v>
      </c>
      <c r="I1649" s="13" t="s">
        <v>15902</v>
      </c>
      <c r="J1649" s="5" t="s">
        <v>15903</v>
      </c>
      <c r="K1649" s="5" t="s">
        <v>15904</v>
      </c>
      <c r="L1649" s="13" t="s">
        <v>15905</v>
      </c>
      <c r="M1649" s="13" t="s">
        <v>15906</v>
      </c>
      <c r="N1649" s="5" t="n">
        <f aca="false">LEN(L1649)</f>
        <v>25</v>
      </c>
      <c r="O1649" s="5" t="n">
        <f aca="false">LEN(M1649)</f>
        <v>25</v>
      </c>
      <c r="P1649" s="14" t="n">
        <f aca="false">IF(N1649=0,"",(N1649-LEN(SUBSTITUTE(SUBSTITUTE(L1649,"G",""),"C","")))/N1649)</f>
        <v>0.72</v>
      </c>
      <c r="Q1649" s="14" t="n">
        <f aca="false">IF(O1649=0,"",(O1649-LEN(SUBSTITUTE(SUBSTITUTE(M1649,"G",""),"C","")))/O1649)</f>
        <v>0.68</v>
      </c>
      <c r="R1649" s="5"/>
      <c r="S1649" s="8" t="s">
        <v>2131</v>
      </c>
      <c r="T1649" s="5"/>
      <c r="U1649" s="5" t="s">
        <v>2986</v>
      </c>
      <c r="V1649" s="5" t="s">
        <v>1546</v>
      </c>
      <c r="W1649" s="5" t="s">
        <v>15897</v>
      </c>
      <c r="X1649" s="5"/>
      <c r="Y1649" s="5"/>
    </row>
    <row r="1650" customFormat="false" ht="15" hidden="false" customHeight="false" outlineLevel="0" collapsed="false">
      <c r="A1650" s="5" t="s">
        <v>15907</v>
      </c>
      <c r="B1650" s="5" t="s">
        <v>1573</v>
      </c>
      <c r="C1650" s="5" t="s">
        <v>1574</v>
      </c>
      <c r="D1650" s="6" t="s">
        <v>45</v>
      </c>
      <c r="E1650" s="5" t="n">
        <v>3</v>
      </c>
      <c r="F1650" s="5" t="s">
        <v>15908</v>
      </c>
      <c r="G1650" s="13" t="s">
        <v>15909</v>
      </c>
      <c r="H1650" s="5" t="s">
        <v>15910</v>
      </c>
      <c r="I1650" s="13" t="s">
        <v>15911</v>
      </c>
      <c r="J1650" s="5" t="s">
        <v>15912</v>
      </c>
      <c r="K1650" s="5" t="s">
        <v>15913</v>
      </c>
      <c r="L1650" s="13" t="s">
        <v>15914</v>
      </c>
      <c r="M1650" s="13" t="s">
        <v>15915</v>
      </c>
      <c r="N1650" s="5" t="n">
        <f aca="false">LEN(L1650)</f>
        <v>25</v>
      </c>
      <c r="O1650" s="5" t="n">
        <f aca="false">LEN(M1650)</f>
        <v>25</v>
      </c>
      <c r="P1650" s="14" t="n">
        <f aca="false">IF(N1650=0,"",(N1650-LEN(SUBSTITUTE(SUBSTITUTE(L1650,"G",""),"C","")))/N1650)</f>
        <v>0.64</v>
      </c>
      <c r="Q1650" s="14" t="n">
        <f aca="false">IF(O1650=0,"",(O1650-LEN(SUBSTITUTE(SUBSTITUTE(M1650,"G",""),"C","")))/O1650)</f>
        <v>0.56</v>
      </c>
      <c r="R1650" s="5"/>
      <c r="S1650" s="8" t="s">
        <v>2131</v>
      </c>
      <c r="T1650" s="5"/>
      <c r="U1650" s="5" t="s">
        <v>2986</v>
      </c>
      <c r="V1650" s="5" t="s">
        <v>1546</v>
      </c>
      <c r="W1650" s="5" t="s">
        <v>15897</v>
      </c>
      <c r="X1650" s="5"/>
      <c r="Y1650" s="5"/>
    </row>
    <row r="1651" customFormat="false" ht="15" hidden="false" customHeight="false" outlineLevel="0" collapsed="false">
      <c r="A1651" s="5" t="s">
        <v>15916</v>
      </c>
      <c r="B1651" s="5" t="s">
        <v>1573</v>
      </c>
      <c r="C1651" s="5" t="s">
        <v>1574</v>
      </c>
      <c r="D1651" s="6" t="s">
        <v>45</v>
      </c>
      <c r="E1651" s="5" t="n">
        <v>4</v>
      </c>
      <c r="F1651" s="5" t="s">
        <v>15917</v>
      </c>
      <c r="G1651" s="13" t="s">
        <v>15918</v>
      </c>
      <c r="H1651" s="5" t="s">
        <v>15919</v>
      </c>
      <c r="I1651" s="13" t="s">
        <v>15920</v>
      </c>
      <c r="J1651" s="5" t="s">
        <v>15921</v>
      </c>
      <c r="K1651" s="5" t="s">
        <v>15922</v>
      </c>
      <c r="L1651" s="13" t="s">
        <v>15923</v>
      </c>
      <c r="M1651" s="13" t="s">
        <v>15924</v>
      </c>
      <c r="N1651" s="5" t="n">
        <f aca="false">LEN(L1651)</f>
        <v>25</v>
      </c>
      <c r="O1651" s="5" t="n">
        <f aca="false">LEN(M1651)</f>
        <v>25</v>
      </c>
      <c r="P1651" s="14" t="n">
        <f aca="false">IF(N1651=0,"",(N1651-LEN(SUBSTITUTE(SUBSTITUTE(L1651,"G",""),"C","")))/N1651)</f>
        <v>0.6</v>
      </c>
      <c r="Q1651" s="14" t="n">
        <f aca="false">IF(O1651=0,"",(O1651-LEN(SUBSTITUTE(SUBSTITUTE(M1651,"G",""),"C","")))/O1651)</f>
        <v>0.72</v>
      </c>
      <c r="R1651" s="5"/>
      <c r="S1651" s="8" t="s">
        <v>2131</v>
      </c>
      <c r="T1651" s="5"/>
      <c r="U1651" s="5" t="s">
        <v>2986</v>
      </c>
      <c r="V1651" s="5" t="s">
        <v>1546</v>
      </c>
      <c r="W1651" s="5" t="s">
        <v>15897</v>
      </c>
      <c r="X1651" s="5"/>
      <c r="Y1651" s="5"/>
    </row>
    <row r="1652" customFormat="false" ht="15" hidden="false" customHeight="false" outlineLevel="0" collapsed="false">
      <c r="A1652" s="5" t="s">
        <v>15925</v>
      </c>
      <c r="B1652" s="5" t="s">
        <v>1573</v>
      </c>
      <c r="C1652" s="5" t="s">
        <v>1574</v>
      </c>
      <c r="D1652" s="6" t="s">
        <v>45</v>
      </c>
      <c r="E1652" s="5" t="n">
        <v>5</v>
      </c>
      <c r="F1652" s="5" t="s">
        <v>15926</v>
      </c>
      <c r="G1652" s="13" t="s">
        <v>15927</v>
      </c>
      <c r="H1652" s="5" t="s">
        <v>15928</v>
      </c>
      <c r="I1652" s="13" t="s">
        <v>15929</v>
      </c>
      <c r="J1652" s="5" t="s">
        <v>15930</v>
      </c>
      <c r="K1652" s="5" t="s">
        <v>15931</v>
      </c>
      <c r="L1652" s="13" t="s">
        <v>15932</v>
      </c>
      <c r="M1652" s="13" t="s">
        <v>15933</v>
      </c>
      <c r="N1652" s="5" t="n">
        <f aca="false">LEN(L1652)</f>
        <v>25</v>
      </c>
      <c r="O1652" s="5" t="n">
        <f aca="false">LEN(M1652)</f>
        <v>25</v>
      </c>
      <c r="P1652" s="14" t="n">
        <f aca="false">IF(N1652=0,"",(N1652-LEN(SUBSTITUTE(SUBSTITUTE(L1652,"G",""),"C","")))/N1652)</f>
        <v>0.56</v>
      </c>
      <c r="Q1652" s="14" t="n">
        <f aca="false">IF(O1652=0,"",(O1652-LEN(SUBSTITUTE(SUBSTITUTE(M1652,"G",""),"C","")))/O1652)</f>
        <v>0.6</v>
      </c>
      <c r="R1652" s="5"/>
      <c r="S1652" s="8" t="s">
        <v>2131</v>
      </c>
      <c r="T1652" s="5"/>
      <c r="U1652" s="5" t="s">
        <v>2986</v>
      </c>
      <c r="V1652" s="5" t="s">
        <v>1546</v>
      </c>
      <c r="W1652" s="5" t="s">
        <v>15897</v>
      </c>
      <c r="X1652" s="5"/>
      <c r="Y1652" s="5"/>
    </row>
    <row r="1653" customFormat="false" ht="15" hidden="false" customHeight="false" outlineLevel="0" collapsed="false">
      <c r="A1653" s="5" t="s">
        <v>15934</v>
      </c>
      <c r="B1653" s="5" t="s">
        <v>1573</v>
      </c>
      <c r="C1653" s="5" t="s">
        <v>1574</v>
      </c>
      <c r="D1653" s="6" t="s">
        <v>45</v>
      </c>
      <c r="E1653" s="5" t="n">
        <v>6</v>
      </c>
      <c r="F1653" s="5" t="s">
        <v>15935</v>
      </c>
      <c r="G1653" s="13" t="s">
        <v>15936</v>
      </c>
      <c r="H1653" s="5" t="s">
        <v>15937</v>
      </c>
      <c r="I1653" s="13" t="s">
        <v>15938</v>
      </c>
      <c r="J1653" s="5" t="s">
        <v>15939</v>
      </c>
      <c r="K1653" s="5" t="s">
        <v>15940</v>
      </c>
      <c r="L1653" s="13" t="s">
        <v>15941</v>
      </c>
      <c r="M1653" s="13" t="s">
        <v>15942</v>
      </c>
      <c r="N1653" s="5" t="n">
        <f aca="false">LEN(L1653)</f>
        <v>25</v>
      </c>
      <c r="O1653" s="5" t="n">
        <f aca="false">LEN(M1653)</f>
        <v>25</v>
      </c>
      <c r="P1653" s="14" t="n">
        <f aca="false">IF(N1653=0,"",(N1653-LEN(SUBSTITUTE(SUBSTITUTE(L1653,"G",""),"C","")))/N1653)</f>
        <v>0.6</v>
      </c>
      <c r="Q1653" s="14" t="n">
        <f aca="false">IF(O1653=0,"",(O1653-LEN(SUBSTITUTE(SUBSTITUTE(M1653,"G",""),"C","")))/O1653)</f>
        <v>0.56</v>
      </c>
      <c r="R1653" s="5"/>
      <c r="S1653" s="8" t="s">
        <v>2131</v>
      </c>
      <c r="T1653" s="5"/>
      <c r="U1653" s="5" t="s">
        <v>2986</v>
      </c>
      <c r="V1653" s="5" t="s">
        <v>1546</v>
      </c>
      <c r="W1653" s="5" t="s">
        <v>15897</v>
      </c>
      <c r="X1653" s="5"/>
      <c r="Y1653" s="5"/>
    </row>
    <row r="1654" customFormat="false" ht="15" hidden="false" customHeight="false" outlineLevel="0" collapsed="false">
      <c r="A1654" s="5" t="s">
        <v>15943</v>
      </c>
      <c r="B1654" s="5" t="s">
        <v>1575</v>
      </c>
      <c r="C1654" s="5" t="s">
        <v>1576</v>
      </c>
      <c r="D1654" s="6" t="s">
        <v>45</v>
      </c>
      <c r="E1654" s="5" t="n">
        <v>1</v>
      </c>
      <c r="F1654" s="5" t="s">
        <v>15944</v>
      </c>
      <c r="G1654" s="13" t="s">
        <v>15945</v>
      </c>
      <c r="H1654" s="5" t="s">
        <v>15946</v>
      </c>
      <c r="I1654" s="13" t="s">
        <v>15947</v>
      </c>
      <c r="J1654" s="5" t="s">
        <v>15948</v>
      </c>
      <c r="K1654" s="5" t="s">
        <v>15949</v>
      </c>
      <c r="L1654" s="13" t="s">
        <v>15950</v>
      </c>
      <c r="M1654" s="13" t="s">
        <v>15951</v>
      </c>
      <c r="N1654" s="5" t="n">
        <f aca="false">LEN(L1654)</f>
        <v>25</v>
      </c>
      <c r="O1654" s="5" t="n">
        <f aca="false">LEN(M1654)</f>
        <v>25</v>
      </c>
      <c r="P1654" s="14" t="n">
        <f aca="false">IF(N1654=0,"",(N1654-LEN(SUBSTITUTE(SUBSTITUTE(L1654,"G",""),"C","")))/N1654)</f>
        <v>0.72</v>
      </c>
      <c r="Q1654" s="14" t="n">
        <f aca="false">IF(O1654=0,"",(O1654-LEN(SUBSTITUTE(SUBSTITUTE(M1654,"G",""),"C","")))/O1654)</f>
        <v>0.56</v>
      </c>
      <c r="R1654" s="5"/>
      <c r="S1654" s="8" t="s">
        <v>2131</v>
      </c>
      <c r="T1654" s="5"/>
      <c r="U1654" s="5" t="s">
        <v>2986</v>
      </c>
      <c r="V1654" s="5" t="s">
        <v>1578</v>
      </c>
      <c r="W1654" s="5" t="s">
        <v>15952</v>
      </c>
      <c r="X1654" s="5"/>
      <c r="Y1654" s="5"/>
    </row>
    <row r="1655" customFormat="false" ht="15" hidden="false" customHeight="false" outlineLevel="0" collapsed="false">
      <c r="A1655" s="5" t="s">
        <v>15953</v>
      </c>
      <c r="B1655" s="5" t="s">
        <v>1575</v>
      </c>
      <c r="C1655" s="5" t="s">
        <v>1576</v>
      </c>
      <c r="D1655" s="6" t="s">
        <v>45</v>
      </c>
      <c r="E1655" s="5" t="n">
        <v>2</v>
      </c>
      <c r="F1655" s="5" t="s">
        <v>15954</v>
      </c>
      <c r="G1655" s="13" t="s">
        <v>15955</v>
      </c>
      <c r="H1655" s="5" t="s">
        <v>15956</v>
      </c>
      <c r="I1655" s="13" t="s">
        <v>15957</v>
      </c>
      <c r="J1655" s="5" t="s">
        <v>15958</v>
      </c>
      <c r="K1655" s="5" t="s">
        <v>15959</v>
      </c>
      <c r="L1655" s="13" t="s">
        <v>15960</v>
      </c>
      <c r="M1655" s="13" t="s">
        <v>15961</v>
      </c>
      <c r="N1655" s="5" t="n">
        <f aca="false">LEN(L1655)</f>
        <v>25</v>
      </c>
      <c r="O1655" s="5" t="n">
        <f aca="false">LEN(M1655)</f>
        <v>25</v>
      </c>
      <c r="P1655" s="14" t="n">
        <f aca="false">IF(N1655=0,"",(N1655-LEN(SUBSTITUTE(SUBSTITUTE(L1655,"G",""),"C","")))/N1655)</f>
        <v>0.72</v>
      </c>
      <c r="Q1655" s="14" t="n">
        <f aca="false">IF(O1655=0,"",(O1655-LEN(SUBSTITUTE(SUBSTITUTE(M1655,"G",""),"C","")))/O1655)</f>
        <v>0.68</v>
      </c>
      <c r="R1655" s="5"/>
      <c r="S1655" s="8" t="s">
        <v>2131</v>
      </c>
      <c r="T1655" s="5"/>
      <c r="U1655" s="5" t="s">
        <v>2986</v>
      </c>
      <c r="V1655" s="5" t="s">
        <v>1578</v>
      </c>
      <c r="W1655" s="5" t="s">
        <v>15952</v>
      </c>
      <c r="X1655" s="5"/>
      <c r="Y1655" s="5"/>
    </row>
    <row r="1656" customFormat="false" ht="15" hidden="false" customHeight="false" outlineLevel="0" collapsed="false">
      <c r="A1656" s="5" t="s">
        <v>15962</v>
      </c>
      <c r="B1656" s="5" t="s">
        <v>1575</v>
      </c>
      <c r="C1656" s="5" t="s">
        <v>1576</v>
      </c>
      <c r="D1656" s="6" t="s">
        <v>45</v>
      </c>
      <c r="E1656" s="5" t="n">
        <v>3</v>
      </c>
      <c r="F1656" s="5" t="s">
        <v>15963</v>
      </c>
      <c r="G1656" s="13" t="s">
        <v>15964</v>
      </c>
      <c r="H1656" s="5" t="s">
        <v>15965</v>
      </c>
      <c r="I1656" s="13" t="s">
        <v>15966</v>
      </c>
      <c r="J1656" s="5" t="s">
        <v>15967</v>
      </c>
      <c r="K1656" s="5" t="s">
        <v>15968</v>
      </c>
      <c r="L1656" s="13" t="s">
        <v>15969</v>
      </c>
      <c r="M1656" s="13" t="s">
        <v>15970</v>
      </c>
      <c r="N1656" s="5" t="n">
        <f aca="false">LEN(L1656)</f>
        <v>25</v>
      </c>
      <c r="O1656" s="5" t="n">
        <f aca="false">LEN(M1656)</f>
        <v>25</v>
      </c>
      <c r="P1656" s="14" t="n">
        <f aca="false">IF(N1656=0,"",(N1656-LEN(SUBSTITUTE(SUBSTITUTE(L1656,"G",""),"C","")))/N1656)</f>
        <v>0.6</v>
      </c>
      <c r="Q1656" s="14" t="n">
        <f aca="false">IF(O1656=0,"",(O1656-LEN(SUBSTITUTE(SUBSTITUTE(M1656,"G",""),"C","")))/O1656)</f>
        <v>0.6</v>
      </c>
      <c r="R1656" s="5"/>
      <c r="S1656" s="8" t="s">
        <v>2131</v>
      </c>
      <c r="T1656" s="5"/>
      <c r="U1656" s="5" t="s">
        <v>2986</v>
      </c>
      <c r="V1656" s="5" t="s">
        <v>1578</v>
      </c>
      <c r="W1656" s="5" t="s">
        <v>15952</v>
      </c>
      <c r="X1656" s="5"/>
      <c r="Y1656" s="5"/>
    </row>
    <row r="1657" customFormat="false" ht="15" hidden="false" customHeight="false" outlineLevel="0" collapsed="false">
      <c r="A1657" s="5" t="s">
        <v>15971</v>
      </c>
      <c r="B1657" s="5" t="s">
        <v>1575</v>
      </c>
      <c r="C1657" s="5" t="s">
        <v>1576</v>
      </c>
      <c r="D1657" s="6" t="s">
        <v>45</v>
      </c>
      <c r="E1657" s="5" t="n">
        <v>4</v>
      </c>
      <c r="F1657" s="5" t="s">
        <v>15972</v>
      </c>
      <c r="G1657" s="13" t="s">
        <v>15973</v>
      </c>
      <c r="H1657" s="5" t="s">
        <v>15974</v>
      </c>
      <c r="I1657" s="13" t="s">
        <v>15975</v>
      </c>
      <c r="J1657" s="5" t="s">
        <v>15976</v>
      </c>
      <c r="K1657" s="5" t="s">
        <v>15977</v>
      </c>
      <c r="L1657" s="13" t="s">
        <v>15978</v>
      </c>
      <c r="M1657" s="13" t="s">
        <v>15979</v>
      </c>
      <c r="N1657" s="5" t="n">
        <f aca="false">LEN(L1657)</f>
        <v>25</v>
      </c>
      <c r="O1657" s="5" t="n">
        <f aca="false">LEN(M1657)</f>
        <v>25</v>
      </c>
      <c r="P1657" s="14" t="n">
        <f aca="false">IF(N1657=0,"",(N1657-LEN(SUBSTITUTE(SUBSTITUTE(L1657,"G",""),"C","")))/N1657)</f>
        <v>0.68</v>
      </c>
      <c r="Q1657" s="14" t="n">
        <f aca="false">IF(O1657=0,"",(O1657-LEN(SUBSTITUTE(SUBSTITUTE(M1657,"G",""),"C","")))/O1657)</f>
        <v>0.6</v>
      </c>
      <c r="R1657" s="5"/>
      <c r="S1657" s="8" t="s">
        <v>2131</v>
      </c>
      <c r="T1657" s="5"/>
      <c r="U1657" s="5" t="s">
        <v>2986</v>
      </c>
      <c r="V1657" s="5" t="s">
        <v>1578</v>
      </c>
      <c r="W1657" s="5" t="s">
        <v>15952</v>
      </c>
      <c r="X1657" s="5"/>
      <c r="Y1657" s="5"/>
    </row>
    <row r="1658" customFormat="false" ht="15" hidden="false" customHeight="false" outlineLevel="0" collapsed="false">
      <c r="A1658" s="5" t="s">
        <v>15980</v>
      </c>
      <c r="B1658" s="5" t="s">
        <v>1575</v>
      </c>
      <c r="C1658" s="5" t="s">
        <v>1576</v>
      </c>
      <c r="D1658" s="6" t="s">
        <v>45</v>
      </c>
      <c r="E1658" s="5" t="n">
        <v>5</v>
      </c>
      <c r="F1658" s="5" t="s">
        <v>15981</v>
      </c>
      <c r="G1658" s="13" t="s">
        <v>15982</v>
      </c>
      <c r="H1658" s="5" t="s">
        <v>15983</v>
      </c>
      <c r="I1658" s="13" t="s">
        <v>15984</v>
      </c>
      <c r="J1658" s="5" t="s">
        <v>15985</v>
      </c>
      <c r="K1658" s="5" t="s">
        <v>15986</v>
      </c>
      <c r="L1658" s="13" t="s">
        <v>15987</v>
      </c>
      <c r="M1658" s="13" t="s">
        <v>15988</v>
      </c>
      <c r="N1658" s="5" t="n">
        <f aca="false">LEN(L1658)</f>
        <v>25</v>
      </c>
      <c r="O1658" s="5" t="n">
        <f aca="false">LEN(M1658)</f>
        <v>25</v>
      </c>
      <c r="P1658" s="14" t="n">
        <f aca="false">IF(N1658=0,"",(N1658-LEN(SUBSTITUTE(SUBSTITUTE(L1658,"G",""),"C","")))/N1658)</f>
        <v>0.6</v>
      </c>
      <c r="Q1658" s="14" t="n">
        <f aca="false">IF(O1658=0,"",(O1658-LEN(SUBSTITUTE(SUBSTITUTE(M1658,"G",""),"C","")))/O1658)</f>
        <v>0.72</v>
      </c>
      <c r="R1658" s="5"/>
      <c r="S1658" s="8" t="s">
        <v>2131</v>
      </c>
      <c r="T1658" s="5"/>
      <c r="U1658" s="5" t="s">
        <v>2986</v>
      </c>
      <c r="V1658" s="5" t="s">
        <v>1578</v>
      </c>
      <c r="W1658" s="5" t="s">
        <v>15952</v>
      </c>
      <c r="X1658" s="5"/>
      <c r="Y1658" s="5"/>
    </row>
    <row r="1659" customFormat="false" ht="15" hidden="false" customHeight="false" outlineLevel="0" collapsed="false">
      <c r="A1659" s="5" t="s">
        <v>15989</v>
      </c>
      <c r="B1659" s="5" t="s">
        <v>1575</v>
      </c>
      <c r="C1659" s="5" t="s">
        <v>1576</v>
      </c>
      <c r="D1659" s="6" t="s">
        <v>45</v>
      </c>
      <c r="E1659" s="5" t="n">
        <v>6</v>
      </c>
      <c r="F1659" s="5" t="s">
        <v>15990</v>
      </c>
      <c r="G1659" s="13" t="s">
        <v>15991</v>
      </c>
      <c r="H1659" s="5" t="s">
        <v>15992</v>
      </c>
      <c r="I1659" s="13" t="s">
        <v>15993</v>
      </c>
      <c r="J1659" s="5" t="s">
        <v>15994</v>
      </c>
      <c r="K1659" s="5" t="s">
        <v>15995</v>
      </c>
      <c r="L1659" s="13" t="s">
        <v>15996</v>
      </c>
      <c r="M1659" s="13" t="s">
        <v>15997</v>
      </c>
      <c r="N1659" s="5" t="n">
        <f aca="false">LEN(L1659)</f>
        <v>25</v>
      </c>
      <c r="O1659" s="5" t="n">
        <f aca="false">LEN(M1659)</f>
        <v>25</v>
      </c>
      <c r="P1659" s="14" t="n">
        <f aca="false">IF(N1659=0,"",(N1659-LEN(SUBSTITUTE(SUBSTITUTE(L1659,"G",""),"C","")))/N1659)</f>
        <v>0.6</v>
      </c>
      <c r="Q1659" s="14" t="n">
        <f aca="false">IF(O1659=0,"",(O1659-LEN(SUBSTITUTE(SUBSTITUTE(M1659,"G",""),"C","")))/O1659)</f>
        <v>0.8</v>
      </c>
      <c r="R1659" s="5"/>
      <c r="S1659" s="8" t="s">
        <v>2131</v>
      </c>
      <c r="T1659" s="5"/>
      <c r="U1659" s="5" t="s">
        <v>2986</v>
      </c>
      <c r="V1659" s="5" t="s">
        <v>1578</v>
      </c>
      <c r="W1659" s="5" t="s">
        <v>15952</v>
      </c>
      <c r="X1659" s="5"/>
      <c r="Y1659" s="5"/>
    </row>
    <row r="1660" customFormat="false" ht="15" hidden="false" customHeight="false" outlineLevel="0" collapsed="false">
      <c r="A1660" s="5" t="s">
        <v>15998</v>
      </c>
      <c r="B1660" s="5" t="s">
        <v>1575</v>
      </c>
      <c r="C1660" s="5" t="s">
        <v>1576</v>
      </c>
      <c r="D1660" s="6" t="s">
        <v>45</v>
      </c>
      <c r="E1660" s="5" t="n">
        <v>7</v>
      </c>
      <c r="F1660" s="5" t="s">
        <v>15999</v>
      </c>
      <c r="G1660" s="13" t="s">
        <v>16000</v>
      </c>
      <c r="H1660" s="5" t="s">
        <v>16001</v>
      </c>
      <c r="I1660" s="13" t="s">
        <v>16002</v>
      </c>
      <c r="J1660" s="5" t="s">
        <v>16003</v>
      </c>
      <c r="K1660" s="5" t="s">
        <v>16004</v>
      </c>
      <c r="L1660" s="13" t="s">
        <v>16005</v>
      </c>
      <c r="M1660" s="13" t="s">
        <v>16006</v>
      </c>
      <c r="N1660" s="5" t="n">
        <f aca="false">LEN(L1660)</f>
        <v>25</v>
      </c>
      <c r="O1660" s="5" t="n">
        <f aca="false">LEN(M1660)</f>
        <v>25</v>
      </c>
      <c r="P1660" s="14" t="n">
        <f aca="false">IF(N1660=0,"",(N1660-LEN(SUBSTITUTE(SUBSTITUTE(L1660,"G",""),"C","")))/N1660)</f>
        <v>0.52</v>
      </c>
      <c r="Q1660" s="14" t="n">
        <f aca="false">IF(O1660=0,"",(O1660-LEN(SUBSTITUTE(SUBSTITUTE(M1660,"G",""),"C","")))/O1660)</f>
        <v>0.64</v>
      </c>
      <c r="R1660" s="5"/>
      <c r="S1660" s="8" t="s">
        <v>2131</v>
      </c>
      <c r="T1660" s="5"/>
      <c r="U1660" s="5" t="s">
        <v>2986</v>
      </c>
      <c r="V1660" s="5" t="s">
        <v>1556</v>
      </c>
      <c r="W1660" s="5"/>
      <c r="X1660" s="5"/>
      <c r="Y1660" s="5"/>
    </row>
    <row r="1661" customFormat="false" ht="15" hidden="false" customHeight="false" outlineLevel="0" collapsed="false">
      <c r="A1661" s="5" t="s">
        <v>16007</v>
      </c>
      <c r="B1661" s="5" t="s">
        <v>1575</v>
      </c>
      <c r="C1661" s="5" t="s">
        <v>1576</v>
      </c>
      <c r="D1661" s="6" t="s">
        <v>45</v>
      </c>
      <c r="E1661" s="5" t="n">
        <v>8</v>
      </c>
      <c r="F1661" s="5" t="s">
        <v>16008</v>
      </c>
      <c r="G1661" s="13" t="s">
        <v>16009</v>
      </c>
      <c r="H1661" s="5" t="s">
        <v>16010</v>
      </c>
      <c r="I1661" s="13" t="s">
        <v>16011</v>
      </c>
      <c r="J1661" s="5" t="s">
        <v>16012</v>
      </c>
      <c r="K1661" s="5" t="s">
        <v>16013</v>
      </c>
      <c r="L1661" s="13" t="s">
        <v>16014</v>
      </c>
      <c r="M1661" s="13" t="s">
        <v>16015</v>
      </c>
      <c r="N1661" s="5" t="n">
        <f aca="false">LEN(L1661)</f>
        <v>25</v>
      </c>
      <c r="O1661" s="5" t="n">
        <f aca="false">LEN(M1661)</f>
        <v>25</v>
      </c>
      <c r="P1661" s="14" t="n">
        <f aca="false">IF(N1661=0,"",(N1661-LEN(SUBSTITUTE(SUBSTITUTE(L1661,"G",""),"C","")))/N1661)</f>
        <v>0.64</v>
      </c>
      <c r="Q1661" s="14" t="n">
        <f aca="false">IF(O1661=0,"",(O1661-LEN(SUBSTITUTE(SUBSTITUTE(M1661,"G",""),"C","")))/O1661)</f>
        <v>0.6</v>
      </c>
      <c r="R1661" s="5"/>
      <c r="S1661" s="8" t="s">
        <v>2131</v>
      </c>
      <c r="T1661" s="5"/>
      <c r="U1661" s="5" t="s">
        <v>2986</v>
      </c>
      <c r="V1661" s="5" t="s">
        <v>1556</v>
      </c>
      <c r="W1661" s="5"/>
      <c r="X1661" s="5"/>
      <c r="Y1661" s="5"/>
    </row>
    <row r="1662" customFormat="false" ht="15" hidden="false" customHeight="false" outlineLevel="0" collapsed="false">
      <c r="A1662" s="5" t="s">
        <v>16016</v>
      </c>
      <c r="B1662" s="5" t="s">
        <v>1579</v>
      </c>
      <c r="C1662" s="5" t="s">
        <v>1580</v>
      </c>
      <c r="D1662" s="9" t="s">
        <v>66</v>
      </c>
      <c r="E1662" s="5" t="n">
        <v>1</v>
      </c>
      <c r="F1662" s="5" t="s">
        <v>16017</v>
      </c>
      <c r="G1662" s="13" t="s">
        <v>16018</v>
      </c>
      <c r="H1662" s="5" t="s">
        <v>16019</v>
      </c>
      <c r="I1662" s="13" t="s">
        <v>16020</v>
      </c>
      <c r="J1662" s="5" t="s">
        <v>16021</v>
      </c>
      <c r="K1662" s="5" t="s">
        <v>16022</v>
      </c>
      <c r="L1662" s="13" t="s">
        <v>16023</v>
      </c>
      <c r="M1662" s="13" t="s">
        <v>16024</v>
      </c>
      <c r="N1662" s="5" t="n">
        <f aca="false">LEN(L1662)</f>
        <v>25</v>
      </c>
      <c r="O1662" s="5" t="n">
        <f aca="false">LEN(M1662)</f>
        <v>25</v>
      </c>
      <c r="P1662" s="14" t="n">
        <f aca="false">IF(N1662=0,"",(N1662-LEN(SUBSTITUTE(SUBSTITUTE(L1662,"G",""),"C","")))/N1662)</f>
        <v>0.6</v>
      </c>
      <c r="Q1662" s="14" t="n">
        <f aca="false">IF(O1662=0,"",(O1662-LEN(SUBSTITUTE(SUBSTITUTE(M1662,"G",""),"C","")))/O1662)</f>
        <v>0.6</v>
      </c>
      <c r="R1662" s="5"/>
      <c r="S1662" s="8" t="s">
        <v>2131</v>
      </c>
      <c r="T1662" s="5"/>
      <c r="U1662" s="5" t="s">
        <v>15244</v>
      </c>
      <c r="V1662" s="5" t="s">
        <v>1549</v>
      </c>
      <c r="W1662" s="5"/>
      <c r="X1662" s="5"/>
      <c r="Y1662" s="5"/>
    </row>
    <row r="1663" customFormat="false" ht="15" hidden="false" customHeight="false" outlineLevel="0" collapsed="false">
      <c r="A1663" s="5" t="s">
        <v>16025</v>
      </c>
      <c r="B1663" s="5" t="s">
        <v>1579</v>
      </c>
      <c r="C1663" s="5" t="s">
        <v>1580</v>
      </c>
      <c r="D1663" s="9" t="s">
        <v>66</v>
      </c>
      <c r="E1663" s="5" t="n">
        <v>2</v>
      </c>
      <c r="F1663" s="5" t="s">
        <v>16026</v>
      </c>
      <c r="G1663" s="13" t="s">
        <v>16027</v>
      </c>
      <c r="H1663" s="5" t="s">
        <v>16028</v>
      </c>
      <c r="I1663" s="13" t="s">
        <v>16029</v>
      </c>
      <c r="J1663" s="5" t="s">
        <v>16030</v>
      </c>
      <c r="K1663" s="5" t="s">
        <v>16031</v>
      </c>
      <c r="L1663" s="13" t="s">
        <v>16032</v>
      </c>
      <c r="M1663" s="13" t="s">
        <v>16033</v>
      </c>
      <c r="N1663" s="5" t="n">
        <f aca="false">LEN(L1663)</f>
        <v>25</v>
      </c>
      <c r="O1663" s="5" t="n">
        <f aca="false">LEN(M1663)</f>
        <v>25</v>
      </c>
      <c r="P1663" s="14" t="n">
        <f aca="false">IF(N1663=0,"",(N1663-LEN(SUBSTITUTE(SUBSTITUTE(L1663,"G",""),"C","")))/N1663)</f>
        <v>0.56</v>
      </c>
      <c r="Q1663" s="14" t="n">
        <f aca="false">IF(O1663=0,"",(O1663-LEN(SUBSTITUTE(SUBSTITUTE(M1663,"G",""),"C","")))/O1663)</f>
        <v>0.6</v>
      </c>
      <c r="R1663" s="5"/>
      <c r="S1663" s="8" t="s">
        <v>2131</v>
      </c>
      <c r="T1663" s="5"/>
      <c r="U1663" s="5" t="s">
        <v>15244</v>
      </c>
      <c r="V1663" s="5" t="s">
        <v>1549</v>
      </c>
      <c r="W1663" s="5"/>
      <c r="X1663" s="5"/>
      <c r="Y1663" s="5"/>
    </row>
    <row r="1664" customFormat="false" ht="15" hidden="false" customHeight="false" outlineLevel="0" collapsed="false">
      <c r="A1664" s="5" t="s">
        <v>16034</v>
      </c>
      <c r="B1664" s="5" t="s">
        <v>1579</v>
      </c>
      <c r="C1664" s="5" t="s">
        <v>1580</v>
      </c>
      <c r="D1664" s="9" t="s">
        <v>66</v>
      </c>
      <c r="E1664" s="5" t="n">
        <v>3</v>
      </c>
      <c r="F1664" s="5" t="s">
        <v>16035</v>
      </c>
      <c r="G1664" s="13" t="s">
        <v>16036</v>
      </c>
      <c r="H1664" s="5" t="s">
        <v>16037</v>
      </c>
      <c r="I1664" s="13" t="s">
        <v>16038</v>
      </c>
      <c r="J1664" s="5" t="s">
        <v>16039</v>
      </c>
      <c r="K1664" s="5" t="s">
        <v>16040</v>
      </c>
      <c r="L1664" s="13" t="s">
        <v>16041</v>
      </c>
      <c r="M1664" s="13" t="s">
        <v>16042</v>
      </c>
      <c r="N1664" s="5" t="n">
        <f aca="false">LEN(L1664)</f>
        <v>25</v>
      </c>
      <c r="O1664" s="5" t="n">
        <f aca="false">LEN(M1664)</f>
        <v>25</v>
      </c>
      <c r="P1664" s="14" t="n">
        <f aca="false">IF(N1664=0,"",(N1664-LEN(SUBSTITUTE(SUBSTITUTE(L1664,"G",""),"C","")))/N1664)</f>
        <v>0.72</v>
      </c>
      <c r="Q1664" s="14" t="n">
        <f aca="false">IF(O1664=0,"",(O1664-LEN(SUBSTITUTE(SUBSTITUTE(M1664,"G",""),"C","")))/O1664)</f>
        <v>0.6</v>
      </c>
      <c r="R1664" s="5"/>
      <c r="S1664" s="8" t="s">
        <v>2131</v>
      </c>
      <c r="T1664" s="5"/>
      <c r="U1664" s="5" t="s">
        <v>15244</v>
      </c>
      <c r="V1664" s="5" t="s">
        <v>1549</v>
      </c>
      <c r="W1664" s="5"/>
      <c r="X1664" s="5"/>
      <c r="Y1664" s="5"/>
    </row>
    <row r="1665" customFormat="false" ht="15" hidden="false" customHeight="false" outlineLevel="0" collapsed="false">
      <c r="A1665" s="5" t="s">
        <v>16043</v>
      </c>
      <c r="B1665" s="5" t="s">
        <v>1579</v>
      </c>
      <c r="C1665" s="5" t="s">
        <v>1580</v>
      </c>
      <c r="D1665" s="9" t="s">
        <v>66</v>
      </c>
      <c r="E1665" s="5" t="n">
        <v>4</v>
      </c>
      <c r="F1665" s="5" t="s">
        <v>16044</v>
      </c>
      <c r="G1665" s="13" t="s">
        <v>16045</v>
      </c>
      <c r="H1665" s="5" t="s">
        <v>16046</v>
      </c>
      <c r="I1665" s="13" t="s">
        <v>16047</v>
      </c>
      <c r="J1665" s="5" t="s">
        <v>16048</v>
      </c>
      <c r="K1665" s="5" t="s">
        <v>16049</v>
      </c>
      <c r="L1665" s="13" t="s">
        <v>16050</v>
      </c>
      <c r="M1665" s="13" t="s">
        <v>16051</v>
      </c>
      <c r="N1665" s="5" t="n">
        <f aca="false">LEN(L1665)</f>
        <v>25</v>
      </c>
      <c r="O1665" s="5" t="n">
        <f aca="false">LEN(M1665)</f>
        <v>25</v>
      </c>
      <c r="P1665" s="14" t="n">
        <f aca="false">IF(N1665=0,"",(N1665-LEN(SUBSTITUTE(SUBSTITUTE(L1665,"G",""),"C","")))/N1665)</f>
        <v>0.48</v>
      </c>
      <c r="Q1665" s="14" t="n">
        <f aca="false">IF(O1665=0,"",(O1665-LEN(SUBSTITUTE(SUBSTITUTE(M1665,"G",""),"C","")))/O1665)</f>
        <v>0.56</v>
      </c>
      <c r="R1665" s="5"/>
      <c r="S1665" s="8" t="s">
        <v>2131</v>
      </c>
      <c r="T1665" s="5"/>
      <c r="U1665" s="5" t="s">
        <v>15244</v>
      </c>
      <c r="V1665" s="5" t="s">
        <v>1549</v>
      </c>
      <c r="W1665" s="5"/>
      <c r="X1665" s="5"/>
      <c r="Y1665" s="5"/>
    </row>
    <row r="1666" customFormat="false" ht="15" hidden="false" customHeight="false" outlineLevel="0" collapsed="false">
      <c r="A1666" s="5" t="s">
        <v>16052</v>
      </c>
      <c r="B1666" s="5" t="s">
        <v>1579</v>
      </c>
      <c r="C1666" s="5" t="s">
        <v>1580</v>
      </c>
      <c r="D1666" s="9" t="s">
        <v>66</v>
      </c>
      <c r="E1666" s="5" t="n">
        <v>5</v>
      </c>
      <c r="F1666" s="5" t="s">
        <v>16053</v>
      </c>
      <c r="G1666" s="13" t="s">
        <v>16054</v>
      </c>
      <c r="H1666" s="5" t="s">
        <v>16055</v>
      </c>
      <c r="I1666" s="13" t="s">
        <v>16056</v>
      </c>
      <c r="J1666" s="5" t="s">
        <v>16057</v>
      </c>
      <c r="K1666" s="5" t="s">
        <v>16058</v>
      </c>
      <c r="L1666" s="13" t="s">
        <v>16059</v>
      </c>
      <c r="M1666" s="13" t="s">
        <v>16060</v>
      </c>
      <c r="N1666" s="5" t="n">
        <f aca="false">LEN(L1666)</f>
        <v>25</v>
      </c>
      <c r="O1666" s="5" t="n">
        <f aca="false">LEN(M1666)</f>
        <v>25</v>
      </c>
      <c r="P1666" s="14" t="n">
        <f aca="false">IF(N1666=0,"",(N1666-LEN(SUBSTITUTE(SUBSTITUTE(L1666,"G",""),"C","")))/N1666)</f>
        <v>0.48</v>
      </c>
      <c r="Q1666" s="14" t="n">
        <f aca="false">IF(O1666=0,"",(O1666-LEN(SUBSTITUTE(SUBSTITUTE(M1666,"G",""),"C","")))/O1666)</f>
        <v>0.44</v>
      </c>
      <c r="R1666" s="5"/>
      <c r="S1666" s="8" t="s">
        <v>2131</v>
      </c>
      <c r="T1666" s="5"/>
      <c r="U1666" s="5" t="s">
        <v>15244</v>
      </c>
      <c r="V1666" s="5" t="s">
        <v>1549</v>
      </c>
      <c r="W1666" s="5"/>
      <c r="X1666" s="5"/>
      <c r="Y1666" s="5"/>
    </row>
    <row r="1667" customFormat="false" ht="15" hidden="false" customHeight="false" outlineLevel="0" collapsed="false">
      <c r="A1667" s="5" t="s">
        <v>16061</v>
      </c>
      <c r="B1667" s="5" t="s">
        <v>1579</v>
      </c>
      <c r="C1667" s="5" t="s">
        <v>1580</v>
      </c>
      <c r="D1667" s="9" t="s">
        <v>66</v>
      </c>
      <c r="E1667" s="5" t="n">
        <v>6</v>
      </c>
      <c r="F1667" s="5" t="s">
        <v>16062</v>
      </c>
      <c r="G1667" s="13" t="s">
        <v>16063</v>
      </c>
      <c r="H1667" s="5" t="s">
        <v>16064</v>
      </c>
      <c r="I1667" s="13" t="s">
        <v>16065</v>
      </c>
      <c r="J1667" s="5" t="s">
        <v>16066</v>
      </c>
      <c r="K1667" s="5" t="s">
        <v>16067</v>
      </c>
      <c r="L1667" s="13" t="s">
        <v>16068</v>
      </c>
      <c r="M1667" s="13" t="s">
        <v>16069</v>
      </c>
      <c r="N1667" s="5" t="n">
        <f aca="false">LEN(L1667)</f>
        <v>25</v>
      </c>
      <c r="O1667" s="5" t="n">
        <f aca="false">LEN(M1667)</f>
        <v>25</v>
      </c>
      <c r="P1667" s="14" t="n">
        <f aca="false">IF(N1667=0,"",(N1667-LEN(SUBSTITUTE(SUBSTITUTE(L1667,"G",""),"C","")))/N1667)</f>
        <v>0.6</v>
      </c>
      <c r="Q1667" s="14" t="n">
        <f aca="false">IF(O1667=0,"",(O1667-LEN(SUBSTITUTE(SUBSTITUTE(M1667,"G",""),"C","")))/O1667)</f>
        <v>0.44</v>
      </c>
      <c r="R1667" s="5"/>
      <c r="S1667" s="8" t="s">
        <v>2131</v>
      </c>
      <c r="T1667" s="5"/>
      <c r="U1667" s="5" t="s">
        <v>15244</v>
      </c>
      <c r="V1667" s="5" t="s">
        <v>1549</v>
      </c>
      <c r="W1667" s="5"/>
      <c r="X1667" s="5"/>
      <c r="Y1667" s="5"/>
    </row>
    <row r="1668" customFormat="false" ht="15" hidden="false" customHeight="false" outlineLevel="0" collapsed="false">
      <c r="A1668" s="5" t="s">
        <v>16070</v>
      </c>
      <c r="B1668" s="5" t="s">
        <v>1581</v>
      </c>
      <c r="C1668" s="5" t="s">
        <v>1582</v>
      </c>
      <c r="D1668" s="9" t="s">
        <v>66</v>
      </c>
      <c r="E1668" s="5" t="n">
        <v>1</v>
      </c>
      <c r="F1668" s="5" t="s">
        <v>16071</v>
      </c>
      <c r="G1668" s="13" t="s">
        <v>16072</v>
      </c>
      <c r="H1668" s="5" t="s">
        <v>16073</v>
      </c>
      <c r="I1668" s="13" t="s">
        <v>16074</v>
      </c>
      <c r="J1668" s="5" t="s">
        <v>16075</v>
      </c>
      <c r="K1668" s="5" t="s">
        <v>16076</v>
      </c>
      <c r="L1668" s="13" t="s">
        <v>16077</v>
      </c>
      <c r="M1668" s="13" t="s">
        <v>16078</v>
      </c>
      <c r="N1668" s="5" t="n">
        <f aca="false">LEN(L1668)</f>
        <v>25</v>
      </c>
      <c r="O1668" s="5" t="n">
        <f aca="false">LEN(M1668)</f>
        <v>25</v>
      </c>
      <c r="P1668" s="14" t="n">
        <f aca="false">IF(N1668=0,"",(N1668-LEN(SUBSTITUTE(SUBSTITUTE(L1668,"G",""),"C","")))/N1668)</f>
        <v>0.56</v>
      </c>
      <c r="Q1668" s="14" t="n">
        <f aca="false">IF(O1668=0,"",(O1668-LEN(SUBSTITUTE(SUBSTITUTE(M1668,"G",""),"C","")))/O1668)</f>
        <v>0.64</v>
      </c>
      <c r="R1668" s="5"/>
      <c r="S1668" s="8" t="s">
        <v>2131</v>
      </c>
      <c r="T1668" s="5"/>
      <c r="U1668" s="5" t="s">
        <v>2986</v>
      </c>
      <c r="V1668" s="5" t="s">
        <v>1546</v>
      </c>
      <c r="W1668" s="5" t="s">
        <v>15189</v>
      </c>
      <c r="X1668" s="5"/>
      <c r="Y1668" s="5"/>
    </row>
    <row r="1669" customFormat="false" ht="15" hidden="false" customHeight="false" outlineLevel="0" collapsed="false">
      <c r="A1669" s="5" t="s">
        <v>16079</v>
      </c>
      <c r="B1669" s="5" t="s">
        <v>1581</v>
      </c>
      <c r="C1669" s="5" t="s">
        <v>1582</v>
      </c>
      <c r="D1669" s="9" t="s">
        <v>66</v>
      </c>
      <c r="E1669" s="5" t="n">
        <v>2</v>
      </c>
      <c r="F1669" s="5" t="s">
        <v>16080</v>
      </c>
      <c r="G1669" s="13" t="s">
        <v>16081</v>
      </c>
      <c r="H1669" s="5" t="s">
        <v>16082</v>
      </c>
      <c r="I1669" s="13" t="s">
        <v>16083</v>
      </c>
      <c r="J1669" s="5" t="s">
        <v>16084</v>
      </c>
      <c r="K1669" s="5" t="s">
        <v>16085</v>
      </c>
      <c r="L1669" s="13" t="s">
        <v>16086</v>
      </c>
      <c r="M1669" s="13" t="s">
        <v>16087</v>
      </c>
      <c r="N1669" s="5" t="n">
        <f aca="false">LEN(L1669)</f>
        <v>25</v>
      </c>
      <c r="O1669" s="5" t="n">
        <f aca="false">LEN(M1669)</f>
        <v>25</v>
      </c>
      <c r="P1669" s="14" t="n">
        <f aca="false">IF(N1669=0,"",(N1669-LEN(SUBSTITUTE(SUBSTITUTE(L1669,"G",""),"C","")))/N1669)</f>
        <v>0.56</v>
      </c>
      <c r="Q1669" s="14" t="n">
        <f aca="false">IF(O1669=0,"",(O1669-LEN(SUBSTITUTE(SUBSTITUTE(M1669,"G",""),"C","")))/O1669)</f>
        <v>0.52</v>
      </c>
      <c r="R1669" s="5"/>
      <c r="S1669" s="8" t="s">
        <v>2131</v>
      </c>
      <c r="T1669" s="5"/>
      <c r="U1669" s="5" t="s">
        <v>2986</v>
      </c>
      <c r="V1669" s="5" t="s">
        <v>1546</v>
      </c>
      <c r="W1669" s="5" t="s">
        <v>15189</v>
      </c>
      <c r="X1669" s="5"/>
      <c r="Y1669" s="5"/>
    </row>
    <row r="1670" customFormat="false" ht="15" hidden="false" customHeight="false" outlineLevel="0" collapsed="false">
      <c r="A1670" s="5" t="s">
        <v>16088</v>
      </c>
      <c r="B1670" s="5" t="s">
        <v>1581</v>
      </c>
      <c r="C1670" s="5" t="s">
        <v>1582</v>
      </c>
      <c r="D1670" s="9" t="s">
        <v>66</v>
      </c>
      <c r="E1670" s="5" t="n">
        <v>3</v>
      </c>
      <c r="F1670" s="5" t="s">
        <v>16089</v>
      </c>
      <c r="G1670" s="13" t="s">
        <v>16090</v>
      </c>
      <c r="H1670" s="5" t="s">
        <v>16091</v>
      </c>
      <c r="I1670" s="13" t="s">
        <v>16092</v>
      </c>
      <c r="J1670" s="5" t="s">
        <v>16093</v>
      </c>
      <c r="K1670" s="5" t="s">
        <v>16094</v>
      </c>
      <c r="L1670" s="13" t="s">
        <v>16095</v>
      </c>
      <c r="M1670" s="13" t="s">
        <v>16096</v>
      </c>
      <c r="N1670" s="5" t="n">
        <f aca="false">LEN(L1670)</f>
        <v>25</v>
      </c>
      <c r="O1670" s="5" t="n">
        <f aca="false">LEN(M1670)</f>
        <v>25</v>
      </c>
      <c r="P1670" s="14" t="n">
        <f aca="false">IF(N1670=0,"",(N1670-LEN(SUBSTITUTE(SUBSTITUTE(L1670,"G",""),"C","")))/N1670)</f>
        <v>0.68</v>
      </c>
      <c r="Q1670" s="14" t="n">
        <f aca="false">IF(O1670=0,"",(O1670-LEN(SUBSTITUTE(SUBSTITUTE(M1670,"G",""),"C","")))/O1670)</f>
        <v>0.52</v>
      </c>
      <c r="R1670" s="5"/>
      <c r="S1670" s="8" t="s">
        <v>2131</v>
      </c>
      <c r="T1670" s="5"/>
      <c r="U1670" s="5" t="s">
        <v>2986</v>
      </c>
      <c r="V1670" s="5" t="s">
        <v>1546</v>
      </c>
      <c r="W1670" s="5" t="s">
        <v>15189</v>
      </c>
      <c r="X1670" s="5"/>
      <c r="Y1670" s="5"/>
    </row>
    <row r="1671" customFormat="false" ht="15" hidden="false" customHeight="false" outlineLevel="0" collapsed="false">
      <c r="A1671" s="5" t="s">
        <v>16097</v>
      </c>
      <c r="B1671" s="5" t="s">
        <v>1581</v>
      </c>
      <c r="C1671" s="5" t="s">
        <v>1582</v>
      </c>
      <c r="D1671" s="9" t="s">
        <v>66</v>
      </c>
      <c r="E1671" s="5" t="n">
        <v>4</v>
      </c>
      <c r="F1671" s="5" t="s">
        <v>16098</v>
      </c>
      <c r="G1671" s="13" t="s">
        <v>16099</v>
      </c>
      <c r="H1671" s="5" t="s">
        <v>16100</v>
      </c>
      <c r="I1671" s="13" t="s">
        <v>16101</v>
      </c>
      <c r="J1671" s="5" t="s">
        <v>16102</v>
      </c>
      <c r="K1671" s="5" t="s">
        <v>16103</v>
      </c>
      <c r="L1671" s="13" t="s">
        <v>16104</v>
      </c>
      <c r="M1671" s="13" t="s">
        <v>16105</v>
      </c>
      <c r="N1671" s="5" t="n">
        <f aca="false">LEN(L1671)</f>
        <v>25</v>
      </c>
      <c r="O1671" s="5" t="n">
        <f aca="false">LEN(M1671)</f>
        <v>25</v>
      </c>
      <c r="P1671" s="14" t="n">
        <f aca="false">IF(N1671=0,"",(N1671-LEN(SUBSTITUTE(SUBSTITUTE(L1671,"G",""),"C","")))/N1671)</f>
        <v>0.72</v>
      </c>
      <c r="Q1671" s="14" t="n">
        <f aca="false">IF(O1671=0,"",(O1671-LEN(SUBSTITUTE(SUBSTITUTE(M1671,"G",""),"C","")))/O1671)</f>
        <v>0.6</v>
      </c>
      <c r="R1671" s="5"/>
      <c r="S1671" s="8" t="s">
        <v>2131</v>
      </c>
      <c r="T1671" s="5"/>
      <c r="U1671" s="5" t="s">
        <v>2986</v>
      </c>
      <c r="V1671" s="5" t="s">
        <v>1546</v>
      </c>
      <c r="W1671" s="5" t="s">
        <v>15189</v>
      </c>
      <c r="X1671" s="5"/>
      <c r="Y1671" s="5"/>
    </row>
    <row r="1672" customFormat="false" ht="15" hidden="false" customHeight="false" outlineLevel="0" collapsed="false">
      <c r="A1672" s="5" t="s">
        <v>16106</v>
      </c>
      <c r="B1672" s="5" t="s">
        <v>1581</v>
      </c>
      <c r="C1672" s="5" t="s">
        <v>1582</v>
      </c>
      <c r="D1672" s="9" t="s">
        <v>66</v>
      </c>
      <c r="E1672" s="5" t="n">
        <v>5</v>
      </c>
      <c r="F1672" s="5" t="s">
        <v>16107</v>
      </c>
      <c r="G1672" s="13" t="s">
        <v>16108</v>
      </c>
      <c r="H1672" s="5" t="s">
        <v>16109</v>
      </c>
      <c r="I1672" s="13" t="s">
        <v>16110</v>
      </c>
      <c r="J1672" s="5" t="s">
        <v>16111</v>
      </c>
      <c r="K1672" s="5" t="s">
        <v>16112</v>
      </c>
      <c r="L1672" s="13" t="s">
        <v>16113</v>
      </c>
      <c r="M1672" s="13" t="s">
        <v>16114</v>
      </c>
      <c r="N1672" s="5" t="n">
        <f aca="false">LEN(L1672)</f>
        <v>25</v>
      </c>
      <c r="O1672" s="5" t="n">
        <f aca="false">LEN(M1672)</f>
        <v>25</v>
      </c>
      <c r="P1672" s="14" t="n">
        <f aca="false">IF(N1672=0,"",(N1672-LEN(SUBSTITUTE(SUBSTITUTE(L1672,"G",""),"C","")))/N1672)</f>
        <v>0.64</v>
      </c>
      <c r="Q1672" s="14" t="n">
        <f aca="false">IF(O1672=0,"",(O1672-LEN(SUBSTITUTE(SUBSTITUTE(M1672,"G",""),"C","")))/O1672)</f>
        <v>0.64</v>
      </c>
      <c r="R1672" s="5"/>
      <c r="S1672" s="8" t="s">
        <v>2131</v>
      </c>
      <c r="T1672" s="5"/>
      <c r="U1672" s="5" t="s">
        <v>2986</v>
      </c>
      <c r="V1672" s="5" t="s">
        <v>1546</v>
      </c>
      <c r="W1672" s="5" t="s">
        <v>15189</v>
      </c>
      <c r="X1672" s="5"/>
      <c r="Y1672" s="5"/>
    </row>
    <row r="1673" customFormat="false" ht="15" hidden="false" customHeight="false" outlineLevel="0" collapsed="false">
      <c r="A1673" s="5" t="s">
        <v>16115</v>
      </c>
      <c r="B1673" s="5" t="s">
        <v>1581</v>
      </c>
      <c r="C1673" s="5" t="s">
        <v>1582</v>
      </c>
      <c r="D1673" s="9" t="s">
        <v>66</v>
      </c>
      <c r="E1673" s="5" t="n">
        <v>6</v>
      </c>
      <c r="F1673" s="5" t="s">
        <v>16116</v>
      </c>
      <c r="G1673" s="13" t="s">
        <v>16117</v>
      </c>
      <c r="H1673" s="5" t="s">
        <v>16118</v>
      </c>
      <c r="I1673" s="13" t="s">
        <v>16119</v>
      </c>
      <c r="J1673" s="5" t="s">
        <v>16120</v>
      </c>
      <c r="K1673" s="5" t="s">
        <v>16121</v>
      </c>
      <c r="L1673" s="13" t="s">
        <v>16122</v>
      </c>
      <c r="M1673" s="13" t="s">
        <v>16123</v>
      </c>
      <c r="N1673" s="5" t="n">
        <f aca="false">LEN(L1673)</f>
        <v>25</v>
      </c>
      <c r="O1673" s="5" t="n">
        <f aca="false">LEN(M1673)</f>
        <v>25</v>
      </c>
      <c r="P1673" s="14" t="n">
        <f aca="false">IF(N1673=0,"",(N1673-LEN(SUBSTITUTE(SUBSTITUTE(L1673,"G",""),"C","")))/N1673)</f>
        <v>0.6</v>
      </c>
      <c r="Q1673" s="14" t="n">
        <f aca="false">IF(O1673=0,"",(O1673-LEN(SUBSTITUTE(SUBSTITUTE(M1673,"G",""),"C","")))/O1673)</f>
        <v>0.64</v>
      </c>
      <c r="R1673" s="5"/>
      <c r="S1673" s="8" t="s">
        <v>2131</v>
      </c>
      <c r="T1673" s="5"/>
      <c r="U1673" s="5" t="s">
        <v>2986</v>
      </c>
      <c r="V1673" s="5" t="s">
        <v>1546</v>
      </c>
      <c r="W1673" s="5" t="s">
        <v>15189</v>
      </c>
      <c r="X1673" s="5"/>
      <c r="Y1673" s="5"/>
    </row>
    <row r="1674" customFormat="false" ht="15" hidden="false" customHeight="false" outlineLevel="0" collapsed="false">
      <c r="A1674" s="5" t="s">
        <v>16124</v>
      </c>
      <c r="B1674" s="5" t="s">
        <v>1583</v>
      </c>
      <c r="C1674" s="5" t="s">
        <v>1584</v>
      </c>
      <c r="D1674" s="9" t="s">
        <v>66</v>
      </c>
      <c r="E1674" s="5" t="n">
        <v>1</v>
      </c>
      <c r="F1674" s="5" t="s">
        <v>16125</v>
      </c>
      <c r="G1674" s="13" t="s">
        <v>16126</v>
      </c>
      <c r="H1674" s="5" t="s">
        <v>16127</v>
      </c>
      <c r="I1674" s="13" t="s">
        <v>16128</v>
      </c>
      <c r="J1674" s="5" t="s">
        <v>16129</v>
      </c>
      <c r="K1674" s="5" t="s">
        <v>16130</v>
      </c>
      <c r="L1674" s="13" t="s">
        <v>16131</v>
      </c>
      <c r="M1674" s="13" t="s">
        <v>16132</v>
      </c>
      <c r="N1674" s="5" t="n">
        <f aca="false">LEN(L1674)</f>
        <v>25</v>
      </c>
      <c r="O1674" s="5" t="n">
        <f aca="false">LEN(M1674)</f>
        <v>25</v>
      </c>
      <c r="P1674" s="14" t="n">
        <f aca="false">IF(N1674=0,"",(N1674-LEN(SUBSTITUTE(SUBSTITUTE(L1674,"G",""),"C","")))/N1674)</f>
        <v>0.68</v>
      </c>
      <c r="Q1674" s="14" t="n">
        <f aca="false">IF(O1674=0,"",(O1674-LEN(SUBSTITUTE(SUBSTITUTE(M1674,"G",""),"C","")))/O1674)</f>
        <v>0.64</v>
      </c>
      <c r="R1674" s="5"/>
      <c r="S1674" s="8" t="s">
        <v>2131</v>
      </c>
      <c r="T1674" s="5"/>
      <c r="U1674" s="5" t="s">
        <v>15244</v>
      </c>
      <c r="V1674" s="5" t="s">
        <v>1549</v>
      </c>
      <c r="W1674" s="5"/>
      <c r="X1674" s="5"/>
      <c r="Y1674" s="5"/>
    </row>
    <row r="1675" customFormat="false" ht="15" hidden="false" customHeight="false" outlineLevel="0" collapsed="false">
      <c r="A1675" s="5" t="s">
        <v>16133</v>
      </c>
      <c r="B1675" s="5" t="s">
        <v>1583</v>
      </c>
      <c r="C1675" s="5" t="s">
        <v>1584</v>
      </c>
      <c r="D1675" s="9" t="s">
        <v>66</v>
      </c>
      <c r="E1675" s="5" t="n">
        <v>2</v>
      </c>
      <c r="F1675" s="5" t="s">
        <v>16134</v>
      </c>
      <c r="G1675" s="13" t="s">
        <v>16135</v>
      </c>
      <c r="H1675" s="5" t="s">
        <v>16136</v>
      </c>
      <c r="I1675" s="13" t="s">
        <v>16137</v>
      </c>
      <c r="J1675" s="5" t="s">
        <v>16138</v>
      </c>
      <c r="K1675" s="5" t="s">
        <v>16139</v>
      </c>
      <c r="L1675" s="13" t="s">
        <v>16140</v>
      </c>
      <c r="M1675" s="13" t="s">
        <v>16141</v>
      </c>
      <c r="N1675" s="5" t="n">
        <f aca="false">LEN(L1675)</f>
        <v>25</v>
      </c>
      <c r="O1675" s="5" t="n">
        <f aca="false">LEN(M1675)</f>
        <v>25</v>
      </c>
      <c r="P1675" s="14" t="n">
        <f aca="false">IF(N1675=0,"",(N1675-LEN(SUBSTITUTE(SUBSTITUTE(L1675,"G",""),"C","")))/N1675)</f>
        <v>0.4</v>
      </c>
      <c r="Q1675" s="14" t="n">
        <f aca="false">IF(O1675=0,"",(O1675-LEN(SUBSTITUTE(SUBSTITUTE(M1675,"G",""),"C","")))/O1675)</f>
        <v>0.56</v>
      </c>
      <c r="R1675" s="5"/>
      <c r="S1675" s="8" t="s">
        <v>2131</v>
      </c>
      <c r="T1675" s="5"/>
      <c r="U1675" s="5" t="s">
        <v>15244</v>
      </c>
      <c r="V1675" s="5" t="s">
        <v>1549</v>
      </c>
      <c r="W1675" s="5"/>
      <c r="X1675" s="5"/>
      <c r="Y1675" s="5"/>
    </row>
    <row r="1676" customFormat="false" ht="15" hidden="false" customHeight="false" outlineLevel="0" collapsed="false">
      <c r="A1676" s="5" t="s">
        <v>16142</v>
      </c>
      <c r="B1676" s="5" t="s">
        <v>1583</v>
      </c>
      <c r="C1676" s="5" t="s">
        <v>1584</v>
      </c>
      <c r="D1676" s="9" t="s">
        <v>66</v>
      </c>
      <c r="E1676" s="5" t="n">
        <v>3</v>
      </c>
      <c r="F1676" s="5" t="s">
        <v>16143</v>
      </c>
      <c r="G1676" s="13" t="s">
        <v>16144</v>
      </c>
      <c r="H1676" s="5" t="s">
        <v>16145</v>
      </c>
      <c r="I1676" s="13" t="s">
        <v>16146</v>
      </c>
      <c r="J1676" s="5" t="s">
        <v>16147</v>
      </c>
      <c r="K1676" s="5" t="s">
        <v>16148</v>
      </c>
      <c r="L1676" s="13" t="s">
        <v>16149</v>
      </c>
      <c r="M1676" s="13" t="s">
        <v>16150</v>
      </c>
      <c r="N1676" s="5" t="n">
        <f aca="false">LEN(L1676)</f>
        <v>25</v>
      </c>
      <c r="O1676" s="5" t="n">
        <f aca="false">LEN(M1676)</f>
        <v>25</v>
      </c>
      <c r="P1676" s="14" t="n">
        <f aca="false">IF(N1676=0,"",(N1676-LEN(SUBSTITUTE(SUBSTITUTE(L1676,"G",""),"C","")))/N1676)</f>
        <v>0.6</v>
      </c>
      <c r="Q1676" s="14" t="n">
        <f aca="false">IF(O1676=0,"",(O1676-LEN(SUBSTITUTE(SUBSTITUTE(M1676,"G",""),"C","")))/O1676)</f>
        <v>0.64</v>
      </c>
      <c r="R1676" s="5"/>
      <c r="S1676" s="8" t="s">
        <v>2131</v>
      </c>
      <c r="T1676" s="5"/>
      <c r="U1676" s="5" t="s">
        <v>15244</v>
      </c>
      <c r="V1676" s="5" t="s">
        <v>1549</v>
      </c>
      <c r="W1676" s="5"/>
      <c r="X1676" s="5"/>
      <c r="Y1676" s="5"/>
    </row>
    <row r="1677" customFormat="false" ht="15" hidden="false" customHeight="false" outlineLevel="0" collapsed="false">
      <c r="A1677" s="5" t="s">
        <v>16151</v>
      </c>
      <c r="B1677" s="5" t="s">
        <v>1583</v>
      </c>
      <c r="C1677" s="5" t="s">
        <v>1584</v>
      </c>
      <c r="D1677" s="9" t="s">
        <v>66</v>
      </c>
      <c r="E1677" s="5" t="n">
        <v>4</v>
      </c>
      <c r="F1677" s="5" t="s">
        <v>16152</v>
      </c>
      <c r="G1677" s="13" t="s">
        <v>16153</v>
      </c>
      <c r="H1677" s="5" t="s">
        <v>16154</v>
      </c>
      <c r="I1677" s="13" t="s">
        <v>16155</v>
      </c>
      <c r="J1677" s="5" t="s">
        <v>16156</v>
      </c>
      <c r="K1677" s="5" t="s">
        <v>16157</v>
      </c>
      <c r="L1677" s="13" t="s">
        <v>16158</v>
      </c>
      <c r="M1677" s="13" t="s">
        <v>16159</v>
      </c>
      <c r="N1677" s="5" t="n">
        <f aca="false">LEN(L1677)</f>
        <v>25</v>
      </c>
      <c r="O1677" s="5" t="n">
        <f aca="false">LEN(M1677)</f>
        <v>25</v>
      </c>
      <c r="P1677" s="14" t="n">
        <f aca="false">IF(N1677=0,"",(N1677-LEN(SUBSTITUTE(SUBSTITUTE(L1677,"G",""),"C","")))/N1677)</f>
        <v>0.52</v>
      </c>
      <c r="Q1677" s="14" t="n">
        <f aca="false">IF(O1677=0,"",(O1677-LEN(SUBSTITUTE(SUBSTITUTE(M1677,"G",""),"C","")))/O1677)</f>
        <v>0.56</v>
      </c>
      <c r="R1677" s="5"/>
      <c r="S1677" s="8" t="s">
        <v>2131</v>
      </c>
      <c r="T1677" s="5"/>
      <c r="U1677" s="5" t="s">
        <v>15244</v>
      </c>
      <c r="V1677" s="5" t="s">
        <v>1549</v>
      </c>
      <c r="W1677" s="5"/>
      <c r="X1677" s="5"/>
      <c r="Y1677" s="5"/>
    </row>
    <row r="1678" customFormat="false" ht="15" hidden="false" customHeight="false" outlineLevel="0" collapsed="false">
      <c r="A1678" s="5" t="s">
        <v>16160</v>
      </c>
      <c r="B1678" s="5" t="s">
        <v>1583</v>
      </c>
      <c r="C1678" s="5" t="s">
        <v>1584</v>
      </c>
      <c r="D1678" s="9" t="s">
        <v>66</v>
      </c>
      <c r="E1678" s="5" t="n">
        <v>5</v>
      </c>
      <c r="F1678" s="5" t="s">
        <v>16161</v>
      </c>
      <c r="G1678" s="13" t="s">
        <v>16162</v>
      </c>
      <c r="H1678" s="5" t="s">
        <v>16163</v>
      </c>
      <c r="I1678" s="13" t="s">
        <v>16164</v>
      </c>
      <c r="J1678" s="5" t="s">
        <v>16165</v>
      </c>
      <c r="K1678" s="5" t="s">
        <v>16166</v>
      </c>
      <c r="L1678" s="13" t="s">
        <v>16167</v>
      </c>
      <c r="M1678" s="13" t="s">
        <v>16168</v>
      </c>
      <c r="N1678" s="5" t="n">
        <f aca="false">LEN(L1678)</f>
        <v>25</v>
      </c>
      <c r="O1678" s="5" t="n">
        <f aca="false">LEN(M1678)</f>
        <v>25</v>
      </c>
      <c r="P1678" s="14" t="n">
        <f aca="false">IF(N1678=0,"",(N1678-LEN(SUBSTITUTE(SUBSTITUTE(L1678,"G",""),"C","")))/N1678)</f>
        <v>0.68</v>
      </c>
      <c r="Q1678" s="14" t="n">
        <f aca="false">IF(O1678=0,"",(O1678-LEN(SUBSTITUTE(SUBSTITUTE(M1678,"G",""),"C","")))/O1678)</f>
        <v>0.6</v>
      </c>
      <c r="R1678" s="5"/>
      <c r="S1678" s="8" t="s">
        <v>2131</v>
      </c>
      <c r="T1678" s="5"/>
      <c r="U1678" s="5" t="s">
        <v>15244</v>
      </c>
      <c r="V1678" s="5" t="s">
        <v>1549</v>
      </c>
      <c r="W1678" s="5"/>
      <c r="X1678" s="5"/>
      <c r="Y1678" s="5"/>
    </row>
    <row r="1679" customFormat="false" ht="15" hidden="false" customHeight="false" outlineLevel="0" collapsed="false">
      <c r="A1679" s="5" t="s">
        <v>16169</v>
      </c>
      <c r="B1679" s="5" t="s">
        <v>1583</v>
      </c>
      <c r="C1679" s="5" t="s">
        <v>1584</v>
      </c>
      <c r="D1679" s="9" t="s">
        <v>66</v>
      </c>
      <c r="E1679" s="5" t="n">
        <v>6</v>
      </c>
      <c r="F1679" s="5" t="s">
        <v>16170</v>
      </c>
      <c r="G1679" s="13" t="s">
        <v>16171</v>
      </c>
      <c r="H1679" s="5" t="s">
        <v>16172</v>
      </c>
      <c r="I1679" s="13" t="s">
        <v>16173</v>
      </c>
      <c r="J1679" s="5" t="s">
        <v>16174</v>
      </c>
      <c r="K1679" s="5" t="s">
        <v>16175</v>
      </c>
      <c r="L1679" s="13" t="s">
        <v>16176</v>
      </c>
      <c r="M1679" s="13" t="s">
        <v>16177</v>
      </c>
      <c r="N1679" s="5" t="n">
        <f aca="false">LEN(L1679)</f>
        <v>25</v>
      </c>
      <c r="O1679" s="5" t="n">
        <f aca="false">LEN(M1679)</f>
        <v>25</v>
      </c>
      <c r="P1679" s="14" t="n">
        <f aca="false">IF(N1679=0,"",(N1679-LEN(SUBSTITUTE(SUBSTITUTE(L1679,"G",""),"C","")))/N1679)</f>
        <v>0.48</v>
      </c>
      <c r="Q1679" s="14" t="n">
        <f aca="false">IF(O1679=0,"",(O1679-LEN(SUBSTITUTE(SUBSTITUTE(M1679,"G",""),"C","")))/O1679)</f>
        <v>0.6</v>
      </c>
      <c r="R1679" s="5"/>
      <c r="S1679" s="8" t="s">
        <v>2131</v>
      </c>
      <c r="T1679" s="5"/>
      <c r="U1679" s="5" t="s">
        <v>15244</v>
      </c>
      <c r="V1679" s="5" t="s">
        <v>1549</v>
      </c>
      <c r="W1679" s="5"/>
      <c r="X1679" s="5"/>
      <c r="Y1679" s="5"/>
    </row>
    <row r="1680" customFormat="false" ht="15" hidden="false" customHeight="false" outlineLevel="0" collapsed="false">
      <c r="A1680" s="5" t="s">
        <v>16178</v>
      </c>
      <c r="B1680" s="5" t="s">
        <v>1585</v>
      </c>
      <c r="C1680" s="5" t="s">
        <v>1586</v>
      </c>
      <c r="D1680" s="9" t="s">
        <v>66</v>
      </c>
      <c r="E1680" s="5" t="n">
        <v>1</v>
      </c>
      <c r="F1680" s="5" t="s">
        <v>16179</v>
      </c>
      <c r="G1680" s="13" t="s">
        <v>16180</v>
      </c>
      <c r="H1680" s="5" t="s">
        <v>16181</v>
      </c>
      <c r="I1680" s="13" t="s">
        <v>16182</v>
      </c>
      <c r="J1680" s="5" t="s">
        <v>16183</v>
      </c>
      <c r="K1680" s="5" t="s">
        <v>16184</v>
      </c>
      <c r="L1680" s="13" t="s">
        <v>16185</v>
      </c>
      <c r="M1680" s="13" t="s">
        <v>16186</v>
      </c>
      <c r="N1680" s="5" t="n">
        <f aca="false">LEN(L1680)</f>
        <v>25</v>
      </c>
      <c r="O1680" s="5" t="n">
        <f aca="false">LEN(M1680)</f>
        <v>25</v>
      </c>
      <c r="P1680" s="14" t="n">
        <f aca="false">IF(N1680=0,"",(N1680-LEN(SUBSTITUTE(SUBSTITUTE(L1680,"G",""),"C","")))/N1680)</f>
        <v>0.44</v>
      </c>
      <c r="Q1680" s="14" t="n">
        <f aca="false">IF(O1680=0,"",(O1680-LEN(SUBSTITUTE(SUBSTITUTE(M1680,"G",""),"C","")))/O1680)</f>
        <v>0.72</v>
      </c>
      <c r="R1680" s="5"/>
      <c r="S1680" s="8" t="s">
        <v>2131</v>
      </c>
      <c r="T1680" s="5"/>
      <c r="U1680" s="5" t="s">
        <v>2986</v>
      </c>
      <c r="V1680" s="5" t="s">
        <v>1546</v>
      </c>
      <c r="W1680" s="5" t="s">
        <v>15897</v>
      </c>
      <c r="X1680" s="5"/>
      <c r="Y1680" s="5"/>
    </row>
    <row r="1681" customFormat="false" ht="15" hidden="false" customHeight="false" outlineLevel="0" collapsed="false">
      <c r="A1681" s="5" t="s">
        <v>16187</v>
      </c>
      <c r="B1681" s="5" t="s">
        <v>1585</v>
      </c>
      <c r="C1681" s="5" t="s">
        <v>1586</v>
      </c>
      <c r="D1681" s="9" t="s">
        <v>66</v>
      </c>
      <c r="E1681" s="5" t="n">
        <v>2</v>
      </c>
      <c r="F1681" s="5" t="s">
        <v>16188</v>
      </c>
      <c r="G1681" s="13" t="s">
        <v>16189</v>
      </c>
      <c r="H1681" s="5" t="s">
        <v>16190</v>
      </c>
      <c r="I1681" s="13" t="s">
        <v>16191</v>
      </c>
      <c r="J1681" s="5" t="s">
        <v>16192</v>
      </c>
      <c r="K1681" s="5" t="s">
        <v>16193</v>
      </c>
      <c r="L1681" s="13" t="s">
        <v>16194</v>
      </c>
      <c r="M1681" s="13" t="s">
        <v>16195</v>
      </c>
      <c r="N1681" s="5" t="n">
        <f aca="false">LEN(L1681)</f>
        <v>25</v>
      </c>
      <c r="O1681" s="5" t="n">
        <f aca="false">LEN(M1681)</f>
        <v>25</v>
      </c>
      <c r="P1681" s="14" t="n">
        <f aca="false">IF(N1681=0,"",(N1681-LEN(SUBSTITUTE(SUBSTITUTE(L1681,"G",""),"C","")))/N1681)</f>
        <v>0.48</v>
      </c>
      <c r="Q1681" s="14" t="n">
        <f aca="false">IF(O1681=0,"",(O1681-LEN(SUBSTITUTE(SUBSTITUTE(M1681,"G",""),"C","")))/O1681)</f>
        <v>0.56</v>
      </c>
      <c r="R1681" s="5"/>
      <c r="S1681" s="8" t="s">
        <v>2131</v>
      </c>
      <c r="T1681" s="5"/>
      <c r="U1681" s="5" t="s">
        <v>2986</v>
      </c>
      <c r="V1681" s="5" t="s">
        <v>1546</v>
      </c>
      <c r="W1681" s="5" t="s">
        <v>15897</v>
      </c>
      <c r="X1681" s="5"/>
      <c r="Y1681" s="5"/>
    </row>
    <row r="1682" customFormat="false" ht="15" hidden="false" customHeight="false" outlineLevel="0" collapsed="false">
      <c r="A1682" s="5" t="s">
        <v>16196</v>
      </c>
      <c r="B1682" s="5" t="s">
        <v>1585</v>
      </c>
      <c r="C1682" s="5" t="s">
        <v>1586</v>
      </c>
      <c r="D1682" s="9" t="s">
        <v>66</v>
      </c>
      <c r="E1682" s="5" t="n">
        <v>3</v>
      </c>
      <c r="F1682" s="5" t="s">
        <v>16197</v>
      </c>
      <c r="G1682" s="13" t="s">
        <v>16198</v>
      </c>
      <c r="H1682" s="5" t="s">
        <v>16199</v>
      </c>
      <c r="I1682" s="13" t="s">
        <v>16200</v>
      </c>
      <c r="J1682" s="5" t="s">
        <v>16201</v>
      </c>
      <c r="K1682" s="5" t="s">
        <v>16202</v>
      </c>
      <c r="L1682" s="13" t="s">
        <v>16203</v>
      </c>
      <c r="M1682" s="13" t="s">
        <v>16204</v>
      </c>
      <c r="N1682" s="5" t="n">
        <f aca="false">LEN(L1682)</f>
        <v>25</v>
      </c>
      <c r="O1682" s="5" t="n">
        <f aca="false">LEN(M1682)</f>
        <v>25</v>
      </c>
      <c r="P1682" s="14" t="n">
        <f aca="false">IF(N1682=0,"",(N1682-LEN(SUBSTITUTE(SUBSTITUTE(L1682,"G",""),"C","")))/N1682)</f>
        <v>0.64</v>
      </c>
      <c r="Q1682" s="14" t="n">
        <f aca="false">IF(O1682=0,"",(O1682-LEN(SUBSTITUTE(SUBSTITUTE(M1682,"G",""),"C","")))/O1682)</f>
        <v>0.6</v>
      </c>
      <c r="R1682" s="5"/>
      <c r="S1682" s="8" t="s">
        <v>2131</v>
      </c>
      <c r="T1682" s="5"/>
      <c r="U1682" s="5" t="s">
        <v>2986</v>
      </c>
      <c r="V1682" s="5" t="s">
        <v>1546</v>
      </c>
      <c r="W1682" s="5" t="s">
        <v>15897</v>
      </c>
      <c r="X1682" s="5"/>
      <c r="Y1682" s="5"/>
    </row>
    <row r="1683" customFormat="false" ht="15" hidden="false" customHeight="false" outlineLevel="0" collapsed="false">
      <c r="A1683" s="5" t="s">
        <v>16205</v>
      </c>
      <c r="B1683" s="5" t="s">
        <v>1585</v>
      </c>
      <c r="C1683" s="5" t="s">
        <v>1586</v>
      </c>
      <c r="D1683" s="9" t="s">
        <v>66</v>
      </c>
      <c r="E1683" s="5" t="n">
        <v>4</v>
      </c>
      <c r="F1683" s="5" t="s">
        <v>16206</v>
      </c>
      <c r="G1683" s="13" t="s">
        <v>16207</v>
      </c>
      <c r="H1683" s="5" t="s">
        <v>16208</v>
      </c>
      <c r="I1683" s="13" t="s">
        <v>16209</v>
      </c>
      <c r="J1683" s="5" t="s">
        <v>16210</v>
      </c>
      <c r="K1683" s="5" t="s">
        <v>16211</v>
      </c>
      <c r="L1683" s="13" t="s">
        <v>16212</v>
      </c>
      <c r="M1683" s="13" t="s">
        <v>16213</v>
      </c>
      <c r="N1683" s="5" t="n">
        <f aca="false">LEN(L1683)</f>
        <v>25</v>
      </c>
      <c r="O1683" s="5" t="n">
        <f aca="false">LEN(M1683)</f>
        <v>25</v>
      </c>
      <c r="P1683" s="14" t="n">
        <f aca="false">IF(N1683=0,"",(N1683-LEN(SUBSTITUTE(SUBSTITUTE(L1683,"G",""),"C","")))/N1683)</f>
        <v>0.68</v>
      </c>
      <c r="Q1683" s="14" t="n">
        <f aca="false">IF(O1683=0,"",(O1683-LEN(SUBSTITUTE(SUBSTITUTE(M1683,"G",""),"C","")))/O1683)</f>
        <v>0.48</v>
      </c>
      <c r="R1683" s="5"/>
      <c r="S1683" s="8" t="s">
        <v>2131</v>
      </c>
      <c r="T1683" s="5"/>
      <c r="U1683" s="5" t="s">
        <v>2986</v>
      </c>
      <c r="V1683" s="5" t="s">
        <v>1546</v>
      </c>
      <c r="W1683" s="5" t="s">
        <v>15897</v>
      </c>
      <c r="X1683" s="5"/>
      <c r="Y1683" s="5"/>
    </row>
    <row r="1684" customFormat="false" ht="15" hidden="false" customHeight="false" outlineLevel="0" collapsed="false">
      <c r="A1684" s="5" t="s">
        <v>16214</v>
      </c>
      <c r="B1684" s="5" t="s">
        <v>1585</v>
      </c>
      <c r="C1684" s="5" t="s">
        <v>1586</v>
      </c>
      <c r="D1684" s="9" t="s">
        <v>66</v>
      </c>
      <c r="E1684" s="5" t="n">
        <v>5</v>
      </c>
      <c r="F1684" s="5" t="s">
        <v>16215</v>
      </c>
      <c r="G1684" s="13" t="s">
        <v>16216</v>
      </c>
      <c r="H1684" s="5" t="s">
        <v>16217</v>
      </c>
      <c r="I1684" s="13" t="s">
        <v>16218</v>
      </c>
      <c r="J1684" s="5" t="s">
        <v>16219</v>
      </c>
      <c r="K1684" s="5" t="s">
        <v>16220</v>
      </c>
      <c r="L1684" s="13" t="s">
        <v>16221</v>
      </c>
      <c r="M1684" s="13" t="s">
        <v>16222</v>
      </c>
      <c r="N1684" s="5" t="n">
        <f aca="false">LEN(L1684)</f>
        <v>25</v>
      </c>
      <c r="O1684" s="5" t="n">
        <f aca="false">LEN(M1684)</f>
        <v>25</v>
      </c>
      <c r="P1684" s="14" t="n">
        <f aca="false">IF(N1684=0,"",(N1684-LEN(SUBSTITUTE(SUBSTITUTE(L1684,"G",""),"C","")))/N1684)</f>
        <v>0.56</v>
      </c>
      <c r="Q1684" s="14" t="n">
        <f aca="false">IF(O1684=0,"",(O1684-LEN(SUBSTITUTE(SUBSTITUTE(M1684,"G",""),"C","")))/O1684)</f>
        <v>0.48</v>
      </c>
      <c r="R1684" s="5"/>
      <c r="S1684" s="8" t="s">
        <v>2131</v>
      </c>
      <c r="T1684" s="5"/>
      <c r="U1684" s="5" t="s">
        <v>2986</v>
      </c>
      <c r="V1684" s="5" t="s">
        <v>1546</v>
      </c>
      <c r="W1684" s="5" t="s">
        <v>15897</v>
      </c>
      <c r="X1684" s="5"/>
      <c r="Y1684" s="5"/>
    </row>
    <row r="1685" customFormat="false" ht="15" hidden="false" customHeight="false" outlineLevel="0" collapsed="false">
      <c r="A1685" s="5" t="s">
        <v>16223</v>
      </c>
      <c r="B1685" s="5" t="s">
        <v>1585</v>
      </c>
      <c r="C1685" s="5" t="s">
        <v>1586</v>
      </c>
      <c r="D1685" s="9" t="s">
        <v>66</v>
      </c>
      <c r="E1685" s="5" t="n">
        <v>6</v>
      </c>
      <c r="F1685" s="5" t="s">
        <v>16224</v>
      </c>
      <c r="G1685" s="13" t="s">
        <v>16225</v>
      </c>
      <c r="H1685" s="5" t="s">
        <v>16226</v>
      </c>
      <c r="I1685" s="13" t="s">
        <v>16227</v>
      </c>
      <c r="J1685" s="5" t="s">
        <v>16228</v>
      </c>
      <c r="K1685" s="5" t="s">
        <v>16229</v>
      </c>
      <c r="L1685" s="13" t="s">
        <v>16230</v>
      </c>
      <c r="M1685" s="13" t="s">
        <v>16231</v>
      </c>
      <c r="N1685" s="5" t="n">
        <f aca="false">LEN(L1685)</f>
        <v>25</v>
      </c>
      <c r="O1685" s="5" t="n">
        <f aca="false">LEN(M1685)</f>
        <v>25</v>
      </c>
      <c r="P1685" s="14" t="n">
        <f aca="false">IF(N1685=0,"",(N1685-LEN(SUBSTITUTE(SUBSTITUTE(L1685,"G",""),"C","")))/N1685)</f>
        <v>0.64</v>
      </c>
      <c r="Q1685" s="14" t="n">
        <f aca="false">IF(O1685=0,"",(O1685-LEN(SUBSTITUTE(SUBSTITUTE(M1685,"G",""),"C","")))/O1685)</f>
        <v>0.48</v>
      </c>
      <c r="R1685" s="5"/>
      <c r="S1685" s="8" t="s">
        <v>2131</v>
      </c>
      <c r="T1685" s="5"/>
      <c r="U1685" s="5" t="s">
        <v>2986</v>
      </c>
      <c r="V1685" s="5" t="s">
        <v>1546</v>
      </c>
      <c r="W1685" s="5" t="s">
        <v>15897</v>
      </c>
      <c r="X1685" s="5"/>
      <c r="Y1685" s="5"/>
    </row>
    <row r="1686" customFormat="false" ht="15" hidden="false" customHeight="false" outlineLevel="0" collapsed="false">
      <c r="A1686" s="5" t="s">
        <v>16232</v>
      </c>
      <c r="B1686" s="5" t="s">
        <v>1587</v>
      </c>
      <c r="C1686" s="5" t="s">
        <v>1588</v>
      </c>
      <c r="D1686" s="9" t="s">
        <v>66</v>
      </c>
      <c r="E1686" s="5" t="n">
        <v>1</v>
      </c>
      <c r="F1686" s="5" t="s">
        <v>16233</v>
      </c>
      <c r="G1686" s="13" t="s">
        <v>16234</v>
      </c>
      <c r="H1686" s="5" t="s">
        <v>16235</v>
      </c>
      <c r="I1686" s="13" t="s">
        <v>16236</v>
      </c>
      <c r="J1686" s="5" t="s">
        <v>16237</v>
      </c>
      <c r="K1686" s="5" t="s">
        <v>16238</v>
      </c>
      <c r="L1686" s="13" t="s">
        <v>16239</v>
      </c>
      <c r="M1686" s="13" t="s">
        <v>16240</v>
      </c>
      <c r="N1686" s="5" t="n">
        <f aca="false">LEN(L1686)</f>
        <v>25</v>
      </c>
      <c r="O1686" s="5" t="n">
        <f aca="false">LEN(M1686)</f>
        <v>25</v>
      </c>
      <c r="P1686" s="14" t="n">
        <f aca="false">IF(N1686=0,"",(N1686-LEN(SUBSTITUTE(SUBSTITUTE(L1686,"G",""),"C","")))/N1686)</f>
        <v>0.6</v>
      </c>
      <c r="Q1686" s="14" t="n">
        <f aca="false">IF(O1686=0,"",(O1686-LEN(SUBSTITUTE(SUBSTITUTE(M1686,"G",""),"C","")))/O1686)</f>
        <v>0.4</v>
      </c>
      <c r="R1686" s="5"/>
      <c r="S1686" s="8" t="s">
        <v>2131</v>
      </c>
      <c r="T1686" s="5"/>
      <c r="U1686" s="5" t="s">
        <v>2986</v>
      </c>
      <c r="V1686" s="5" t="s">
        <v>1556</v>
      </c>
      <c r="W1686" s="5"/>
      <c r="X1686" s="5"/>
      <c r="Y1686" s="5"/>
    </row>
    <row r="1687" customFormat="false" ht="15" hidden="false" customHeight="false" outlineLevel="0" collapsed="false">
      <c r="A1687" s="5" t="s">
        <v>16241</v>
      </c>
      <c r="B1687" s="5" t="s">
        <v>1587</v>
      </c>
      <c r="C1687" s="5" t="s">
        <v>1588</v>
      </c>
      <c r="D1687" s="9" t="s">
        <v>66</v>
      </c>
      <c r="E1687" s="5" t="n">
        <v>2</v>
      </c>
      <c r="F1687" s="5" t="s">
        <v>16242</v>
      </c>
      <c r="G1687" s="13" t="s">
        <v>16243</v>
      </c>
      <c r="H1687" s="5" t="s">
        <v>16244</v>
      </c>
      <c r="I1687" s="13" t="s">
        <v>16245</v>
      </c>
      <c r="J1687" s="5" t="s">
        <v>16246</v>
      </c>
      <c r="K1687" s="5" t="s">
        <v>16247</v>
      </c>
      <c r="L1687" s="13" t="s">
        <v>16248</v>
      </c>
      <c r="M1687" s="13" t="s">
        <v>16249</v>
      </c>
      <c r="N1687" s="5" t="n">
        <f aca="false">LEN(L1687)</f>
        <v>25</v>
      </c>
      <c r="O1687" s="5" t="n">
        <f aca="false">LEN(M1687)</f>
        <v>25</v>
      </c>
      <c r="P1687" s="14" t="n">
        <f aca="false">IF(N1687=0,"",(N1687-LEN(SUBSTITUTE(SUBSTITUTE(L1687,"G",""),"C","")))/N1687)</f>
        <v>0.56</v>
      </c>
      <c r="Q1687" s="14" t="n">
        <f aca="false">IF(O1687=0,"",(O1687-LEN(SUBSTITUTE(SUBSTITUTE(M1687,"G",""),"C","")))/O1687)</f>
        <v>0.52</v>
      </c>
      <c r="R1687" s="5"/>
      <c r="S1687" s="8" t="s">
        <v>2131</v>
      </c>
      <c r="T1687" s="5"/>
      <c r="U1687" s="5" t="s">
        <v>2986</v>
      </c>
      <c r="V1687" s="5" t="s">
        <v>1556</v>
      </c>
      <c r="W1687" s="5"/>
      <c r="X1687" s="5"/>
      <c r="Y1687" s="5"/>
    </row>
    <row r="1688" customFormat="false" ht="15" hidden="false" customHeight="false" outlineLevel="0" collapsed="false">
      <c r="A1688" s="5" t="s">
        <v>16250</v>
      </c>
      <c r="B1688" s="5" t="s">
        <v>1587</v>
      </c>
      <c r="C1688" s="5" t="s">
        <v>1588</v>
      </c>
      <c r="D1688" s="9" t="s">
        <v>66</v>
      </c>
      <c r="E1688" s="5" t="n">
        <v>3</v>
      </c>
      <c r="F1688" s="5" t="s">
        <v>16251</v>
      </c>
      <c r="G1688" s="13" t="s">
        <v>16252</v>
      </c>
      <c r="H1688" s="5" t="s">
        <v>16253</v>
      </c>
      <c r="I1688" s="13" t="s">
        <v>16254</v>
      </c>
      <c r="J1688" s="5" t="s">
        <v>16255</v>
      </c>
      <c r="K1688" s="5" t="s">
        <v>16256</v>
      </c>
      <c r="L1688" s="13" t="s">
        <v>16257</v>
      </c>
      <c r="M1688" s="13" t="s">
        <v>16258</v>
      </c>
      <c r="N1688" s="5" t="n">
        <f aca="false">LEN(L1688)</f>
        <v>25</v>
      </c>
      <c r="O1688" s="5" t="n">
        <f aca="false">LEN(M1688)</f>
        <v>25</v>
      </c>
      <c r="P1688" s="14" t="n">
        <f aca="false">IF(N1688=0,"",(N1688-LEN(SUBSTITUTE(SUBSTITUTE(L1688,"G",""),"C","")))/N1688)</f>
        <v>0.4</v>
      </c>
      <c r="Q1688" s="14" t="n">
        <f aca="false">IF(O1688=0,"",(O1688-LEN(SUBSTITUTE(SUBSTITUTE(M1688,"G",""),"C","")))/O1688)</f>
        <v>0.56</v>
      </c>
      <c r="R1688" s="5"/>
      <c r="S1688" s="8" t="s">
        <v>2131</v>
      </c>
      <c r="T1688" s="5"/>
      <c r="U1688" s="5" t="s">
        <v>2986</v>
      </c>
      <c r="V1688" s="5" t="s">
        <v>1556</v>
      </c>
      <c r="W1688" s="5"/>
      <c r="X1688" s="5"/>
      <c r="Y1688" s="5"/>
    </row>
    <row r="1689" customFormat="false" ht="15" hidden="false" customHeight="false" outlineLevel="0" collapsed="false">
      <c r="A1689" s="5" t="s">
        <v>16259</v>
      </c>
      <c r="B1689" s="5" t="s">
        <v>1587</v>
      </c>
      <c r="C1689" s="5" t="s">
        <v>1588</v>
      </c>
      <c r="D1689" s="9" t="s">
        <v>66</v>
      </c>
      <c r="E1689" s="5" t="n">
        <v>4</v>
      </c>
      <c r="F1689" s="5" t="s">
        <v>16260</v>
      </c>
      <c r="G1689" s="13" t="s">
        <v>16261</v>
      </c>
      <c r="H1689" s="5" t="s">
        <v>16262</v>
      </c>
      <c r="I1689" s="13" t="s">
        <v>16263</v>
      </c>
      <c r="J1689" s="5" t="s">
        <v>16264</v>
      </c>
      <c r="K1689" s="5" t="s">
        <v>16265</v>
      </c>
      <c r="L1689" s="13" t="s">
        <v>16266</v>
      </c>
      <c r="M1689" s="13" t="s">
        <v>16267</v>
      </c>
      <c r="N1689" s="5" t="n">
        <f aca="false">LEN(L1689)</f>
        <v>25</v>
      </c>
      <c r="O1689" s="5" t="n">
        <f aca="false">LEN(M1689)</f>
        <v>25</v>
      </c>
      <c r="P1689" s="14" t="n">
        <f aca="false">IF(N1689=0,"",(N1689-LEN(SUBSTITUTE(SUBSTITUTE(L1689,"G",""),"C","")))/N1689)</f>
        <v>0.56</v>
      </c>
      <c r="Q1689" s="14" t="n">
        <f aca="false">IF(O1689=0,"",(O1689-LEN(SUBSTITUTE(SUBSTITUTE(M1689,"G",""),"C","")))/O1689)</f>
        <v>0.48</v>
      </c>
      <c r="R1689" s="5"/>
      <c r="S1689" s="8" t="s">
        <v>2131</v>
      </c>
      <c r="T1689" s="5"/>
      <c r="U1689" s="5" t="s">
        <v>2986</v>
      </c>
      <c r="V1689" s="5" t="s">
        <v>1556</v>
      </c>
      <c r="W1689" s="5"/>
      <c r="X1689" s="5"/>
      <c r="Y1689" s="5"/>
    </row>
    <row r="1690" customFormat="false" ht="15" hidden="false" customHeight="false" outlineLevel="0" collapsed="false">
      <c r="A1690" s="5" t="s">
        <v>16268</v>
      </c>
      <c r="B1690" s="5" t="s">
        <v>1587</v>
      </c>
      <c r="C1690" s="5" t="s">
        <v>1588</v>
      </c>
      <c r="D1690" s="9" t="s">
        <v>66</v>
      </c>
      <c r="E1690" s="5" t="n">
        <v>5</v>
      </c>
      <c r="F1690" s="5" t="s">
        <v>16269</v>
      </c>
      <c r="G1690" s="13" t="s">
        <v>16270</v>
      </c>
      <c r="H1690" s="5" t="s">
        <v>16271</v>
      </c>
      <c r="I1690" s="13" t="s">
        <v>16272</v>
      </c>
      <c r="J1690" s="5" t="s">
        <v>16273</v>
      </c>
      <c r="K1690" s="5" t="s">
        <v>16274</v>
      </c>
      <c r="L1690" s="13" t="s">
        <v>16275</v>
      </c>
      <c r="M1690" s="13" t="s">
        <v>16276</v>
      </c>
      <c r="N1690" s="5" t="n">
        <f aca="false">LEN(L1690)</f>
        <v>25</v>
      </c>
      <c r="O1690" s="5" t="n">
        <f aca="false">LEN(M1690)</f>
        <v>25</v>
      </c>
      <c r="P1690" s="14" t="n">
        <f aca="false">IF(N1690=0,"",(N1690-LEN(SUBSTITUTE(SUBSTITUTE(L1690,"G",""),"C","")))/N1690)</f>
        <v>0.44</v>
      </c>
      <c r="Q1690" s="14" t="n">
        <f aca="false">IF(O1690=0,"",(O1690-LEN(SUBSTITUTE(SUBSTITUTE(M1690,"G",""),"C","")))/O1690)</f>
        <v>0.44</v>
      </c>
      <c r="R1690" s="5"/>
      <c r="S1690" s="8" t="s">
        <v>2131</v>
      </c>
      <c r="T1690" s="5"/>
      <c r="U1690" s="5" t="s">
        <v>2986</v>
      </c>
      <c r="V1690" s="5" t="s">
        <v>1556</v>
      </c>
      <c r="W1690" s="5"/>
      <c r="X1690" s="5"/>
      <c r="Y1690" s="5"/>
    </row>
    <row r="1691" customFormat="false" ht="15" hidden="false" customHeight="false" outlineLevel="0" collapsed="false">
      <c r="A1691" s="5" t="s">
        <v>16277</v>
      </c>
      <c r="B1691" s="5" t="s">
        <v>1587</v>
      </c>
      <c r="C1691" s="5" t="s">
        <v>1588</v>
      </c>
      <c r="D1691" s="9" t="s">
        <v>66</v>
      </c>
      <c r="E1691" s="5" t="n">
        <v>6</v>
      </c>
      <c r="F1691" s="5" t="s">
        <v>16278</v>
      </c>
      <c r="G1691" s="13" t="s">
        <v>16279</v>
      </c>
      <c r="H1691" s="5" t="s">
        <v>16280</v>
      </c>
      <c r="I1691" s="13" t="s">
        <v>16281</v>
      </c>
      <c r="J1691" s="5" t="s">
        <v>16282</v>
      </c>
      <c r="K1691" s="5" t="s">
        <v>16283</v>
      </c>
      <c r="L1691" s="13" t="s">
        <v>16284</v>
      </c>
      <c r="M1691" s="13" t="s">
        <v>16285</v>
      </c>
      <c r="N1691" s="5" t="n">
        <f aca="false">LEN(L1691)</f>
        <v>25</v>
      </c>
      <c r="O1691" s="5" t="n">
        <f aca="false">LEN(M1691)</f>
        <v>25</v>
      </c>
      <c r="P1691" s="14" t="n">
        <f aca="false">IF(N1691=0,"",(N1691-LEN(SUBSTITUTE(SUBSTITUTE(L1691,"G",""),"C","")))/N1691)</f>
        <v>0.52</v>
      </c>
      <c r="Q1691" s="14" t="n">
        <f aca="false">IF(O1691=0,"",(O1691-LEN(SUBSTITUTE(SUBSTITUTE(M1691,"G",""),"C","")))/O1691)</f>
        <v>0.52</v>
      </c>
      <c r="R1691" s="5"/>
      <c r="S1691" s="8" t="s">
        <v>2131</v>
      </c>
      <c r="T1691" s="5"/>
      <c r="U1691" s="5" t="s">
        <v>2986</v>
      </c>
      <c r="V1691" s="5" t="s">
        <v>1556</v>
      </c>
      <c r="W1691" s="5"/>
      <c r="X1691" s="5"/>
      <c r="Y1691" s="5"/>
    </row>
    <row r="1692" customFormat="false" ht="15" hidden="false" customHeight="false" outlineLevel="0" collapsed="false">
      <c r="A1692" s="5" t="s">
        <v>16286</v>
      </c>
      <c r="B1692" s="5" t="s">
        <v>1587</v>
      </c>
      <c r="C1692" s="5" t="s">
        <v>1588</v>
      </c>
      <c r="D1692" s="9" t="s">
        <v>66</v>
      </c>
      <c r="E1692" s="5" t="n">
        <v>7</v>
      </c>
      <c r="F1692" s="5" t="s">
        <v>16287</v>
      </c>
      <c r="G1692" s="13" t="s">
        <v>16288</v>
      </c>
      <c r="H1692" s="5" t="s">
        <v>16289</v>
      </c>
      <c r="I1692" s="13" t="s">
        <v>16290</v>
      </c>
      <c r="J1692" s="5" t="s">
        <v>16291</v>
      </c>
      <c r="K1692" s="5" t="s">
        <v>16292</v>
      </c>
      <c r="L1692" s="13" t="s">
        <v>16293</v>
      </c>
      <c r="M1692" s="13" t="s">
        <v>16294</v>
      </c>
      <c r="N1692" s="5" t="n">
        <f aca="false">LEN(L1692)</f>
        <v>25</v>
      </c>
      <c r="O1692" s="5" t="n">
        <f aca="false">LEN(M1692)</f>
        <v>25</v>
      </c>
      <c r="P1692" s="14" t="n">
        <f aca="false">IF(N1692=0,"",(N1692-LEN(SUBSTITUTE(SUBSTITUTE(L1692,"G",""),"C","")))/N1692)</f>
        <v>0.52</v>
      </c>
      <c r="Q1692" s="14" t="n">
        <f aca="false">IF(O1692=0,"",(O1692-LEN(SUBSTITUTE(SUBSTITUTE(M1692,"G",""),"C","")))/O1692)</f>
        <v>0.48</v>
      </c>
      <c r="R1692" s="5"/>
      <c r="S1692" s="8" t="s">
        <v>2131</v>
      </c>
      <c r="T1692" s="5"/>
      <c r="U1692" s="5" t="s">
        <v>2986</v>
      </c>
      <c r="V1692" s="5" t="s">
        <v>1556</v>
      </c>
      <c r="W1692" s="5"/>
      <c r="X1692" s="5"/>
      <c r="Y1692" s="5"/>
    </row>
    <row r="1693" customFormat="false" ht="15" hidden="false" customHeight="false" outlineLevel="0" collapsed="false">
      <c r="A1693" s="5" t="s">
        <v>16295</v>
      </c>
      <c r="B1693" s="5" t="s">
        <v>1587</v>
      </c>
      <c r="C1693" s="5" t="s">
        <v>1588</v>
      </c>
      <c r="D1693" s="9" t="s">
        <v>66</v>
      </c>
      <c r="E1693" s="5" t="n">
        <v>8</v>
      </c>
      <c r="F1693" s="5" t="s">
        <v>16296</v>
      </c>
      <c r="G1693" s="13" t="s">
        <v>16297</v>
      </c>
      <c r="H1693" s="5" t="s">
        <v>16298</v>
      </c>
      <c r="I1693" s="13" t="s">
        <v>16299</v>
      </c>
      <c r="J1693" s="5" t="s">
        <v>16300</v>
      </c>
      <c r="K1693" s="5" t="s">
        <v>16301</v>
      </c>
      <c r="L1693" s="13" t="s">
        <v>16302</v>
      </c>
      <c r="M1693" s="13" t="s">
        <v>16303</v>
      </c>
      <c r="N1693" s="5" t="n">
        <f aca="false">LEN(L1693)</f>
        <v>25</v>
      </c>
      <c r="O1693" s="5" t="n">
        <f aca="false">LEN(M1693)</f>
        <v>25</v>
      </c>
      <c r="P1693" s="14" t="n">
        <f aca="false">IF(N1693=0,"",(N1693-LEN(SUBSTITUTE(SUBSTITUTE(L1693,"G",""),"C","")))/N1693)</f>
        <v>0.4</v>
      </c>
      <c r="Q1693" s="14" t="n">
        <f aca="false">IF(O1693=0,"",(O1693-LEN(SUBSTITUTE(SUBSTITUTE(M1693,"G",""),"C","")))/O1693)</f>
        <v>0.56</v>
      </c>
      <c r="R1693" s="5"/>
      <c r="S1693" s="8" t="s">
        <v>2131</v>
      </c>
      <c r="T1693" s="5"/>
      <c r="U1693" s="5" t="s">
        <v>2986</v>
      </c>
      <c r="V1693" s="5" t="s">
        <v>1556</v>
      </c>
      <c r="W1693" s="5"/>
      <c r="X1693" s="5"/>
      <c r="Y1693" s="5"/>
    </row>
    <row r="1694" customFormat="false" ht="15" hidden="false" customHeight="false" outlineLevel="0" collapsed="false">
      <c r="A1694" s="5" t="s">
        <v>16304</v>
      </c>
      <c r="B1694" s="5" t="s">
        <v>1590</v>
      </c>
      <c r="C1694" s="5" t="s">
        <v>1420</v>
      </c>
      <c r="D1694" s="9" t="s">
        <v>66</v>
      </c>
      <c r="E1694" s="5" t="n">
        <v>1</v>
      </c>
      <c r="F1694" s="5" t="s">
        <v>16305</v>
      </c>
      <c r="G1694" s="13" t="s">
        <v>16306</v>
      </c>
      <c r="H1694" s="5" t="s">
        <v>16307</v>
      </c>
      <c r="I1694" s="13" t="s">
        <v>16308</v>
      </c>
      <c r="J1694" s="5" t="s">
        <v>16309</v>
      </c>
      <c r="K1694" s="5" t="s">
        <v>16310</v>
      </c>
      <c r="L1694" s="13" t="s">
        <v>16311</v>
      </c>
      <c r="M1694" s="13" t="s">
        <v>16312</v>
      </c>
      <c r="N1694" s="5" t="n">
        <f aca="false">LEN(L1694)</f>
        <v>25</v>
      </c>
      <c r="O1694" s="5" t="n">
        <f aca="false">LEN(M1694)</f>
        <v>25</v>
      </c>
      <c r="P1694" s="14" t="n">
        <f aca="false">IF(N1694=0,"",(N1694-LEN(SUBSTITUTE(SUBSTITUTE(L1694,"G",""),"C","")))/N1694)</f>
        <v>0.6</v>
      </c>
      <c r="Q1694" s="14" t="n">
        <f aca="false">IF(O1694=0,"",(O1694-LEN(SUBSTITUTE(SUBSTITUTE(M1694,"G",""),"C","")))/O1694)</f>
        <v>0.56</v>
      </c>
      <c r="R1694" s="5"/>
      <c r="S1694" s="8" t="s">
        <v>2131</v>
      </c>
      <c r="T1694" s="5"/>
      <c r="U1694" s="5" t="s">
        <v>2986</v>
      </c>
      <c r="V1694" s="5" t="s">
        <v>1546</v>
      </c>
      <c r="W1694" s="5" t="s">
        <v>15353</v>
      </c>
      <c r="X1694" s="5"/>
      <c r="Y1694" s="5"/>
    </row>
    <row r="1695" customFormat="false" ht="15" hidden="false" customHeight="false" outlineLevel="0" collapsed="false">
      <c r="A1695" s="5" t="s">
        <v>16313</v>
      </c>
      <c r="B1695" s="5" t="s">
        <v>1590</v>
      </c>
      <c r="C1695" s="5" t="s">
        <v>1420</v>
      </c>
      <c r="D1695" s="9" t="s">
        <v>66</v>
      </c>
      <c r="E1695" s="5" t="n">
        <v>2</v>
      </c>
      <c r="F1695" s="5" t="s">
        <v>16314</v>
      </c>
      <c r="G1695" s="13" t="s">
        <v>16315</v>
      </c>
      <c r="H1695" s="5" t="s">
        <v>16316</v>
      </c>
      <c r="I1695" s="13" t="s">
        <v>16317</v>
      </c>
      <c r="J1695" s="5" t="s">
        <v>16318</v>
      </c>
      <c r="K1695" s="5" t="s">
        <v>16319</v>
      </c>
      <c r="L1695" s="13" t="s">
        <v>16320</v>
      </c>
      <c r="M1695" s="13" t="s">
        <v>16321</v>
      </c>
      <c r="N1695" s="5" t="n">
        <f aca="false">LEN(L1695)</f>
        <v>25</v>
      </c>
      <c r="O1695" s="5" t="n">
        <f aca="false">LEN(M1695)</f>
        <v>25</v>
      </c>
      <c r="P1695" s="14" t="n">
        <f aca="false">IF(N1695=0,"",(N1695-LEN(SUBSTITUTE(SUBSTITUTE(L1695,"G",""),"C","")))/N1695)</f>
        <v>0.64</v>
      </c>
      <c r="Q1695" s="14" t="n">
        <f aca="false">IF(O1695=0,"",(O1695-LEN(SUBSTITUTE(SUBSTITUTE(M1695,"G",""),"C","")))/O1695)</f>
        <v>0.52</v>
      </c>
      <c r="R1695" s="5"/>
      <c r="S1695" s="8" t="s">
        <v>2131</v>
      </c>
      <c r="T1695" s="5"/>
      <c r="U1695" s="5" t="s">
        <v>2986</v>
      </c>
      <c r="V1695" s="5" t="s">
        <v>1546</v>
      </c>
      <c r="W1695" s="5" t="s">
        <v>15353</v>
      </c>
      <c r="X1695" s="5"/>
      <c r="Y1695" s="5"/>
    </row>
    <row r="1696" customFormat="false" ht="15" hidden="false" customHeight="false" outlineLevel="0" collapsed="false">
      <c r="A1696" s="5" t="s">
        <v>16322</v>
      </c>
      <c r="B1696" s="5" t="s">
        <v>1590</v>
      </c>
      <c r="C1696" s="5" t="s">
        <v>1420</v>
      </c>
      <c r="D1696" s="9" t="s">
        <v>66</v>
      </c>
      <c r="E1696" s="5" t="n">
        <v>3</v>
      </c>
      <c r="F1696" s="5" t="s">
        <v>16323</v>
      </c>
      <c r="G1696" s="13" t="s">
        <v>16324</v>
      </c>
      <c r="H1696" s="5" t="s">
        <v>16325</v>
      </c>
      <c r="I1696" s="13" t="s">
        <v>16326</v>
      </c>
      <c r="J1696" s="5" t="s">
        <v>16327</v>
      </c>
      <c r="K1696" s="5" t="s">
        <v>16328</v>
      </c>
      <c r="L1696" s="13" t="s">
        <v>16329</v>
      </c>
      <c r="M1696" s="13" t="s">
        <v>16330</v>
      </c>
      <c r="N1696" s="5" t="n">
        <f aca="false">LEN(L1696)</f>
        <v>25</v>
      </c>
      <c r="O1696" s="5" t="n">
        <f aca="false">LEN(M1696)</f>
        <v>25</v>
      </c>
      <c r="P1696" s="14" t="n">
        <f aca="false">IF(N1696=0,"",(N1696-LEN(SUBSTITUTE(SUBSTITUTE(L1696,"G",""),"C","")))/N1696)</f>
        <v>0.4</v>
      </c>
      <c r="Q1696" s="14" t="n">
        <f aca="false">IF(O1696=0,"",(O1696-LEN(SUBSTITUTE(SUBSTITUTE(M1696,"G",""),"C","")))/O1696)</f>
        <v>0.36</v>
      </c>
      <c r="R1696" s="5"/>
      <c r="S1696" s="8" t="s">
        <v>2131</v>
      </c>
      <c r="T1696" s="5"/>
      <c r="U1696" s="5" t="s">
        <v>2986</v>
      </c>
      <c r="V1696" s="5" t="s">
        <v>1546</v>
      </c>
      <c r="W1696" s="5" t="s">
        <v>15353</v>
      </c>
      <c r="X1696" s="5"/>
      <c r="Y1696" s="5"/>
    </row>
    <row r="1697" customFormat="false" ht="15" hidden="false" customHeight="false" outlineLevel="0" collapsed="false">
      <c r="A1697" s="5" t="s">
        <v>16331</v>
      </c>
      <c r="B1697" s="5" t="s">
        <v>1590</v>
      </c>
      <c r="C1697" s="5" t="s">
        <v>1420</v>
      </c>
      <c r="D1697" s="9" t="s">
        <v>66</v>
      </c>
      <c r="E1697" s="5" t="n">
        <v>4</v>
      </c>
      <c r="F1697" s="5" t="s">
        <v>16332</v>
      </c>
      <c r="G1697" s="13" t="s">
        <v>16333</v>
      </c>
      <c r="H1697" s="5" t="s">
        <v>16334</v>
      </c>
      <c r="I1697" s="13" t="s">
        <v>16335</v>
      </c>
      <c r="J1697" s="5" t="s">
        <v>16336</v>
      </c>
      <c r="K1697" s="5" t="s">
        <v>16337</v>
      </c>
      <c r="L1697" s="13" t="s">
        <v>16338</v>
      </c>
      <c r="M1697" s="13" t="s">
        <v>16339</v>
      </c>
      <c r="N1697" s="5" t="n">
        <f aca="false">LEN(L1697)</f>
        <v>25</v>
      </c>
      <c r="O1697" s="5" t="n">
        <f aca="false">LEN(M1697)</f>
        <v>25</v>
      </c>
      <c r="P1697" s="14" t="n">
        <f aca="false">IF(N1697=0,"",(N1697-LEN(SUBSTITUTE(SUBSTITUTE(L1697,"G",""),"C","")))/N1697)</f>
        <v>0.36</v>
      </c>
      <c r="Q1697" s="14" t="n">
        <f aca="false">IF(O1697=0,"",(O1697-LEN(SUBSTITUTE(SUBSTITUTE(M1697,"G",""),"C","")))/O1697)</f>
        <v>0.44</v>
      </c>
      <c r="R1697" s="5"/>
      <c r="S1697" s="8" t="s">
        <v>2131</v>
      </c>
      <c r="T1697" s="5"/>
      <c r="U1697" s="5" t="s">
        <v>2986</v>
      </c>
      <c r="V1697" s="5" t="s">
        <v>1546</v>
      </c>
      <c r="W1697" s="5" t="s">
        <v>15353</v>
      </c>
      <c r="X1697" s="5"/>
      <c r="Y1697" s="5"/>
    </row>
    <row r="1698" customFormat="false" ht="15" hidden="false" customHeight="false" outlineLevel="0" collapsed="false">
      <c r="A1698" s="5" t="s">
        <v>16340</v>
      </c>
      <c r="B1698" s="5" t="s">
        <v>1590</v>
      </c>
      <c r="C1698" s="5" t="s">
        <v>1420</v>
      </c>
      <c r="D1698" s="9" t="s">
        <v>66</v>
      </c>
      <c r="E1698" s="5" t="n">
        <v>5</v>
      </c>
      <c r="F1698" s="5" t="s">
        <v>16341</v>
      </c>
      <c r="G1698" s="13" t="s">
        <v>16342</v>
      </c>
      <c r="H1698" s="5" t="s">
        <v>16343</v>
      </c>
      <c r="I1698" s="13" t="s">
        <v>16344</v>
      </c>
      <c r="J1698" s="5" t="s">
        <v>16345</v>
      </c>
      <c r="K1698" s="5" t="s">
        <v>16346</v>
      </c>
      <c r="L1698" s="13" t="s">
        <v>16347</v>
      </c>
      <c r="M1698" s="13" t="s">
        <v>16348</v>
      </c>
      <c r="N1698" s="5" t="n">
        <f aca="false">LEN(L1698)</f>
        <v>25</v>
      </c>
      <c r="O1698" s="5" t="n">
        <f aca="false">LEN(M1698)</f>
        <v>25</v>
      </c>
      <c r="P1698" s="14" t="n">
        <f aca="false">IF(N1698=0,"",(N1698-LEN(SUBSTITUTE(SUBSTITUTE(L1698,"G",""),"C","")))/N1698)</f>
        <v>0.24</v>
      </c>
      <c r="Q1698" s="14" t="n">
        <f aca="false">IF(O1698=0,"",(O1698-LEN(SUBSTITUTE(SUBSTITUTE(M1698,"G",""),"C","")))/O1698)</f>
        <v>0.4</v>
      </c>
      <c r="R1698" s="5"/>
      <c r="S1698" s="8" t="s">
        <v>2131</v>
      </c>
      <c r="T1698" s="5"/>
      <c r="U1698" s="5" t="s">
        <v>2986</v>
      </c>
      <c r="V1698" s="5" t="s">
        <v>1546</v>
      </c>
      <c r="W1698" s="5" t="s">
        <v>15353</v>
      </c>
      <c r="X1698" s="5"/>
      <c r="Y1698" s="5"/>
    </row>
    <row r="1699" customFormat="false" ht="15" hidden="false" customHeight="false" outlineLevel="0" collapsed="false">
      <c r="A1699" s="5" t="s">
        <v>16349</v>
      </c>
      <c r="B1699" s="5" t="s">
        <v>1590</v>
      </c>
      <c r="C1699" s="5" t="s">
        <v>1420</v>
      </c>
      <c r="D1699" s="9" t="s">
        <v>66</v>
      </c>
      <c r="E1699" s="5" t="n">
        <v>6</v>
      </c>
      <c r="F1699" s="5" t="s">
        <v>16350</v>
      </c>
      <c r="G1699" s="13" t="s">
        <v>16351</v>
      </c>
      <c r="H1699" s="5" t="s">
        <v>16352</v>
      </c>
      <c r="I1699" s="13" t="s">
        <v>16353</v>
      </c>
      <c r="J1699" s="5" t="s">
        <v>16354</v>
      </c>
      <c r="K1699" s="5" t="s">
        <v>16355</v>
      </c>
      <c r="L1699" s="13" t="s">
        <v>16356</v>
      </c>
      <c r="M1699" s="13" t="s">
        <v>16357</v>
      </c>
      <c r="N1699" s="5" t="n">
        <f aca="false">LEN(L1699)</f>
        <v>25</v>
      </c>
      <c r="O1699" s="5" t="n">
        <f aca="false">LEN(M1699)</f>
        <v>25</v>
      </c>
      <c r="P1699" s="14" t="n">
        <f aca="false">IF(N1699=0,"",(N1699-LEN(SUBSTITUTE(SUBSTITUTE(L1699,"G",""),"C","")))/N1699)</f>
        <v>0.48</v>
      </c>
      <c r="Q1699" s="14" t="n">
        <f aca="false">IF(O1699=0,"",(O1699-LEN(SUBSTITUTE(SUBSTITUTE(M1699,"G",""),"C","")))/O1699)</f>
        <v>0.4</v>
      </c>
      <c r="R1699" s="5"/>
      <c r="S1699" s="8" t="s">
        <v>2131</v>
      </c>
      <c r="T1699" s="5"/>
      <c r="U1699" s="5" t="s">
        <v>2986</v>
      </c>
      <c r="V1699" s="5" t="s">
        <v>1546</v>
      </c>
      <c r="W1699" s="5" t="s">
        <v>15353</v>
      </c>
      <c r="X1699" s="5"/>
      <c r="Y1699" s="5"/>
    </row>
    <row r="1700" customFormat="false" ht="15" hidden="false" customHeight="false" outlineLevel="0" collapsed="false">
      <c r="A1700" s="5" t="s">
        <v>16358</v>
      </c>
      <c r="B1700" s="5" t="s">
        <v>1591</v>
      </c>
      <c r="C1700" s="5" t="s">
        <v>1592</v>
      </c>
      <c r="D1700" s="9" t="s">
        <v>66</v>
      </c>
      <c r="E1700" s="5" t="n">
        <v>1</v>
      </c>
      <c r="F1700" s="5" t="s">
        <v>16359</v>
      </c>
      <c r="G1700" s="13" t="s">
        <v>16360</v>
      </c>
      <c r="H1700" s="5" t="s">
        <v>16361</v>
      </c>
      <c r="I1700" s="13" t="s">
        <v>16362</v>
      </c>
      <c r="J1700" s="5" t="s">
        <v>16363</v>
      </c>
      <c r="K1700" s="5" t="s">
        <v>16364</v>
      </c>
      <c r="L1700" s="13" t="s">
        <v>16365</v>
      </c>
      <c r="M1700" s="13" t="s">
        <v>16366</v>
      </c>
      <c r="N1700" s="5" t="n">
        <f aca="false">LEN(L1700)</f>
        <v>25</v>
      </c>
      <c r="O1700" s="5" t="n">
        <f aca="false">LEN(M1700)</f>
        <v>25</v>
      </c>
      <c r="P1700" s="14" t="n">
        <f aca="false">IF(N1700=0,"",(N1700-LEN(SUBSTITUTE(SUBSTITUTE(L1700,"G",""),"C","")))/N1700)</f>
        <v>0.52</v>
      </c>
      <c r="Q1700" s="14" t="n">
        <f aca="false">IF(O1700=0,"",(O1700-LEN(SUBSTITUTE(SUBSTITUTE(M1700,"G",""),"C","")))/O1700)</f>
        <v>0.6</v>
      </c>
      <c r="R1700" s="5"/>
      <c r="S1700" s="8" t="s">
        <v>2131</v>
      </c>
      <c r="T1700" s="5"/>
      <c r="U1700" s="5" t="s">
        <v>15244</v>
      </c>
      <c r="V1700" s="5" t="s">
        <v>1549</v>
      </c>
      <c r="W1700" s="5"/>
      <c r="X1700" s="5"/>
      <c r="Y1700" s="5"/>
    </row>
    <row r="1701" customFormat="false" ht="15" hidden="false" customHeight="false" outlineLevel="0" collapsed="false">
      <c r="A1701" s="5" t="s">
        <v>16367</v>
      </c>
      <c r="B1701" s="5" t="s">
        <v>1591</v>
      </c>
      <c r="C1701" s="5" t="s">
        <v>1592</v>
      </c>
      <c r="D1701" s="9" t="s">
        <v>66</v>
      </c>
      <c r="E1701" s="5" t="n">
        <v>2</v>
      </c>
      <c r="F1701" s="5" t="s">
        <v>16368</v>
      </c>
      <c r="G1701" s="13" t="s">
        <v>16369</v>
      </c>
      <c r="H1701" s="5" t="s">
        <v>16370</v>
      </c>
      <c r="I1701" s="13" t="s">
        <v>16371</v>
      </c>
      <c r="J1701" s="5" t="s">
        <v>16372</v>
      </c>
      <c r="K1701" s="5" t="s">
        <v>16373</v>
      </c>
      <c r="L1701" s="13" t="s">
        <v>16374</v>
      </c>
      <c r="M1701" s="13" t="s">
        <v>16375</v>
      </c>
      <c r="N1701" s="5" t="n">
        <f aca="false">LEN(L1701)</f>
        <v>25</v>
      </c>
      <c r="O1701" s="5" t="n">
        <f aca="false">LEN(M1701)</f>
        <v>25</v>
      </c>
      <c r="P1701" s="14" t="n">
        <f aca="false">IF(N1701=0,"",(N1701-LEN(SUBSTITUTE(SUBSTITUTE(L1701,"G",""),"C","")))/N1701)</f>
        <v>0.64</v>
      </c>
      <c r="Q1701" s="14" t="n">
        <f aca="false">IF(O1701=0,"",(O1701-LEN(SUBSTITUTE(SUBSTITUTE(M1701,"G",""),"C","")))/O1701)</f>
        <v>0.52</v>
      </c>
      <c r="R1701" s="5"/>
      <c r="S1701" s="8" t="s">
        <v>2131</v>
      </c>
      <c r="T1701" s="5"/>
      <c r="U1701" s="5" t="s">
        <v>15244</v>
      </c>
      <c r="V1701" s="5" t="s">
        <v>1549</v>
      </c>
      <c r="W1701" s="5"/>
      <c r="X1701" s="5"/>
      <c r="Y1701" s="5"/>
    </row>
    <row r="1702" customFormat="false" ht="15" hidden="false" customHeight="false" outlineLevel="0" collapsed="false">
      <c r="A1702" s="5" t="s">
        <v>16376</v>
      </c>
      <c r="B1702" s="5" t="s">
        <v>1591</v>
      </c>
      <c r="C1702" s="5" t="s">
        <v>1592</v>
      </c>
      <c r="D1702" s="9" t="s">
        <v>66</v>
      </c>
      <c r="E1702" s="5" t="n">
        <v>3</v>
      </c>
      <c r="F1702" s="5" t="s">
        <v>16377</v>
      </c>
      <c r="G1702" s="13" t="s">
        <v>16378</v>
      </c>
      <c r="H1702" s="5" t="s">
        <v>16379</v>
      </c>
      <c r="I1702" s="13" t="s">
        <v>16380</v>
      </c>
      <c r="J1702" s="5" t="s">
        <v>16381</v>
      </c>
      <c r="K1702" s="5" t="s">
        <v>16382</v>
      </c>
      <c r="L1702" s="13" t="s">
        <v>16383</v>
      </c>
      <c r="M1702" s="13" t="s">
        <v>16384</v>
      </c>
      <c r="N1702" s="5" t="n">
        <f aca="false">LEN(L1702)</f>
        <v>25</v>
      </c>
      <c r="O1702" s="5" t="n">
        <f aca="false">LEN(M1702)</f>
        <v>25</v>
      </c>
      <c r="P1702" s="14" t="n">
        <f aca="false">IF(N1702=0,"",(N1702-LEN(SUBSTITUTE(SUBSTITUTE(L1702,"G",""),"C","")))/N1702)</f>
        <v>0.64</v>
      </c>
      <c r="Q1702" s="14" t="n">
        <f aca="false">IF(O1702=0,"",(O1702-LEN(SUBSTITUTE(SUBSTITUTE(M1702,"G",""),"C","")))/O1702)</f>
        <v>0.52</v>
      </c>
      <c r="R1702" s="5"/>
      <c r="S1702" s="8" t="s">
        <v>2131</v>
      </c>
      <c r="T1702" s="5"/>
      <c r="U1702" s="5" t="s">
        <v>15244</v>
      </c>
      <c r="V1702" s="5" t="s">
        <v>1549</v>
      </c>
      <c r="W1702" s="5"/>
      <c r="X1702" s="5"/>
      <c r="Y1702" s="5"/>
    </row>
    <row r="1703" customFormat="false" ht="15" hidden="false" customHeight="false" outlineLevel="0" collapsed="false">
      <c r="A1703" s="5" t="s">
        <v>16385</v>
      </c>
      <c r="B1703" s="5" t="s">
        <v>1591</v>
      </c>
      <c r="C1703" s="5" t="s">
        <v>1592</v>
      </c>
      <c r="D1703" s="9" t="s">
        <v>66</v>
      </c>
      <c r="E1703" s="5" t="n">
        <v>4</v>
      </c>
      <c r="F1703" s="5" t="s">
        <v>16386</v>
      </c>
      <c r="G1703" s="13" t="s">
        <v>16387</v>
      </c>
      <c r="H1703" s="5" t="s">
        <v>16388</v>
      </c>
      <c r="I1703" s="13" t="s">
        <v>16389</v>
      </c>
      <c r="J1703" s="5" t="s">
        <v>16390</v>
      </c>
      <c r="K1703" s="5" t="s">
        <v>16391</v>
      </c>
      <c r="L1703" s="13" t="s">
        <v>16392</v>
      </c>
      <c r="M1703" s="13" t="s">
        <v>16393</v>
      </c>
      <c r="N1703" s="5" t="n">
        <f aca="false">LEN(L1703)</f>
        <v>25</v>
      </c>
      <c r="O1703" s="5" t="n">
        <f aca="false">LEN(M1703)</f>
        <v>25</v>
      </c>
      <c r="P1703" s="14" t="n">
        <f aca="false">IF(N1703=0,"",(N1703-LEN(SUBSTITUTE(SUBSTITUTE(L1703,"G",""),"C","")))/N1703)</f>
        <v>0.6</v>
      </c>
      <c r="Q1703" s="14" t="n">
        <f aca="false">IF(O1703=0,"",(O1703-LEN(SUBSTITUTE(SUBSTITUTE(M1703,"G",""),"C","")))/O1703)</f>
        <v>0.52</v>
      </c>
      <c r="R1703" s="5"/>
      <c r="S1703" s="8" t="s">
        <v>2131</v>
      </c>
      <c r="T1703" s="5"/>
      <c r="U1703" s="5" t="s">
        <v>15244</v>
      </c>
      <c r="V1703" s="5" t="s">
        <v>1549</v>
      </c>
      <c r="W1703" s="5"/>
      <c r="X1703" s="5"/>
      <c r="Y1703" s="5"/>
    </row>
    <row r="1704" customFormat="false" ht="15" hidden="false" customHeight="false" outlineLevel="0" collapsed="false">
      <c r="A1704" s="5" t="s">
        <v>16394</v>
      </c>
      <c r="B1704" s="5" t="s">
        <v>1591</v>
      </c>
      <c r="C1704" s="5" t="s">
        <v>1592</v>
      </c>
      <c r="D1704" s="9" t="s">
        <v>66</v>
      </c>
      <c r="E1704" s="5" t="n">
        <v>5</v>
      </c>
      <c r="F1704" s="5" t="s">
        <v>16395</v>
      </c>
      <c r="G1704" s="13" t="s">
        <v>16396</v>
      </c>
      <c r="H1704" s="5" t="s">
        <v>16397</v>
      </c>
      <c r="I1704" s="13" t="s">
        <v>16398</v>
      </c>
      <c r="J1704" s="5" t="s">
        <v>16399</v>
      </c>
      <c r="K1704" s="5" t="s">
        <v>16400</v>
      </c>
      <c r="L1704" s="13" t="s">
        <v>16401</v>
      </c>
      <c r="M1704" s="13" t="s">
        <v>16402</v>
      </c>
      <c r="N1704" s="5" t="n">
        <f aca="false">LEN(L1704)</f>
        <v>25</v>
      </c>
      <c r="O1704" s="5" t="n">
        <f aca="false">LEN(M1704)</f>
        <v>25</v>
      </c>
      <c r="P1704" s="14" t="n">
        <f aca="false">IF(N1704=0,"",(N1704-LEN(SUBSTITUTE(SUBSTITUTE(L1704,"G",""),"C","")))/N1704)</f>
        <v>0.6</v>
      </c>
      <c r="Q1704" s="14" t="n">
        <f aca="false">IF(O1704=0,"",(O1704-LEN(SUBSTITUTE(SUBSTITUTE(M1704,"G",""),"C","")))/O1704)</f>
        <v>0.72</v>
      </c>
      <c r="R1704" s="5"/>
      <c r="S1704" s="8" t="s">
        <v>2131</v>
      </c>
      <c r="T1704" s="5"/>
      <c r="U1704" s="5" t="s">
        <v>15244</v>
      </c>
      <c r="V1704" s="5" t="s">
        <v>1549</v>
      </c>
      <c r="W1704" s="5"/>
      <c r="X1704" s="5"/>
      <c r="Y1704" s="5"/>
    </row>
    <row r="1705" customFormat="false" ht="15" hidden="false" customHeight="false" outlineLevel="0" collapsed="false">
      <c r="A1705" s="5" t="s">
        <v>16403</v>
      </c>
      <c r="B1705" s="5" t="s">
        <v>1591</v>
      </c>
      <c r="C1705" s="5" t="s">
        <v>1592</v>
      </c>
      <c r="D1705" s="9" t="s">
        <v>66</v>
      </c>
      <c r="E1705" s="5" t="n">
        <v>6</v>
      </c>
      <c r="F1705" s="5" t="s">
        <v>16404</v>
      </c>
      <c r="G1705" s="13" t="s">
        <v>16405</v>
      </c>
      <c r="H1705" s="5" t="s">
        <v>16406</v>
      </c>
      <c r="I1705" s="13" t="s">
        <v>16407</v>
      </c>
      <c r="J1705" s="5" t="s">
        <v>16408</v>
      </c>
      <c r="K1705" s="5" t="s">
        <v>16409</v>
      </c>
      <c r="L1705" s="13" t="s">
        <v>16410</v>
      </c>
      <c r="M1705" s="13" t="s">
        <v>16411</v>
      </c>
      <c r="N1705" s="5" t="n">
        <f aca="false">LEN(L1705)</f>
        <v>25</v>
      </c>
      <c r="O1705" s="5" t="n">
        <f aca="false">LEN(M1705)</f>
        <v>25</v>
      </c>
      <c r="P1705" s="14" t="n">
        <f aca="false">IF(N1705=0,"",(N1705-LEN(SUBSTITUTE(SUBSTITUTE(L1705,"G",""),"C","")))/N1705)</f>
        <v>0.44</v>
      </c>
      <c r="Q1705" s="14" t="n">
        <f aca="false">IF(O1705=0,"",(O1705-LEN(SUBSTITUTE(SUBSTITUTE(M1705,"G",""),"C","")))/O1705)</f>
        <v>0.6</v>
      </c>
      <c r="R1705" s="5"/>
      <c r="S1705" s="8" t="s">
        <v>2131</v>
      </c>
      <c r="T1705" s="5"/>
      <c r="U1705" s="5" t="s">
        <v>15244</v>
      </c>
      <c r="V1705" s="5" t="s">
        <v>1549</v>
      </c>
      <c r="W1705" s="5"/>
      <c r="X1705" s="5"/>
      <c r="Y1705" s="5"/>
    </row>
    <row r="1706" customFormat="false" ht="15" hidden="false" customHeight="false" outlineLevel="0" collapsed="false">
      <c r="A1706" s="5" t="s">
        <v>16412</v>
      </c>
      <c r="B1706" s="5" t="s">
        <v>1593</v>
      </c>
      <c r="C1706" s="5" t="s">
        <v>1594</v>
      </c>
      <c r="D1706" s="9" t="s">
        <v>66</v>
      </c>
      <c r="E1706" s="5" t="n">
        <v>1</v>
      </c>
      <c r="F1706" s="5" t="s">
        <v>16413</v>
      </c>
      <c r="G1706" s="13" t="s">
        <v>16414</v>
      </c>
      <c r="H1706" s="5" t="s">
        <v>16415</v>
      </c>
      <c r="I1706" s="13" t="s">
        <v>16416</v>
      </c>
      <c r="J1706" s="5" t="s">
        <v>16417</v>
      </c>
      <c r="K1706" s="5" t="s">
        <v>16418</v>
      </c>
      <c r="L1706" s="13" t="s">
        <v>16419</v>
      </c>
      <c r="M1706" s="13" t="s">
        <v>16420</v>
      </c>
      <c r="N1706" s="5" t="n">
        <f aca="false">LEN(L1706)</f>
        <v>25</v>
      </c>
      <c r="O1706" s="5" t="n">
        <f aca="false">LEN(M1706)</f>
        <v>25</v>
      </c>
      <c r="P1706" s="14" t="n">
        <f aca="false">IF(N1706=0,"",(N1706-LEN(SUBSTITUTE(SUBSTITUTE(L1706,"G",""),"C","")))/N1706)</f>
        <v>0.64</v>
      </c>
      <c r="Q1706" s="14" t="n">
        <f aca="false">IF(O1706=0,"",(O1706-LEN(SUBSTITUTE(SUBSTITUTE(M1706,"G",""),"C","")))/O1706)</f>
        <v>0.68</v>
      </c>
      <c r="R1706" s="5"/>
      <c r="S1706" s="8" t="s">
        <v>2131</v>
      </c>
      <c r="T1706" s="5"/>
      <c r="U1706" s="5" t="s">
        <v>2986</v>
      </c>
      <c r="V1706" s="5" t="s">
        <v>1546</v>
      </c>
      <c r="W1706" s="5" t="s">
        <v>15534</v>
      </c>
      <c r="X1706" s="5"/>
      <c r="Y1706" s="5"/>
    </row>
    <row r="1707" customFormat="false" ht="15" hidden="false" customHeight="false" outlineLevel="0" collapsed="false">
      <c r="A1707" s="5" t="s">
        <v>16421</v>
      </c>
      <c r="B1707" s="5" t="s">
        <v>1593</v>
      </c>
      <c r="C1707" s="5" t="s">
        <v>1594</v>
      </c>
      <c r="D1707" s="9" t="s">
        <v>66</v>
      </c>
      <c r="E1707" s="5" t="n">
        <v>2</v>
      </c>
      <c r="F1707" s="5" t="s">
        <v>16422</v>
      </c>
      <c r="G1707" s="13" t="s">
        <v>16423</v>
      </c>
      <c r="H1707" s="5" t="s">
        <v>16424</v>
      </c>
      <c r="I1707" s="13" t="s">
        <v>16425</v>
      </c>
      <c r="J1707" s="5" t="s">
        <v>16426</v>
      </c>
      <c r="K1707" s="5" t="s">
        <v>16427</v>
      </c>
      <c r="L1707" s="13" t="s">
        <v>16428</v>
      </c>
      <c r="M1707" s="13" t="s">
        <v>16429</v>
      </c>
      <c r="N1707" s="5" t="n">
        <f aca="false">LEN(L1707)</f>
        <v>25</v>
      </c>
      <c r="O1707" s="5" t="n">
        <f aca="false">LEN(M1707)</f>
        <v>25</v>
      </c>
      <c r="P1707" s="14" t="n">
        <f aca="false">IF(N1707=0,"",(N1707-LEN(SUBSTITUTE(SUBSTITUTE(L1707,"G",""),"C","")))/N1707)</f>
        <v>0.56</v>
      </c>
      <c r="Q1707" s="14" t="n">
        <f aca="false">IF(O1707=0,"",(O1707-LEN(SUBSTITUTE(SUBSTITUTE(M1707,"G",""),"C","")))/O1707)</f>
        <v>0.76</v>
      </c>
      <c r="R1707" s="5"/>
      <c r="S1707" s="8" t="s">
        <v>2131</v>
      </c>
      <c r="T1707" s="5"/>
      <c r="U1707" s="5" t="s">
        <v>2986</v>
      </c>
      <c r="V1707" s="5" t="s">
        <v>1546</v>
      </c>
      <c r="W1707" s="5" t="s">
        <v>15534</v>
      </c>
      <c r="X1707" s="5"/>
      <c r="Y1707" s="5"/>
    </row>
    <row r="1708" customFormat="false" ht="15" hidden="false" customHeight="false" outlineLevel="0" collapsed="false">
      <c r="A1708" s="5" t="s">
        <v>16430</v>
      </c>
      <c r="B1708" s="5" t="s">
        <v>1593</v>
      </c>
      <c r="C1708" s="5" t="s">
        <v>1594</v>
      </c>
      <c r="D1708" s="9" t="s">
        <v>66</v>
      </c>
      <c r="E1708" s="5" t="n">
        <v>3</v>
      </c>
      <c r="F1708" s="5" t="s">
        <v>16431</v>
      </c>
      <c r="G1708" s="13" t="s">
        <v>16432</v>
      </c>
      <c r="H1708" s="5" t="s">
        <v>16433</v>
      </c>
      <c r="I1708" s="13" t="s">
        <v>16434</v>
      </c>
      <c r="J1708" s="5" t="s">
        <v>16435</v>
      </c>
      <c r="K1708" s="5" t="s">
        <v>16436</v>
      </c>
      <c r="L1708" s="13" t="s">
        <v>16437</v>
      </c>
      <c r="M1708" s="13" t="s">
        <v>16438</v>
      </c>
      <c r="N1708" s="5" t="n">
        <f aca="false">LEN(L1708)</f>
        <v>25</v>
      </c>
      <c r="O1708" s="5" t="n">
        <f aca="false">LEN(M1708)</f>
        <v>25</v>
      </c>
      <c r="P1708" s="14" t="n">
        <f aca="false">IF(N1708=0,"",(N1708-LEN(SUBSTITUTE(SUBSTITUTE(L1708,"G",""),"C","")))/N1708)</f>
        <v>0.56</v>
      </c>
      <c r="Q1708" s="14" t="n">
        <f aca="false">IF(O1708=0,"",(O1708-LEN(SUBSTITUTE(SUBSTITUTE(M1708,"G",""),"C","")))/O1708)</f>
        <v>0.52</v>
      </c>
      <c r="R1708" s="5"/>
      <c r="S1708" s="8" t="s">
        <v>2131</v>
      </c>
      <c r="T1708" s="5"/>
      <c r="U1708" s="5" t="s">
        <v>2986</v>
      </c>
      <c r="V1708" s="5" t="s">
        <v>1546</v>
      </c>
      <c r="W1708" s="5" t="s">
        <v>15534</v>
      </c>
      <c r="X1708" s="5"/>
      <c r="Y1708" s="5"/>
    </row>
    <row r="1709" customFormat="false" ht="15" hidden="false" customHeight="false" outlineLevel="0" collapsed="false">
      <c r="A1709" s="5" t="s">
        <v>16439</v>
      </c>
      <c r="B1709" s="5" t="s">
        <v>1593</v>
      </c>
      <c r="C1709" s="5" t="s">
        <v>1594</v>
      </c>
      <c r="D1709" s="9" t="s">
        <v>66</v>
      </c>
      <c r="E1709" s="5" t="n">
        <v>4</v>
      </c>
      <c r="F1709" s="5" t="s">
        <v>16440</v>
      </c>
      <c r="G1709" s="13" t="s">
        <v>16441</v>
      </c>
      <c r="H1709" s="5" t="s">
        <v>16442</v>
      </c>
      <c r="I1709" s="13" t="s">
        <v>16443</v>
      </c>
      <c r="J1709" s="5" t="s">
        <v>16444</v>
      </c>
      <c r="K1709" s="5" t="s">
        <v>16445</v>
      </c>
      <c r="L1709" s="13" t="s">
        <v>16446</v>
      </c>
      <c r="M1709" s="13" t="s">
        <v>16447</v>
      </c>
      <c r="N1709" s="5" t="n">
        <f aca="false">LEN(L1709)</f>
        <v>25</v>
      </c>
      <c r="O1709" s="5" t="n">
        <f aca="false">LEN(M1709)</f>
        <v>25</v>
      </c>
      <c r="P1709" s="14" t="n">
        <f aca="false">IF(N1709=0,"",(N1709-LEN(SUBSTITUTE(SUBSTITUTE(L1709,"G",""),"C","")))/N1709)</f>
        <v>0.4</v>
      </c>
      <c r="Q1709" s="14" t="n">
        <f aca="false">IF(O1709=0,"",(O1709-LEN(SUBSTITUTE(SUBSTITUTE(M1709,"G",""),"C","")))/O1709)</f>
        <v>0.48</v>
      </c>
      <c r="R1709" s="5"/>
      <c r="S1709" s="8" t="s">
        <v>2131</v>
      </c>
      <c r="T1709" s="5"/>
      <c r="U1709" s="5" t="s">
        <v>2986</v>
      </c>
      <c r="V1709" s="5" t="s">
        <v>1546</v>
      </c>
      <c r="W1709" s="5" t="s">
        <v>15534</v>
      </c>
      <c r="X1709" s="5"/>
      <c r="Y1709" s="5"/>
    </row>
    <row r="1710" customFormat="false" ht="15" hidden="false" customHeight="false" outlineLevel="0" collapsed="false">
      <c r="A1710" s="5" t="s">
        <v>16448</v>
      </c>
      <c r="B1710" s="5" t="s">
        <v>1593</v>
      </c>
      <c r="C1710" s="5" t="s">
        <v>1594</v>
      </c>
      <c r="D1710" s="9" t="s">
        <v>66</v>
      </c>
      <c r="E1710" s="5" t="n">
        <v>5</v>
      </c>
      <c r="F1710" s="5" t="s">
        <v>16449</v>
      </c>
      <c r="G1710" s="13" t="s">
        <v>16450</v>
      </c>
      <c r="H1710" s="5" t="s">
        <v>16451</v>
      </c>
      <c r="I1710" s="13" t="s">
        <v>16452</v>
      </c>
      <c r="J1710" s="5" t="s">
        <v>16453</v>
      </c>
      <c r="K1710" s="5" t="s">
        <v>16454</v>
      </c>
      <c r="L1710" s="13" t="s">
        <v>16455</v>
      </c>
      <c r="M1710" s="13" t="s">
        <v>16456</v>
      </c>
      <c r="N1710" s="5" t="n">
        <f aca="false">LEN(L1710)</f>
        <v>25</v>
      </c>
      <c r="O1710" s="5" t="n">
        <f aca="false">LEN(M1710)</f>
        <v>25</v>
      </c>
      <c r="P1710" s="14" t="n">
        <f aca="false">IF(N1710=0,"",(N1710-LEN(SUBSTITUTE(SUBSTITUTE(L1710,"G",""),"C","")))/N1710)</f>
        <v>0.56</v>
      </c>
      <c r="Q1710" s="14" t="n">
        <f aca="false">IF(O1710=0,"",(O1710-LEN(SUBSTITUTE(SUBSTITUTE(M1710,"G",""),"C","")))/O1710)</f>
        <v>0.36</v>
      </c>
      <c r="R1710" s="5"/>
      <c r="S1710" s="8" t="s">
        <v>2131</v>
      </c>
      <c r="T1710" s="5"/>
      <c r="U1710" s="5" t="s">
        <v>2986</v>
      </c>
      <c r="V1710" s="5" t="s">
        <v>1546</v>
      </c>
      <c r="W1710" s="5" t="s">
        <v>15534</v>
      </c>
      <c r="X1710" s="5"/>
      <c r="Y1710" s="5"/>
    </row>
    <row r="1711" customFormat="false" ht="15" hidden="false" customHeight="false" outlineLevel="0" collapsed="false">
      <c r="A1711" s="5" t="s">
        <v>16457</v>
      </c>
      <c r="B1711" s="5" t="s">
        <v>1593</v>
      </c>
      <c r="C1711" s="5" t="s">
        <v>1594</v>
      </c>
      <c r="D1711" s="9" t="s">
        <v>66</v>
      </c>
      <c r="E1711" s="5" t="n">
        <v>6</v>
      </c>
      <c r="F1711" s="5" t="s">
        <v>16458</v>
      </c>
      <c r="G1711" s="13" t="s">
        <v>16459</v>
      </c>
      <c r="H1711" s="5" t="s">
        <v>16460</v>
      </c>
      <c r="I1711" s="13" t="s">
        <v>16461</v>
      </c>
      <c r="J1711" s="5" t="s">
        <v>16462</v>
      </c>
      <c r="K1711" s="5" t="s">
        <v>16463</v>
      </c>
      <c r="L1711" s="13" t="s">
        <v>16464</v>
      </c>
      <c r="M1711" s="13" t="s">
        <v>16465</v>
      </c>
      <c r="N1711" s="5" t="n">
        <f aca="false">LEN(L1711)</f>
        <v>25</v>
      </c>
      <c r="O1711" s="5" t="n">
        <f aca="false">LEN(M1711)</f>
        <v>25</v>
      </c>
      <c r="P1711" s="14" t="n">
        <f aca="false">IF(N1711=0,"",(N1711-LEN(SUBSTITUTE(SUBSTITUTE(L1711,"G",""),"C","")))/N1711)</f>
        <v>0.52</v>
      </c>
      <c r="Q1711" s="14" t="n">
        <f aca="false">IF(O1711=0,"",(O1711-LEN(SUBSTITUTE(SUBSTITUTE(M1711,"G",""),"C","")))/O1711)</f>
        <v>0.6</v>
      </c>
      <c r="R1711" s="5"/>
      <c r="S1711" s="8" t="s">
        <v>2131</v>
      </c>
      <c r="T1711" s="5"/>
      <c r="U1711" s="5" t="s">
        <v>2986</v>
      </c>
      <c r="V1711" s="5" t="s">
        <v>1546</v>
      </c>
      <c r="W1711" s="5" t="s">
        <v>15534</v>
      </c>
      <c r="X1711" s="5"/>
      <c r="Y1711" s="5"/>
    </row>
    <row r="1712" customFormat="false" ht="15" hidden="false" customHeight="false" outlineLevel="0" collapsed="false">
      <c r="A1712" s="5" t="s">
        <v>16466</v>
      </c>
      <c r="B1712" s="5" t="s">
        <v>1595</v>
      </c>
      <c r="C1712" s="5" t="s">
        <v>1596</v>
      </c>
      <c r="D1712" s="9" t="s">
        <v>66</v>
      </c>
      <c r="E1712" s="5" t="n">
        <v>1</v>
      </c>
      <c r="F1712" s="5" t="s">
        <v>16467</v>
      </c>
      <c r="G1712" s="13" t="s">
        <v>16468</v>
      </c>
      <c r="H1712" s="5" t="s">
        <v>16469</v>
      </c>
      <c r="I1712" s="13" t="s">
        <v>16470</v>
      </c>
      <c r="J1712" s="5" t="s">
        <v>16471</v>
      </c>
      <c r="K1712" s="5" t="s">
        <v>16472</v>
      </c>
      <c r="L1712" s="13" t="s">
        <v>16473</v>
      </c>
      <c r="M1712" s="13" t="s">
        <v>16474</v>
      </c>
      <c r="N1712" s="5" t="n">
        <f aca="false">LEN(L1712)</f>
        <v>25</v>
      </c>
      <c r="O1712" s="5" t="n">
        <f aca="false">LEN(M1712)</f>
        <v>25</v>
      </c>
      <c r="P1712" s="14" t="n">
        <f aca="false">IF(N1712=0,"",(N1712-LEN(SUBSTITUTE(SUBSTITUTE(L1712,"G",""),"C","")))/N1712)</f>
        <v>0.68</v>
      </c>
      <c r="Q1712" s="14" t="n">
        <f aca="false">IF(O1712=0,"",(O1712-LEN(SUBSTITUTE(SUBSTITUTE(M1712,"G",""),"C","")))/O1712)</f>
        <v>0.6</v>
      </c>
      <c r="R1712" s="5"/>
      <c r="S1712" s="8" t="s">
        <v>2131</v>
      </c>
      <c r="T1712" s="5"/>
      <c r="U1712" s="5" t="s">
        <v>15244</v>
      </c>
      <c r="V1712" s="5" t="s">
        <v>1549</v>
      </c>
      <c r="W1712" s="5"/>
      <c r="X1712" s="5"/>
      <c r="Y1712" s="5"/>
    </row>
    <row r="1713" customFormat="false" ht="15" hidden="false" customHeight="false" outlineLevel="0" collapsed="false">
      <c r="A1713" s="5" t="s">
        <v>16475</v>
      </c>
      <c r="B1713" s="5" t="s">
        <v>1595</v>
      </c>
      <c r="C1713" s="5" t="s">
        <v>1596</v>
      </c>
      <c r="D1713" s="9" t="s">
        <v>66</v>
      </c>
      <c r="E1713" s="5" t="n">
        <v>2</v>
      </c>
      <c r="F1713" s="5" t="s">
        <v>16476</v>
      </c>
      <c r="G1713" s="13" t="s">
        <v>16477</v>
      </c>
      <c r="H1713" s="5" t="s">
        <v>16478</v>
      </c>
      <c r="I1713" s="13" t="s">
        <v>16479</v>
      </c>
      <c r="J1713" s="5" t="s">
        <v>16480</v>
      </c>
      <c r="K1713" s="5" t="s">
        <v>16481</v>
      </c>
      <c r="L1713" s="13" t="s">
        <v>16482</v>
      </c>
      <c r="M1713" s="13" t="s">
        <v>16483</v>
      </c>
      <c r="N1713" s="5" t="n">
        <f aca="false">LEN(L1713)</f>
        <v>25</v>
      </c>
      <c r="O1713" s="5" t="n">
        <f aca="false">LEN(M1713)</f>
        <v>25</v>
      </c>
      <c r="P1713" s="14" t="n">
        <f aca="false">IF(N1713=0,"",(N1713-LEN(SUBSTITUTE(SUBSTITUTE(L1713,"G",""),"C","")))/N1713)</f>
        <v>0.56</v>
      </c>
      <c r="Q1713" s="14" t="n">
        <f aca="false">IF(O1713=0,"",(O1713-LEN(SUBSTITUTE(SUBSTITUTE(M1713,"G",""),"C","")))/O1713)</f>
        <v>0.6</v>
      </c>
      <c r="R1713" s="5"/>
      <c r="S1713" s="8" t="s">
        <v>2131</v>
      </c>
      <c r="T1713" s="5"/>
      <c r="U1713" s="5" t="s">
        <v>15244</v>
      </c>
      <c r="V1713" s="5" t="s">
        <v>1549</v>
      </c>
      <c r="W1713" s="5"/>
      <c r="X1713" s="5"/>
      <c r="Y1713" s="5"/>
    </row>
    <row r="1714" customFormat="false" ht="15" hidden="false" customHeight="false" outlineLevel="0" collapsed="false">
      <c r="A1714" s="5" t="s">
        <v>16484</v>
      </c>
      <c r="B1714" s="5" t="s">
        <v>1595</v>
      </c>
      <c r="C1714" s="5" t="s">
        <v>1596</v>
      </c>
      <c r="D1714" s="9" t="s">
        <v>66</v>
      </c>
      <c r="E1714" s="5" t="n">
        <v>3</v>
      </c>
      <c r="F1714" s="5" t="s">
        <v>16485</v>
      </c>
      <c r="G1714" s="13" t="s">
        <v>16486</v>
      </c>
      <c r="H1714" s="5" t="s">
        <v>16487</v>
      </c>
      <c r="I1714" s="13" t="s">
        <v>16488</v>
      </c>
      <c r="J1714" s="5" t="s">
        <v>16489</v>
      </c>
      <c r="K1714" s="5" t="s">
        <v>16490</v>
      </c>
      <c r="L1714" s="13" t="s">
        <v>16491</v>
      </c>
      <c r="M1714" s="13" t="s">
        <v>16492</v>
      </c>
      <c r="N1714" s="5" t="n">
        <f aca="false">LEN(L1714)</f>
        <v>25</v>
      </c>
      <c r="O1714" s="5" t="n">
        <f aca="false">LEN(M1714)</f>
        <v>25</v>
      </c>
      <c r="P1714" s="14" t="n">
        <f aca="false">IF(N1714=0,"",(N1714-LEN(SUBSTITUTE(SUBSTITUTE(L1714,"G",""),"C","")))/N1714)</f>
        <v>0.52</v>
      </c>
      <c r="Q1714" s="14" t="n">
        <f aca="false">IF(O1714=0,"",(O1714-LEN(SUBSTITUTE(SUBSTITUTE(M1714,"G",""),"C","")))/O1714)</f>
        <v>0.48</v>
      </c>
      <c r="R1714" s="5"/>
      <c r="S1714" s="8" t="s">
        <v>2131</v>
      </c>
      <c r="T1714" s="5"/>
      <c r="U1714" s="5" t="s">
        <v>15244</v>
      </c>
      <c r="V1714" s="5" t="s">
        <v>1549</v>
      </c>
      <c r="W1714" s="5"/>
      <c r="X1714" s="5"/>
      <c r="Y1714" s="5"/>
    </row>
    <row r="1715" customFormat="false" ht="15" hidden="false" customHeight="false" outlineLevel="0" collapsed="false">
      <c r="A1715" s="5" t="s">
        <v>16493</v>
      </c>
      <c r="B1715" s="5" t="s">
        <v>1595</v>
      </c>
      <c r="C1715" s="5" t="s">
        <v>1596</v>
      </c>
      <c r="D1715" s="9" t="s">
        <v>66</v>
      </c>
      <c r="E1715" s="5" t="n">
        <v>4</v>
      </c>
      <c r="F1715" s="5" t="s">
        <v>16494</v>
      </c>
      <c r="G1715" s="13" t="s">
        <v>16495</v>
      </c>
      <c r="H1715" s="5" t="s">
        <v>16496</v>
      </c>
      <c r="I1715" s="13" t="s">
        <v>16497</v>
      </c>
      <c r="J1715" s="5" t="s">
        <v>16498</v>
      </c>
      <c r="K1715" s="5" t="s">
        <v>16499</v>
      </c>
      <c r="L1715" s="13" t="s">
        <v>16500</v>
      </c>
      <c r="M1715" s="13" t="s">
        <v>16501</v>
      </c>
      <c r="N1715" s="5" t="n">
        <f aca="false">LEN(L1715)</f>
        <v>25</v>
      </c>
      <c r="O1715" s="5" t="n">
        <f aca="false">LEN(M1715)</f>
        <v>25</v>
      </c>
      <c r="P1715" s="14" t="n">
        <f aca="false">IF(N1715=0,"",(N1715-LEN(SUBSTITUTE(SUBSTITUTE(L1715,"G",""),"C","")))/N1715)</f>
        <v>0.68</v>
      </c>
      <c r="Q1715" s="14" t="n">
        <f aca="false">IF(O1715=0,"",(O1715-LEN(SUBSTITUTE(SUBSTITUTE(M1715,"G",""),"C","")))/O1715)</f>
        <v>0.48</v>
      </c>
      <c r="R1715" s="5"/>
      <c r="S1715" s="8" t="s">
        <v>2131</v>
      </c>
      <c r="T1715" s="5"/>
      <c r="U1715" s="5" t="s">
        <v>15244</v>
      </c>
      <c r="V1715" s="5" t="s">
        <v>1549</v>
      </c>
      <c r="W1715" s="5"/>
      <c r="X1715" s="5"/>
      <c r="Y1715" s="5"/>
    </row>
    <row r="1716" customFormat="false" ht="15" hidden="false" customHeight="false" outlineLevel="0" collapsed="false">
      <c r="A1716" s="5" t="s">
        <v>16502</v>
      </c>
      <c r="B1716" s="5" t="s">
        <v>1595</v>
      </c>
      <c r="C1716" s="5" t="s">
        <v>1596</v>
      </c>
      <c r="D1716" s="9" t="s">
        <v>66</v>
      </c>
      <c r="E1716" s="5" t="n">
        <v>5</v>
      </c>
      <c r="F1716" s="5" t="s">
        <v>16503</v>
      </c>
      <c r="G1716" s="13" t="s">
        <v>16504</v>
      </c>
      <c r="H1716" s="5" t="s">
        <v>16505</v>
      </c>
      <c r="I1716" s="13" t="s">
        <v>16506</v>
      </c>
      <c r="J1716" s="5" t="s">
        <v>16507</v>
      </c>
      <c r="K1716" s="5" t="s">
        <v>16508</v>
      </c>
      <c r="L1716" s="13" t="s">
        <v>16509</v>
      </c>
      <c r="M1716" s="13" t="s">
        <v>16510</v>
      </c>
      <c r="N1716" s="5" t="n">
        <f aca="false">LEN(L1716)</f>
        <v>25</v>
      </c>
      <c r="O1716" s="5" t="n">
        <f aca="false">LEN(M1716)</f>
        <v>25</v>
      </c>
      <c r="P1716" s="14" t="n">
        <f aca="false">IF(N1716=0,"",(N1716-LEN(SUBSTITUTE(SUBSTITUTE(L1716,"G",""),"C","")))/N1716)</f>
        <v>0.56</v>
      </c>
      <c r="Q1716" s="14" t="n">
        <f aca="false">IF(O1716=0,"",(O1716-LEN(SUBSTITUTE(SUBSTITUTE(M1716,"G",""),"C","")))/O1716)</f>
        <v>0.44</v>
      </c>
      <c r="R1716" s="5"/>
      <c r="S1716" s="8" t="s">
        <v>2131</v>
      </c>
      <c r="T1716" s="5"/>
      <c r="U1716" s="5" t="s">
        <v>15244</v>
      </c>
      <c r="V1716" s="5" t="s">
        <v>1549</v>
      </c>
      <c r="W1716" s="5"/>
      <c r="X1716" s="5"/>
      <c r="Y1716" s="5"/>
    </row>
    <row r="1717" customFormat="false" ht="15" hidden="false" customHeight="false" outlineLevel="0" collapsed="false">
      <c r="A1717" s="5" t="s">
        <v>16511</v>
      </c>
      <c r="B1717" s="5" t="s">
        <v>1595</v>
      </c>
      <c r="C1717" s="5" t="s">
        <v>1596</v>
      </c>
      <c r="D1717" s="9" t="s">
        <v>66</v>
      </c>
      <c r="E1717" s="5" t="n">
        <v>6</v>
      </c>
      <c r="F1717" s="5" t="s">
        <v>16512</v>
      </c>
      <c r="G1717" s="13" t="s">
        <v>16513</v>
      </c>
      <c r="H1717" s="5" t="s">
        <v>16514</v>
      </c>
      <c r="I1717" s="13" t="s">
        <v>16515</v>
      </c>
      <c r="J1717" s="5" t="s">
        <v>16516</v>
      </c>
      <c r="K1717" s="5" t="s">
        <v>16517</v>
      </c>
      <c r="L1717" s="13" t="s">
        <v>16518</v>
      </c>
      <c r="M1717" s="13" t="s">
        <v>16519</v>
      </c>
      <c r="N1717" s="5" t="n">
        <f aca="false">LEN(L1717)</f>
        <v>25</v>
      </c>
      <c r="O1717" s="5" t="n">
        <f aca="false">LEN(M1717)</f>
        <v>25</v>
      </c>
      <c r="P1717" s="14" t="n">
        <f aca="false">IF(N1717=0,"",(N1717-LEN(SUBSTITUTE(SUBSTITUTE(L1717,"G",""),"C","")))/N1717)</f>
        <v>0.52</v>
      </c>
      <c r="Q1717" s="14" t="n">
        <f aca="false">IF(O1717=0,"",(O1717-LEN(SUBSTITUTE(SUBSTITUTE(M1717,"G",""),"C","")))/O1717)</f>
        <v>0.6</v>
      </c>
      <c r="R1717" s="5"/>
      <c r="S1717" s="8" t="s">
        <v>2131</v>
      </c>
      <c r="T1717" s="5"/>
      <c r="U1717" s="5" t="s">
        <v>15244</v>
      </c>
      <c r="V1717" s="5" t="s">
        <v>1549</v>
      </c>
      <c r="W1717" s="5"/>
      <c r="X1717" s="5"/>
      <c r="Y1717" s="5"/>
    </row>
    <row r="1718" customFormat="false" ht="15" hidden="false" customHeight="false" outlineLevel="0" collapsed="false">
      <c r="A1718" s="5" t="s">
        <v>16520</v>
      </c>
      <c r="B1718" s="5" t="s">
        <v>1597</v>
      </c>
      <c r="C1718" s="5" t="s">
        <v>1598</v>
      </c>
      <c r="D1718" s="9" t="s">
        <v>66</v>
      </c>
      <c r="E1718" s="5" t="n">
        <v>1</v>
      </c>
      <c r="F1718" s="5" t="s">
        <v>16521</v>
      </c>
      <c r="G1718" s="13" t="s">
        <v>16522</v>
      </c>
      <c r="H1718" s="5" t="s">
        <v>16523</v>
      </c>
      <c r="I1718" s="13" t="s">
        <v>16524</v>
      </c>
      <c r="J1718" s="5" t="s">
        <v>16525</v>
      </c>
      <c r="K1718" s="5" t="s">
        <v>16526</v>
      </c>
      <c r="L1718" s="13" t="s">
        <v>16527</v>
      </c>
      <c r="M1718" s="13" t="s">
        <v>16528</v>
      </c>
      <c r="N1718" s="5" t="n">
        <f aca="false">LEN(L1718)</f>
        <v>25</v>
      </c>
      <c r="O1718" s="5" t="n">
        <f aca="false">LEN(M1718)</f>
        <v>25</v>
      </c>
      <c r="P1718" s="14" t="n">
        <f aca="false">IF(N1718=0,"",(N1718-LEN(SUBSTITUTE(SUBSTITUTE(L1718,"G",""),"C","")))/N1718)</f>
        <v>0.36</v>
      </c>
      <c r="Q1718" s="14" t="n">
        <f aca="false">IF(O1718=0,"",(O1718-LEN(SUBSTITUTE(SUBSTITUTE(M1718,"G",""),"C","")))/O1718)</f>
        <v>0.36</v>
      </c>
      <c r="R1718" s="5"/>
      <c r="S1718" s="8" t="s">
        <v>2131</v>
      </c>
      <c r="T1718" s="5"/>
      <c r="U1718" s="5" t="s">
        <v>15244</v>
      </c>
      <c r="V1718" s="5" t="s">
        <v>1549</v>
      </c>
      <c r="W1718" s="5"/>
      <c r="X1718" s="5"/>
      <c r="Y1718" s="5"/>
    </row>
    <row r="1719" customFormat="false" ht="15" hidden="false" customHeight="false" outlineLevel="0" collapsed="false">
      <c r="A1719" s="5" t="s">
        <v>16529</v>
      </c>
      <c r="B1719" s="5" t="s">
        <v>1597</v>
      </c>
      <c r="C1719" s="5" t="s">
        <v>1598</v>
      </c>
      <c r="D1719" s="9" t="s">
        <v>66</v>
      </c>
      <c r="E1719" s="5" t="n">
        <v>2</v>
      </c>
      <c r="F1719" s="5" t="s">
        <v>16530</v>
      </c>
      <c r="G1719" s="13" t="s">
        <v>16531</v>
      </c>
      <c r="H1719" s="5" t="s">
        <v>16532</v>
      </c>
      <c r="I1719" s="13" t="s">
        <v>16533</v>
      </c>
      <c r="J1719" s="5" t="s">
        <v>16534</v>
      </c>
      <c r="K1719" s="5" t="s">
        <v>16535</v>
      </c>
      <c r="L1719" s="13" t="s">
        <v>16536</v>
      </c>
      <c r="M1719" s="13" t="s">
        <v>16537</v>
      </c>
      <c r="N1719" s="5" t="n">
        <f aca="false">LEN(L1719)</f>
        <v>25</v>
      </c>
      <c r="O1719" s="5" t="n">
        <f aca="false">LEN(M1719)</f>
        <v>25</v>
      </c>
      <c r="P1719" s="14" t="n">
        <f aca="false">IF(N1719=0,"",(N1719-LEN(SUBSTITUTE(SUBSTITUTE(L1719,"G",""),"C","")))/N1719)</f>
        <v>0.44</v>
      </c>
      <c r="Q1719" s="14" t="n">
        <f aca="false">IF(O1719=0,"",(O1719-LEN(SUBSTITUTE(SUBSTITUTE(M1719,"G",""),"C","")))/O1719)</f>
        <v>0.48</v>
      </c>
      <c r="R1719" s="5"/>
      <c r="S1719" s="8" t="s">
        <v>2131</v>
      </c>
      <c r="T1719" s="5"/>
      <c r="U1719" s="5" t="s">
        <v>15244</v>
      </c>
      <c r="V1719" s="5" t="s">
        <v>1549</v>
      </c>
      <c r="W1719" s="5"/>
      <c r="X1719" s="5"/>
      <c r="Y1719" s="5"/>
    </row>
    <row r="1720" customFormat="false" ht="15" hidden="false" customHeight="false" outlineLevel="0" collapsed="false">
      <c r="A1720" s="5" t="s">
        <v>16538</v>
      </c>
      <c r="B1720" s="5" t="s">
        <v>1597</v>
      </c>
      <c r="C1720" s="5" t="s">
        <v>1598</v>
      </c>
      <c r="D1720" s="9" t="s">
        <v>66</v>
      </c>
      <c r="E1720" s="5" t="n">
        <v>3</v>
      </c>
      <c r="F1720" s="5" t="s">
        <v>16539</v>
      </c>
      <c r="G1720" s="13" t="s">
        <v>16540</v>
      </c>
      <c r="H1720" s="5" t="s">
        <v>16541</v>
      </c>
      <c r="I1720" s="13" t="s">
        <v>16542</v>
      </c>
      <c r="J1720" s="5" t="s">
        <v>16543</v>
      </c>
      <c r="K1720" s="5" t="s">
        <v>16544</v>
      </c>
      <c r="L1720" s="13" t="s">
        <v>16545</v>
      </c>
      <c r="M1720" s="13" t="s">
        <v>16546</v>
      </c>
      <c r="N1720" s="5" t="n">
        <f aca="false">LEN(L1720)</f>
        <v>25</v>
      </c>
      <c r="O1720" s="5" t="n">
        <f aca="false">LEN(M1720)</f>
        <v>25</v>
      </c>
      <c r="P1720" s="14" t="n">
        <f aca="false">IF(N1720=0,"",(N1720-LEN(SUBSTITUTE(SUBSTITUTE(L1720,"G",""),"C","")))/N1720)</f>
        <v>0.48</v>
      </c>
      <c r="Q1720" s="14" t="n">
        <f aca="false">IF(O1720=0,"",(O1720-LEN(SUBSTITUTE(SUBSTITUTE(M1720,"G",""),"C","")))/O1720)</f>
        <v>0.52</v>
      </c>
      <c r="R1720" s="5"/>
      <c r="S1720" s="8" t="s">
        <v>2131</v>
      </c>
      <c r="T1720" s="5"/>
      <c r="U1720" s="5" t="s">
        <v>15244</v>
      </c>
      <c r="V1720" s="5" t="s">
        <v>1549</v>
      </c>
      <c r="W1720" s="5"/>
      <c r="X1720" s="5"/>
      <c r="Y1720" s="5"/>
    </row>
    <row r="1721" customFormat="false" ht="15" hidden="false" customHeight="false" outlineLevel="0" collapsed="false">
      <c r="A1721" s="5" t="s">
        <v>16547</v>
      </c>
      <c r="B1721" s="5" t="s">
        <v>1597</v>
      </c>
      <c r="C1721" s="5" t="s">
        <v>1598</v>
      </c>
      <c r="D1721" s="9" t="s">
        <v>66</v>
      </c>
      <c r="E1721" s="5" t="n">
        <v>4</v>
      </c>
      <c r="F1721" s="5" t="s">
        <v>16548</v>
      </c>
      <c r="G1721" s="13" t="s">
        <v>16549</v>
      </c>
      <c r="H1721" s="5" t="s">
        <v>16550</v>
      </c>
      <c r="I1721" s="13" t="s">
        <v>16551</v>
      </c>
      <c r="J1721" s="5" t="s">
        <v>16552</v>
      </c>
      <c r="K1721" s="5" t="s">
        <v>16553</v>
      </c>
      <c r="L1721" s="13" t="s">
        <v>16554</v>
      </c>
      <c r="M1721" s="13" t="s">
        <v>16555</v>
      </c>
      <c r="N1721" s="5" t="n">
        <f aca="false">LEN(L1721)</f>
        <v>25</v>
      </c>
      <c r="O1721" s="5" t="n">
        <f aca="false">LEN(M1721)</f>
        <v>25</v>
      </c>
      <c r="P1721" s="14" t="n">
        <f aca="false">IF(N1721=0,"",(N1721-LEN(SUBSTITUTE(SUBSTITUTE(L1721,"G",""),"C","")))/N1721)</f>
        <v>0.6</v>
      </c>
      <c r="Q1721" s="14" t="n">
        <f aca="false">IF(O1721=0,"",(O1721-LEN(SUBSTITUTE(SUBSTITUTE(M1721,"G",""),"C","")))/O1721)</f>
        <v>0.48</v>
      </c>
      <c r="R1721" s="5"/>
      <c r="S1721" s="8" t="s">
        <v>2131</v>
      </c>
      <c r="T1721" s="5"/>
      <c r="U1721" s="5" t="s">
        <v>15244</v>
      </c>
      <c r="V1721" s="5" t="s">
        <v>1549</v>
      </c>
      <c r="W1721" s="5"/>
      <c r="X1721" s="5"/>
      <c r="Y1721" s="5"/>
    </row>
    <row r="1722" customFormat="false" ht="15" hidden="false" customHeight="false" outlineLevel="0" collapsed="false">
      <c r="A1722" s="5" t="s">
        <v>16556</v>
      </c>
      <c r="B1722" s="5" t="s">
        <v>1597</v>
      </c>
      <c r="C1722" s="5" t="s">
        <v>1598</v>
      </c>
      <c r="D1722" s="9" t="s">
        <v>66</v>
      </c>
      <c r="E1722" s="5" t="n">
        <v>5</v>
      </c>
      <c r="F1722" s="5" t="s">
        <v>16557</v>
      </c>
      <c r="G1722" s="13" t="s">
        <v>16558</v>
      </c>
      <c r="H1722" s="5" t="s">
        <v>16559</v>
      </c>
      <c r="I1722" s="13" t="s">
        <v>16560</v>
      </c>
      <c r="J1722" s="5" t="s">
        <v>16561</v>
      </c>
      <c r="K1722" s="5" t="s">
        <v>16562</v>
      </c>
      <c r="L1722" s="13" t="s">
        <v>16563</v>
      </c>
      <c r="M1722" s="13" t="s">
        <v>16564</v>
      </c>
      <c r="N1722" s="5" t="n">
        <f aca="false">LEN(L1722)</f>
        <v>25</v>
      </c>
      <c r="O1722" s="5" t="n">
        <f aca="false">LEN(M1722)</f>
        <v>25</v>
      </c>
      <c r="P1722" s="14" t="n">
        <f aca="false">IF(N1722=0,"",(N1722-LEN(SUBSTITUTE(SUBSTITUTE(L1722,"G",""),"C","")))/N1722)</f>
        <v>0.68</v>
      </c>
      <c r="Q1722" s="14" t="n">
        <f aca="false">IF(O1722=0,"",(O1722-LEN(SUBSTITUTE(SUBSTITUTE(M1722,"G",""),"C","")))/O1722)</f>
        <v>0.56</v>
      </c>
      <c r="R1722" s="5"/>
      <c r="S1722" s="8" t="s">
        <v>2131</v>
      </c>
      <c r="T1722" s="5"/>
      <c r="U1722" s="5" t="s">
        <v>15244</v>
      </c>
      <c r="V1722" s="5" t="s">
        <v>1549</v>
      </c>
      <c r="W1722" s="5"/>
      <c r="X1722" s="5"/>
      <c r="Y1722" s="5"/>
    </row>
    <row r="1723" customFormat="false" ht="15" hidden="false" customHeight="false" outlineLevel="0" collapsed="false">
      <c r="A1723" s="5" t="s">
        <v>16565</v>
      </c>
      <c r="B1723" s="5" t="s">
        <v>1597</v>
      </c>
      <c r="C1723" s="5" t="s">
        <v>1598</v>
      </c>
      <c r="D1723" s="9" t="s">
        <v>66</v>
      </c>
      <c r="E1723" s="5" t="n">
        <v>6</v>
      </c>
      <c r="F1723" s="5" t="s">
        <v>16566</v>
      </c>
      <c r="G1723" s="13" t="s">
        <v>16567</v>
      </c>
      <c r="H1723" s="5" t="s">
        <v>16568</v>
      </c>
      <c r="I1723" s="13" t="s">
        <v>16569</v>
      </c>
      <c r="J1723" s="5" t="s">
        <v>16570</v>
      </c>
      <c r="K1723" s="5" t="s">
        <v>16571</v>
      </c>
      <c r="L1723" s="13" t="s">
        <v>16572</v>
      </c>
      <c r="M1723" s="13" t="s">
        <v>16573</v>
      </c>
      <c r="N1723" s="5" t="n">
        <f aca="false">LEN(L1723)</f>
        <v>25</v>
      </c>
      <c r="O1723" s="5" t="n">
        <f aca="false">LEN(M1723)</f>
        <v>25</v>
      </c>
      <c r="P1723" s="14" t="n">
        <f aca="false">IF(N1723=0,"",(N1723-LEN(SUBSTITUTE(SUBSTITUTE(L1723,"G",""),"C","")))/N1723)</f>
        <v>0.4</v>
      </c>
      <c r="Q1723" s="14" t="n">
        <f aca="false">IF(O1723=0,"",(O1723-LEN(SUBSTITUTE(SUBSTITUTE(M1723,"G",""),"C","")))/O1723)</f>
        <v>0.52</v>
      </c>
      <c r="R1723" s="5"/>
      <c r="S1723" s="8" t="s">
        <v>2131</v>
      </c>
      <c r="T1723" s="5"/>
      <c r="U1723" s="5" t="s">
        <v>15244</v>
      </c>
      <c r="V1723" s="5" t="s">
        <v>1549</v>
      </c>
      <c r="W1723" s="5"/>
      <c r="X1723" s="5"/>
      <c r="Y1723" s="5"/>
    </row>
    <row r="1724" customFormat="false" ht="15" hidden="false" customHeight="false" outlineLevel="0" collapsed="false">
      <c r="A1724" s="5" t="s">
        <v>16574</v>
      </c>
      <c r="B1724" s="5" t="s">
        <v>1600</v>
      </c>
      <c r="C1724" s="5" t="s">
        <v>1601</v>
      </c>
      <c r="D1724" s="9" t="s">
        <v>66</v>
      </c>
      <c r="E1724" s="5" t="n">
        <v>1</v>
      </c>
      <c r="F1724" s="5" t="s">
        <v>16575</v>
      </c>
      <c r="G1724" s="13" t="s">
        <v>16576</v>
      </c>
      <c r="H1724" s="5" t="s">
        <v>16577</v>
      </c>
      <c r="I1724" s="13" t="s">
        <v>16578</v>
      </c>
      <c r="J1724" s="5" t="s">
        <v>16579</v>
      </c>
      <c r="K1724" s="5" t="s">
        <v>16580</v>
      </c>
      <c r="L1724" s="13" t="s">
        <v>16581</v>
      </c>
      <c r="M1724" s="13" t="s">
        <v>16582</v>
      </c>
      <c r="N1724" s="5" t="n">
        <f aca="false">LEN(L1724)</f>
        <v>25</v>
      </c>
      <c r="O1724" s="5" t="n">
        <f aca="false">LEN(M1724)</f>
        <v>25</v>
      </c>
      <c r="P1724" s="14" t="n">
        <f aca="false">IF(N1724=0,"",(N1724-LEN(SUBSTITUTE(SUBSTITUTE(L1724,"G",""),"C","")))/N1724)</f>
        <v>0.56</v>
      </c>
      <c r="Q1724" s="14" t="n">
        <f aca="false">IF(O1724=0,"",(O1724-LEN(SUBSTITUTE(SUBSTITUTE(M1724,"G",""),"C","")))/O1724)</f>
        <v>0.56</v>
      </c>
      <c r="R1724" s="5"/>
      <c r="S1724" s="8" t="s">
        <v>2131</v>
      </c>
      <c r="T1724" s="5"/>
      <c r="U1724" s="5" t="s">
        <v>15244</v>
      </c>
      <c r="V1724" s="5" t="s">
        <v>1549</v>
      </c>
      <c r="W1724" s="5"/>
      <c r="X1724" s="5"/>
      <c r="Y1724" s="5"/>
    </row>
    <row r="1725" customFormat="false" ht="15" hidden="false" customHeight="false" outlineLevel="0" collapsed="false">
      <c r="A1725" s="5" t="s">
        <v>16583</v>
      </c>
      <c r="B1725" s="5" t="s">
        <v>1600</v>
      </c>
      <c r="C1725" s="5" t="s">
        <v>1601</v>
      </c>
      <c r="D1725" s="9" t="s">
        <v>66</v>
      </c>
      <c r="E1725" s="5" t="n">
        <v>2</v>
      </c>
      <c r="F1725" s="5" t="s">
        <v>16584</v>
      </c>
      <c r="G1725" s="13" t="s">
        <v>16585</v>
      </c>
      <c r="H1725" s="5" t="s">
        <v>16586</v>
      </c>
      <c r="I1725" s="13" t="s">
        <v>16587</v>
      </c>
      <c r="J1725" s="5" t="s">
        <v>16588</v>
      </c>
      <c r="K1725" s="5" t="s">
        <v>16589</v>
      </c>
      <c r="L1725" s="13" t="s">
        <v>16590</v>
      </c>
      <c r="M1725" s="13" t="s">
        <v>16591</v>
      </c>
      <c r="N1725" s="5" t="n">
        <f aca="false">LEN(L1725)</f>
        <v>25</v>
      </c>
      <c r="O1725" s="5" t="n">
        <f aca="false">LEN(M1725)</f>
        <v>25</v>
      </c>
      <c r="P1725" s="14" t="n">
        <f aca="false">IF(N1725=0,"",(N1725-LEN(SUBSTITUTE(SUBSTITUTE(L1725,"G",""),"C","")))/N1725)</f>
        <v>0.56</v>
      </c>
      <c r="Q1725" s="14" t="n">
        <f aca="false">IF(O1725=0,"",(O1725-LEN(SUBSTITUTE(SUBSTITUTE(M1725,"G",""),"C","")))/O1725)</f>
        <v>0.84</v>
      </c>
      <c r="R1725" s="5"/>
      <c r="S1725" s="8" t="s">
        <v>2131</v>
      </c>
      <c r="T1725" s="5"/>
      <c r="U1725" s="5" t="s">
        <v>15244</v>
      </c>
      <c r="V1725" s="5" t="s">
        <v>1549</v>
      </c>
      <c r="W1725" s="5"/>
      <c r="X1725" s="5"/>
      <c r="Y1725" s="5"/>
    </row>
    <row r="1726" customFormat="false" ht="15" hidden="false" customHeight="false" outlineLevel="0" collapsed="false">
      <c r="A1726" s="5" t="s">
        <v>16592</v>
      </c>
      <c r="B1726" s="5" t="s">
        <v>1600</v>
      </c>
      <c r="C1726" s="5" t="s">
        <v>1601</v>
      </c>
      <c r="D1726" s="9" t="s">
        <v>66</v>
      </c>
      <c r="E1726" s="5" t="n">
        <v>3</v>
      </c>
      <c r="F1726" s="5" t="s">
        <v>16593</v>
      </c>
      <c r="G1726" s="13" t="s">
        <v>16594</v>
      </c>
      <c r="H1726" s="5" t="s">
        <v>16595</v>
      </c>
      <c r="I1726" s="13" t="s">
        <v>16596</v>
      </c>
      <c r="J1726" s="5" t="s">
        <v>16597</v>
      </c>
      <c r="K1726" s="5" t="s">
        <v>16598</v>
      </c>
      <c r="L1726" s="13" t="s">
        <v>16599</v>
      </c>
      <c r="M1726" s="13" t="s">
        <v>16600</v>
      </c>
      <c r="N1726" s="5" t="n">
        <f aca="false">LEN(L1726)</f>
        <v>25</v>
      </c>
      <c r="O1726" s="5" t="n">
        <f aca="false">LEN(M1726)</f>
        <v>25</v>
      </c>
      <c r="P1726" s="14" t="n">
        <f aca="false">IF(N1726=0,"",(N1726-LEN(SUBSTITUTE(SUBSTITUTE(L1726,"G",""),"C","")))/N1726)</f>
        <v>0.56</v>
      </c>
      <c r="Q1726" s="14" t="n">
        <f aca="false">IF(O1726=0,"",(O1726-LEN(SUBSTITUTE(SUBSTITUTE(M1726,"G",""),"C","")))/O1726)</f>
        <v>0.48</v>
      </c>
      <c r="R1726" s="5"/>
      <c r="S1726" s="8" t="s">
        <v>2131</v>
      </c>
      <c r="T1726" s="5"/>
      <c r="U1726" s="5" t="s">
        <v>15244</v>
      </c>
      <c r="V1726" s="5" t="s">
        <v>1549</v>
      </c>
      <c r="W1726" s="5"/>
      <c r="X1726" s="5"/>
      <c r="Y1726" s="5"/>
    </row>
    <row r="1727" customFormat="false" ht="15" hidden="false" customHeight="false" outlineLevel="0" collapsed="false">
      <c r="A1727" s="5" t="s">
        <v>16601</v>
      </c>
      <c r="B1727" s="5" t="s">
        <v>1600</v>
      </c>
      <c r="C1727" s="5" t="s">
        <v>1601</v>
      </c>
      <c r="D1727" s="9" t="s">
        <v>66</v>
      </c>
      <c r="E1727" s="5" t="n">
        <v>4</v>
      </c>
      <c r="F1727" s="5" t="s">
        <v>16602</v>
      </c>
      <c r="G1727" s="13" t="s">
        <v>16603</v>
      </c>
      <c r="H1727" s="5" t="s">
        <v>16604</v>
      </c>
      <c r="I1727" s="13" t="s">
        <v>16605</v>
      </c>
      <c r="J1727" s="5" t="s">
        <v>16606</v>
      </c>
      <c r="K1727" s="5" t="s">
        <v>16607</v>
      </c>
      <c r="L1727" s="13" t="s">
        <v>16608</v>
      </c>
      <c r="M1727" s="13" t="s">
        <v>16609</v>
      </c>
      <c r="N1727" s="5" t="n">
        <f aca="false">LEN(L1727)</f>
        <v>25</v>
      </c>
      <c r="O1727" s="5" t="n">
        <f aca="false">LEN(M1727)</f>
        <v>25</v>
      </c>
      <c r="P1727" s="14" t="n">
        <f aca="false">IF(N1727=0,"",(N1727-LEN(SUBSTITUTE(SUBSTITUTE(L1727,"G",""),"C","")))/N1727)</f>
        <v>0.56</v>
      </c>
      <c r="Q1727" s="14" t="n">
        <f aca="false">IF(O1727=0,"",(O1727-LEN(SUBSTITUTE(SUBSTITUTE(M1727,"G",""),"C","")))/O1727)</f>
        <v>0.6</v>
      </c>
      <c r="R1727" s="5"/>
      <c r="S1727" s="8" t="s">
        <v>2131</v>
      </c>
      <c r="T1727" s="5"/>
      <c r="U1727" s="5" t="s">
        <v>15244</v>
      </c>
      <c r="V1727" s="5" t="s">
        <v>1549</v>
      </c>
      <c r="W1727" s="5"/>
      <c r="X1727" s="5"/>
      <c r="Y1727" s="5"/>
    </row>
    <row r="1728" customFormat="false" ht="15" hidden="false" customHeight="false" outlineLevel="0" collapsed="false">
      <c r="A1728" s="5" t="s">
        <v>16610</v>
      </c>
      <c r="B1728" s="5" t="s">
        <v>1600</v>
      </c>
      <c r="C1728" s="5" t="s">
        <v>1601</v>
      </c>
      <c r="D1728" s="9" t="s">
        <v>66</v>
      </c>
      <c r="E1728" s="5" t="n">
        <v>5</v>
      </c>
      <c r="F1728" s="5" t="s">
        <v>16611</v>
      </c>
      <c r="G1728" s="13" t="s">
        <v>16612</v>
      </c>
      <c r="H1728" s="5" t="s">
        <v>16613</v>
      </c>
      <c r="I1728" s="13" t="s">
        <v>16614</v>
      </c>
      <c r="J1728" s="5" t="s">
        <v>16615</v>
      </c>
      <c r="K1728" s="5" t="s">
        <v>16616</v>
      </c>
      <c r="L1728" s="13" t="s">
        <v>16617</v>
      </c>
      <c r="M1728" s="13" t="s">
        <v>16618</v>
      </c>
      <c r="N1728" s="5" t="n">
        <f aca="false">LEN(L1728)</f>
        <v>25</v>
      </c>
      <c r="O1728" s="5" t="n">
        <f aca="false">LEN(M1728)</f>
        <v>25</v>
      </c>
      <c r="P1728" s="14" t="n">
        <f aca="false">IF(N1728=0,"",(N1728-LEN(SUBSTITUTE(SUBSTITUTE(L1728,"G",""),"C","")))/N1728)</f>
        <v>0.56</v>
      </c>
      <c r="Q1728" s="14" t="n">
        <f aca="false">IF(O1728=0,"",(O1728-LEN(SUBSTITUTE(SUBSTITUTE(M1728,"G",""),"C","")))/O1728)</f>
        <v>0.6</v>
      </c>
      <c r="R1728" s="5"/>
      <c r="S1728" s="8" t="s">
        <v>2131</v>
      </c>
      <c r="T1728" s="5"/>
      <c r="U1728" s="5" t="s">
        <v>15244</v>
      </c>
      <c r="V1728" s="5" t="s">
        <v>1549</v>
      </c>
      <c r="W1728" s="5"/>
      <c r="X1728" s="5"/>
      <c r="Y1728" s="5"/>
    </row>
    <row r="1729" customFormat="false" ht="15" hidden="false" customHeight="false" outlineLevel="0" collapsed="false">
      <c r="A1729" s="5" t="s">
        <v>16619</v>
      </c>
      <c r="B1729" s="5" t="s">
        <v>1600</v>
      </c>
      <c r="C1729" s="5" t="s">
        <v>1601</v>
      </c>
      <c r="D1729" s="9" t="s">
        <v>66</v>
      </c>
      <c r="E1729" s="5" t="n">
        <v>6</v>
      </c>
      <c r="F1729" s="5" t="s">
        <v>16620</v>
      </c>
      <c r="G1729" s="13" t="s">
        <v>16621</v>
      </c>
      <c r="H1729" s="5" t="s">
        <v>16622</v>
      </c>
      <c r="I1729" s="13" t="s">
        <v>16623</v>
      </c>
      <c r="J1729" s="5" t="s">
        <v>16624</v>
      </c>
      <c r="K1729" s="5" t="s">
        <v>16625</v>
      </c>
      <c r="L1729" s="13" t="s">
        <v>16626</v>
      </c>
      <c r="M1729" s="13" t="s">
        <v>16627</v>
      </c>
      <c r="N1729" s="5" t="n">
        <f aca="false">LEN(L1729)</f>
        <v>25</v>
      </c>
      <c r="O1729" s="5" t="n">
        <f aca="false">LEN(M1729)</f>
        <v>25</v>
      </c>
      <c r="P1729" s="14" t="n">
        <f aca="false">IF(N1729=0,"",(N1729-LEN(SUBSTITUTE(SUBSTITUTE(L1729,"G",""),"C","")))/N1729)</f>
        <v>0.56</v>
      </c>
      <c r="Q1729" s="14" t="n">
        <f aca="false">IF(O1729=0,"",(O1729-LEN(SUBSTITUTE(SUBSTITUTE(M1729,"G",""),"C","")))/O1729)</f>
        <v>0.56</v>
      </c>
      <c r="R1729" s="5"/>
      <c r="S1729" s="8" t="s">
        <v>2131</v>
      </c>
      <c r="T1729" s="5"/>
      <c r="U1729" s="5" t="s">
        <v>15244</v>
      </c>
      <c r="V1729" s="5" t="s">
        <v>1549</v>
      </c>
      <c r="W1729" s="5"/>
      <c r="X1729" s="5"/>
      <c r="Y1729" s="5"/>
    </row>
    <row r="1730" customFormat="false" ht="15" hidden="false" customHeight="false" outlineLevel="0" collapsed="false">
      <c r="A1730" s="5" t="s">
        <v>16628</v>
      </c>
      <c r="B1730" s="5" t="s">
        <v>1602</v>
      </c>
      <c r="C1730" s="5" t="s">
        <v>1603</v>
      </c>
      <c r="D1730" s="9" t="s">
        <v>66</v>
      </c>
      <c r="E1730" s="5" t="n">
        <v>1</v>
      </c>
      <c r="F1730" s="5" t="s">
        <v>16629</v>
      </c>
      <c r="G1730" s="13" t="s">
        <v>16630</v>
      </c>
      <c r="H1730" s="5" t="s">
        <v>16631</v>
      </c>
      <c r="I1730" s="13" t="s">
        <v>16632</v>
      </c>
      <c r="J1730" s="5" t="s">
        <v>16633</v>
      </c>
      <c r="K1730" s="5" t="s">
        <v>16634</v>
      </c>
      <c r="L1730" s="13" t="s">
        <v>16635</v>
      </c>
      <c r="M1730" s="13" t="s">
        <v>16636</v>
      </c>
      <c r="N1730" s="5" t="n">
        <f aca="false">LEN(L1730)</f>
        <v>25</v>
      </c>
      <c r="O1730" s="5" t="n">
        <f aca="false">LEN(M1730)</f>
        <v>25</v>
      </c>
      <c r="P1730" s="14" t="n">
        <f aca="false">IF(N1730=0,"",(N1730-LEN(SUBSTITUTE(SUBSTITUTE(L1730,"G",""),"C","")))/N1730)</f>
        <v>0.52</v>
      </c>
      <c r="Q1730" s="14" t="n">
        <f aca="false">IF(O1730=0,"",(O1730-LEN(SUBSTITUTE(SUBSTITUTE(M1730,"G",""),"C","")))/O1730)</f>
        <v>0.6</v>
      </c>
      <c r="R1730" s="5"/>
      <c r="S1730" s="8" t="s">
        <v>2131</v>
      </c>
      <c r="T1730" s="5"/>
      <c r="U1730" s="5" t="s">
        <v>2986</v>
      </c>
      <c r="V1730" s="5" t="s">
        <v>1546</v>
      </c>
      <c r="W1730" s="5" t="s">
        <v>15751</v>
      </c>
      <c r="X1730" s="5"/>
      <c r="Y1730" s="5"/>
    </row>
    <row r="1731" customFormat="false" ht="15" hidden="false" customHeight="false" outlineLevel="0" collapsed="false">
      <c r="A1731" s="5" t="s">
        <v>16637</v>
      </c>
      <c r="B1731" s="5" t="s">
        <v>1602</v>
      </c>
      <c r="C1731" s="5" t="s">
        <v>1603</v>
      </c>
      <c r="D1731" s="9" t="s">
        <v>66</v>
      </c>
      <c r="E1731" s="5" t="n">
        <v>2</v>
      </c>
      <c r="F1731" s="5" t="s">
        <v>16638</v>
      </c>
      <c r="G1731" s="13" t="s">
        <v>16639</v>
      </c>
      <c r="H1731" s="5" t="s">
        <v>16640</v>
      </c>
      <c r="I1731" s="13" t="s">
        <v>16641</v>
      </c>
      <c r="J1731" s="5" t="s">
        <v>16642</v>
      </c>
      <c r="K1731" s="5" t="s">
        <v>16643</v>
      </c>
      <c r="L1731" s="13" t="s">
        <v>16644</v>
      </c>
      <c r="M1731" s="13" t="s">
        <v>16645</v>
      </c>
      <c r="N1731" s="5" t="n">
        <f aca="false">LEN(L1731)</f>
        <v>25</v>
      </c>
      <c r="O1731" s="5" t="n">
        <f aca="false">LEN(M1731)</f>
        <v>25</v>
      </c>
      <c r="P1731" s="14" t="n">
        <f aca="false">IF(N1731=0,"",(N1731-LEN(SUBSTITUTE(SUBSTITUTE(L1731,"G",""),"C","")))/N1731)</f>
        <v>0.44</v>
      </c>
      <c r="Q1731" s="14" t="n">
        <f aca="false">IF(O1731=0,"",(O1731-LEN(SUBSTITUTE(SUBSTITUTE(M1731,"G",""),"C","")))/O1731)</f>
        <v>0.48</v>
      </c>
      <c r="R1731" s="5"/>
      <c r="S1731" s="8" t="s">
        <v>2131</v>
      </c>
      <c r="T1731" s="5"/>
      <c r="U1731" s="5" t="s">
        <v>2986</v>
      </c>
      <c r="V1731" s="5" t="s">
        <v>1546</v>
      </c>
      <c r="W1731" s="5" t="s">
        <v>15751</v>
      </c>
      <c r="X1731" s="5"/>
      <c r="Y1731" s="5"/>
    </row>
    <row r="1732" customFormat="false" ht="15" hidden="false" customHeight="false" outlineLevel="0" collapsed="false">
      <c r="A1732" s="5" t="s">
        <v>16646</v>
      </c>
      <c r="B1732" s="5" t="s">
        <v>1602</v>
      </c>
      <c r="C1732" s="5" t="s">
        <v>1603</v>
      </c>
      <c r="D1732" s="9" t="s">
        <v>66</v>
      </c>
      <c r="E1732" s="5" t="n">
        <v>3</v>
      </c>
      <c r="F1732" s="5" t="s">
        <v>16647</v>
      </c>
      <c r="G1732" s="13" t="s">
        <v>16648</v>
      </c>
      <c r="H1732" s="5" t="s">
        <v>16649</v>
      </c>
      <c r="I1732" s="13" t="s">
        <v>16650</v>
      </c>
      <c r="J1732" s="5" t="s">
        <v>16651</v>
      </c>
      <c r="K1732" s="5" t="s">
        <v>16652</v>
      </c>
      <c r="L1732" s="13" t="s">
        <v>16653</v>
      </c>
      <c r="M1732" s="13" t="s">
        <v>16654</v>
      </c>
      <c r="N1732" s="5" t="n">
        <f aca="false">LEN(L1732)</f>
        <v>25</v>
      </c>
      <c r="O1732" s="5" t="n">
        <f aca="false">LEN(M1732)</f>
        <v>25</v>
      </c>
      <c r="P1732" s="14" t="n">
        <f aca="false">IF(N1732=0,"",(N1732-LEN(SUBSTITUTE(SUBSTITUTE(L1732,"G",""),"C","")))/N1732)</f>
        <v>0.4</v>
      </c>
      <c r="Q1732" s="14" t="n">
        <f aca="false">IF(O1732=0,"",(O1732-LEN(SUBSTITUTE(SUBSTITUTE(M1732,"G",""),"C","")))/O1732)</f>
        <v>0.48</v>
      </c>
      <c r="R1732" s="5"/>
      <c r="S1732" s="8" t="s">
        <v>2131</v>
      </c>
      <c r="T1732" s="5"/>
      <c r="U1732" s="5" t="s">
        <v>2986</v>
      </c>
      <c r="V1732" s="5" t="s">
        <v>1546</v>
      </c>
      <c r="W1732" s="5" t="s">
        <v>15751</v>
      </c>
      <c r="X1732" s="5"/>
      <c r="Y1732" s="5"/>
    </row>
    <row r="1733" customFormat="false" ht="15" hidden="false" customHeight="false" outlineLevel="0" collapsed="false">
      <c r="A1733" s="5" t="s">
        <v>16655</v>
      </c>
      <c r="B1733" s="5" t="s">
        <v>1602</v>
      </c>
      <c r="C1733" s="5" t="s">
        <v>1603</v>
      </c>
      <c r="D1733" s="9" t="s">
        <v>66</v>
      </c>
      <c r="E1733" s="5" t="n">
        <v>4</v>
      </c>
      <c r="F1733" s="5" t="s">
        <v>16656</v>
      </c>
      <c r="G1733" s="13" t="s">
        <v>16657</v>
      </c>
      <c r="H1733" s="5" t="s">
        <v>16658</v>
      </c>
      <c r="I1733" s="13" t="s">
        <v>16659</v>
      </c>
      <c r="J1733" s="5" t="s">
        <v>16660</v>
      </c>
      <c r="K1733" s="5" t="s">
        <v>16661</v>
      </c>
      <c r="L1733" s="13" t="s">
        <v>16662</v>
      </c>
      <c r="M1733" s="13" t="s">
        <v>16663</v>
      </c>
      <c r="N1733" s="5" t="n">
        <f aca="false">LEN(L1733)</f>
        <v>25</v>
      </c>
      <c r="O1733" s="5" t="n">
        <f aca="false">LEN(M1733)</f>
        <v>25</v>
      </c>
      <c r="P1733" s="14" t="n">
        <f aca="false">IF(N1733=0,"",(N1733-LEN(SUBSTITUTE(SUBSTITUTE(L1733,"G",""),"C","")))/N1733)</f>
        <v>0.52</v>
      </c>
      <c r="Q1733" s="14" t="n">
        <f aca="false">IF(O1733=0,"",(O1733-LEN(SUBSTITUTE(SUBSTITUTE(M1733,"G",""),"C","")))/O1733)</f>
        <v>0.56</v>
      </c>
      <c r="R1733" s="5"/>
      <c r="S1733" s="8" t="s">
        <v>2131</v>
      </c>
      <c r="T1733" s="5"/>
      <c r="U1733" s="5" t="s">
        <v>2986</v>
      </c>
      <c r="V1733" s="5" t="s">
        <v>1546</v>
      </c>
      <c r="W1733" s="5" t="s">
        <v>15751</v>
      </c>
      <c r="X1733" s="5"/>
      <c r="Y1733" s="5"/>
    </row>
    <row r="1734" customFormat="false" ht="15" hidden="false" customHeight="false" outlineLevel="0" collapsed="false">
      <c r="A1734" s="5" t="s">
        <v>16664</v>
      </c>
      <c r="B1734" s="5" t="s">
        <v>1602</v>
      </c>
      <c r="C1734" s="5" t="s">
        <v>1603</v>
      </c>
      <c r="D1734" s="9" t="s">
        <v>66</v>
      </c>
      <c r="E1734" s="5" t="n">
        <v>5</v>
      </c>
      <c r="F1734" s="5" t="s">
        <v>16665</v>
      </c>
      <c r="G1734" s="13" t="s">
        <v>16666</v>
      </c>
      <c r="H1734" s="5" t="s">
        <v>16667</v>
      </c>
      <c r="I1734" s="13" t="s">
        <v>16668</v>
      </c>
      <c r="J1734" s="5" t="s">
        <v>16669</v>
      </c>
      <c r="K1734" s="5" t="s">
        <v>16670</v>
      </c>
      <c r="L1734" s="13" t="s">
        <v>16671</v>
      </c>
      <c r="M1734" s="13" t="s">
        <v>16672</v>
      </c>
      <c r="N1734" s="5" t="n">
        <f aca="false">LEN(L1734)</f>
        <v>25</v>
      </c>
      <c r="O1734" s="5" t="n">
        <f aca="false">LEN(M1734)</f>
        <v>25</v>
      </c>
      <c r="P1734" s="14" t="n">
        <f aca="false">IF(N1734=0,"",(N1734-LEN(SUBSTITUTE(SUBSTITUTE(L1734,"G",""),"C","")))/N1734)</f>
        <v>0.6</v>
      </c>
      <c r="Q1734" s="14" t="n">
        <f aca="false">IF(O1734=0,"",(O1734-LEN(SUBSTITUTE(SUBSTITUTE(M1734,"G",""),"C","")))/O1734)</f>
        <v>0.6</v>
      </c>
      <c r="R1734" s="5"/>
      <c r="S1734" s="8" t="s">
        <v>2131</v>
      </c>
      <c r="T1734" s="5"/>
      <c r="U1734" s="5" t="s">
        <v>2986</v>
      </c>
      <c r="V1734" s="5" t="s">
        <v>1546</v>
      </c>
      <c r="W1734" s="5" t="s">
        <v>15751</v>
      </c>
      <c r="X1734" s="5"/>
      <c r="Y1734" s="5"/>
    </row>
    <row r="1735" customFormat="false" ht="15" hidden="false" customHeight="false" outlineLevel="0" collapsed="false">
      <c r="A1735" s="5" t="s">
        <v>16673</v>
      </c>
      <c r="B1735" s="5" t="s">
        <v>1602</v>
      </c>
      <c r="C1735" s="5" t="s">
        <v>1603</v>
      </c>
      <c r="D1735" s="9" t="s">
        <v>66</v>
      </c>
      <c r="E1735" s="5" t="n">
        <v>6</v>
      </c>
      <c r="F1735" s="5" t="s">
        <v>16674</v>
      </c>
      <c r="G1735" s="13" t="s">
        <v>16675</v>
      </c>
      <c r="H1735" s="5" t="s">
        <v>16676</v>
      </c>
      <c r="I1735" s="13" t="s">
        <v>16677</v>
      </c>
      <c r="J1735" s="5" t="s">
        <v>16678</v>
      </c>
      <c r="K1735" s="5" t="s">
        <v>16679</v>
      </c>
      <c r="L1735" s="13" t="s">
        <v>16680</v>
      </c>
      <c r="M1735" s="13" t="s">
        <v>16681</v>
      </c>
      <c r="N1735" s="5" t="n">
        <f aca="false">LEN(L1735)</f>
        <v>25</v>
      </c>
      <c r="O1735" s="5" t="n">
        <f aca="false">LEN(M1735)</f>
        <v>25</v>
      </c>
      <c r="P1735" s="14" t="n">
        <f aca="false">IF(N1735=0,"",(N1735-LEN(SUBSTITUTE(SUBSTITUTE(L1735,"G",""),"C","")))/N1735)</f>
        <v>0.68</v>
      </c>
      <c r="Q1735" s="14" t="n">
        <f aca="false">IF(O1735=0,"",(O1735-LEN(SUBSTITUTE(SUBSTITUTE(M1735,"G",""),"C","")))/O1735)</f>
        <v>0.52</v>
      </c>
      <c r="R1735" s="5"/>
      <c r="S1735" s="8" t="s">
        <v>2131</v>
      </c>
      <c r="T1735" s="5"/>
      <c r="U1735" s="5" t="s">
        <v>2986</v>
      </c>
      <c r="V1735" s="5" t="s">
        <v>1546</v>
      </c>
      <c r="W1735" s="5" t="s">
        <v>15751</v>
      </c>
      <c r="X1735" s="5"/>
      <c r="Y1735" s="5"/>
    </row>
    <row r="1736" customFormat="false" ht="15" hidden="false" customHeight="false" outlineLevel="0" collapsed="false">
      <c r="A1736" s="5" t="s">
        <v>16682</v>
      </c>
      <c r="B1736" s="5" t="s">
        <v>1604</v>
      </c>
      <c r="C1736" s="5" t="s">
        <v>1605</v>
      </c>
      <c r="D1736" s="9" t="s">
        <v>66</v>
      </c>
      <c r="E1736" s="5" t="n">
        <v>1</v>
      </c>
      <c r="F1736" s="5" t="s">
        <v>16683</v>
      </c>
      <c r="G1736" s="13" t="s">
        <v>16684</v>
      </c>
      <c r="H1736" s="5" t="s">
        <v>16685</v>
      </c>
      <c r="I1736" s="13" t="s">
        <v>16686</v>
      </c>
      <c r="J1736" s="5" t="s">
        <v>16687</v>
      </c>
      <c r="K1736" s="5" t="s">
        <v>16688</v>
      </c>
      <c r="L1736" s="13" t="s">
        <v>16689</v>
      </c>
      <c r="M1736" s="13" t="s">
        <v>16690</v>
      </c>
      <c r="N1736" s="5" t="n">
        <f aca="false">LEN(L1736)</f>
        <v>25</v>
      </c>
      <c r="O1736" s="5" t="n">
        <f aca="false">LEN(M1736)</f>
        <v>25</v>
      </c>
      <c r="P1736" s="14" t="n">
        <f aca="false">IF(N1736=0,"",(N1736-LEN(SUBSTITUTE(SUBSTITUTE(L1736,"G",""),"C","")))/N1736)</f>
        <v>0.36</v>
      </c>
      <c r="Q1736" s="14" t="n">
        <f aca="false">IF(O1736=0,"",(O1736-LEN(SUBSTITUTE(SUBSTITUTE(M1736,"G",""),"C","")))/O1736)</f>
        <v>0.48</v>
      </c>
      <c r="R1736" s="5"/>
      <c r="S1736" s="8" t="s">
        <v>2131</v>
      </c>
      <c r="T1736" s="5"/>
      <c r="U1736" s="5" t="s">
        <v>15244</v>
      </c>
      <c r="V1736" s="5" t="s">
        <v>1549</v>
      </c>
      <c r="W1736" s="5"/>
      <c r="X1736" s="5"/>
      <c r="Y1736" s="5"/>
    </row>
    <row r="1737" customFormat="false" ht="15" hidden="false" customHeight="false" outlineLevel="0" collapsed="false">
      <c r="A1737" s="5" t="s">
        <v>16691</v>
      </c>
      <c r="B1737" s="5" t="s">
        <v>1604</v>
      </c>
      <c r="C1737" s="5" t="s">
        <v>1605</v>
      </c>
      <c r="D1737" s="9" t="s">
        <v>66</v>
      </c>
      <c r="E1737" s="5" t="n">
        <v>2</v>
      </c>
      <c r="F1737" s="5" t="s">
        <v>16692</v>
      </c>
      <c r="G1737" s="13" t="s">
        <v>16693</v>
      </c>
      <c r="H1737" s="5" t="s">
        <v>16694</v>
      </c>
      <c r="I1737" s="13" t="s">
        <v>16695</v>
      </c>
      <c r="J1737" s="5" t="s">
        <v>16696</v>
      </c>
      <c r="K1737" s="5" t="s">
        <v>16697</v>
      </c>
      <c r="L1737" s="13" t="s">
        <v>16698</v>
      </c>
      <c r="M1737" s="13" t="s">
        <v>16699</v>
      </c>
      <c r="N1737" s="5" t="n">
        <f aca="false">LEN(L1737)</f>
        <v>25</v>
      </c>
      <c r="O1737" s="5" t="n">
        <f aca="false">LEN(M1737)</f>
        <v>25</v>
      </c>
      <c r="P1737" s="14" t="n">
        <f aca="false">IF(N1737=0,"",(N1737-LEN(SUBSTITUTE(SUBSTITUTE(L1737,"G",""),"C","")))/N1737)</f>
        <v>0.52</v>
      </c>
      <c r="Q1737" s="14" t="n">
        <f aca="false">IF(O1737=0,"",(O1737-LEN(SUBSTITUTE(SUBSTITUTE(M1737,"G",""),"C","")))/O1737)</f>
        <v>0.36</v>
      </c>
      <c r="R1737" s="5"/>
      <c r="S1737" s="8" t="s">
        <v>2131</v>
      </c>
      <c r="T1737" s="5"/>
      <c r="U1737" s="5" t="s">
        <v>15244</v>
      </c>
      <c r="V1737" s="5" t="s">
        <v>1549</v>
      </c>
      <c r="W1737" s="5"/>
      <c r="X1737" s="5"/>
      <c r="Y1737" s="5"/>
    </row>
    <row r="1738" customFormat="false" ht="15" hidden="false" customHeight="false" outlineLevel="0" collapsed="false">
      <c r="A1738" s="5" t="s">
        <v>16700</v>
      </c>
      <c r="B1738" s="5" t="s">
        <v>1604</v>
      </c>
      <c r="C1738" s="5" t="s">
        <v>1605</v>
      </c>
      <c r="D1738" s="9" t="s">
        <v>66</v>
      </c>
      <c r="E1738" s="5" t="n">
        <v>3</v>
      </c>
      <c r="F1738" s="5" t="s">
        <v>16701</v>
      </c>
      <c r="G1738" s="13" t="s">
        <v>16702</v>
      </c>
      <c r="H1738" s="5" t="s">
        <v>16703</v>
      </c>
      <c r="I1738" s="13" t="s">
        <v>16704</v>
      </c>
      <c r="J1738" s="5" t="s">
        <v>16705</v>
      </c>
      <c r="K1738" s="5" t="s">
        <v>16706</v>
      </c>
      <c r="L1738" s="13" t="s">
        <v>16707</v>
      </c>
      <c r="M1738" s="13" t="s">
        <v>16708</v>
      </c>
      <c r="N1738" s="5" t="n">
        <f aca="false">LEN(L1738)</f>
        <v>25</v>
      </c>
      <c r="O1738" s="5" t="n">
        <f aca="false">LEN(M1738)</f>
        <v>25</v>
      </c>
      <c r="P1738" s="14" t="n">
        <f aca="false">IF(N1738=0,"",(N1738-LEN(SUBSTITUTE(SUBSTITUTE(L1738,"G",""),"C","")))/N1738)</f>
        <v>0.44</v>
      </c>
      <c r="Q1738" s="14" t="n">
        <f aca="false">IF(O1738=0,"",(O1738-LEN(SUBSTITUTE(SUBSTITUTE(M1738,"G",""),"C","")))/O1738)</f>
        <v>0.48</v>
      </c>
      <c r="R1738" s="5"/>
      <c r="S1738" s="8" t="s">
        <v>2131</v>
      </c>
      <c r="T1738" s="5"/>
      <c r="U1738" s="5" t="s">
        <v>15244</v>
      </c>
      <c r="V1738" s="5" t="s">
        <v>1549</v>
      </c>
      <c r="W1738" s="5"/>
      <c r="X1738" s="5"/>
      <c r="Y1738" s="5"/>
    </row>
    <row r="1739" customFormat="false" ht="15" hidden="false" customHeight="false" outlineLevel="0" collapsed="false">
      <c r="A1739" s="5" t="s">
        <v>16709</v>
      </c>
      <c r="B1739" s="5" t="s">
        <v>1604</v>
      </c>
      <c r="C1739" s="5" t="s">
        <v>1605</v>
      </c>
      <c r="D1739" s="9" t="s">
        <v>66</v>
      </c>
      <c r="E1739" s="5" t="n">
        <v>4</v>
      </c>
      <c r="F1739" s="5" t="s">
        <v>16710</v>
      </c>
      <c r="G1739" s="13" t="s">
        <v>16711</v>
      </c>
      <c r="H1739" s="5" t="s">
        <v>16712</v>
      </c>
      <c r="I1739" s="13" t="s">
        <v>16713</v>
      </c>
      <c r="J1739" s="5" t="s">
        <v>16714</v>
      </c>
      <c r="K1739" s="5" t="s">
        <v>16715</v>
      </c>
      <c r="L1739" s="13" t="s">
        <v>16716</v>
      </c>
      <c r="M1739" s="13" t="s">
        <v>16717</v>
      </c>
      <c r="N1739" s="5" t="n">
        <f aca="false">LEN(L1739)</f>
        <v>25</v>
      </c>
      <c r="O1739" s="5" t="n">
        <f aca="false">LEN(M1739)</f>
        <v>25</v>
      </c>
      <c r="P1739" s="14" t="n">
        <f aca="false">IF(N1739=0,"",(N1739-LEN(SUBSTITUTE(SUBSTITUTE(L1739,"G",""),"C","")))/N1739)</f>
        <v>0.44</v>
      </c>
      <c r="Q1739" s="14" t="n">
        <f aca="false">IF(O1739=0,"",(O1739-LEN(SUBSTITUTE(SUBSTITUTE(M1739,"G",""),"C","")))/O1739)</f>
        <v>0.4</v>
      </c>
      <c r="R1739" s="5"/>
      <c r="S1739" s="8" t="s">
        <v>2131</v>
      </c>
      <c r="T1739" s="5"/>
      <c r="U1739" s="5" t="s">
        <v>15244</v>
      </c>
      <c r="V1739" s="5" t="s">
        <v>1549</v>
      </c>
      <c r="W1739" s="5"/>
      <c r="X1739" s="5"/>
      <c r="Y1739" s="5"/>
    </row>
    <row r="1740" customFormat="false" ht="15" hidden="false" customHeight="false" outlineLevel="0" collapsed="false">
      <c r="A1740" s="5" t="s">
        <v>16718</v>
      </c>
      <c r="B1740" s="5" t="s">
        <v>1604</v>
      </c>
      <c r="C1740" s="5" t="s">
        <v>1605</v>
      </c>
      <c r="D1740" s="9" t="s">
        <v>66</v>
      </c>
      <c r="E1740" s="5" t="n">
        <v>5</v>
      </c>
      <c r="F1740" s="5" t="s">
        <v>16719</v>
      </c>
      <c r="G1740" s="13" t="s">
        <v>16720</v>
      </c>
      <c r="H1740" s="5" t="s">
        <v>16721</v>
      </c>
      <c r="I1740" s="13" t="s">
        <v>16722</v>
      </c>
      <c r="J1740" s="5" t="s">
        <v>16723</v>
      </c>
      <c r="K1740" s="5" t="s">
        <v>16724</v>
      </c>
      <c r="L1740" s="13" t="s">
        <v>16725</v>
      </c>
      <c r="M1740" s="13" t="s">
        <v>16726</v>
      </c>
      <c r="N1740" s="5" t="n">
        <f aca="false">LEN(L1740)</f>
        <v>25</v>
      </c>
      <c r="O1740" s="5" t="n">
        <f aca="false">LEN(M1740)</f>
        <v>25</v>
      </c>
      <c r="P1740" s="14" t="n">
        <f aca="false">IF(N1740=0,"",(N1740-LEN(SUBSTITUTE(SUBSTITUTE(L1740,"G",""),"C","")))/N1740)</f>
        <v>0.52</v>
      </c>
      <c r="Q1740" s="14" t="n">
        <f aca="false">IF(O1740=0,"",(O1740-LEN(SUBSTITUTE(SUBSTITUTE(M1740,"G",""),"C","")))/O1740)</f>
        <v>0.48</v>
      </c>
      <c r="R1740" s="5"/>
      <c r="S1740" s="8" t="s">
        <v>2131</v>
      </c>
      <c r="T1740" s="5"/>
      <c r="U1740" s="5" t="s">
        <v>15244</v>
      </c>
      <c r="V1740" s="5" t="s">
        <v>1549</v>
      </c>
      <c r="W1740" s="5"/>
      <c r="X1740" s="5"/>
      <c r="Y1740" s="5"/>
    </row>
    <row r="1741" customFormat="false" ht="15" hidden="false" customHeight="false" outlineLevel="0" collapsed="false">
      <c r="A1741" s="5" t="s">
        <v>16727</v>
      </c>
      <c r="B1741" s="5" t="s">
        <v>1604</v>
      </c>
      <c r="C1741" s="5" t="s">
        <v>1605</v>
      </c>
      <c r="D1741" s="9" t="s">
        <v>66</v>
      </c>
      <c r="E1741" s="5" t="n">
        <v>6</v>
      </c>
      <c r="F1741" s="5" t="s">
        <v>16728</v>
      </c>
      <c r="G1741" s="13" t="s">
        <v>16729</v>
      </c>
      <c r="H1741" s="5" t="s">
        <v>16730</v>
      </c>
      <c r="I1741" s="13" t="s">
        <v>16731</v>
      </c>
      <c r="J1741" s="5" t="s">
        <v>16732</v>
      </c>
      <c r="K1741" s="5" t="s">
        <v>16067</v>
      </c>
      <c r="L1741" s="13" t="s">
        <v>16733</v>
      </c>
      <c r="M1741" s="13" t="s">
        <v>16734</v>
      </c>
      <c r="N1741" s="5" t="n">
        <f aca="false">LEN(L1741)</f>
        <v>25</v>
      </c>
      <c r="O1741" s="5" t="n">
        <f aca="false">LEN(M1741)</f>
        <v>25</v>
      </c>
      <c r="P1741" s="14" t="n">
        <f aca="false">IF(N1741=0,"",(N1741-LEN(SUBSTITUTE(SUBSTITUTE(L1741,"G",""),"C","")))/N1741)</f>
        <v>0.68</v>
      </c>
      <c r="Q1741" s="14" t="n">
        <f aca="false">IF(O1741=0,"",(O1741-LEN(SUBSTITUTE(SUBSTITUTE(M1741,"G",""),"C","")))/O1741)</f>
        <v>0.6</v>
      </c>
      <c r="R1741" s="5"/>
      <c r="S1741" s="8" t="s">
        <v>2131</v>
      </c>
      <c r="T1741" s="5"/>
      <c r="U1741" s="5" t="s">
        <v>15244</v>
      </c>
      <c r="V1741" s="5" t="s">
        <v>1549</v>
      </c>
      <c r="W1741" s="5"/>
      <c r="X1741" s="5"/>
      <c r="Y1741" s="8" t="s">
        <v>16735</v>
      </c>
    </row>
    <row r="1742" customFormat="false" ht="15" hidden="false" customHeight="false" outlineLevel="0" collapsed="false">
      <c r="A1742" s="5" t="s">
        <v>16736</v>
      </c>
      <c r="B1742" s="5" t="s">
        <v>1607</v>
      </c>
      <c r="C1742" s="5" t="s">
        <v>1608</v>
      </c>
      <c r="D1742" s="9" t="s">
        <v>66</v>
      </c>
      <c r="E1742" s="5" t="n">
        <v>1</v>
      </c>
      <c r="F1742" s="5" t="s">
        <v>16737</v>
      </c>
      <c r="G1742" s="13" t="s">
        <v>16738</v>
      </c>
      <c r="H1742" s="5" t="s">
        <v>16739</v>
      </c>
      <c r="I1742" s="13" t="s">
        <v>16740</v>
      </c>
      <c r="J1742" s="5" t="s">
        <v>16741</v>
      </c>
      <c r="K1742" s="5" t="s">
        <v>16742</v>
      </c>
      <c r="L1742" s="13" t="s">
        <v>16743</v>
      </c>
      <c r="M1742" s="13" t="s">
        <v>16744</v>
      </c>
      <c r="N1742" s="5" t="n">
        <f aca="false">LEN(L1742)</f>
        <v>25</v>
      </c>
      <c r="O1742" s="5" t="n">
        <f aca="false">LEN(M1742)</f>
        <v>25</v>
      </c>
      <c r="P1742" s="14" t="n">
        <f aca="false">IF(N1742=0,"",(N1742-LEN(SUBSTITUTE(SUBSTITUTE(L1742,"G",""),"C","")))/N1742)</f>
        <v>0.56</v>
      </c>
      <c r="Q1742" s="14" t="n">
        <f aca="false">IF(O1742=0,"",(O1742-LEN(SUBSTITUTE(SUBSTITUTE(M1742,"G",""),"C","")))/O1742)</f>
        <v>0.56</v>
      </c>
      <c r="R1742" s="5"/>
      <c r="S1742" s="8" t="s">
        <v>2131</v>
      </c>
      <c r="T1742" s="5"/>
      <c r="U1742" s="5" t="s">
        <v>2986</v>
      </c>
      <c r="V1742" s="5" t="s">
        <v>1546</v>
      </c>
      <c r="W1742" s="5" t="s">
        <v>15860</v>
      </c>
      <c r="X1742" s="5"/>
      <c r="Y1742" s="5"/>
    </row>
    <row r="1743" customFormat="false" ht="15" hidden="false" customHeight="false" outlineLevel="0" collapsed="false">
      <c r="A1743" s="5" t="s">
        <v>16745</v>
      </c>
      <c r="B1743" s="5" t="s">
        <v>1607</v>
      </c>
      <c r="C1743" s="5" t="s">
        <v>1608</v>
      </c>
      <c r="D1743" s="9" t="s">
        <v>66</v>
      </c>
      <c r="E1743" s="5" t="n">
        <v>2</v>
      </c>
      <c r="F1743" s="5" t="s">
        <v>16746</v>
      </c>
      <c r="G1743" s="13" t="s">
        <v>16747</v>
      </c>
      <c r="H1743" s="5" t="s">
        <v>16748</v>
      </c>
      <c r="I1743" s="13" t="s">
        <v>16749</v>
      </c>
      <c r="J1743" s="5" t="s">
        <v>16750</v>
      </c>
      <c r="K1743" s="5" t="s">
        <v>16751</v>
      </c>
      <c r="L1743" s="13" t="s">
        <v>16752</v>
      </c>
      <c r="M1743" s="13" t="s">
        <v>16753</v>
      </c>
      <c r="N1743" s="5" t="n">
        <f aca="false">LEN(L1743)</f>
        <v>25</v>
      </c>
      <c r="O1743" s="5" t="n">
        <f aca="false">LEN(M1743)</f>
        <v>25</v>
      </c>
      <c r="P1743" s="14" t="n">
        <f aca="false">IF(N1743=0,"",(N1743-LEN(SUBSTITUTE(SUBSTITUTE(L1743,"G",""),"C","")))/N1743)</f>
        <v>0.52</v>
      </c>
      <c r="Q1743" s="14" t="n">
        <f aca="false">IF(O1743=0,"",(O1743-LEN(SUBSTITUTE(SUBSTITUTE(M1743,"G",""),"C","")))/O1743)</f>
        <v>0.56</v>
      </c>
      <c r="R1743" s="5"/>
      <c r="S1743" s="8" t="s">
        <v>2131</v>
      </c>
      <c r="T1743" s="5"/>
      <c r="U1743" s="5" t="s">
        <v>2986</v>
      </c>
      <c r="V1743" s="5" t="s">
        <v>1546</v>
      </c>
      <c r="W1743" s="5" t="s">
        <v>15860</v>
      </c>
      <c r="X1743" s="5"/>
      <c r="Y1743" s="5"/>
    </row>
    <row r="1744" customFormat="false" ht="15" hidden="false" customHeight="false" outlineLevel="0" collapsed="false">
      <c r="A1744" s="5" t="s">
        <v>16754</v>
      </c>
      <c r="B1744" s="5" t="s">
        <v>1607</v>
      </c>
      <c r="C1744" s="5" t="s">
        <v>1608</v>
      </c>
      <c r="D1744" s="9" t="s">
        <v>66</v>
      </c>
      <c r="E1744" s="5" t="n">
        <v>3</v>
      </c>
      <c r="F1744" s="5" t="s">
        <v>16755</v>
      </c>
      <c r="G1744" s="13" t="s">
        <v>16756</v>
      </c>
      <c r="H1744" s="5" t="s">
        <v>16757</v>
      </c>
      <c r="I1744" s="13" t="s">
        <v>16758</v>
      </c>
      <c r="J1744" s="5" t="s">
        <v>16759</v>
      </c>
      <c r="K1744" s="5" t="s">
        <v>16760</v>
      </c>
      <c r="L1744" s="13" t="s">
        <v>16761</v>
      </c>
      <c r="M1744" s="13" t="s">
        <v>16762</v>
      </c>
      <c r="N1744" s="5" t="n">
        <f aca="false">LEN(L1744)</f>
        <v>25</v>
      </c>
      <c r="O1744" s="5" t="n">
        <f aca="false">LEN(M1744)</f>
        <v>25</v>
      </c>
      <c r="P1744" s="14" t="n">
        <f aca="false">IF(N1744=0,"",(N1744-LEN(SUBSTITUTE(SUBSTITUTE(L1744,"G",""),"C","")))/N1744)</f>
        <v>0.52</v>
      </c>
      <c r="Q1744" s="14" t="n">
        <f aca="false">IF(O1744=0,"",(O1744-LEN(SUBSTITUTE(SUBSTITUTE(M1744,"G",""),"C","")))/O1744)</f>
        <v>0.48</v>
      </c>
      <c r="R1744" s="5"/>
      <c r="S1744" s="8" t="s">
        <v>2131</v>
      </c>
      <c r="T1744" s="5"/>
      <c r="U1744" s="5" t="s">
        <v>2986</v>
      </c>
      <c r="V1744" s="5" t="s">
        <v>1546</v>
      </c>
      <c r="W1744" s="5" t="s">
        <v>15860</v>
      </c>
      <c r="X1744" s="5"/>
      <c r="Y1744" s="5"/>
    </row>
    <row r="1745" customFormat="false" ht="15" hidden="false" customHeight="false" outlineLevel="0" collapsed="false">
      <c r="A1745" s="5" t="s">
        <v>16763</v>
      </c>
      <c r="B1745" s="5" t="s">
        <v>1607</v>
      </c>
      <c r="C1745" s="5" t="s">
        <v>1608</v>
      </c>
      <c r="D1745" s="9" t="s">
        <v>66</v>
      </c>
      <c r="E1745" s="5" t="n">
        <v>4</v>
      </c>
      <c r="F1745" s="5" t="s">
        <v>16764</v>
      </c>
      <c r="G1745" s="13" t="s">
        <v>16765</v>
      </c>
      <c r="H1745" s="5" t="s">
        <v>16766</v>
      </c>
      <c r="I1745" s="13" t="s">
        <v>16767</v>
      </c>
      <c r="J1745" s="5" t="s">
        <v>16768</v>
      </c>
      <c r="K1745" s="5" t="s">
        <v>16769</v>
      </c>
      <c r="L1745" s="13" t="s">
        <v>16770</v>
      </c>
      <c r="M1745" s="13" t="s">
        <v>16771</v>
      </c>
      <c r="N1745" s="5" t="n">
        <f aca="false">LEN(L1745)</f>
        <v>25</v>
      </c>
      <c r="O1745" s="5" t="n">
        <f aca="false">LEN(M1745)</f>
        <v>25</v>
      </c>
      <c r="P1745" s="14" t="n">
        <f aca="false">IF(N1745=0,"",(N1745-LEN(SUBSTITUTE(SUBSTITUTE(L1745,"G",""),"C","")))/N1745)</f>
        <v>0.52</v>
      </c>
      <c r="Q1745" s="14" t="n">
        <f aca="false">IF(O1745=0,"",(O1745-LEN(SUBSTITUTE(SUBSTITUTE(M1745,"G",""),"C","")))/O1745)</f>
        <v>0.48</v>
      </c>
      <c r="R1745" s="5"/>
      <c r="S1745" s="8" t="s">
        <v>2131</v>
      </c>
      <c r="T1745" s="5"/>
      <c r="U1745" s="5" t="s">
        <v>2986</v>
      </c>
      <c r="V1745" s="5" t="s">
        <v>1546</v>
      </c>
      <c r="W1745" s="5" t="s">
        <v>15860</v>
      </c>
      <c r="X1745" s="5"/>
      <c r="Y1745" s="5"/>
    </row>
    <row r="1746" customFormat="false" ht="15" hidden="false" customHeight="false" outlineLevel="0" collapsed="false">
      <c r="A1746" s="5" t="s">
        <v>16772</v>
      </c>
      <c r="B1746" s="5" t="s">
        <v>1607</v>
      </c>
      <c r="C1746" s="5" t="s">
        <v>1608</v>
      </c>
      <c r="D1746" s="9" t="s">
        <v>66</v>
      </c>
      <c r="E1746" s="5" t="n">
        <v>5</v>
      </c>
      <c r="F1746" s="5" t="s">
        <v>16773</v>
      </c>
      <c r="G1746" s="13" t="s">
        <v>16774</v>
      </c>
      <c r="H1746" s="5" t="s">
        <v>16775</v>
      </c>
      <c r="I1746" s="13" t="s">
        <v>16776</v>
      </c>
      <c r="J1746" s="5" t="s">
        <v>16777</v>
      </c>
      <c r="K1746" s="5" t="s">
        <v>16778</v>
      </c>
      <c r="L1746" s="13" t="s">
        <v>16779</v>
      </c>
      <c r="M1746" s="13" t="s">
        <v>16780</v>
      </c>
      <c r="N1746" s="5" t="n">
        <f aca="false">LEN(L1746)</f>
        <v>25</v>
      </c>
      <c r="O1746" s="5" t="n">
        <f aca="false">LEN(M1746)</f>
        <v>25</v>
      </c>
      <c r="P1746" s="14" t="n">
        <f aca="false">IF(N1746=0,"",(N1746-LEN(SUBSTITUTE(SUBSTITUTE(L1746,"G",""),"C","")))/N1746)</f>
        <v>0.6</v>
      </c>
      <c r="Q1746" s="14" t="n">
        <f aca="false">IF(O1746=0,"",(O1746-LEN(SUBSTITUTE(SUBSTITUTE(M1746,"G",""),"C","")))/O1746)</f>
        <v>0.56</v>
      </c>
      <c r="R1746" s="5"/>
      <c r="S1746" s="8" t="s">
        <v>2131</v>
      </c>
      <c r="T1746" s="5"/>
      <c r="U1746" s="5" t="s">
        <v>2986</v>
      </c>
      <c r="V1746" s="5" t="s">
        <v>1546</v>
      </c>
      <c r="W1746" s="5" t="s">
        <v>15860</v>
      </c>
      <c r="X1746" s="5"/>
      <c r="Y1746" s="5"/>
    </row>
    <row r="1747" customFormat="false" ht="15" hidden="false" customHeight="false" outlineLevel="0" collapsed="false">
      <c r="A1747" s="5" t="s">
        <v>16781</v>
      </c>
      <c r="B1747" s="5" t="s">
        <v>1607</v>
      </c>
      <c r="C1747" s="5" t="s">
        <v>1608</v>
      </c>
      <c r="D1747" s="9" t="s">
        <v>66</v>
      </c>
      <c r="E1747" s="5" t="n">
        <v>6</v>
      </c>
      <c r="F1747" s="5" t="s">
        <v>16782</v>
      </c>
      <c r="G1747" s="13" t="s">
        <v>16783</v>
      </c>
      <c r="H1747" s="5" t="s">
        <v>16784</v>
      </c>
      <c r="I1747" s="13" t="s">
        <v>16785</v>
      </c>
      <c r="J1747" s="5" t="s">
        <v>16786</v>
      </c>
      <c r="K1747" s="5" t="s">
        <v>16787</v>
      </c>
      <c r="L1747" s="13" t="s">
        <v>16788</v>
      </c>
      <c r="M1747" s="13" t="s">
        <v>16789</v>
      </c>
      <c r="N1747" s="5" t="n">
        <f aca="false">LEN(L1747)</f>
        <v>25</v>
      </c>
      <c r="O1747" s="5" t="n">
        <f aca="false">LEN(M1747)</f>
        <v>25</v>
      </c>
      <c r="P1747" s="14" t="n">
        <f aca="false">IF(N1747=0,"",(N1747-LEN(SUBSTITUTE(SUBSTITUTE(L1747,"G",""),"C","")))/N1747)</f>
        <v>0.48</v>
      </c>
      <c r="Q1747" s="14" t="n">
        <f aca="false">IF(O1747=0,"",(O1747-LEN(SUBSTITUTE(SUBSTITUTE(M1747,"G",""),"C","")))/O1747)</f>
        <v>0.48</v>
      </c>
      <c r="R1747" s="5"/>
      <c r="S1747" s="8" t="s">
        <v>2131</v>
      </c>
      <c r="T1747" s="5"/>
      <c r="U1747" s="5" t="s">
        <v>2986</v>
      </c>
      <c r="V1747" s="5" t="s">
        <v>1546</v>
      </c>
      <c r="W1747" s="5" t="s">
        <v>15860</v>
      </c>
      <c r="X1747" s="5"/>
      <c r="Y1747" s="5"/>
    </row>
    <row r="1748" customFormat="false" ht="15" hidden="false" customHeight="false" outlineLevel="0" collapsed="false">
      <c r="A1748" s="5" t="s">
        <v>16790</v>
      </c>
      <c r="B1748" s="5" t="s">
        <v>1609</v>
      </c>
      <c r="C1748" s="5" t="s">
        <v>1610</v>
      </c>
      <c r="D1748" s="9" t="s">
        <v>66</v>
      </c>
      <c r="E1748" s="5" t="n">
        <v>1</v>
      </c>
      <c r="F1748" s="5" t="s">
        <v>16791</v>
      </c>
      <c r="G1748" s="13" t="s">
        <v>16792</v>
      </c>
      <c r="H1748" s="5" t="s">
        <v>16793</v>
      </c>
      <c r="I1748" s="13" t="s">
        <v>16794</v>
      </c>
      <c r="J1748" s="5" t="s">
        <v>16795</v>
      </c>
      <c r="K1748" s="5" t="s">
        <v>16796</v>
      </c>
      <c r="L1748" s="13" t="s">
        <v>16797</v>
      </c>
      <c r="M1748" s="13" t="s">
        <v>16798</v>
      </c>
      <c r="N1748" s="5" t="n">
        <f aca="false">LEN(L1748)</f>
        <v>25</v>
      </c>
      <c r="O1748" s="5" t="n">
        <f aca="false">LEN(M1748)</f>
        <v>25</v>
      </c>
      <c r="P1748" s="14" t="n">
        <f aca="false">IF(N1748=0,"",(N1748-LEN(SUBSTITUTE(SUBSTITUTE(L1748,"G",""),"C","")))/N1748)</f>
        <v>0.48</v>
      </c>
      <c r="Q1748" s="14" t="n">
        <f aca="false">IF(O1748=0,"",(O1748-LEN(SUBSTITUTE(SUBSTITUTE(M1748,"G",""),"C","")))/O1748)</f>
        <v>0.68</v>
      </c>
      <c r="R1748" s="5"/>
      <c r="S1748" s="8" t="s">
        <v>2131</v>
      </c>
      <c r="T1748" s="5"/>
      <c r="U1748" s="5" t="s">
        <v>2986</v>
      </c>
      <c r="V1748" s="5" t="s">
        <v>1556</v>
      </c>
      <c r="W1748" s="5"/>
      <c r="X1748" s="5"/>
      <c r="Y1748" s="5"/>
    </row>
    <row r="1749" customFormat="false" ht="15" hidden="false" customHeight="false" outlineLevel="0" collapsed="false">
      <c r="A1749" s="5" t="s">
        <v>16799</v>
      </c>
      <c r="B1749" s="5" t="s">
        <v>1609</v>
      </c>
      <c r="C1749" s="5" t="s">
        <v>1610</v>
      </c>
      <c r="D1749" s="9" t="s">
        <v>66</v>
      </c>
      <c r="E1749" s="5" t="n">
        <v>2</v>
      </c>
      <c r="F1749" s="5" t="s">
        <v>16800</v>
      </c>
      <c r="G1749" s="13" t="s">
        <v>16801</v>
      </c>
      <c r="H1749" s="5" t="s">
        <v>16802</v>
      </c>
      <c r="I1749" s="13" t="s">
        <v>16803</v>
      </c>
      <c r="J1749" s="5" t="s">
        <v>16804</v>
      </c>
      <c r="K1749" s="5" t="s">
        <v>16805</v>
      </c>
      <c r="L1749" s="13" t="s">
        <v>16806</v>
      </c>
      <c r="M1749" s="13" t="s">
        <v>16807</v>
      </c>
      <c r="N1749" s="5" t="n">
        <f aca="false">LEN(L1749)</f>
        <v>25</v>
      </c>
      <c r="O1749" s="5" t="n">
        <f aca="false">LEN(M1749)</f>
        <v>25</v>
      </c>
      <c r="P1749" s="14" t="n">
        <f aca="false">IF(N1749=0,"",(N1749-LEN(SUBSTITUTE(SUBSTITUTE(L1749,"G",""),"C","")))/N1749)</f>
        <v>0.76</v>
      </c>
      <c r="Q1749" s="14" t="n">
        <f aca="false">IF(O1749=0,"",(O1749-LEN(SUBSTITUTE(SUBSTITUTE(M1749,"G",""),"C","")))/O1749)</f>
        <v>0.52</v>
      </c>
      <c r="R1749" s="5"/>
      <c r="S1749" s="8" t="s">
        <v>2131</v>
      </c>
      <c r="T1749" s="5"/>
      <c r="U1749" s="5" t="s">
        <v>2986</v>
      </c>
      <c r="V1749" s="5" t="s">
        <v>1556</v>
      </c>
      <c r="W1749" s="5"/>
      <c r="X1749" s="5"/>
      <c r="Y1749" s="5"/>
    </row>
    <row r="1750" customFormat="false" ht="15" hidden="false" customHeight="false" outlineLevel="0" collapsed="false">
      <c r="A1750" s="5" t="s">
        <v>16808</v>
      </c>
      <c r="B1750" s="5" t="s">
        <v>1609</v>
      </c>
      <c r="C1750" s="5" t="s">
        <v>1610</v>
      </c>
      <c r="D1750" s="9" t="s">
        <v>66</v>
      </c>
      <c r="E1750" s="5" t="n">
        <v>3</v>
      </c>
      <c r="F1750" s="5" t="s">
        <v>16809</v>
      </c>
      <c r="G1750" s="13" t="s">
        <v>16810</v>
      </c>
      <c r="H1750" s="5" t="s">
        <v>16811</v>
      </c>
      <c r="I1750" s="13" t="s">
        <v>16812</v>
      </c>
      <c r="J1750" s="5" t="s">
        <v>16813</v>
      </c>
      <c r="K1750" s="5" t="s">
        <v>16814</v>
      </c>
      <c r="L1750" s="13" t="s">
        <v>16815</v>
      </c>
      <c r="M1750" s="13" t="s">
        <v>16816</v>
      </c>
      <c r="N1750" s="5" t="n">
        <f aca="false">LEN(L1750)</f>
        <v>25</v>
      </c>
      <c r="O1750" s="5" t="n">
        <f aca="false">LEN(M1750)</f>
        <v>25</v>
      </c>
      <c r="P1750" s="14" t="n">
        <f aca="false">IF(N1750=0,"",(N1750-LEN(SUBSTITUTE(SUBSTITUTE(L1750,"G",""),"C","")))/N1750)</f>
        <v>0.48</v>
      </c>
      <c r="Q1750" s="14" t="n">
        <f aca="false">IF(O1750=0,"",(O1750-LEN(SUBSTITUTE(SUBSTITUTE(M1750,"G",""),"C","")))/O1750)</f>
        <v>0.44</v>
      </c>
      <c r="R1750" s="5"/>
      <c r="S1750" s="8" t="s">
        <v>2131</v>
      </c>
      <c r="T1750" s="5"/>
      <c r="U1750" s="5" t="s">
        <v>2986</v>
      </c>
      <c r="V1750" s="5" t="s">
        <v>1556</v>
      </c>
      <c r="W1750" s="5"/>
      <c r="X1750" s="5"/>
      <c r="Y1750" s="5"/>
    </row>
    <row r="1751" customFormat="false" ht="15" hidden="false" customHeight="false" outlineLevel="0" collapsed="false">
      <c r="A1751" s="5" t="s">
        <v>16817</v>
      </c>
      <c r="B1751" s="5" t="s">
        <v>1609</v>
      </c>
      <c r="C1751" s="5" t="s">
        <v>1610</v>
      </c>
      <c r="D1751" s="9" t="s">
        <v>66</v>
      </c>
      <c r="E1751" s="5" t="n">
        <v>4</v>
      </c>
      <c r="F1751" s="5" t="s">
        <v>16818</v>
      </c>
      <c r="G1751" s="13" t="s">
        <v>16819</v>
      </c>
      <c r="H1751" s="5" t="s">
        <v>16820</v>
      </c>
      <c r="I1751" s="13" t="s">
        <v>16821</v>
      </c>
      <c r="J1751" s="5" t="s">
        <v>16822</v>
      </c>
      <c r="K1751" s="5" t="s">
        <v>16823</v>
      </c>
      <c r="L1751" s="13" t="s">
        <v>16824</v>
      </c>
      <c r="M1751" s="13" t="s">
        <v>16825</v>
      </c>
      <c r="N1751" s="5" t="n">
        <f aca="false">LEN(L1751)</f>
        <v>25</v>
      </c>
      <c r="O1751" s="5" t="n">
        <f aca="false">LEN(M1751)</f>
        <v>25</v>
      </c>
      <c r="P1751" s="14" t="n">
        <f aca="false">IF(N1751=0,"",(N1751-LEN(SUBSTITUTE(SUBSTITUTE(L1751,"G",""),"C","")))/N1751)</f>
        <v>0.56</v>
      </c>
      <c r="Q1751" s="14" t="n">
        <f aca="false">IF(O1751=0,"",(O1751-LEN(SUBSTITUTE(SUBSTITUTE(M1751,"G",""),"C","")))/O1751)</f>
        <v>0.52</v>
      </c>
      <c r="R1751" s="5"/>
      <c r="S1751" s="8" t="s">
        <v>2131</v>
      </c>
      <c r="T1751" s="5"/>
      <c r="U1751" s="5" t="s">
        <v>2986</v>
      </c>
      <c r="V1751" s="5" t="s">
        <v>1556</v>
      </c>
      <c r="W1751" s="5"/>
      <c r="X1751" s="5"/>
      <c r="Y1751" s="5"/>
    </row>
    <row r="1752" customFormat="false" ht="15" hidden="false" customHeight="false" outlineLevel="0" collapsed="false">
      <c r="A1752" s="5" t="s">
        <v>16826</v>
      </c>
      <c r="B1752" s="5" t="s">
        <v>1609</v>
      </c>
      <c r="C1752" s="5" t="s">
        <v>1610</v>
      </c>
      <c r="D1752" s="9" t="s">
        <v>66</v>
      </c>
      <c r="E1752" s="5" t="n">
        <v>5</v>
      </c>
      <c r="F1752" s="5" t="s">
        <v>16827</v>
      </c>
      <c r="G1752" s="13" t="s">
        <v>16828</v>
      </c>
      <c r="H1752" s="5" t="s">
        <v>16829</v>
      </c>
      <c r="I1752" s="13" t="s">
        <v>16830</v>
      </c>
      <c r="J1752" s="5" t="s">
        <v>16831</v>
      </c>
      <c r="K1752" s="5" t="s">
        <v>16832</v>
      </c>
      <c r="L1752" s="13" t="s">
        <v>16833</v>
      </c>
      <c r="M1752" s="13" t="s">
        <v>16834</v>
      </c>
      <c r="N1752" s="5" t="n">
        <f aca="false">LEN(L1752)</f>
        <v>25</v>
      </c>
      <c r="O1752" s="5" t="n">
        <f aca="false">LEN(M1752)</f>
        <v>25</v>
      </c>
      <c r="P1752" s="14" t="n">
        <f aca="false">IF(N1752=0,"",(N1752-LEN(SUBSTITUTE(SUBSTITUTE(L1752,"G",""),"C","")))/N1752)</f>
        <v>0.52</v>
      </c>
      <c r="Q1752" s="14" t="n">
        <f aca="false">IF(O1752=0,"",(O1752-LEN(SUBSTITUTE(SUBSTITUTE(M1752,"G",""),"C","")))/O1752)</f>
        <v>0.56</v>
      </c>
      <c r="R1752" s="5"/>
      <c r="S1752" s="8" t="s">
        <v>2131</v>
      </c>
      <c r="T1752" s="5"/>
      <c r="U1752" s="5" t="s">
        <v>2986</v>
      </c>
      <c r="V1752" s="5" t="s">
        <v>1556</v>
      </c>
      <c r="W1752" s="5"/>
      <c r="X1752" s="5"/>
      <c r="Y1752" s="5"/>
    </row>
    <row r="1753" customFormat="false" ht="15" hidden="false" customHeight="false" outlineLevel="0" collapsed="false">
      <c r="A1753" s="5" t="s">
        <v>16835</v>
      </c>
      <c r="B1753" s="5" t="s">
        <v>1609</v>
      </c>
      <c r="C1753" s="5" t="s">
        <v>1610</v>
      </c>
      <c r="D1753" s="9" t="s">
        <v>66</v>
      </c>
      <c r="E1753" s="5" t="n">
        <v>6</v>
      </c>
      <c r="F1753" s="5" t="s">
        <v>16836</v>
      </c>
      <c r="G1753" s="13" t="s">
        <v>16837</v>
      </c>
      <c r="H1753" s="5" t="s">
        <v>16838</v>
      </c>
      <c r="I1753" s="13" t="s">
        <v>16839</v>
      </c>
      <c r="J1753" s="5" t="s">
        <v>16840</v>
      </c>
      <c r="K1753" s="5" t="s">
        <v>16841</v>
      </c>
      <c r="L1753" s="13" t="s">
        <v>16842</v>
      </c>
      <c r="M1753" s="13" t="s">
        <v>16843</v>
      </c>
      <c r="N1753" s="5" t="n">
        <f aca="false">LEN(L1753)</f>
        <v>25</v>
      </c>
      <c r="O1753" s="5" t="n">
        <f aca="false">LEN(M1753)</f>
        <v>25</v>
      </c>
      <c r="P1753" s="14" t="n">
        <f aca="false">IF(N1753=0,"",(N1753-LEN(SUBSTITUTE(SUBSTITUTE(L1753,"G",""),"C","")))/N1753)</f>
        <v>0.52</v>
      </c>
      <c r="Q1753" s="14" t="n">
        <f aca="false">IF(O1753=0,"",(O1753-LEN(SUBSTITUTE(SUBSTITUTE(M1753,"G",""),"C","")))/O1753)</f>
        <v>0.64</v>
      </c>
      <c r="R1753" s="5"/>
      <c r="S1753" s="8" t="s">
        <v>2131</v>
      </c>
      <c r="T1753" s="5"/>
      <c r="U1753" s="5" t="s">
        <v>2986</v>
      </c>
      <c r="V1753" s="5" t="s">
        <v>1556</v>
      </c>
      <c r="W1753" s="5"/>
      <c r="X1753" s="5"/>
      <c r="Y1753" s="5"/>
    </row>
    <row r="1754" customFormat="false" ht="15" hidden="false" customHeight="false" outlineLevel="0" collapsed="false">
      <c r="A1754" s="5" t="s">
        <v>16844</v>
      </c>
      <c r="B1754" s="5" t="s">
        <v>1609</v>
      </c>
      <c r="C1754" s="5" t="s">
        <v>1610</v>
      </c>
      <c r="D1754" s="9" t="s">
        <v>66</v>
      </c>
      <c r="E1754" s="5" t="n">
        <v>7</v>
      </c>
      <c r="F1754" s="5" t="s">
        <v>16845</v>
      </c>
      <c r="G1754" s="13" t="s">
        <v>16846</v>
      </c>
      <c r="H1754" s="5" t="s">
        <v>16847</v>
      </c>
      <c r="I1754" s="13" t="s">
        <v>16848</v>
      </c>
      <c r="J1754" s="5" t="s">
        <v>16849</v>
      </c>
      <c r="K1754" s="5" t="s">
        <v>16850</v>
      </c>
      <c r="L1754" s="13" t="s">
        <v>16851</v>
      </c>
      <c r="M1754" s="13" t="s">
        <v>16852</v>
      </c>
      <c r="N1754" s="5" t="n">
        <f aca="false">LEN(L1754)</f>
        <v>25</v>
      </c>
      <c r="O1754" s="5" t="n">
        <f aca="false">LEN(M1754)</f>
        <v>25</v>
      </c>
      <c r="P1754" s="14" t="n">
        <f aca="false">IF(N1754=0,"",(N1754-LEN(SUBSTITUTE(SUBSTITUTE(L1754,"G",""),"C","")))/N1754)</f>
        <v>0.64</v>
      </c>
      <c r="Q1754" s="14" t="n">
        <f aca="false">IF(O1754=0,"",(O1754-LEN(SUBSTITUTE(SUBSTITUTE(M1754,"G",""),"C","")))/O1754)</f>
        <v>0.64</v>
      </c>
      <c r="R1754" s="5"/>
      <c r="S1754" s="8" t="s">
        <v>2131</v>
      </c>
      <c r="T1754" s="5"/>
      <c r="U1754" s="5" t="s">
        <v>2986</v>
      </c>
      <c r="V1754" s="5" t="s">
        <v>1556</v>
      </c>
      <c r="W1754" s="5"/>
      <c r="X1754" s="5"/>
      <c r="Y1754" s="5"/>
    </row>
    <row r="1755" customFormat="false" ht="15" hidden="false" customHeight="false" outlineLevel="0" collapsed="false">
      <c r="A1755" s="5" t="s">
        <v>16853</v>
      </c>
      <c r="B1755" s="5" t="s">
        <v>1609</v>
      </c>
      <c r="C1755" s="5" t="s">
        <v>1610</v>
      </c>
      <c r="D1755" s="9" t="s">
        <v>66</v>
      </c>
      <c r="E1755" s="5" t="n">
        <v>8</v>
      </c>
      <c r="F1755" s="5" t="s">
        <v>16854</v>
      </c>
      <c r="G1755" s="13" t="s">
        <v>16855</v>
      </c>
      <c r="H1755" s="5" t="s">
        <v>16856</v>
      </c>
      <c r="I1755" s="13" t="s">
        <v>16857</v>
      </c>
      <c r="J1755" s="5" t="s">
        <v>16858</v>
      </c>
      <c r="K1755" s="5" t="s">
        <v>16859</v>
      </c>
      <c r="L1755" s="13" t="s">
        <v>16860</v>
      </c>
      <c r="M1755" s="13" t="s">
        <v>16861</v>
      </c>
      <c r="N1755" s="5" t="n">
        <f aca="false">LEN(L1755)</f>
        <v>25</v>
      </c>
      <c r="O1755" s="5" t="n">
        <f aca="false">LEN(M1755)</f>
        <v>25</v>
      </c>
      <c r="P1755" s="14" t="n">
        <f aca="false">IF(N1755=0,"",(N1755-LEN(SUBSTITUTE(SUBSTITUTE(L1755,"G",""),"C","")))/N1755)</f>
        <v>0.44</v>
      </c>
      <c r="Q1755" s="14" t="n">
        <f aca="false">IF(O1755=0,"",(O1755-LEN(SUBSTITUTE(SUBSTITUTE(M1755,"G",""),"C","")))/O1755)</f>
        <v>0.48</v>
      </c>
      <c r="R1755" s="5"/>
      <c r="S1755" s="8" t="s">
        <v>2131</v>
      </c>
      <c r="T1755" s="5"/>
      <c r="U1755" s="5" t="s">
        <v>2986</v>
      </c>
      <c r="V1755" s="5" t="s">
        <v>1556</v>
      </c>
      <c r="W1755" s="5"/>
      <c r="X1755" s="5"/>
      <c r="Y1755" s="5"/>
    </row>
    <row r="1756" customFormat="false" ht="15" hidden="false" customHeight="false" outlineLevel="0" collapsed="false">
      <c r="A1756" s="5" t="s">
        <v>16862</v>
      </c>
      <c r="B1756" s="5" t="s">
        <v>1611</v>
      </c>
      <c r="C1756" s="5" t="s">
        <v>1612</v>
      </c>
      <c r="D1756" s="9" t="s">
        <v>66</v>
      </c>
      <c r="E1756" s="5" t="n">
        <v>1</v>
      </c>
      <c r="F1756" s="5" t="s">
        <v>16863</v>
      </c>
      <c r="G1756" s="13" t="s">
        <v>16864</v>
      </c>
      <c r="H1756" s="5" t="s">
        <v>16865</v>
      </c>
      <c r="I1756" s="13" t="s">
        <v>16866</v>
      </c>
      <c r="J1756" s="5" t="s">
        <v>16867</v>
      </c>
      <c r="K1756" s="5" t="s">
        <v>16868</v>
      </c>
      <c r="L1756" s="13" t="s">
        <v>16869</v>
      </c>
      <c r="M1756" s="13" t="s">
        <v>16870</v>
      </c>
      <c r="N1756" s="5" t="n">
        <f aca="false">LEN(L1756)</f>
        <v>25</v>
      </c>
      <c r="O1756" s="5" t="n">
        <f aca="false">LEN(M1756)</f>
        <v>25</v>
      </c>
      <c r="P1756" s="14" t="n">
        <f aca="false">IF(N1756=0,"",(N1756-LEN(SUBSTITUTE(SUBSTITUTE(L1756,"G",""),"C","")))/N1756)</f>
        <v>0.48</v>
      </c>
      <c r="Q1756" s="14" t="n">
        <f aca="false">IF(O1756=0,"",(O1756-LEN(SUBSTITUTE(SUBSTITUTE(M1756,"G",""),"C","")))/O1756)</f>
        <v>0.4</v>
      </c>
      <c r="R1756" s="5"/>
      <c r="S1756" s="8" t="s">
        <v>2131</v>
      </c>
      <c r="T1756" s="5"/>
      <c r="U1756" s="5" t="s">
        <v>2986</v>
      </c>
      <c r="V1756" s="5" t="s">
        <v>1546</v>
      </c>
      <c r="W1756" s="5" t="s">
        <v>15952</v>
      </c>
      <c r="X1756" s="5"/>
      <c r="Y1756" s="5"/>
    </row>
    <row r="1757" customFormat="false" ht="15" hidden="false" customHeight="false" outlineLevel="0" collapsed="false">
      <c r="A1757" s="5" t="s">
        <v>16871</v>
      </c>
      <c r="B1757" s="5" t="s">
        <v>1611</v>
      </c>
      <c r="C1757" s="5" t="s">
        <v>1612</v>
      </c>
      <c r="D1757" s="9" t="s">
        <v>66</v>
      </c>
      <c r="E1757" s="5" t="n">
        <v>2</v>
      </c>
      <c r="F1757" s="5" t="s">
        <v>16872</v>
      </c>
      <c r="G1757" s="13" t="s">
        <v>16873</v>
      </c>
      <c r="H1757" s="5" t="s">
        <v>16874</v>
      </c>
      <c r="I1757" s="13" t="s">
        <v>16875</v>
      </c>
      <c r="J1757" s="5" t="s">
        <v>16876</v>
      </c>
      <c r="K1757" s="5" t="s">
        <v>16877</v>
      </c>
      <c r="L1757" s="13" t="s">
        <v>16878</v>
      </c>
      <c r="M1757" s="13" t="s">
        <v>16879</v>
      </c>
      <c r="N1757" s="5" t="n">
        <f aca="false">LEN(L1757)</f>
        <v>25</v>
      </c>
      <c r="O1757" s="5" t="n">
        <f aca="false">LEN(M1757)</f>
        <v>25</v>
      </c>
      <c r="P1757" s="14" t="n">
        <f aca="false">IF(N1757=0,"",(N1757-LEN(SUBSTITUTE(SUBSTITUTE(L1757,"G",""),"C","")))/N1757)</f>
        <v>0.36</v>
      </c>
      <c r="Q1757" s="14" t="n">
        <f aca="false">IF(O1757=0,"",(O1757-LEN(SUBSTITUTE(SUBSTITUTE(M1757,"G",""),"C","")))/O1757)</f>
        <v>0.52</v>
      </c>
      <c r="R1757" s="5"/>
      <c r="S1757" s="8" t="s">
        <v>2131</v>
      </c>
      <c r="T1757" s="5"/>
      <c r="U1757" s="5" t="s">
        <v>2986</v>
      </c>
      <c r="V1757" s="5" t="s">
        <v>1546</v>
      </c>
      <c r="W1757" s="5" t="s">
        <v>15952</v>
      </c>
      <c r="X1757" s="5"/>
      <c r="Y1757" s="5"/>
    </row>
    <row r="1758" customFormat="false" ht="15" hidden="false" customHeight="false" outlineLevel="0" collapsed="false">
      <c r="A1758" s="5" t="s">
        <v>16880</v>
      </c>
      <c r="B1758" s="5" t="s">
        <v>1611</v>
      </c>
      <c r="C1758" s="5" t="s">
        <v>1612</v>
      </c>
      <c r="D1758" s="9" t="s">
        <v>66</v>
      </c>
      <c r="E1758" s="5" t="n">
        <v>3</v>
      </c>
      <c r="F1758" s="5" t="s">
        <v>16881</v>
      </c>
      <c r="G1758" s="13" t="s">
        <v>16882</v>
      </c>
      <c r="H1758" s="5" t="s">
        <v>16883</v>
      </c>
      <c r="I1758" s="13" t="s">
        <v>16884</v>
      </c>
      <c r="J1758" s="5" t="s">
        <v>16885</v>
      </c>
      <c r="K1758" s="5" t="s">
        <v>16886</v>
      </c>
      <c r="L1758" s="13" t="s">
        <v>16887</v>
      </c>
      <c r="M1758" s="13" t="s">
        <v>16888</v>
      </c>
      <c r="N1758" s="5" t="n">
        <f aca="false">LEN(L1758)</f>
        <v>25</v>
      </c>
      <c r="O1758" s="5" t="n">
        <f aca="false">LEN(M1758)</f>
        <v>25</v>
      </c>
      <c r="P1758" s="14" t="n">
        <f aca="false">IF(N1758=0,"",(N1758-LEN(SUBSTITUTE(SUBSTITUTE(L1758,"G",""),"C","")))/N1758)</f>
        <v>0.56</v>
      </c>
      <c r="Q1758" s="14" t="n">
        <f aca="false">IF(O1758=0,"",(O1758-LEN(SUBSTITUTE(SUBSTITUTE(M1758,"G",""),"C","")))/O1758)</f>
        <v>0.48</v>
      </c>
      <c r="R1758" s="5"/>
      <c r="S1758" s="8" t="s">
        <v>2131</v>
      </c>
      <c r="T1758" s="5"/>
      <c r="U1758" s="5" t="s">
        <v>2986</v>
      </c>
      <c r="V1758" s="5" t="s">
        <v>1546</v>
      </c>
      <c r="W1758" s="5" t="s">
        <v>15952</v>
      </c>
      <c r="X1758" s="5"/>
      <c r="Y1758" s="5"/>
    </row>
    <row r="1759" customFormat="false" ht="15" hidden="false" customHeight="false" outlineLevel="0" collapsed="false">
      <c r="A1759" s="5" t="s">
        <v>16889</v>
      </c>
      <c r="B1759" s="5" t="s">
        <v>1611</v>
      </c>
      <c r="C1759" s="5" t="s">
        <v>1612</v>
      </c>
      <c r="D1759" s="9" t="s">
        <v>66</v>
      </c>
      <c r="E1759" s="5" t="n">
        <v>4</v>
      </c>
      <c r="F1759" s="5" t="s">
        <v>16890</v>
      </c>
      <c r="G1759" s="13" t="s">
        <v>16891</v>
      </c>
      <c r="H1759" s="5" t="s">
        <v>16892</v>
      </c>
      <c r="I1759" s="13" t="s">
        <v>16893</v>
      </c>
      <c r="J1759" s="5" t="s">
        <v>16894</v>
      </c>
      <c r="K1759" s="5" t="s">
        <v>16895</v>
      </c>
      <c r="L1759" s="13" t="s">
        <v>16896</v>
      </c>
      <c r="M1759" s="13" t="s">
        <v>16897</v>
      </c>
      <c r="N1759" s="5" t="n">
        <f aca="false">LEN(L1759)</f>
        <v>25</v>
      </c>
      <c r="O1759" s="5" t="n">
        <f aca="false">LEN(M1759)</f>
        <v>25</v>
      </c>
      <c r="P1759" s="14" t="n">
        <f aca="false">IF(N1759=0,"",(N1759-LEN(SUBSTITUTE(SUBSTITUTE(L1759,"G",""),"C","")))/N1759)</f>
        <v>0.52</v>
      </c>
      <c r="Q1759" s="14" t="n">
        <f aca="false">IF(O1759=0,"",(O1759-LEN(SUBSTITUTE(SUBSTITUTE(M1759,"G",""),"C","")))/O1759)</f>
        <v>0.32</v>
      </c>
      <c r="R1759" s="5"/>
      <c r="S1759" s="8" t="s">
        <v>2131</v>
      </c>
      <c r="T1759" s="5"/>
      <c r="U1759" s="5" t="s">
        <v>2986</v>
      </c>
      <c r="V1759" s="5" t="s">
        <v>1546</v>
      </c>
      <c r="W1759" s="5" t="s">
        <v>15952</v>
      </c>
      <c r="X1759" s="5"/>
      <c r="Y1759" s="5"/>
    </row>
    <row r="1760" customFormat="false" ht="15" hidden="false" customHeight="false" outlineLevel="0" collapsed="false">
      <c r="A1760" s="5" t="s">
        <v>16898</v>
      </c>
      <c r="B1760" s="5" t="s">
        <v>1611</v>
      </c>
      <c r="C1760" s="5" t="s">
        <v>1612</v>
      </c>
      <c r="D1760" s="9" t="s">
        <v>66</v>
      </c>
      <c r="E1760" s="5" t="n">
        <v>5</v>
      </c>
      <c r="F1760" s="5" t="s">
        <v>16899</v>
      </c>
      <c r="G1760" s="13" t="s">
        <v>16900</v>
      </c>
      <c r="H1760" s="5" t="s">
        <v>16901</v>
      </c>
      <c r="I1760" s="13" t="s">
        <v>16902</v>
      </c>
      <c r="J1760" s="5" t="s">
        <v>16903</v>
      </c>
      <c r="K1760" s="5" t="s">
        <v>16904</v>
      </c>
      <c r="L1760" s="13" t="s">
        <v>16905</v>
      </c>
      <c r="M1760" s="13" t="s">
        <v>16906</v>
      </c>
      <c r="N1760" s="5" t="n">
        <f aca="false">LEN(L1760)</f>
        <v>25</v>
      </c>
      <c r="O1760" s="5" t="n">
        <f aca="false">LEN(M1760)</f>
        <v>25</v>
      </c>
      <c r="P1760" s="14" t="n">
        <f aca="false">IF(N1760=0,"",(N1760-LEN(SUBSTITUTE(SUBSTITUTE(L1760,"G",""),"C","")))/N1760)</f>
        <v>0.6</v>
      </c>
      <c r="Q1760" s="14" t="n">
        <f aca="false">IF(O1760=0,"",(O1760-LEN(SUBSTITUTE(SUBSTITUTE(M1760,"G",""),"C","")))/O1760)</f>
        <v>0.48</v>
      </c>
      <c r="R1760" s="5"/>
      <c r="S1760" s="8" t="s">
        <v>2131</v>
      </c>
      <c r="T1760" s="5"/>
      <c r="U1760" s="5" t="s">
        <v>2986</v>
      </c>
      <c r="V1760" s="5" t="s">
        <v>1546</v>
      </c>
      <c r="W1760" s="5" t="s">
        <v>15952</v>
      </c>
      <c r="X1760" s="5"/>
      <c r="Y1760" s="5"/>
    </row>
    <row r="1761" customFormat="false" ht="15" hidden="false" customHeight="false" outlineLevel="0" collapsed="false">
      <c r="A1761" s="5" t="s">
        <v>16907</v>
      </c>
      <c r="B1761" s="5" t="s">
        <v>1611</v>
      </c>
      <c r="C1761" s="5" t="s">
        <v>1612</v>
      </c>
      <c r="D1761" s="9" t="s">
        <v>66</v>
      </c>
      <c r="E1761" s="5" t="n">
        <v>6</v>
      </c>
      <c r="F1761" s="5" t="s">
        <v>16908</v>
      </c>
      <c r="G1761" s="13" t="s">
        <v>16909</v>
      </c>
      <c r="H1761" s="5" t="s">
        <v>16910</v>
      </c>
      <c r="I1761" s="13" t="s">
        <v>16911</v>
      </c>
      <c r="J1761" s="5" t="s">
        <v>16912</v>
      </c>
      <c r="K1761" s="5" t="s">
        <v>16913</v>
      </c>
      <c r="L1761" s="13" t="s">
        <v>16914</v>
      </c>
      <c r="M1761" s="13" t="s">
        <v>16915</v>
      </c>
      <c r="N1761" s="5" t="n">
        <f aca="false">LEN(L1761)</f>
        <v>25</v>
      </c>
      <c r="O1761" s="5" t="n">
        <f aca="false">LEN(M1761)</f>
        <v>25</v>
      </c>
      <c r="P1761" s="14" t="n">
        <f aca="false">IF(N1761=0,"",(N1761-LEN(SUBSTITUTE(SUBSTITUTE(L1761,"G",""),"C","")))/N1761)</f>
        <v>0.52</v>
      </c>
      <c r="Q1761" s="14" t="n">
        <f aca="false">IF(O1761=0,"",(O1761-LEN(SUBSTITUTE(SUBSTITUTE(M1761,"G",""),"C","")))/O1761)</f>
        <v>0.44</v>
      </c>
      <c r="R1761" s="5"/>
      <c r="S1761" s="8" t="s">
        <v>2131</v>
      </c>
      <c r="T1761" s="5"/>
      <c r="U1761" s="5" t="s">
        <v>2986</v>
      </c>
      <c r="V1761" s="5" t="s">
        <v>1546</v>
      </c>
      <c r="W1761" s="5" t="s">
        <v>15952</v>
      </c>
      <c r="X1761" s="5"/>
      <c r="Y1761" s="5"/>
    </row>
    <row r="1762" customFormat="false" ht="15" hidden="false" customHeight="false" outlineLevel="0" collapsed="false">
      <c r="A1762" s="5" t="s">
        <v>16916</v>
      </c>
      <c r="B1762" s="5" t="s">
        <v>1613</v>
      </c>
      <c r="C1762" s="5" t="s">
        <v>1614</v>
      </c>
      <c r="D1762" s="10" t="s">
        <v>137</v>
      </c>
      <c r="E1762" s="5" t="n">
        <v>1</v>
      </c>
      <c r="F1762" s="5" t="s">
        <v>16917</v>
      </c>
      <c r="G1762" s="13" t="s">
        <v>16918</v>
      </c>
      <c r="H1762" s="5" t="s">
        <v>16919</v>
      </c>
      <c r="I1762" s="13" t="s">
        <v>16920</v>
      </c>
      <c r="J1762" s="5" t="s">
        <v>16921</v>
      </c>
      <c r="K1762" s="5" t="s">
        <v>16922</v>
      </c>
      <c r="L1762" s="13" t="s">
        <v>16923</v>
      </c>
      <c r="M1762" s="13" t="s">
        <v>16924</v>
      </c>
      <c r="N1762" s="5" t="n">
        <f aca="false">LEN(L1762)</f>
        <v>25</v>
      </c>
      <c r="O1762" s="5" t="n">
        <f aca="false">LEN(M1762)</f>
        <v>25</v>
      </c>
      <c r="P1762" s="14" t="n">
        <f aca="false">IF(N1762=0,"",(N1762-LEN(SUBSTITUTE(SUBSTITUTE(L1762,"G",""),"C","")))/N1762)</f>
        <v>0.52</v>
      </c>
      <c r="Q1762" s="14" t="n">
        <f aca="false">IF(O1762=0,"",(O1762-LEN(SUBSTITUTE(SUBSTITUTE(M1762,"G",""),"C","")))/O1762)</f>
        <v>0.64</v>
      </c>
      <c r="R1762" s="5"/>
      <c r="S1762" s="8" t="s">
        <v>2131</v>
      </c>
      <c r="T1762" s="5"/>
      <c r="U1762" s="5" t="s">
        <v>2986</v>
      </c>
      <c r="V1762" s="5" t="s">
        <v>1546</v>
      </c>
      <c r="W1762" s="5" t="s">
        <v>15189</v>
      </c>
      <c r="X1762" s="5"/>
      <c r="Y1762" s="5"/>
    </row>
    <row r="1763" customFormat="false" ht="15" hidden="false" customHeight="false" outlineLevel="0" collapsed="false">
      <c r="A1763" s="5" t="s">
        <v>16925</v>
      </c>
      <c r="B1763" s="5" t="s">
        <v>1613</v>
      </c>
      <c r="C1763" s="5" t="s">
        <v>1614</v>
      </c>
      <c r="D1763" s="10" t="s">
        <v>137</v>
      </c>
      <c r="E1763" s="5" t="n">
        <v>2</v>
      </c>
      <c r="F1763" s="5" t="s">
        <v>16926</v>
      </c>
      <c r="G1763" s="13" t="s">
        <v>16927</v>
      </c>
      <c r="H1763" s="5" t="s">
        <v>16928</v>
      </c>
      <c r="I1763" s="13" t="s">
        <v>16929</v>
      </c>
      <c r="J1763" s="5" t="s">
        <v>16930</v>
      </c>
      <c r="K1763" s="5" t="s">
        <v>16931</v>
      </c>
      <c r="L1763" s="13" t="s">
        <v>16932</v>
      </c>
      <c r="M1763" s="13" t="s">
        <v>16933</v>
      </c>
      <c r="N1763" s="5" t="n">
        <f aca="false">LEN(L1763)</f>
        <v>25</v>
      </c>
      <c r="O1763" s="5" t="n">
        <f aca="false">LEN(M1763)</f>
        <v>25</v>
      </c>
      <c r="P1763" s="14" t="n">
        <f aca="false">IF(N1763=0,"",(N1763-LEN(SUBSTITUTE(SUBSTITUTE(L1763,"G",""),"C","")))/N1763)</f>
        <v>0.72</v>
      </c>
      <c r="Q1763" s="14" t="n">
        <f aca="false">IF(O1763=0,"",(O1763-LEN(SUBSTITUTE(SUBSTITUTE(M1763,"G",""),"C","")))/O1763)</f>
        <v>0.48</v>
      </c>
      <c r="R1763" s="5"/>
      <c r="S1763" s="8" t="s">
        <v>2131</v>
      </c>
      <c r="T1763" s="5"/>
      <c r="U1763" s="5" t="s">
        <v>2986</v>
      </c>
      <c r="V1763" s="5" t="s">
        <v>1546</v>
      </c>
      <c r="W1763" s="5" t="s">
        <v>15189</v>
      </c>
      <c r="X1763" s="5"/>
      <c r="Y1763" s="5"/>
    </row>
    <row r="1764" customFormat="false" ht="15" hidden="false" customHeight="false" outlineLevel="0" collapsed="false">
      <c r="A1764" s="5" t="s">
        <v>16934</v>
      </c>
      <c r="B1764" s="5" t="s">
        <v>1613</v>
      </c>
      <c r="C1764" s="5" t="s">
        <v>1614</v>
      </c>
      <c r="D1764" s="10" t="s">
        <v>137</v>
      </c>
      <c r="E1764" s="5" t="n">
        <v>3</v>
      </c>
      <c r="F1764" s="5" t="s">
        <v>16935</v>
      </c>
      <c r="G1764" s="13" t="s">
        <v>16936</v>
      </c>
      <c r="H1764" s="5" t="s">
        <v>16937</v>
      </c>
      <c r="I1764" s="13" t="s">
        <v>16938</v>
      </c>
      <c r="J1764" s="5" t="s">
        <v>16939</v>
      </c>
      <c r="K1764" s="5" t="s">
        <v>16940</v>
      </c>
      <c r="L1764" s="13" t="s">
        <v>16941</v>
      </c>
      <c r="M1764" s="13" t="s">
        <v>16942</v>
      </c>
      <c r="N1764" s="5" t="n">
        <f aca="false">LEN(L1764)</f>
        <v>25</v>
      </c>
      <c r="O1764" s="5" t="n">
        <f aca="false">LEN(M1764)</f>
        <v>25</v>
      </c>
      <c r="P1764" s="14" t="n">
        <f aca="false">IF(N1764=0,"",(N1764-LEN(SUBSTITUTE(SUBSTITUTE(L1764,"G",""),"C","")))/N1764)</f>
        <v>0.48</v>
      </c>
      <c r="Q1764" s="14" t="n">
        <f aca="false">IF(O1764=0,"",(O1764-LEN(SUBSTITUTE(SUBSTITUTE(M1764,"G",""),"C","")))/O1764)</f>
        <v>0.52</v>
      </c>
      <c r="R1764" s="5"/>
      <c r="S1764" s="8" t="s">
        <v>2131</v>
      </c>
      <c r="T1764" s="5"/>
      <c r="U1764" s="5" t="s">
        <v>2986</v>
      </c>
      <c r="V1764" s="5" t="s">
        <v>1546</v>
      </c>
      <c r="W1764" s="5" t="s">
        <v>15189</v>
      </c>
      <c r="X1764" s="5"/>
      <c r="Y1764" s="5"/>
    </row>
    <row r="1765" customFormat="false" ht="15" hidden="false" customHeight="false" outlineLevel="0" collapsed="false">
      <c r="A1765" s="5" t="s">
        <v>16943</v>
      </c>
      <c r="B1765" s="5" t="s">
        <v>1613</v>
      </c>
      <c r="C1765" s="5" t="s">
        <v>1614</v>
      </c>
      <c r="D1765" s="10" t="s">
        <v>137</v>
      </c>
      <c r="E1765" s="5" t="n">
        <v>4</v>
      </c>
      <c r="F1765" s="5" t="s">
        <v>16944</v>
      </c>
      <c r="G1765" s="13" t="s">
        <v>16945</v>
      </c>
      <c r="H1765" s="5" t="s">
        <v>16946</v>
      </c>
      <c r="I1765" s="13" t="s">
        <v>16947</v>
      </c>
      <c r="J1765" s="5" t="s">
        <v>16948</v>
      </c>
      <c r="K1765" s="5" t="s">
        <v>16949</v>
      </c>
      <c r="L1765" s="13" t="s">
        <v>16950</v>
      </c>
      <c r="M1765" s="13" t="s">
        <v>16951</v>
      </c>
      <c r="N1765" s="5" t="n">
        <f aca="false">LEN(L1765)</f>
        <v>25</v>
      </c>
      <c r="O1765" s="5" t="n">
        <f aca="false">LEN(M1765)</f>
        <v>25</v>
      </c>
      <c r="P1765" s="14" t="n">
        <f aca="false">IF(N1765=0,"",(N1765-LEN(SUBSTITUTE(SUBSTITUTE(L1765,"G",""),"C","")))/N1765)</f>
        <v>0.52</v>
      </c>
      <c r="Q1765" s="14" t="n">
        <f aca="false">IF(O1765=0,"",(O1765-LEN(SUBSTITUTE(SUBSTITUTE(M1765,"G",""),"C","")))/O1765)</f>
        <v>0.36</v>
      </c>
      <c r="R1765" s="5"/>
      <c r="S1765" s="8" t="s">
        <v>2131</v>
      </c>
      <c r="T1765" s="5"/>
      <c r="U1765" s="5" t="s">
        <v>2986</v>
      </c>
      <c r="V1765" s="5" t="s">
        <v>1546</v>
      </c>
      <c r="W1765" s="5" t="s">
        <v>15189</v>
      </c>
      <c r="X1765" s="5"/>
      <c r="Y1765" s="5"/>
    </row>
    <row r="1766" customFormat="false" ht="15" hidden="false" customHeight="false" outlineLevel="0" collapsed="false">
      <c r="A1766" s="5" t="s">
        <v>16952</v>
      </c>
      <c r="B1766" s="5" t="s">
        <v>1613</v>
      </c>
      <c r="C1766" s="5" t="s">
        <v>1614</v>
      </c>
      <c r="D1766" s="10" t="s">
        <v>137</v>
      </c>
      <c r="E1766" s="5" t="n">
        <v>5</v>
      </c>
      <c r="F1766" s="5" t="s">
        <v>16953</v>
      </c>
      <c r="G1766" s="13" t="s">
        <v>16954</v>
      </c>
      <c r="H1766" s="5" t="s">
        <v>16955</v>
      </c>
      <c r="I1766" s="13" t="s">
        <v>16956</v>
      </c>
      <c r="J1766" s="5" t="s">
        <v>16957</v>
      </c>
      <c r="K1766" s="5" t="s">
        <v>16958</v>
      </c>
      <c r="L1766" s="13" t="s">
        <v>16959</v>
      </c>
      <c r="M1766" s="13" t="s">
        <v>16960</v>
      </c>
      <c r="N1766" s="5" t="n">
        <f aca="false">LEN(L1766)</f>
        <v>25</v>
      </c>
      <c r="O1766" s="5" t="n">
        <f aca="false">LEN(M1766)</f>
        <v>25</v>
      </c>
      <c r="P1766" s="14" t="n">
        <f aca="false">IF(N1766=0,"",(N1766-LEN(SUBSTITUTE(SUBSTITUTE(L1766,"G",""),"C","")))/N1766)</f>
        <v>0.44</v>
      </c>
      <c r="Q1766" s="14" t="n">
        <f aca="false">IF(O1766=0,"",(O1766-LEN(SUBSTITUTE(SUBSTITUTE(M1766,"G",""),"C","")))/O1766)</f>
        <v>0.4</v>
      </c>
      <c r="R1766" s="5"/>
      <c r="S1766" s="8" t="s">
        <v>2131</v>
      </c>
      <c r="T1766" s="5"/>
      <c r="U1766" s="5" t="s">
        <v>2986</v>
      </c>
      <c r="V1766" s="5" t="s">
        <v>1546</v>
      </c>
      <c r="W1766" s="5" t="s">
        <v>15189</v>
      </c>
      <c r="X1766" s="5"/>
      <c r="Y1766" s="5"/>
    </row>
    <row r="1767" customFormat="false" ht="15" hidden="false" customHeight="false" outlineLevel="0" collapsed="false">
      <c r="A1767" s="5" t="s">
        <v>16961</v>
      </c>
      <c r="B1767" s="5" t="s">
        <v>1613</v>
      </c>
      <c r="C1767" s="5" t="s">
        <v>1614</v>
      </c>
      <c r="D1767" s="10" t="s">
        <v>137</v>
      </c>
      <c r="E1767" s="5" t="n">
        <v>6</v>
      </c>
      <c r="F1767" s="5" t="s">
        <v>16962</v>
      </c>
      <c r="G1767" s="13" t="s">
        <v>16963</v>
      </c>
      <c r="H1767" s="5" t="s">
        <v>16964</v>
      </c>
      <c r="I1767" s="13" t="s">
        <v>16965</v>
      </c>
      <c r="J1767" s="5" t="s">
        <v>16966</v>
      </c>
      <c r="K1767" s="5" t="s">
        <v>16967</v>
      </c>
      <c r="L1767" s="13" t="s">
        <v>16968</v>
      </c>
      <c r="M1767" s="13" t="s">
        <v>16969</v>
      </c>
      <c r="N1767" s="5" t="n">
        <f aca="false">LEN(L1767)</f>
        <v>25</v>
      </c>
      <c r="O1767" s="5" t="n">
        <f aca="false">LEN(M1767)</f>
        <v>25</v>
      </c>
      <c r="P1767" s="14" t="n">
        <f aca="false">IF(N1767=0,"",(N1767-LEN(SUBSTITUTE(SUBSTITUTE(L1767,"G",""),"C","")))/N1767)</f>
        <v>0.44</v>
      </c>
      <c r="Q1767" s="14" t="n">
        <f aca="false">IF(O1767=0,"",(O1767-LEN(SUBSTITUTE(SUBSTITUTE(M1767,"G",""),"C","")))/O1767)</f>
        <v>0.4</v>
      </c>
      <c r="R1767" s="5"/>
      <c r="S1767" s="8" t="s">
        <v>2131</v>
      </c>
      <c r="T1767" s="5"/>
      <c r="U1767" s="5" t="s">
        <v>2986</v>
      </c>
      <c r="V1767" s="5" t="s">
        <v>1546</v>
      </c>
      <c r="W1767" s="5" t="s">
        <v>15189</v>
      </c>
      <c r="X1767" s="5"/>
      <c r="Y1767" s="5"/>
    </row>
    <row r="1768" customFormat="false" ht="15" hidden="false" customHeight="false" outlineLevel="0" collapsed="false">
      <c r="A1768" s="5" t="s">
        <v>16970</v>
      </c>
      <c r="B1768" s="5" t="s">
        <v>1615</v>
      </c>
      <c r="C1768" s="5" t="s">
        <v>1616</v>
      </c>
      <c r="D1768" s="10" t="s">
        <v>137</v>
      </c>
      <c r="E1768" s="5" t="n">
        <v>1</v>
      </c>
      <c r="F1768" s="5" t="s">
        <v>16971</v>
      </c>
      <c r="G1768" s="13" t="s">
        <v>16972</v>
      </c>
      <c r="H1768" s="5" t="s">
        <v>16973</v>
      </c>
      <c r="I1768" s="13" t="s">
        <v>16974</v>
      </c>
      <c r="J1768" s="5" t="s">
        <v>16975</v>
      </c>
      <c r="K1768" s="5" t="s">
        <v>16976</v>
      </c>
      <c r="L1768" s="13" t="s">
        <v>16977</v>
      </c>
      <c r="M1768" s="13" t="s">
        <v>16978</v>
      </c>
      <c r="N1768" s="5" t="n">
        <f aca="false">LEN(L1768)</f>
        <v>25</v>
      </c>
      <c r="O1768" s="5" t="n">
        <f aca="false">LEN(M1768)</f>
        <v>25</v>
      </c>
      <c r="P1768" s="14" t="n">
        <f aca="false">IF(N1768=0,"",(N1768-LEN(SUBSTITUTE(SUBSTITUTE(L1768,"G",""),"C","")))/N1768)</f>
        <v>0.56</v>
      </c>
      <c r="Q1768" s="14" t="n">
        <f aca="false">IF(O1768=0,"",(O1768-LEN(SUBSTITUTE(SUBSTITUTE(M1768,"G",""),"C","")))/O1768)</f>
        <v>0.44</v>
      </c>
      <c r="R1768" s="5"/>
      <c r="S1768" s="8" t="s">
        <v>2131</v>
      </c>
      <c r="T1768" s="5"/>
      <c r="U1768" s="5" t="s">
        <v>15244</v>
      </c>
      <c r="V1768" s="5" t="s">
        <v>1549</v>
      </c>
      <c r="W1768" s="5"/>
      <c r="X1768" s="5"/>
      <c r="Y1768" s="5"/>
    </row>
    <row r="1769" customFormat="false" ht="15" hidden="false" customHeight="false" outlineLevel="0" collapsed="false">
      <c r="A1769" s="5" t="s">
        <v>16979</v>
      </c>
      <c r="B1769" s="5" t="s">
        <v>1615</v>
      </c>
      <c r="C1769" s="5" t="s">
        <v>1616</v>
      </c>
      <c r="D1769" s="10" t="s">
        <v>137</v>
      </c>
      <c r="E1769" s="5" t="n">
        <v>2</v>
      </c>
      <c r="F1769" s="5" t="s">
        <v>16980</v>
      </c>
      <c r="G1769" s="13" t="s">
        <v>16981</v>
      </c>
      <c r="H1769" s="5" t="s">
        <v>16982</v>
      </c>
      <c r="I1769" s="13" t="s">
        <v>16983</v>
      </c>
      <c r="J1769" s="5" t="s">
        <v>16984</v>
      </c>
      <c r="K1769" s="5" t="s">
        <v>16985</v>
      </c>
      <c r="L1769" s="13" t="s">
        <v>16986</v>
      </c>
      <c r="M1769" s="13" t="s">
        <v>16987</v>
      </c>
      <c r="N1769" s="5" t="n">
        <f aca="false">LEN(L1769)</f>
        <v>25</v>
      </c>
      <c r="O1769" s="5" t="n">
        <f aca="false">LEN(M1769)</f>
        <v>25</v>
      </c>
      <c r="P1769" s="14" t="n">
        <f aca="false">IF(N1769=0,"",(N1769-LEN(SUBSTITUTE(SUBSTITUTE(L1769,"G",""),"C","")))/N1769)</f>
        <v>0.4</v>
      </c>
      <c r="Q1769" s="14" t="n">
        <f aca="false">IF(O1769=0,"",(O1769-LEN(SUBSTITUTE(SUBSTITUTE(M1769,"G",""),"C","")))/O1769)</f>
        <v>0.6</v>
      </c>
      <c r="R1769" s="5"/>
      <c r="S1769" s="8" t="s">
        <v>2131</v>
      </c>
      <c r="T1769" s="5"/>
      <c r="U1769" s="5" t="s">
        <v>15244</v>
      </c>
      <c r="V1769" s="5" t="s">
        <v>1549</v>
      </c>
      <c r="W1769" s="5"/>
      <c r="X1769" s="5"/>
      <c r="Y1769" s="5"/>
    </row>
    <row r="1770" customFormat="false" ht="15" hidden="false" customHeight="false" outlineLevel="0" collapsed="false">
      <c r="A1770" s="5" t="s">
        <v>16988</v>
      </c>
      <c r="B1770" s="5" t="s">
        <v>1615</v>
      </c>
      <c r="C1770" s="5" t="s">
        <v>1616</v>
      </c>
      <c r="D1770" s="10" t="s">
        <v>137</v>
      </c>
      <c r="E1770" s="5" t="n">
        <v>3</v>
      </c>
      <c r="F1770" s="5" t="s">
        <v>16989</v>
      </c>
      <c r="G1770" s="13" t="s">
        <v>16990</v>
      </c>
      <c r="H1770" s="5" t="s">
        <v>16991</v>
      </c>
      <c r="I1770" s="13" t="s">
        <v>16992</v>
      </c>
      <c r="J1770" s="5" t="s">
        <v>16993</v>
      </c>
      <c r="K1770" s="5" t="s">
        <v>16994</v>
      </c>
      <c r="L1770" s="13" t="s">
        <v>16995</v>
      </c>
      <c r="M1770" s="13" t="s">
        <v>16996</v>
      </c>
      <c r="N1770" s="5" t="n">
        <f aca="false">LEN(L1770)</f>
        <v>25</v>
      </c>
      <c r="O1770" s="5" t="n">
        <f aca="false">LEN(M1770)</f>
        <v>25</v>
      </c>
      <c r="P1770" s="14" t="n">
        <f aca="false">IF(N1770=0,"",(N1770-LEN(SUBSTITUTE(SUBSTITUTE(L1770,"G",""),"C","")))/N1770)</f>
        <v>0.44</v>
      </c>
      <c r="Q1770" s="14" t="n">
        <f aca="false">IF(O1770=0,"",(O1770-LEN(SUBSTITUTE(SUBSTITUTE(M1770,"G",""),"C","")))/O1770)</f>
        <v>0.56</v>
      </c>
      <c r="R1770" s="5"/>
      <c r="S1770" s="8" t="s">
        <v>2131</v>
      </c>
      <c r="T1770" s="5"/>
      <c r="U1770" s="5" t="s">
        <v>15244</v>
      </c>
      <c r="V1770" s="5" t="s">
        <v>1549</v>
      </c>
      <c r="W1770" s="5"/>
      <c r="X1770" s="5"/>
      <c r="Y1770" s="5"/>
    </row>
    <row r="1771" customFormat="false" ht="15" hidden="false" customHeight="false" outlineLevel="0" collapsed="false">
      <c r="A1771" s="5" t="s">
        <v>16997</v>
      </c>
      <c r="B1771" s="5" t="s">
        <v>1615</v>
      </c>
      <c r="C1771" s="5" t="s">
        <v>1616</v>
      </c>
      <c r="D1771" s="10" t="s">
        <v>137</v>
      </c>
      <c r="E1771" s="5" t="n">
        <v>4</v>
      </c>
      <c r="F1771" s="5" t="s">
        <v>16998</v>
      </c>
      <c r="G1771" s="13" t="s">
        <v>16999</v>
      </c>
      <c r="H1771" s="5" t="s">
        <v>17000</v>
      </c>
      <c r="I1771" s="13" t="s">
        <v>17001</v>
      </c>
      <c r="J1771" s="5" t="s">
        <v>17002</v>
      </c>
      <c r="K1771" s="5" t="s">
        <v>17003</v>
      </c>
      <c r="L1771" s="13" t="s">
        <v>17004</v>
      </c>
      <c r="M1771" s="13" t="s">
        <v>17005</v>
      </c>
      <c r="N1771" s="5" t="n">
        <f aca="false">LEN(L1771)</f>
        <v>25</v>
      </c>
      <c r="O1771" s="5" t="n">
        <f aca="false">LEN(M1771)</f>
        <v>25</v>
      </c>
      <c r="P1771" s="14" t="n">
        <f aca="false">IF(N1771=0,"",(N1771-LEN(SUBSTITUTE(SUBSTITUTE(L1771,"G",""),"C","")))/N1771)</f>
        <v>0.52</v>
      </c>
      <c r="Q1771" s="14" t="n">
        <f aca="false">IF(O1771=0,"",(O1771-LEN(SUBSTITUTE(SUBSTITUTE(M1771,"G",""),"C","")))/O1771)</f>
        <v>0.44</v>
      </c>
      <c r="R1771" s="5"/>
      <c r="S1771" s="8" t="s">
        <v>2131</v>
      </c>
      <c r="T1771" s="5"/>
      <c r="U1771" s="5" t="s">
        <v>15244</v>
      </c>
      <c r="V1771" s="5" t="s">
        <v>1549</v>
      </c>
      <c r="W1771" s="5"/>
      <c r="X1771" s="5"/>
      <c r="Y1771" s="5"/>
    </row>
    <row r="1772" customFormat="false" ht="15" hidden="false" customHeight="false" outlineLevel="0" collapsed="false">
      <c r="A1772" s="5" t="s">
        <v>17006</v>
      </c>
      <c r="B1772" s="5" t="s">
        <v>1615</v>
      </c>
      <c r="C1772" s="5" t="s">
        <v>1616</v>
      </c>
      <c r="D1772" s="10" t="s">
        <v>137</v>
      </c>
      <c r="E1772" s="5" t="n">
        <v>5</v>
      </c>
      <c r="F1772" s="5" t="s">
        <v>17007</v>
      </c>
      <c r="G1772" s="13" t="s">
        <v>17008</v>
      </c>
      <c r="H1772" s="5" t="s">
        <v>17009</v>
      </c>
      <c r="I1772" s="13" t="s">
        <v>17010</v>
      </c>
      <c r="J1772" s="5" t="s">
        <v>17011</v>
      </c>
      <c r="K1772" s="5" t="s">
        <v>17012</v>
      </c>
      <c r="L1772" s="13" t="s">
        <v>17013</v>
      </c>
      <c r="M1772" s="13" t="s">
        <v>17014</v>
      </c>
      <c r="N1772" s="5" t="n">
        <f aca="false">LEN(L1772)</f>
        <v>25</v>
      </c>
      <c r="O1772" s="5" t="n">
        <f aca="false">LEN(M1772)</f>
        <v>25</v>
      </c>
      <c r="P1772" s="14" t="n">
        <f aca="false">IF(N1772=0,"",(N1772-LEN(SUBSTITUTE(SUBSTITUTE(L1772,"G",""),"C","")))/N1772)</f>
        <v>0.4</v>
      </c>
      <c r="Q1772" s="14" t="n">
        <f aca="false">IF(O1772=0,"",(O1772-LEN(SUBSTITUTE(SUBSTITUTE(M1772,"G",""),"C","")))/O1772)</f>
        <v>0.44</v>
      </c>
      <c r="R1772" s="5"/>
      <c r="S1772" s="8" t="s">
        <v>2131</v>
      </c>
      <c r="T1772" s="5"/>
      <c r="U1772" s="5" t="s">
        <v>15244</v>
      </c>
      <c r="V1772" s="5" t="s">
        <v>1549</v>
      </c>
      <c r="W1772" s="5"/>
      <c r="X1772" s="5"/>
      <c r="Y1772" s="5"/>
    </row>
    <row r="1773" customFormat="false" ht="15" hidden="false" customHeight="false" outlineLevel="0" collapsed="false">
      <c r="A1773" s="5" t="s">
        <v>17015</v>
      </c>
      <c r="B1773" s="5" t="s">
        <v>1615</v>
      </c>
      <c r="C1773" s="5" t="s">
        <v>1616</v>
      </c>
      <c r="D1773" s="10" t="s">
        <v>137</v>
      </c>
      <c r="E1773" s="5" t="n">
        <v>6</v>
      </c>
      <c r="F1773" s="5" t="s">
        <v>17016</v>
      </c>
      <c r="G1773" s="13" t="s">
        <v>17017</v>
      </c>
      <c r="H1773" s="5" t="s">
        <v>17018</v>
      </c>
      <c r="I1773" s="13" t="s">
        <v>17019</v>
      </c>
      <c r="J1773" s="5" t="s">
        <v>17020</v>
      </c>
      <c r="K1773" s="5" t="s">
        <v>17021</v>
      </c>
      <c r="L1773" s="13" t="s">
        <v>17022</v>
      </c>
      <c r="M1773" s="13" t="s">
        <v>17023</v>
      </c>
      <c r="N1773" s="5" t="n">
        <f aca="false">LEN(L1773)</f>
        <v>25</v>
      </c>
      <c r="O1773" s="5" t="n">
        <f aca="false">LEN(M1773)</f>
        <v>25</v>
      </c>
      <c r="P1773" s="14" t="n">
        <f aca="false">IF(N1773=0,"",(N1773-LEN(SUBSTITUTE(SUBSTITUTE(L1773,"G",""),"C","")))/N1773)</f>
        <v>0.52</v>
      </c>
      <c r="Q1773" s="14" t="n">
        <f aca="false">IF(O1773=0,"",(O1773-LEN(SUBSTITUTE(SUBSTITUTE(M1773,"G",""),"C","")))/O1773)</f>
        <v>0.56</v>
      </c>
      <c r="R1773" s="5"/>
      <c r="S1773" s="8" t="s">
        <v>2131</v>
      </c>
      <c r="T1773" s="5"/>
      <c r="U1773" s="5" t="s">
        <v>15244</v>
      </c>
      <c r="V1773" s="5" t="s">
        <v>1549</v>
      </c>
      <c r="W1773" s="5"/>
      <c r="X1773" s="5"/>
      <c r="Y1773" s="5"/>
    </row>
    <row r="1774" customFormat="false" ht="15" hidden="false" customHeight="false" outlineLevel="0" collapsed="false">
      <c r="A1774" s="5" t="s">
        <v>17024</v>
      </c>
      <c r="B1774" s="5" t="s">
        <v>1617</v>
      </c>
      <c r="C1774" s="5" t="s">
        <v>1618</v>
      </c>
      <c r="D1774" s="10" t="s">
        <v>137</v>
      </c>
      <c r="E1774" s="5" t="n">
        <v>1</v>
      </c>
      <c r="F1774" s="5" t="s">
        <v>17025</v>
      </c>
      <c r="G1774" s="13" t="s">
        <v>17026</v>
      </c>
      <c r="H1774" s="5" t="s">
        <v>17027</v>
      </c>
      <c r="I1774" s="13" t="s">
        <v>17028</v>
      </c>
      <c r="J1774" s="5" t="s">
        <v>17029</v>
      </c>
      <c r="K1774" s="5" t="s">
        <v>17030</v>
      </c>
      <c r="L1774" s="13" t="s">
        <v>17031</v>
      </c>
      <c r="M1774" s="13" t="s">
        <v>17032</v>
      </c>
      <c r="N1774" s="5" t="n">
        <f aca="false">LEN(L1774)</f>
        <v>25</v>
      </c>
      <c r="O1774" s="5" t="n">
        <f aca="false">LEN(M1774)</f>
        <v>25</v>
      </c>
      <c r="P1774" s="14" t="n">
        <f aca="false">IF(N1774=0,"",(N1774-LEN(SUBSTITUTE(SUBSTITUTE(L1774,"G",""),"C","")))/N1774)</f>
        <v>0.88</v>
      </c>
      <c r="Q1774" s="14" t="n">
        <f aca="false">IF(O1774=0,"",(O1774-LEN(SUBSTITUTE(SUBSTITUTE(M1774,"G",""),"C","")))/O1774)</f>
        <v>0.56</v>
      </c>
      <c r="R1774" s="5"/>
      <c r="S1774" s="8" t="s">
        <v>2131</v>
      </c>
      <c r="T1774" s="5"/>
      <c r="U1774" s="5" t="s">
        <v>2986</v>
      </c>
      <c r="V1774" s="5" t="s">
        <v>1546</v>
      </c>
      <c r="W1774" s="5" t="s">
        <v>15897</v>
      </c>
      <c r="X1774" s="5"/>
      <c r="Y1774" s="5"/>
    </row>
    <row r="1775" customFormat="false" ht="15" hidden="false" customHeight="false" outlineLevel="0" collapsed="false">
      <c r="A1775" s="5" t="s">
        <v>17033</v>
      </c>
      <c r="B1775" s="5" t="s">
        <v>1617</v>
      </c>
      <c r="C1775" s="5" t="s">
        <v>1618</v>
      </c>
      <c r="D1775" s="10" t="s">
        <v>137</v>
      </c>
      <c r="E1775" s="5" t="n">
        <v>2</v>
      </c>
      <c r="F1775" s="5" t="s">
        <v>17034</v>
      </c>
      <c r="G1775" s="13" t="s">
        <v>17035</v>
      </c>
      <c r="H1775" s="5" t="s">
        <v>17036</v>
      </c>
      <c r="I1775" s="13" t="s">
        <v>17037</v>
      </c>
      <c r="J1775" s="5" t="s">
        <v>17038</v>
      </c>
      <c r="K1775" s="5" t="s">
        <v>17039</v>
      </c>
      <c r="L1775" s="13" t="s">
        <v>17040</v>
      </c>
      <c r="M1775" s="13" t="s">
        <v>17041</v>
      </c>
      <c r="N1775" s="5" t="n">
        <f aca="false">LEN(L1775)</f>
        <v>25</v>
      </c>
      <c r="O1775" s="5" t="n">
        <f aca="false">LEN(M1775)</f>
        <v>25</v>
      </c>
      <c r="P1775" s="14" t="n">
        <f aca="false">IF(N1775=0,"",(N1775-LEN(SUBSTITUTE(SUBSTITUTE(L1775,"G",""),"C","")))/N1775)</f>
        <v>0.68</v>
      </c>
      <c r="Q1775" s="14" t="n">
        <f aca="false">IF(O1775=0,"",(O1775-LEN(SUBSTITUTE(SUBSTITUTE(M1775,"G",""),"C","")))/O1775)</f>
        <v>0.76</v>
      </c>
      <c r="R1775" s="5"/>
      <c r="S1775" s="8" t="s">
        <v>2131</v>
      </c>
      <c r="T1775" s="5"/>
      <c r="U1775" s="5" t="s">
        <v>2986</v>
      </c>
      <c r="V1775" s="5" t="s">
        <v>1546</v>
      </c>
      <c r="W1775" s="5" t="s">
        <v>15897</v>
      </c>
      <c r="X1775" s="5"/>
      <c r="Y1775" s="5"/>
    </row>
    <row r="1776" customFormat="false" ht="15" hidden="false" customHeight="false" outlineLevel="0" collapsed="false">
      <c r="A1776" s="5" t="s">
        <v>17042</v>
      </c>
      <c r="B1776" s="5" t="s">
        <v>1617</v>
      </c>
      <c r="C1776" s="5" t="s">
        <v>1618</v>
      </c>
      <c r="D1776" s="10" t="s">
        <v>137</v>
      </c>
      <c r="E1776" s="5" t="n">
        <v>3</v>
      </c>
      <c r="F1776" s="5" t="s">
        <v>17043</v>
      </c>
      <c r="G1776" s="13" t="s">
        <v>17044</v>
      </c>
      <c r="H1776" s="5" t="s">
        <v>17045</v>
      </c>
      <c r="I1776" s="13" t="s">
        <v>17046</v>
      </c>
      <c r="J1776" s="5" t="s">
        <v>17047</v>
      </c>
      <c r="K1776" s="5" t="s">
        <v>17048</v>
      </c>
      <c r="L1776" s="13" t="s">
        <v>17049</v>
      </c>
      <c r="M1776" s="13" t="s">
        <v>17050</v>
      </c>
      <c r="N1776" s="5" t="n">
        <f aca="false">LEN(L1776)</f>
        <v>25</v>
      </c>
      <c r="O1776" s="5" t="n">
        <f aca="false">LEN(M1776)</f>
        <v>25</v>
      </c>
      <c r="P1776" s="14" t="n">
        <f aca="false">IF(N1776=0,"",(N1776-LEN(SUBSTITUTE(SUBSTITUTE(L1776,"G",""),"C","")))/N1776)</f>
        <v>0.84</v>
      </c>
      <c r="Q1776" s="14" t="n">
        <f aca="false">IF(O1776=0,"",(O1776-LEN(SUBSTITUTE(SUBSTITUTE(M1776,"G",""),"C","")))/O1776)</f>
        <v>0.6</v>
      </c>
      <c r="R1776" s="5"/>
      <c r="S1776" s="8" t="s">
        <v>2131</v>
      </c>
      <c r="T1776" s="5"/>
      <c r="U1776" s="5" t="s">
        <v>2986</v>
      </c>
      <c r="V1776" s="5" t="s">
        <v>1546</v>
      </c>
      <c r="W1776" s="5" t="s">
        <v>15897</v>
      </c>
      <c r="X1776" s="5"/>
      <c r="Y1776" s="5"/>
    </row>
    <row r="1777" customFormat="false" ht="15" hidden="false" customHeight="false" outlineLevel="0" collapsed="false">
      <c r="A1777" s="5" t="s">
        <v>17051</v>
      </c>
      <c r="B1777" s="5" t="s">
        <v>1617</v>
      </c>
      <c r="C1777" s="5" t="s">
        <v>1618</v>
      </c>
      <c r="D1777" s="10" t="s">
        <v>137</v>
      </c>
      <c r="E1777" s="5" t="n">
        <v>4</v>
      </c>
      <c r="F1777" s="5" t="s">
        <v>17052</v>
      </c>
      <c r="G1777" s="13" t="s">
        <v>17053</v>
      </c>
      <c r="H1777" s="5" t="s">
        <v>17054</v>
      </c>
      <c r="I1777" s="13" t="s">
        <v>17055</v>
      </c>
      <c r="J1777" s="5" t="s">
        <v>17056</v>
      </c>
      <c r="K1777" s="5" t="s">
        <v>17057</v>
      </c>
      <c r="L1777" s="13" t="s">
        <v>17058</v>
      </c>
      <c r="M1777" s="13" t="s">
        <v>17059</v>
      </c>
      <c r="N1777" s="5" t="n">
        <f aca="false">LEN(L1777)</f>
        <v>25</v>
      </c>
      <c r="O1777" s="5" t="n">
        <f aca="false">LEN(M1777)</f>
        <v>25</v>
      </c>
      <c r="P1777" s="14" t="n">
        <f aca="false">IF(N1777=0,"",(N1777-LEN(SUBSTITUTE(SUBSTITUTE(L1777,"G",""),"C","")))/N1777)</f>
        <v>0.76</v>
      </c>
      <c r="Q1777" s="14" t="n">
        <f aca="false">IF(O1777=0,"",(O1777-LEN(SUBSTITUTE(SUBSTITUTE(M1777,"G",""),"C","")))/O1777)</f>
        <v>0.76</v>
      </c>
      <c r="R1777" s="5"/>
      <c r="S1777" s="8" t="s">
        <v>2131</v>
      </c>
      <c r="T1777" s="5"/>
      <c r="U1777" s="5" t="s">
        <v>2986</v>
      </c>
      <c r="V1777" s="5" t="s">
        <v>1546</v>
      </c>
      <c r="W1777" s="5" t="s">
        <v>15897</v>
      </c>
      <c r="X1777" s="5"/>
      <c r="Y1777" s="5"/>
    </row>
    <row r="1778" customFormat="false" ht="15" hidden="false" customHeight="false" outlineLevel="0" collapsed="false">
      <c r="A1778" s="5" t="s">
        <v>17060</v>
      </c>
      <c r="B1778" s="5" t="s">
        <v>1617</v>
      </c>
      <c r="C1778" s="5" t="s">
        <v>1618</v>
      </c>
      <c r="D1778" s="10" t="s">
        <v>137</v>
      </c>
      <c r="E1778" s="5" t="n">
        <v>5</v>
      </c>
      <c r="F1778" s="5" t="s">
        <v>17061</v>
      </c>
      <c r="G1778" s="13" t="s">
        <v>17062</v>
      </c>
      <c r="H1778" s="5" t="s">
        <v>17063</v>
      </c>
      <c r="I1778" s="13" t="s">
        <v>17064</v>
      </c>
      <c r="J1778" s="5" t="s">
        <v>17065</v>
      </c>
      <c r="K1778" s="5" t="s">
        <v>17066</v>
      </c>
      <c r="L1778" s="13" t="s">
        <v>17067</v>
      </c>
      <c r="M1778" s="13" t="s">
        <v>17068</v>
      </c>
      <c r="N1778" s="5" t="n">
        <f aca="false">LEN(L1778)</f>
        <v>25</v>
      </c>
      <c r="O1778" s="5" t="n">
        <f aca="false">LEN(M1778)</f>
        <v>25</v>
      </c>
      <c r="P1778" s="14" t="n">
        <f aca="false">IF(N1778=0,"",(N1778-LEN(SUBSTITUTE(SUBSTITUTE(L1778,"G",""),"C","")))/N1778)</f>
        <v>0.76</v>
      </c>
      <c r="Q1778" s="14" t="n">
        <f aca="false">IF(O1778=0,"",(O1778-LEN(SUBSTITUTE(SUBSTITUTE(M1778,"G",""),"C","")))/O1778)</f>
        <v>0.68</v>
      </c>
      <c r="R1778" s="5"/>
      <c r="S1778" s="8" t="s">
        <v>2131</v>
      </c>
      <c r="T1778" s="5"/>
      <c r="U1778" s="5" t="s">
        <v>2986</v>
      </c>
      <c r="V1778" s="5" t="s">
        <v>1546</v>
      </c>
      <c r="W1778" s="5" t="s">
        <v>15897</v>
      </c>
      <c r="X1778" s="5"/>
      <c r="Y1778" s="5"/>
    </row>
    <row r="1779" customFormat="false" ht="15" hidden="false" customHeight="false" outlineLevel="0" collapsed="false">
      <c r="A1779" s="5" t="s">
        <v>17069</v>
      </c>
      <c r="B1779" s="5" t="s">
        <v>1617</v>
      </c>
      <c r="C1779" s="5" t="s">
        <v>1618</v>
      </c>
      <c r="D1779" s="10" t="s">
        <v>137</v>
      </c>
      <c r="E1779" s="5" t="n">
        <v>6</v>
      </c>
      <c r="F1779" s="5" t="s">
        <v>17070</v>
      </c>
      <c r="G1779" s="13" t="s">
        <v>17071</v>
      </c>
      <c r="H1779" s="5" t="s">
        <v>17072</v>
      </c>
      <c r="I1779" s="13" t="s">
        <v>17073</v>
      </c>
      <c r="J1779" s="5" t="s">
        <v>17074</v>
      </c>
      <c r="K1779" s="5" t="s">
        <v>17075</v>
      </c>
      <c r="L1779" s="13" t="s">
        <v>17076</v>
      </c>
      <c r="M1779" s="13" t="s">
        <v>17077</v>
      </c>
      <c r="N1779" s="5" t="n">
        <f aca="false">LEN(L1779)</f>
        <v>25</v>
      </c>
      <c r="O1779" s="5" t="n">
        <f aca="false">LEN(M1779)</f>
        <v>25</v>
      </c>
      <c r="P1779" s="14" t="n">
        <f aca="false">IF(N1779=0,"",(N1779-LEN(SUBSTITUTE(SUBSTITUTE(L1779,"G",""),"C","")))/N1779)</f>
        <v>0.76</v>
      </c>
      <c r="Q1779" s="14" t="n">
        <f aca="false">IF(O1779=0,"",(O1779-LEN(SUBSTITUTE(SUBSTITUTE(M1779,"G",""),"C","")))/O1779)</f>
        <v>0.72</v>
      </c>
      <c r="R1779" s="5"/>
      <c r="S1779" s="8" t="s">
        <v>2131</v>
      </c>
      <c r="T1779" s="5"/>
      <c r="U1779" s="5" t="s">
        <v>2986</v>
      </c>
      <c r="V1779" s="5" t="s">
        <v>1546</v>
      </c>
      <c r="W1779" s="5" t="s">
        <v>15897</v>
      </c>
      <c r="X1779" s="5"/>
      <c r="Y1779" s="5"/>
    </row>
    <row r="1780" customFormat="false" ht="15" hidden="false" customHeight="false" outlineLevel="0" collapsed="false">
      <c r="A1780" s="5" t="s">
        <v>17078</v>
      </c>
      <c r="B1780" s="5" t="s">
        <v>1619</v>
      </c>
      <c r="C1780" s="5" t="s">
        <v>1620</v>
      </c>
      <c r="D1780" s="10" t="s">
        <v>137</v>
      </c>
      <c r="E1780" s="5" t="n">
        <v>1</v>
      </c>
      <c r="F1780" s="5" t="s">
        <v>17079</v>
      </c>
      <c r="G1780" s="13" t="s">
        <v>17080</v>
      </c>
      <c r="H1780" s="5" t="s">
        <v>17081</v>
      </c>
      <c r="I1780" s="13" t="s">
        <v>17082</v>
      </c>
      <c r="J1780" s="5" t="s">
        <v>17083</v>
      </c>
      <c r="K1780" s="5" t="s">
        <v>17084</v>
      </c>
      <c r="L1780" s="13" t="s">
        <v>17085</v>
      </c>
      <c r="M1780" s="13" t="s">
        <v>17086</v>
      </c>
      <c r="N1780" s="5" t="n">
        <f aca="false">LEN(L1780)</f>
        <v>25</v>
      </c>
      <c r="O1780" s="5" t="n">
        <f aca="false">LEN(M1780)</f>
        <v>25</v>
      </c>
      <c r="P1780" s="14" t="n">
        <f aca="false">IF(N1780=0,"",(N1780-LEN(SUBSTITUTE(SUBSTITUTE(L1780,"G",""),"C","")))/N1780)</f>
        <v>0.44</v>
      </c>
      <c r="Q1780" s="14" t="n">
        <f aca="false">IF(O1780=0,"",(O1780-LEN(SUBSTITUTE(SUBSTITUTE(M1780,"G",""),"C","")))/O1780)</f>
        <v>0.64</v>
      </c>
      <c r="R1780" s="5"/>
      <c r="S1780" s="8" t="s">
        <v>2131</v>
      </c>
      <c r="T1780" s="5"/>
      <c r="U1780" s="5" t="s">
        <v>15244</v>
      </c>
      <c r="V1780" s="5" t="s">
        <v>1549</v>
      </c>
      <c r="W1780" s="5"/>
      <c r="X1780" s="5"/>
      <c r="Y1780" s="5"/>
    </row>
    <row r="1781" customFormat="false" ht="15" hidden="false" customHeight="false" outlineLevel="0" collapsed="false">
      <c r="A1781" s="5" t="s">
        <v>17087</v>
      </c>
      <c r="B1781" s="5" t="s">
        <v>1619</v>
      </c>
      <c r="C1781" s="5" t="s">
        <v>1620</v>
      </c>
      <c r="D1781" s="10" t="s">
        <v>137</v>
      </c>
      <c r="E1781" s="5" t="n">
        <v>2</v>
      </c>
      <c r="F1781" s="5" t="s">
        <v>17088</v>
      </c>
      <c r="G1781" s="13" t="s">
        <v>17089</v>
      </c>
      <c r="H1781" s="5" t="s">
        <v>17090</v>
      </c>
      <c r="I1781" s="13" t="s">
        <v>17091</v>
      </c>
      <c r="J1781" s="5" t="s">
        <v>17092</v>
      </c>
      <c r="K1781" s="5" t="s">
        <v>17093</v>
      </c>
      <c r="L1781" s="13" t="s">
        <v>17094</v>
      </c>
      <c r="M1781" s="13" t="s">
        <v>17095</v>
      </c>
      <c r="N1781" s="5" t="n">
        <f aca="false">LEN(L1781)</f>
        <v>25</v>
      </c>
      <c r="O1781" s="5" t="n">
        <f aca="false">LEN(M1781)</f>
        <v>25</v>
      </c>
      <c r="P1781" s="14" t="n">
        <f aca="false">IF(N1781=0,"",(N1781-LEN(SUBSTITUTE(SUBSTITUTE(L1781,"G",""),"C","")))/N1781)</f>
        <v>0.48</v>
      </c>
      <c r="Q1781" s="14" t="n">
        <f aca="false">IF(O1781=0,"",(O1781-LEN(SUBSTITUTE(SUBSTITUTE(M1781,"G",""),"C","")))/O1781)</f>
        <v>0.48</v>
      </c>
      <c r="R1781" s="5"/>
      <c r="S1781" s="8" t="s">
        <v>2131</v>
      </c>
      <c r="T1781" s="5"/>
      <c r="U1781" s="5" t="s">
        <v>15244</v>
      </c>
      <c r="V1781" s="5" t="s">
        <v>1549</v>
      </c>
      <c r="W1781" s="5"/>
      <c r="X1781" s="5"/>
      <c r="Y1781" s="5"/>
    </row>
    <row r="1782" customFormat="false" ht="15" hidden="false" customHeight="false" outlineLevel="0" collapsed="false">
      <c r="A1782" s="5" t="s">
        <v>17096</v>
      </c>
      <c r="B1782" s="5" t="s">
        <v>1619</v>
      </c>
      <c r="C1782" s="5" t="s">
        <v>1620</v>
      </c>
      <c r="D1782" s="10" t="s">
        <v>137</v>
      </c>
      <c r="E1782" s="5" t="n">
        <v>3</v>
      </c>
      <c r="F1782" s="5" t="s">
        <v>17097</v>
      </c>
      <c r="G1782" s="13" t="s">
        <v>17098</v>
      </c>
      <c r="H1782" s="5" t="s">
        <v>17099</v>
      </c>
      <c r="I1782" s="13" t="s">
        <v>17100</v>
      </c>
      <c r="J1782" s="5" t="s">
        <v>17101</v>
      </c>
      <c r="K1782" s="5" t="s">
        <v>17102</v>
      </c>
      <c r="L1782" s="13" t="s">
        <v>17103</v>
      </c>
      <c r="M1782" s="13" t="s">
        <v>17104</v>
      </c>
      <c r="N1782" s="5" t="n">
        <f aca="false">LEN(L1782)</f>
        <v>25</v>
      </c>
      <c r="O1782" s="5" t="n">
        <f aca="false">LEN(M1782)</f>
        <v>25</v>
      </c>
      <c r="P1782" s="14" t="n">
        <f aca="false">IF(N1782=0,"",(N1782-LEN(SUBSTITUTE(SUBSTITUTE(L1782,"G",""),"C","")))/N1782)</f>
        <v>0.52</v>
      </c>
      <c r="Q1782" s="14" t="n">
        <f aca="false">IF(O1782=0,"",(O1782-LEN(SUBSTITUTE(SUBSTITUTE(M1782,"G",""),"C","")))/O1782)</f>
        <v>0.56</v>
      </c>
      <c r="R1782" s="5"/>
      <c r="S1782" s="8" t="s">
        <v>2131</v>
      </c>
      <c r="T1782" s="5"/>
      <c r="U1782" s="5" t="s">
        <v>15244</v>
      </c>
      <c r="V1782" s="5" t="s">
        <v>1549</v>
      </c>
      <c r="W1782" s="5"/>
      <c r="X1782" s="5"/>
      <c r="Y1782" s="5"/>
    </row>
    <row r="1783" customFormat="false" ht="15" hidden="false" customHeight="false" outlineLevel="0" collapsed="false">
      <c r="A1783" s="5" t="s">
        <v>17105</v>
      </c>
      <c r="B1783" s="5" t="s">
        <v>1619</v>
      </c>
      <c r="C1783" s="5" t="s">
        <v>1620</v>
      </c>
      <c r="D1783" s="10" t="s">
        <v>137</v>
      </c>
      <c r="E1783" s="5" t="n">
        <v>4</v>
      </c>
      <c r="F1783" s="5" t="s">
        <v>17106</v>
      </c>
      <c r="G1783" s="13" t="s">
        <v>17107</v>
      </c>
      <c r="H1783" s="5" t="s">
        <v>17108</v>
      </c>
      <c r="I1783" s="13" t="s">
        <v>17109</v>
      </c>
      <c r="J1783" s="5" t="s">
        <v>17110</v>
      </c>
      <c r="K1783" s="5" t="s">
        <v>17111</v>
      </c>
      <c r="L1783" s="13" t="s">
        <v>17112</v>
      </c>
      <c r="M1783" s="13" t="s">
        <v>17113</v>
      </c>
      <c r="N1783" s="5" t="n">
        <f aca="false">LEN(L1783)</f>
        <v>25</v>
      </c>
      <c r="O1783" s="5" t="n">
        <f aca="false">LEN(M1783)</f>
        <v>25</v>
      </c>
      <c r="P1783" s="14" t="n">
        <f aca="false">IF(N1783=0,"",(N1783-LEN(SUBSTITUTE(SUBSTITUTE(L1783,"G",""),"C","")))/N1783)</f>
        <v>0.4</v>
      </c>
      <c r="Q1783" s="14" t="n">
        <f aca="false">IF(O1783=0,"",(O1783-LEN(SUBSTITUTE(SUBSTITUTE(M1783,"G",""),"C","")))/O1783)</f>
        <v>0.44</v>
      </c>
      <c r="R1783" s="5"/>
      <c r="S1783" s="8" t="s">
        <v>2131</v>
      </c>
      <c r="T1783" s="5"/>
      <c r="U1783" s="5" t="s">
        <v>15244</v>
      </c>
      <c r="V1783" s="5" t="s">
        <v>1549</v>
      </c>
      <c r="W1783" s="5"/>
      <c r="X1783" s="5"/>
      <c r="Y1783" s="5"/>
    </row>
    <row r="1784" customFormat="false" ht="15" hidden="false" customHeight="false" outlineLevel="0" collapsed="false">
      <c r="A1784" s="5" t="s">
        <v>17114</v>
      </c>
      <c r="B1784" s="5" t="s">
        <v>1619</v>
      </c>
      <c r="C1784" s="5" t="s">
        <v>1620</v>
      </c>
      <c r="D1784" s="10" t="s">
        <v>137</v>
      </c>
      <c r="E1784" s="5" t="n">
        <v>5</v>
      </c>
      <c r="F1784" s="5" t="s">
        <v>17115</v>
      </c>
      <c r="G1784" s="13" t="s">
        <v>17116</v>
      </c>
      <c r="H1784" s="5" t="s">
        <v>17117</v>
      </c>
      <c r="I1784" s="13" t="s">
        <v>17118</v>
      </c>
      <c r="J1784" s="5" t="s">
        <v>17119</v>
      </c>
      <c r="K1784" s="5" t="s">
        <v>17120</v>
      </c>
      <c r="L1784" s="13" t="s">
        <v>17121</v>
      </c>
      <c r="M1784" s="13" t="s">
        <v>17122</v>
      </c>
      <c r="N1784" s="5" t="n">
        <f aca="false">LEN(L1784)</f>
        <v>25</v>
      </c>
      <c r="O1784" s="5" t="n">
        <f aca="false">LEN(M1784)</f>
        <v>25</v>
      </c>
      <c r="P1784" s="14" t="n">
        <f aca="false">IF(N1784=0,"",(N1784-LEN(SUBSTITUTE(SUBSTITUTE(L1784,"G",""),"C","")))/N1784)</f>
        <v>0.4</v>
      </c>
      <c r="Q1784" s="14" t="n">
        <f aca="false">IF(O1784=0,"",(O1784-LEN(SUBSTITUTE(SUBSTITUTE(M1784,"G",""),"C","")))/O1784)</f>
        <v>0.6</v>
      </c>
      <c r="R1784" s="5"/>
      <c r="S1784" s="8" t="s">
        <v>2131</v>
      </c>
      <c r="T1784" s="5"/>
      <c r="U1784" s="5" t="s">
        <v>15244</v>
      </c>
      <c r="V1784" s="5" t="s">
        <v>1549</v>
      </c>
      <c r="W1784" s="5"/>
      <c r="X1784" s="5"/>
      <c r="Y1784" s="5"/>
    </row>
    <row r="1785" customFormat="false" ht="15" hidden="false" customHeight="false" outlineLevel="0" collapsed="false">
      <c r="A1785" s="5" t="s">
        <v>17123</v>
      </c>
      <c r="B1785" s="5" t="s">
        <v>1619</v>
      </c>
      <c r="C1785" s="5" t="s">
        <v>1620</v>
      </c>
      <c r="D1785" s="10" t="s">
        <v>137</v>
      </c>
      <c r="E1785" s="5" t="n">
        <v>6</v>
      </c>
      <c r="F1785" s="5" t="s">
        <v>17124</v>
      </c>
      <c r="G1785" s="13" t="s">
        <v>17125</v>
      </c>
      <c r="H1785" s="5" t="s">
        <v>17126</v>
      </c>
      <c r="I1785" s="13" t="s">
        <v>17127</v>
      </c>
      <c r="J1785" s="5" t="s">
        <v>17128</v>
      </c>
      <c r="K1785" s="5" t="s">
        <v>17129</v>
      </c>
      <c r="L1785" s="13" t="s">
        <v>17130</v>
      </c>
      <c r="M1785" s="13" t="s">
        <v>17131</v>
      </c>
      <c r="N1785" s="5" t="n">
        <f aca="false">LEN(L1785)</f>
        <v>25</v>
      </c>
      <c r="O1785" s="5" t="n">
        <f aca="false">LEN(M1785)</f>
        <v>25</v>
      </c>
      <c r="P1785" s="14" t="n">
        <f aca="false">IF(N1785=0,"",(N1785-LEN(SUBSTITUTE(SUBSTITUTE(L1785,"G",""),"C","")))/N1785)</f>
        <v>0.44</v>
      </c>
      <c r="Q1785" s="14" t="n">
        <f aca="false">IF(O1785=0,"",(O1785-LEN(SUBSTITUTE(SUBSTITUTE(M1785,"G",""),"C","")))/O1785)</f>
        <v>0.32</v>
      </c>
      <c r="R1785" s="5"/>
      <c r="S1785" s="8" t="s">
        <v>2131</v>
      </c>
      <c r="T1785" s="5"/>
      <c r="U1785" s="5" t="s">
        <v>15244</v>
      </c>
      <c r="V1785" s="5" t="s">
        <v>1549</v>
      </c>
      <c r="W1785" s="5"/>
      <c r="X1785" s="5"/>
      <c r="Y1785" s="5"/>
    </row>
    <row r="1786" customFormat="false" ht="15" hidden="false" customHeight="false" outlineLevel="0" collapsed="false">
      <c r="A1786" s="5" t="s">
        <v>17132</v>
      </c>
      <c r="B1786" s="5" t="s">
        <v>1621</v>
      </c>
      <c r="C1786" s="5" t="s">
        <v>1622</v>
      </c>
      <c r="D1786" s="10" t="s">
        <v>137</v>
      </c>
      <c r="E1786" s="5" t="n">
        <v>1</v>
      </c>
      <c r="F1786" s="5" t="s">
        <v>17133</v>
      </c>
      <c r="G1786" s="13" t="s">
        <v>17134</v>
      </c>
      <c r="H1786" s="5" t="s">
        <v>17135</v>
      </c>
      <c r="I1786" s="13" t="s">
        <v>17136</v>
      </c>
      <c r="J1786" s="5" t="s">
        <v>17137</v>
      </c>
      <c r="K1786" s="5" t="s">
        <v>17138</v>
      </c>
      <c r="L1786" s="13" t="s">
        <v>17139</v>
      </c>
      <c r="M1786" s="13" t="s">
        <v>17140</v>
      </c>
      <c r="N1786" s="5" t="n">
        <f aca="false">LEN(L1786)</f>
        <v>25</v>
      </c>
      <c r="O1786" s="5" t="n">
        <f aca="false">LEN(M1786)</f>
        <v>25</v>
      </c>
      <c r="P1786" s="14" t="n">
        <f aca="false">IF(N1786=0,"",(N1786-LEN(SUBSTITUTE(SUBSTITUTE(L1786,"G",""),"C","")))/N1786)</f>
        <v>0.52</v>
      </c>
      <c r="Q1786" s="14" t="n">
        <f aca="false">IF(O1786=0,"",(O1786-LEN(SUBSTITUTE(SUBSTITUTE(M1786,"G",""),"C","")))/O1786)</f>
        <v>0.4</v>
      </c>
      <c r="R1786" s="5"/>
      <c r="S1786" s="8" t="s">
        <v>2131</v>
      </c>
      <c r="T1786" s="5"/>
      <c r="U1786" s="5" t="s">
        <v>15244</v>
      </c>
      <c r="V1786" s="5" t="s">
        <v>1549</v>
      </c>
      <c r="W1786" s="5"/>
      <c r="X1786" s="5"/>
      <c r="Y1786" s="5"/>
    </row>
    <row r="1787" customFormat="false" ht="15" hidden="false" customHeight="false" outlineLevel="0" collapsed="false">
      <c r="A1787" s="5" t="s">
        <v>17141</v>
      </c>
      <c r="B1787" s="5" t="s">
        <v>1621</v>
      </c>
      <c r="C1787" s="5" t="s">
        <v>1622</v>
      </c>
      <c r="D1787" s="10" t="s">
        <v>137</v>
      </c>
      <c r="E1787" s="5" t="n">
        <v>2</v>
      </c>
      <c r="F1787" s="5" t="s">
        <v>17142</v>
      </c>
      <c r="G1787" s="13" t="s">
        <v>17143</v>
      </c>
      <c r="H1787" s="5" t="s">
        <v>17144</v>
      </c>
      <c r="I1787" s="13" t="s">
        <v>17145</v>
      </c>
      <c r="J1787" s="5" t="s">
        <v>17146</v>
      </c>
      <c r="K1787" s="5" t="s">
        <v>17147</v>
      </c>
      <c r="L1787" s="13" t="s">
        <v>17148</v>
      </c>
      <c r="M1787" s="13" t="s">
        <v>17149</v>
      </c>
      <c r="N1787" s="5" t="n">
        <f aca="false">LEN(L1787)</f>
        <v>25</v>
      </c>
      <c r="O1787" s="5" t="n">
        <f aca="false">LEN(M1787)</f>
        <v>25</v>
      </c>
      <c r="P1787" s="14" t="n">
        <f aca="false">IF(N1787=0,"",(N1787-LEN(SUBSTITUTE(SUBSTITUTE(L1787,"G",""),"C","")))/N1787)</f>
        <v>0.56</v>
      </c>
      <c r="Q1787" s="14" t="n">
        <f aca="false">IF(O1787=0,"",(O1787-LEN(SUBSTITUTE(SUBSTITUTE(M1787,"G",""),"C","")))/O1787)</f>
        <v>0.48</v>
      </c>
      <c r="R1787" s="5"/>
      <c r="S1787" s="8" t="s">
        <v>2131</v>
      </c>
      <c r="T1787" s="5"/>
      <c r="U1787" s="5" t="s">
        <v>15244</v>
      </c>
      <c r="V1787" s="5" t="s">
        <v>1549</v>
      </c>
      <c r="W1787" s="5"/>
      <c r="X1787" s="5"/>
      <c r="Y1787" s="5"/>
    </row>
    <row r="1788" customFormat="false" ht="15" hidden="false" customHeight="false" outlineLevel="0" collapsed="false">
      <c r="A1788" s="5" t="s">
        <v>17150</v>
      </c>
      <c r="B1788" s="5" t="s">
        <v>1621</v>
      </c>
      <c r="C1788" s="5" t="s">
        <v>1622</v>
      </c>
      <c r="D1788" s="10" t="s">
        <v>137</v>
      </c>
      <c r="E1788" s="5" t="n">
        <v>3</v>
      </c>
      <c r="F1788" s="5" t="s">
        <v>17151</v>
      </c>
      <c r="G1788" s="13" t="s">
        <v>17152</v>
      </c>
      <c r="H1788" s="5" t="s">
        <v>17153</v>
      </c>
      <c r="I1788" s="13" t="s">
        <v>17154</v>
      </c>
      <c r="J1788" s="5" t="s">
        <v>17155</v>
      </c>
      <c r="K1788" s="5" t="s">
        <v>17156</v>
      </c>
      <c r="L1788" s="13" t="s">
        <v>17157</v>
      </c>
      <c r="M1788" s="13" t="s">
        <v>17158</v>
      </c>
      <c r="N1788" s="5" t="n">
        <f aca="false">LEN(L1788)</f>
        <v>25</v>
      </c>
      <c r="O1788" s="5" t="n">
        <f aca="false">LEN(M1788)</f>
        <v>25</v>
      </c>
      <c r="P1788" s="14" t="n">
        <f aca="false">IF(N1788=0,"",(N1788-LEN(SUBSTITUTE(SUBSTITUTE(L1788,"G",""),"C","")))/N1788)</f>
        <v>0.48</v>
      </c>
      <c r="Q1788" s="14" t="n">
        <f aca="false">IF(O1788=0,"",(O1788-LEN(SUBSTITUTE(SUBSTITUTE(M1788,"G",""),"C","")))/O1788)</f>
        <v>0.52</v>
      </c>
      <c r="R1788" s="5"/>
      <c r="S1788" s="8" t="s">
        <v>2131</v>
      </c>
      <c r="T1788" s="5"/>
      <c r="U1788" s="5" t="s">
        <v>15244</v>
      </c>
      <c r="V1788" s="5" t="s">
        <v>1549</v>
      </c>
      <c r="W1788" s="5"/>
      <c r="X1788" s="5"/>
      <c r="Y1788" s="5"/>
    </row>
    <row r="1789" customFormat="false" ht="15" hidden="false" customHeight="false" outlineLevel="0" collapsed="false">
      <c r="A1789" s="5" t="s">
        <v>17159</v>
      </c>
      <c r="B1789" s="5" t="s">
        <v>1621</v>
      </c>
      <c r="C1789" s="5" t="s">
        <v>1622</v>
      </c>
      <c r="D1789" s="10" t="s">
        <v>137</v>
      </c>
      <c r="E1789" s="5" t="n">
        <v>4</v>
      </c>
      <c r="F1789" s="5" t="s">
        <v>17160</v>
      </c>
      <c r="G1789" s="13" t="s">
        <v>17161</v>
      </c>
      <c r="H1789" s="5" t="s">
        <v>17162</v>
      </c>
      <c r="I1789" s="13" t="s">
        <v>17163</v>
      </c>
      <c r="J1789" s="5" t="s">
        <v>17164</v>
      </c>
      <c r="K1789" s="5" t="s">
        <v>17165</v>
      </c>
      <c r="L1789" s="13" t="s">
        <v>17166</v>
      </c>
      <c r="M1789" s="13" t="s">
        <v>17167</v>
      </c>
      <c r="N1789" s="5" t="n">
        <f aca="false">LEN(L1789)</f>
        <v>25</v>
      </c>
      <c r="O1789" s="5" t="n">
        <f aca="false">LEN(M1789)</f>
        <v>25</v>
      </c>
      <c r="P1789" s="14" t="n">
        <f aca="false">IF(N1789=0,"",(N1789-LEN(SUBSTITUTE(SUBSTITUTE(L1789,"G",""),"C","")))/N1789)</f>
        <v>0.52</v>
      </c>
      <c r="Q1789" s="14" t="n">
        <f aca="false">IF(O1789=0,"",(O1789-LEN(SUBSTITUTE(SUBSTITUTE(M1789,"G",""),"C","")))/O1789)</f>
        <v>0.64</v>
      </c>
      <c r="R1789" s="5"/>
      <c r="S1789" s="8" t="s">
        <v>2131</v>
      </c>
      <c r="T1789" s="5"/>
      <c r="U1789" s="5" t="s">
        <v>15244</v>
      </c>
      <c r="V1789" s="5" t="s">
        <v>1549</v>
      </c>
      <c r="W1789" s="5"/>
      <c r="X1789" s="5"/>
      <c r="Y1789" s="5"/>
    </row>
    <row r="1790" customFormat="false" ht="15" hidden="false" customHeight="false" outlineLevel="0" collapsed="false">
      <c r="A1790" s="5" t="s">
        <v>17168</v>
      </c>
      <c r="B1790" s="5" t="s">
        <v>1621</v>
      </c>
      <c r="C1790" s="5" t="s">
        <v>1622</v>
      </c>
      <c r="D1790" s="10" t="s">
        <v>137</v>
      </c>
      <c r="E1790" s="5" t="n">
        <v>5</v>
      </c>
      <c r="F1790" s="5" t="s">
        <v>17169</v>
      </c>
      <c r="G1790" s="13" t="s">
        <v>17170</v>
      </c>
      <c r="H1790" s="5" t="s">
        <v>17171</v>
      </c>
      <c r="I1790" s="13" t="s">
        <v>17172</v>
      </c>
      <c r="J1790" s="5" t="s">
        <v>17173</v>
      </c>
      <c r="K1790" s="5" t="s">
        <v>17174</v>
      </c>
      <c r="L1790" s="13" t="s">
        <v>17175</v>
      </c>
      <c r="M1790" s="13" t="s">
        <v>17176</v>
      </c>
      <c r="N1790" s="5" t="n">
        <f aca="false">LEN(L1790)</f>
        <v>25</v>
      </c>
      <c r="O1790" s="5" t="n">
        <f aca="false">LEN(M1790)</f>
        <v>25</v>
      </c>
      <c r="P1790" s="14" t="n">
        <f aca="false">IF(N1790=0,"",(N1790-LEN(SUBSTITUTE(SUBSTITUTE(L1790,"G",""),"C","")))/N1790)</f>
        <v>0.28</v>
      </c>
      <c r="Q1790" s="14" t="n">
        <f aca="false">IF(O1790=0,"",(O1790-LEN(SUBSTITUTE(SUBSTITUTE(M1790,"G",""),"C","")))/O1790)</f>
        <v>0.56</v>
      </c>
      <c r="R1790" s="5"/>
      <c r="S1790" s="8" t="s">
        <v>2131</v>
      </c>
      <c r="T1790" s="5"/>
      <c r="U1790" s="5" t="s">
        <v>15244</v>
      </c>
      <c r="V1790" s="5" t="s">
        <v>1549</v>
      </c>
      <c r="W1790" s="5"/>
      <c r="X1790" s="5"/>
      <c r="Y1790" s="5"/>
    </row>
    <row r="1791" customFormat="false" ht="15" hidden="false" customHeight="false" outlineLevel="0" collapsed="false">
      <c r="A1791" s="5" t="s">
        <v>17177</v>
      </c>
      <c r="B1791" s="5" t="s">
        <v>1621</v>
      </c>
      <c r="C1791" s="5" t="s">
        <v>1622</v>
      </c>
      <c r="D1791" s="10" t="s">
        <v>137</v>
      </c>
      <c r="E1791" s="5" t="n">
        <v>6</v>
      </c>
      <c r="F1791" s="5" t="s">
        <v>17178</v>
      </c>
      <c r="G1791" s="13" t="s">
        <v>17179</v>
      </c>
      <c r="H1791" s="5" t="s">
        <v>17180</v>
      </c>
      <c r="I1791" s="13" t="s">
        <v>17181</v>
      </c>
      <c r="J1791" s="5" t="s">
        <v>17182</v>
      </c>
      <c r="K1791" s="5" t="s">
        <v>17183</v>
      </c>
      <c r="L1791" s="13" t="s">
        <v>17184</v>
      </c>
      <c r="M1791" s="13" t="s">
        <v>17185</v>
      </c>
      <c r="N1791" s="5" t="n">
        <f aca="false">LEN(L1791)</f>
        <v>25</v>
      </c>
      <c r="O1791" s="5" t="n">
        <f aca="false">LEN(M1791)</f>
        <v>25</v>
      </c>
      <c r="P1791" s="14" t="n">
        <f aca="false">IF(N1791=0,"",(N1791-LEN(SUBSTITUTE(SUBSTITUTE(L1791,"G",""),"C","")))/N1791)</f>
        <v>0.48</v>
      </c>
      <c r="Q1791" s="14" t="n">
        <f aca="false">IF(O1791=0,"",(O1791-LEN(SUBSTITUTE(SUBSTITUTE(M1791,"G",""),"C","")))/O1791)</f>
        <v>0.56</v>
      </c>
      <c r="R1791" s="5"/>
      <c r="S1791" s="8" t="s">
        <v>2131</v>
      </c>
      <c r="T1791" s="5"/>
      <c r="U1791" s="5" t="s">
        <v>15244</v>
      </c>
      <c r="V1791" s="5" t="s">
        <v>1549</v>
      </c>
      <c r="W1791" s="5"/>
      <c r="X1791" s="5"/>
      <c r="Y1791" s="5"/>
    </row>
    <row r="1792" customFormat="false" ht="15" hidden="false" customHeight="false" outlineLevel="0" collapsed="false">
      <c r="A1792" s="5" t="s">
        <v>17186</v>
      </c>
      <c r="B1792" s="5" t="s">
        <v>1623</v>
      </c>
      <c r="C1792" s="5" t="s">
        <v>1624</v>
      </c>
      <c r="D1792" s="10" t="s">
        <v>137</v>
      </c>
      <c r="E1792" s="5" t="n">
        <v>1</v>
      </c>
      <c r="F1792" s="5" t="s">
        <v>17187</v>
      </c>
      <c r="G1792" s="13" t="s">
        <v>17188</v>
      </c>
      <c r="H1792" s="5" t="s">
        <v>17189</v>
      </c>
      <c r="I1792" s="13" t="s">
        <v>17190</v>
      </c>
      <c r="J1792" s="5" t="s">
        <v>17191</v>
      </c>
      <c r="K1792" s="5" t="s">
        <v>17192</v>
      </c>
      <c r="L1792" s="13" t="s">
        <v>17193</v>
      </c>
      <c r="M1792" s="13" t="s">
        <v>17194</v>
      </c>
      <c r="N1792" s="5" t="n">
        <f aca="false">LEN(L1792)</f>
        <v>25</v>
      </c>
      <c r="O1792" s="5" t="n">
        <f aca="false">LEN(M1792)</f>
        <v>25</v>
      </c>
      <c r="P1792" s="14" t="n">
        <f aca="false">IF(N1792=0,"",(N1792-LEN(SUBSTITUTE(SUBSTITUTE(L1792,"G",""),"C","")))/N1792)</f>
        <v>0.48</v>
      </c>
      <c r="Q1792" s="14" t="n">
        <f aca="false">IF(O1792=0,"",(O1792-LEN(SUBSTITUTE(SUBSTITUTE(M1792,"G",""),"C","")))/O1792)</f>
        <v>0.56</v>
      </c>
      <c r="R1792" s="5"/>
      <c r="S1792" s="8" t="s">
        <v>2131</v>
      </c>
      <c r="T1792" s="5"/>
      <c r="U1792" s="5" t="s">
        <v>2986</v>
      </c>
      <c r="V1792" s="5" t="s">
        <v>1546</v>
      </c>
      <c r="W1792" s="5" t="s">
        <v>15353</v>
      </c>
      <c r="X1792" s="5"/>
      <c r="Y1792" s="5"/>
    </row>
    <row r="1793" customFormat="false" ht="15" hidden="false" customHeight="false" outlineLevel="0" collapsed="false">
      <c r="A1793" s="5" t="s">
        <v>17195</v>
      </c>
      <c r="B1793" s="5" t="s">
        <v>1623</v>
      </c>
      <c r="C1793" s="5" t="s">
        <v>1624</v>
      </c>
      <c r="D1793" s="10" t="s">
        <v>137</v>
      </c>
      <c r="E1793" s="5" t="n">
        <v>2</v>
      </c>
      <c r="F1793" s="5" t="s">
        <v>17196</v>
      </c>
      <c r="G1793" s="13" t="s">
        <v>17197</v>
      </c>
      <c r="H1793" s="5" t="s">
        <v>17198</v>
      </c>
      <c r="I1793" s="13" t="s">
        <v>17199</v>
      </c>
      <c r="J1793" s="5" t="s">
        <v>17200</v>
      </c>
      <c r="K1793" s="5" t="s">
        <v>17201</v>
      </c>
      <c r="L1793" s="13" t="s">
        <v>17202</v>
      </c>
      <c r="M1793" s="13" t="s">
        <v>17203</v>
      </c>
      <c r="N1793" s="5" t="n">
        <f aca="false">LEN(L1793)</f>
        <v>25</v>
      </c>
      <c r="O1793" s="5" t="n">
        <f aca="false">LEN(M1793)</f>
        <v>25</v>
      </c>
      <c r="P1793" s="14" t="n">
        <f aca="false">IF(N1793=0,"",(N1793-LEN(SUBSTITUTE(SUBSTITUTE(L1793,"G",""),"C","")))/N1793)</f>
        <v>0.48</v>
      </c>
      <c r="Q1793" s="14" t="n">
        <f aca="false">IF(O1793=0,"",(O1793-LEN(SUBSTITUTE(SUBSTITUTE(M1793,"G",""),"C","")))/O1793)</f>
        <v>0.68</v>
      </c>
      <c r="R1793" s="5"/>
      <c r="S1793" s="8" t="s">
        <v>2131</v>
      </c>
      <c r="T1793" s="5"/>
      <c r="U1793" s="5" t="s">
        <v>2986</v>
      </c>
      <c r="V1793" s="5" t="s">
        <v>1546</v>
      </c>
      <c r="W1793" s="5" t="s">
        <v>15353</v>
      </c>
      <c r="X1793" s="5"/>
      <c r="Y1793" s="5"/>
    </row>
    <row r="1794" customFormat="false" ht="15" hidden="false" customHeight="false" outlineLevel="0" collapsed="false">
      <c r="A1794" s="5" t="s">
        <v>17204</v>
      </c>
      <c r="B1794" s="5" t="s">
        <v>1623</v>
      </c>
      <c r="C1794" s="5" t="s">
        <v>1624</v>
      </c>
      <c r="D1794" s="10" t="s">
        <v>137</v>
      </c>
      <c r="E1794" s="5" t="n">
        <v>3</v>
      </c>
      <c r="F1794" s="5" t="s">
        <v>17205</v>
      </c>
      <c r="G1794" s="13" t="s">
        <v>17206</v>
      </c>
      <c r="H1794" s="5" t="s">
        <v>17207</v>
      </c>
      <c r="I1794" s="13" t="s">
        <v>17208</v>
      </c>
      <c r="J1794" s="5" t="s">
        <v>17209</v>
      </c>
      <c r="K1794" s="5" t="s">
        <v>17210</v>
      </c>
      <c r="L1794" s="13" t="s">
        <v>17211</v>
      </c>
      <c r="M1794" s="13" t="s">
        <v>17212</v>
      </c>
      <c r="N1794" s="5" t="n">
        <f aca="false">LEN(L1794)</f>
        <v>25</v>
      </c>
      <c r="O1794" s="5" t="n">
        <f aca="false">LEN(M1794)</f>
        <v>25</v>
      </c>
      <c r="P1794" s="14" t="n">
        <f aca="false">IF(N1794=0,"",(N1794-LEN(SUBSTITUTE(SUBSTITUTE(L1794,"G",""),"C","")))/N1794)</f>
        <v>0.6</v>
      </c>
      <c r="Q1794" s="14" t="n">
        <f aca="false">IF(O1794=0,"",(O1794-LEN(SUBSTITUTE(SUBSTITUTE(M1794,"G",""),"C","")))/O1794)</f>
        <v>0.48</v>
      </c>
      <c r="R1794" s="5"/>
      <c r="S1794" s="8" t="s">
        <v>2131</v>
      </c>
      <c r="T1794" s="5"/>
      <c r="U1794" s="5" t="s">
        <v>2986</v>
      </c>
      <c r="V1794" s="5" t="s">
        <v>1546</v>
      </c>
      <c r="W1794" s="5" t="s">
        <v>15353</v>
      </c>
      <c r="X1794" s="5"/>
      <c r="Y1794" s="5"/>
    </row>
    <row r="1795" customFormat="false" ht="15" hidden="false" customHeight="false" outlineLevel="0" collapsed="false">
      <c r="A1795" s="5" t="s">
        <v>17213</v>
      </c>
      <c r="B1795" s="5" t="s">
        <v>1623</v>
      </c>
      <c r="C1795" s="5" t="s">
        <v>1624</v>
      </c>
      <c r="D1795" s="10" t="s">
        <v>137</v>
      </c>
      <c r="E1795" s="5" t="n">
        <v>4</v>
      </c>
      <c r="F1795" s="5" t="s">
        <v>17214</v>
      </c>
      <c r="G1795" s="13" t="s">
        <v>17215</v>
      </c>
      <c r="H1795" s="5" t="s">
        <v>17216</v>
      </c>
      <c r="I1795" s="13" t="s">
        <v>17217</v>
      </c>
      <c r="J1795" s="5" t="s">
        <v>17218</v>
      </c>
      <c r="K1795" s="5" t="s">
        <v>17219</v>
      </c>
      <c r="L1795" s="13" t="s">
        <v>17220</v>
      </c>
      <c r="M1795" s="13" t="s">
        <v>17221</v>
      </c>
      <c r="N1795" s="5" t="n">
        <f aca="false">LEN(L1795)</f>
        <v>25</v>
      </c>
      <c r="O1795" s="5" t="n">
        <f aca="false">LEN(M1795)</f>
        <v>25</v>
      </c>
      <c r="P1795" s="14" t="n">
        <f aca="false">IF(N1795=0,"",(N1795-LEN(SUBSTITUTE(SUBSTITUTE(L1795,"G",""),"C","")))/N1795)</f>
        <v>0.68</v>
      </c>
      <c r="Q1795" s="14" t="n">
        <f aca="false">IF(O1795=0,"",(O1795-LEN(SUBSTITUTE(SUBSTITUTE(M1795,"G",""),"C","")))/O1795)</f>
        <v>0.6</v>
      </c>
      <c r="R1795" s="5"/>
      <c r="S1795" s="8" t="s">
        <v>2131</v>
      </c>
      <c r="T1795" s="5"/>
      <c r="U1795" s="5" t="s">
        <v>2986</v>
      </c>
      <c r="V1795" s="5" t="s">
        <v>1546</v>
      </c>
      <c r="W1795" s="5" t="s">
        <v>15353</v>
      </c>
      <c r="X1795" s="5"/>
      <c r="Y1795" s="5"/>
    </row>
    <row r="1796" customFormat="false" ht="15" hidden="false" customHeight="false" outlineLevel="0" collapsed="false">
      <c r="A1796" s="5" t="s">
        <v>17222</v>
      </c>
      <c r="B1796" s="5" t="s">
        <v>1623</v>
      </c>
      <c r="C1796" s="5" t="s">
        <v>1624</v>
      </c>
      <c r="D1796" s="10" t="s">
        <v>137</v>
      </c>
      <c r="E1796" s="5" t="n">
        <v>5</v>
      </c>
      <c r="F1796" s="5" t="s">
        <v>17223</v>
      </c>
      <c r="G1796" s="13" t="s">
        <v>17224</v>
      </c>
      <c r="H1796" s="5" t="s">
        <v>17225</v>
      </c>
      <c r="I1796" s="13" t="s">
        <v>17226</v>
      </c>
      <c r="J1796" s="5" t="s">
        <v>17227</v>
      </c>
      <c r="K1796" s="5" t="s">
        <v>17228</v>
      </c>
      <c r="L1796" s="13" t="s">
        <v>17229</v>
      </c>
      <c r="M1796" s="13" t="s">
        <v>17230</v>
      </c>
      <c r="N1796" s="5" t="n">
        <f aca="false">LEN(L1796)</f>
        <v>25</v>
      </c>
      <c r="O1796" s="5" t="n">
        <f aca="false">LEN(M1796)</f>
        <v>25</v>
      </c>
      <c r="P1796" s="14" t="n">
        <f aca="false">IF(N1796=0,"",(N1796-LEN(SUBSTITUTE(SUBSTITUTE(L1796,"G",""),"C","")))/N1796)</f>
        <v>0.48</v>
      </c>
      <c r="Q1796" s="14" t="n">
        <f aca="false">IF(O1796=0,"",(O1796-LEN(SUBSTITUTE(SUBSTITUTE(M1796,"G",""),"C","")))/O1796)</f>
        <v>0.44</v>
      </c>
      <c r="R1796" s="5"/>
      <c r="S1796" s="8" t="s">
        <v>2131</v>
      </c>
      <c r="T1796" s="5"/>
      <c r="U1796" s="5" t="s">
        <v>2986</v>
      </c>
      <c r="V1796" s="5" t="s">
        <v>1546</v>
      </c>
      <c r="W1796" s="5" t="s">
        <v>15353</v>
      </c>
      <c r="X1796" s="5"/>
      <c r="Y1796" s="5"/>
    </row>
    <row r="1797" customFormat="false" ht="15" hidden="false" customHeight="false" outlineLevel="0" collapsed="false">
      <c r="A1797" s="5" t="s">
        <v>17231</v>
      </c>
      <c r="B1797" s="5" t="s">
        <v>1623</v>
      </c>
      <c r="C1797" s="5" t="s">
        <v>1624</v>
      </c>
      <c r="D1797" s="10" t="s">
        <v>137</v>
      </c>
      <c r="E1797" s="5" t="n">
        <v>6</v>
      </c>
      <c r="F1797" s="5" t="s">
        <v>17232</v>
      </c>
      <c r="G1797" s="13" t="s">
        <v>17233</v>
      </c>
      <c r="H1797" s="5" t="s">
        <v>17234</v>
      </c>
      <c r="I1797" s="13" t="s">
        <v>17235</v>
      </c>
      <c r="J1797" s="5" t="s">
        <v>17236</v>
      </c>
      <c r="K1797" s="5" t="s">
        <v>17237</v>
      </c>
      <c r="L1797" s="13" t="s">
        <v>17238</v>
      </c>
      <c r="M1797" s="13" t="s">
        <v>17239</v>
      </c>
      <c r="N1797" s="5" t="n">
        <f aca="false">LEN(L1797)</f>
        <v>25</v>
      </c>
      <c r="O1797" s="5" t="n">
        <f aca="false">LEN(M1797)</f>
        <v>25</v>
      </c>
      <c r="P1797" s="14" t="n">
        <f aca="false">IF(N1797=0,"",(N1797-LEN(SUBSTITUTE(SUBSTITUTE(L1797,"G",""),"C","")))/N1797)</f>
        <v>0.48</v>
      </c>
      <c r="Q1797" s="14" t="n">
        <f aca="false">IF(O1797=0,"",(O1797-LEN(SUBSTITUTE(SUBSTITUTE(M1797,"G",""),"C","")))/O1797)</f>
        <v>0.52</v>
      </c>
      <c r="R1797" s="5"/>
      <c r="S1797" s="8" t="s">
        <v>2131</v>
      </c>
      <c r="T1797" s="5"/>
      <c r="U1797" s="5" t="s">
        <v>2986</v>
      </c>
      <c r="V1797" s="5" t="s">
        <v>1546</v>
      </c>
      <c r="W1797" s="5" t="s">
        <v>15353</v>
      </c>
      <c r="X1797" s="5"/>
      <c r="Y1797" s="5"/>
    </row>
    <row r="1798" customFormat="false" ht="15" hidden="false" customHeight="false" outlineLevel="0" collapsed="false">
      <c r="A1798" s="5" t="s">
        <v>17240</v>
      </c>
      <c r="B1798" s="5" t="s">
        <v>1625</v>
      </c>
      <c r="C1798" s="5" t="s">
        <v>1626</v>
      </c>
      <c r="D1798" s="10" t="s">
        <v>137</v>
      </c>
      <c r="E1798" s="5" t="n">
        <v>1</v>
      </c>
      <c r="F1798" s="5" t="s">
        <v>17241</v>
      </c>
      <c r="G1798" s="13" t="s">
        <v>17242</v>
      </c>
      <c r="H1798" s="5" t="s">
        <v>17243</v>
      </c>
      <c r="I1798" s="13" t="s">
        <v>17244</v>
      </c>
      <c r="J1798" s="5" t="s">
        <v>17245</v>
      </c>
      <c r="K1798" s="5" t="s">
        <v>17246</v>
      </c>
      <c r="L1798" s="13" t="s">
        <v>17247</v>
      </c>
      <c r="M1798" s="13" t="s">
        <v>17248</v>
      </c>
      <c r="N1798" s="5" t="n">
        <f aca="false">LEN(L1798)</f>
        <v>25</v>
      </c>
      <c r="O1798" s="5" t="n">
        <f aca="false">LEN(M1798)</f>
        <v>25</v>
      </c>
      <c r="P1798" s="14" t="n">
        <f aca="false">IF(N1798=0,"",(N1798-LEN(SUBSTITUTE(SUBSTITUTE(L1798,"G",""),"C","")))/N1798)</f>
        <v>0.6</v>
      </c>
      <c r="Q1798" s="14" t="n">
        <f aca="false">IF(O1798=0,"",(O1798-LEN(SUBSTITUTE(SUBSTITUTE(M1798,"G",""),"C","")))/O1798)</f>
        <v>0.48</v>
      </c>
      <c r="R1798" s="5"/>
      <c r="S1798" s="8" t="s">
        <v>2131</v>
      </c>
      <c r="T1798" s="5"/>
      <c r="U1798" s="5" t="s">
        <v>15244</v>
      </c>
      <c r="V1798" s="5" t="s">
        <v>1549</v>
      </c>
      <c r="W1798" s="5"/>
      <c r="X1798" s="5"/>
      <c r="Y1798" s="5"/>
    </row>
    <row r="1799" customFormat="false" ht="15" hidden="false" customHeight="false" outlineLevel="0" collapsed="false">
      <c r="A1799" s="5" t="s">
        <v>17249</v>
      </c>
      <c r="B1799" s="5" t="s">
        <v>1625</v>
      </c>
      <c r="C1799" s="5" t="s">
        <v>1626</v>
      </c>
      <c r="D1799" s="10" t="s">
        <v>137</v>
      </c>
      <c r="E1799" s="5" t="n">
        <v>2</v>
      </c>
      <c r="F1799" s="5" t="s">
        <v>17250</v>
      </c>
      <c r="G1799" s="13" t="s">
        <v>17251</v>
      </c>
      <c r="H1799" s="5" t="s">
        <v>17252</v>
      </c>
      <c r="I1799" s="13" t="s">
        <v>17253</v>
      </c>
      <c r="J1799" s="5" t="s">
        <v>17254</v>
      </c>
      <c r="K1799" s="5" t="s">
        <v>17255</v>
      </c>
      <c r="L1799" s="13" t="s">
        <v>17256</v>
      </c>
      <c r="M1799" s="13" t="s">
        <v>17257</v>
      </c>
      <c r="N1799" s="5" t="n">
        <f aca="false">LEN(L1799)</f>
        <v>25</v>
      </c>
      <c r="O1799" s="5" t="n">
        <f aca="false">LEN(M1799)</f>
        <v>25</v>
      </c>
      <c r="P1799" s="14" t="n">
        <f aca="false">IF(N1799=0,"",(N1799-LEN(SUBSTITUTE(SUBSTITUTE(L1799,"G",""),"C","")))/N1799)</f>
        <v>0.6</v>
      </c>
      <c r="Q1799" s="14" t="n">
        <f aca="false">IF(O1799=0,"",(O1799-LEN(SUBSTITUTE(SUBSTITUTE(M1799,"G",""),"C","")))/O1799)</f>
        <v>0.52</v>
      </c>
      <c r="R1799" s="5"/>
      <c r="S1799" s="8" t="s">
        <v>2131</v>
      </c>
      <c r="T1799" s="5"/>
      <c r="U1799" s="5" t="s">
        <v>15244</v>
      </c>
      <c r="V1799" s="5" t="s">
        <v>1549</v>
      </c>
      <c r="W1799" s="5"/>
      <c r="X1799" s="5"/>
      <c r="Y1799" s="5"/>
    </row>
    <row r="1800" customFormat="false" ht="15" hidden="false" customHeight="false" outlineLevel="0" collapsed="false">
      <c r="A1800" s="5" t="s">
        <v>17258</v>
      </c>
      <c r="B1800" s="5" t="s">
        <v>1625</v>
      </c>
      <c r="C1800" s="5" t="s">
        <v>1626</v>
      </c>
      <c r="D1800" s="10" t="s">
        <v>137</v>
      </c>
      <c r="E1800" s="5" t="n">
        <v>3</v>
      </c>
      <c r="F1800" s="5" t="s">
        <v>17259</v>
      </c>
      <c r="G1800" s="13" t="s">
        <v>17260</v>
      </c>
      <c r="H1800" s="5" t="s">
        <v>17261</v>
      </c>
      <c r="I1800" s="13" t="s">
        <v>17262</v>
      </c>
      <c r="J1800" s="5" t="s">
        <v>17263</v>
      </c>
      <c r="K1800" s="5" t="s">
        <v>17264</v>
      </c>
      <c r="L1800" s="13" t="s">
        <v>17265</v>
      </c>
      <c r="M1800" s="13" t="s">
        <v>17266</v>
      </c>
      <c r="N1800" s="5" t="n">
        <f aca="false">LEN(L1800)</f>
        <v>25</v>
      </c>
      <c r="O1800" s="5" t="n">
        <f aca="false">LEN(M1800)</f>
        <v>25</v>
      </c>
      <c r="P1800" s="14" t="n">
        <f aca="false">IF(N1800=0,"",(N1800-LEN(SUBSTITUTE(SUBSTITUTE(L1800,"G",""),"C","")))/N1800)</f>
        <v>0.6</v>
      </c>
      <c r="Q1800" s="14" t="n">
        <f aca="false">IF(O1800=0,"",(O1800-LEN(SUBSTITUTE(SUBSTITUTE(M1800,"G",""),"C","")))/O1800)</f>
        <v>0.52</v>
      </c>
      <c r="R1800" s="5"/>
      <c r="S1800" s="8" t="s">
        <v>2131</v>
      </c>
      <c r="T1800" s="5"/>
      <c r="U1800" s="5" t="s">
        <v>15244</v>
      </c>
      <c r="V1800" s="5" t="s">
        <v>1549</v>
      </c>
      <c r="W1800" s="5"/>
      <c r="X1800" s="5"/>
      <c r="Y1800" s="5"/>
    </row>
    <row r="1801" customFormat="false" ht="15" hidden="false" customHeight="false" outlineLevel="0" collapsed="false">
      <c r="A1801" s="5" t="s">
        <v>17267</v>
      </c>
      <c r="B1801" s="5" t="s">
        <v>1625</v>
      </c>
      <c r="C1801" s="5" t="s">
        <v>1626</v>
      </c>
      <c r="D1801" s="10" t="s">
        <v>137</v>
      </c>
      <c r="E1801" s="5" t="n">
        <v>4</v>
      </c>
      <c r="F1801" s="5" t="s">
        <v>17268</v>
      </c>
      <c r="G1801" s="13" t="s">
        <v>17269</v>
      </c>
      <c r="H1801" s="5" t="s">
        <v>17270</v>
      </c>
      <c r="I1801" s="13" t="s">
        <v>17271</v>
      </c>
      <c r="J1801" s="5" t="s">
        <v>17272</v>
      </c>
      <c r="K1801" s="5" t="s">
        <v>17273</v>
      </c>
      <c r="L1801" s="13" t="s">
        <v>17274</v>
      </c>
      <c r="M1801" s="13" t="s">
        <v>17275</v>
      </c>
      <c r="N1801" s="5" t="n">
        <f aca="false">LEN(L1801)</f>
        <v>25</v>
      </c>
      <c r="O1801" s="5" t="n">
        <f aca="false">LEN(M1801)</f>
        <v>25</v>
      </c>
      <c r="P1801" s="14" t="n">
        <f aca="false">IF(N1801=0,"",(N1801-LEN(SUBSTITUTE(SUBSTITUTE(L1801,"G",""),"C","")))/N1801)</f>
        <v>0.64</v>
      </c>
      <c r="Q1801" s="14" t="n">
        <f aca="false">IF(O1801=0,"",(O1801-LEN(SUBSTITUTE(SUBSTITUTE(M1801,"G",""),"C","")))/O1801)</f>
        <v>0.68</v>
      </c>
      <c r="R1801" s="5"/>
      <c r="S1801" s="8" t="s">
        <v>2131</v>
      </c>
      <c r="T1801" s="5"/>
      <c r="U1801" s="5" t="s">
        <v>15244</v>
      </c>
      <c r="V1801" s="5" t="s">
        <v>1549</v>
      </c>
      <c r="W1801" s="5"/>
      <c r="X1801" s="5"/>
      <c r="Y1801" s="5"/>
    </row>
    <row r="1802" customFormat="false" ht="15" hidden="false" customHeight="false" outlineLevel="0" collapsed="false">
      <c r="A1802" s="5" t="s">
        <v>17276</v>
      </c>
      <c r="B1802" s="5" t="s">
        <v>1625</v>
      </c>
      <c r="C1802" s="5" t="s">
        <v>1626</v>
      </c>
      <c r="D1802" s="10" t="s">
        <v>137</v>
      </c>
      <c r="E1802" s="5" t="n">
        <v>5</v>
      </c>
      <c r="F1802" s="5" t="s">
        <v>17277</v>
      </c>
      <c r="G1802" s="13" t="s">
        <v>17278</v>
      </c>
      <c r="H1802" s="5" t="s">
        <v>17279</v>
      </c>
      <c r="I1802" s="13" t="s">
        <v>17280</v>
      </c>
      <c r="J1802" s="5" t="s">
        <v>17281</v>
      </c>
      <c r="K1802" s="5" t="s">
        <v>17282</v>
      </c>
      <c r="L1802" s="13" t="s">
        <v>17283</v>
      </c>
      <c r="M1802" s="13" t="s">
        <v>17284</v>
      </c>
      <c r="N1802" s="5" t="n">
        <f aca="false">LEN(L1802)</f>
        <v>25</v>
      </c>
      <c r="O1802" s="5" t="n">
        <f aca="false">LEN(M1802)</f>
        <v>25</v>
      </c>
      <c r="P1802" s="14" t="n">
        <f aca="false">IF(N1802=0,"",(N1802-LEN(SUBSTITUTE(SUBSTITUTE(L1802,"G",""),"C","")))/N1802)</f>
        <v>0.56</v>
      </c>
      <c r="Q1802" s="14" t="n">
        <f aca="false">IF(O1802=0,"",(O1802-LEN(SUBSTITUTE(SUBSTITUTE(M1802,"G",""),"C","")))/O1802)</f>
        <v>0.64</v>
      </c>
      <c r="R1802" s="5"/>
      <c r="S1802" s="8" t="s">
        <v>2131</v>
      </c>
      <c r="T1802" s="5"/>
      <c r="U1802" s="5" t="s">
        <v>15244</v>
      </c>
      <c r="V1802" s="5" t="s">
        <v>1549</v>
      </c>
      <c r="W1802" s="5"/>
      <c r="X1802" s="5"/>
      <c r="Y1802" s="5"/>
    </row>
    <row r="1803" customFormat="false" ht="15" hidden="false" customHeight="false" outlineLevel="0" collapsed="false">
      <c r="A1803" s="5" t="s">
        <v>17285</v>
      </c>
      <c r="B1803" s="5" t="s">
        <v>1625</v>
      </c>
      <c r="C1803" s="5" t="s">
        <v>1626</v>
      </c>
      <c r="D1803" s="10" t="s">
        <v>137</v>
      </c>
      <c r="E1803" s="5" t="n">
        <v>6</v>
      </c>
      <c r="F1803" s="5" t="s">
        <v>17286</v>
      </c>
      <c r="G1803" s="13" t="s">
        <v>17287</v>
      </c>
      <c r="H1803" s="5" t="s">
        <v>17288</v>
      </c>
      <c r="I1803" s="13" t="s">
        <v>17289</v>
      </c>
      <c r="J1803" s="5" t="s">
        <v>17290</v>
      </c>
      <c r="K1803" s="5" t="s">
        <v>17291</v>
      </c>
      <c r="L1803" s="13" t="s">
        <v>17292</v>
      </c>
      <c r="M1803" s="13" t="s">
        <v>17293</v>
      </c>
      <c r="N1803" s="5" t="n">
        <f aca="false">LEN(L1803)</f>
        <v>25</v>
      </c>
      <c r="O1803" s="5" t="n">
        <f aca="false">LEN(M1803)</f>
        <v>25</v>
      </c>
      <c r="P1803" s="14" t="n">
        <f aca="false">IF(N1803=0,"",(N1803-LEN(SUBSTITUTE(SUBSTITUTE(L1803,"G",""),"C","")))/N1803)</f>
        <v>0.36</v>
      </c>
      <c r="Q1803" s="14" t="n">
        <f aca="false">IF(O1803=0,"",(O1803-LEN(SUBSTITUTE(SUBSTITUTE(M1803,"G",""),"C","")))/O1803)</f>
        <v>0.6</v>
      </c>
      <c r="R1803" s="5"/>
      <c r="S1803" s="8" t="s">
        <v>2131</v>
      </c>
      <c r="T1803" s="5"/>
      <c r="U1803" s="5" t="s">
        <v>15244</v>
      </c>
      <c r="V1803" s="5" t="s">
        <v>1549</v>
      </c>
      <c r="W1803" s="5"/>
      <c r="X1803" s="5"/>
      <c r="Y1803" s="5"/>
    </row>
    <row r="1804" customFormat="false" ht="15" hidden="false" customHeight="false" outlineLevel="0" collapsed="false">
      <c r="A1804" s="5" t="s">
        <v>17294</v>
      </c>
      <c r="B1804" s="5" t="s">
        <v>1627</v>
      </c>
      <c r="C1804" s="5" t="s">
        <v>1628</v>
      </c>
      <c r="D1804" s="10" t="s">
        <v>137</v>
      </c>
      <c r="E1804" s="5" t="n">
        <v>1</v>
      </c>
      <c r="F1804" s="5" t="s">
        <v>17295</v>
      </c>
      <c r="G1804" s="13" t="s">
        <v>17296</v>
      </c>
      <c r="H1804" s="5" t="s">
        <v>17297</v>
      </c>
      <c r="I1804" s="13" t="s">
        <v>17298</v>
      </c>
      <c r="J1804" s="5" t="s">
        <v>17299</v>
      </c>
      <c r="K1804" s="5" t="s">
        <v>17300</v>
      </c>
      <c r="L1804" s="13" t="s">
        <v>17301</v>
      </c>
      <c r="M1804" s="13" t="s">
        <v>17302</v>
      </c>
      <c r="N1804" s="5" t="n">
        <f aca="false">LEN(L1804)</f>
        <v>25</v>
      </c>
      <c r="O1804" s="5" t="n">
        <f aca="false">LEN(M1804)</f>
        <v>25</v>
      </c>
      <c r="P1804" s="14" t="n">
        <f aca="false">IF(N1804=0,"",(N1804-LEN(SUBSTITUTE(SUBSTITUTE(L1804,"G",""),"C","")))/N1804)</f>
        <v>0.6</v>
      </c>
      <c r="Q1804" s="14" t="n">
        <f aca="false">IF(O1804=0,"",(O1804-LEN(SUBSTITUTE(SUBSTITUTE(M1804,"G",""),"C","")))/O1804)</f>
        <v>0.4</v>
      </c>
      <c r="R1804" s="5"/>
      <c r="S1804" s="8" t="s">
        <v>2131</v>
      </c>
      <c r="T1804" s="5"/>
      <c r="U1804" s="5" t="s">
        <v>15244</v>
      </c>
      <c r="V1804" s="5" t="s">
        <v>1549</v>
      </c>
      <c r="W1804" s="5"/>
      <c r="X1804" s="5"/>
      <c r="Y1804" s="5"/>
    </row>
    <row r="1805" customFormat="false" ht="15" hidden="false" customHeight="false" outlineLevel="0" collapsed="false">
      <c r="A1805" s="5" t="s">
        <v>17303</v>
      </c>
      <c r="B1805" s="5" t="s">
        <v>1627</v>
      </c>
      <c r="C1805" s="5" t="s">
        <v>1628</v>
      </c>
      <c r="D1805" s="10" t="s">
        <v>137</v>
      </c>
      <c r="E1805" s="5" t="n">
        <v>2</v>
      </c>
      <c r="F1805" s="5" t="s">
        <v>17304</v>
      </c>
      <c r="G1805" s="13" t="s">
        <v>17305</v>
      </c>
      <c r="H1805" s="5" t="s">
        <v>17306</v>
      </c>
      <c r="I1805" s="13" t="s">
        <v>17307</v>
      </c>
      <c r="J1805" s="5" t="s">
        <v>17308</v>
      </c>
      <c r="K1805" s="5" t="s">
        <v>17309</v>
      </c>
      <c r="L1805" s="13" t="s">
        <v>17310</v>
      </c>
      <c r="M1805" s="13" t="s">
        <v>17311</v>
      </c>
      <c r="N1805" s="5" t="n">
        <f aca="false">LEN(L1805)</f>
        <v>25</v>
      </c>
      <c r="O1805" s="5" t="n">
        <f aca="false">LEN(M1805)</f>
        <v>25</v>
      </c>
      <c r="P1805" s="14" t="n">
        <f aca="false">IF(N1805=0,"",(N1805-LEN(SUBSTITUTE(SUBSTITUTE(L1805,"G",""),"C","")))/N1805)</f>
        <v>0.56</v>
      </c>
      <c r="Q1805" s="14" t="n">
        <f aca="false">IF(O1805=0,"",(O1805-LEN(SUBSTITUTE(SUBSTITUTE(M1805,"G",""),"C","")))/O1805)</f>
        <v>0.52</v>
      </c>
      <c r="R1805" s="5"/>
      <c r="S1805" s="8" t="s">
        <v>2131</v>
      </c>
      <c r="T1805" s="5"/>
      <c r="U1805" s="5" t="s">
        <v>15244</v>
      </c>
      <c r="V1805" s="5" t="s">
        <v>1549</v>
      </c>
      <c r="W1805" s="5"/>
      <c r="X1805" s="5"/>
      <c r="Y1805" s="5"/>
    </row>
    <row r="1806" customFormat="false" ht="15" hidden="false" customHeight="false" outlineLevel="0" collapsed="false">
      <c r="A1806" s="5" t="s">
        <v>17312</v>
      </c>
      <c r="B1806" s="5" t="s">
        <v>1627</v>
      </c>
      <c r="C1806" s="5" t="s">
        <v>1628</v>
      </c>
      <c r="D1806" s="10" t="s">
        <v>137</v>
      </c>
      <c r="E1806" s="5" t="n">
        <v>3</v>
      </c>
      <c r="F1806" s="5" t="s">
        <v>17313</v>
      </c>
      <c r="G1806" s="13" t="s">
        <v>17314</v>
      </c>
      <c r="H1806" s="5" t="s">
        <v>17315</v>
      </c>
      <c r="I1806" s="13" t="s">
        <v>17316</v>
      </c>
      <c r="J1806" s="5" t="s">
        <v>17317</v>
      </c>
      <c r="K1806" s="5" t="s">
        <v>17318</v>
      </c>
      <c r="L1806" s="13" t="s">
        <v>17319</v>
      </c>
      <c r="M1806" s="13" t="s">
        <v>17320</v>
      </c>
      <c r="N1806" s="5" t="n">
        <f aca="false">LEN(L1806)</f>
        <v>25</v>
      </c>
      <c r="O1806" s="5" t="n">
        <f aca="false">LEN(M1806)</f>
        <v>25</v>
      </c>
      <c r="P1806" s="14" t="n">
        <f aca="false">IF(N1806=0,"",(N1806-LEN(SUBSTITUTE(SUBSTITUTE(L1806,"G",""),"C","")))/N1806)</f>
        <v>0.44</v>
      </c>
      <c r="Q1806" s="14" t="n">
        <f aca="false">IF(O1806=0,"",(O1806-LEN(SUBSTITUTE(SUBSTITUTE(M1806,"G",""),"C","")))/O1806)</f>
        <v>0.48</v>
      </c>
      <c r="R1806" s="5"/>
      <c r="S1806" s="8" t="s">
        <v>2131</v>
      </c>
      <c r="T1806" s="5"/>
      <c r="U1806" s="5" t="s">
        <v>15244</v>
      </c>
      <c r="V1806" s="5" t="s">
        <v>1549</v>
      </c>
      <c r="W1806" s="5"/>
      <c r="X1806" s="5"/>
      <c r="Y1806" s="5"/>
    </row>
    <row r="1807" customFormat="false" ht="15" hidden="false" customHeight="false" outlineLevel="0" collapsed="false">
      <c r="A1807" s="5" t="s">
        <v>17321</v>
      </c>
      <c r="B1807" s="5" t="s">
        <v>1627</v>
      </c>
      <c r="C1807" s="5" t="s">
        <v>1628</v>
      </c>
      <c r="D1807" s="10" t="s">
        <v>137</v>
      </c>
      <c r="E1807" s="5" t="n">
        <v>4</v>
      </c>
      <c r="F1807" s="5" t="s">
        <v>17322</v>
      </c>
      <c r="G1807" s="13" t="s">
        <v>17323</v>
      </c>
      <c r="H1807" s="5" t="s">
        <v>17324</v>
      </c>
      <c r="I1807" s="13" t="s">
        <v>17325</v>
      </c>
      <c r="J1807" s="5" t="s">
        <v>17326</v>
      </c>
      <c r="K1807" s="5" t="s">
        <v>17327</v>
      </c>
      <c r="L1807" s="13" t="s">
        <v>17328</v>
      </c>
      <c r="M1807" s="13" t="s">
        <v>17329</v>
      </c>
      <c r="N1807" s="5" t="n">
        <f aca="false">LEN(L1807)</f>
        <v>25</v>
      </c>
      <c r="O1807" s="5" t="n">
        <f aca="false">LEN(M1807)</f>
        <v>25</v>
      </c>
      <c r="P1807" s="14" t="n">
        <f aca="false">IF(N1807=0,"",(N1807-LEN(SUBSTITUTE(SUBSTITUTE(L1807,"G",""),"C","")))/N1807)</f>
        <v>0.44</v>
      </c>
      <c r="Q1807" s="14" t="n">
        <f aca="false">IF(O1807=0,"",(O1807-LEN(SUBSTITUTE(SUBSTITUTE(M1807,"G",""),"C","")))/O1807)</f>
        <v>0.56</v>
      </c>
      <c r="R1807" s="5"/>
      <c r="S1807" s="8" t="s">
        <v>2131</v>
      </c>
      <c r="T1807" s="5"/>
      <c r="U1807" s="5" t="s">
        <v>15244</v>
      </c>
      <c r="V1807" s="5" t="s">
        <v>1549</v>
      </c>
      <c r="W1807" s="5"/>
      <c r="X1807" s="5"/>
      <c r="Y1807" s="5"/>
    </row>
    <row r="1808" customFormat="false" ht="15" hidden="false" customHeight="false" outlineLevel="0" collapsed="false">
      <c r="A1808" s="5" t="s">
        <v>17330</v>
      </c>
      <c r="B1808" s="5" t="s">
        <v>1627</v>
      </c>
      <c r="C1808" s="5" t="s">
        <v>1628</v>
      </c>
      <c r="D1808" s="10" t="s">
        <v>137</v>
      </c>
      <c r="E1808" s="5" t="n">
        <v>5</v>
      </c>
      <c r="F1808" s="5" t="s">
        <v>17331</v>
      </c>
      <c r="G1808" s="13" t="s">
        <v>17332</v>
      </c>
      <c r="H1808" s="5" t="s">
        <v>17333</v>
      </c>
      <c r="I1808" s="13" t="s">
        <v>17334</v>
      </c>
      <c r="J1808" s="5" t="s">
        <v>17335</v>
      </c>
      <c r="K1808" s="5" t="s">
        <v>17336</v>
      </c>
      <c r="L1808" s="13" t="s">
        <v>17337</v>
      </c>
      <c r="M1808" s="13" t="s">
        <v>17338</v>
      </c>
      <c r="N1808" s="5" t="n">
        <f aca="false">LEN(L1808)</f>
        <v>25</v>
      </c>
      <c r="O1808" s="5" t="n">
        <f aca="false">LEN(M1808)</f>
        <v>25</v>
      </c>
      <c r="P1808" s="14" t="n">
        <f aca="false">IF(N1808=0,"",(N1808-LEN(SUBSTITUTE(SUBSTITUTE(L1808,"G",""),"C","")))/N1808)</f>
        <v>0.44</v>
      </c>
      <c r="Q1808" s="14" t="n">
        <f aca="false">IF(O1808=0,"",(O1808-LEN(SUBSTITUTE(SUBSTITUTE(M1808,"G",""),"C","")))/O1808)</f>
        <v>0.36</v>
      </c>
      <c r="R1808" s="5"/>
      <c r="S1808" s="8" t="s">
        <v>2131</v>
      </c>
      <c r="T1808" s="5"/>
      <c r="U1808" s="5" t="s">
        <v>15244</v>
      </c>
      <c r="V1808" s="5" t="s">
        <v>1549</v>
      </c>
      <c r="W1808" s="5"/>
      <c r="X1808" s="5"/>
      <c r="Y1808" s="5"/>
    </row>
    <row r="1809" customFormat="false" ht="15" hidden="false" customHeight="false" outlineLevel="0" collapsed="false">
      <c r="A1809" s="5" t="s">
        <v>17339</v>
      </c>
      <c r="B1809" s="5" t="s">
        <v>1627</v>
      </c>
      <c r="C1809" s="5" t="s">
        <v>1628</v>
      </c>
      <c r="D1809" s="10" t="s">
        <v>137</v>
      </c>
      <c r="E1809" s="5" t="n">
        <v>6</v>
      </c>
      <c r="F1809" s="5" t="s">
        <v>17340</v>
      </c>
      <c r="G1809" s="13" t="s">
        <v>17341</v>
      </c>
      <c r="H1809" s="5" t="s">
        <v>17342</v>
      </c>
      <c r="I1809" s="13" t="s">
        <v>17343</v>
      </c>
      <c r="J1809" s="5" t="s">
        <v>17344</v>
      </c>
      <c r="K1809" s="5" t="s">
        <v>17345</v>
      </c>
      <c r="L1809" s="13" t="s">
        <v>17346</v>
      </c>
      <c r="M1809" s="13" t="s">
        <v>17347</v>
      </c>
      <c r="N1809" s="5" t="n">
        <f aca="false">LEN(L1809)</f>
        <v>25</v>
      </c>
      <c r="O1809" s="5" t="n">
        <f aca="false">LEN(M1809)</f>
        <v>25</v>
      </c>
      <c r="P1809" s="14" t="n">
        <f aca="false">IF(N1809=0,"",(N1809-LEN(SUBSTITUTE(SUBSTITUTE(L1809,"G",""),"C","")))/N1809)</f>
        <v>0.48</v>
      </c>
      <c r="Q1809" s="14" t="n">
        <f aca="false">IF(O1809=0,"",(O1809-LEN(SUBSTITUTE(SUBSTITUTE(M1809,"G",""),"C","")))/O1809)</f>
        <v>0.44</v>
      </c>
      <c r="R1809" s="5"/>
      <c r="S1809" s="8" t="s">
        <v>2131</v>
      </c>
      <c r="T1809" s="5"/>
      <c r="U1809" s="5" t="s">
        <v>15244</v>
      </c>
      <c r="V1809" s="5" t="s">
        <v>1549</v>
      </c>
      <c r="W1809" s="5"/>
      <c r="X1809" s="5"/>
      <c r="Y1809" s="5"/>
    </row>
    <row r="1810" customFormat="false" ht="15" hidden="false" customHeight="false" outlineLevel="0" collapsed="false">
      <c r="A1810" s="5" t="s">
        <v>17348</v>
      </c>
      <c r="B1810" s="5" t="s">
        <v>1629</v>
      </c>
      <c r="C1810" s="5" t="s">
        <v>1630</v>
      </c>
      <c r="D1810" s="10" t="s">
        <v>137</v>
      </c>
      <c r="E1810" s="5" t="n">
        <v>1</v>
      </c>
      <c r="F1810" s="5" t="s">
        <v>17349</v>
      </c>
      <c r="G1810" s="13" t="s">
        <v>17350</v>
      </c>
      <c r="H1810" s="5" t="s">
        <v>17351</v>
      </c>
      <c r="I1810" s="13" t="s">
        <v>17352</v>
      </c>
      <c r="J1810" s="5" t="s">
        <v>17353</v>
      </c>
      <c r="K1810" s="5" t="s">
        <v>17354</v>
      </c>
      <c r="L1810" s="13" t="s">
        <v>17355</v>
      </c>
      <c r="M1810" s="13" t="s">
        <v>17356</v>
      </c>
      <c r="N1810" s="5" t="n">
        <f aca="false">LEN(L1810)</f>
        <v>25</v>
      </c>
      <c r="O1810" s="5" t="n">
        <f aca="false">LEN(M1810)</f>
        <v>25</v>
      </c>
      <c r="P1810" s="14" t="n">
        <f aca="false">IF(N1810=0,"",(N1810-LEN(SUBSTITUTE(SUBSTITUTE(L1810,"G",""),"C","")))/N1810)</f>
        <v>0.56</v>
      </c>
      <c r="Q1810" s="14" t="n">
        <f aca="false">IF(O1810=0,"",(O1810-LEN(SUBSTITUTE(SUBSTITUTE(M1810,"G",""),"C","")))/O1810)</f>
        <v>0.6</v>
      </c>
      <c r="R1810" s="5"/>
      <c r="S1810" s="8" t="s">
        <v>2131</v>
      </c>
      <c r="T1810" s="5"/>
      <c r="U1810" s="5" t="s">
        <v>2986</v>
      </c>
      <c r="V1810" s="5" t="s">
        <v>1556</v>
      </c>
      <c r="W1810" s="5"/>
      <c r="X1810" s="5"/>
      <c r="Y1810" s="5"/>
    </row>
    <row r="1811" customFormat="false" ht="15" hidden="false" customHeight="false" outlineLevel="0" collapsed="false">
      <c r="A1811" s="5" t="s">
        <v>17357</v>
      </c>
      <c r="B1811" s="5" t="s">
        <v>1629</v>
      </c>
      <c r="C1811" s="5" t="s">
        <v>1630</v>
      </c>
      <c r="D1811" s="10" t="s">
        <v>137</v>
      </c>
      <c r="E1811" s="5" t="n">
        <v>2</v>
      </c>
      <c r="F1811" s="5" t="s">
        <v>17358</v>
      </c>
      <c r="G1811" s="13" t="s">
        <v>17359</v>
      </c>
      <c r="H1811" s="5" t="s">
        <v>17360</v>
      </c>
      <c r="I1811" s="13" t="s">
        <v>17361</v>
      </c>
      <c r="J1811" s="5" t="s">
        <v>17362</v>
      </c>
      <c r="K1811" s="5" t="s">
        <v>17363</v>
      </c>
      <c r="L1811" s="13" t="s">
        <v>17364</v>
      </c>
      <c r="M1811" s="13" t="s">
        <v>17365</v>
      </c>
      <c r="N1811" s="5" t="n">
        <f aca="false">LEN(L1811)</f>
        <v>25</v>
      </c>
      <c r="O1811" s="5" t="n">
        <f aca="false">LEN(M1811)</f>
        <v>25</v>
      </c>
      <c r="P1811" s="14" t="n">
        <f aca="false">IF(N1811=0,"",(N1811-LEN(SUBSTITUTE(SUBSTITUTE(L1811,"G",""),"C","")))/N1811)</f>
        <v>0.68</v>
      </c>
      <c r="Q1811" s="14" t="n">
        <f aca="false">IF(O1811=0,"",(O1811-LEN(SUBSTITUTE(SUBSTITUTE(M1811,"G",""),"C","")))/O1811)</f>
        <v>0.6</v>
      </c>
      <c r="R1811" s="5"/>
      <c r="S1811" s="8" t="s">
        <v>2131</v>
      </c>
      <c r="T1811" s="5"/>
      <c r="U1811" s="5" t="s">
        <v>2986</v>
      </c>
      <c r="V1811" s="5" t="s">
        <v>1556</v>
      </c>
      <c r="W1811" s="5"/>
      <c r="X1811" s="5"/>
      <c r="Y1811" s="5"/>
    </row>
    <row r="1812" customFormat="false" ht="15" hidden="false" customHeight="false" outlineLevel="0" collapsed="false">
      <c r="A1812" s="5" t="s">
        <v>17366</v>
      </c>
      <c r="B1812" s="5" t="s">
        <v>1629</v>
      </c>
      <c r="C1812" s="5" t="s">
        <v>1630</v>
      </c>
      <c r="D1812" s="10" t="s">
        <v>137</v>
      </c>
      <c r="E1812" s="5" t="n">
        <v>3</v>
      </c>
      <c r="F1812" s="5" t="s">
        <v>17367</v>
      </c>
      <c r="G1812" s="13" t="s">
        <v>17368</v>
      </c>
      <c r="H1812" s="5" t="s">
        <v>17369</v>
      </c>
      <c r="I1812" s="13" t="s">
        <v>17370</v>
      </c>
      <c r="J1812" s="5" t="s">
        <v>17371</v>
      </c>
      <c r="K1812" s="5" t="s">
        <v>17372</v>
      </c>
      <c r="L1812" s="13" t="s">
        <v>17373</v>
      </c>
      <c r="M1812" s="13" t="s">
        <v>17374</v>
      </c>
      <c r="N1812" s="5" t="n">
        <f aca="false">LEN(L1812)</f>
        <v>25</v>
      </c>
      <c r="O1812" s="5" t="n">
        <f aca="false">LEN(M1812)</f>
        <v>25</v>
      </c>
      <c r="P1812" s="14" t="n">
        <f aca="false">IF(N1812=0,"",(N1812-LEN(SUBSTITUTE(SUBSTITUTE(L1812,"G",""),"C","")))/N1812)</f>
        <v>0.6</v>
      </c>
      <c r="Q1812" s="14" t="n">
        <f aca="false">IF(O1812=0,"",(O1812-LEN(SUBSTITUTE(SUBSTITUTE(M1812,"G",""),"C","")))/O1812)</f>
        <v>0.64</v>
      </c>
      <c r="R1812" s="5"/>
      <c r="S1812" s="8" t="s">
        <v>2131</v>
      </c>
      <c r="T1812" s="5"/>
      <c r="U1812" s="5" t="s">
        <v>2986</v>
      </c>
      <c r="V1812" s="5" t="s">
        <v>1556</v>
      </c>
      <c r="W1812" s="5"/>
      <c r="X1812" s="5"/>
      <c r="Y1812" s="5"/>
    </row>
    <row r="1813" customFormat="false" ht="15" hidden="false" customHeight="false" outlineLevel="0" collapsed="false">
      <c r="A1813" s="5" t="s">
        <v>17375</v>
      </c>
      <c r="B1813" s="5" t="s">
        <v>1629</v>
      </c>
      <c r="C1813" s="5" t="s">
        <v>1630</v>
      </c>
      <c r="D1813" s="10" t="s">
        <v>137</v>
      </c>
      <c r="E1813" s="5" t="n">
        <v>4</v>
      </c>
      <c r="F1813" s="5" t="s">
        <v>17376</v>
      </c>
      <c r="G1813" s="13" t="s">
        <v>17377</v>
      </c>
      <c r="H1813" s="5" t="s">
        <v>17378</v>
      </c>
      <c r="I1813" s="13" t="s">
        <v>17379</v>
      </c>
      <c r="J1813" s="5" t="s">
        <v>17380</v>
      </c>
      <c r="K1813" s="5" t="s">
        <v>17381</v>
      </c>
      <c r="L1813" s="13" t="s">
        <v>17382</v>
      </c>
      <c r="M1813" s="13" t="s">
        <v>17383</v>
      </c>
      <c r="N1813" s="5" t="n">
        <f aca="false">LEN(L1813)</f>
        <v>25</v>
      </c>
      <c r="O1813" s="5" t="n">
        <f aca="false">LEN(M1813)</f>
        <v>25</v>
      </c>
      <c r="P1813" s="14" t="n">
        <f aca="false">IF(N1813=0,"",(N1813-LEN(SUBSTITUTE(SUBSTITUTE(L1813,"G",""),"C","")))/N1813)</f>
        <v>0.72</v>
      </c>
      <c r="Q1813" s="14" t="n">
        <f aca="false">IF(O1813=0,"",(O1813-LEN(SUBSTITUTE(SUBSTITUTE(M1813,"G",""),"C","")))/O1813)</f>
        <v>0.76</v>
      </c>
      <c r="R1813" s="5"/>
      <c r="S1813" s="8" t="s">
        <v>2131</v>
      </c>
      <c r="T1813" s="5"/>
      <c r="U1813" s="5" t="s">
        <v>2986</v>
      </c>
      <c r="V1813" s="5" t="s">
        <v>1556</v>
      </c>
      <c r="W1813" s="5"/>
      <c r="X1813" s="5"/>
      <c r="Y1813" s="5"/>
    </row>
    <row r="1814" customFormat="false" ht="15" hidden="false" customHeight="false" outlineLevel="0" collapsed="false">
      <c r="A1814" s="5" t="s">
        <v>17384</v>
      </c>
      <c r="B1814" s="5" t="s">
        <v>1629</v>
      </c>
      <c r="C1814" s="5" t="s">
        <v>1630</v>
      </c>
      <c r="D1814" s="10" t="s">
        <v>137</v>
      </c>
      <c r="E1814" s="5" t="n">
        <v>5</v>
      </c>
      <c r="F1814" s="5" t="s">
        <v>17385</v>
      </c>
      <c r="G1814" s="13" t="s">
        <v>17386</v>
      </c>
      <c r="H1814" s="5" t="s">
        <v>17387</v>
      </c>
      <c r="I1814" s="13" t="s">
        <v>17388</v>
      </c>
      <c r="J1814" s="5" t="s">
        <v>17389</v>
      </c>
      <c r="K1814" s="5" t="s">
        <v>17390</v>
      </c>
      <c r="L1814" s="13" t="s">
        <v>17391</v>
      </c>
      <c r="M1814" s="13" t="s">
        <v>17392</v>
      </c>
      <c r="N1814" s="5" t="n">
        <f aca="false">LEN(L1814)</f>
        <v>25</v>
      </c>
      <c r="O1814" s="5" t="n">
        <f aca="false">LEN(M1814)</f>
        <v>25</v>
      </c>
      <c r="P1814" s="14" t="n">
        <f aca="false">IF(N1814=0,"",(N1814-LEN(SUBSTITUTE(SUBSTITUTE(L1814,"G",""),"C","")))/N1814)</f>
        <v>0.52</v>
      </c>
      <c r="Q1814" s="14" t="n">
        <f aca="false">IF(O1814=0,"",(O1814-LEN(SUBSTITUTE(SUBSTITUTE(M1814,"G",""),"C","")))/O1814)</f>
        <v>0.72</v>
      </c>
      <c r="R1814" s="5"/>
      <c r="S1814" s="8" t="s">
        <v>2131</v>
      </c>
      <c r="T1814" s="5"/>
      <c r="U1814" s="5" t="s">
        <v>2986</v>
      </c>
      <c r="V1814" s="5" t="s">
        <v>1556</v>
      </c>
      <c r="W1814" s="5"/>
      <c r="X1814" s="5"/>
      <c r="Y1814" s="5"/>
    </row>
    <row r="1815" customFormat="false" ht="15" hidden="false" customHeight="false" outlineLevel="0" collapsed="false">
      <c r="A1815" s="5" t="s">
        <v>17393</v>
      </c>
      <c r="B1815" s="5" t="s">
        <v>1629</v>
      </c>
      <c r="C1815" s="5" t="s">
        <v>1630</v>
      </c>
      <c r="D1815" s="10" t="s">
        <v>137</v>
      </c>
      <c r="E1815" s="5" t="n">
        <v>6</v>
      </c>
      <c r="F1815" s="5" t="s">
        <v>17394</v>
      </c>
      <c r="G1815" s="13" t="s">
        <v>17395</v>
      </c>
      <c r="H1815" s="5" t="s">
        <v>17396</v>
      </c>
      <c r="I1815" s="13" t="s">
        <v>17397</v>
      </c>
      <c r="J1815" s="5" t="s">
        <v>17398</v>
      </c>
      <c r="K1815" s="5" t="s">
        <v>17399</v>
      </c>
      <c r="L1815" s="13" t="s">
        <v>17400</v>
      </c>
      <c r="M1815" s="13" t="s">
        <v>17401</v>
      </c>
      <c r="N1815" s="5" t="n">
        <f aca="false">LEN(L1815)</f>
        <v>25</v>
      </c>
      <c r="O1815" s="5" t="n">
        <f aca="false">LEN(M1815)</f>
        <v>25</v>
      </c>
      <c r="P1815" s="14" t="n">
        <f aca="false">IF(N1815=0,"",(N1815-LEN(SUBSTITUTE(SUBSTITUTE(L1815,"G",""),"C","")))/N1815)</f>
        <v>0.68</v>
      </c>
      <c r="Q1815" s="14" t="n">
        <f aca="false">IF(O1815=0,"",(O1815-LEN(SUBSTITUTE(SUBSTITUTE(M1815,"G",""),"C","")))/O1815)</f>
        <v>0.6</v>
      </c>
      <c r="R1815" s="5"/>
      <c r="S1815" s="8" t="s">
        <v>2131</v>
      </c>
      <c r="T1815" s="5"/>
      <c r="U1815" s="5" t="s">
        <v>2986</v>
      </c>
      <c r="V1815" s="5" t="s">
        <v>1556</v>
      </c>
      <c r="W1815" s="5"/>
      <c r="X1815" s="5"/>
      <c r="Y1815" s="5"/>
    </row>
    <row r="1816" customFormat="false" ht="15" hidden="false" customHeight="false" outlineLevel="0" collapsed="false">
      <c r="A1816" s="5" t="s">
        <v>17402</v>
      </c>
      <c r="B1816" s="5" t="s">
        <v>1629</v>
      </c>
      <c r="C1816" s="5" t="s">
        <v>1630</v>
      </c>
      <c r="D1816" s="10" t="s">
        <v>137</v>
      </c>
      <c r="E1816" s="5" t="n">
        <v>7</v>
      </c>
      <c r="F1816" s="5" t="s">
        <v>17403</v>
      </c>
      <c r="G1816" s="13" t="s">
        <v>17404</v>
      </c>
      <c r="H1816" s="5" t="s">
        <v>17405</v>
      </c>
      <c r="I1816" s="13" t="s">
        <v>17406</v>
      </c>
      <c r="J1816" s="5" t="s">
        <v>17407</v>
      </c>
      <c r="K1816" s="5" t="s">
        <v>17408</v>
      </c>
      <c r="L1816" s="13" t="s">
        <v>17409</v>
      </c>
      <c r="M1816" s="13" t="s">
        <v>17410</v>
      </c>
      <c r="N1816" s="5" t="n">
        <f aca="false">LEN(L1816)</f>
        <v>25</v>
      </c>
      <c r="O1816" s="5" t="n">
        <f aca="false">LEN(M1816)</f>
        <v>25</v>
      </c>
      <c r="P1816" s="14" t="n">
        <f aca="false">IF(N1816=0,"",(N1816-LEN(SUBSTITUTE(SUBSTITUTE(L1816,"G",""),"C","")))/N1816)</f>
        <v>0.76</v>
      </c>
      <c r="Q1816" s="14" t="n">
        <f aca="false">IF(O1816=0,"",(O1816-LEN(SUBSTITUTE(SUBSTITUTE(M1816,"G",""),"C","")))/O1816)</f>
        <v>0.72</v>
      </c>
      <c r="R1816" s="5"/>
      <c r="S1816" s="8" t="s">
        <v>2131</v>
      </c>
      <c r="T1816" s="5"/>
      <c r="U1816" s="5" t="s">
        <v>2986</v>
      </c>
      <c r="V1816" s="5" t="s">
        <v>1556</v>
      </c>
      <c r="W1816" s="5"/>
      <c r="X1816" s="5"/>
      <c r="Y1816" s="5"/>
    </row>
    <row r="1817" customFormat="false" ht="15" hidden="false" customHeight="false" outlineLevel="0" collapsed="false">
      <c r="A1817" s="5" t="s">
        <v>17411</v>
      </c>
      <c r="B1817" s="5" t="s">
        <v>1629</v>
      </c>
      <c r="C1817" s="5" t="s">
        <v>1630</v>
      </c>
      <c r="D1817" s="10" t="s">
        <v>137</v>
      </c>
      <c r="E1817" s="5" t="n">
        <v>8</v>
      </c>
      <c r="F1817" s="5" t="s">
        <v>17412</v>
      </c>
      <c r="G1817" s="13" t="s">
        <v>17413</v>
      </c>
      <c r="H1817" s="5" t="s">
        <v>17414</v>
      </c>
      <c r="I1817" s="13" t="s">
        <v>17415</v>
      </c>
      <c r="J1817" s="5" t="s">
        <v>17416</v>
      </c>
      <c r="K1817" s="5" t="s">
        <v>17417</v>
      </c>
      <c r="L1817" s="13" t="s">
        <v>17418</v>
      </c>
      <c r="M1817" s="13" t="s">
        <v>17419</v>
      </c>
      <c r="N1817" s="5" t="n">
        <f aca="false">LEN(L1817)</f>
        <v>25</v>
      </c>
      <c r="O1817" s="5" t="n">
        <f aca="false">LEN(M1817)</f>
        <v>25</v>
      </c>
      <c r="P1817" s="14" t="n">
        <f aca="false">IF(N1817=0,"",(N1817-LEN(SUBSTITUTE(SUBSTITUTE(L1817,"G",""),"C","")))/N1817)</f>
        <v>0.56</v>
      </c>
      <c r="Q1817" s="14" t="n">
        <f aca="false">IF(O1817=0,"",(O1817-LEN(SUBSTITUTE(SUBSTITUTE(M1817,"G",""),"C","")))/O1817)</f>
        <v>0.68</v>
      </c>
      <c r="R1817" s="5"/>
      <c r="S1817" s="8" t="s">
        <v>2131</v>
      </c>
      <c r="T1817" s="5"/>
      <c r="U1817" s="5" t="s">
        <v>2986</v>
      </c>
      <c r="V1817" s="5" t="s">
        <v>1556</v>
      </c>
      <c r="W1817" s="5"/>
      <c r="X1817" s="5"/>
      <c r="Y1817" s="5"/>
    </row>
    <row r="1818" customFormat="false" ht="15" hidden="false" customHeight="false" outlineLevel="0" collapsed="false">
      <c r="A1818" s="5" t="s">
        <v>17420</v>
      </c>
      <c r="B1818" s="5" t="s">
        <v>1631</v>
      </c>
      <c r="C1818" s="5" t="s">
        <v>1632</v>
      </c>
      <c r="D1818" s="10" t="s">
        <v>137</v>
      </c>
      <c r="E1818" s="5" t="n">
        <v>1</v>
      </c>
      <c r="F1818" s="5" t="s">
        <v>17421</v>
      </c>
      <c r="G1818" s="13" t="s">
        <v>17422</v>
      </c>
      <c r="H1818" s="5" t="s">
        <v>17423</v>
      </c>
      <c r="I1818" s="13" t="s">
        <v>17424</v>
      </c>
      <c r="J1818" s="5" t="s">
        <v>17425</v>
      </c>
      <c r="K1818" s="5" t="s">
        <v>17426</v>
      </c>
      <c r="L1818" s="13" t="s">
        <v>17427</v>
      </c>
      <c r="M1818" s="13" t="s">
        <v>17428</v>
      </c>
      <c r="N1818" s="5" t="n">
        <f aca="false">LEN(L1818)</f>
        <v>25</v>
      </c>
      <c r="O1818" s="5" t="n">
        <f aca="false">LEN(M1818)</f>
        <v>25</v>
      </c>
      <c r="P1818" s="14" t="n">
        <f aca="false">IF(N1818=0,"",(N1818-LEN(SUBSTITUTE(SUBSTITUTE(L1818,"G",""),"C","")))/N1818)</f>
        <v>0.6</v>
      </c>
      <c r="Q1818" s="14" t="n">
        <f aca="false">IF(O1818=0,"",(O1818-LEN(SUBSTITUTE(SUBSTITUTE(M1818,"G",""),"C","")))/O1818)</f>
        <v>0.48</v>
      </c>
      <c r="R1818" s="5"/>
      <c r="S1818" s="8" t="s">
        <v>2131</v>
      </c>
      <c r="T1818" s="5"/>
      <c r="U1818" s="5" t="s">
        <v>15244</v>
      </c>
      <c r="V1818" s="5" t="s">
        <v>1549</v>
      </c>
      <c r="W1818" s="5"/>
      <c r="X1818" s="5"/>
      <c r="Y1818" s="5"/>
    </row>
    <row r="1819" customFormat="false" ht="15" hidden="false" customHeight="false" outlineLevel="0" collapsed="false">
      <c r="A1819" s="5" t="s">
        <v>17429</v>
      </c>
      <c r="B1819" s="5" t="s">
        <v>1631</v>
      </c>
      <c r="C1819" s="5" t="s">
        <v>1632</v>
      </c>
      <c r="D1819" s="10" t="s">
        <v>137</v>
      </c>
      <c r="E1819" s="5" t="n">
        <v>2</v>
      </c>
      <c r="F1819" s="5" t="s">
        <v>17430</v>
      </c>
      <c r="G1819" s="13" t="s">
        <v>17431</v>
      </c>
      <c r="H1819" s="5" t="s">
        <v>17432</v>
      </c>
      <c r="I1819" s="13" t="s">
        <v>17433</v>
      </c>
      <c r="J1819" s="5" t="s">
        <v>17434</v>
      </c>
      <c r="K1819" s="5" t="s">
        <v>17435</v>
      </c>
      <c r="L1819" s="13" t="s">
        <v>17436</v>
      </c>
      <c r="M1819" s="13" t="s">
        <v>17437</v>
      </c>
      <c r="N1819" s="5" t="n">
        <f aca="false">LEN(L1819)</f>
        <v>25</v>
      </c>
      <c r="O1819" s="5" t="n">
        <f aca="false">LEN(M1819)</f>
        <v>25</v>
      </c>
      <c r="P1819" s="14" t="n">
        <f aca="false">IF(N1819=0,"",(N1819-LEN(SUBSTITUTE(SUBSTITUTE(L1819,"G",""),"C","")))/N1819)</f>
        <v>0.6</v>
      </c>
      <c r="Q1819" s="14" t="n">
        <f aca="false">IF(O1819=0,"",(O1819-LEN(SUBSTITUTE(SUBSTITUTE(M1819,"G",""),"C","")))/O1819)</f>
        <v>0.48</v>
      </c>
      <c r="R1819" s="5"/>
      <c r="S1819" s="8" t="s">
        <v>2131</v>
      </c>
      <c r="T1819" s="5"/>
      <c r="U1819" s="5" t="s">
        <v>15244</v>
      </c>
      <c r="V1819" s="5" t="s">
        <v>1549</v>
      </c>
      <c r="W1819" s="5"/>
      <c r="X1819" s="5"/>
      <c r="Y1819" s="5"/>
    </row>
    <row r="1820" customFormat="false" ht="15" hidden="false" customHeight="false" outlineLevel="0" collapsed="false">
      <c r="A1820" s="5" t="s">
        <v>17438</v>
      </c>
      <c r="B1820" s="5" t="s">
        <v>1631</v>
      </c>
      <c r="C1820" s="5" t="s">
        <v>1632</v>
      </c>
      <c r="D1820" s="10" t="s">
        <v>137</v>
      </c>
      <c r="E1820" s="5" t="n">
        <v>3</v>
      </c>
      <c r="F1820" s="5" t="s">
        <v>17439</v>
      </c>
      <c r="G1820" s="13" t="s">
        <v>17440</v>
      </c>
      <c r="H1820" s="5" t="s">
        <v>17441</v>
      </c>
      <c r="I1820" s="13" t="s">
        <v>17442</v>
      </c>
      <c r="J1820" s="5" t="s">
        <v>17443</v>
      </c>
      <c r="K1820" s="5" t="s">
        <v>17444</v>
      </c>
      <c r="L1820" s="13" t="s">
        <v>17445</v>
      </c>
      <c r="M1820" s="13" t="s">
        <v>17446</v>
      </c>
      <c r="N1820" s="5" t="n">
        <f aca="false">LEN(L1820)</f>
        <v>25</v>
      </c>
      <c r="O1820" s="5" t="n">
        <f aca="false">LEN(M1820)</f>
        <v>25</v>
      </c>
      <c r="P1820" s="14" t="n">
        <f aca="false">IF(N1820=0,"",(N1820-LEN(SUBSTITUTE(SUBSTITUTE(L1820,"G",""),"C","")))/N1820)</f>
        <v>0.48</v>
      </c>
      <c r="Q1820" s="14" t="n">
        <f aca="false">IF(O1820=0,"",(O1820-LEN(SUBSTITUTE(SUBSTITUTE(M1820,"G",""),"C","")))/O1820)</f>
        <v>0.56</v>
      </c>
      <c r="R1820" s="5"/>
      <c r="S1820" s="8" t="s">
        <v>2131</v>
      </c>
      <c r="T1820" s="5"/>
      <c r="U1820" s="5" t="s">
        <v>15244</v>
      </c>
      <c r="V1820" s="5" t="s">
        <v>1549</v>
      </c>
      <c r="W1820" s="5"/>
      <c r="X1820" s="5"/>
      <c r="Y1820" s="5"/>
    </row>
    <row r="1821" customFormat="false" ht="15" hidden="false" customHeight="false" outlineLevel="0" collapsed="false">
      <c r="A1821" s="5" t="s">
        <v>17447</v>
      </c>
      <c r="B1821" s="5" t="s">
        <v>1631</v>
      </c>
      <c r="C1821" s="5" t="s">
        <v>1632</v>
      </c>
      <c r="D1821" s="10" t="s">
        <v>137</v>
      </c>
      <c r="E1821" s="5" t="n">
        <v>4</v>
      </c>
      <c r="F1821" s="5" t="s">
        <v>17448</v>
      </c>
      <c r="G1821" s="13" t="s">
        <v>17449</v>
      </c>
      <c r="H1821" s="5" t="s">
        <v>17450</v>
      </c>
      <c r="I1821" s="13" t="s">
        <v>17451</v>
      </c>
      <c r="J1821" s="5" t="s">
        <v>17452</v>
      </c>
      <c r="K1821" s="5" t="s">
        <v>17453</v>
      </c>
      <c r="L1821" s="13" t="s">
        <v>17454</v>
      </c>
      <c r="M1821" s="13" t="s">
        <v>17455</v>
      </c>
      <c r="N1821" s="5" t="n">
        <f aca="false">LEN(L1821)</f>
        <v>25</v>
      </c>
      <c r="O1821" s="5" t="n">
        <f aca="false">LEN(M1821)</f>
        <v>25</v>
      </c>
      <c r="P1821" s="14" t="n">
        <f aca="false">IF(N1821=0,"",(N1821-LEN(SUBSTITUTE(SUBSTITUTE(L1821,"G",""),"C","")))/N1821)</f>
        <v>0.56</v>
      </c>
      <c r="Q1821" s="14" t="n">
        <f aca="false">IF(O1821=0,"",(O1821-LEN(SUBSTITUTE(SUBSTITUTE(M1821,"G",""),"C","")))/O1821)</f>
        <v>0.56</v>
      </c>
      <c r="R1821" s="5"/>
      <c r="S1821" s="8" t="s">
        <v>2131</v>
      </c>
      <c r="T1821" s="5"/>
      <c r="U1821" s="5" t="s">
        <v>15244</v>
      </c>
      <c r="V1821" s="5" t="s">
        <v>1549</v>
      </c>
      <c r="W1821" s="5"/>
      <c r="X1821" s="5"/>
      <c r="Y1821" s="5"/>
    </row>
    <row r="1822" customFormat="false" ht="15" hidden="false" customHeight="false" outlineLevel="0" collapsed="false">
      <c r="A1822" s="5" t="s">
        <v>17456</v>
      </c>
      <c r="B1822" s="5" t="s">
        <v>1631</v>
      </c>
      <c r="C1822" s="5" t="s">
        <v>1632</v>
      </c>
      <c r="D1822" s="10" t="s">
        <v>137</v>
      </c>
      <c r="E1822" s="5" t="n">
        <v>5</v>
      </c>
      <c r="F1822" s="5" t="s">
        <v>17457</v>
      </c>
      <c r="G1822" s="13" t="s">
        <v>17458</v>
      </c>
      <c r="H1822" s="5" t="s">
        <v>17459</v>
      </c>
      <c r="I1822" s="13" t="s">
        <v>17460</v>
      </c>
      <c r="J1822" s="5" t="s">
        <v>17461</v>
      </c>
      <c r="K1822" s="5" t="s">
        <v>17462</v>
      </c>
      <c r="L1822" s="13" t="s">
        <v>17463</v>
      </c>
      <c r="M1822" s="13" t="s">
        <v>17464</v>
      </c>
      <c r="N1822" s="5" t="n">
        <f aca="false">LEN(L1822)</f>
        <v>25</v>
      </c>
      <c r="O1822" s="5" t="n">
        <f aca="false">LEN(M1822)</f>
        <v>25</v>
      </c>
      <c r="P1822" s="14" t="n">
        <f aca="false">IF(N1822=0,"",(N1822-LEN(SUBSTITUTE(SUBSTITUTE(L1822,"G",""),"C","")))/N1822)</f>
        <v>0.64</v>
      </c>
      <c r="Q1822" s="14" t="n">
        <f aca="false">IF(O1822=0,"",(O1822-LEN(SUBSTITUTE(SUBSTITUTE(M1822,"G",""),"C","")))/O1822)</f>
        <v>0.6</v>
      </c>
      <c r="R1822" s="5"/>
      <c r="S1822" s="8" t="s">
        <v>2131</v>
      </c>
      <c r="T1822" s="5"/>
      <c r="U1822" s="5" t="s">
        <v>15244</v>
      </c>
      <c r="V1822" s="5" t="s">
        <v>1549</v>
      </c>
      <c r="W1822" s="5"/>
      <c r="X1822" s="5"/>
      <c r="Y1822" s="5"/>
    </row>
    <row r="1823" customFormat="false" ht="15" hidden="false" customHeight="false" outlineLevel="0" collapsed="false">
      <c r="A1823" s="5" t="s">
        <v>17465</v>
      </c>
      <c r="B1823" s="5" t="s">
        <v>1631</v>
      </c>
      <c r="C1823" s="5" t="s">
        <v>1632</v>
      </c>
      <c r="D1823" s="10" t="s">
        <v>137</v>
      </c>
      <c r="E1823" s="5" t="n">
        <v>6</v>
      </c>
      <c r="F1823" s="5" t="s">
        <v>17466</v>
      </c>
      <c r="G1823" s="13" t="s">
        <v>17467</v>
      </c>
      <c r="H1823" s="5" t="s">
        <v>17468</v>
      </c>
      <c r="I1823" s="13" t="s">
        <v>17469</v>
      </c>
      <c r="J1823" s="5" t="s">
        <v>17470</v>
      </c>
      <c r="K1823" s="5" t="s">
        <v>17471</v>
      </c>
      <c r="L1823" s="13" t="s">
        <v>17472</v>
      </c>
      <c r="M1823" s="13" t="s">
        <v>17473</v>
      </c>
      <c r="N1823" s="5" t="n">
        <f aca="false">LEN(L1823)</f>
        <v>25</v>
      </c>
      <c r="O1823" s="5" t="n">
        <f aca="false">LEN(M1823)</f>
        <v>25</v>
      </c>
      <c r="P1823" s="14" t="n">
        <f aca="false">IF(N1823=0,"",(N1823-LEN(SUBSTITUTE(SUBSTITUTE(L1823,"G",""),"C","")))/N1823)</f>
        <v>0.52</v>
      </c>
      <c r="Q1823" s="14" t="n">
        <f aca="false">IF(O1823=0,"",(O1823-LEN(SUBSTITUTE(SUBSTITUTE(M1823,"G",""),"C","")))/O1823)</f>
        <v>0.52</v>
      </c>
      <c r="R1823" s="5"/>
      <c r="S1823" s="8" t="s">
        <v>2131</v>
      </c>
      <c r="T1823" s="5"/>
      <c r="U1823" s="5" t="s">
        <v>15244</v>
      </c>
      <c r="V1823" s="5" t="s">
        <v>1549</v>
      </c>
      <c r="W1823" s="5"/>
      <c r="X1823" s="5"/>
      <c r="Y1823" s="5"/>
    </row>
    <row r="1824" customFormat="false" ht="15" hidden="false" customHeight="false" outlineLevel="0" collapsed="false">
      <c r="A1824" s="5" t="s">
        <v>17474</v>
      </c>
      <c r="B1824" s="5" t="s">
        <v>1633</v>
      </c>
      <c r="C1824" s="5" t="s">
        <v>1634</v>
      </c>
      <c r="D1824" s="10" t="s">
        <v>137</v>
      </c>
      <c r="E1824" s="5" t="n">
        <v>1</v>
      </c>
      <c r="F1824" s="5" t="s">
        <v>17475</v>
      </c>
      <c r="G1824" s="13" t="s">
        <v>17476</v>
      </c>
      <c r="H1824" s="5" t="s">
        <v>17477</v>
      </c>
      <c r="I1824" s="13" t="s">
        <v>17478</v>
      </c>
      <c r="J1824" s="5" t="s">
        <v>17479</v>
      </c>
      <c r="K1824" s="5" t="s">
        <v>17480</v>
      </c>
      <c r="L1824" s="13" t="s">
        <v>17481</v>
      </c>
      <c r="M1824" s="13" t="s">
        <v>17482</v>
      </c>
      <c r="N1824" s="5" t="n">
        <f aca="false">LEN(L1824)</f>
        <v>25</v>
      </c>
      <c r="O1824" s="5" t="n">
        <f aca="false">LEN(M1824)</f>
        <v>25</v>
      </c>
      <c r="P1824" s="14" t="n">
        <f aca="false">IF(N1824=0,"",(N1824-LEN(SUBSTITUTE(SUBSTITUTE(L1824,"G",""),"C","")))/N1824)</f>
        <v>0.4</v>
      </c>
      <c r="Q1824" s="14" t="n">
        <f aca="false">IF(O1824=0,"",(O1824-LEN(SUBSTITUTE(SUBSTITUTE(M1824,"G",""),"C","")))/O1824)</f>
        <v>0.44</v>
      </c>
      <c r="R1824" s="5"/>
      <c r="S1824" s="8" t="s">
        <v>2131</v>
      </c>
      <c r="T1824" s="5"/>
      <c r="U1824" s="5" t="s">
        <v>15244</v>
      </c>
      <c r="V1824" s="5" t="s">
        <v>1549</v>
      </c>
      <c r="W1824" s="5"/>
      <c r="X1824" s="5"/>
      <c r="Y1824" s="5"/>
    </row>
    <row r="1825" customFormat="false" ht="15" hidden="false" customHeight="false" outlineLevel="0" collapsed="false">
      <c r="A1825" s="5" t="s">
        <v>17483</v>
      </c>
      <c r="B1825" s="5" t="s">
        <v>1633</v>
      </c>
      <c r="C1825" s="5" t="s">
        <v>1634</v>
      </c>
      <c r="D1825" s="10" t="s">
        <v>137</v>
      </c>
      <c r="E1825" s="5" t="n">
        <v>2</v>
      </c>
      <c r="F1825" s="5" t="s">
        <v>17484</v>
      </c>
      <c r="G1825" s="13" t="s">
        <v>17485</v>
      </c>
      <c r="H1825" s="5" t="s">
        <v>17486</v>
      </c>
      <c r="I1825" s="13" t="s">
        <v>17487</v>
      </c>
      <c r="J1825" s="5" t="s">
        <v>17488</v>
      </c>
      <c r="K1825" s="5" t="s">
        <v>17489</v>
      </c>
      <c r="L1825" s="13" t="s">
        <v>17490</v>
      </c>
      <c r="M1825" s="13" t="s">
        <v>17491</v>
      </c>
      <c r="N1825" s="5" t="n">
        <f aca="false">LEN(L1825)</f>
        <v>25</v>
      </c>
      <c r="O1825" s="5" t="n">
        <f aca="false">LEN(M1825)</f>
        <v>25</v>
      </c>
      <c r="P1825" s="14" t="n">
        <f aca="false">IF(N1825=0,"",(N1825-LEN(SUBSTITUTE(SUBSTITUTE(L1825,"G",""),"C","")))/N1825)</f>
        <v>0.56</v>
      </c>
      <c r="Q1825" s="14" t="n">
        <f aca="false">IF(O1825=0,"",(O1825-LEN(SUBSTITUTE(SUBSTITUTE(M1825,"G",""),"C","")))/O1825)</f>
        <v>0.56</v>
      </c>
      <c r="R1825" s="5"/>
      <c r="S1825" s="8" t="s">
        <v>2131</v>
      </c>
      <c r="T1825" s="5"/>
      <c r="U1825" s="5" t="s">
        <v>15244</v>
      </c>
      <c r="V1825" s="5" t="s">
        <v>1549</v>
      </c>
      <c r="W1825" s="5"/>
      <c r="X1825" s="5"/>
      <c r="Y1825" s="5"/>
    </row>
    <row r="1826" customFormat="false" ht="15" hidden="false" customHeight="false" outlineLevel="0" collapsed="false">
      <c r="A1826" s="5" t="s">
        <v>17492</v>
      </c>
      <c r="B1826" s="5" t="s">
        <v>1633</v>
      </c>
      <c r="C1826" s="5" t="s">
        <v>1634</v>
      </c>
      <c r="D1826" s="10" t="s">
        <v>137</v>
      </c>
      <c r="E1826" s="5" t="n">
        <v>3</v>
      </c>
      <c r="F1826" s="5" t="s">
        <v>17493</v>
      </c>
      <c r="G1826" s="13" t="s">
        <v>17494</v>
      </c>
      <c r="H1826" s="5" t="s">
        <v>17495</v>
      </c>
      <c r="I1826" s="13" t="s">
        <v>17496</v>
      </c>
      <c r="J1826" s="5" t="s">
        <v>17497</v>
      </c>
      <c r="K1826" s="5" t="s">
        <v>17498</v>
      </c>
      <c r="L1826" s="13" t="s">
        <v>17499</v>
      </c>
      <c r="M1826" s="13" t="s">
        <v>17500</v>
      </c>
      <c r="N1826" s="5" t="n">
        <f aca="false">LEN(L1826)</f>
        <v>25</v>
      </c>
      <c r="O1826" s="5" t="n">
        <f aca="false">LEN(M1826)</f>
        <v>25</v>
      </c>
      <c r="P1826" s="14" t="n">
        <f aca="false">IF(N1826=0,"",(N1826-LEN(SUBSTITUTE(SUBSTITUTE(L1826,"G",""),"C","")))/N1826)</f>
        <v>0.6</v>
      </c>
      <c r="Q1826" s="14" t="n">
        <f aca="false">IF(O1826=0,"",(O1826-LEN(SUBSTITUTE(SUBSTITUTE(M1826,"G",""),"C","")))/O1826)</f>
        <v>0.6</v>
      </c>
      <c r="R1826" s="5"/>
      <c r="S1826" s="8" t="s">
        <v>2131</v>
      </c>
      <c r="T1826" s="5"/>
      <c r="U1826" s="5" t="s">
        <v>15244</v>
      </c>
      <c r="V1826" s="5" t="s">
        <v>1549</v>
      </c>
      <c r="W1826" s="5"/>
      <c r="X1826" s="5"/>
      <c r="Y1826" s="5"/>
    </row>
    <row r="1827" customFormat="false" ht="15" hidden="false" customHeight="false" outlineLevel="0" collapsed="false">
      <c r="A1827" s="5" t="s">
        <v>17501</v>
      </c>
      <c r="B1827" s="5" t="s">
        <v>1633</v>
      </c>
      <c r="C1827" s="5" t="s">
        <v>1634</v>
      </c>
      <c r="D1827" s="10" t="s">
        <v>137</v>
      </c>
      <c r="E1827" s="5" t="n">
        <v>4</v>
      </c>
      <c r="F1827" s="5" t="s">
        <v>17502</v>
      </c>
      <c r="G1827" s="13" t="s">
        <v>17503</v>
      </c>
      <c r="H1827" s="5" t="s">
        <v>17504</v>
      </c>
      <c r="I1827" s="13" t="s">
        <v>17505</v>
      </c>
      <c r="J1827" s="5" t="s">
        <v>17506</v>
      </c>
      <c r="K1827" s="5" t="s">
        <v>17507</v>
      </c>
      <c r="L1827" s="13" t="s">
        <v>17508</v>
      </c>
      <c r="M1827" s="13" t="s">
        <v>17509</v>
      </c>
      <c r="N1827" s="5" t="n">
        <f aca="false">LEN(L1827)</f>
        <v>25</v>
      </c>
      <c r="O1827" s="5" t="n">
        <f aca="false">LEN(M1827)</f>
        <v>25</v>
      </c>
      <c r="P1827" s="14" t="n">
        <f aca="false">IF(N1827=0,"",(N1827-LEN(SUBSTITUTE(SUBSTITUTE(L1827,"G",""),"C","")))/N1827)</f>
        <v>0.72</v>
      </c>
      <c r="Q1827" s="14" t="n">
        <f aca="false">IF(O1827=0,"",(O1827-LEN(SUBSTITUTE(SUBSTITUTE(M1827,"G",""),"C","")))/O1827)</f>
        <v>0.48</v>
      </c>
      <c r="R1827" s="5"/>
      <c r="S1827" s="8" t="s">
        <v>2131</v>
      </c>
      <c r="T1827" s="5"/>
      <c r="U1827" s="5" t="s">
        <v>15244</v>
      </c>
      <c r="V1827" s="5" t="s">
        <v>1549</v>
      </c>
      <c r="W1827" s="5"/>
      <c r="X1827" s="5"/>
      <c r="Y1827" s="5"/>
    </row>
    <row r="1828" customFormat="false" ht="15" hidden="false" customHeight="false" outlineLevel="0" collapsed="false">
      <c r="A1828" s="5" t="s">
        <v>17510</v>
      </c>
      <c r="B1828" s="5" t="s">
        <v>1633</v>
      </c>
      <c r="C1828" s="5" t="s">
        <v>1634</v>
      </c>
      <c r="D1828" s="10" t="s">
        <v>137</v>
      </c>
      <c r="E1828" s="5" t="n">
        <v>5</v>
      </c>
      <c r="F1828" s="5" t="s">
        <v>17511</v>
      </c>
      <c r="G1828" s="13" t="s">
        <v>17512</v>
      </c>
      <c r="H1828" s="5" t="s">
        <v>17513</v>
      </c>
      <c r="I1828" s="13" t="s">
        <v>17514</v>
      </c>
      <c r="J1828" s="5" t="s">
        <v>17515</v>
      </c>
      <c r="K1828" s="5" t="s">
        <v>17516</v>
      </c>
      <c r="L1828" s="13" t="s">
        <v>17517</v>
      </c>
      <c r="M1828" s="13" t="s">
        <v>17518</v>
      </c>
      <c r="N1828" s="5" t="n">
        <f aca="false">LEN(L1828)</f>
        <v>25</v>
      </c>
      <c r="O1828" s="5" t="n">
        <f aca="false">LEN(M1828)</f>
        <v>25</v>
      </c>
      <c r="P1828" s="14" t="n">
        <f aca="false">IF(N1828=0,"",(N1828-LEN(SUBSTITUTE(SUBSTITUTE(L1828,"G",""),"C","")))/N1828)</f>
        <v>0.48</v>
      </c>
      <c r="Q1828" s="14" t="n">
        <f aca="false">IF(O1828=0,"",(O1828-LEN(SUBSTITUTE(SUBSTITUTE(M1828,"G",""),"C","")))/O1828)</f>
        <v>0.48</v>
      </c>
      <c r="R1828" s="5"/>
      <c r="S1828" s="8" t="s">
        <v>2131</v>
      </c>
      <c r="T1828" s="5"/>
      <c r="U1828" s="5" t="s">
        <v>15244</v>
      </c>
      <c r="V1828" s="5" t="s">
        <v>1549</v>
      </c>
      <c r="W1828" s="5"/>
      <c r="X1828" s="5"/>
      <c r="Y1828" s="5"/>
    </row>
    <row r="1829" customFormat="false" ht="15" hidden="false" customHeight="false" outlineLevel="0" collapsed="false">
      <c r="A1829" s="5" t="s">
        <v>17519</v>
      </c>
      <c r="B1829" s="5" t="s">
        <v>1633</v>
      </c>
      <c r="C1829" s="5" t="s">
        <v>1634</v>
      </c>
      <c r="D1829" s="10" t="s">
        <v>137</v>
      </c>
      <c r="E1829" s="5" t="n">
        <v>6</v>
      </c>
      <c r="F1829" s="5" t="s">
        <v>17520</v>
      </c>
      <c r="G1829" s="13" t="s">
        <v>17521</v>
      </c>
      <c r="H1829" s="5" t="s">
        <v>17522</v>
      </c>
      <c r="I1829" s="13" t="s">
        <v>17523</v>
      </c>
      <c r="J1829" s="5" t="s">
        <v>17524</v>
      </c>
      <c r="K1829" s="5" t="s">
        <v>17525</v>
      </c>
      <c r="L1829" s="13" t="s">
        <v>17526</v>
      </c>
      <c r="M1829" s="13" t="s">
        <v>17527</v>
      </c>
      <c r="N1829" s="5" t="n">
        <f aca="false">LEN(L1829)</f>
        <v>25</v>
      </c>
      <c r="O1829" s="5" t="n">
        <f aca="false">LEN(M1829)</f>
        <v>25</v>
      </c>
      <c r="P1829" s="14" t="n">
        <f aca="false">IF(N1829=0,"",(N1829-LEN(SUBSTITUTE(SUBSTITUTE(L1829,"G",""),"C","")))/N1829)</f>
        <v>0.6</v>
      </c>
      <c r="Q1829" s="14" t="n">
        <f aca="false">IF(O1829=0,"",(O1829-LEN(SUBSTITUTE(SUBSTITUTE(M1829,"G",""),"C","")))/O1829)</f>
        <v>0.68</v>
      </c>
      <c r="R1829" s="5"/>
      <c r="S1829" s="8" t="s">
        <v>2131</v>
      </c>
      <c r="T1829" s="5"/>
      <c r="U1829" s="5" t="s">
        <v>15244</v>
      </c>
      <c r="V1829" s="5" t="s">
        <v>1549</v>
      </c>
      <c r="W1829" s="5"/>
      <c r="X1829" s="5"/>
      <c r="Y1829" s="5"/>
    </row>
    <row r="1830" customFormat="false" ht="15" hidden="false" customHeight="false" outlineLevel="0" collapsed="false">
      <c r="A1830" s="5" t="s">
        <v>17528</v>
      </c>
      <c r="B1830" s="5" t="s">
        <v>1635</v>
      </c>
      <c r="C1830" s="5" t="s">
        <v>1636</v>
      </c>
      <c r="D1830" s="10" t="s">
        <v>137</v>
      </c>
      <c r="E1830" s="5" t="n">
        <v>1</v>
      </c>
      <c r="F1830" s="5" t="s">
        <v>17529</v>
      </c>
      <c r="G1830" s="13" t="s">
        <v>17530</v>
      </c>
      <c r="H1830" s="5" t="s">
        <v>17531</v>
      </c>
      <c r="I1830" s="13" t="s">
        <v>17532</v>
      </c>
      <c r="J1830" s="5" t="s">
        <v>17533</v>
      </c>
      <c r="K1830" s="5" t="s">
        <v>17534</v>
      </c>
      <c r="L1830" s="13" t="s">
        <v>17535</v>
      </c>
      <c r="M1830" s="13" t="s">
        <v>17536</v>
      </c>
      <c r="N1830" s="5" t="n">
        <f aca="false">LEN(L1830)</f>
        <v>25</v>
      </c>
      <c r="O1830" s="5" t="n">
        <f aca="false">LEN(M1830)</f>
        <v>25</v>
      </c>
      <c r="P1830" s="14" t="n">
        <f aca="false">IF(N1830=0,"",(N1830-LEN(SUBSTITUTE(SUBSTITUTE(L1830,"G",""),"C","")))/N1830)</f>
        <v>0.48</v>
      </c>
      <c r="Q1830" s="14" t="n">
        <f aca="false">IF(O1830=0,"",(O1830-LEN(SUBSTITUTE(SUBSTITUTE(M1830,"G",""),"C","")))/O1830)</f>
        <v>0.56</v>
      </c>
      <c r="R1830" s="5"/>
      <c r="S1830" s="8" t="s">
        <v>2131</v>
      </c>
      <c r="T1830" s="5"/>
      <c r="U1830" s="5" t="s">
        <v>15244</v>
      </c>
      <c r="V1830" s="5" t="s">
        <v>1549</v>
      </c>
      <c r="W1830" s="5"/>
      <c r="X1830" s="5"/>
      <c r="Y1830" s="5"/>
    </row>
    <row r="1831" customFormat="false" ht="15" hidden="false" customHeight="false" outlineLevel="0" collapsed="false">
      <c r="A1831" s="5" t="s">
        <v>17537</v>
      </c>
      <c r="B1831" s="5" t="s">
        <v>1635</v>
      </c>
      <c r="C1831" s="5" t="s">
        <v>1636</v>
      </c>
      <c r="D1831" s="10" t="s">
        <v>137</v>
      </c>
      <c r="E1831" s="5" t="n">
        <v>2</v>
      </c>
      <c r="F1831" s="5" t="s">
        <v>17538</v>
      </c>
      <c r="G1831" s="13" t="s">
        <v>17539</v>
      </c>
      <c r="H1831" s="5" t="s">
        <v>17540</v>
      </c>
      <c r="I1831" s="13" t="s">
        <v>17541</v>
      </c>
      <c r="J1831" s="5" t="s">
        <v>17542</v>
      </c>
      <c r="K1831" s="5" t="s">
        <v>17543</v>
      </c>
      <c r="L1831" s="13" t="s">
        <v>17544</v>
      </c>
      <c r="M1831" s="13" t="s">
        <v>17545</v>
      </c>
      <c r="N1831" s="5" t="n">
        <f aca="false">LEN(L1831)</f>
        <v>25</v>
      </c>
      <c r="O1831" s="5" t="n">
        <f aca="false">LEN(M1831)</f>
        <v>25</v>
      </c>
      <c r="P1831" s="14" t="n">
        <f aca="false">IF(N1831=0,"",(N1831-LEN(SUBSTITUTE(SUBSTITUTE(L1831,"G",""),"C","")))/N1831)</f>
        <v>0.4</v>
      </c>
      <c r="Q1831" s="14" t="n">
        <f aca="false">IF(O1831=0,"",(O1831-LEN(SUBSTITUTE(SUBSTITUTE(M1831,"G",""),"C","")))/O1831)</f>
        <v>0.4</v>
      </c>
      <c r="R1831" s="5"/>
      <c r="S1831" s="8" t="s">
        <v>2131</v>
      </c>
      <c r="T1831" s="5"/>
      <c r="U1831" s="5" t="s">
        <v>15244</v>
      </c>
      <c r="V1831" s="5" t="s">
        <v>1549</v>
      </c>
      <c r="W1831" s="5"/>
      <c r="X1831" s="5"/>
      <c r="Y1831" s="5"/>
    </row>
    <row r="1832" customFormat="false" ht="15" hidden="false" customHeight="false" outlineLevel="0" collapsed="false">
      <c r="A1832" s="5" t="s">
        <v>17546</v>
      </c>
      <c r="B1832" s="5" t="s">
        <v>1635</v>
      </c>
      <c r="C1832" s="5" t="s">
        <v>1636</v>
      </c>
      <c r="D1832" s="10" t="s">
        <v>137</v>
      </c>
      <c r="E1832" s="5" t="n">
        <v>3</v>
      </c>
      <c r="F1832" s="5" t="s">
        <v>17547</v>
      </c>
      <c r="G1832" s="13" t="s">
        <v>17548</v>
      </c>
      <c r="H1832" s="5" t="s">
        <v>17549</v>
      </c>
      <c r="I1832" s="13" t="s">
        <v>17550</v>
      </c>
      <c r="J1832" s="5" t="s">
        <v>17551</v>
      </c>
      <c r="K1832" s="5" t="s">
        <v>17552</v>
      </c>
      <c r="L1832" s="13" t="s">
        <v>17553</v>
      </c>
      <c r="M1832" s="13" t="s">
        <v>17554</v>
      </c>
      <c r="N1832" s="5" t="n">
        <f aca="false">LEN(L1832)</f>
        <v>25</v>
      </c>
      <c r="O1832" s="5" t="n">
        <f aca="false">LEN(M1832)</f>
        <v>25</v>
      </c>
      <c r="P1832" s="14" t="n">
        <f aca="false">IF(N1832=0,"",(N1832-LEN(SUBSTITUTE(SUBSTITUTE(L1832,"G",""),"C","")))/N1832)</f>
        <v>0.52</v>
      </c>
      <c r="Q1832" s="14" t="n">
        <f aca="false">IF(O1832=0,"",(O1832-LEN(SUBSTITUTE(SUBSTITUTE(M1832,"G",""),"C","")))/O1832)</f>
        <v>0.6</v>
      </c>
      <c r="R1832" s="5"/>
      <c r="S1832" s="8" t="s">
        <v>2131</v>
      </c>
      <c r="T1832" s="5"/>
      <c r="U1832" s="5" t="s">
        <v>15244</v>
      </c>
      <c r="V1832" s="5" t="s">
        <v>1549</v>
      </c>
      <c r="W1832" s="5"/>
      <c r="X1832" s="5"/>
      <c r="Y1832" s="5"/>
    </row>
    <row r="1833" customFormat="false" ht="15" hidden="false" customHeight="false" outlineLevel="0" collapsed="false">
      <c r="A1833" s="5" t="s">
        <v>17555</v>
      </c>
      <c r="B1833" s="5" t="s">
        <v>1635</v>
      </c>
      <c r="C1833" s="5" t="s">
        <v>1636</v>
      </c>
      <c r="D1833" s="10" t="s">
        <v>137</v>
      </c>
      <c r="E1833" s="5" t="n">
        <v>4</v>
      </c>
      <c r="F1833" s="5" t="s">
        <v>17556</v>
      </c>
      <c r="G1833" s="13" t="s">
        <v>17557</v>
      </c>
      <c r="H1833" s="5" t="s">
        <v>17558</v>
      </c>
      <c r="I1833" s="13" t="s">
        <v>17559</v>
      </c>
      <c r="J1833" s="5" t="s">
        <v>17560</v>
      </c>
      <c r="K1833" s="5" t="s">
        <v>17561</v>
      </c>
      <c r="L1833" s="13" t="s">
        <v>17562</v>
      </c>
      <c r="M1833" s="13" t="s">
        <v>17563</v>
      </c>
      <c r="N1833" s="5" t="n">
        <f aca="false">LEN(L1833)</f>
        <v>25</v>
      </c>
      <c r="O1833" s="5" t="n">
        <f aca="false">LEN(M1833)</f>
        <v>25</v>
      </c>
      <c r="P1833" s="14" t="n">
        <f aca="false">IF(N1833=0,"",(N1833-LEN(SUBSTITUTE(SUBSTITUTE(L1833,"G",""),"C","")))/N1833)</f>
        <v>0.4</v>
      </c>
      <c r="Q1833" s="14" t="n">
        <f aca="false">IF(O1833=0,"",(O1833-LEN(SUBSTITUTE(SUBSTITUTE(M1833,"G",""),"C","")))/O1833)</f>
        <v>0.52</v>
      </c>
      <c r="R1833" s="5"/>
      <c r="S1833" s="8" t="s">
        <v>2131</v>
      </c>
      <c r="T1833" s="5"/>
      <c r="U1833" s="5" t="s">
        <v>15244</v>
      </c>
      <c r="V1833" s="5" t="s">
        <v>1549</v>
      </c>
      <c r="W1833" s="5"/>
      <c r="X1833" s="5"/>
      <c r="Y1833" s="5"/>
    </row>
    <row r="1834" customFormat="false" ht="15" hidden="false" customHeight="false" outlineLevel="0" collapsed="false">
      <c r="A1834" s="5" t="s">
        <v>17564</v>
      </c>
      <c r="B1834" s="5" t="s">
        <v>1635</v>
      </c>
      <c r="C1834" s="5" t="s">
        <v>1636</v>
      </c>
      <c r="D1834" s="10" t="s">
        <v>137</v>
      </c>
      <c r="E1834" s="5" t="n">
        <v>5</v>
      </c>
      <c r="F1834" s="5" t="s">
        <v>17565</v>
      </c>
      <c r="G1834" s="13" t="s">
        <v>17566</v>
      </c>
      <c r="H1834" s="5" t="s">
        <v>17567</v>
      </c>
      <c r="I1834" s="13" t="s">
        <v>17568</v>
      </c>
      <c r="J1834" s="5" t="s">
        <v>17569</v>
      </c>
      <c r="K1834" s="5" t="s">
        <v>17570</v>
      </c>
      <c r="L1834" s="13" t="s">
        <v>17571</v>
      </c>
      <c r="M1834" s="13" t="s">
        <v>17572</v>
      </c>
      <c r="N1834" s="5" t="n">
        <f aca="false">LEN(L1834)</f>
        <v>25</v>
      </c>
      <c r="O1834" s="5" t="n">
        <f aca="false">LEN(M1834)</f>
        <v>25</v>
      </c>
      <c r="P1834" s="14" t="n">
        <f aca="false">IF(N1834=0,"",(N1834-LEN(SUBSTITUTE(SUBSTITUTE(L1834,"G",""),"C","")))/N1834)</f>
        <v>0.6</v>
      </c>
      <c r="Q1834" s="14" t="n">
        <f aca="false">IF(O1834=0,"",(O1834-LEN(SUBSTITUTE(SUBSTITUTE(M1834,"G",""),"C","")))/O1834)</f>
        <v>0.64</v>
      </c>
      <c r="R1834" s="5"/>
      <c r="S1834" s="8" t="s">
        <v>2131</v>
      </c>
      <c r="T1834" s="5"/>
      <c r="U1834" s="5" t="s">
        <v>15244</v>
      </c>
      <c r="V1834" s="5" t="s">
        <v>1549</v>
      </c>
      <c r="W1834" s="5"/>
      <c r="X1834" s="5"/>
      <c r="Y1834" s="5"/>
    </row>
    <row r="1835" customFormat="false" ht="15" hidden="false" customHeight="false" outlineLevel="0" collapsed="false">
      <c r="A1835" s="5" t="s">
        <v>17573</v>
      </c>
      <c r="B1835" s="5" t="s">
        <v>1635</v>
      </c>
      <c r="C1835" s="5" t="s">
        <v>1636</v>
      </c>
      <c r="D1835" s="10" t="s">
        <v>137</v>
      </c>
      <c r="E1835" s="5" t="n">
        <v>6</v>
      </c>
      <c r="F1835" s="5" t="s">
        <v>17574</v>
      </c>
      <c r="G1835" s="13" t="s">
        <v>17575</v>
      </c>
      <c r="H1835" s="5" t="s">
        <v>17576</v>
      </c>
      <c r="I1835" s="13" t="s">
        <v>17577</v>
      </c>
      <c r="J1835" s="5" t="s">
        <v>17578</v>
      </c>
      <c r="K1835" s="5" t="s">
        <v>17579</v>
      </c>
      <c r="L1835" s="13" t="s">
        <v>17580</v>
      </c>
      <c r="M1835" s="13" t="s">
        <v>17581</v>
      </c>
      <c r="N1835" s="5" t="n">
        <f aca="false">LEN(L1835)</f>
        <v>25</v>
      </c>
      <c r="O1835" s="5" t="n">
        <f aca="false">LEN(M1835)</f>
        <v>25</v>
      </c>
      <c r="P1835" s="14" t="n">
        <f aca="false">IF(N1835=0,"",(N1835-LEN(SUBSTITUTE(SUBSTITUTE(L1835,"G",""),"C","")))/N1835)</f>
        <v>0.52</v>
      </c>
      <c r="Q1835" s="14" t="n">
        <f aca="false">IF(O1835=0,"",(O1835-LEN(SUBSTITUTE(SUBSTITUTE(M1835,"G",""),"C","")))/O1835)</f>
        <v>0.52</v>
      </c>
      <c r="R1835" s="5"/>
      <c r="S1835" s="8" t="s">
        <v>2131</v>
      </c>
      <c r="T1835" s="5"/>
      <c r="U1835" s="5" t="s">
        <v>15244</v>
      </c>
      <c r="V1835" s="5" t="s">
        <v>1549</v>
      </c>
      <c r="W1835" s="5"/>
      <c r="X1835" s="5"/>
      <c r="Y1835" s="5"/>
    </row>
    <row r="1836" customFormat="false" ht="15" hidden="false" customHeight="false" outlineLevel="0" collapsed="false">
      <c r="A1836" s="5" t="s">
        <v>17582</v>
      </c>
      <c r="B1836" s="5" t="s">
        <v>1638</v>
      </c>
      <c r="C1836" s="5" t="s">
        <v>1639</v>
      </c>
      <c r="D1836" s="10" t="s">
        <v>137</v>
      </c>
      <c r="E1836" s="5" t="n">
        <v>1</v>
      </c>
      <c r="F1836" s="5" t="s">
        <v>17583</v>
      </c>
      <c r="G1836" s="13" t="s">
        <v>17584</v>
      </c>
      <c r="H1836" s="5" t="s">
        <v>17585</v>
      </c>
      <c r="I1836" s="13" t="s">
        <v>17586</v>
      </c>
      <c r="J1836" s="5" t="s">
        <v>17587</v>
      </c>
      <c r="K1836" s="5" t="s">
        <v>17588</v>
      </c>
      <c r="L1836" s="13" t="s">
        <v>17589</v>
      </c>
      <c r="M1836" s="13" t="s">
        <v>17590</v>
      </c>
      <c r="N1836" s="5" t="n">
        <f aca="false">LEN(L1836)</f>
        <v>25</v>
      </c>
      <c r="O1836" s="5" t="n">
        <f aca="false">LEN(M1836)</f>
        <v>25</v>
      </c>
      <c r="P1836" s="14" t="n">
        <f aca="false">IF(N1836=0,"",(N1836-LEN(SUBSTITUTE(SUBSTITUTE(L1836,"G",""),"C","")))/N1836)</f>
        <v>0.4</v>
      </c>
      <c r="Q1836" s="14" t="n">
        <f aca="false">IF(O1836=0,"",(O1836-LEN(SUBSTITUTE(SUBSTITUTE(M1836,"G",""),"C","")))/O1836)</f>
        <v>0.48</v>
      </c>
      <c r="R1836" s="5"/>
      <c r="S1836" s="8" t="s">
        <v>2131</v>
      </c>
      <c r="T1836" s="5"/>
      <c r="U1836" s="5" t="s">
        <v>2986</v>
      </c>
      <c r="V1836" s="5" t="s">
        <v>1546</v>
      </c>
      <c r="W1836" s="5" t="s">
        <v>15751</v>
      </c>
      <c r="X1836" s="5"/>
      <c r="Y1836" s="5"/>
    </row>
    <row r="1837" customFormat="false" ht="15" hidden="false" customHeight="false" outlineLevel="0" collapsed="false">
      <c r="A1837" s="5" t="s">
        <v>17591</v>
      </c>
      <c r="B1837" s="5" t="s">
        <v>1638</v>
      </c>
      <c r="C1837" s="5" t="s">
        <v>1639</v>
      </c>
      <c r="D1837" s="10" t="s">
        <v>137</v>
      </c>
      <c r="E1837" s="5" t="n">
        <v>2</v>
      </c>
      <c r="F1837" s="5" t="s">
        <v>17592</v>
      </c>
      <c r="G1837" s="13" t="s">
        <v>17593</v>
      </c>
      <c r="H1837" s="5" t="s">
        <v>17594</v>
      </c>
      <c r="I1837" s="13" t="s">
        <v>17595</v>
      </c>
      <c r="J1837" s="5" t="s">
        <v>17596</v>
      </c>
      <c r="K1837" s="5" t="s">
        <v>17597</v>
      </c>
      <c r="L1837" s="13" t="s">
        <v>17598</v>
      </c>
      <c r="M1837" s="13" t="s">
        <v>17599</v>
      </c>
      <c r="N1837" s="5" t="n">
        <f aca="false">LEN(L1837)</f>
        <v>25</v>
      </c>
      <c r="O1837" s="5" t="n">
        <f aca="false">LEN(M1837)</f>
        <v>25</v>
      </c>
      <c r="P1837" s="14" t="n">
        <f aca="false">IF(N1837=0,"",(N1837-LEN(SUBSTITUTE(SUBSTITUTE(L1837,"G",""),"C","")))/N1837)</f>
        <v>0.6</v>
      </c>
      <c r="Q1837" s="14" t="n">
        <f aca="false">IF(O1837=0,"",(O1837-LEN(SUBSTITUTE(SUBSTITUTE(M1837,"G",""),"C","")))/O1837)</f>
        <v>0.48</v>
      </c>
      <c r="R1837" s="5"/>
      <c r="S1837" s="8" t="s">
        <v>2131</v>
      </c>
      <c r="T1837" s="5"/>
      <c r="U1837" s="5" t="s">
        <v>2986</v>
      </c>
      <c r="V1837" s="5" t="s">
        <v>1546</v>
      </c>
      <c r="W1837" s="5" t="s">
        <v>15751</v>
      </c>
      <c r="X1837" s="5"/>
      <c r="Y1837" s="5"/>
    </row>
    <row r="1838" customFormat="false" ht="15" hidden="false" customHeight="false" outlineLevel="0" collapsed="false">
      <c r="A1838" s="5" t="s">
        <v>17600</v>
      </c>
      <c r="B1838" s="5" t="s">
        <v>1638</v>
      </c>
      <c r="C1838" s="5" t="s">
        <v>1639</v>
      </c>
      <c r="D1838" s="10" t="s">
        <v>137</v>
      </c>
      <c r="E1838" s="5" t="n">
        <v>3</v>
      </c>
      <c r="F1838" s="5" t="s">
        <v>17601</v>
      </c>
      <c r="G1838" s="13" t="s">
        <v>17602</v>
      </c>
      <c r="H1838" s="5" t="s">
        <v>17603</v>
      </c>
      <c r="I1838" s="13" t="s">
        <v>17604</v>
      </c>
      <c r="J1838" s="5" t="s">
        <v>17605</v>
      </c>
      <c r="K1838" s="5" t="s">
        <v>17606</v>
      </c>
      <c r="L1838" s="13" t="s">
        <v>17607</v>
      </c>
      <c r="M1838" s="13" t="s">
        <v>17608</v>
      </c>
      <c r="N1838" s="5" t="n">
        <f aca="false">LEN(L1838)</f>
        <v>25</v>
      </c>
      <c r="O1838" s="5" t="n">
        <f aca="false">LEN(M1838)</f>
        <v>25</v>
      </c>
      <c r="P1838" s="14" t="n">
        <f aca="false">IF(N1838=0,"",(N1838-LEN(SUBSTITUTE(SUBSTITUTE(L1838,"G",""),"C","")))/N1838)</f>
        <v>0.56</v>
      </c>
      <c r="Q1838" s="14" t="n">
        <f aca="false">IF(O1838=0,"",(O1838-LEN(SUBSTITUTE(SUBSTITUTE(M1838,"G",""),"C","")))/O1838)</f>
        <v>0.64</v>
      </c>
      <c r="R1838" s="5"/>
      <c r="S1838" s="8" t="s">
        <v>2131</v>
      </c>
      <c r="T1838" s="5"/>
      <c r="U1838" s="5" t="s">
        <v>2986</v>
      </c>
      <c r="V1838" s="5" t="s">
        <v>1546</v>
      </c>
      <c r="W1838" s="5" t="s">
        <v>15751</v>
      </c>
      <c r="X1838" s="5"/>
      <c r="Y1838" s="5"/>
    </row>
    <row r="1839" customFormat="false" ht="15" hidden="false" customHeight="false" outlineLevel="0" collapsed="false">
      <c r="A1839" s="5" t="s">
        <v>17609</v>
      </c>
      <c r="B1839" s="5" t="s">
        <v>1638</v>
      </c>
      <c r="C1839" s="5" t="s">
        <v>1639</v>
      </c>
      <c r="D1839" s="10" t="s">
        <v>137</v>
      </c>
      <c r="E1839" s="5" t="n">
        <v>4</v>
      </c>
      <c r="F1839" s="5" t="s">
        <v>17610</v>
      </c>
      <c r="G1839" s="13" t="s">
        <v>17611</v>
      </c>
      <c r="H1839" s="5" t="s">
        <v>17612</v>
      </c>
      <c r="I1839" s="13" t="s">
        <v>17613</v>
      </c>
      <c r="J1839" s="5" t="s">
        <v>17614</v>
      </c>
      <c r="K1839" s="5" t="s">
        <v>17615</v>
      </c>
      <c r="L1839" s="13" t="s">
        <v>17616</v>
      </c>
      <c r="M1839" s="13" t="s">
        <v>17617</v>
      </c>
      <c r="N1839" s="5" t="n">
        <f aca="false">LEN(L1839)</f>
        <v>25</v>
      </c>
      <c r="O1839" s="5" t="n">
        <f aca="false">LEN(M1839)</f>
        <v>25</v>
      </c>
      <c r="P1839" s="14" t="n">
        <f aca="false">IF(N1839=0,"",(N1839-LEN(SUBSTITUTE(SUBSTITUTE(L1839,"G",""),"C","")))/N1839)</f>
        <v>0.56</v>
      </c>
      <c r="Q1839" s="14" t="n">
        <f aca="false">IF(O1839=0,"",(O1839-LEN(SUBSTITUTE(SUBSTITUTE(M1839,"G",""),"C","")))/O1839)</f>
        <v>0.52</v>
      </c>
      <c r="R1839" s="5"/>
      <c r="S1839" s="8" t="s">
        <v>2131</v>
      </c>
      <c r="T1839" s="5"/>
      <c r="U1839" s="5" t="s">
        <v>2986</v>
      </c>
      <c r="V1839" s="5" t="s">
        <v>1546</v>
      </c>
      <c r="W1839" s="5" t="s">
        <v>15751</v>
      </c>
      <c r="X1839" s="5"/>
      <c r="Y1839" s="5"/>
    </row>
    <row r="1840" customFormat="false" ht="15" hidden="false" customHeight="false" outlineLevel="0" collapsed="false">
      <c r="A1840" s="5" t="s">
        <v>17618</v>
      </c>
      <c r="B1840" s="5" t="s">
        <v>1638</v>
      </c>
      <c r="C1840" s="5" t="s">
        <v>1639</v>
      </c>
      <c r="D1840" s="10" t="s">
        <v>137</v>
      </c>
      <c r="E1840" s="5" t="n">
        <v>5</v>
      </c>
      <c r="F1840" s="5" t="s">
        <v>17619</v>
      </c>
      <c r="G1840" s="13" t="s">
        <v>17620</v>
      </c>
      <c r="H1840" s="5" t="s">
        <v>17621</v>
      </c>
      <c r="I1840" s="13" t="s">
        <v>17622</v>
      </c>
      <c r="J1840" s="5" t="s">
        <v>17623</v>
      </c>
      <c r="K1840" s="5" t="s">
        <v>17624</v>
      </c>
      <c r="L1840" s="13" t="s">
        <v>17625</v>
      </c>
      <c r="M1840" s="13" t="s">
        <v>17626</v>
      </c>
      <c r="N1840" s="5" t="n">
        <f aca="false">LEN(L1840)</f>
        <v>25</v>
      </c>
      <c r="O1840" s="5" t="n">
        <f aca="false">LEN(M1840)</f>
        <v>25</v>
      </c>
      <c r="P1840" s="14" t="n">
        <f aca="false">IF(N1840=0,"",(N1840-LEN(SUBSTITUTE(SUBSTITUTE(L1840,"G",""),"C","")))/N1840)</f>
        <v>0.56</v>
      </c>
      <c r="Q1840" s="14" t="n">
        <f aca="false">IF(O1840=0,"",(O1840-LEN(SUBSTITUTE(SUBSTITUTE(M1840,"G",""),"C","")))/O1840)</f>
        <v>0.68</v>
      </c>
      <c r="R1840" s="5"/>
      <c r="S1840" s="8" t="s">
        <v>2131</v>
      </c>
      <c r="T1840" s="5"/>
      <c r="U1840" s="5" t="s">
        <v>2986</v>
      </c>
      <c r="V1840" s="5" t="s">
        <v>1546</v>
      </c>
      <c r="W1840" s="5" t="s">
        <v>15751</v>
      </c>
      <c r="X1840" s="5"/>
      <c r="Y1840" s="5"/>
    </row>
    <row r="1841" customFormat="false" ht="15" hidden="false" customHeight="false" outlineLevel="0" collapsed="false">
      <c r="A1841" s="5" t="s">
        <v>17627</v>
      </c>
      <c r="B1841" s="5" t="s">
        <v>1638</v>
      </c>
      <c r="C1841" s="5" t="s">
        <v>1639</v>
      </c>
      <c r="D1841" s="10" t="s">
        <v>137</v>
      </c>
      <c r="E1841" s="5" t="n">
        <v>6</v>
      </c>
      <c r="F1841" s="5" t="s">
        <v>17628</v>
      </c>
      <c r="G1841" s="13" t="s">
        <v>17629</v>
      </c>
      <c r="H1841" s="5" t="s">
        <v>17630</v>
      </c>
      <c r="I1841" s="13" t="s">
        <v>17631</v>
      </c>
      <c r="J1841" s="5" t="s">
        <v>17632</v>
      </c>
      <c r="K1841" s="5" t="s">
        <v>17633</v>
      </c>
      <c r="L1841" s="13" t="s">
        <v>17634</v>
      </c>
      <c r="M1841" s="13" t="s">
        <v>17635</v>
      </c>
      <c r="N1841" s="5" t="n">
        <f aca="false">LEN(L1841)</f>
        <v>25</v>
      </c>
      <c r="O1841" s="5" t="n">
        <f aca="false">LEN(M1841)</f>
        <v>25</v>
      </c>
      <c r="P1841" s="14" t="n">
        <f aca="false">IF(N1841=0,"",(N1841-LEN(SUBSTITUTE(SUBSTITUTE(L1841,"G",""),"C","")))/N1841)</f>
        <v>0.56</v>
      </c>
      <c r="Q1841" s="14" t="n">
        <f aca="false">IF(O1841=0,"",(O1841-LEN(SUBSTITUTE(SUBSTITUTE(M1841,"G",""),"C","")))/O1841)</f>
        <v>0.64</v>
      </c>
      <c r="R1841" s="5"/>
      <c r="S1841" s="8" t="s">
        <v>2131</v>
      </c>
      <c r="T1841" s="5"/>
      <c r="U1841" s="5" t="s">
        <v>2986</v>
      </c>
      <c r="V1841" s="5" t="s">
        <v>1546</v>
      </c>
      <c r="W1841" s="5" t="s">
        <v>15751</v>
      </c>
      <c r="X1841" s="5"/>
      <c r="Y1841" s="5"/>
    </row>
    <row r="1842" customFormat="false" ht="15" hidden="false" customHeight="false" outlineLevel="0" collapsed="false">
      <c r="A1842" s="5" t="s">
        <v>17636</v>
      </c>
      <c r="B1842" s="5" t="s">
        <v>1640</v>
      </c>
      <c r="C1842" s="5" t="s">
        <v>1641</v>
      </c>
      <c r="D1842" s="10" t="s">
        <v>137</v>
      </c>
      <c r="E1842" s="5" t="n">
        <v>1</v>
      </c>
      <c r="F1842" s="5" t="s">
        <v>17637</v>
      </c>
      <c r="G1842" s="13" t="s">
        <v>17638</v>
      </c>
      <c r="H1842" s="5" t="s">
        <v>17639</v>
      </c>
      <c r="I1842" s="13" t="s">
        <v>17640</v>
      </c>
      <c r="J1842" s="5" t="s">
        <v>17641</v>
      </c>
      <c r="K1842" s="5" t="s">
        <v>17642</v>
      </c>
      <c r="L1842" s="13" t="s">
        <v>17643</v>
      </c>
      <c r="M1842" s="13" t="s">
        <v>17644</v>
      </c>
      <c r="N1842" s="5" t="n">
        <f aca="false">LEN(L1842)</f>
        <v>25</v>
      </c>
      <c r="O1842" s="5" t="n">
        <f aca="false">LEN(M1842)</f>
        <v>25</v>
      </c>
      <c r="P1842" s="14" t="n">
        <f aca="false">IF(N1842=0,"",(N1842-LEN(SUBSTITUTE(SUBSTITUTE(L1842,"G",""),"C","")))/N1842)</f>
        <v>0.56</v>
      </c>
      <c r="Q1842" s="14" t="n">
        <f aca="false">IF(O1842=0,"",(O1842-LEN(SUBSTITUTE(SUBSTITUTE(M1842,"G",""),"C","")))/O1842)</f>
        <v>0.56</v>
      </c>
      <c r="R1842" s="5"/>
      <c r="S1842" s="8" t="s">
        <v>2131</v>
      </c>
      <c r="T1842" s="5"/>
      <c r="U1842" s="5" t="s">
        <v>2986</v>
      </c>
      <c r="V1842" s="5" t="s">
        <v>1546</v>
      </c>
      <c r="W1842" s="5" t="s">
        <v>15860</v>
      </c>
      <c r="X1842" s="5"/>
      <c r="Y1842" s="5"/>
    </row>
    <row r="1843" customFormat="false" ht="15" hidden="false" customHeight="false" outlineLevel="0" collapsed="false">
      <c r="A1843" s="5" t="s">
        <v>17645</v>
      </c>
      <c r="B1843" s="5" t="s">
        <v>1640</v>
      </c>
      <c r="C1843" s="5" t="s">
        <v>1641</v>
      </c>
      <c r="D1843" s="10" t="s">
        <v>137</v>
      </c>
      <c r="E1843" s="5" t="n">
        <v>2</v>
      </c>
      <c r="F1843" s="5" t="s">
        <v>17646</v>
      </c>
      <c r="G1843" s="13" t="s">
        <v>17647</v>
      </c>
      <c r="H1843" s="5" t="s">
        <v>17648</v>
      </c>
      <c r="I1843" s="13" t="s">
        <v>17649</v>
      </c>
      <c r="J1843" s="5" t="s">
        <v>17650</v>
      </c>
      <c r="K1843" s="5" t="s">
        <v>17651</v>
      </c>
      <c r="L1843" s="13" t="s">
        <v>17652</v>
      </c>
      <c r="M1843" s="13" t="s">
        <v>17653</v>
      </c>
      <c r="N1843" s="5" t="n">
        <f aca="false">LEN(L1843)</f>
        <v>25</v>
      </c>
      <c r="O1843" s="5" t="n">
        <f aca="false">LEN(M1843)</f>
        <v>25</v>
      </c>
      <c r="P1843" s="14" t="n">
        <f aca="false">IF(N1843=0,"",(N1843-LEN(SUBSTITUTE(SUBSTITUTE(L1843,"G",""),"C","")))/N1843)</f>
        <v>0.64</v>
      </c>
      <c r="Q1843" s="14" t="n">
        <f aca="false">IF(O1843=0,"",(O1843-LEN(SUBSTITUTE(SUBSTITUTE(M1843,"G",""),"C","")))/O1843)</f>
        <v>0.4</v>
      </c>
      <c r="R1843" s="5"/>
      <c r="S1843" s="8" t="s">
        <v>2131</v>
      </c>
      <c r="T1843" s="5"/>
      <c r="U1843" s="5" t="s">
        <v>2986</v>
      </c>
      <c r="V1843" s="5" t="s">
        <v>1546</v>
      </c>
      <c r="W1843" s="5" t="s">
        <v>15860</v>
      </c>
      <c r="X1843" s="5"/>
      <c r="Y1843" s="5"/>
    </row>
    <row r="1844" customFormat="false" ht="15" hidden="false" customHeight="false" outlineLevel="0" collapsed="false">
      <c r="A1844" s="5" t="s">
        <v>17654</v>
      </c>
      <c r="B1844" s="5" t="s">
        <v>1640</v>
      </c>
      <c r="C1844" s="5" t="s">
        <v>1641</v>
      </c>
      <c r="D1844" s="10" t="s">
        <v>137</v>
      </c>
      <c r="E1844" s="5" t="n">
        <v>3</v>
      </c>
      <c r="F1844" s="5" t="s">
        <v>17655</v>
      </c>
      <c r="G1844" s="13" t="s">
        <v>17656</v>
      </c>
      <c r="H1844" s="5" t="s">
        <v>17657</v>
      </c>
      <c r="I1844" s="13" t="s">
        <v>17658</v>
      </c>
      <c r="J1844" s="5" t="s">
        <v>17659</v>
      </c>
      <c r="K1844" s="5" t="s">
        <v>17660</v>
      </c>
      <c r="L1844" s="13" t="s">
        <v>17661</v>
      </c>
      <c r="M1844" s="13" t="s">
        <v>17662</v>
      </c>
      <c r="N1844" s="5" t="n">
        <f aca="false">LEN(L1844)</f>
        <v>25</v>
      </c>
      <c r="O1844" s="5" t="n">
        <f aca="false">LEN(M1844)</f>
        <v>25</v>
      </c>
      <c r="P1844" s="14" t="n">
        <f aca="false">IF(N1844=0,"",(N1844-LEN(SUBSTITUTE(SUBSTITUTE(L1844,"G",""),"C","")))/N1844)</f>
        <v>0.4</v>
      </c>
      <c r="Q1844" s="14" t="n">
        <f aca="false">IF(O1844=0,"",(O1844-LEN(SUBSTITUTE(SUBSTITUTE(M1844,"G",""),"C","")))/O1844)</f>
        <v>0.48</v>
      </c>
      <c r="R1844" s="5"/>
      <c r="S1844" s="8" t="s">
        <v>2131</v>
      </c>
      <c r="T1844" s="5"/>
      <c r="U1844" s="5" t="s">
        <v>2986</v>
      </c>
      <c r="V1844" s="5" t="s">
        <v>1546</v>
      </c>
      <c r="W1844" s="5" t="s">
        <v>15860</v>
      </c>
      <c r="X1844" s="5"/>
      <c r="Y1844" s="5"/>
    </row>
    <row r="1845" customFormat="false" ht="15" hidden="false" customHeight="false" outlineLevel="0" collapsed="false">
      <c r="A1845" s="5" t="s">
        <v>17663</v>
      </c>
      <c r="B1845" s="5" t="s">
        <v>1640</v>
      </c>
      <c r="C1845" s="5" t="s">
        <v>1641</v>
      </c>
      <c r="D1845" s="10" t="s">
        <v>137</v>
      </c>
      <c r="E1845" s="5" t="n">
        <v>4</v>
      </c>
      <c r="F1845" s="5" t="s">
        <v>17664</v>
      </c>
      <c r="G1845" s="13" t="s">
        <v>17665</v>
      </c>
      <c r="H1845" s="5" t="s">
        <v>17666</v>
      </c>
      <c r="I1845" s="13" t="s">
        <v>17667</v>
      </c>
      <c r="J1845" s="5" t="s">
        <v>17668</v>
      </c>
      <c r="K1845" s="5" t="s">
        <v>17669</v>
      </c>
      <c r="L1845" s="13" t="s">
        <v>17670</v>
      </c>
      <c r="M1845" s="13" t="s">
        <v>17671</v>
      </c>
      <c r="N1845" s="5" t="n">
        <f aca="false">LEN(L1845)</f>
        <v>25</v>
      </c>
      <c r="O1845" s="5" t="n">
        <f aca="false">LEN(M1845)</f>
        <v>25</v>
      </c>
      <c r="P1845" s="14" t="n">
        <f aca="false">IF(N1845=0,"",(N1845-LEN(SUBSTITUTE(SUBSTITUTE(L1845,"G",""),"C","")))/N1845)</f>
        <v>0.44</v>
      </c>
      <c r="Q1845" s="14" t="n">
        <f aca="false">IF(O1845=0,"",(O1845-LEN(SUBSTITUTE(SUBSTITUTE(M1845,"G",""),"C","")))/O1845)</f>
        <v>0.52</v>
      </c>
      <c r="R1845" s="5"/>
      <c r="S1845" s="8" t="s">
        <v>2131</v>
      </c>
      <c r="T1845" s="5"/>
      <c r="U1845" s="5" t="s">
        <v>2986</v>
      </c>
      <c r="V1845" s="5" t="s">
        <v>1546</v>
      </c>
      <c r="W1845" s="5" t="s">
        <v>15860</v>
      </c>
      <c r="X1845" s="5"/>
      <c r="Y1845" s="5"/>
    </row>
    <row r="1846" customFormat="false" ht="15" hidden="false" customHeight="false" outlineLevel="0" collapsed="false">
      <c r="A1846" s="5" t="s">
        <v>17672</v>
      </c>
      <c r="B1846" s="5" t="s">
        <v>1640</v>
      </c>
      <c r="C1846" s="5" t="s">
        <v>1641</v>
      </c>
      <c r="D1846" s="10" t="s">
        <v>137</v>
      </c>
      <c r="E1846" s="5" t="n">
        <v>5</v>
      </c>
      <c r="F1846" s="5" t="s">
        <v>17673</v>
      </c>
      <c r="G1846" s="13" t="s">
        <v>17674</v>
      </c>
      <c r="H1846" s="5" t="s">
        <v>17675</v>
      </c>
      <c r="I1846" s="13" t="s">
        <v>17676</v>
      </c>
      <c r="J1846" s="5" t="s">
        <v>17677</v>
      </c>
      <c r="K1846" s="5" t="s">
        <v>17678</v>
      </c>
      <c r="L1846" s="13" t="s">
        <v>17679</v>
      </c>
      <c r="M1846" s="13" t="s">
        <v>17680</v>
      </c>
      <c r="N1846" s="5" t="n">
        <f aca="false">LEN(L1846)</f>
        <v>25</v>
      </c>
      <c r="O1846" s="5" t="n">
        <f aca="false">LEN(M1846)</f>
        <v>25</v>
      </c>
      <c r="P1846" s="14" t="n">
        <f aca="false">IF(N1846=0,"",(N1846-LEN(SUBSTITUTE(SUBSTITUTE(L1846,"G",""),"C","")))/N1846)</f>
        <v>0.72</v>
      </c>
      <c r="Q1846" s="14" t="n">
        <f aca="false">IF(O1846=0,"",(O1846-LEN(SUBSTITUTE(SUBSTITUTE(M1846,"G",""),"C","")))/O1846)</f>
        <v>0.72</v>
      </c>
      <c r="R1846" s="5"/>
      <c r="S1846" s="8" t="s">
        <v>2131</v>
      </c>
      <c r="T1846" s="5"/>
      <c r="U1846" s="5" t="s">
        <v>2986</v>
      </c>
      <c r="V1846" s="5" t="s">
        <v>1546</v>
      </c>
      <c r="W1846" s="5" t="s">
        <v>15860</v>
      </c>
      <c r="X1846" s="5"/>
      <c r="Y1846" s="5"/>
    </row>
    <row r="1847" customFormat="false" ht="15" hidden="false" customHeight="false" outlineLevel="0" collapsed="false">
      <c r="A1847" s="5" t="s">
        <v>17681</v>
      </c>
      <c r="B1847" s="5" t="s">
        <v>1640</v>
      </c>
      <c r="C1847" s="5" t="s">
        <v>1641</v>
      </c>
      <c r="D1847" s="10" t="s">
        <v>137</v>
      </c>
      <c r="E1847" s="5" t="n">
        <v>6</v>
      </c>
      <c r="F1847" s="5" t="s">
        <v>17682</v>
      </c>
      <c r="G1847" s="13" t="s">
        <v>17683</v>
      </c>
      <c r="H1847" s="5" t="s">
        <v>17684</v>
      </c>
      <c r="I1847" s="13" t="s">
        <v>17685</v>
      </c>
      <c r="J1847" s="5" t="s">
        <v>17686</v>
      </c>
      <c r="K1847" s="5" t="s">
        <v>17687</v>
      </c>
      <c r="L1847" s="13" t="s">
        <v>17688</v>
      </c>
      <c r="M1847" s="13" t="s">
        <v>17689</v>
      </c>
      <c r="N1847" s="5" t="n">
        <f aca="false">LEN(L1847)</f>
        <v>25</v>
      </c>
      <c r="O1847" s="5" t="n">
        <f aca="false">LEN(M1847)</f>
        <v>25</v>
      </c>
      <c r="P1847" s="14" t="n">
        <f aca="false">IF(N1847=0,"",(N1847-LEN(SUBSTITUTE(SUBSTITUTE(L1847,"G",""),"C","")))/N1847)</f>
        <v>0.6</v>
      </c>
      <c r="Q1847" s="14" t="n">
        <f aca="false">IF(O1847=0,"",(O1847-LEN(SUBSTITUTE(SUBSTITUTE(M1847,"G",""),"C","")))/O1847)</f>
        <v>0.76</v>
      </c>
      <c r="R1847" s="5"/>
      <c r="S1847" s="8" t="s">
        <v>2131</v>
      </c>
      <c r="T1847" s="5"/>
      <c r="U1847" s="5" t="s">
        <v>2986</v>
      </c>
      <c r="V1847" s="5" t="s">
        <v>1546</v>
      </c>
      <c r="W1847" s="5" t="s">
        <v>15860</v>
      </c>
      <c r="X1847" s="5"/>
      <c r="Y1847" s="5"/>
    </row>
    <row r="1848" customFormat="false" ht="15" hidden="false" customHeight="false" outlineLevel="0" collapsed="false">
      <c r="A1848" s="5" t="s">
        <v>17690</v>
      </c>
      <c r="B1848" s="5" t="s">
        <v>1642</v>
      </c>
      <c r="C1848" s="5" t="s">
        <v>1643</v>
      </c>
      <c r="D1848" s="10" t="s">
        <v>137</v>
      </c>
      <c r="E1848" s="5" t="n">
        <v>1</v>
      </c>
      <c r="F1848" s="5" t="s">
        <v>17691</v>
      </c>
      <c r="G1848" s="13" t="s">
        <v>17692</v>
      </c>
      <c r="H1848" s="5" t="s">
        <v>17693</v>
      </c>
      <c r="I1848" s="13" t="s">
        <v>17694</v>
      </c>
      <c r="J1848" s="5" t="s">
        <v>17695</v>
      </c>
      <c r="K1848" s="5" t="s">
        <v>17696</v>
      </c>
      <c r="L1848" s="13" t="s">
        <v>17697</v>
      </c>
      <c r="M1848" s="13" t="s">
        <v>17698</v>
      </c>
      <c r="N1848" s="5" t="n">
        <f aca="false">LEN(L1848)</f>
        <v>25</v>
      </c>
      <c r="O1848" s="5" t="n">
        <f aca="false">LEN(M1848)</f>
        <v>25</v>
      </c>
      <c r="P1848" s="14" t="n">
        <f aca="false">IF(N1848=0,"",(N1848-LEN(SUBSTITUTE(SUBSTITUTE(L1848,"G",""),"C","")))/N1848)</f>
        <v>0.68</v>
      </c>
      <c r="Q1848" s="14" t="n">
        <f aca="false">IF(O1848=0,"",(O1848-LEN(SUBSTITUTE(SUBSTITUTE(M1848,"G",""),"C","")))/O1848)</f>
        <v>0.6</v>
      </c>
      <c r="R1848" s="5"/>
      <c r="S1848" s="8" t="s">
        <v>2131</v>
      </c>
      <c r="T1848" s="5"/>
      <c r="U1848" s="5" t="s">
        <v>2986</v>
      </c>
      <c r="V1848" s="5" t="s">
        <v>1546</v>
      </c>
      <c r="W1848" s="5" t="s">
        <v>15534</v>
      </c>
      <c r="X1848" s="5"/>
      <c r="Y1848" s="5"/>
    </row>
    <row r="1849" customFormat="false" ht="15" hidden="false" customHeight="false" outlineLevel="0" collapsed="false">
      <c r="A1849" s="5" t="s">
        <v>17699</v>
      </c>
      <c r="B1849" s="5" t="s">
        <v>1642</v>
      </c>
      <c r="C1849" s="5" t="s">
        <v>1643</v>
      </c>
      <c r="D1849" s="10" t="s">
        <v>137</v>
      </c>
      <c r="E1849" s="5" t="n">
        <v>2</v>
      </c>
      <c r="F1849" s="5" t="s">
        <v>17700</v>
      </c>
      <c r="G1849" s="13" t="s">
        <v>17701</v>
      </c>
      <c r="H1849" s="5" t="s">
        <v>17702</v>
      </c>
      <c r="I1849" s="13" t="s">
        <v>17703</v>
      </c>
      <c r="J1849" s="5" t="s">
        <v>17704</v>
      </c>
      <c r="K1849" s="5" t="s">
        <v>17705</v>
      </c>
      <c r="L1849" s="13" t="s">
        <v>17706</v>
      </c>
      <c r="M1849" s="13" t="s">
        <v>17707</v>
      </c>
      <c r="N1849" s="5" t="n">
        <f aca="false">LEN(L1849)</f>
        <v>25</v>
      </c>
      <c r="O1849" s="5" t="n">
        <f aca="false">LEN(M1849)</f>
        <v>25</v>
      </c>
      <c r="P1849" s="14" t="n">
        <f aca="false">IF(N1849=0,"",(N1849-LEN(SUBSTITUTE(SUBSTITUTE(L1849,"G",""),"C","")))/N1849)</f>
        <v>0.68</v>
      </c>
      <c r="Q1849" s="14" t="n">
        <f aca="false">IF(O1849=0,"",(O1849-LEN(SUBSTITUTE(SUBSTITUTE(M1849,"G",""),"C","")))/O1849)</f>
        <v>0.72</v>
      </c>
      <c r="R1849" s="5"/>
      <c r="S1849" s="8" t="s">
        <v>2131</v>
      </c>
      <c r="T1849" s="5"/>
      <c r="U1849" s="5" t="s">
        <v>2986</v>
      </c>
      <c r="V1849" s="5" t="s">
        <v>1546</v>
      </c>
      <c r="W1849" s="5" t="s">
        <v>15534</v>
      </c>
      <c r="X1849" s="5"/>
      <c r="Y1849" s="5"/>
    </row>
    <row r="1850" customFormat="false" ht="15" hidden="false" customHeight="false" outlineLevel="0" collapsed="false">
      <c r="A1850" s="5" t="s">
        <v>17708</v>
      </c>
      <c r="B1850" s="5" t="s">
        <v>1642</v>
      </c>
      <c r="C1850" s="5" t="s">
        <v>1643</v>
      </c>
      <c r="D1850" s="10" t="s">
        <v>137</v>
      </c>
      <c r="E1850" s="5" t="n">
        <v>3</v>
      </c>
      <c r="F1850" s="5" t="s">
        <v>17709</v>
      </c>
      <c r="G1850" s="13" t="s">
        <v>17710</v>
      </c>
      <c r="H1850" s="5" t="s">
        <v>17711</v>
      </c>
      <c r="I1850" s="13" t="s">
        <v>17712</v>
      </c>
      <c r="J1850" s="5" t="s">
        <v>17713</v>
      </c>
      <c r="K1850" s="5" t="s">
        <v>17714</v>
      </c>
      <c r="L1850" s="13" t="s">
        <v>17715</v>
      </c>
      <c r="M1850" s="13" t="s">
        <v>17716</v>
      </c>
      <c r="N1850" s="5" t="n">
        <f aca="false">LEN(L1850)</f>
        <v>25</v>
      </c>
      <c r="O1850" s="5" t="n">
        <f aca="false">LEN(M1850)</f>
        <v>25</v>
      </c>
      <c r="P1850" s="14" t="n">
        <f aca="false">IF(N1850=0,"",(N1850-LEN(SUBSTITUTE(SUBSTITUTE(L1850,"G",""),"C","")))/N1850)</f>
        <v>0.76</v>
      </c>
      <c r="Q1850" s="14" t="n">
        <f aca="false">IF(O1850=0,"",(O1850-LEN(SUBSTITUTE(SUBSTITUTE(M1850,"G",""),"C","")))/O1850)</f>
        <v>0.68</v>
      </c>
      <c r="R1850" s="5"/>
      <c r="S1850" s="8" t="s">
        <v>2131</v>
      </c>
      <c r="T1850" s="5"/>
      <c r="U1850" s="5" t="s">
        <v>2986</v>
      </c>
      <c r="V1850" s="5" t="s">
        <v>1546</v>
      </c>
      <c r="W1850" s="5" t="s">
        <v>15534</v>
      </c>
      <c r="X1850" s="5"/>
      <c r="Y1850" s="5"/>
    </row>
    <row r="1851" customFormat="false" ht="15" hidden="false" customHeight="false" outlineLevel="0" collapsed="false">
      <c r="A1851" s="5" t="s">
        <v>17717</v>
      </c>
      <c r="B1851" s="5" t="s">
        <v>1642</v>
      </c>
      <c r="C1851" s="5" t="s">
        <v>1643</v>
      </c>
      <c r="D1851" s="10" t="s">
        <v>137</v>
      </c>
      <c r="E1851" s="5" t="n">
        <v>4</v>
      </c>
      <c r="F1851" s="5" t="s">
        <v>17718</v>
      </c>
      <c r="G1851" s="13" t="s">
        <v>17719</v>
      </c>
      <c r="H1851" s="5" t="s">
        <v>17720</v>
      </c>
      <c r="I1851" s="13" t="s">
        <v>17721</v>
      </c>
      <c r="J1851" s="5" t="s">
        <v>17722</v>
      </c>
      <c r="K1851" s="5" t="s">
        <v>17723</v>
      </c>
      <c r="L1851" s="13" t="s">
        <v>17724</v>
      </c>
      <c r="M1851" s="13" t="s">
        <v>17725</v>
      </c>
      <c r="N1851" s="5" t="n">
        <f aca="false">LEN(L1851)</f>
        <v>25</v>
      </c>
      <c r="O1851" s="5" t="n">
        <f aca="false">LEN(M1851)</f>
        <v>25</v>
      </c>
      <c r="P1851" s="14" t="n">
        <f aca="false">IF(N1851=0,"",(N1851-LEN(SUBSTITUTE(SUBSTITUTE(L1851,"G",""),"C","")))/N1851)</f>
        <v>0.64</v>
      </c>
      <c r="Q1851" s="14" t="n">
        <f aca="false">IF(O1851=0,"",(O1851-LEN(SUBSTITUTE(SUBSTITUTE(M1851,"G",""),"C","")))/O1851)</f>
        <v>0.48</v>
      </c>
      <c r="R1851" s="5"/>
      <c r="S1851" s="8" t="s">
        <v>2131</v>
      </c>
      <c r="T1851" s="5"/>
      <c r="U1851" s="5" t="s">
        <v>2986</v>
      </c>
      <c r="V1851" s="5" t="s">
        <v>1546</v>
      </c>
      <c r="W1851" s="5" t="s">
        <v>15534</v>
      </c>
      <c r="X1851" s="5"/>
      <c r="Y1851" s="5"/>
    </row>
    <row r="1852" customFormat="false" ht="15" hidden="false" customHeight="false" outlineLevel="0" collapsed="false">
      <c r="A1852" s="5" t="s">
        <v>17726</v>
      </c>
      <c r="B1852" s="5" t="s">
        <v>1642</v>
      </c>
      <c r="C1852" s="5" t="s">
        <v>1643</v>
      </c>
      <c r="D1852" s="10" t="s">
        <v>137</v>
      </c>
      <c r="E1852" s="5" t="n">
        <v>5</v>
      </c>
      <c r="F1852" s="5" t="s">
        <v>17727</v>
      </c>
      <c r="G1852" s="13" t="s">
        <v>17728</v>
      </c>
      <c r="H1852" s="5" t="s">
        <v>17729</v>
      </c>
      <c r="I1852" s="13" t="s">
        <v>17730</v>
      </c>
      <c r="J1852" s="5" t="s">
        <v>17731</v>
      </c>
      <c r="K1852" s="5" t="s">
        <v>17732</v>
      </c>
      <c r="L1852" s="13" t="s">
        <v>17733</v>
      </c>
      <c r="M1852" s="13" t="s">
        <v>17734</v>
      </c>
      <c r="N1852" s="5" t="n">
        <f aca="false">LEN(L1852)</f>
        <v>25</v>
      </c>
      <c r="O1852" s="5" t="n">
        <f aca="false">LEN(M1852)</f>
        <v>25</v>
      </c>
      <c r="P1852" s="14" t="n">
        <f aca="false">IF(N1852=0,"",(N1852-LEN(SUBSTITUTE(SUBSTITUTE(L1852,"G",""),"C","")))/N1852)</f>
        <v>0.68</v>
      </c>
      <c r="Q1852" s="14" t="n">
        <f aca="false">IF(O1852=0,"",(O1852-LEN(SUBSTITUTE(SUBSTITUTE(M1852,"G",""),"C","")))/O1852)</f>
        <v>0.68</v>
      </c>
      <c r="R1852" s="5"/>
      <c r="S1852" s="8" t="s">
        <v>2131</v>
      </c>
      <c r="T1852" s="5"/>
      <c r="U1852" s="5" t="s">
        <v>2986</v>
      </c>
      <c r="V1852" s="5" t="s">
        <v>1546</v>
      </c>
      <c r="W1852" s="5" t="s">
        <v>15534</v>
      </c>
      <c r="X1852" s="5"/>
      <c r="Y1852" s="5"/>
    </row>
    <row r="1853" customFormat="false" ht="15" hidden="false" customHeight="false" outlineLevel="0" collapsed="false">
      <c r="A1853" s="5" t="s">
        <v>17735</v>
      </c>
      <c r="B1853" s="5" t="s">
        <v>1642</v>
      </c>
      <c r="C1853" s="5" t="s">
        <v>1643</v>
      </c>
      <c r="D1853" s="10" t="s">
        <v>137</v>
      </c>
      <c r="E1853" s="5" t="n">
        <v>6</v>
      </c>
      <c r="F1853" s="5" t="s">
        <v>17736</v>
      </c>
      <c r="G1853" s="13" t="s">
        <v>17737</v>
      </c>
      <c r="H1853" s="5" t="s">
        <v>17738</v>
      </c>
      <c r="I1853" s="13" t="s">
        <v>17739</v>
      </c>
      <c r="J1853" s="5" t="s">
        <v>17740</v>
      </c>
      <c r="K1853" s="5" t="s">
        <v>17741</v>
      </c>
      <c r="L1853" s="13" t="s">
        <v>17742</v>
      </c>
      <c r="M1853" s="13" t="s">
        <v>17743</v>
      </c>
      <c r="N1853" s="5" t="n">
        <f aca="false">LEN(L1853)</f>
        <v>25</v>
      </c>
      <c r="O1853" s="5" t="n">
        <f aca="false">LEN(M1853)</f>
        <v>25</v>
      </c>
      <c r="P1853" s="14" t="n">
        <f aca="false">IF(N1853=0,"",(N1853-LEN(SUBSTITUTE(SUBSTITUTE(L1853,"G",""),"C","")))/N1853)</f>
        <v>0.56</v>
      </c>
      <c r="Q1853" s="14" t="n">
        <f aca="false">IF(O1853=0,"",(O1853-LEN(SUBSTITUTE(SUBSTITUTE(M1853,"G",""),"C","")))/O1853)</f>
        <v>0.68</v>
      </c>
      <c r="R1853" s="5"/>
      <c r="S1853" s="8" t="s">
        <v>2131</v>
      </c>
      <c r="T1853" s="5"/>
      <c r="U1853" s="5" t="s">
        <v>2986</v>
      </c>
      <c r="V1853" s="5" t="s">
        <v>1546</v>
      </c>
      <c r="W1853" s="5" t="s">
        <v>15534</v>
      </c>
      <c r="X1853" s="5"/>
      <c r="Y1853" s="5"/>
    </row>
    <row r="1854" customFormat="false" ht="15" hidden="false" customHeight="false" outlineLevel="0" collapsed="false">
      <c r="A1854" s="5" t="s">
        <v>17744</v>
      </c>
      <c r="B1854" s="5" t="s">
        <v>1644</v>
      </c>
      <c r="C1854" s="5" t="s">
        <v>1645</v>
      </c>
      <c r="D1854" s="10" t="s">
        <v>137</v>
      </c>
      <c r="E1854" s="5" t="n">
        <v>1</v>
      </c>
      <c r="F1854" s="5" t="s">
        <v>17745</v>
      </c>
      <c r="G1854" s="13" t="s">
        <v>17746</v>
      </c>
      <c r="H1854" s="5" t="s">
        <v>17747</v>
      </c>
      <c r="I1854" s="13" t="s">
        <v>17748</v>
      </c>
      <c r="J1854" s="5" t="s">
        <v>17749</v>
      </c>
      <c r="K1854" s="5" t="s">
        <v>17750</v>
      </c>
      <c r="L1854" s="13" t="s">
        <v>17751</v>
      </c>
      <c r="M1854" s="13" t="s">
        <v>17752</v>
      </c>
      <c r="N1854" s="5" t="n">
        <f aca="false">LEN(L1854)</f>
        <v>25</v>
      </c>
      <c r="O1854" s="5" t="n">
        <f aca="false">LEN(M1854)</f>
        <v>25</v>
      </c>
      <c r="P1854" s="14" t="n">
        <f aca="false">IF(N1854=0,"",(N1854-LEN(SUBSTITUTE(SUBSTITUTE(L1854,"G",""),"C","")))/N1854)</f>
        <v>0.6</v>
      </c>
      <c r="Q1854" s="14" t="n">
        <f aca="false">IF(O1854=0,"",(O1854-LEN(SUBSTITUTE(SUBSTITUTE(M1854,"G",""),"C","")))/O1854)</f>
        <v>0.44</v>
      </c>
      <c r="R1854" s="5"/>
      <c r="S1854" s="8" t="s">
        <v>2131</v>
      </c>
      <c r="T1854" s="5"/>
      <c r="U1854" s="5" t="s">
        <v>2986</v>
      </c>
      <c r="V1854" s="5" t="s">
        <v>1546</v>
      </c>
      <c r="W1854" s="5" t="s">
        <v>15952</v>
      </c>
      <c r="X1854" s="5"/>
      <c r="Y1854" s="5"/>
    </row>
    <row r="1855" customFormat="false" ht="15" hidden="false" customHeight="false" outlineLevel="0" collapsed="false">
      <c r="A1855" s="5" t="s">
        <v>17753</v>
      </c>
      <c r="B1855" s="5" t="s">
        <v>1644</v>
      </c>
      <c r="C1855" s="5" t="s">
        <v>1645</v>
      </c>
      <c r="D1855" s="10" t="s">
        <v>137</v>
      </c>
      <c r="E1855" s="5" t="n">
        <v>2</v>
      </c>
      <c r="F1855" s="5" t="s">
        <v>17754</v>
      </c>
      <c r="G1855" s="13" t="s">
        <v>17755</v>
      </c>
      <c r="H1855" s="5" t="s">
        <v>17756</v>
      </c>
      <c r="I1855" s="13" t="s">
        <v>17757</v>
      </c>
      <c r="J1855" s="5" t="s">
        <v>17758</v>
      </c>
      <c r="K1855" s="5" t="s">
        <v>17759</v>
      </c>
      <c r="L1855" s="13" t="s">
        <v>17760</v>
      </c>
      <c r="M1855" s="13" t="s">
        <v>17761</v>
      </c>
      <c r="N1855" s="5" t="n">
        <f aca="false">LEN(L1855)</f>
        <v>25</v>
      </c>
      <c r="O1855" s="5" t="n">
        <f aca="false">LEN(M1855)</f>
        <v>25</v>
      </c>
      <c r="P1855" s="14" t="n">
        <f aca="false">IF(N1855=0,"",(N1855-LEN(SUBSTITUTE(SUBSTITUTE(L1855,"G",""),"C","")))/N1855)</f>
        <v>0.36</v>
      </c>
      <c r="Q1855" s="14" t="n">
        <f aca="false">IF(O1855=0,"",(O1855-LEN(SUBSTITUTE(SUBSTITUTE(M1855,"G",""),"C","")))/O1855)</f>
        <v>0.56</v>
      </c>
      <c r="R1855" s="5"/>
      <c r="S1855" s="8" t="s">
        <v>2131</v>
      </c>
      <c r="T1855" s="5"/>
      <c r="U1855" s="5" t="s">
        <v>2986</v>
      </c>
      <c r="V1855" s="5" t="s">
        <v>1546</v>
      </c>
      <c r="W1855" s="5" t="s">
        <v>15952</v>
      </c>
      <c r="X1855" s="5"/>
      <c r="Y1855" s="5"/>
    </row>
    <row r="1856" customFormat="false" ht="15" hidden="false" customHeight="false" outlineLevel="0" collapsed="false">
      <c r="A1856" s="5" t="s">
        <v>17762</v>
      </c>
      <c r="B1856" s="5" t="s">
        <v>1644</v>
      </c>
      <c r="C1856" s="5" t="s">
        <v>1645</v>
      </c>
      <c r="D1856" s="10" t="s">
        <v>137</v>
      </c>
      <c r="E1856" s="5" t="n">
        <v>3</v>
      </c>
      <c r="F1856" s="5" t="s">
        <v>17763</v>
      </c>
      <c r="G1856" s="13" t="s">
        <v>17764</v>
      </c>
      <c r="H1856" s="5" t="s">
        <v>17765</v>
      </c>
      <c r="I1856" s="13" t="s">
        <v>17766</v>
      </c>
      <c r="J1856" s="5" t="s">
        <v>17767</v>
      </c>
      <c r="K1856" s="5" t="s">
        <v>17768</v>
      </c>
      <c r="L1856" s="13" t="s">
        <v>17769</v>
      </c>
      <c r="M1856" s="13" t="s">
        <v>17770</v>
      </c>
      <c r="N1856" s="5" t="n">
        <f aca="false">LEN(L1856)</f>
        <v>25</v>
      </c>
      <c r="O1856" s="5" t="n">
        <f aca="false">LEN(M1856)</f>
        <v>25</v>
      </c>
      <c r="P1856" s="14" t="n">
        <f aca="false">IF(N1856=0,"",(N1856-LEN(SUBSTITUTE(SUBSTITUTE(L1856,"G",""),"C","")))/N1856)</f>
        <v>0.56</v>
      </c>
      <c r="Q1856" s="14" t="n">
        <f aca="false">IF(O1856=0,"",(O1856-LEN(SUBSTITUTE(SUBSTITUTE(M1856,"G",""),"C","")))/O1856)</f>
        <v>0.56</v>
      </c>
      <c r="R1856" s="5"/>
      <c r="S1856" s="8" t="s">
        <v>2131</v>
      </c>
      <c r="T1856" s="5"/>
      <c r="U1856" s="5" t="s">
        <v>2986</v>
      </c>
      <c r="V1856" s="5" t="s">
        <v>1546</v>
      </c>
      <c r="W1856" s="5" t="s">
        <v>15952</v>
      </c>
      <c r="X1856" s="5"/>
      <c r="Y1856" s="5"/>
    </row>
    <row r="1857" customFormat="false" ht="15" hidden="false" customHeight="false" outlineLevel="0" collapsed="false">
      <c r="A1857" s="5" t="s">
        <v>17771</v>
      </c>
      <c r="B1857" s="5" t="s">
        <v>1644</v>
      </c>
      <c r="C1857" s="5" t="s">
        <v>1645</v>
      </c>
      <c r="D1857" s="10" t="s">
        <v>137</v>
      </c>
      <c r="E1857" s="5" t="n">
        <v>4</v>
      </c>
      <c r="F1857" s="5" t="s">
        <v>17772</v>
      </c>
      <c r="G1857" s="13" t="s">
        <v>17773</v>
      </c>
      <c r="H1857" s="5" t="s">
        <v>17774</v>
      </c>
      <c r="I1857" s="13" t="s">
        <v>17775</v>
      </c>
      <c r="J1857" s="5" t="s">
        <v>17776</v>
      </c>
      <c r="K1857" s="5" t="s">
        <v>17777</v>
      </c>
      <c r="L1857" s="13" t="s">
        <v>17778</v>
      </c>
      <c r="M1857" s="13" t="s">
        <v>17779</v>
      </c>
      <c r="N1857" s="5" t="n">
        <f aca="false">LEN(L1857)</f>
        <v>25</v>
      </c>
      <c r="O1857" s="5" t="n">
        <f aca="false">LEN(M1857)</f>
        <v>25</v>
      </c>
      <c r="P1857" s="14" t="n">
        <f aca="false">IF(N1857=0,"",(N1857-LEN(SUBSTITUTE(SUBSTITUTE(L1857,"G",""),"C","")))/N1857)</f>
        <v>0.56</v>
      </c>
      <c r="Q1857" s="14" t="n">
        <f aca="false">IF(O1857=0,"",(O1857-LEN(SUBSTITUTE(SUBSTITUTE(M1857,"G",""),"C","")))/O1857)</f>
        <v>0.32</v>
      </c>
      <c r="R1857" s="5"/>
      <c r="S1857" s="8" t="s">
        <v>2131</v>
      </c>
      <c r="T1857" s="5"/>
      <c r="U1857" s="5" t="s">
        <v>2986</v>
      </c>
      <c r="V1857" s="5" t="s">
        <v>1546</v>
      </c>
      <c r="W1857" s="5" t="s">
        <v>15952</v>
      </c>
      <c r="X1857" s="5"/>
      <c r="Y1857" s="5"/>
    </row>
    <row r="1858" customFormat="false" ht="15" hidden="false" customHeight="false" outlineLevel="0" collapsed="false">
      <c r="A1858" s="5" t="s">
        <v>17780</v>
      </c>
      <c r="B1858" s="5" t="s">
        <v>1644</v>
      </c>
      <c r="C1858" s="5" t="s">
        <v>1645</v>
      </c>
      <c r="D1858" s="10" t="s">
        <v>137</v>
      </c>
      <c r="E1858" s="5" t="n">
        <v>5</v>
      </c>
      <c r="F1858" s="5" t="s">
        <v>17781</v>
      </c>
      <c r="G1858" s="13" t="s">
        <v>17782</v>
      </c>
      <c r="H1858" s="5" t="s">
        <v>17783</v>
      </c>
      <c r="I1858" s="13" t="s">
        <v>17784</v>
      </c>
      <c r="J1858" s="5" t="s">
        <v>17785</v>
      </c>
      <c r="K1858" s="5" t="s">
        <v>17786</v>
      </c>
      <c r="L1858" s="13" t="s">
        <v>17787</v>
      </c>
      <c r="M1858" s="13" t="s">
        <v>17788</v>
      </c>
      <c r="N1858" s="5" t="n">
        <f aca="false">LEN(L1858)</f>
        <v>25</v>
      </c>
      <c r="O1858" s="5" t="n">
        <f aca="false">LEN(M1858)</f>
        <v>25</v>
      </c>
      <c r="P1858" s="14" t="n">
        <f aca="false">IF(N1858=0,"",(N1858-LEN(SUBSTITUTE(SUBSTITUTE(L1858,"G",""),"C","")))/N1858)</f>
        <v>0.32</v>
      </c>
      <c r="Q1858" s="14" t="n">
        <f aca="false">IF(O1858=0,"",(O1858-LEN(SUBSTITUTE(SUBSTITUTE(M1858,"G",""),"C","")))/O1858)</f>
        <v>0.48</v>
      </c>
      <c r="R1858" s="5"/>
      <c r="S1858" s="8" t="s">
        <v>2131</v>
      </c>
      <c r="T1858" s="5"/>
      <c r="U1858" s="5" t="s">
        <v>2986</v>
      </c>
      <c r="V1858" s="5" t="s">
        <v>1546</v>
      </c>
      <c r="W1858" s="5" t="s">
        <v>15952</v>
      </c>
      <c r="X1858" s="5"/>
      <c r="Y1858" s="5"/>
    </row>
  </sheetData>
  <autoFilter ref="A1:Y18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4" min="4" style="0" width="60"/>
    <col collapsed="false" customWidth="true" hidden="false" outlineLevel="0" max="5" min="5" style="0" width="22"/>
    <col collapsed="false" customWidth="true" hidden="false" outlineLevel="0" max="6" min="6" style="0" width="10"/>
    <col collapsed="false" customWidth="true" hidden="false" outlineLevel="0" max="7" min="7" style="0" width="12"/>
    <col collapsed="false" customWidth="true" hidden="false" outlineLevel="0" max="8" min="8" style="0" width="90"/>
  </cols>
  <sheetData>
    <row r="1" customFormat="false" ht="31.5" hidden="false" customHeight="true" outlineLevel="0" collapsed="false">
      <c r="A1" s="3" t="s">
        <v>17789</v>
      </c>
      <c r="B1" s="3" t="s">
        <v>12</v>
      </c>
      <c r="C1" s="3" t="s">
        <v>14</v>
      </c>
      <c r="D1" s="3" t="s">
        <v>17790</v>
      </c>
      <c r="E1" s="3" t="s">
        <v>17791</v>
      </c>
      <c r="F1" s="3" t="s">
        <v>17792</v>
      </c>
      <c r="G1" s="3" t="s">
        <v>17793</v>
      </c>
      <c r="H1" s="3" t="s">
        <v>17794</v>
      </c>
    </row>
    <row r="2" customFormat="false" ht="15" hidden="false" customHeight="false" outlineLevel="0" collapsed="false">
      <c r="A2" s="5" t="s">
        <v>462</v>
      </c>
      <c r="B2" s="5" t="s">
        <v>459</v>
      </c>
      <c r="C2" s="5" t="s">
        <v>43</v>
      </c>
      <c r="D2" s="5" t="s">
        <v>17795</v>
      </c>
      <c r="E2" s="5" t="s">
        <v>17796</v>
      </c>
      <c r="F2" s="5" t="n">
        <f aca="false">LEN(H2)</f>
        <v>1061</v>
      </c>
      <c r="G2" s="5" t="n">
        <f aca="false">COUNTIF(Probe_Pairs!$R:$R,A2)</f>
        <v>8</v>
      </c>
      <c r="H2" s="13" t="s">
        <v>17797</v>
      </c>
    </row>
    <row r="3" customFormat="false" ht="15" hidden="false" customHeight="false" outlineLevel="0" collapsed="false">
      <c r="A3" s="5" t="s">
        <v>454</v>
      </c>
      <c r="B3" s="5" t="s">
        <v>450</v>
      </c>
      <c r="C3" s="5" t="s">
        <v>43</v>
      </c>
      <c r="D3" s="5" t="s">
        <v>17798</v>
      </c>
      <c r="E3" s="5" t="s">
        <v>17796</v>
      </c>
      <c r="F3" s="5" t="n">
        <f aca="false">LEN(H3)</f>
        <v>1098</v>
      </c>
      <c r="G3" s="5" t="n">
        <f aca="false">COUNTIF(Probe_Pairs!$R:$R,A3)</f>
        <v>8</v>
      </c>
      <c r="H3" s="13" t="s">
        <v>17799</v>
      </c>
    </row>
    <row r="4" customFormat="false" ht="15" hidden="false" customHeight="false" outlineLevel="0" collapsed="false">
      <c r="A4" s="5" t="s">
        <v>783</v>
      </c>
      <c r="B4" s="5" t="s">
        <v>780</v>
      </c>
      <c r="C4" s="5" t="s">
        <v>43</v>
      </c>
      <c r="D4" s="5" t="s">
        <v>17800</v>
      </c>
      <c r="E4" s="5" t="s">
        <v>17796</v>
      </c>
      <c r="F4" s="5" t="n">
        <f aca="false">LEN(H4)</f>
        <v>1401</v>
      </c>
      <c r="G4" s="5" t="n">
        <f aca="false">COUNTIF(Probe_Pairs!$R:$R,A4)</f>
        <v>8</v>
      </c>
      <c r="H4" s="13" t="s">
        <v>17801</v>
      </c>
    </row>
    <row r="5" customFormat="false" ht="15" hidden="false" customHeight="false" outlineLevel="0" collapsed="false">
      <c r="A5" s="5" t="s">
        <v>1099</v>
      </c>
      <c r="B5" s="5" t="s">
        <v>1096</v>
      </c>
      <c r="C5" s="5" t="s">
        <v>43</v>
      </c>
      <c r="D5" s="5" t="s">
        <v>17802</v>
      </c>
      <c r="E5" s="5" t="s">
        <v>17796</v>
      </c>
      <c r="F5" s="5" t="n">
        <f aca="false">LEN(H5)</f>
        <v>1969</v>
      </c>
      <c r="G5" s="5" t="n">
        <f aca="false">COUNTIF(Probe_Pairs!$R:$R,A5)</f>
        <v>8</v>
      </c>
      <c r="H5" s="13" t="s">
        <v>17803</v>
      </c>
    </row>
    <row r="6" customFormat="false" ht="15" hidden="false" customHeight="false" outlineLevel="0" collapsed="false">
      <c r="A6" s="5" t="s">
        <v>164</v>
      </c>
      <c r="B6" s="5" t="s">
        <v>159</v>
      </c>
      <c r="C6" s="5" t="s">
        <v>43</v>
      </c>
      <c r="D6" s="5" t="s">
        <v>17804</v>
      </c>
      <c r="E6" s="5" t="s">
        <v>154</v>
      </c>
      <c r="F6" s="5" t="n">
        <f aca="false">LEN(H6)</f>
        <v>810</v>
      </c>
      <c r="G6" s="5" t="n">
        <f aca="false">COUNTIF(Probe_Pairs!$R:$R,A6)</f>
        <v>17</v>
      </c>
      <c r="H6" s="13" t="s">
        <v>17805</v>
      </c>
    </row>
    <row r="7" customFormat="false" ht="15" hidden="false" customHeight="false" outlineLevel="0" collapsed="false">
      <c r="A7" s="5" t="s">
        <v>536</v>
      </c>
      <c r="B7" s="5" t="s">
        <v>532</v>
      </c>
      <c r="C7" s="5" t="s">
        <v>43</v>
      </c>
      <c r="D7" s="5" t="s">
        <v>17806</v>
      </c>
      <c r="E7" s="5" t="s">
        <v>154</v>
      </c>
      <c r="F7" s="5" t="n">
        <f aca="false">LEN(H7)</f>
        <v>501</v>
      </c>
      <c r="G7" s="5" t="n">
        <f aca="false">COUNTIF(Probe_Pairs!$R:$R,A7)</f>
        <v>6</v>
      </c>
      <c r="H7" s="13" t="s">
        <v>17807</v>
      </c>
    </row>
    <row r="8" customFormat="false" ht="15" hidden="false" customHeight="false" outlineLevel="0" collapsed="false">
      <c r="A8" s="5" t="s">
        <v>17808</v>
      </c>
      <c r="B8" s="5" t="s">
        <v>532</v>
      </c>
      <c r="C8" s="5" t="s">
        <v>43</v>
      </c>
      <c r="D8" s="5" t="s">
        <v>17809</v>
      </c>
      <c r="E8" s="5" t="s">
        <v>154</v>
      </c>
      <c r="F8" s="5" t="n">
        <f aca="false">LEN(H8)</f>
        <v>1194</v>
      </c>
      <c r="G8" s="5" t="n">
        <f aca="false">COUNTIF(Probe_Pairs!$R:$R,A8)</f>
        <v>0</v>
      </c>
      <c r="H8" s="13" t="s">
        <v>17810</v>
      </c>
    </row>
    <row r="9" customFormat="false" ht="15" hidden="false" customHeight="false" outlineLevel="0" collapsed="false">
      <c r="A9" s="5" t="s">
        <v>17811</v>
      </c>
      <c r="B9" s="5" t="s">
        <v>532</v>
      </c>
      <c r="C9" s="5" t="s">
        <v>43</v>
      </c>
      <c r="D9" s="5" t="s">
        <v>17812</v>
      </c>
      <c r="E9" s="5" t="s">
        <v>154</v>
      </c>
      <c r="F9" s="5" t="n">
        <f aca="false">LEN(H9)</f>
        <v>447</v>
      </c>
      <c r="G9" s="5" t="n">
        <f aca="false">COUNTIF(Probe_Pairs!$R:$R,A9)</f>
        <v>0</v>
      </c>
      <c r="H9" s="13" t="s">
        <v>17813</v>
      </c>
    </row>
    <row r="10" customFormat="false" ht="15" hidden="false" customHeight="false" outlineLevel="0" collapsed="false">
      <c r="A10" s="5" t="s">
        <v>195</v>
      </c>
      <c r="B10" s="5" t="s">
        <v>192</v>
      </c>
      <c r="C10" s="5" t="s">
        <v>43</v>
      </c>
      <c r="D10" s="5" t="s">
        <v>17814</v>
      </c>
      <c r="E10" s="5" t="s">
        <v>154</v>
      </c>
      <c r="F10" s="5" t="n">
        <f aca="false">LEN(H10)</f>
        <v>628</v>
      </c>
      <c r="G10" s="5" t="n">
        <f aca="false">COUNTIF(Probe_Pairs!$R:$R,A10)</f>
        <v>16</v>
      </c>
      <c r="H10" s="13" t="s">
        <v>17815</v>
      </c>
    </row>
    <row r="11" customFormat="false" ht="15" hidden="false" customHeight="false" outlineLevel="0" collapsed="false">
      <c r="A11" s="5" t="s">
        <v>271</v>
      </c>
      <c r="B11" s="5" t="s">
        <v>269</v>
      </c>
      <c r="C11" s="5" t="s">
        <v>43</v>
      </c>
      <c r="D11" s="5" t="s">
        <v>17816</v>
      </c>
      <c r="E11" s="5" t="s">
        <v>154</v>
      </c>
      <c r="F11" s="5" t="n">
        <f aca="false">LEN(H11)</f>
        <v>182</v>
      </c>
      <c r="G11" s="5" t="n">
        <f aca="false">COUNTIF(Probe_Pairs!$R:$R,A11)</f>
        <v>3</v>
      </c>
      <c r="H11" s="13" t="s">
        <v>17817</v>
      </c>
    </row>
    <row r="12" customFormat="false" ht="15" hidden="false" customHeight="false" outlineLevel="0" collapsed="false">
      <c r="A12" s="5" t="s">
        <v>264</v>
      </c>
      <c r="B12" s="5" t="s">
        <v>261</v>
      </c>
      <c r="C12" s="5" t="s">
        <v>43</v>
      </c>
      <c r="D12" s="5" t="s">
        <v>17818</v>
      </c>
      <c r="E12" s="5" t="s">
        <v>154</v>
      </c>
      <c r="F12" s="5" t="n">
        <f aca="false">LEN(H12)</f>
        <v>873</v>
      </c>
      <c r="G12" s="5" t="n">
        <f aca="false">COUNTIF(Probe_Pairs!$R:$R,A12)</f>
        <v>10</v>
      </c>
      <c r="H12" s="13" t="s">
        <v>17819</v>
      </c>
    </row>
    <row r="13" customFormat="false" ht="15" hidden="false" customHeight="false" outlineLevel="0" collapsed="false">
      <c r="A13" s="5" t="s">
        <v>376</v>
      </c>
      <c r="B13" s="5" t="s">
        <v>371</v>
      </c>
      <c r="C13" s="5" t="s">
        <v>43</v>
      </c>
      <c r="D13" s="5" t="s">
        <v>17820</v>
      </c>
      <c r="E13" s="5" t="s">
        <v>154</v>
      </c>
      <c r="F13" s="5" t="n">
        <f aca="false">LEN(H13)</f>
        <v>1284</v>
      </c>
      <c r="G13" s="5" t="n">
        <f aca="false">COUNTIF(Probe_Pairs!$R:$R,A13)</f>
        <v>22</v>
      </c>
      <c r="H13" s="13" t="s">
        <v>17821</v>
      </c>
    </row>
    <row r="14" customFormat="false" ht="15" hidden="false" customHeight="false" outlineLevel="0" collapsed="false">
      <c r="A14" s="5" t="s">
        <v>557</v>
      </c>
      <c r="B14" s="5" t="s">
        <v>554</v>
      </c>
      <c r="C14" s="5" t="s">
        <v>43</v>
      </c>
      <c r="D14" s="5" t="s">
        <v>17822</v>
      </c>
      <c r="E14" s="5" t="s">
        <v>154</v>
      </c>
      <c r="F14" s="5" t="n">
        <f aca="false">LEN(H14)</f>
        <v>903</v>
      </c>
      <c r="G14" s="5" t="n">
        <f aca="false">COUNTIF(Probe_Pairs!$R:$R,A14)</f>
        <v>7</v>
      </c>
      <c r="H14" s="13" t="s">
        <v>17823</v>
      </c>
    </row>
    <row r="15" customFormat="false" ht="15" hidden="false" customHeight="false" outlineLevel="0" collapsed="false">
      <c r="A15" s="5" t="s">
        <v>549</v>
      </c>
      <c r="B15" s="5" t="s">
        <v>546</v>
      </c>
      <c r="C15" s="5" t="s">
        <v>43</v>
      </c>
      <c r="D15" s="5" t="s">
        <v>17824</v>
      </c>
      <c r="E15" s="5" t="s">
        <v>154</v>
      </c>
      <c r="F15" s="5" t="n">
        <f aca="false">LEN(H15)</f>
        <v>1005</v>
      </c>
      <c r="G15" s="5" t="n">
        <f aca="false">COUNTIF(Probe_Pairs!$R:$R,A15)</f>
        <v>8</v>
      </c>
      <c r="H15" s="13" t="s">
        <v>17825</v>
      </c>
    </row>
    <row r="16" customFormat="false" ht="15" hidden="false" customHeight="false" outlineLevel="0" collapsed="false">
      <c r="A16" s="5" t="s">
        <v>544</v>
      </c>
      <c r="B16" s="5" t="s">
        <v>541</v>
      </c>
      <c r="C16" s="5" t="s">
        <v>43</v>
      </c>
      <c r="D16" s="5" t="s">
        <v>17826</v>
      </c>
      <c r="E16" s="5" t="s">
        <v>154</v>
      </c>
      <c r="F16" s="5" t="n">
        <f aca="false">LEN(H16)</f>
        <v>792</v>
      </c>
      <c r="G16" s="5" t="n">
        <f aca="false">COUNTIF(Probe_Pairs!$R:$R,A16)</f>
        <v>7</v>
      </c>
      <c r="H16" s="13" t="s">
        <v>17827</v>
      </c>
    </row>
    <row r="17" customFormat="false" ht="15" hidden="false" customHeight="false" outlineLevel="0" collapsed="false">
      <c r="A17" s="5" t="s">
        <v>84</v>
      </c>
      <c r="B17" s="5" t="s">
        <v>81</v>
      </c>
      <c r="C17" s="5" t="s">
        <v>43</v>
      </c>
      <c r="D17" s="5" t="s">
        <v>17828</v>
      </c>
      <c r="E17" s="5" t="s">
        <v>154</v>
      </c>
      <c r="F17" s="5" t="n">
        <f aca="false">LEN(H17)</f>
        <v>789</v>
      </c>
      <c r="G17" s="5" t="n">
        <f aca="false">COUNTIF(Probe_Pairs!$R:$R,A17)</f>
        <v>10</v>
      </c>
      <c r="H17" s="13" t="s">
        <v>17829</v>
      </c>
    </row>
    <row r="18" customFormat="false" ht="15" hidden="false" customHeight="false" outlineLevel="0" collapsed="false">
      <c r="A18" s="5" t="s">
        <v>294</v>
      </c>
      <c r="B18" s="5" t="s">
        <v>291</v>
      </c>
      <c r="C18" s="5" t="s">
        <v>43</v>
      </c>
      <c r="D18" s="5" t="s">
        <v>17830</v>
      </c>
      <c r="E18" s="5" t="s">
        <v>154</v>
      </c>
      <c r="F18" s="5" t="n">
        <f aca="false">LEN(H18)</f>
        <v>1392</v>
      </c>
      <c r="G18" s="5" t="n">
        <f aca="false">COUNTIF(Probe_Pairs!$R:$R,A18)</f>
        <v>10</v>
      </c>
      <c r="H18" s="13" t="s">
        <v>17831</v>
      </c>
    </row>
    <row r="19" customFormat="false" ht="15" hidden="false" customHeight="false" outlineLevel="0" collapsed="false">
      <c r="A19" s="5" t="s">
        <v>210</v>
      </c>
      <c r="B19" s="5" t="s">
        <v>207</v>
      </c>
      <c r="C19" s="5" t="s">
        <v>43</v>
      </c>
      <c r="D19" s="5" t="s">
        <v>17832</v>
      </c>
      <c r="E19" s="5" t="s">
        <v>154</v>
      </c>
      <c r="F19" s="5" t="n">
        <f aca="false">LEN(H19)</f>
        <v>864</v>
      </c>
      <c r="G19" s="5" t="n">
        <f aca="false">COUNTIF(Probe_Pairs!$R:$R,A19)</f>
        <v>6</v>
      </c>
      <c r="H19" s="13" t="s">
        <v>17833</v>
      </c>
    </row>
    <row r="20" customFormat="false" ht="15" hidden="false" customHeight="false" outlineLevel="0" collapsed="false">
      <c r="A20" s="5" t="s">
        <v>256</v>
      </c>
      <c r="B20" s="5" t="s">
        <v>252</v>
      </c>
      <c r="C20" s="5" t="s">
        <v>43</v>
      </c>
      <c r="D20" s="5" t="s">
        <v>17834</v>
      </c>
      <c r="E20" s="5" t="s">
        <v>154</v>
      </c>
      <c r="F20" s="5" t="n">
        <f aca="false">LEN(H20)</f>
        <v>1295</v>
      </c>
      <c r="G20" s="5" t="n">
        <f aca="false">COUNTIF(Probe_Pairs!$R:$R,A20)</f>
        <v>12</v>
      </c>
      <c r="H20" s="13" t="s">
        <v>17835</v>
      </c>
    </row>
    <row r="21" customFormat="false" ht="15" hidden="false" customHeight="false" outlineLevel="0" collapsed="false">
      <c r="A21" s="5" t="s">
        <v>521</v>
      </c>
      <c r="B21" s="5" t="s">
        <v>516</v>
      </c>
      <c r="C21" s="5" t="s">
        <v>43</v>
      </c>
      <c r="D21" s="5" t="s">
        <v>17836</v>
      </c>
      <c r="E21" s="5" t="s">
        <v>154</v>
      </c>
      <c r="F21" s="5" t="n">
        <f aca="false">LEN(H21)</f>
        <v>1251</v>
      </c>
      <c r="G21" s="5" t="n">
        <f aca="false">COUNTIF(Probe_Pairs!$R:$R,A21)</f>
        <v>8</v>
      </c>
      <c r="H21" s="13" t="s">
        <v>17837</v>
      </c>
    </row>
    <row r="22" customFormat="false" ht="15" hidden="false" customHeight="false" outlineLevel="0" collapsed="false">
      <c r="A22" s="5" t="s">
        <v>128</v>
      </c>
      <c r="B22" s="5" t="s">
        <v>123</v>
      </c>
      <c r="C22" s="5" t="s">
        <v>43</v>
      </c>
      <c r="D22" s="5" t="s">
        <v>17838</v>
      </c>
      <c r="E22" s="5" t="s">
        <v>154</v>
      </c>
      <c r="F22" s="5" t="n">
        <f aca="false">LEN(H22)</f>
        <v>1404</v>
      </c>
      <c r="G22" s="5" t="n">
        <f aca="false">COUNTIF(Probe_Pairs!$R:$R,A22)</f>
        <v>8</v>
      </c>
      <c r="H22" s="13" t="s">
        <v>17839</v>
      </c>
    </row>
    <row r="23" customFormat="false" ht="15" hidden="false" customHeight="false" outlineLevel="0" collapsed="false">
      <c r="A23" s="5" t="s">
        <v>285</v>
      </c>
      <c r="B23" s="5" t="s">
        <v>281</v>
      </c>
      <c r="C23" s="5" t="s">
        <v>43</v>
      </c>
      <c r="D23" s="5" t="s">
        <v>17840</v>
      </c>
      <c r="E23" s="5" t="s">
        <v>154</v>
      </c>
      <c r="F23" s="5" t="n">
        <f aca="false">LEN(H23)</f>
        <v>894</v>
      </c>
      <c r="G23" s="5" t="n">
        <f aca="false">COUNTIF(Probe_Pairs!$R:$R,A23)</f>
        <v>8</v>
      </c>
      <c r="H23" s="13" t="s">
        <v>17841</v>
      </c>
    </row>
    <row r="24" customFormat="false" ht="15" hidden="false" customHeight="false" outlineLevel="0" collapsed="false">
      <c r="A24" s="5" t="s">
        <v>234</v>
      </c>
      <c r="B24" s="5" t="s">
        <v>231</v>
      </c>
      <c r="C24" s="5" t="s">
        <v>232</v>
      </c>
      <c r="D24" s="5" t="s">
        <v>17842</v>
      </c>
      <c r="E24" s="5" t="s">
        <v>154</v>
      </c>
      <c r="F24" s="5" t="n">
        <f aca="false">LEN(H24)</f>
        <v>720</v>
      </c>
      <c r="G24" s="5" t="n">
        <f aca="false">COUNTIF(Probe_Pairs!$R:$R,A24)</f>
        <v>8</v>
      </c>
      <c r="H24" s="13" t="s">
        <v>17843</v>
      </c>
    </row>
    <row r="25" customFormat="false" ht="15" hidden="false" customHeight="false" outlineLevel="0" collapsed="false">
      <c r="A25" s="5" t="s">
        <v>478</v>
      </c>
      <c r="B25" s="5" t="s">
        <v>475</v>
      </c>
      <c r="C25" s="5" t="s">
        <v>43</v>
      </c>
      <c r="D25" s="5" t="s">
        <v>17844</v>
      </c>
      <c r="E25" s="5" t="s">
        <v>154</v>
      </c>
      <c r="F25" s="5" t="n">
        <f aca="false">LEN(H25)</f>
        <v>3184</v>
      </c>
      <c r="G25" s="5" t="n">
        <f aca="false">COUNTIF(Probe_Pairs!$R:$R,A25)</f>
        <v>21</v>
      </c>
      <c r="H25" s="13" t="s">
        <v>17845</v>
      </c>
    </row>
    <row r="26" customFormat="false" ht="15" hidden="false" customHeight="false" outlineLevel="0" collapsed="false">
      <c r="A26" s="5" t="s">
        <v>91</v>
      </c>
      <c r="B26" s="5" t="s">
        <v>88</v>
      </c>
      <c r="C26" s="5" t="s">
        <v>43</v>
      </c>
      <c r="D26" s="5" t="s">
        <v>17846</v>
      </c>
      <c r="E26" s="5" t="s">
        <v>154</v>
      </c>
      <c r="F26" s="5" t="n">
        <f aca="false">LEN(H26)</f>
        <v>2385</v>
      </c>
      <c r="G26" s="5" t="n">
        <f aca="false">COUNTIF(Probe_Pairs!$R:$R,A26)</f>
        <v>7</v>
      </c>
      <c r="H26" s="13" t="s">
        <v>17847</v>
      </c>
    </row>
    <row r="27" customFormat="false" ht="15" hidden="false" customHeight="false" outlineLevel="0" collapsed="false">
      <c r="A27" s="5" t="s">
        <v>118</v>
      </c>
      <c r="B27" s="5" t="s">
        <v>114</v>
      </c>
      <c r="C27" s="5" t="s">
        <v>43</v>
      </c>
      <c r="D27" s="5" t="s">
        <v>17848</v>
      </c>
      <c r="E27" s="5" t="s">
        <v>154</v>
      </c>
      <c r="F27" s="5" t="n">
        <f aca="false">LEN(H27)</f>
        <v>4779</v>
      </c>
      <c r="G27" s="5" t="n">
        <f aca="false">COUNTIF(Probe_Pairs!$R:$R,A27)</f>
        <v>7</v>
      </c>
      <c r="H27" s="13" t="s">
        <v>17849</v>
      </c>
    </row>
    <row r="28" customFormat="false" ht="15" hidden="false" customHeight="false" outlineLevel="0" collapsed="false">
      <c r="A28" s="5" t="s">
        <v>57</v>
      </c>
      <c r="B28" s="5" t="s">
        <v>53</v>
      </c>
      <c r="C28" s="5" t="s">
        <v>43</v>
      </c>
      <c r="D28" s="5" t="s">
        <v>17850</v>
      </c>
      <c r="E28" s="5" t="s">
        <v>154</v>
      </c>
      <c r="F28" s="5" t="n">
        <f aca="false">LEN(H28)</f>
        <v>792</v>
      </c>
      <c r="G28" s="5" t="n">
        <f aca="false">COUNTIF(Probe_Pairs!$R:$R,A28)</f>
        <v>4</v>
      </c>
      <c r="H28" s="13" t="s">
        <v>17851</v>
      </c>
    </row>
    <row r="29" customFormat="false" ht="15" hidden="false" customHeight="false" outlineLevel="0" collapsed="false">
      <c r="A29" s="5" t="s">
        <v>352</v>
      </c>
      <c r="B29" s="5" t="s">
        <v>349</v>
      </c>
      <c r="C29" s="5" t="s">
        <v>43</v>
      </c>
      <c r="D29" s="5" t="s">
        <v>17852</v>
      </c>
      <c r="E29" s="5" t="s">
        <v>154</v>
      </c>
      <c r="F29" s="5" t="n">
        <f aca="false">LEN(H29)</f>
        <v>7383</v>
      </c>
      <c r="G29" s="5" t="n">
        <f aca="false">COUNTIF(Probe_Pairs!$R:$R,A29)</f>
        <v>6</v>
      </c>
      <c r="H29" s="13" t="s">
        <v>17853</v>
      </c>
    </row>
    <row r="30" customFormat="false" ht="15" hidden="false" customHeight="false" outlineLevel="0" collapsed="false">
      <c r="A30" s="5" t="s">
        <v>146</v>
      </c>
      <c r="B30" s="5" t="s">
        <v>143</v>
      </c>
      <c r="C30" s="5" t="s">
        <v>43</v>
      </c>
      <c r="D30" s="5" t="s">
        <v>17854</v>
      </c>
      <c r="E30" s="5" t="s">
        <v>154</v>
      </c>
      <c r="F30" s="5" t="n">
        <f aca="false">LEN(H30)</f>
        <v>2187</v>
      </c>
      <c r="G30" s="5" t="n">
        <f aca="false">COUNTIF(Probe_Pairs!$R:$R,A30)</f>
        <v>6</v>
      </c>
      <c r="H30" s="13" t="s">
        <v>17855</v>
      </c>
    </row>
    <row r="31" customFormat="false" ht="15" hidden="false" customHeight="false" outlineLevel="0" collapsed="false">
      <c r="A31" s="5" t="s">
        <v>359</v>
      </c>
      <c r="B31" s="5" t="s">
        <v>356</v>
      </c>
      <c r="C31" s="5" t="s">
        <v>43</v>
      </c>
      <c r="D31" s="5" t="s">
        <v>17856</v>
      </c>
      <c r="E31" s="5" t="s">
        <v>154</v>
      </c>
      <c r="F31" s="5" t="n">
        <f aca="false">LEN(H31)</f>
        <v>4377</v>
      </c>
      <c r="G31" s="5" t="n">
        <f aca="false">COUNTIF(Probe_Pairs!$R:$R,A31)</f>
        <v>6</v>
      </c>
      <c r="H31" s="13" t="s">
        <v>17857</v>
      </c>
    </row>
    <row r="32" customFormat="false" ht="15" hidden="false" customHeight="false" outlineLevel="0" collapsed="false">
      <c r="A32" s="5" t="s">
        <v>367</v>
      </c>
      <c r="B32" s="5" t="s">
        <v>364</v>
      </c>
      <c r="C32" s="5" t="s">
        <v>43</v>
      </c>
      <c r="D32" s="5" t="s">
        <v>17858</v>
      </c>
      <c r="E32" s="5" t="s">
        <v>154</v>
      </c>
      <c r="F32" s="5" t="n">
        <f aca="false">LEN(H32)</f>
        <v>1653</v>
      </c>
      <c r="G32" s="5" t="n">
        <f aca="false">COUNTIF(Probe_Pairs!$R:$R,A32)</f>
        <v>6</v>
      </c>
      <c r="H32" s="13" t="s">
        <v>17859</v>
      </c>
    </row>
    <row r="33" customFormat="false" ht="15" hidden="false" customHeight="false" outlineLevel="0" collapsed="false">
      <c r="A33" s="5" t="s">
        <v>100</v>
      </c>
      <c r="B33" s="5" t="s">
        <v>96</v>
      </c>
      <c r="C33" s="5" t="s">
        <v>43</v>
      </c>
      <c r="D33" s="5" t="s">
        <v>17860</v>
      </c>
      <c r="E33" s="5" t="s">
        <v>154</v>
      </c>
      <c r="F33" s="5" t="n">
        <f aca="false">LEN(H33)</f>
        <v>1632</v>
      </c>
      <c r="G33" s="5" t="n">
        <f aca="false">COUNTIF(Probe_Pairs!$R:$R,A33)</f>
        <v>6</v>
      </c>
      <c r="H33" s="13" t="s">
        <v>17861</v>
      </c>
    </row>
    <row r="34" customFormat="false" ht="15" hidden="false" customHeight="false" outlineLevel="0" collapsed="false">
      <c r="A34" s="5" t="s">
        <v>188</v>
      </c>
      <c r="B34" s="5" t="s">
        <v>184</v>
      </c>
      <c r="C34" s="5" t="s">
        <v>43</v>
      </c>
      <c r="D34" s="5" t="s">
        <v>17862</v>
      </c>
      <c r="E34" s="5" t="s">
        <v>154</v>
      </c>
      <c r="F34" s="5" t="n">
        <f aca="false">LEN(H34)</f>
        <v>1266</v>
      </c>
      <c r="G34" s="5" t="n">
        <f aca="false">COUNTIF(Probe_Pairs!$R:$R,A34)</f>
        <v>6</v>
      </c>
      <c r="H34" s="13" t="s">
        <v>17863</v>
      </c>
    </row>
    <row r="35" customFormat="false" ht="15" hidden="false" customHeight="false" outlineLevel="0" collapsed="false">
      <c r="A35" s="5" t="s">
        <v>405</v>
      </c>
      <c r="B35" s="5" t="s">
        <v>401</v>
      </c>
      <c r="C35" s="5" t="s">
        <v>43</v>
      </c>
      <c r="D35" s="5" t="s">
        <v>17864</v>
      </c>
      <c r="E35" s="5" t="s">
        <v>154</v>
      </c>
      <c r="F35" s="5" t="n">
        <f aca="false">LEN(H35)</f>
        <v>684</v>
      </c>
      <c r="G35" s="5" t="n">
        <f aca="false">COUNTIF(Probe_Pairs!$R:$R,A35)</f>
        <v>6</v>
      </c>
      <c r="H35" s="13" t="s">
        <v>17865</v>
      </c>
    </row>
    <row r="36" customFormat="false" ht="15" hidden="false" customHeight="false" outlineLevel="0" collapsed="false">
      <c r="A36" s="5" t="s">
        <v>227</v>
      </c>
      <c r="B36" s="5" t="s">
        <v>223</v>
      </c>
      <c r="C36" s="5" t="s">
        <v>43</v>
      </c>
      <c r="D36" s="5" t="s">
        <v>17866</v>
      </c>
      <c r="E36" s="5" t="s">
        <v>154</v>
      </c>
      <c r="F36" s="5" t="n">
        <f aca="false">LEN(H36)</f>
        <v>723</v>
      </c>
      <c r="G36" s="5" t="n">
        <f aca="false">COUNTIF(Probe_Pairs!$R:$R,A36)</f>
        <v>6</v>
      </c>
      <c r="H36" s="13" t="s">
        <v>17867</v>
      </c>
    </row>
    <row r="37" customFormat="false" ht="15" hidden="false" customHeight="false" outlineLevel="0" collapsed="false">
      <c r="A37" s="5" t="s">
        <v>249</v>
      </c>
      <c r="B37" s="5" t="s">
        <v>245</v>
      </c>
      <c r="C37" s="5" t="s">
        <v>43</v>
      </c>
      <c r="D37" s="5" t="s">
        <v>17868</v>
      </c>
      <c r="E37" s="5" t="s">
        <v>154</v>
      </c>
      <c r="F37" s="5" t="n">
        <f aca="false">LEN(H37)</f>
        <v>1155</v>
      </c>
      <c r="G37" s="5" t="n">
        <f aca="false">COUNTIF(Probe_Pairs!$R:$R,A37)</f>
        <v>6</v>
      </c>
      <c r="H37" s="13" t="s">
        <v>17869</v>
      </c>
    </row>
    <row r="38" customFormat="false" ht="15" hidden="false" customHeight="false" outlineLevel="0" collapsed="false">
      <c r="A38" s="5" t="s">
        <v>77</v>
      </c>
      <c r="B38" s="5" t="s">
        <v>73</v>
      </c>
      <c r="C38" s="5" t="s">
        <v>43</v>
      </c>
      <c r="D38" s="5" t="s">
        <v>17870</v>
      </c>
      <c r="E38" s="5" t="s">
        <v>154</v>
      </c>
      <c r="F38" s="5" t="n">
        <f aca="false">LEN(H38)</f>
        <v>1428</v>
      </c>
      <c r="G38" s="5" t="n">
        <f aca="false">COUNTIF(Probe_Pairs!$R:$R,A38)</f>
        <v>6</v>
      </c>
      <c r="H38" s="13" t="s">
        <v>17871</v>
      </c>
    </row>
    <row r="39" customFormat="false" ht="15" hidden="false" customHeight="false" outlineLevel="0" collapsed="false">
      <c r="A39" s="5" t="s">
        <v>471</v>
      </c>
      <c r="B39" s="5" t="s">
        <v>467</v>
      </c>
      <c r="C39" s="5" t="s">
        <v>43</v>
      </c>
      <c r="D39" s="5" t="s">
        <v>17872</v>
      </c>
      <c r="E39" s="5" t="s">
        <v>154</v>
      </c>
      <c r="F39" s="5" t="n">
        <f aca="false">LEN(H39)</f>
        <v>582</v>
      </c>
      <c r="G39" s="5" t="n">
        <f aca="false">COUNTIF(Probe_Pairs!$R:$R,A39)</f>
        <v>6</v>
      </c>
      <c r="H39" s="13" t="s">
        <v>17873</v>
      </c>
    </row>
    <row r="40" customFormat="false" ht="15" hidden="false" customHeight="false" outlineLevel="0" collapsed="false">
      <c r="A40" s="5" t="s">
        <v>309</v>
      </c>
      <c r="B40" s="5" t="s">
        <v>305</v>
      </c>
      <c r="C40" s="5" t="s">
        <v>43</v>
      </c>
      <c r="D40" s="5" t="s">
        <v>17874</v>
      </c>
      <c r="E40" s="5" t="s">
        <v>154</v>
      </c>
      <c r="F40" s="5" t="n">
        <f aca="false">LEN(H40)</f>
        <v>753</v>
      </c>
      <c r="G40" s="5" t="n">
        <f aca="false">COUNTIF(Probe_Pairs!$R:$R,A40)</f>
        <v>6</v>
      </c>
      <c r="H40" s="13" t="s">
        <v>17875</v>
      </c>
    </row>
    <row r="41" customFormat="false" ht="15" hidden="false" customHeight="false" outlineLevel="0" collapsed="false">
      <c r="A41" s="5" t="s">
        <v>329</v>
      </c>
      <c r="B41" s="5" t="s">
        <v>325</v>
      </c>
      <c r="C41" s="5" t="s">
        <v>43</v>
      </c>
      <c r="D41" s="5" t="s">
        <v>17876</v>
      </c>
      <c r="E41" s="5" t="s">
        <v>154</v>
      </c>
      <c r="F41" s="5" t="n">
        <f aca="false">LEN(H41)</f>
        <v>8922</v>
      </c>
      <c r="G41" s="5" t="n">
        <f aca="false">COUNTIF(Probe_Pairs!$R:$R,A41)</f>
        <v>6</v>
      </c>
      <c r="H41" s="13" t="s">
        <v>17877</v>
      </c>
    </row>
    <row r="42" customFormat="false" ht="15" hidden="false" customHeight="false" outlineLevel="0" collapsed="false">
      <c r="A42" s="5" t="s">
        <v>109</v>
      </c>
      <c r="B42" s="5" t="s">
        <v>105</v>
      </c>
      <c r="C42" s="5" t="s">
        <v>43</v>
      </c>
      <c r="D42" s="5" t="s">
        <v>17878</v>
      </c>
      <c r="E42" s="5" t="s">
        <v>154</v>
      </c>
      <c r="F42" s="5" t="n">
        <f aca="false">LEN(H42)</f>
        <v>657</v>
      </c>
      <c r="G42" s="5" t="n">
        <f aca="false">COUNTIF(Probe_Pairs!$R:$R,A42)</f>
        <v>14</v>
      </c>
      <c r="H42" s="13" t="s">
        <v>17879</v>
      </c>
    </row>
    <row r="43" customFormat="false" ht="15" hidden="false" customHeight="false" outlineLevel="0" collapsed="false">
      <c r="A43" s="5" t="s">
        <v>180</v>
      </c>
      <c r="B43" s="5" t="s">
        <v>176</v>
      </c>
      <c r="C43" s="5" t="s">
        <v>43</v>
      </c>
      <c r="D43" s="5" t="s">
        <v>17880</v>
      </c>
      <c r="E43" s="5" t="s">
        <v>154</v>
      </c>
      <c r="F43" s="5" t="n">
        <f aca="false">LEN(H43)</f>
        <v>4506</v>
      </c>
      <c r="G43" s="5" t="n">
        <f aca="false">COUNTIF(Probe_Pairs!$R:$R,A43)</f>
        <v>6</v>
      </c>
      <c r="H43" s="13" t="s">
        <v>17881</v>
      </c>
    </row>
    <row r="44" customFormat="false" ht="15" hidden="false" customHeight="false" outlineLevel="0" collapsed="false">
      <c r="A44" s="5" t="s">
        <v>302</v>
      </c>
      <c r="B44" s="5" t="s">
        <v>298</v>
      </c>
      <c r="C44" s="5" t="s">
        <v>43</v>
      </c>
      <c r="D44" s="5" t="s">
        <v>17882</v>
      </c>
      <c r="E44" s="5" t="s">
        <v>154</v>
      </c>
      <c r="F44" s="5" t="n">
        <f aca="false">LEN(H44)</f>
        <v>1431</v>
      </c>
      <c r="G44" s="5" t="n">
        <f aca="false">COUNTIF(Probe_Pairs!$R:$R,A44)</f>
        <v>6</v>
      </c>
      <c r="H44" s="13" t="s">
        <v>17883</v>
      </c>
    </row>
    <row r="45" customFormat="false" ht="15" hidden="false" customHeight="false" outlineLevel="0" collapsed="false">
      <c r="A45" s="5" t="s">
        <v>277</v>
      </c>
      <c r="B45" s="5" t="s">
        <v>273</v>
      </c>
      <c r="C45" s="5" t="s">
        <v>43</v>
      </c>
      <c r="D45" s="5" t="s">
        <v>17884</v>
      </c>
      <c r="E45" s="5" t="s">
        <v>154</v>
      </c>
      <c r="F45" s="5" t="n">
        <f aca="false">LEN(H45)</f>
        <v>531</v>
      </c>
      <c r="G45" s="5" t="n">
        <f aca="false">COUNTIF(Probe_Pairs!$R:$R,A45)</f>
        <v>6</v>
      </c>
      <c r="H45" s="13" t="s">
        <v>17885</v>
      </c>
    </row>
    <row r="46" customFormat="false" ht="15" hidden="false" customHeight="false" outlineLevel="0" collapsed="false">
      <c r="A46" s="5" t="s">
        <v>219</v>
      </c>
      <c r="B46" s="5" t="s">
        <v>215</v>
      </c>
      <c r="C46" s="5" t="s">
        <v>43</v>
      </c>
      <c r="D46" s="5" t="s">
        <v>17886</v>
      </c>
      <c r="E46" s="5" t="s">
        <v>154</v>
      </c>
      <c r="F46" s="5" t="n">
        <f aca="false">LEN(H46)</f>
        <v>810</v>
      </c>
      <c r="G46" s="5" t="n">
        <f aca="false">COUNTIF(Probe_Pairs!$R:$R,A46)</f>
        <v>6</v>
      </c>
      <c r="H46" s="13" t="s">
        <v>17887</v>
      </c>
    </row>
    <row r="47" customFormat="false" ht="15" hidden="false" customHeight="false" outlineLevel="0" collapsed="false">
      <c r="A47" s="5" t="s">
        <v>345</v>
      </c>
      <c r="B47" s="5" t="s">
        <v>341</v>
      </c>
      <c r="C47" s="5" t="s">
        <v>43</v>
      </c>
      <c r="D47" s="5" t="s">
        <v>17888</v>
      </c>
      <c r="E47" s="5" t="s">
        <v>154</v>
      </c>
      <c r="F47" s="5" t="n">
        <f aca="false">LEN(H47)</f>
        <v>3597</v>
      </c>
      <c r="G47" s="5" t="n">
        <f aca="false">COUNTIF(Probe_Pairs!$R:$R,A47)</f>
        <v>6</v>
      </c>
      <c r="H47" s="13" t="s">
        <v>17889</v>
      </c>
    </row>
    <row r="48" customFormat="false" ht="15" hidden="false" customHeight="false" outlineLevel="0" collapsed="false">
      <c r="A48" s="5" t="s">
        <v>318</v>
      </c>
      <c r="B48" s="5" t="s">
        <v>313</v>
      </c>
      <c r="C48" s="5" t="s">
        <v>43</v>
      </c>
      <c r="D48" s="5" t="s">
        <v>17890</v>
      </c>
      <c r="E48" s="5" t="s">
        <v>154</v>
      </c>
      <c r="F48" s="5" t="n">
        <f aca="false">LEN(H48)</f>
        <v>492</v>
      </c>
      <c r="G48" s="5" t="n">
        <f aca="false">COUNTIF(Probe_Pairs!$R:$R,A48)</f>
        <v>15</v>
      </c>
      <c r="H48" s="13" t="s">
        <v>17891</v>
      </c>
    </row>
    <row r="49" customFormat="false" ht="15" hidden="false" customHeight="false" outlineLevel="0" collapsed="false">
      <c r="A49" s="5" t="s">
        <v>487</v>
      </c>
      <c r="B49" s="5" t="s">
        <v>483</v>
      </c>
      <c r="C49" s="5" t="s">
        <v>43</v>
      </c>
      <c r="D49" s="5" t="s">
        <v>17892</v>
      </c>
      <c r="E49" s="5" t="s">
        <v>154</v>
      </c>
      <c r="F49" s="5" t="n">
        <f aca="false">LEN(H49)</f>
        <v>642</v>
      </c>
      <c r="G49" s="5" t="n">
        <f aca="false">COUNTIF(Probe_Pairs!$R:$R,A49)</f>
        <v>6</v>
      </c>
      <c r="H49" s="13" t="s">
        <v>17893</v>
      </c>
    </row>
    <row r="50" customFormat="false" ht="15" hidden="false" customHeight="false" outlineLevel="0" collapsed="false">
      <c r="A50" s="5" t="s">
        <v>204</v>
      </c>
      <c r="B50" s="5" t="s">
        <v>200</v>
      </c>
      <c r="C50" s="5" t="s">
        <v>43</v>
      </c>
      <c r="D50" s="5" t="s">
        <v>17894</v>
      </c>
      <c r="E50" s="5" t="s">
        <v>154</v>
      </c>
      <c r="F50" s="5" t="n">
        <f aca="false">LEN(H50)</f>
        <v>750</v>
      </c>
      <c r="G50" s="5" t="n">
        <f aca="false">COUNTIF(Probe_Pairs!$R:$R,A50)</f>
        <v>6</v>
      </c>
      <c r="H50" s="13" t="s">
        <v>17895</v>
      </c>
    </row>
    <row r="51" customFormat="false" ht="15" hidden="false" customHeight="false" outlineLevel="0" collapsed="false">
      <c r="A51" s="5" t="s">
        <v>48</v>
      </c>
      <c r="B51" s="5" t="s">
        <v>41</v>
      </c>
      <c r="C51" s="5" t="s">
        <v>43</v>
      </c>
      <c r="D51" s="5" t="s">
        <v>17896</v>
      </c>
      <c r="E51" s="5" t="s">
        <v>154</v>
      </c>
      <c r="F51" s="5" t="n">
        <f aca="false">LEN(H51)</f>
        <v>1012</v>
      </c>
      <c r="G51" s="5" t="n">
        <f aca="false">COUNTIF(Probe_Pairs!$R:$R,A51)</f>
        <v>6</v>
      </c>
      <c r="H51" s="13" t="s">
        <v>17897</v>
      </c>
    </row>
    <row r="52" customFormat="false" ht="15" hidden="false" customHeight="false" outlineLevel="0" collapsed="false">
      <c r="A52" s="5" t="s">
        <v>528</v>
      </c>
      <c r="B52" s="5" t="s">
        <v>526</v>
      </c>
      <c r="C52" s="5" t="s">
        <v>43</v>
      </c>
      <c r="D52" s="5" t="s">
        <v>17898</v>
      </c>
      <c r="E52" s="5" t="s">
        <v>154</v>
      </c>
      <c r="F52" s="5" t="n">
        <f aca="false">LEN(H52)</f>
        <v>1392</v>
      </c>
      <c r="G52" s="5" t="n">
        <f aca="false">COUNTIF(Probe_Pairs!$R:$R,A52)</f>
        <v>6</v>
      </c>
      <c r="H52" s="13" t="s">
        <v>17899</v>
      </c>
    </row>
    <row r="53" customFormat="false" ht="15" hidden="false" customHeight="false" outlineLevel="0" collapsed="false">
      <c r="A53" s="5" t="s">
        <v>876</v>
      </c>
      <c r="B53" s="5" t="s">
        <v>872</v>
      </c>
      <c r="C53" s="5" t="s">
        <v>43</v>
      </c>
      <c r="D53" s="5" t="s">
        <v>17900</v>
      </c>
      <c r="E53" s="5" t="s">
        <v>154</v>
      </c>
      <c r="F53" s="5" t="n">
        <f aca="false">LEN(H53)</f>
        <v>750</v>
      </c>
      <c r="G53" s="5" t="n">
        <f aca="false">COUNTIF(Probe_Pairs!$R:$R,A53)</f>
        <v>26</v>
      </c>
      <c r="H53" s="13" t="s">
        <v>17901</v>
      </c>
    </row>
    <row r="54" customFormat="false" ht="15" hidden="false" customHeight="false" outlineLevel="0" collapsed="false">
      <c r="A54" s="5" t="s">
        <v>6832</v>
      </c>
      <c r="B54" s="5" t="s">
        <v>105</v>
      </c>
      <c r="C54" s="5" t="s">
        <v>43</v>
      </c>
      <c r="D54" s="5" t="s">
        <v>665</v>
      </c>
      <c r="E54" s="5" t="s">
        <v>154</v>
      </c>
      <c r="F54" s="5" t="n">
        <f aca="false">LEN(H54)</f>
        <v>765</v>
      </c>
      <c r="G54" s="5" t="n">
        <f aca="false">COUNTIF(Probe_Pairs!$R:$R,A54)</f>
        <v>2</v>
      </c>
      <c r="H54" s="13" t="s">
        <v>17902</v>
      </c>
    </row>
    <row r="55" customFormat="false" ht="15" hidden="false" customHeight="false" outlineLevel="0" collapsed="false">
      <c r="A55" s="5" t="s">
        <v>17903</v>
      </c>
      <c r="B55" s="5" t="s">
        <v>17904</v>
      </c>
      <c r="C55" s="5" t="s">
        <v>43</v>
      </c>
      <c r="D55" s="5" t="s">
        <v>17905</v>
      </c>
      <c r="E55" s="5" t="s">
        <v>154</v>
      </c>
      <c r="F55" s="5" t="n">
        <f aca="false">LEN(H55)</f>
        <v>1716</v>
      </c>
      <c r="G55" s="5" t="n">
        <f aca="false">COUNTIF(Probe_Pairs!$R:$R,A55)</f>
        <v>0</v>
      </c>
      <c r="H55" s="13" t="s">
        <v>17906</v>
      </c>
    </row>
    <row r="56" customFormat="false" ht="15" hidden="false" customHeight="false" outlineLevel="0" collapsed="false">
      <c r="A56" s="5" t="s">
        <v>993</v>
      </c>
      <c r="B56" s="5" t="s">
        <v>990</v>
      </c>
      <c r="C56" s="5" t="s">
        <v>43</v>
      </c>
      <c r="D56" s="5" t="s">
        <v>17907</v>
      </c>
      <c r="E56" s="5" t="s">
        <v>154</v>
      </c>
      <c r="F56" s="5" t="n">
        <f aca="false">LEN(H56)</f>
        <v>3279</v>
      </c>
      <c r="G56" s="5" t="n">
        <f aca="false">COUNTIF(Probe_Pairs!$R:$R,A56)</f>
        <v>10</v>
      </c>
      <c r="H56" s="13" t="s">
        <v>17908</v>
      </c>
    </row>
    <row r="57" customFormat="false" ht="15" hidden="false" customHeight="false" outlineLevel="0" collapsed="false">
      <c r="A57" s="5" t="s">
        <v>986</v>
      </c>
      <c r="B57" s="5" t="s">
        <v>982</v>
      </c>
      <c r="C57" s="5" t="s">
        <v>43</v>
      </c>
      <c r="D57" s="5" t="s">
        <v>17909</v>
      </c>
      <c r="E57" s="5" t="s">
        <v>154</v>
      </c>
      <c r="F57" s="5" t="n">
        <f aca="false">LEN(H57)</f>
        <v>1233</v>
      </c>
      <c r="G57" s="5" t="n">
        <f aca="false">COUNTIF(Probe_Pairs!$R:$R,A57)</f>
        <v>3</v>
      </c>
      <c r="H57" s="13" t="s">
        <v>17910</v>
      </c>
    </row>
    <row r="58" customFormat="false" ht="15" hidden="false" customHeight="false" outlineLevel="0" collapsed="false">
      <c r="A58" s="5" t="s">
        <v>978</v>
      </c>
      <c r="B58" s="5" t="s">
        <v>973</v>
      </c>
      <c r="C58" s="5" t="s">
        <v>43</v>
      </c>
      <c r="D58" s="5" t="s">
        <v>17911</v>
      </c>
      <c r="E58" s="5" t="s">
        <v>154</v>
      </c>
      <c r="F58" s="5" t="n">
        <f aca="false">LEN(H58)</f>
        <v>1017</v>
      </c>
      <c r="G58" s="5" t="n">
        <f aca="false">COUNTIF(Probe_Pairs!$R:$R,A58)</f>
        <v>10</v>
      </c>
      <c r="H58" s="13" t="s">
        <v>17912</v>
      </c>
    </row>
    <row r="59" customFormat="false" ht="15" hidden="false" customHeight="false" outlineLevel="0" collapsed="false">
      <c r="A59" s="5" t="s">
        <v>968</v>
      </c>
      <c r="B59" s="5" t="s">
        <v>963</v>
      </c>
      <c r="C59" s="5" t="s">
        <v>43</v>
      </c>
      <c r="D59" s="5" t="s">
        <v>17913</v>
      </c>
      <c r="E59" s="5" t="s">
        <v>154</v>
      </c>
      <c r="F59" s="5" t="n">
        <f aca="false">LEN(H59)</f>
        <v>2325</v>
      </c>
      <c r="G59" s="5" t="n">
        <f aca="false">COUNTIF(Probe_Pairs!$R:$R,A59)</f>
        <v>10</v>
      </c>
      <c r="H59" s="13" t="s">
        <v>17914</v>
      </c>
    </row>
    <row r="60" customFormat="false" ht="15" hidden="false" customHeight="false" outlineLevel="0" collapsed="false">
      <c r="A60" s="5" t="s">
        <v>679</v>
      </c>
      <c r="B60" s="5" t="s">
        <v>676</v>
      </c>
      <c r="C60" s="5" t="s">
        <v>43</v>
      </c>
      <c r="D60" s="5" t="s">
        <v>17915</v>
      </c>
      <c r="E60" s="5" t="s">
        <v>154</v>
      </c>
      <c r="F60" s="5" t="n">
        <f aca="false">LEN(H60)</f>
        <v>708</v>
      </c>
      <c r="G60" s="5" t="n">
        <f aca="false">COUNTIF(Probe_Pairs!$R:$R,A60)</f>
        <v>6</v>
      </c>
      <c r="H60" s="13" t="s">
        <v>17916</v>
      </c>
    </row>
    <row r="61" customFormat="false" ht="15" hidden="false" customHeight="false" outlineLevel="0" collapsed="false">
      <c r="A61" s="5" t="s">
        <v>1037</v>
      </c>
      <c r="B61" s="5" t="s">
        <v>1035</v>
      </c>
      <c r="C61" s="5" t="s">
        <v>43</v>
      </c>
      <c r="D61" s="5" t="s">
        <v>17917</v>
      </c>
      <c r="E61" s="5" t="s">
        <v>154</v>
      </c>
      <c r="F61" s="5" t="n">
        <f aca="false">LEN(H61)</f>
        <v>780</v>
      </c>
      <c r="G61" s="5" t="n">
        <f aca="false">COUNTIF(Probe_Pairs!$R:$R,A61)</f>
        <v>6</v>
      </c>
      <c r="H61" s="13" t="s">
        <v>17918</v>
      </c>
    </row>
    <row r="62" customFormat="false" ht="15" hidden="false" customHeight="false" outlineLevel="0" collapsed="false">
      <c r="A62" s="5" t="s">
        <v>1000</v>
      </c>
      <c r="B62" s="5" t="s">
        <v>996</v>
      </c>
      <c r="C62" s="5" t="s">
        <v>43</v>
      </c>
      <c r="D62" s="5" t="s">
        <v>17919</v>
      </c>
      <c r="E62" s="5" t="s">
        <v>154</v>
      </c>
      <c r="F62" s="5" t="n">
        <f aca="false">LEN(H62)</f>
        <v>1515</v>
      </c>
      <c r="G62" s="5" t="n">
        <f aca="false">COUNTIF(Probe_Pairs!$R:$R,A62)</f>
        <v>6</v>
      </c>
      <c r="H62" s="13" t="s">
        <v>17920</v>
      </c>
    </row>
    <row r="63" customFormat="false" ht="15" hidden="false" customHeight="false" outlineLevel="0" collapsed="false">
      <c r="A63" s="5" t="s">
        <v>1022</v>
      </c>
      <c r="B63" s="5" t="s">
        <v>1019</v>
      </c>
      <c r="C63" s="5" t="s">
        <v>43</v>
      </c>
      <c r="D63" s="5" t="s">
        <v>17921</v>
      </c>
      <c r="E63" s="5" t="s">
        <v>154</v>
      </c>
      <c r="F63" s="5" t="n">
        <f aca="false">LEN(H63)</f>
        <v>1122</v>
      </c>
      <c r="G63" s="5" t="n">
        <f aca="false">COUNTIF(Probe_Pairs!$R:$R,A63)</f>
        <v>12</v>
      </c>
      <c r="H63" s="13" t="s">
        <v>17922</v>
      </c>
    </row>
    <row r="64" customFormat="false" ht="15" hidden="false" customHeight="false" outlineLevel="0" collapsed="false">
      <c r="A64" s="5" t="s">
        <v>1029</v>
      </c>
      <c r="B64" s="5" t="s">
        <v>1027</v>
      </c>
      <c r="C64" s="5" t="s">
        <v>43</v>
      </c>
      <c r="D64" s="5" t="s">
        <v>17923</v>
      </c>
      <c r="E64" s="5" t="s">
        <v>154</v>
      </c>
      <c r="F64" s="5" t="n">
        <f aca="false">LEN(H64)</f>
        <v>1404</v>
      </c>
      <c r="G64" s="5" t="n">
        <f aca="false">COUNTIF(Probe_Pairs!$R:$R,A64)</f>
        <v>7</v>
      </c>
      <c r="H64" s="13" t="s">
        <v>17924</v>
      </c>
    </row>
    <row r="65" customFormat="false" ht="15" hidden="false" customHeight="false" outlineLevel="0" collapsed="false">
      <c r="A65" s="5" t="s">
        <v>1175</v>
      </c>
      <c r="B65" s="5" t="s">
        <v>1173</v>
      </c>
      <c r="C65" s="5" t="s">
        <v>43</v>
      </c>
      <c r="D65" s="5" t="s">
        <v>17925</v>
      </c>
      <c r="E65" s="5" t="s">
        <v>154</v>
      </c>
      <c r="F65" s="5" t="n">
        <f aca="false">LEN(H65)</f>
        <v>1269</v>
      </c>
      <c r="G65" s="5" t="n">
        <f aca="false">COUNTIF(Probe_Pairs!$R:$R,A65)</f>
        <v>10</v>
      </c>
      <c r="H65" s="13" t="s">
        <v>17926</v>
      </c>
    </row>
    <row r="66" customFormat="false" ht="15" hidden="false" customHeight="false" outlineLevel="0" collapsed="false">
      <c r="A66" s="5" t="s">
        <v>385</v>
      </c>
      <c r="B66" s="5" t="s">
        <v>380</v>
      </c>
      <c r="C66" s="5" t="s">
        <v>43</v>
      </c>
      <c r="D66" s="5" t="s">
        <v>17927</v>
      </c>
      <c r="E66" s="5" t="s">
        <v>154</v>
      </c>
      <c r="F66" s="5" t="n">
        <f aca="false">LEN(H66)</f>
        <v>1554</v>
      </c>
      <c r="G66" s="5" t="n">
        <f aca="false">COUNTIF(Probe_Pairs!$R:$R,A66)</f>
        <v>20</v>
      </c>
      <c r="H66" s="13" t="s">
        <v>17928</v>
      </c>
    </row>
    <row r="67" customFormat="false" ht="15" hidden="false" customHeight="false" outlineLevel="0" collapsed="false">
      <c r="A67" s="5" t="s">
        <v>702</v>
      </c>
      <c r="B67" s="5" t="s">
        <v>570</v>
      </c>
      <c r="C67" s="5" t="s">
        <v>43</v>
      </c>
      <c r="D67" s="5" t="s">
        <v>17929</v>
      </c>
      <c r="E67" s="5" t="s">
        <v>154</v>
      </c>
      <c r="F67" s="5" t="n">
        <f aca="false">LEN(H67)</f>
        <v>600</v>
      </c>
      <c r="G67" s="5" t="n">
        <f aca="false">COUNTIF(Probe_Pairs!$R:$R,A67)</f>
        <v>5</v>
      </c>
      <c r="H67" s="13" t="s">
        <v>17930</v>
      </c>
    </row>
    <row r="68" customFormat="false" ht="15" hidden="false" customHeight="false" outlineLevel="0" collapsed="false">
      <c r="A68" s="5" t="s">
        <v>1044</v>
      </c>
      <c r="B68" s="5" t="s">
        <v>1041</v>
      </c>
      <c r="C68" s="5" t="s">
        <v>43</v>
      </c>
      <c r="D68" s="5" t="s">
        <v>17931</v>
      </c>
      <c r="E68" s="5" t="s">
        <v>154</v>
      </c>
      <c r="F68" s="5" t="n">
        <f aca="false">LEN(H68)</f>
        <v>801</v>
      </c>
      <c r="G68" s="5" t="n">
        <f aca="false">COUNTIF(Probe_Pairs!$R:$R,A68)</f>
        <v>5</v>
      </c>
      <c r="H68" s="13" t="s">
        <v>17932</v>
      </c>
    </row>
    <row r="69" customFormat="false" ht="15" hidden="false" customHeight="false" outlineLevel="0" collapsed="false">
      <c r="A69" s="5" t="s">
        <v>811</v>
      </c>
      <c r="B69" s="5" t="s">
        <v>808</v>
      </c>
      <c r="C69" s="5" t="s">
        <v>43</v>
      </c>
      <c r="D69" s="5" t="s">
        <v>17933</v>
      </c>
      <c r="E69" s="5" t="s">
        <v>154</v>
      </c>
      <c r="F69" s="5" t="n">
        <f aca="false">LEN(H69)</f>
        <v>1725</v>
      </c>
      <c r="G69" s="5" t="n">
        <f aca="false">COUNTIF(Probe_Pairs!$R:$R,A69)</f>
        <v>5</v>
      </c>
      <c r="H69" s="13" t="s">
        <v>17934</v>
      </c>
    </row>
    <row r="70" customFormat="false" ht="15" hidden="false" customHeight="false" outlineLevel="0" collapsed="false">
      <c r="A70" s="5" t="s">
        <v>1015</v>
      </c>
      <c r="B70" s="5" t="s">
        <v>1013</v>
      </c>
      <c r="C70" s="5" t="s">
        <v>43</v>
      </c>
      <c r="D70" s="5" t="s">
        <v>17935</v>
      </c>
      <c r="E70" s="5" t="s">
        <v>154</v>
      </c>
      <c r="F70" s="5" t="n">
        <f aca="false">LEN(H70)</f>
        <v>909</v>
      </c>
      <c r="G70" s="5" t="n">
        <f aca="false">COUNTIF(Probe_Pairs!$R:$R,A70)</f>
        <v>6</v>
      </c>
      <c r="H70" s="13" t="s">
        <v>17936</v>
      </c>
    </row>
    <row r="71" customFormat="false" ht="15" hidden="false" customHeight="false" outlineLevel="0" collapsed="false">
      <c r="A71" s="5" t="s">
        <v>17937</v>
      </c>
      <c r="B71" s="5" t="s">
        <v>17938</v>
      </c>
      <c r="C71" s="5" t="s">
        <v>43</v>
      </c>
      <c r="D71" s="5" t="s">
        <v>17939</v>
      </c>
      <c r="E71" s="5" t="s">
        <v>154</v>
      </c>
      <c r="F71" s="5" t="n">
        <f aca="false">LEN(H71)</f>
        <v>714</v>
      </c>
      <c r="G71" s="5" t="n">
        <f aca="false">COUNTIF(Probe_Pairs!$R:$R,A71)</f>
        <v>0</v>
      </c>
      <c r="H71" s="13" t="s">
        <v>17940</v>
      </c>
    </row>
    <row r="72" customFormat="false" ht="15" hidden="false" customHeight="false" outlineLevel="0" collapsed="false">
      <c r="A72" s="5" t="s">
        <v>776</v>
      </c>
      <c r="B72" s="5" t="s">
        <v>772</v>
      </c>
      <c r="C72" s="5" t="s">
        <v>43</v>
      </c>
      <c r="D72" s="5" t="s">
        <v>17941</v>
      </c>
      <c r="E72" s="5" t="s">
        <v>154</v>
      </c>
      <c r="F72" s="5" t="n">
        <f aca="false">LEN(H72)</f>
        <v>1149</v>
      </c>
      <c r="G72" s="5" t="n">
        <f aca="false">COUNTIF(Probe_Pairs!$R:$R,A72)</f>
        <v>18</v>
      </c>
      <c r="H72" s="13" t="s">
        <v>17942</v>
      </c>
    </row>
    <row r="73" customFormat="false" ht="15" hidden="false" customHeight="false" outlineLevel="0" collapsed="false">
      <c r="A73" s="5" t="s">
        <v>951</v>
      </c>
      <c r="B73" s="5" t="s">
        <v>948</v>
      </c>
      <c r="C73" s="5" t="s">
        <v>43</v>
      </c>
      <c r="D73" s="5" t="s">
        <v>17943</v>
      </c>
      <c r="E73" s="5" t="s">
        <v>154</v>
      </c>
      <c r="F73" s="5" t="n">
        <f aca="false">LEN(H73)</f>
        <v>747</v>
      </c>
      <c r="G73" s="5" t="n">
        <f aca="false">COUNTIF(Probe_Pairs!$R:$R,A73)</f>
        <v>5</v>
      </c>
      <c r="H73" s="13" t="s">
        <v>17944</v>
      </c>
    </row>
    <row r="74" customFormat="false" ht="15" hidden="false" customHeight="false" outlineLevel="0" collapsed="false">
      <c r="A74" s="5" t="s">
        <v>642</v>
      </c>
      <c r="B74" s="5" t="s">
        <v>637</v>
      </c>
      <c r="C74" s="5" t="s">
        <v>43</v>
      </c>
      <c r="D74" s="5" t="s">
        <v>17945</v>
      </c>
      <c r="E74" s="5" t="s">
        <v>154</v>
      </c>
      <c r="F74" s="5" t="n">
        <f aca="false">LEN(H74)</f>
        <v>2226</v>
      </c>
      <c r="G74" s="5" t="n">
        <f aca="false">COUNTIF(Probe_Pairs!$R:$R,A74)</f>
        <v>21</v>
      </c>
      <c r="H74" s="13" t="s">
        <v>17946</v>
      </c>
    </row>
    <row r="75" customFormat="false" ht="15" hidden="false" customHeight="false" outlineLevel="0" collapsed="false">
      <c r="A75" s="5" t="s">
        <v>240</v>
      </c>
      <c r="B75" s="5" t="s">
        <v>237</v>
      </c>
      <c r="C75" s="5" t="s">
        <v>43</v>
      </c>
      <c r="D75" s="5" t="s">
        <v>17947</v>
      </c>
      <c r="E75" s="5" t="s">
        <v>154</v>
      </c>
      <c r="F75" s="5" t="n">
        <f aca="false">LEN(H75)</f>
        <v>1995</v>
      </c>
      <c r="G75" s="5" t="n">
        <f aca="false">COUNTIF(Probe_Pairs!$R:$R,A75)</f>
        <v>11</v>
      </c>
      <c r="H75" s="13" t="s">
        <v>17948</v>
      </c>
    </row>
    <row r="76" customFormat="false" ht="15" hidden="false" customHeight="false" outlineLevel="0" collapsed="false">
      <c r="A76" s="5" t="s">
        <v>622</v>
      </c>
      <c r="B76" s="5" t="s">
        <v>617</v>
      </c>
      <c r="C76" s="5" t="s">
        <v>43</v>
      </c>
      <c r="D76" s="5" t="s">
        <v>17949</v>
      </c>
      <c r="E76" s="5" t="s">
        <v>154</v>
      </c>
      <c r="F76" s="5" t="n">
        <f aca="false">LEN(H76)</f>
        <v>645</v>
      </c>
      <c r="G76" s="5" t="n">
        <f aca="false">COUNTIF(Probe_Pairs!$R:$R,A76)</f>
        <v>3</v>
      </c>
      <c r="H76" s="13" t="s">
        <v>17950</v>
      </c>
    </row>
    <row r="77" customFormat="false" ht="15" hidden="false" customHeight="false" outlineLevel="0" collapsed="false">
      <c r="A77" s="5" t="s">
        <v>67</v>
      </c>
      <c r="B77" s="5" t="s">
        <v>62</v>
      </c>
      <c r="C77" s="5" t="s">
        <v>43</v>
      </c>
      <c r="D77" s="5" t="s">
        <v>17951</v>
      </c>
      <c r="E77" s="5" t="s">
        <v>154</v>
      </c>
      <c r="F77" s="5" t="n">
        <f aca="false">LEN(H77)</f>
        <v>8511</v>
      </c>
      <c r="G77" s="5" t="n">
        <f aca="false">COUNTIF(Probe_Pairs!$R:$R,A77)</f>
        <v>13</v>
      </c>
      <c r="H77" s="13" t="s">
        <v>17952</v>
      </c>
    </row>
    <row r="78" customFormat="false" ht="15" hidden="false" customHeight="false" outlineLevel="0" collapsed="false">
      <c r="A78" s="5" t="s">
        <v>901</v>
      </c>
      <c r="B78" s="5" t="s">
        <v>898</v>
      </c>
      <c r="C78" s="5" t="s">
        <v>43</v>
      </c>
      <c r="D78" s="5" t="s">
        <v>17953</v>
      </c>
      <c r="E78" s="5" t="s">
        <v>154</v>
      </c>
      <c r="F78" s="5" t="n">
        <f aca="false">LEN(H78)</f>
        <v>1497</v>
      </c>
      <c r="G78" s="5" t="n">
        <f aca="false">COUNTIF(Probe_Pairs!$R:$R,A78)</f>
        <v>17</v>
      </c>
      <c r="H78" s="13" t="s">
        <v>17954</v>
      </c>
    </row>
    <row r="79" customFormat="false" ht="15" hidden="false" customHeight="false" outlineLevel="0" collapsed="false">
      <c r="A79" s="5" t="s">
        <v>846</v>
      </c>
      <c r="B79" s="5" t="s">
        <v>841</v>
      </c>
      <c r="C79" s="5" t="s">
        <v>43</v>
      </c>
      <c r="D79" s="5" t="s">
        <v>17955</v>
      </c>
      <c r="E79" s="5" t="s">
        <v>154</v>
      </c>
      <c r="F79" s="5" t="n">
        <f aca="false">LEN(H79)</f>
        <v>1287</v>
      </c>
      <c r="G79" s="5" t="n">
        <f aca="false">COUNTIF(Probe_Pairs!$R:$R,A79)</f>
        <v>22</v>
      </c>
      <c r="H79" s="13" t="s">
        <v>17956</v>
      </c>
    </row>
    <row r="80" customFormat="false" ht="15" hidden="false" customHeight="false" outlineLevel="0" collapsed="false">
      <c r="A80" s="5" t="s">
        <v>566</v>
      </c>
      <c r="B80" s="5" t="s">
        <v>562</v>
      </c>
      <c r="C80" s="5" t="s">
        <v>43</v>
      </c>
      <c r="D80" s="5" t="s">
        <v>17957</v>
      </c>
      <c r="E80" s="5" t="s">
        <v>154</v>
      </c>
      <c r="F80" s="5" t="n">
        <f aca="false">LEN(H80)</f>
        <v>1632</v>
      </c>
      <c r="G80" s="5" t="n">
        <f aca="false">COUNTIF(Probe_Pairs!$R:$R,A80)</f>
        <v>13</v>
      </c>
      <c r="H80" s="13" t="s">
        <v>17958</v>
      </c>
    </row>
    <row r="81" customFormat="false" ht="15" hidden="false" customHeight="false" outlineLevel="0" collapsed="false">
      <c r="A81" s="5" t="s">
        <v>760</v>
      </c>
      <c r="B81" s="5" t="s">
        <v>754</v>
      </c>
      <c r="C81" s="5" t="s">
        <v>43</v>
      </c>
      <c r="D81" s="5" t="s">
        <v>17959</v>
      </c>
      <c r="E81" s="5" t="s">
        <v>154</v>
      </c>
      <c r="F81" s="5" t="n">
        <f aca="false">LEN(H81)</f>
        <v>1434</v>
      </c>
      <c r="G81" s="5" t="n">
        <f aca="false">COUNTIF(Probe_Pairs!$R:$R,A81)</f>
        <v>12</v>
      </c>
      <c r="H81" s="13" t="s">
        <v>17960</v>
      </c>
    </row>
    <row r="82" customFormat="false" ht="15" hidden="false" customHeight="false" outlineLevel="0" collapsed="false">
      <c r="A82" s="5" t="s">
        <v>138</v>
      </c>
      <c r="B82" s="5" t="s">
        <v>133</v>
      </c>
      <c r="C82" s="5" t="s">
        <v>43</v>
      </c>
      <c r="D82" s="5" t="s">
        <v>17961</v>
      </c>
      <c r="E82" s="5" t="s">
        <v>154</v>
      </c>
      <c r="F82" s="5" t="n">
        <f aca="false">LEN(H82)</f>
        <v>1593</v>
      </c>
      <c r="G82" s="5" t="n">
        <f aca="false">COUNTIF(Probe_Pairs!$R:$R,A82)</f>
        <v>13</v>
      </c>
      <c r="H82" s="13" t="s">
        <v>17962</v>
      </c>
    </row>
    <row r="83" customFormat="false" ht="15" hidden="false" customHeight="false" outlineLevel="0" collapsed="false">
      <c r="A83" s="5" t="s">
        <v>918</v>
      </c>
      <c r="B83" s="5" t="s">
        <v>914</v>
      </c>
      <c r="C83" s="5" t="s">
        <v>43</v>
      </c>
      <c r="D83" s="5" t="s">
        <v>17963</v>
      </c>
      <c r="E83" s="5" t="s">
        <v>154</v>
      </c>
      <c r="F83" s="5" t="n">
        <f aca="false">LEN(H83)</f>
        <v>1893</v>
      </c>
      <c r="G83" s="5" t="n">
        <f aca="false">COUNTIF(Probe_Pairs!$R:$R,A83)</f>
        <v>3</v>
      </c>
      <c r="H83" s="13" t="s">
        <v>17964</v>
      </c>
    </row>
    <row r="84" customFormat="false" ht="15" hidden="false" customHeight="false" outlineLevel="0" collapsed="false">
      <c r="A84" s="5" t="s">
        <v>447</v>
      </c>
      <c r="B84" s="5" t="s">
        <v>443</v>
      </c>
      <c r="C84" s="5" t="s">
        <v>43</v>
      </c>
      <c r="D84" s="5" t="s">
        <v>17965</v>
      </c>
      <c r="E84" s="5" t="s">
        <v>154</v>
      </c>
      <c r="F84" s="5" t="n">
        <f aca="false">LEN(H84)</f>
        <v>2940</v>
      </c>
      <c r="G84" s="5" t="n">
        <f aca="false">COUNTIF(Probe_Pairs!$R:$R,A84)</f>
        <v>3</v>
      </c>
      <c r="H84" s="13" t="s">
        <v>17966</v>
      </c>
    </row>
    <row r="85" customFormat="false" ht="15" hidden="false" customHeight="false" outlineLevel="0" collapsed="false">
      <c r="A85" s="5" t="s">
        <v>805</v>
      </c>
      <c r="B85" s="5" t="s">
        <v>800</v>
      </c>
      <c r="C85" s="5" t="s">
        <v>43</v>
      </c>
      <c r="D85" s="5" t="s">
        <v>17967</v>
      </c>
      <c r="E85" s="5" t="s">
        <v>154</v>
      </c>
      <c r="F85" s="5" t="n">
        <f aca="false">LEN(H85)</f>
        <v>894</v>
      </c>
      <c r="G85" s="5" t="n">
        <f aca="false">COUNTIF(Probe_Pairs!$R:$R,A85)</f>
        <v>3</v>
      </c>
      <c r="H85" s="13" t="s">
        <v>17968</v>
      </c>
    </row>
    <row r="86" customFormat="false" ht="15" hidden="false" customHeight="false" outlineLevel="0" collapsed="false">
      <c r="A86" s="5" t="s">
        <v>412</v>
      </c>
      <c r="B86" s="5" t="s">
        <v>409</v>
      </c>
      <c r="C86" s="5" t="s">
        <v>43</v>
      </c>
      <c r="D86" s="5" t="s">
        <v>17969</v>
      </c>
      <c r="E86" s="5" t="s">
        <v>154</v>
      </c>
      <c r="F86" s="5" t="n">
        <f aca="false">LEN(H86)</f>
        <v>1527</v>
      </c>
      <c r="G86" s="5" t="n">
        <f aca="false">COUNTIF(Probe_Pairs!$R:$R,A86)</f>
        <v>3</v>
      </c>
      <c r="H86" s="13" t="s">
        <v>17970</v>
      </c>
    </row>
    <row r="87" customFormat="false" ht="15" hidden="false" customHeight="false" outlineLevel="0" collapsed="false">
      <c r="A87" s="5" t="s">
        <v>868</v>
      </c>
      <c r="B87" s="5" t="s">
        <v>865</v>
      </c>
      <c r="C87" s="5" t="s">
        <v>43</v>
      </c>
      <c r="D87" s="5" t="s">
        <v>17971</v>
      </c>
      <c r="E87" s="5" t="s">
        <v>154</v>
      </c>
      <c r="F87" s="5" t="n">
        <f aca="false">LEN(H87)</f>
        <v>1050</v>
      </c>
      <c r="G87" s="5" t="n">
        <f aca="false">COUNTIF(Probe_Pairs!$R:$R,A87)</f>
        <v>5</v>
      </c>
      <c r="H87" s="13" t="s">
        <v>17972</v>
      </c>
    </row>
    <row r="88" customFormat="false" ht="15" hidden="false" customHeight="false" outlineLevel="0" collapsed="false">
      <c r="A88" s="5" t="s">
        <v>960</v>
      </c>
      <c r="B88" s="5" t="s">
        <v>956</v>
      </c>
      <c r="C88" s="5" t="s">
        <v>43</v>
      </c>
      <c r="D88" s="5" t="s">
        <v>17973</v>
      </c>
      <c r="E88" s="5" t="s">
        <v>154</v>
      </c>
      <c r="F88" s="5" t="n">
        <f aca="false">LEN(H88)</f>
        <v>1416</v>
      </c>
      <c r="G88" s="5" t="n">
        <f aca="false">COUNTIF(Probe_Pairs!$R:$R,A88)</f>
        <v>6</v>
      </c>
      <c r="H88" s="13" t="s">
        <v>17974</v>
      </c>
    </row>
    <row r="89" customFormat="false" ht="15" hidden="false" customHeight="false" outlineLevel="0" collapsed="false">
      <c r="A89" s="5" t="s">
        <v>895</v>
      </c>
      <c r="B89" s="5" t="s">
        <v>890</v>
      </c>
      <c r="C89" s="5" t="s">
        <v>43</v>
      </c>
      <c r="D89" s="5" t="s">
        <v>17975</v>
      </c>
      <c r="E89" s="5" t="s">
        <v>154</v>
      </c>
      <c r="F89" s="5" t="n">
        <f aca="false">LEN(H89)</f>
        <v>1632</v>
      </c>
      <c r="G89" s="5" t="n">
        <f aca="false">COUNTIF(Probe_Pairs!$R:$R,A89)</f>
        <v>6</v>
      </c>
      <c r="H89" s="13" t="s">
        <v>17976</v>
      </c>
    </row>
    <row r="90" customFormat="false" ht="15" hidden="false" customHeight="false" outlineLevel="0" collapsed="false">
      <c r="A90" s="5" t="s">
        <v>650</v>
      </c>
      <c r="B90" s="5" t="s">
        <v>646</v>
      </c>
      <c r="C90" s="5" t="s">
        <v>43</v>
      </c>
      <c r="D90" s="5" t="s">
        <v>17977</v>
      </c>
      <c r="E90" s="5" t="s">
        <v>154</v>
      </c>
      <c r="F90" s="5" t="n">
        <f aca="false">LEN(H90)</f>
        <v>771</v>
      </c>
      <c r="G90" s="5" t="n">
        <f aca="false">COUNTIF(Probe_Pairs!$R:$R,A90)</f>
        <v>6</v>
      </c>
      <c r="H90" s="13" t="s">
        <v>17978</v>
      </c>
    </row>
    <row r="91" customFormat="false" ht="15" hidden="false" customHeight="false" outlineLevel="0" collapsed="false">
      <c r="A91" s="5" t="s">
        <v>741</v>
      </c>
      <c r="B91" s="5" t="s">
        <v>738</v>
      </c>
      <c r="C91" s="5" t="s">
        <v>43</v>
      </c>
      <c r="D91" s="5" t="s">
        <v>17979</v>
      </c>
      <c r="E91" s="5" t="s">
        <v>154</v>
      </c>
      <c r="F91" s="5" t="n">
        <f aca="false">LEN(H91)</f>
        <v>519</v>
      </c>
      <c r="G91" s="5" t="n">
        <f aca="false">COUNTIF(Probe_Pairs!$R:$R,A91)</f>
        <v>6</v>
      </c>
      <c r="H91" s="13" t="s">
        <v>17980</v>
      </c>
    </row>
    <row r="92" customFormat="false" ht="15" hidden="false" customHeight="false" outlineLevel="0" collapsed="false">
      <c r="A92" s="5" t="s">
        <v>718</v>
      </c>
      <c r="B92" s="5" t="s">
        <v>713</v>
      </c>
      <c r="C92" s="5" t="s">
        <v>43</v>
      </c>
      <c r="D92" s="5" t="s">
        <v>17981</v>
      </c>
      <c r="E92" s="5" t="s">
        <v>154</v>
      </c>
      <c r="F92" s="5" t="n">
        <f aca="false">LEN(H92)</f>
        <v>1620</v>
      </c>
      <c r="G92" s="5" t="n">
        <f aca="false">COUNTIF(Probe_Pairs!$R:$R,A92)</f>
        <v>6</v>
      </c>
      <c r="H92" s="13" t="s">
        <v>17982</v>
      </c>
    </row>
    <row r="93" customFormat="false" ht="15" hidden="false" customHeight="false" outlineLevel="0" collapsed="false">
      <c r="A93" s="5" t="s">
        <v>945</v>
      </c>
      <c r="B93" s="5" t="s">
        <v>941</v>
      </c>
      <c r="C93" s="5" t="s">
        <v>43</v>
      </c>
      <c r="D93" s="5" t="s">
        <v>17983</v>
      </c>
      <c r="E93" s="5" t="s">
        <v>154</v>
      </c>
      <c r="F93" s="5" t="n">
        <f aca="false">LEN(H93)</f>
        <v>1332</v>
      </c>
      <c r="G93" s="5" t="n">
        <f aca="false">COUNTIF(Probe_Pairs!$R:$R,A93)</f>
        <v>6</v>
      </c>
      <c r="H93" s="13" t="s">
        <v>17984</v>
      </c>
    </row>
    <row r="94" customFormat="false" ht="15" hidden="false" customHeight="false" outlineLevel="0" collapsed="false">
      <c r="A94" s="5" t="s">
        <v>830</v>
      </c>
      <c r="B94" s="5" t="s">
        <v>826</v>
      </c>
      <c r="C94" s="5" t="s">
        <v>43</v>
      </c>
      <c r="D94" s="5" t="s">
        <v>17985</v>
      </c>
      <c r="E94" s="5" t="s">
        <v>154</v>
      </c>
      <c r="F94" s="5" t="n">
        <f aca="false">LEN(H94)</f>
        <v>980</v>
      </c>
      <c r="G94" s="5" t="n">
        <f aca="false">COUNTIF(Probe_Pairs!$R:$R,A94)</f>
        <v>6</v>
      </c>
      <c r="H94" s="13" t="s">
        <v>17986</v>
      </c>
    </row>
    <row r="95" customFormat="false" ht="15" hidden="false" customHeight="false" outlineLevel="0" collapsed="false">
      <c r="A95" s="5" t="s">
        <v>439</v>
      </c>
      <c r="B95" s="5" t="s">
        <v>434</v>
      </c>
      <c r="C95" s="5" t="s">
        <v>43</v>
      </c>
      <c r="D95" s="5" t="s">
        <v>17987</v>
      </c>
      <c r="E95" s="5" t="s">
        <v>154</v>
      </c>
      <c r="F95" s="5" t="n">
        <f aca="false">LEN(H95)</f>
        <v>910</v>
      </c>
      <c r="G95" s="5" t="n">
        <f aca="false">COUNTIF(Probe_Pairs!$R:$R,A95)</f>
        <v>20</v>
      </c>
      <c r="H95" s="13" t="s">
        <v>17988</v>
      </c>
    </row>
    <row r="96" customFormat="false" ht="15" hidden="false" customHeight="false" outlineLevel="0" collapsed="false">
      <c r="A96" s="5" t="s">
        <v>837</v>
      </c>
      <c r="B96" s="5" t="s">
        <v>833</v>
      </c>
      <c r="C96" s="5" t="s">
        <v>43</v>
      </c>
      <c r="D96" s="5" t="s">
        <v>17989</v>
      </c>
      <c r="E96" s="5" t="s">
        <v>154</v>
      </c>
      <c r="F96" s="5" t="n">
        <f aca="false">LEN(H96)</f>
        <v>490</v>
      </c>
      <c r="G96" s="5" t="n">
        <f aca="false">COUNTIF(Probe_Pairs!$R:$R,A96)</f>
        <v>6</v>
      </c>
      <c r="H96" s="13" t="s">
        <v>17990</v>
      </c>
    </row>
    <row r="97" customFormat="false" ht="15" hidden="false" customHeight="false" outlineLevel="0" collapsed="false">
      <c r="A97" s="5" t="s">
        <v>596</v>
      </c>
      <c r="B97" s="5" t="s">
        <v>592</v>
      </c>
      <c r="C97" s="5" t="s">
        <v>43</v>
      </c>
      <c r="D97" s="5" t="s">
        <v>17991</v>
      </c>
      <c r="E97" s="5" t="s">
        <v>154</v>
      </c>
      <c r="F97" s="5" t="n">
        <f aca="false">LEN(H97)</f>
        <v>700</v>
      </c>
      <c r="G97" s="5" t="n">
        <f aca="false">COUNTIF(Probe_Pairs!$R:$R,A97)</f>
        <v>6</v>
      </c>
      <c r="H97" s="13" t="s">
        <v>17992</v>
      </c>
    </row>
    <row r="98" customFormat="false" ht="15" hidden="false" customHeight="false" outlineLevel="0" collapsed="false">
      <c r="A98" s="5" t="s">
        <v>909</v>
      </c>
      <c r="B98" s="5" t="s">
        <v>905</v>
      </c>
      <c r="C98" s="5" t="s">
        <v>43</v>
      </c>
      <c r="D98" s="5" t="s">
        <v>17993</v>
      </c>
      <c r="E98" s="5" t="s">
        <v>154</v>
      </c>
      <c r="F98" s="5" t="n">
        <f aca="false">LEN(H98)</f>
        <v>2028</v>
      </c>
      <c r="G98" s="5" t="n">
        <f aca="false">COUNTIF(Probe_Pairs!$R:$R,A98)</f>
        <v>6</v>
      </c>
      <c r="H98" s="13" t="s">
        <v>17994</v>
      </c>
    </row>
    <row r="99" customFormat="false" ht="15" hidden="false" customHeight="false" outlineLevel="0" collapsed="false">
      <c r="A99" s="5" t="s">
        <v>854</v>
      </c>
      <c r="B99" s="5" t="s">
        <v>850</v>
      </c>
      <c r="C99" s="5" t="s">
        <v>43</v>
      </c>
      <c r="D99" s="5" t="s">
        <v>17995</v>
      </c>
      <c r="E99" s="5" t="s">
        <v>154</v>
      </c>
      <c r="F99" s="5" t="n">
        <f aca="false">LEN(H99)</f>
        <v>1400</v>
      </c>
      <c r="G99" s="5" t="n">
        <f aca="false">COUNTIF(Probe_Pairs!$R:$R,A99)</f>
        <v>6</v>
      </c>
      <c r="H99" s="13" t="s">
        <v>17996</v>
      </c>
    </row>
    <row r="100" customFormat="false" ht="15" hidden="false" customHeight="false" outlineLevel="0" collapsed="false">
      <c r="A100" s="5" t="s">
        <v>792</v>
      </c>
      <c r="B100" s="5" t="s">
        <v>788</v>
      </c>
      <c r="C100" s="5" t="s">
        <v>43</v>
      </c>
      <c r="D100" s="5" t="s">
        <v>17997</v>
      </c>
      <c r="E100" s="5" t="s">
        <v>154</v>
      </c>
      <c r="F100" s="5" t="n">
        <f aca="false">LEN(H100)</f>
        <v>1554</v>
      </c>
      <c r="G100" s="5" t="n">
        <f aca="false">COUNTIF(Probe_Pairs!$R:$R,A100)</f>
        <v>6</v>
      </c>
      <c r="H100" s="13" t="s">
        <v>17998</v>
      </c>
    </row>
    <row r="101" customFormat="false" ht="15" hidden="false" customHeight="false" outlineLevel="0" collapsed="false">
      <c r="A101" s="5" t="s">
        <v>633</v>
      </c>
      <c r="B101" s="5" t="s">
        <v>628</v>
      </c>
      <c r="C101" s="5" t="s">
        <v>43</v>
      </c>
      <c r="D101" s="5" t="s">
        <v>17999</v>
      </c>
      <c r="E101" s="5" t="s">
        <v>154</v>
      </c>
      <c r="F101" s="5" t="n">
        <f aca="false">LEN(H101)</f>
        <v>2964</v>
      </c>
      <c r="G101" s="5" t="n">
        <f aca="false">COUNTIF(Probe_Pairs!$R:$R,A101)</f>
        <v>6</v>
      </c>
      <c r="H101" s="13" t="s">
        <v>18000</v>
      </c>
    </row>
    <row r="102" customFormat="false" ht="15" hidden="false" customHeight="false" outlineLevel="0" collapsed="false">
      <c r="A102" s="5" t="s">
        <v>672</v>
      </c>
      <c r="B102" s="5" t="s">
        <v>668</v>
      </c>
      <c r="C102" s="5" t="s">
        <v>43</v>
      </c>
      <c r="D102" s="5" t="s">
        <v>18001</v>
      </c>
      <c r="E102" s="5" t="s">
        <v>154</v>
      </c>
      <c r="F102" s="5" t="n">
        <f aca="false">LEN(H102)</f>
        <v>519</v>
      </c>
      <c r="G102" s="5" t="n">
        <f aca="false">COUNTIF(Probe_Pairs!$R:$R,A102)</f>
        <v>6</v>
      </c>
      <c r="H102" s="13" t="s">
        <v>18002</v>
      </c>
    </row>
    <row r="103" customFormat="false" ht="15" hidden="false" customHeight="false" outlineLevel="0" collapsed="false">
      <c r="A103" s="5" t="s">
        <v>938</v>
      </c>
      <c r="B103" s="5" t="s">
        <v>933</v>
      </c>
      <c r="C103" s="5" t="s">
        <v>43</v>
      </c>
      <c r="D103" s="5" t="s">
        <v>18003</v>
      </c>
      <c r="E103" s="5" t="s">
        <v>154</v>
      </c>
      <c r="F103" s="5" t="n">
        <f aca="false">LEN(H103)</f>
        <v>1326</v>
      </c>
      <c r="G103" s="5" t="n">
        <f aca="false">COUNTIF(Probe_Pairs!$R:$R,A103)</f>
        <v>6</v>
      </c>
      <c r="H103" s="13" t="s">
        <v>18004</v>
      </c>
    </row>
    <row r="104" customFormat="false" ht="15" hidden="false" customHeight="false" outlineLevel="0" collapsed="false">
      <c r="A104" s="5" t="s">
        <v>696</v>
      </c>
      <c r="B104" s="5" t="s">
        <v>691</v>
      </c>
      <c r="C104" s="5" t="s">
        <v>43</v>
      </c>
      <c r="D104" s="5" t="s">
        <v>18005</v>
      </c>
      <c r="E104" s="5" t="s">
        <v>154</v>
      </c>
      <c r="F104" s="5" t="n">
        <f aca="false">LEN(H104)</f>
        <v>1113</v>
      </c>
      <c r="G104" s="5" t="n">
        <f aca="false">COUNTIF(Probe_Pairs!$R:$R,A104)</f>
        <v>12</v>
      </c>
      <c r="H104" s="13" t="s">
        <v>18006</v>
      </c>
    </row>
    <row r="105" customFormat="false" ht="15" hidden="false" customHeight="false" outlineLevel="0" collapsed="false">
      <c r="A105" s="5" t="s">
        <v>862</v>
      </c>
      <c r="B105" s="5" t="s">
        <v>858</v>
      </c>
      <c r="C105" s="5" t="s">
        <v>43</v>
      </c>
      <c r="D105" s="5" t="s">
        <v>18007</v>
      </c>
      <c r="E105" s="5" t="s">
        <v>154</v>
      </c>
      <c r="F105" s="5" t="n">
        <f aca="false">LEN(H105)</f>
        <v>2259</v>
      </c>
      <c r="G105" s="5" t="n">
        <f aca="false">COUNTIF(Probe_Pairs!$R:$R,A105)</f>
        <v>6</v>
      </c>
      <c r="H105" s="13" t="s">
        <v>18008</v>
      </c>
    </row>
    <row r="106" customFormat="false" ht="15" hidden="false" customHeight="false" outlineLevel="0" collapsed="false">
      <c r="A106" s="5" t="s">
        <v>820</v>
      </c>
      <c r="B106" s="5" t="s">
        <v>816</v>
      </c>
      <c r="C106" s="5" t="s">
        <v>43</v>
      </c>
      <c r="D106" s="5" t="s">
        <v>18009</v>
      </c>
      <c r="E106" s="5" t="s">
        <v>154</v>
      </c>
      <c r="F106" s="5" t="n">
        <f aca="false">LEN(H106)</f>
        <v>831</v>
      </c>
      <c r="G106" s="5" t="n">
        <f aca="false">COUNTIF(Probe_Pairs!$R:$R,A106)</f>
        <v>5</v>
      </c>
      <c r="H106" s="13" t="s">
        <v>18010</v>
      </c>
    </row>
    <row r="107" customFormat="false" ht="15" hidden="false" customHeight="false" outlineLevel="0" collapsed="false">
      <c r="A107" s="5" t="s">
        <v>727</v>
      </c>
      <c r="B107" s="5" t="s">
        <v>723</v>
      </c>
      <c r="C107" s="5" t="s">
        <v>43</v>
      </c>
      <c r="D107" s="5" t="s">
        <v>18011</v>
      </c>
      <c r="E107" s="5" t="s">
        <v>154</v>
      </c>
      <c r="F107" s="5" t="n">
        <f aca="false">LEN(H107)</f>
        <v>4332</v>
      </c>
      <c r="G107" s="5" t="n">
        <f aca="false">COUNTIF(Probe_Pairs!$R:$R,A107)</f>
        <v>6</v>
      </c>
      <c r="H107" s="13" t="s">
        <v>18012</v>
      </c>
    </row>
    <row r="108" customFormat="false" ht="15" hidden="false" customHeight="false" outlineLevel="0" collapsed="false">
      <c r="A108" s="5" t="s">
        <v>735</v>
      </c>
      <c r="B108" s="5" t="s">
        <v>731</v>
      </c>
      <c r="C108" s="5" t="s">
        <v>43</v>
      </c>
      <c r="D108" s="5" t="s">
        <v>18013</v>
      </c>
      <c r="E108" s="5" t="s">
        <v>154</v>
      </c>
      <c r="F108" s="5" t="n">
        <f aca="false">LEN(H108)</f>
        <v>429</v>
      </c>
      <c r="G108" s="5" t="n">
        <f aca="false">COUNTIF(Probe_Pairs!$R:$R,A108)</f>
        <v>6</v>
      </c>
      <c r="H108" s="13" t="s">
        <v>18014</v>
      </c>
    </row>
    <row r="109" customFormat="false" ht="15" hidden="false" customHeight="false" outlineLevel="0" collapsed="false">
      <c r="A109" s="5" t="s">
        <v>768</v>
      </c>
      <c r="B109" s="5" t="s">
        <v>765</v>
      </c>
      <c r="C109" s="5" t="s">
        <v>43</v>
      </c>
      <c r="D109" s="5" t="s">
        <v>18015</v>
      </c>
      <c r="E109" s="5" t="s">
        <v>154</v>
      </c>
      <c r="F109" s="5" t="n">
        <f aca="false">LEN(H109)</f>
        <v>768</v>
      </c>
      <c r="G109" s="5" t="n">
        <f aca="false">COUNTIF(Probe_Pairs!$R:$R,A109)</f>
        <v>6</v>
      </c>
      <c r="H109" s="13" t="s">
        <v>18016</v>
      </c>
    </row>
    <row r="110" customFormat="false" ht="15" hidden="false" customHeight="false" outlineLevel="0" collapsed="false">
      <c r="A110" s="5" t="s">
        <v>686</v>
      </c>
      <c r="B110" s="5" t="s">
        <v>684</v>
      </c>
      <c r="C110" s="5" t="s">
        <v>43</v>
      </c>
      <c r="D110" s="5" t="s">
        <v>18017</v>
      </c>
      <c r="E110" s="5" t="s">
        <v>154</v>
      </c>
      <c r="F110" s="5" t="n">
        <f aca="false">LEN(H110)</f>
        <v>3759</v>
      </c>
      <c r="G110" s="5" t="n">
        <f aca="false">COUNTIF(Probe_Pairs!$R:$R,A110)</f>
        <v>6</v>
      </c>
      <c r="H110" s="13" t="s">
        <v>18018</v>
      </c>
    </row>
    <row r="111" customFormat="false" ht="15" hidden="false" customHeight="false" outlineLevel="0" collapsed="false">
      <c r="A111" s="5" t="s">
        <v>589</v>
      </c>
      <c r="B111" s="5" t="s">
        <v>583</v>
      </c>
      <c r="C111" s="5" t="s">
        <v>43</v>
      </c>
      <c r="D111" s="5" t="s">
        <v>18019</v>
      </c>
      <c r="E111" s="5" t="s">
        <v>154</v>
      </c>
      <c r="F111" s="5" t="n">
        <f aca="false">LEN(H111)</f>
        <v>1410</v>
      </c>
      <c r="G111" s="5" t="n">
        <f aca="false">COUNTIF(Probe_Pairs!$R:$R,A111)</f>
        <v>6</v>
      </c>
      <c r="H111" s="13" t="s">
        <v>18020</v>
      </c>
    </row>
    <row r="112" customFormat="false" ht="15" hidden="false" customHeight="false" outlineLevel="0" collapsed="false">
      <c r="A112" s="5" t="s">
        <v>18021</v>
      </c>
      <c r="B112" s="5" t="s">
        <v>192</v>
      </c>
      <c r="C112" s="5" t="s">
        <v>43</v>
      </c>
      <c r="D112" s="5" t="s">
        <v>18022</v>
      </c>
      <c r="E112" s="5" t="s">
        <v>154</v>
      </c>
      <c r="F112" s="5" t="n">
        <f aca="false">LEN(H112)</f>
        <v>2001</v>
      </c>
      <c r="G112" s="5" t="n">
        <f aca="false">COUNTIF(Probe_Pairs!$R:$R,A112)</f>
        <v>0</v>
      </c>
      <c r="H112" s="13" t="s">
        <v>18023</v>
      </c>
    </row>
    <row r="113" customFormat="false" ht="15" hidden="false" customHeight="false" outlineLevel="0" collapsed="false">
      <c r="A113" s="5" t="s">
        <v>11169</v>
      </c>
      <c r="B113" s="5" t="s">
        <v>313</v>
      </c>
      <c r="C113" s="5" t="s">
        <v>43</v>
      </c>
      <c r="D113" s="5" t="s">
        <v>18024</v>
      </c>
      <c r="E113" s="5" t="s">
        <v>154</v>
      </c>
      <c r="F113" s="5" t="n">
        <f aca="false">LEN(H113)</f>
        <v>930</v>
      </c>
      <c r="G113" s="5" t="n">
        <f aca="false">COUNTIF(Probe_Pairs!$R:$R,A113)</f>
        <v>5</v>
      </c>
      <c r="H113" s="13" t="s">
        <v>18025</v>
      </c>
    </row>
    <row r="114" customFormat="false" ht="15" hidden="false" customHeight="false" outlineLevel="0" collapsed="false">
      <c r="A114" s="5" t="s">
        <v>1137</v>
      </c>
      <c r="B114" s="5" t="s">
        <v>1133</v>
      </c>
      <c r="C114" s="5" t="s">
        <v>43</v>
      </c>
      <c r="D114" s="5" t="s">
        <v>18026</v>
      </c>
      <c r="E114" s="5" t="s">
        <v>154</v>
      </c>
      <c r="F114" s="5" t="n">
        <f aca="false">LEN(H114)</f>
        <v>1545</v>
      </c>
      <c r="G114" s="5" t="n">
        <f aca="false">COUNTIF(Probe_Pairs!$R:$R,A114)</f>
        <v>12</v>
      </c>
      <c r="H114" s="13" t="s">
        <v>18027</v>
      </c>
    </row>
    <row r="115" customFormat="false" ht="15" hidden="false" customHeight="false" outlineLevel="0" collapsed="false">
      <c r="A115" s="5" t="s">
        <v>1108</v>
      </c>
      <c r="B115" s="5" t="s">
        <v>1104</v>
      </c>
      <c r="C115" s="5" t="s">
        <v>43</v>
      </c>
      <c r="D115" s="5" t="s">
        <v>18028</v>
      </c>
      <c r="E115" s="5" t="s">
        <v>154</v>
      </c>
      <c r="F115" s="5" t="n">
        <f aca="false">LEN(H115)</f>
        <v>2088</v>
      </c>
      <c r="G115" s="5" t="n">
        <f aca="false">COUNTIF(Probe_Pairs!$R:$R,A115)</f>
        <v>12</v>
      </c>
      <c r="H115" s="13" t="s">
        <v>18029</v>
      </c>
    </row>
    <row r="116" customFormat="false" ht="15" hidden="false" customHeight="false" outlineLevel="0" collapsed="false">
      <c r="A116" s="5" t="s">
        <v>1247</v>
      </c>
      <c r="B116" s="5" t="s">
        <v>1243</v>
      </c>
      <c r="C116" s="5" t="s">
        <v>43</v>
      </c>
      <c r="D116" s="5" t="s">
        <v>18030</v>
      </c>
      <c r="E116" s="5" t="s">
        <v>154</v>
      </c>
      <c r="F116" s="5" t="n">
        <f aca="false">LEN(H116)</f>
        <v>1233</v>
      </c>
      <c r="G116" s="5" t="n">
        <f aca="false">COUNTIF(Probe_Pairs!$R:$R,A116)</f>
        <v>6</v>
      </c>
      <c r="H116" s="13" t="s">
        <v>18031</v>
      </c>
    </row>
    <row r="117" customFormat="false" ht="15" hidden="false" customHeight="false" outlineLevel="0" collapsed="false">
      <c r="A117" s="5" t="s">
        <v>1284</v>
      </c>
      <c r="B117" s="5" t="s">
        <v>1280</v>
      </c>
      <c r="C117" s="5" t="s">
        <v>43</v>
      </c>
      <c r="D117" s="5" t="s">
        <v>18032</v>
      </c>
      <c r="E117" s="5" t="s">
        <v>154</v>
      </c>
      <c r="F117" s="5" t="n">
        <f aca="false">LEN(H117)</f>
        <v>1491</v>
      </c>
      <c r="G117" s="5" t="n">
        <f aca="false">COUNTIF(Probe_Pairs!$R:$R,A117)</f>
        <v>6</v>
      </c>
      <c r="H117" s="13" t="s">
        <v>18033</v>
      </c>
    </row>
    <row r="118" customFormat="false" ht="15" hidden="false" customHeight="false" outlineLevel="0" collapsed="false">
      <c r="A118" s="5" t="s">
        <v>1253</v>
      </c>
      <c r="B118" s="5" t="s">
        <v>1250</v>
      </c>
      <c r="C118" s="5" t="s">
        <v>43</v>
      </c>
      <c r="D118" s="5" t="s">
        <v>18034</v>
      </c>
      <c r="E118" s="5" t="s">
        <v>154</v>
      </c>
      <c r="F118" s="5" t="n">
        <f aca="false">LEN(H118)</f>
        <v>3402</v>
      </c>
      <c r="G118" s="5" t="n">
        <f aca="false">COUNTIF(Probe_Pairs!$R:$R,A118)</f>
        <v>11</v>
      </c>
      <c r="H118" s="13" t="s">
        <v>18035</v>
      </c>
    </row>
    <row r="119" customFormat="false" ht="15" hidden="false" customHeight="false" outlineLevel="0" collapsed="false">
      <c r="A119" s="5" t="s">
        <v>1276</v>
      </c>
      <c r="B119" s="5" t="s">
        <v>1273</v>
      </c>
      <c r="C119" s="5" t="s">
        <v>43</v>
      </c>
      <c r="D119" s="5" t="s">
        <v>18036</v>
      </c>
      <c r="E119" s="5" t="s">
        <v>154</v>
      </c>
      <c r="F119" s="5" t="n">
        <f aca="false">LEN(H119)</f>
        <v>3855</v>
      </c>
      <c r="G119" s="5" t="n">
        <f aca="false">COUNTIF(Probe_Pairs!$R:$R,A119)</f>
        <v>6</v>
      </c>
      <c r="H119" s="13" t="s">
        <v>18037</v>
      </c>
    </row>
    <row r="120" customFormat="false" ht="15" hidden="false" customHeight="false" outlineLevel="0" collapsed="false">
      <c r="A120" s="5" t="s">
        <v>1292</v>
      </c>
      <c r="B120" s="5" t="s">
        <v>1288</v>
      </c>
      <c r="C120" s="5" t="s">
        <v>43</v>
      </c>
      <c r="D120" s="5" t="s">
        <v>18038</v>
      </c>
      <c r="E120" s="5" t="s">
        <v>154</v>
      </c>
      <c r="F120" s="5" t="n">
        <f aca="false">LEN(H120)</f>
        <v>2448</v>
      </c>
      <c r="G120" s="5" t="n">
        <f aca="false">COUNTIF(Probe_Pairs!$R:$R,A120)</f>
        <v>6</v>
      </c>
      <c r="H120" s="13" t="s">
        <v>18039</v>
      </c>
    </row>
    <row r="121" customFormat="false" ht="15" hidden="false" customHeight="false" outlineLevel="0" collapsed="false">
      <c r="A121" s="5" t="s">
        <v>1090</v>
      </c>
      <c r="B121" s="5" t="s">
        <v>1086</v>
      </c>
      <c r="C121" s="5" t="s">
        <v>43</v>
      </c>
      <c r="D121" s="5" t="s">
        <v>18040</v>
      </c>
      <c r="E121" s="5" t="s">
        <v>154</v>
      </c>
      <c r="F121" s="5" t="n">
        <f aca="false">LEN(H121)</f>
        <v>1197</v>
      </c>
      <c r="G121" s="5" t="n">
        <f aca="false">COUNTIF(Probe_Pairs!$R:$R,A121)</f>
        <v>6</v>
      </c>
      <c r="H121" s="13" t="s">
        <v>18041</v>
      </c>
    </row>
    <row r="122" customFormat="false" ht="15" hidden="false" customHeight="false" outlineLevel="0" collapsed="false">
      <c r="A122" s="5" t="s">
        <v>1056</v>
      </c>
      <c r="B122" s="5" t="s">
        <v>1049</v>
      </c>
      <c r="C122" s="5" t="s">
        <v>43</v>
      </c>
      <c r="D122" s="5" t="s">
        <v>18042</v>
      </c>
      <c r="E122" s="5" t="s">
        <v>154</v>
      </c>
      <c r="F122" s="5" t="n">
        <f aca="false">LEN(H122)</f>
        <v>1026</v>
      </c>
      <c r="G122" s="5" t="n">
        <f aca="false">COUNTIF(Probe_Pairs!$R:$R,A122)</f>
        <v>6</v>
      </c>
      <c r="H122" s="13" t="s">
        <v>18043</v>
      </c>
    </row>
    <row r="123" customFormat="false" ht="15" hidden="false" customHeight="false" outlineLevel="0" collapsed="false">
      <c r="A123" s="5" t="s">
        <v>1219</v>
      </c>
      <c r="B123" s="5" t="s">
        <v>1215</v>
      </c>
      <c r="C123" s="5" t="s">
        <v>43</v>
      </c>
      <c r="D123" s="5" t="s">
        <v>18044</v>
      </c>
      <c r="E123" s="5" t="s">
        <v>154</v>
      </c>
      <c r="F123" s="5" t="n">
        <f aca="false">LEN(H123)</f>
        <v>588</v>
      </c>
      <c r="G123" s="5" t="n">
        <f aca="false">COUNTIF(Probe_Pairs!$R:$R,A123)</f>
        <v>6</v>
      </c>
      <c r="H123" s="13" t="s">
        <v>18045</v>
      </c>
    </row>
    <row r="124" customFormat="false" ht="15" hidden="false" customHeight="false" outlineLevel="0" collapsed="false">
      <c r="A124" s="5" t="s">
        <v>18046</v>
      </c>
      <c r="B124" s="5" t="s">
        <v>18047</v>
      </c>
      <c r="C124" s="5" t="s">
        <v>43</v>
      </c>
      <c r="D124" s="5" t="s">
        <v>18048</v>
      </c>
      <c r="E124" s="5" t="s">
        <v>154</v>
      </c>
      <c r="F124" s="5" t="n">
        <f aca="false">LEN(H124)</f>
        <v>1488</v>
      </c>
      <c r="G124" s="5" t="n">
        <f aca="false">COUNTIF(Probe_Pairs!$R:$R,A124)</f>
        <v>0</v>
      </c>
      <c r="H124" s="13" t="s">
        <v>18049</v>
      </c>
    </row>
    <row r="125" customFormat="false" ht="15" hidden="false" customHeight="false" outlineLevel="0" collapsed="false">
      <c r="A125" s="5" t="s">
        <v>18050</v>
      </c>
      <c r="B125" s="5" t="s">
        <v>18051</v>
      </c>
      <c r="C125" s="5" t="s">
        <v>43</v>
      </c>
      <c r="D125" s="5" t="s">
        <v>18052</v>
      </c>
      <c r="E125" s="5" t="s">
        <v>154</v>
      </c>
      <c r="F125" s="5" t="n">
        <f aca="false">LEN(H125)</f>
        <v>2226</v>
      </c>
      <c r="G125" s="5" t="n">
        <f aca="false">COUNTIF(Probe_Pairs!$R:$R,A125)</f>
        <v>0</v>
      </c>
      <c r="H125" s="13" t="s">
        <v>18053</v>
      </c>
    </row>
    <row r="126" customFormat="false" ht="15" hidden="false" customHeight="false" outlineLevel="0" collapsed="false">
      <c r="A126" s="5" t="s">
        <v>18054</v>
      </c>
      <c r="B126" s="5" t="s">
        <v>18055</v>
      </c>
      <c r="C126" s="5" t="s">
        <v>43</v>
      </c>
      <c r="D126" s="5" t="s">
        <v>18056</v>
      </c>
      <c r="E126" s="5" t="s">
        <v>154</v>
      </c>
      <c r="F126" s="5" t="n">
        <f aca="false">LEN(H126)</f>
        <v>1665</v>
      </c>
      <c r="G126" s="5" t="n">
        <f aca="false">COUNTIF(Probe_Pairs!$R:$R,A126)</f>
        <v>0</v>
      </c>
      <c r="H126" s="13" t="s">
        <v>18057</v>
      </c>
    </row>
    <row r="127" customFormat="false" ht="15" hidden="false" customHeight="false" outlineLevel="0" collapsed="false">
      <c r="A127" s="5" t="s">
        <v>18058</v>
      </c>
      <c r="B127" s="5" t="s">
        <v>18059</v>
      </c>
      <c r="C127" s="5" t="s">
        <v>43</v>
      </c>
      <c r="D127" s="5" t="s">
        <v>18060</v>
      </c>
      <c r="E127" s="5" t="s">
        <v>154</v>
      </c>
      <c r="F127" s="5" t="n">
        <f aca="false">LEN(H127)</f>
        <v>1152</v>
      </c>
      <c r="G127" s="5" t="n">
        <f aca="false">COUNTIF(Probe_Pairs!$R:$R,A127)</f>
        <v>0</v>
      </c>
      <c r="H127" s="13" t="s">
        <v>18061</v>
      </c>
    </row>
    <row r="128" customFormat="false" ht="15" hidden="false" customHeight="false" outlineLevel="0" collapsed="false">
      <c r="A128" s="5" t="s">
        <v>18062</v>
      </c>
      <c r="B128" s="5" t="s">
        <v>18063</v>
      </c>
      <c r="C128" s="5" t="s">
        <v>43</v>
      </c>
      <c r="D128" s="5" t="s">
        <v>18064</v>
      </c>
      <c r="E128" s="5" t="s">
        <v>154</v>
      </c>
      <c r="F128" s="5" t="n">
        <f aca="false">LEN(H128)</f>
        <v>813</v>
      </c>
      <c r="G128" s="5" t="n">
        <f aca="false">COUNTIF(Probe_Pairs!$R:$R,A128)</f>
        <v>0</v>
      </c>
      <c r="H128" s="13" t="s">
        <v>18065</v>
      </c>
    </row>
    <row r="129" customFormat="false" ht="15" hidden="false" customHeight="false" outlineLevel="0" collapsed="false">
      <c r="A129" s="5" t="s">
        <v>18066</v>
      </c>
      <c r="B129" s="5" t="s">
        <v>18067</v>
      </c>
      <c r="C129" s="5" t="s">
        <v>43</v>
      </c>
      <c r="D129" s="5" t="s">
        <v>18068</v>
      </c>
      <c r="E129" s="5" t="s">
        <v>154</v>
      </c>
      <c r="F129" s="5" t="n">
        <f aca="false">LEN(H129)</f>
        <v>350</v>
      </c>
      <c r="G129" s="5" t="n">
        <f aca="false">COUNTIF(Probe_Pairs!$R:$R,A129)</f>
        <v>0</v>
      </c>
      <c r="H129" s="13" t="s">
        <v>18069</v>
      </c>
    </row>
    <row r="130" customFormat="false" ht="15" hidden="false" customHeight="false" outlineLevel="0" collapsed="false">
      <c r="A130" s="5" t="s">
        <v>1064</v>
      </c>
      <c r="B130" s="5" t="s">
        <v>1060</v>
      </c>
      <c r="C130" s="5" t="s">
        <v>43</v>
      </c>
      <c r="D130" s="5" t="s">
        <v>18070</v>
      </c>
      <c r="E130" s="5" t="s">
        <v>154</v>
      </c>
      <c r="F130" s="5" t="n">
        <f aca="false">LEN(H130)</f>
        <v>738</v>
      </c>
      <c r="G130" s="5" t="n">
        <f aca="false">COUNTIF(Probe_Pairs!$R:$R,A130)</f>
        <v>6</v>
      </c>
      <c r="H130" s="13" t="s">
        <v>18071</v>
      </c>
    </row>
    <row r="131" customFormat="false" ht="15" hidden="false" customHeight="false" outlineLevel="0" collapsed="false">
      <c r="A131" s="5" t="s">
        <v>1262</v>
      </c>
      <c r="B131" s="5" t="s">
        <v>1258</v>
      </c>
      <c r="C131" s="5" t="s">
        <v>43</v>
      </c>
      <c r="D131" s="5" t="s">
        <v>18072</v>
      </c>
      <c r="E131" s="5" t="s">
        <v>154</v>
      </c>
      <c r="F131" s="5" t="n">
        <f aca="false">LEN(H131)</f>
        <v>960</v>
      </c>
      <c r="G131" s="5" t="n">
        <f aca="false">COUNTIF(Probe_Pairs!$R:$R,A131)</f>
        <v>6</v>
      </c>
      <c r="H131" s="13" t="s">
        <v>18073</v>
      </c>
    </row>
    <row r="132" customFormat="false" ht="15" hidden="false" customHeight="false" outlineLevel="0" collapsed="false">
      <c r="A132" s="5" t="s">
        <v>1155</v>
      </c>
      <c r="B132" s="5" t="s">
        <v>1151</v>
      </c>
      <c r="C132" s="5" t="s">
        <v>43</v>
      </c>
      <c r="D132" s="5" t="s">
        <v>18074</v>
      </c>
      <c r="E132" s="5" t="s">
        <v>154</v>
      </c>
      <c r="F132" s="5" t="n">
        <f aca="false">LEN(H132)</f>
        <v>1395</v>
      </c>
      <c r="G132" s="5" t="n">
        <f aca="false">COUNTIF(Probe_Pairs!$R:$R,A132)</f>
        <v>6</v>
      </c>
      <c r="H132" s="13" t="s">
        <v>18075</v>
      </c>
    </row>
    <row r="133" customFormat="false" ht="15" hidden="false" customHeight="false" outlineLevel="0" collapsed="false">
      <c r="A133" s="5" t="s">
        <v>1162</v>
      </c>
      <c r="B133" s="5" t="s">
        <v>1158</v>
      </c>
      <c r="C133" s="5" t="s">
        <v>43</v>
      </c>
      <c r="D133" s="5" t="s">
        <v>18076</v>
      </c>
      <c r="E133" s="5" t="s">
        <v>154</v>
      </c>
      <c r="F133" s="5" t="n">
        <f aca="false">LEN(H133)</f>
        <v>1833</v>
      </c>
      <c r="G133" s="5" t="n">
        <f aca="false">COUNTIF(Probe_Pairs!$R:$R,A133)</f>
        <v>6</v>
      </c>
      <c r="H133" s="13" t="s">
        <v>18077</v>
      </c>
    </row>
    <row r="134" customFormat="false" ht="15" hidden="false" customHeight="false" outlineLevel="0" collapsed="false">
      <c r="A134" s="5" t="s">
        <v>1148</v>
      </c>
      <c r="B134" s="5" t="s">
        <v>1144</v>
      </c>
      <c r="C134" s="5" t="s">
        <v>43</v>
      </c>
      <c r="D134" s="5" t="s">
        <v>18078</v>
      </c>
      <c r="E134" s="5" t="s">
        <v>154</v>
      </c>
      <c r="F134" s="5" t="n">
        <f aca="false">LEN(H134)</f>
        <v>837</v>
      </c>
      <c r="G134" s="5" t="n">
        <f aca="false">COUNTIF(Probe_Pairs!$R:$R,A134)</f>
        <v>6</v>
      </c>
      <c r="H134" s="13" t="s">
        <v>18079</v>
      </c>
    </row>
    <row r="135" customFormat="false" ht="15" hidden="false" customHeight="false" outlineLevel="0" collapsed="false">
      <c r="A135" s="5" t="s">
        <v>1082</v>
      </c>
      <c r="B135" s="5" t="s">
        <v>1078</v>
      </c>
      <c r="C135" s="5" t="s">
        <v>43</v>
      </c>
      <c r="D135" s="5" t="s">
        <v>18080</v>
      </c>
      <c r="E135" s="5" t="s">
        <v>154</v>
      </c>
      <c r="F135" s="5" t="n">
        <f aca="false">LEN(H135)</f>
        <v>915</v>
      </c>
      <c r="G135" s="5" t="n">
        <f aca="false">COUNTIF(Probe_Pairs!$R:$R,A135)</f>
        <v>6</v>
      </c>
      <c r="H135" s="13" t="s">
        <v>18081</v>
      </c>
    </row>
    <row r="136" customFormat="false" ht="15" hidden="false" customHeight="false" outlineLevel="0" collapsed="false">
      <c r="A136" s="5" t="s">
        <v>1183</v>
      </c>
      <c r="B136" s="5" t="s">
        <v>1179</v>
      </c>
      <c r="C136" s="5" t="s">
        <v>43</v>
      </c>
      <c r="D136" s="5" t="s">
        <v>18082</v>
      </c>
      <c r="E136" s="5" t="s">
        <v>154</v>
      </c>
      <c r="F136" s="5" t="n">
        <f aca="false">LEN(H136)</f>
        <v>1833</v>
      </c>
      <c r="G136" s="5" t="n">
        <f aca="false">COUNTIF(Probe_Pairs!$R:$R,A136)</f>
        <v>5</v>
      </c>
      <c r="H136" s="13" t="s">
        <v>18083</v>
      </c>
    </row>
    <row r="137" customFormat="false" ht="15" hidden="false" customHeight="false" outlineLevel="0" collapsed="false">
      <c r="A137" s="5" t="s">
        <v>1269</v>
      </c>
      <c r="B137" s="5" t="s">
        <v>1265</v>
      </c>
      <c r="C137" s="5" t="s">
        <v>43</v>
      </c>
      <c r="D137" s="5" t="s">
        <v>18084</v>
      </c>
      <c r="E137" s="5" t="s">
        <v>154</v>
      </c>
      <c r="F137" s="5" t="n">
        <f aca="false">LEN(H137)</f>
        <v>963</v>
      </c>
      <c r="G137" s="5" t="n">
        <f aca="false">COUNTIF(Probe_Pairs!$R:$R,A137)</f>
        <v>6</v>
      </c>
      <c r="H137" s="13" t="s">
        <v>18085</v>
      </c>
    </row>
    <row r="138" customFormat="false" ht="15" hidden="false" customHeight="false" outlineLevel="0" collapsed="false">
      <c r="A138" s="5" t="s">
        <v>1225</v>
      </c>
      <c r="B138" s="5" t="s">
        <v>1223</v>
      </c>
      <c r="C138" s="5" t="s">
        <v>43</v>
      </c>
      <c r="D138" s="5" t="s">
        <v>18086</v>
      </c>
      <c r="E138" s="5" t="s">
        <v>154</v>
      </c>
      <c r="F138" s="5" t="n">
        <f aca="false">LEN(H138)</f>
        <v>1114</v>
      </c>
      <c r="G138" s="5" t="n">
        <f aca="false">COUNTIF(Probe_Pairs!$R:$R,A138)</f>
        <v>6</v>
      </c>
      <c r="H138" s="13" t="s">
        <v>18087</v>
      </c>
    </row>
    <row r="139" customFormat="false" ht="15" hidden="false" customHeight="false" outlineLevel="0" collapsed="false">
      <c r="A139" s="5" t="s">
        <v>1383</v>
      </c>
      <c r="B139" s="5" t="s">
        <v>1380</v>
      </c>
      <c r="C139" s="5" t="s">
        <v>43</v>
      </c>
      <c r="D139" s="5" t="s">
        <v>18088</v>
      </c>
      <c r="E139" s="5" t="s">
        <v>154</v>
      </c>
      <c r="F139" s="5" t="n">
        <f aca="false">LEN(H139)</f>
        <v>861</v>
      </c>
      <c r="G139" s="5" t="n">
        <f aca="false">COUNTIF(Probe_Pairs!$R:$R,A139)</f>
        <v>6</v>
      </c>
      <c r="H139" s="13" t="s">
        <v>18089</v>
      </c>
    </row>
    <row r="140" customFormat="false" ht="15" hidden="false" customHeight="false" outlineLevel="0" collapsed="false">
      <c r="A140" s="5" t="s">
        <v>1312</v>
      </c>
      <c r="B140" s="5" t="s">
        <v>1307</v>
      </c>
      <c r="C140" s="5" t="s">
        <v>43</v>
      </c>
      <c r="D140" s="5" t="s">
        <v>18090</v>
      </c>
      <c r="E140" s="5" t="s">
        <v>154</v>
      </c>
      <c r="F140" s="5" t="n">
        <f aca="false">LEN(H140)</f>
        <v>774</v>
      </c>
      <c r="G140" s="5" t="n">
        <f aca="false">COUNTIF(Probe_Pairs!$R:$R,A140)</f>
        <v>6</v>
      </c>
      <c r="H140" s="13" t="s">
        <v>18091</v>
      </c>
    </row>
    <row r="141" customFormat="false" ht="15" hidden="false" customHeight="false" outlineLevel="0" collapsed="false">
      <c r="A141" s="5" t="s">
        <v>1346</v>
      </c>
      <c r="B141" s="5" t="s">
        <v>1342</v>
      </c>
      <c r="C141" s="5" t="s">
        <v>43</v>
      </c>
      <c r="D141" s="5" t="s">
        <v>18092</v>
      </c>
      <c r="E141" s="5" t="s">
        <v>154</v>
      </c>
      <c r="F141" s="5" t="n">
        <f aca="false">LEN(H141)</f>
        <v>1092</v>
      </c>
      <c r="G141" s="5" t="n">
        <f aca="false">COUNTIF(Probe_Pairs!$R:$R,A141)</f>
        <v>6</v>
      </c>
      <c r="H141" s="13" t="s">
        <v>18093</v>
      </c>
    </row>
    <row r="142" customFormat="false" ht="15" hidden="false" customHeight="false" outlineLevel="0" collapsed="false">
      <c r="A142" s="5" t="s">
        <v>1337</v>
      </c>
      <c r="B142" s="5" t="s">
        <v>1334</v>
      </c>
      <c r="C142" s="5" t="s">
        <v>43</v>
      </c>
      <c r="D142" s="5" t="s">
        <v>18094</v>
      </c>
      <c r="E142" s="5" t="s">
        <v>154</v>
      </c>
      <c r="F142" s="5" t="n">
        <f aca="false">LEN(H142)</f>
        <v>1692</v>
      </c>
      <c r="G142" s="5" t="n">
        <f aca="false">COUNTIF(Probe_Pairs!$R:$R,A142)</f>
        <v>5</v>
      </c>
      <c r="H142" s="13" t="s">
        <v>18095</v>
      </c>
    </row>
    <row r="143" customFormat="false" ht="15" hidden="false" customHeight="false" outlineLevel="0" collapsed="false">
      <c r="A143" s="5" t="s">
        <v>1233</v>
      </c>
      <c r="B143" s="5" t="s">
        <v>1229</v>
      </c>
      <c r="C143" s="5" t="s">
        <v>43</v>
      </c>
      <c r="D143" s="5" t="s">
        <v>18096</v>
      </c>
      <c r="E143" s="5" t="s">
        <v>154</v>
      </c>
      <c r="F143" s="5" t="n">
        <f aca="false">LEN(H143)</f>
        <v>3438</v>
      </c>
      <c r="G143" s="5" t="n">
        <f aca="false">COUNTIF(Probe_Pairs!$R:$R,A143)</f>
        <v>9</v>
      </c>
      <c r="H143" s="13" t="s">
        <v>18097</v>
      </c>
    </row>
    <row r="144" customFormat="false" ht="15" hidden="false" customHeight="false" outlineLevel="0" collapsed="false">
      <c r="A144" s="5" t="s">
        <v>18098</v>
      </c>
      <c r="B144" s="5" t="s">
        <v>772</v>
      </c>
      <c r="C144" s="5" t="s">
        <v>43</v>
      </c>
      <c r="D144" s="5" t="s">
        <v>18099</v>
      </c>
      <c r="E144" s="5" t="s">
        <v>154</v>
      </c>
      <c r="F144" s="5" t="n">
        <f aca="false">LEN(H144)</f>
        <v>885</v>
      </c>
      <c r="G144" s="5" t="n">
        <f aca="false">COUNTIF(Probe_Pairs!$R:$R,A144)</f>
        <v>0</v>
      </c>
      <c r="H144" s="13" t="s">
        <v>18100</v>
      </c>
    </row>
    <row r="145" customFormat="false" ht="15" hidden="false" customHeight="false" outlineLevel="0" collapsed="false">
      <c r="A145" s="5" t="s">
        <v>1369</v>
      </c>
      <c r="B145" s="5" t="s">
        <v>1364</v>
      </c>
      <c r="C145" s="5" t="s">
        <v>43</v>
      </c>
      <c r="D145" s="5" t="s">
        <v>18101</v>
      </c>
      <c r="E145" s="5" t="s">
        <v>154</v>
      </c>
      <c r="F145" s="5" t="n">
        <f aca="false">LEN(H145)</f>
        <v>1062</v>
      </c>
      <c r="G145" s="5" t="n">
        <f aca="false">COUNTIF(Probe_Pairs!$R:$R,A145)</f>
        <v>6</v>
      </c>
      <c r="H145" s="13" t="s">
        <v>18102</v>
      </c>
    </row>
    <row r="146" customFormat="false" ht="15" hidden="false" customHeight="false" outlineLevel="0" collapsed="false">
      <c r="A146" s="5" t="s">
        <v>1359</v>
      </c>
      <c r="B146" s="5" t="s">
        <v>1355</v>
      </c>
      <c r="C146" s="5" t="s">
        <v>43</v>
      </c>
      <c r="D146" s="5" t="s">
        <v>18103</v>
      </c>
      <c r="E146" s="5" t="s">
        <v>154</v>
      </c>
      <c r="F146" s="5" t="n">
        <f aca="false">LEN(H146)</f>
        <v>2034</v>
      </c>
      <c r="G146" s="5" t="n">
        <f aca="false">COUNTIF(Probe_Pairs!$R:$R,A146)</f>
        <v>6</v>
      </c>
      <c r="H146" s="13" t="s">
        <v>18104</v>
      </c>
    </row>
    <row r="147" customFormat="false" ht="15" hidden="false" customHeight="false" outlineLevel="0" collapsed="false">
      <c r="A147" s="5" t="s">
        <v>1321</v>
      </c>
      <c r="B147" s="5" t="s">
        <v>1317</v>
      </c>
      <c r="C147" s="5" t="s">
        <v>43</v>
      </c>
      <c r="D147" s="5" t="s">
        <v>18105</v>
      </c>
      <c r="E147" s="5" t="s">
        <v>154</v>
      </c>
      <c r="F147" s="5" t="n">
        <f aca="false">LEN(H147)</f>
        <v>1239</v>
      </c>
      <c r="G147" s="5" t="n">
        <f aca="false">COUNTIF(Probe_Pairs!$R:$R,A147)</f>
        <v>6</v>
      </c>
      <c r="H147" s="13" t="s">
        <v>18106</v>
      </c>
    </row>
    <row r="148" customFormat="false" ht="15" hidden="false" customHeight="false" outlineLevel="0" collapsed="false">
      <c r="A148" s="5" t="s">
        <v>1303</v>
      </c>
      <c r="B148" s="5" t="s">
        <v>1296</v>
      </c>
      <c r="C148" s="5" t="s">
        <v>43</v>
      </c>
      <c r="D148" s="5" t="s">
        <v>18107</v>
      </c>
      <c r="E148" s="5" t="s">
        <v>154</v>
      </c>
      <c r="F148" s="5" t="n">
        <f aca="false">LEN(H148)</f>
        <v>948</v>
      </c>
      <c r="G148" s="5" t="n">
        <f aca="false">COUNTIF(Probe_Pairs!$R:$R,A148)</f>
        <v>6</v>
      </c>
      <c r="H148" s="13" t="s">
        <v>18108</v>
      </c>
    </row>
    <row r="149" customFormat="false" ht="15" hidden="false" customHeight="false" outlineLevel="0" collapsed="false">
      <c r="A149" s="5" t="s">
        <v>1328</v>
      </c>
      <c r="B149" s="5" t="s">
        <v>1324</v>
      </c>
      <c r="C149" s="5" t="s">
        <v>43</v>
      </c>
      <c r="D149" s="5" t="s">
        <v>18109</v>
      </c>
      <c r="E149" s="5" t="s">
        <v>154</v>
      </c>
      <c r="F149" s="5" t="n">
        <f aca="false">LEN(H149)</f>
        <v>840</v>
      </c>
      <c r="G149" s="5" t="n">
        <f aca="false">COUNTIF(Probe_Pairs!$R:$R,A149)</f>
        <v>6</v>
      </c>
      <c r="H149" s="13" t="s">
        <v>18110</v>
      </c>
    </row>
    <row r="150" customFormat="false" ht="15" hidden="false" customHeight="false" outlineLevel="0" collapsed="false">
      <c r="A150" s="5" t="s">
        <v>1376</v>
      </c>
      <c r="B150" s="5" t="s">
        <v>1372</v>
      </c>
      <c r="C150" s="5" t="s">
        <v>43</v>
      </c>
      <c r="D150" s="5" t="s">
        <v>18111</v>
      </c>
      <c r="E150" s="5" t="s">
        <v>154</v>
      </c>
      <c r="F150" s="5" t="n">
        <f aca="false">LEN(H150)</f>
        <v>2487</v>
      </c>
      <c r="G150" s="5" t="n">
        <f aca="false">COUNTIF(Probe_Pairs!$R:$R,A150)</f>
        <v>6</v>
      </c>
      <c r="H150" s="13" t="s">
        <v>18112</v>
      </c>
    </row>
    <row r="151" customFormat="false" ht="15" hidden="false" customHeight="false" outlineLevel="0" collapsed="false">
      <c r="A151" s="5" t="s">
        <v>1072</v>
      </c>
      <c r="B151" s="5" t="s">
        <v>1068</v>
      </c>
      <c r="C151" s="5" t="s">
        <v>43</v>
      </c>
      <c r="D151" s="5" t="s">
        <v>18113</v>
      </c>
      <c r="E151" s="5" t="s">
        <v>154</v>
      </c>
      <c r="F151" s="5" t="n">
        <f aca="false">LEN(H151)</f>
        <v>3819</v>
      </c>
      <c r="G151" s="5" t="n">
        <f aca="false">COUNTIF(Probe_Pairs!$R:$R,A151)</f>
        <v>21</v>
      </c>
      <c r="H151" s="13" t="s">
        <v>18114</v>
      </c>
    </row>
    <row r="152" customFormat="false" ht="15" hidden="false" customHeight="false" outlineLevel="0" collapsed="false">
      <c r="A152" s="5" t="s">
        <v>493</v>
      </c>
      <c r="B152" s="5" t="s">
        <v>490</v>
      </c>
      <c r="C152" s="5" t="s">
        <v>43</v>
      </c>
      <c r="D152" s="5" t="s">
        <v>18115</v>
      </c>
      <c r="E152" s="5" t="s">
        <v>154</v>
      </c>
      <c r="F152" s="5" t="n">
        <f aca="false">LEN(H152)</f>
        <v>1866</v>
      </c>
      <c r="G152" s="5" t="n">
        <f aca="false">COUNTIF(Probe_Pairs!$R:$R,A152)</f>
        <v>8</v>
      </c>
      <c r="H152" s="13" t="s">
        <v>18116</v>
      </c>
    </row>
    <row r="153" customFormat="false" ht="15" hidden="false" customHeight="false" outlineLevel="0" collapsed="false">
      <c r="A153" s="5" t="s">
        <v>885</v>
      </c>
      <c r="B153" s="5" t="s">
        <v>881</v>
      </c>
      <c r="C153" s="5" t="s">
        <v>43</v>
      </c>
      <c r="D153" s="5" t="s">
        <v>18117</v>
      </c>
      <c r="E153" s="5" t="s">
        <v>154</v>
      </c>
      <c r="F153" s="5" t="n">
        <f aca="false">LEN(H153)</f>
        <v>1311</v>
      </c>
      <c r="G153" s="5" t="n">
        <f aca="false">COUNTIF(Probe_Pairs!$R:$R,A153)</f>
        <v>10</v>
      </c>
      <c r="H153" s="13" t="s">
        <v>18118</v>
      </c>
    </row>
    <row r="154" customFormat="false" ht="15" hidden="false" customHeight="false" outlineLevel="0" collapsed="false">
      <c r="A154" s="5" t="s">
        <v>1197</v>
      </c>
      <c r="B154" s="5" t="s">
        <v>1194</v>
      </c>
      <c r="C154" s="5" t="s">
        <v>43</v>
      </c>
      <c r="D154" s="5" t="s">
        <v>18119</v>
      </c>
      <c r="E154" s="5" t="s">
        <v>154</v>
      </c>
      <c r="F154" s="5" t="n">
        <f aca="false">LEN(H154)</f>
        <v>1185</v>
      </c>
      <c r="G154" s="5" t="n">
        <f aca="false">COUNTIF(Probe_Pairs!$R:$R,A154)</f>
        <v>8</v>
      </c>
      <c r="H154" s="13" t="s">
        <v>18120</v>
      </c>
    </row>
    <row r="155" customFormat="false" ht="15" hidden="false" customHeight="false" outlineLevel="0" collapsed="false">
      <c r="A155" s="5" t="s">
        <v>155</v>
      </c>
      <c r="B155" s="5" t="s">
        <v>150</v>
      </c>
      <c r="C155" s="5" t="s">
        <v>43</v>
      </c>
      <c r="D155" s="5" t="s">
        <v>18121</v>
      </c>
      <c r="E155" s="5" t="s">
        <v>154</v>
      </c>
      <c r="F155" s="5" t="n">
        <f aca="false">LEN(H155)</f>
        <v>1401</v>
      </c>
      <c r="G155" s="5" t="n">
        <f aca="false">COUNTIF(Probe_Pairs!$R:$R,A155)</f>
        <v>8</v>
      </c>
      <c r="H155" s="13" t="s">
        <v>18122</v>
      </c>
    </row>
    <row r="156" customFormat="false" ht="15" hidden="false" customHeight="false" outlineLevel="0" collapsed="false">
      <c r="A156" s="5" t="s">
        <v>751</v>
      </c>
      <c r="B156" s="5" t="s">
        <v>748</v>
      </c>
      <c r="C156" s="5" t="s">
        <v>43</v>
      </c>
      <c r="D156" s="5" t="s">
        <v>18123</v>
      </c>
      <c r="E156" s="5" t="s">
        <v>154</v>
      </c>
      <c r="F156" s="5" t="n">
        <f aca="false">LEN(H156)</f>
        <v>1950</v>
      </c>
      <c r="G156" s="5" t="n">
        <f aca="false">COUNTIF(Probe_Pairs!$R:$R,A156)</f>
        <v>8</v>
      </c>
      <c r="H156" s="13" t="s">
        <v>18124</v>
      </c>
    </row>
    <row r="157" customFormat="false" ht="15" hidden="false" customHeight="false" outlineLevel="0" collapsed="false">
      <c r="A157" s="5" t="s">
        <v>1210</v>
      </c>
      <c r="B157" s="5" t="s">
        <v>1207</v>
      </c>
      <c r="C157" s="5" t="s">
        <v>43</v>
      </c>
      <c r="D157" s="5" t="s">
        <v>18125</v>
      </c>
      <c r="E157" s="5" t="s">
        <v>154</v>
      </c>
      <c r="F157" s="5" t="n">
        <f aca="false">LEN(H157)</f>
        <v>9420</v>
      </c>
      <c r="G157" s="5" t="n">
        <f aca="false">COUNTIF(Probe_Pairs!$R:$R,A157)</f>
        <v>8</v>
      </c>
      <c r="H157" s="13" t="s">
        <v>18126</v>
      </c>
    </row>
    <row r="158" customFormat="false" ht="15" hidden="false" customHeight="false" outlineLevel="0" collapsed="false">
      <c r="A158" s="5" t="s">
        <v>660</v>
      </c>
      <c r="B158" s="5" t="s">
        <v>655</v>
      </c>
      <c r="C158" s="5" t="s">
        <v>43</v>
      </c>
      <c r="D158" s="5" t="s">
        <v>18127</v>
      </c>
      <c r="E158" s="5" t="s">
        <v>154</v>
      </c>
      <c r="F158" s="5" t="n">
        <f aca="false">LEN(H158)</f>
        <v>1191</v>
      </c>
      <c r="G158" s="5" t="n">
        <f aca="false">COUNTIF(Probe_Pairs!$R:$R,A158)</f>
        <v>6</v>
      </c>
      <c r="H158" s="13" t="s">
        <v>18128</v>
      </c>
    </row>
    <row r="159" customFormat="false" ht="15" hidden="false" customHeight="false" outlineLevel="0" collapsed="false">
      <c r="A159" s="5" t="s">
        <v>604</v>
      </c>
      <c r="B159" s="5" t="s">
        <v>600</v>
      </c>
      <c r="C159" s="5" t="s">
        <v>43</v>
      </c>
      <c r="D159" s="5" t="s">
        <v>18129</v>
      </c>
      <c r="E159" s="5" t="s">
        <v>154</v>
      </c>
      <c r="F159" s="5" t="n">
        <f aca="false">LEN(H159)</f>
        <v>1146</v>
      </c>
      <c r="G159" s="5" t="n">
        <f aca="false">COUNTIF(Probe_Pairs!$R:$R,A159)</f>
        <v>6</v>
      </c>
      <c r="H159" s="13" t="s">
        <v>18130</v>
      </c>
    </row>
    <row r="160" customFormat="false" ht="15" hidden="false" customHeight="false" outlineLevel="0" collapsed="false">
      <c r="A160" s="5" t="s">
        <v>430</v>
      </c>
      <c r="B160" s="5" t="s">
        <v>425</v>
      </c>
      <c r="C160" s="5" t="s">
        <v>43</v>
      </c>
      <c r="D160" s="5" t="s">
        <v>18131</v>
      </c>
      <c r="E160" s="5" t="s">
        <v>154</v>
      </c>
      <c r="F160" s="5" t="n">
        <f aca="false">LEN(H160)</f>
        <v>1029</v>
      </c>
      <c r="G160" s="5" t="n">
        <f aca="false">COUNTIF(Probe_Pairs!$R:$R,A160)</f>
        <v>5</v>
      </c>
      <c r="H160" s="13" t="s">
        <v>18132</v>
      </c>
    </row>
    <row r="161" customFormat="false" ht="15" hidden="false" customHeight="false" outlineLevel="0" collapsed="false">
      <c r="A161" s="5" t="s">
        <v>420</v>
      </c>
      <c r="B161" s="5" t="s">
        <v>415</v>
      </c>
      <c r="C161" s="5" t="s">
        <v>43</v>
      </c>
      <c r="D161" s="5" t="s">
        <v>18133</v>
      </c>
      <c r="E161" s="5" t="s">
        <v>154</v>
      </c>
      <c r="F161" s="5" t="n">
        <f aca="false">LEN(H161)</f>
        <v>948</v>
      </c>
      <c r="G161" s="5" t="n">
        <f aca="false">COUNTIF(Probe_Pairs!$R:$R,A161)</f>
        <v>5</v>
      </c>
      <c r="H161" s="13" t="s">
        <v>18134</v>
      </c>
    </row>
    <row r="162" customFormat="false" ht="15" hidden="false" customHeight="false" outlineLevel="0" collapsed="false">
      <c r="A162" s="5" t="s">
        <v>929</v>
      </c>
      <c r="B162" s="5" t="s">
        <v>925</v>
      </c>
      <c r="C162" s="5" t="s">
        <v>43</v>
      </c>
      <c r="D162" s="5" t="s">
        <v>18135</v>
      </c>
      <c r="E162" s="5" t="s">
        <v>154</v>
      </c>
      <c r="F162" s="5" t="n">
        <f aca="false">LEN(H162)</f>
        <v>1044</v>
      </c>
      <c r="G162" s="5" t="n">
        <f aca="false">COUNTIF(Probe_Pairs!$R:$R,A162)</f>
        <v>5</v>
      </c>
      <c r="H162" s="13" t="s">
        <v>18136</v>
      </c>
    </row>
    <row r="163" customFormat="false" ht="15" hidden="false" customHeight="false" outlineLevel="0" collapsed="false">
      <c r="A163" s="5" t="s">
        <v>511</v>
      </c>
      <c r="B163" s="5" t="s">
        <v>506</v>
      </c>
      <c r="C163" s="5" t="s">
        <v>43</v>
      </c>
      <c r="D163" s="5" t="s">
        <v>18137</v>
      </c>
      <c r="E163" s="5" t="s">
        <v>154</v>
      </c>
      <c r="F163" s="5" t="n">
        <f aca="false">LEN(H163)</f>
        <v>2574</v>
      </c>
      <c r="G163" s="5" t="n">
        <f aca="false">COUNTIF(Probe_Pairs!$R:$R,A163)</f>
        <v>30</v>
      </c>
      <c r="H163" s="13" t="s">
        <v>18138</v>
      </c>
    </row>
    <row r="164" customFormat="false" ht="15" hidden="false" customHeight="false" outlineLevel="0" collapsed="false">
      <c r="A164" s="5" t="s">
        <v>337</v>
      </c>
      <c r="B164" s="5" t="s">
        <v>333</v>
      </c>
      <c r="C164" s="5" t="s">
        <v>43</v>
      </c>
      <c r="D164" s="5" t="s">
        <v>18139</v>
      </c>
      <c r="E164" s="5" t="s">
        <v>154</v>
      </c>
      <c r="F164" s="5" t="n">
        <f aca="false">LEN(H164)</f>
        <v>771</v>
      </c>
      <c r="G164" s="5" t="n">
        <f aca="false">COUNTIF(Probe_Pairs!$R:$R,A164)</f>
        <v>10</v>
      </c>
      <c r="H164" s="13" t="s">
        <v>18140</v>
      </c>
    </row>
    <row r="165" customFormat="false" ht="15" hidden="false" customHeight="false" outlineLevel="0" collapsed="false">
      <c r="A165" s="5" t="s">
        <v>18141</v>
      </c>
      <c r="B165" s="5" t="s">
        <v>18142</v>
      </c>
      <c r="C165" s="5" t="s">
        <v>43</v>
      </c>
      <c r="D165" s="5" t="s">
        <v>18143</v>
      </c>
      <c r="E165" s="5" t="s">
        <v>18144</v>
      </c>
      <c r="F165" s="5" t="n">
        <f aca="false">LEN(H165)</f>
        <v>4839</v>
      </c>
      <c r="G165" s="5" t="n">
        <f aca="false">COUNTIF(Probe_Pairs!$R:$R,A165)</f>
        <v>0</v>
      </c>
      <c r="H165" s="13" t="s">
        <v>18145</v>
      </c>
    </row>
    <row r="166" customFormat="false" ht="15" hidden="false" customHeight="false" outlineLevel="0" collapsed="false">
      <c r="A166" s="5" t="s">
        <v>18146</v>
      </c>
      <c r="B166" s="5" t="s">
        <v>18147</v>
      </c>
      <c r="C166" s="5" t="s">
        <v>43</v>
      </c>
      <c r="D166" s="5" t="s">
        <v>18148</v>
      </c>
      <c r="E166" s="5" t="s">
        <v>18144</v>
      </c>
      <c r="F166" s="5" t="n">
        <f aca="false">LEN(H166)</f>
        <v>1476</v>
      </c>
      <c r="G166" s="5" t="n">
        <f aca="false">COUNTIF(Probe_Pairs!$R:$R,A166)</f>
        <v>0</v>
      </c>
      <c r="H166" s="13" t="s">
        <v>18149</v>
      </c>
    </row>
    <row r="167" customFormat="false" ht="15" hidden="false" customHeight="false" outlineLevel="0" collapsed="false">
      <c r="A167" s="5" t="s">
        <v>18150</v>
      </c>
      <c r="B167" s="5" t="s">
        <v>18151</v>
      </c>
      <c r="C167" s="5" t="s">
        <v>43</v>
      </c>
      <c r="D167" s="5" t="s">
        <v>18152</v>
      </c>
      <c r="E167" s="5" t="s">
        <v>18144</v>
      </c>
      <c r="F167" s="5" t="n">
        <f aca="false">LEN(H167)</f>
        <v>1290</v>
      </c>
      <c r="G167" s="5" t="n">
        <f aca="false">COUNTIF(Probe_Pairs!$R:$R,A167)</f>
        <v>0</v>
      </c>
      <c r="H167" s="13" t="s">
        <v>18153</v>
      </c>
    </row>
    <row r="168" customFormat="false" ht="15" hidden="false" customHeight="false" outlineLevel="0" collapsed="false">
      <c r="A168" s="5" t="s">
        <v>1440</v>
      </c>
      <c r="B168" s="5" t="s">
        <v>1435</v>
      </c>
      <c r="C168" s="5" t="s">
        <v>1394</v>
      </c>
      <c r="D168" s="5" t="s">
        <v>18154</v>
      </c>
      <c r="E168" s="5" t="s">
        <v>1398</v>
      </c>
      <c r="F168" s="5" t="n">
        <f aca="false">LEN(H168)</f>
        <v>1641</v>
      </c>
      <c r="G168" s="5" t="n">
        <f aca="false">COUNTIF(Probe_Pairs!$R:$R,A168)</f>
        <v>8</v>
      </c>
      <c r="H168" s="13" t="s">
        <v>18155</v>
      </c>
    </row>
    <row r="169" customFormat="false" ht="15" hidden="false" customHeight="false" outlineLevel="0" collapsed="false">
      <c r="A169" s="5" t="s">
        <v>1425</v>
      </c>
      <c r="B169" s="5" t="s">
        <v>1420</v>
      </c>
      <c r="C169" s="5" t="s">
        <v>1394</v>
      </c>
      <c r="D169" s="5" t="s">
        <v>18156</v>
      </c>
      <c r="E169" s="5" t="s">
        <v>1398</v>
      </c>
      <c r="F169" s="5" t="n">
        <f aca="false">LEN(H169)</f>
        <v>1752</v>
      </c>
      <c r="G169" s="5" t="n">
        <f aca="false">COUNTIF(Probe_Pairs!$R:$R,A169)</f>
        <v>8</v>
      </c>
      <c r="H169" s="13" t="s">
        <v>18157</v>
      </c>
    </row>
    <row r="170" customFormat="false" ht="15" hidden="false" customHeight="false" outlineLevel="0" collapsed="false">
      <c r="A170" s="5" t="s">
        <v>1433</v>
      </c>
      <c r="B170" s="5" t="s">
        <v>1427</v>
      </c>
      <c r="C170" s="5" t="s">
        <v>1394</v>
      </c>
      <c r="D170" s="5" t="s">
        <v>18158</v>
      </c>
      <c r="E170" s="5" t="s">
        <v>1398</v>
      </c>
      <c r="F170" s="5" t="n">
        <f aca="false">LEN(H170)</f>
        <v>465</v>
      </c>
      <c r="G170" s="5" t="n">
        <f aca="false">COUNTIF(Probe_Pairs!$R:$R,A170)</f>
        <v>12</v>
      </c>
      <c r="H170" s="13" t="s">
        <v>18159</v>
      </c>
    </row>
    <row r="171" customFormat="false" ht="15" hidden="false" customHeight="false" outlineLevel="0" collapsed="false">
      <c r="A171" s="5" t="s">
        <v>1453</v>
      </c>
      <c r="B171" s="5" t="s">
        <v>1449</v>
      </c>
      <c r="C171" s="5" t="s">
        <v>1394</v>
      </c>
      <c r="D171" s="5" t="s">
        <v>18160</v>
      </c>
      <c r="E171" s="5" t="s">
        <v>1398</v>
      </c>
      <c r="F171" s="5" t="n">
        <f aca="false">LEN(H171)</f>
        <v>1788</v>
      </c>
      <c r="G171" s="5" t="n">
        <f aca="false">COUNTIF(Probe_Pairs!$R:$R,A171)</f>
        <v>8</v>
      </c>
      <c r="H171" s="13" t="s">
        <v>18161</v>
      </c>
    </row>
    <row r="172" customFormat="false" ht="15" hidden="false" customHeight="false" outlineLevel="0" collapsed="false">
      <c r="A172" s="5" t="s">
        <v>1491</v>
      </c>
      <c r="B172" s="5" t="s">
        <v>1489</v>
      </c>
      <c r="C172" s="5" t="s">
        <v>1394</v>
      </c>
      <c r="D172" s="5" t="s">
        <v>18162</v>
      </c>
      <c r="E172" s="5" t="s">
        <v>1398</v>
      </c>
      <c r="F172" s="5" t="n">
        <f aca="false">LEN(H172)</f>
        <v>1053</v>
      </c>
      <c r="G172" s="5" t="n">
        <f aca="false">COUNTIF(Probe_Pairs!$R:$R,A172)</f>
        <v>8</v>
      </c>
      <c r="H172" s="13" t="s">
        <v>18163</v>
      </c>
    </row>
    <row r="173" customFormat="false" ht="15" hidden="false" customHeight="false" outlineLevel="0" collapsed="false">
      <c r="A173" s="5" t="s">
        <v>1480</v>
      </c>
      <c r="B173" s="5" t="s">
        <v>1475</v>
      </c>
      <c r="C173" s="5" t="s">
        <v>1394</v>
      </c>
      <c r="D173" s="5" t="s">
        <v>18164</v>
      </c>
      <c r="E173" s="5" t="s">
        <v>1398</v>
      </c>
      <c r="F173" s="5" t="n">
        <f aca="false">LEN(H173)</f>
        <v>867</v>
      </c>
      <c r="G173" s="5" t="n">
        <f aca="false">COUNTIF(Probe_Pairs!$R:$R,A173)</f>
        <v>8</v>
      </c>
      <c r="H173" s="13" t="s">
        <v>18165</v>
      </c>
    </row>
    <row r="174" customFormat="false" ht="15" hidden="false" customHeight="false" outlineLevel="0" collapsed="false">
      <c r="A174" s="5" t="s">
        <v>1487</v>
      </c>
      <c r="B174" s="5" t="s">
        <v>1482</v>
      </c>
      <c r="C174" s="5" t="s">
        <v>1394</v>
      </c>
      <c r="D174" s="5" t="s">
        <v>18166</v>
      </c>
      <c r="E174" s="5" t="s">
        <v>1398</v>
      </c>
      <c r="F174" s="5" t="n">
        <f aca="false">LEN(H174)</f>
        <v>816</v>
      </c>
      <c r="G174" s="5" t="n">
        <f aca="false">COUNTIF(Probe_Pairs!$R:$R,A174)</f>
        <v>16</v>
      </c>
      <c r="H174" s="13" t="s">
        <v>18167</v>
      </c>
    </row>
    <row r="175" customFormat="false" ht="15" hidden="false" customHeight="false" outlineLevel="0" collapsed="false">
      <c r="A175" s="5" t="s">
        <v>1529</v>
      </c>
      <c r="B175" s="5" t="s">
        <v>1525</v>
      </c>
      <c r="C175" s="5" t="s">
        <v>1394</v>
      </c>
      <c r="D175" s="5" t="s">
        <v>18168</v>
      </c>
      <c r="E175" s="5" t="s">
        <v>1398</v>
      </c>
      <c r="F175" s="5" t="n">
        <f aca="false">LEN(H175)</f>
        <v>2760</v>
      </c>
      <c r="G175" s="5" t="n">
        <f aca="false">COUNTIF(Probe_Pairs!$R:$R,A175)</f>
        <v>8</v>
      </c>
      <c r="H175" s="13" t="s">
        <v>18169</v>
      </c>
    </row>
    <row r="176" customFormat="false" ht="15" hidden="false" customHeight="false" outlineLevel="0" collapsed="false">
      <c r="A176" s="5" t="s">
        <v>1405</v>
      </c>
      <c r="B176" s="5" t="s">
        <v>1401</v>
      </c>
      <c r="C176" s="5" t="s">
        <v>1394</v>
      </c>
      <c r="D176" s="5" t="s">
        <v>18170</v>
      </c>
      <c r="E176" s="5" t="s">
        <v>1398</v>
      </c>
      <c r="F176" s="5" t="n">
        <f aca="false">LEN(H176)</f>
        <v>2358</v>
      </c>
      <c r="G176" s="5" t="n">
        <f aca="false">COUNTIF(Probe_Pairs!$R:$R,A176)</f>
        <v>8</v>
      </c>
      <c r="H176" s="13" t="s">
        <v>18171</v>
      </c>
    </row>
    <row r="177" customFormat="false" ht="15" hidden="false" customHeight="false" outlineLevel="0" collapsed="false">
      <c r="A177" s="5" t="s">
        <v>1459</v>
      </c>
      <c r="B177" s="5" t="s">
        <v>1455</v>
      </c>
      <c r="C177" s="5" t="s">
        <v>1394</v>
      </c>
      <c r="D177" s="5" t="s">
        <v>18172</v>
      </c>
      <c r="E177" s="5" t="s">
        <v>1398</v>
      </c>
      <c r="F177" s="5" t="n">
        <f aca="false">LEN(H177)</f>
        <v>1527</v>
      </c>
      <c r="G177" s="5" t="n">
        <f aca="false">COUNTIF(Probe_Pairs!$R:$R,A177)</f>
        <v>8</v>
      </c>
      <c r="H177" s="13" t="s">
        <v>18173</v>
      </c>
    </row>
    <row r="178" customFormat="false" ht="15" hidden="false" customHeight="false" outlineLevel="0" collapsed="false">
      <c r="A178" s="5" t="s">
        <v>1411</v>
      </c>
      <c r="B178" s="5" t="s">
        <v>1407</v>
      </c>
      <c r="C178" s="5" t="s">
        <v>1394</v>
      </c>
      <c r="D178" s="5" t="s">
        <v>18174</v>
      </c>
      <c r="E178" s="5" t="s">
        <v>1398</v>
      </c>
      <c r="F178" s="5" t="n">
        <f aca="false">LEN(H178)</f>
        <v>1320</v>
      </c>
      <c r="G178" s="5" t="n">
        <f aca="false">COUNTIF(Probe_Pairs!$R:$R,A178)</f>
        <v>8</v>
      </c>
      <c r="H178" s="13" t="s">
        <v>18175</v>
      </c>
    </row>
    <row r="179" customFormat="false" ht="15" hidden="false" customHeight="false" outlineLevel="0" collapsed="false">
      <c r="A179" s="5" t="s">
        <v>1466</v>
      </c>
      <c r="B179" s="5" t="s">
        <v>1461</v>
      </c>
      <c r="C179" s="5" t="s">
        <v>1394</v>
      </c>
      <c r="D179" s="5" t="s">
        <v>18176</v>
      </c>
      <c r="E179" s="5" t="s">
        <v>1398</v>
      </c>
      <c r="F179" s="5" t="n">
        <f aca="false">LEN(H179)</f>
        <v>1578</v>
      </c>
      <c r="G179" s="5" t="n">
        <f aca="false">COUNTIF(Probe_Pairs!$R:$R,A179)</f>
        <v>8</v>
      </c>
      <c r="H179" s="13" t="s">
        <v>18177</v>
      </c>
    </row>
    <row r="180" customFormat="false" ht="15" hidden="false" customHeight="false" outlineLevel="0" collapsed="false">
      <c r="A180" s="5" t="s">
        <v>1505</v>
      </c>
      <c r="B180" s="5" t="s">
        <v>1500</v>
      </c>
      <c r="C180" s="5" t="s">
        <v>1394</v>
      </c>
      <c r="D180" s="5" t="s">
        <v>18178</v>
      </c>
      <c r="E180" s="5" t="s">
        <v>1398</v>
      </c>
      <c r="F180" s="5" t="n">
        <f aca="false">LEN(H180)</f>
        <v>1149</v>
      </c>
      <c r="G180" s="5" t="n">
        <f aca="false">COUNTIF(Probe_Pairs!$R:$R,A180)</f>
        <v>22</v>
      </c>
      <c r="H180" s="13" t="s">
        <v>18179</v>
      </c>
    </row>
    <row r="181" customFormat="false" ht="15" hidden="false" customHeight="false" outlineLevel="0" collapsed="false">
      <c r="A181" s="5" t="s">
        <v>1498</v>
      </c>
      <c r="B181" s="5" t="s">
        <v>1493</v>
      </c>
      <c r="C181" s="5" t="s">
        <v>1394</v>
      </c>
      <c r="D181" s="5" t="s">
        <v>18180</v>
      </c>
      <c r="E181" s="5" t="s">
        <v>1398</v>
      </c>
      <c r="F181" s="5" t="n">
        <f aca="false">LEN(H181)</f>
        <v>1167</v>
      </c>
      <c r="G181" s="5" t="n">
        <f aca="false">COUNTIF(Probe_Pairs!$R:$R,A181)</f>
        <v>22</v>
      </c>
      <c r="H181" s="13" t="s">
        <v>18181</v>
      </c>
    </row>
    <row r="182" customFormat="false" ht="15" hidden="false" customHeight="false" outlineLevel="0" collapsed="false">
      <c r="A182" s="5" t="s">
        <v>1516</v>
      </c>
      <c r="B182" s="5" t="s">
        <v>1513</v>
      </c>
      <c r="C182" s="5" t="s">
        <v>1394</v>
      </c>
      <c r="D182" s="5" t="s">
        <v>18182</v>
      </c>
      <c r="E182" s="5" t="s">
        <v>1398</v>
      </c>
      <c r="F182" s="5" t="n">
        <f aca="false">LEN(H182)</f>
        <v>1908</v>
      </c>
      <c r="G182" s="5" t="n">
        <f aca="false">COUNTIF(Probe_Pairs!$R:$R,A182)</f>
        <v>8</v>
      </c>
      <c r="H182" s="13" t="s">
        <v>18183</v>
      </c>
    </row>
    <row r="183" customFormat="false" ht="15" hidden="false" customHeight="false" outlineLevel="0" collapsed="false">
      <c r="A183" s="5" t="s">
        <v>1534</v>
      </c>
      <c r="B183" s="5" t="s">
        <v>1531</v>
      </c>
      <c r="C183" s="5" t="s">
        <v>1394</v>
      </c>
      <c r="D183" s="5" t="s">
        <v>18184</v>
      </c>
      <c r="E183" s="5" t="s">
        <v>1398</v>
      </c>
      <c r="F183" s="5" t="n">
        <f aca="false">LEN(H183)</f>
        <v>468</v>
      </c>
      <c r="G183" s="5" t="n">
        <f aca="false">COUNTIF(Probe_Pairs!$R:$R,A183)</f>
        <v>6</v>
      </c>
      <c r="H183" s="13" t="s">
        <v>18185</v>
      </c>
    </row>
    <row r="184" customFormat="false" ht="15" hidden="false" customHeight="false" outlineLevel="0" collapsed="false">
      <c r="A184" s="5" t="s">
        <v>1542</v>
      </c>
      <c r="B184" s="5" t="s">
        <v>1537</v>
      </c>
      <c r="C184" s="5" t="s">
        <v>1394</v>
      </c>
      <c r="D184" s="5" t="s">
        <v>18186</v>
      </c>
      <c r="E184" s="5" t="s">
        <v>1398</v>
      </c>
      <c r="F184" s="5" t="n">
        <f aca="false">LEN(H184)</f>
        <v>2568</v>
      </c>
      <c r="G184" s="5" t="n">
        <f aca="false">COUNTIF(Probe_Pairs!$R:$R,A184)</f>
        <v>8</v>
      </c>
      <c r="H184" s="13" t="s">
        <v>18187</v>
      </c>
    </row>
    <row r="185" customFormat="false" ht="15" hidden="false" customHeight="false" outlineLevel="0" collapsed="false">
      <c r="A185" s="5" t="s">
        <v>1418</v>
      </c>
      <c r="B185" s="5" t="s">
        <v>1413</v>
      </c>
      <c r="C185" s="5" t="s">
        <v>1394</v>
      </c>
      <c r="D185" s="5" t="s">
        <v>18188</v>
      </c>
      <c r="E185" s="5" t="s">
        <v>1398</v>
      </c>
      <c r="F185" s="5" t="n">
        <f aca="false">LEN(H185)</f>
        <v>1230</v>
      </c>
      <c r="G185" s="5" t="n">
        <f aca="false">COUNTIF(Probe_Pairs!$R:$R,A185)</f>
        <v>6</v>
      </c>
      <c r="H185" s="13" t="s">
        <v>18189</v>
      </c>
    </row>
    <row r="186" customFormat="false" ht="15" hidden="false" customHeight="false" outlineLevel="0" collapsed="false">
      <c r="A186" s="5" t="s">
        <v>1473</v>
      </c>
      <c r="B186" s="5" t="s">
        <v>1468</v>
      </c>
      <c r="C186" s="5" t="s">
        <v>1394</v>
      </c>
      <c r="D186" s="5" t="s">
        <v>18190</v>
      </c>
      <c r="E186" s="5" t="s">
        <v>1398</v>
      </c>
      <c r="F186" s="5" t="n">
        <f aca="false">LEN(H186)</f>
        <v>894</v>
      </c>
      <c r="G186" s="5" t="n">
        <f aca="false">COUNTIF(Probe_Pairs!$R:$R,A186)</f>
        <v>6</v>
      </c>
      <c r="H186" s="13" t="s">
        <v>18191</v>
      </c>
    </row>
    <row r="187" customFormat="false" ht="15" hidden="false" customHeight="false" outlineLevel="0" collapsed="false">
      <c r="A187" s="5" t="s">
        <v>1522</v>
      </c>
      <c r="B187" s="5" t="s">
        <v>1518</v>
      </c>
      <c r="C187" s="5" t="s">
        <v>1394</v>
      </c>
      <c r="D187" s="5" t="s">
        <v>18192</v>
      </c>
      <c r="E187" s="5" t="s">
        <v>1398</v>
      </c>
      <c r="F187" s="5" t="n">
        <f aca="false">LEN(H187)</f>
        <v>13029</v>
      </c>
      <c r="G187" s="5" t="n">
        <f aca="false">COUNTIF(Probe_Pairs!$R:$R,A187)</f>
        <v>6</v>
      </c>
      <c r="H187" s="13" t="s">
        <v>18193</v>
      </c>
    </row>
    <row r="188" customFormat="false" ht="15" hidden="false" customHeight="false" outlineLevel="0" collapsed="false">
      <c r="A188" s="5" t="s">
        <v>1399</v>
      </c>
      <c r="B188" s="5" t="s">
        <v>1392</v>
      </c>
      <c r="C188" s="5" t="s">
        <v>1394</v>
      </c>
      <c r="D188" s="5" t="s">
        <v>18194</v>
      </c>
      <c r="E188" s="5" t="s">
        <v>1398</v>
      </c>
      <c r="F188" s="5" t="n">
        <f aca="false">LEN(H188)</f>
        <v>810</v>
      </c>
      <c r="G188" s="5" t="n">
        <f aca="false">COUNTIF(Probe_Pairs!$R:$R,A188)</f>
        <v>6</v>
      </c>
      <c r="H188" s="13" t="s">
        <v>18195</v>
      </c>
    </row>
    <row r="189" customFormat="false" ht="15" hidden="false" customHeight="false" outlineLevel="0" collapsed="false">
      <c r="A189" s="5" t="s">
        <v>1447</v>
      </c>
      <c r="B189" s="5" t="s">
        <v>1442</v>
      </c>
      <c r="C189" s="5" t="s">
        <v>1394</v>
      </c>
      <c r="D189" s="5" t="s">
        <v>18196</v>
      </c>
      <c r="E189" s="5" t="s">
        <v>1398</v>
      </c>
      <c r="F189" s="5" t="n">
        <f aca="false">LEN(H189)</f>
        <v>816</v>
      </c>
      <c r="G189" s="5" t="n">
        <f aca="false">COUNTIF(Probe_Pairs!$R:$R,A189)</f>
        <v>6</v>
      </c>
      <c r="H189" s="13" t="s">
        <v>18197</v>
      </c>
    </row>
    <row r="190" customFormat="false" ht="15" hidden="false" customHeight="false" outlineLevel="0" collapsed="false">
      <c r="A190" s="5" t="s">
        <v>1511</v>
      </c>
      <c r="B190" s="5" t="s">
        <v>1507</v>
      </c>
      <c r="C190" s="5" t="s">
        <v>1394</v>
      </c>
      <c r="D190" s="5" t="s">
        <v>18198</v>
      </c>
      <c r="E190" s="5" t="s">
        <v>1398</v>
      </c>
      <c r="F190" s="5" t="n">
        <f aca="false">LEN(H190)</f>
        <v>783</v>
      </c>
      <c r="G190" s="5" t="n">
        <f aca="false">COUNTIF(Probe_Pairs!$R:$R,A190)</f>
        <v>6</v>
      </c>
      <c r="H190" s="13" t="s">
        <v>18199</v>
      </c>
    </row>
    <row r="191" customFormat="false" ht="15" hidden="false" customHeight="false" outlineLevel="0" collapsed="false">
      <c r="A191" s="5" t="s">
        <v>172</v>
      </c>
      <c r="B191" s="5" t="s">
        <v>168</v>
      </c>
      <c r="C191" s="5" t="s">
        <v>43</v>
      </c>
      <c r="D191" s="5" t="s">
        <v>18200</v>
      </c>
      <c r="E191" s="5" t="s">
        <v>18201</v>
      </c>
      <c r="F191" s="5" t="n">
        <f aca="false">LEN(H191)</f>
        <v>10008</v>
      </c>
      <c r="G191" s="5" t="n">
        <f aca="false">COUNTIF(Probe_Pairs!$R:$R,A191)</f>
        <v>10</v>
      </c>
      <c r="H191" s="13" t="s">
        <v>18202</v>
      </c>
    </row>
    <row r="192" customFormat="false" ht="15" hidden="false" customHeight="false" outlineLevel="0" collapsed="false">
      <c r="A192" s="5" t="s">
        <v>708</v>
      </c>
      <c r="B192" s="5" t="s">
        <v>705</v>
      </c>
      <c r="C192" s="5" t="s">
        <v>43</v>
      </c>
      <c r="D192" s="5" t="s">
        <v>18203</v>
      </c>
      <c r="E192" s="5" t="s">
        <v>18201</v>
      </c>
      <c r="F192" s="5" t="n">
        <f aca="false">LEN(H192)</f>
        <v>753</v>
      </c>
      <c r="G192" s="5" t="n">
        <f aca="false">COUNTIF(Probe_Pairs!$R:$R,A192)</f>
        <v>9</v>
      </c>
      <c r="H192" s="13" t="s">
        <v>18204</v>
      </c>
    </row>
    <row r="193" customFormat="false" ht="15" hidden="false" customHeight="false" outlineLevel="0" collapsed="false">
      <c r="A193" s="5" t="s">
        <v>1129</v>
      </c>
      <c r="B193" s="5" t="s">
        <v>1126</v>
      </c>
      <c r="C193" s="5" t="s">
        <v>43</v>
      </c>
      <c r="D193" s="5" t="s">
        <v>18205</v>
      </c>
      <c r="E193" s="5" t="s">
        <v>18201</v>
      </c>
      <c r="F193" s="5" t="n">
        <f aca="false">LEN(H193)</f>
        <v>816</v>
      </c>
      <c r="G193" s="5" t="n">
        <f aca="false">COUNTIF(Probe_Pairs!$R:$R,A193)</f>
        <v>10</v>
      </c>
      <c r="H193" s="13" t="s">
        <v>18206</v>
      </c>
    </row>
    <row r="194" customFormat="false" ht="15" hidden="false" customHeight="false" outlineLevel="0" collapsed="false">
      <c r="A194" s="5" t="s">
        <v>396</v>
      </c>
      <c r="B194" s="5" t="s">
        <v>391</v>
      </c>
      <c r="C194" s="5" t="s">
        <v>43</v>
      </c>
      <c r="D194" s="5" t="s">
        <v>18207</v>
      </c>
      <c r="E194" s="5" t="s">
        <v>18208</v>
      </c>
      <c r="F194" s="5" t="n">
        <f aca="false">LEN(H194)</f>
        <v>4953</v>
      </c>
      <c r="G194" s="5" t="n">
        <f aca="false">COUNTIF(Probe_Pairs!$R:$R,A194)</f>
        <v>10</v>
      </c>
      <c r="H194" s="13" t="s">
        <v>18209</v>
      </c>
    </row>
    <row r="195" customFormat="false" ht="15" hidden="false" customHeight="false" outlineLevel="0" collapsed="false">
      <c r="A195" s="5" t="s">
        <v>613</v>
      </c>
      <c r="B195" s="5" t="s">
        <v>610</v>
      </c>
      <c r="C195" s="5" t="s">
        <v>43</v>
      </c>
      <c r="D195" s="5" t="s">
        <v>18210</v>
      </c>
      <c r="E195" s="5" t="s">
        <v>18208</v>
      </c>
      <c r="F195" s="5" t="n">
        <f aca="false">LEN(H195)</f>
        <v>585</v>
      </c>
      <c r="G195" s="5" t="n">
        <f aca="false">COUNTIF(Probe_Pairs!$R:$R,A195)</f>
        <v>7</v>
      </c>
      <c r="H195" s="13" t="s">
        <v>18211</v>
      </c>
    </row>
    <row r="196" customFormat="false" ht="15" hidden="false" customHeight="false" outlineLevel="0" collapsed="false">
      <c r="A196" s="5" t="s">
        <v>1119</v>
      </c>
      <c r="B196" s="5" t="s">
        <v>1116</v>
      </c>
      <c r="C196" s="5" t="s">
        <v>43</v>
      </c>
      <c r="D196" s="5" t="s">
        <v>18212</v>
      </c>
      <c r="E196" s="5" t="s">
        <v>18208</v>
      </c>
      <c r="F196" s="5" t="n">
        <f aca="false">LEN(H196)</f>
        <v>825</v>
      </c>
      <c r="G196" s="5" t="n">
        <f aca="false">COUNTIF(Probe_Pairs!$R:$R,A196)</f>
        <v>9</v>
      </c>
      <c r="H196" s="13" t="s">
        <v>18213</v>
      </c>
    </row>
    <row r="197" customFormat="false" ht="15" hidden="false" customHeight="false" outlineLevel="0" collapsed="false">
      <c r="A197" s="5" t="s">
        <v>18214</v>
      </c>
      <c r="B197" s="5" t="s">
        <v>18215</v>
      </c>
      <c r="C197" s="5" t="s">
        <v>43</v>
      </c>
      <c r="D197" s="5" t="s">
        <v>18216</v>
      </c>
      <c r="E197" s="5" t="s">
        <v>18217</v>
      </c>
      <c r="F197" s="5" t="n">
        <f aca="false">LEN(H197)</f>
        <v>1398</v>
      </c>
      <c r="G197" s="5" t="n">
        <f aca="false">COUNTIF(Probe_Pairs!$R:$R,A197)</f>
        <v>0</v>
      </c>
      <c r="H197" s="13" t="s">
        <v>18218</v>
      </c>
    </row>
    <row r="198" customFormat="false" ht="15" hidden="false" customHeight="false" outlineLevel="0" collapsed="false">
      <c r="A198" s="5" t="s">
        <v>18219</v>
      </c>
      <c r="B198" s="5" t="s">
        <v>18220</v>
      </c>
      <c r="C198" s="5" t="s">
        <v>43</v>
      </c>
      <c r="D198" s="5" t="s">
        <v>18221</v>
      </c>
      <c r="E198" s="5" t="s">
        <v>18217</v>
      </c>
      <c r="F198" s="5" t="n">
        <f aca="false">LEN(H198)</f>
        <v>1005</v>
      </c>
      <c r="G198" s="5" t="n">
        <f aca="false">COUNTIF(Probe_Pairs!$R:$R,A198)</f>
        <v>0</v>
      </c>
      <c r="H198" s="13" t="s">
        <v>18222</v>
      </c>
    </row>
    <row r="199" customFormat="false" ht="15" hidden="false" customHeight="false" outlineLevel="0" collapsed="false">
      <c r="A199" s="5" t="s">
        <v>18223</v>
      </c>
      <c r="B199" s="5" t="s">
        <v>18224</v>
      </c>
      <c r="C199" s="5" t="s">
        <v>43</v>
      </c>
      <c r="D199" s="5" t="s">
        <v>18225</v>
      </c>
      <c r="E199" s="5" t="s">
        <v>18217</v>
      </c>
      <c r="F199" s="5" t="n">
        <f aca="false">LEN(H199)</f>
        <v>3654</v>
      </c>
      <c r="G199" s="5" t="n">
        <f aca="false">COUNTIF(Probe_Pairs!$R:$R,A199)</f>
        <v>0</v>
      </c>
      <c r="H199" s="13" t="s">
        <v>18226</v>
      </c>
    </row>
    <row r="200" customFormat="false" ht="15" hidden="false" customHeight="false" outlineLevel="0" collapsed="false">
      <c r="A200" s="5" t="s">
        <v>501</v>
      </c>
      <c r="B200" s="5" t="s">
        <v>496</v>
      </c>
      <c r="C200" s="5" t="s">
        <v>43</v>
      </c>
      <c r="D200" s="5" t="s">
        <v>18227</v>
      </c>
      <c r="E200" s="5" t="s">
        <v>18228</v>
      </c>
      <c r="F200" s="5" t="n">
        <f aca="false">LEN(H200)</f>
        <v>1722</v>
      </c>
      <c r="G200" s="5" t="n">
        <f aca="false">COUNTIF(Probe_Pairs!$R:$R,A200)</f>
        <v>20</v>
      </c>
      <c r="H200" s="13" t="s">
        <v>18229</v>
      </c>
    </row>
    <row r="201" customFormat="false" ht="15" hidden="false" customHeight="false" outlineLevel="0" collapsed="false">
      <c r="A201" s="5" t="s">
        <v>1009</v>
      </c>
      <c r="B201" s="5" t="s">
        <v>1005</v>
      </c>
      <c r="C201" s="5" t="s">
        <v>43</v>
      </c>
      <c r="D201" s="5" t="s">
        <v>18230</v>
      </c>
      <c r="E201" s="5" t="s">
        <v>18228</v>
      </c>
      <c r="F201" s="5" t="n">
        <f aca="false">LEN(H201)</f>
        <v>1050</v>
      </c>
      <c r="G201" s="5" t="n">
        <f aca="false">COUNTIF(Probe_Pairs!$R:$R,A201)</f>
        <v>11</v>
      </c>
      <c r="H201" s="13" t="s">
        <v>18231</v>
      </c>
    </row>
    <row r="202" customFormat="false" ht="15" hidden="false" customHeight="false" outlineLevel="0" collapsed="false">
      <c r="A202" s="5" t="s">
        <v>1169</v>
      </c>
      <c r="B202" s="5" t="s">
        <v>1165</v>
      </c>
      <c r="C202" s="5" t="s">
        <v>43</v>
      </c>
      <c r="D202" s="5" t="s">
        <v>18232</v>
      </c>
      <c r="E202" s="5" t="s">
        <v>18228</v>
      </c>
      <c r="F202" s="5" t="n">
        <f aca="false">LEN(H202)</f>
        <v>1098</v>
      </c>
      <c r="G202" s="5" t="n">
        <f aca="false">COUNTIF(Probe_Pairs!$R:$R,A202)</f>
        <v>13</v>
      </c>
      <c r="H202" s="13" t="s">
        <v>18233</v>
      </c>
    </row>
    <row r="203" customFormat="false" ht="15" hidden="false" customHeight="false" outlineLevel="0" collapsed="false">
      <c r="A203" s="5" t="s">
        <v>323</v>
      </c>
      <c r="B203" s="5" t="s">
        <v>321</v>
      </c>
      <c r="C203" s="5" t="s">
        <v>43</v>
      </c>
      <c r="D203" s="5" t="s">
        <v>18234</v>
      </c>
      <c r="E203" s="5" t="s">
        <v>154</v>
      </c>
      <c r="F203" s="5" t="n">
        <f aca="false">LEN(H203)</f>
        <v>22</v>
      </c>
      <c r="G203" s="5" t="n">
        <f aca="false">COUNTIF(Probe_Pairs!$R:$R,A203)</f>
        <v>1</v>
      </c>
      <c r="H203" s="13" t="s">
        <v>18235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6"/>
    <col collapsed="false" customWidth="true" hidden="false" outlineLevel="0" max="5" min="4" style="0" width="10"/>
    <col collapsed="false" customWidth="true" hidden="false" outlineLevel="0" max="6" min="6" style="0" width="26"/>
    <col collapsed="false" customWidth="true" hidden="false" outlineLevel="0" max="8" min="7" style="0" width="10"/>
  </cols>
  <sheetData>
    <row r="1" customFormat="false" ht="31.5" hidden="false" customHeight="true" outlineLevel="0" collapsed="false">
      <c r="A1" s="3" t="s">
        <v>18</v>
      </c>
      <c r="B1" s="3" t="s">
        <v>18236</v>
      </c>
      <c r="C1" s="3" t="s">
        <v>18237</v>
      </c>
      <c r="D1" s="3" t="s">
        <v>18238</v>
      </c>
      <c r="E1" s="3" t="s">
        <v>18239</v>
      </c>
      <c r="F1" s="3" t="s">
        <v>18240</v>
      </c>
      <c r="G1" s="3" t="s">
        <v>18241</v>
      </c>
      <c r="H1" s="3" t="s">
        <v>18242</v>
      </c>
    </row>
    <row r="2" customFormat="false" ht="15" hidden="false" customHeight="false" outlineLevel="0" collapsed="false">
      <c r="A2" s="6" t="s">
        <v>45</v>
      </c>
      <c r="B2" s="5" t="s">
        <v>46</v>
      </c>
      <c r="C2" s="13" t="s">
        <v>18243</v>
      </c>
      <c r="D2" s="13" t="s">
        <v>18244</v>
      </c>
      <c r="E2" s="13" t="s">
        <v>18245</v>
      </c>
      <c r="F2" s="13" t="s">
        <v>18246</v>
      </c>
      <c r="G2" s="5" t="n">
        <f aca="false">COUNTIF(Probe_Sets!$I:$I,A2)</f>
        <v>89</v>
      </c>
      <c r="H2" s="5" t="n">
        <f aca="false">SUMIF(Probe_Sets!$I:$I,A2,Probe_Sets!$K:$K)</f>
        <v>662</v>
      </c>
    </row>
    <row r="3" customFormat="false" ht="15" hidden="false" customHeight="false" outlineLevel="0" collapsed="false">
      <c r="A3" s="9" t="s">
        <v>66</v>
      </c>
      <c r="B3" s="5" t="s">
        <v>587</v>
      </c>
      <c r="C3" s="13" t="s">
        <v>18247</v>
      </c>
      <c r="D3" s="13" t="s">
        <v>18244</v>
      </c>
      <c r="E3" s="13" t="s">
        <v>18244</v>
      </c>
      <c r="F3" s="13" t="s">
        <v>18248</v>
      </c>
      <c r="G3" s="5" t="n">
        <f aca="false">COUNTIF(Probe_Sets!$I:$I,A3)</f>
        <v>88</v>
      </c>
      <c r="H3" s="5" t="n">
        <f aca="false">SUMIF(Probe_Sets!$I:$I,A3,Probe_Sets!$K:$K)</f>
        <v>615</v>
      </c>
    </row>
    <row r="4" customFormat="false" ht="15" hidden="false" customHeight="false" outlineLevel="0" collapsed="false">
      <c r="A4" s="10" t="s">
        <v>137</v>
      </c>
      <c r="B4" s="5" t="s">
        <v>1053</v>
      </c>
      <c r="C4" s="13" t="s">
        <v>18249</v>
      </c>
      <c r="D4" s="13" t="s">
        <v>18250</v>
      </c>
      <c r="E4" s="13" t="s">
        <v>18250</v>
      </c>
      <c r="F4" s="13" t="s">
        <v>18251</v>
      </c>
      <c r="G4" s="5" t="n">
        <f aca="false">COUNTIF(Probe_Sets!$I:$I,A4)</f>
        <v>64</v>
      </c>
      <c r="H4" s="5" t="n">
        <f aca="false">SUMIF(Probe_Sets!$I:$I,A4,Probe_Sets!$K:$K)</f>
        <v>477</v>
      </c>
    </row>
    <row r="5" customFormat="false" ht="15" hidden="false" customHeight="false" outlineLevel="0" collapsed="false">
      <c r="A5" s="11" t="s">
        <v>162</v>
      </c>
      <c r="B5" s="5" t="s">
        <v>1300</v>
      </c>
      <c r="C5" s="13" t="s">
        <v>18252</v>
      </c>
      <c r="D5" s="13" t="s">
        <v>18244</v>
      </c>
      <c r="E5" s="13" t="s">
        <v>18253</v>
      </c>
      <c r="F5" s="13" t="s">
        <v>18254</v>
      </c>
      <c r="G5" s="5" t="n">
        <f aca="false">COUNTIF(Probe_Sets!$I:$I,A5)</f>
        <v>15</v>
      </c>
      <c r="H5" s="5" t="n">
        <f aca="false">SUMIF(Probe_Sets!$I:$I,A5,Probe_Sets!$K:$K)</f>
        <v>91</v>
      </c>
    </row>
    <row r="6" customFormat="false" ht="15" hidden="false" customHeight="false" outlineLevel="0" collapsed="false">
      <c r="A6" s="12" t="s">
        <v>1071</v>
      </c>
      <c r="B6" s="5" t="s">
        <v>1387</v>
      </c>
      <c r="C6" s="13" t="s">
        <v>18255</v>
      </c>
      <c r="D6" s="13" t="s">
        <v>18244</v>
      </c>
      <c r="E6" s="13" t="s">
        <v>18244</v>
      </c>
      <c r="F6" s="13" t="s">
        <v>18256</v>
      </c>
      <c r="G6" s="5" t="n">
        <f aca="false">COUNTIF(Probe_Sets!$I:$I,A6)</f>
        <v>2</v>
      </c>
      <c r="H6" s="5" t="n">
        <f aca="false">SUMIF(Probe_Sets!$I:$I,A6,Probe_Sets!$K:$K)</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2026-10-03T20:52:19Z</dcterms:created>
  <dc:creator>openpyxl</dc:creator>
  <dc:description/>
  <dc:language>en-US</dc:language>
  <cp:lastModifiedBy/>
  <dcterms:modified xsi:type="dcterms:W3CDTF">2026-10-03T20:52:20Z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