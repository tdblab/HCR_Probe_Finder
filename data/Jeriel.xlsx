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robe_Sets" sheetId="2" state="visible" r:id="rId4"/>
    <sheet name="Probe_Pairs" sheetId="3" state="visible" r:id="rId5"/>
    <sheet name="Templates" sheetId="4" state="visible" r:id="rId6"/>
    <sheet name="Amplifiers" sheetId="5" state="visible" r:id="rId7"/>
  </sheets>
  <definedNames>
    <definedName function="false" hidden="true" localSheetId="2" name="_xlnm._FilterDatabase" vbProcedure="false">Probe_Pairs!$A$1:$Y$474</definedName>
    <definedName function="false" hidden="true" localSheetId="1" name="_xlnm._FilterDatabase" vbProcedure="false">Probe_Sets!$A$1:$AC$57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<sst xmlns="http://schemas.openxmlformats.org/spreadsheetml/2006/main" count="8578" uniqueCount="4620">
  <si>
    <t xml:space="preserve">HCR probe sets designed by Jeriel</t>
  </si>
  <si>
    <t xml:space="preserve">This file holds one person's HCR probe sets. Every designer has their own file in the data folder of the HCR probe database, all with the same layout, and the probe finder viewer is built from all of them together.</t>
  </si>
  <si>
    <t xml:space="preserve">Sheets</t>
  </si>
  <si>
    <t xml:space="preserve">Probe_Sets has one row per gene × amplifier set; its pair counts come from Probe_Pairs, which has one row per P1/P2 pair linked by Set_ID. Templates holds target sequences if you have them (optional). Amplifiers is the reference list of initiator and spacer sequences, the same in every file.</t>
  </si>
  <si>
    <t xml:space="preserve">Set IDs</t>
  </si>
  <si>
    <t xml:space="preserve">Set IDs in this file start with "JL-" so they never clash with other people's files. Pair IDs are the Set_ID plus a two-digit pair number.</t>
  </si>
  <si>
    <t xml:space="preserve">Columns for you to fill in</t>
  </si>
  <si>
    <t xml:space="preserve">Headers in dark yellow are input columns (Status, Tube / location, Order date, Vendor / order ID, Notes); Status has a drop-down list. The other columns were filled when the file was built and checked: amplifier and P1/P2 were read from each oligo's own initiator, P1 and P2 were paired by position on the genome or template, and binding arms were matched against the NCBI B. anynana CDS (genome_cds.fa). Check notes summarizes anything worth a look; the pair-level detail is in the Pair flag column of Probe_Pairs.</t>
  </si>
  <si>
    <t xml:space="preserve">History</t>
  </si>
  <si>
    <t xml:space="preserve">Imported from Jeriel_HCRoligosequences.xlsx (one sheet per gene). The "scr CRISPR" sheet (CRISPR primers) and the Zasp sheet (probe names only, no sequences) were not imported. Sheets marked "(did not order)" were entered as Status = Designed. Name to be confirmed with Jeriel.</t>
  </si>
  <si>
    <t xml:space="preserve">Set_ID</t>
  </si>
  <si>
    <t xml:space="preserve">Designed by</t>
  </si>
  <si>
    <t xml:space="preserve">Gene (short)</t>
  </si>
  <si>
    <t xml:space="preserve">Gene / protein name</t>
  </si>
  <si>
    <t xml:space="preserve">Organism</t>
  </si>
  <si>
    <t xml:space="preserve">LOC / GeneID</t>
  </si>
  <si>
    <t xml:space="preserve">NCBI accession</t>
  </si>
  <si>
    <t xml:space="preserve">Other ID</t>
  </si>
  <si>
    <t xml:space="preserve">Amplifier</t>
  </si>
  <si>
    <t xml:space="preserve">Fluorophore</t>
  </si>
  <si>
    <t xml:space="preserve"># pairs</t>
  </si>
  <si>
    <t xml:space="preserve"># pairs verified on template</t>
  </si>
  <si>
    <t xml:space="preserve">Same gene also on</t>
  </si>
  <si>
    <t xml:space="preserve">Names used in source files</t>
  </si>
  <si>
    <t xml:space="preserve">Source files</t>
  </si>
  <si>
    <t xml:space="preserve">Template(s)</t>
  </si>
  <si>
    <t xml:space="preserve">LOC source</t>
  </si>
  <si>
    <t xml:space="preserve">Genome LOC (genome_cds.fa match)</t>
  </si>
  <si>
    <t xml:space="preserve"># pairs verified in genome</t>
  </si>
  <si>
    <t xml:space="preserve">Genome confidence</t>
  </si>
  <si>
    <t xml:space="preserve">NCBI protein name (genome_cds.fa)</t>
  </si>
  <si>
    <t xml:space="preserve">Name in ncbi_annotation_ultimate.csv</t>
  </si>
  <si>
    <t xml:space="preserve">XP accession(s) of genome LOC</t>
  </si>
  <si>
    <t xml:space="preserve">Check notes</t>
  </si>
  <si>
    <t xml:space="preserve">Status</t>
  </si>
  <si>
    <t xml:space="preserve">Tube / location</t>
  </si>
  <si>
    <t xml:space="preserve">Order date</t>
  </si>
  <si>
    <t xml:space="preserve">Vendor / order ID</t>
  </si>
  <si>
    <t xml:space="preserve">Notes</t>
  </si>
  <si>
    <t xml:space="preserve">JL-001</t>
  </si>
  <si>
    <t xml:space="preserve">Jeriel</t>
  </si>
  <si>
    <t xml:space="preserve">B-H1</t>
  </si>
  <si>
    <t xml:space="preserve">homeobox protein B-H1-like</t>
  </si>
  <si>
    <t xml:space="preserve">Bicyclus anynana</t>
  </si>
  <si>
    <t xml:space="preserve">LOC112051348</t>
  </si>
  <si>
    <t xml:space="preserve">B1</t>
  </si>
  <si>
    <t xml:space="preserve">AF546</t>
  </si>
  <si>
    <t xml:space="preserve">B-H1, B-H</t>
  </si>
  <si>
    <t xml:space="preserve">Jeriel_HCRoligosequences.xlsx</t>
  </si>
  <si>
    <t xml:space="preserve">stated in Jeriel's sheet</t>
  </si>
  <si>
    <t xml:space="preserve">XP_023945719.2</t>
  </si>
  <si>
    <t xml:space="preserve">8 pair(s) flagged in Probe_Pairs</t>
  </si>
  <si>
    <t xml:space="preserve">JL-002</t>
  </si>
  <si>
    <t xml:space="preserve">bowel</t>
  </si>
  <si>
    <t xml:space="preserve">protein bowel</t>
  </si>
  <si>
    <t xml:space="preserve">LOC112044995</t>
  </si>
  <si>
    <t xml:space="preserve">B3</t>
  </si>
  <si>
    <t xml:space="preserve">protein bowel-like</t>
  </si>
  <si>
    <t xml:space="preserve">XP_023936788.2</t>
  </si>
  <si>
    <t xml:space="preserve">JL-003</t>
  </si>
  <si>
    <t xml:space="preserve">btlfgfr</t>
  </si>
  <si>
    <t xml:space="preserve">fibroblast growth factor receptor homolog 1 isoform X1</t>
  </si>
  <si>
    <t xml:space="preserve">LOC112044537</t>
  </si>
  <si>
    <t xml:space="preserve">btl</t>
  </si>
  <si>
    <t xml:space="preserve">fibroblast growth factor receptor homolog 1-like isoform X1</t>
  </si>
  <si>
    <t xml:space="preserve">XP_023936187.2; XP_023936186.2</t>
  </si>
  <si>
    <t xml:space="preserve">JL-004</t>
  </si>
  <si>
    <t xml:space="preserve">diaphanous</t>
  </si>
  <si>
    <t xml:space="preserve">protein diaphanous</t>
  </si>
  <si>
    <t xml:space="preserve">LOC112052023</t>
  </si>
  <si>
    <t xml:space="preserve">dia</t>
  </si>
  <si>
    <t xml:space="preserve">protein diaphanous isoform X1</t>
  </si>
  <si>
    <t xml:space="preserve">XP_052738807.1</t>
  </si>
  <si>
    <t xml:space="preserve">JL-005</t>
  </si>
  <si>
    <t xml:space="preserve">distal-less</t>
  </si>
  <si>
    <t xml:space="preserve">homeotic protein distal-less isoform X1</t>
  </si>
  <si>
    <t xml:space="preserve">LOC112055223</t>
  </si>
  <si>
    <t xml:space="preserve">dll</t>
  </si>
  <si>
    <t xml:space="preserve">homeotic protein distal-less</t>
  </si>
  <si>
    <t xml:space="preserve">XP_052743134.1; XP_052743133.1; XP_052743132.1</t>
  </si>
  <si>
    <t xml:space="preserve">JL-006</t>
  </si>
  <si>
    <t xml:space="preserve">drm</t>
  </si>
  <si>
    <t xml:space="preserve">protein drumstick</t>
  </si>
  <si>
    <t xml:space="preserve">LOC112045021</t>
  </si>
  <si>
    <t xml:space="preserve">B2, B3</t>
  </si>
  <si>
    <t xml:space="preserve">drumstick</t>
  </si>
  <si>
    <t xml:space="preserve">XP_023936823.1; XP_023936824.1; XP_023936825.1; XP_023936826.1</t>
  </si>
  <si>
    <t xml:space="preserve">Sheet note: 3 probes is fine</t>
  </si>
  <si>
    <t xml:space="preserve">JL-007</t>
  </si>
  <si>
    <t xml:space="preserve">exd</t>
  </si>
  <si>
    <t xml:space="preserve">homeobox protein extradenticle isoform X2</t>
  </si>
  <si>
    <t xml:space="preserve">LOC112056072</t>
  </si>
  <si>
    <t xml:space="preserve">B2</t>
  </si>
  <si>
    <t xml:space="preserve">homeobox protein extradenticle isoform X1</t>
  </si>
  <si>
    <t xml:space="preserve">XP_052737190.1; XP_052737191.1</t>
  </si>
  <si>
    <t xml:space="preserve">JL-008</t>
  </si>
  <si>
    <t xml:space="preserve">fringe</t>
  </si>
  <si>
    <t xml:space="preserve">LOW QUALITY PROTEIN: fringe glycosyltransferase</t>
  </si>
  <si>
    <t xml:space="preserve">LOC112056524</t>
  </si>
  <si>
    <t xml:space="preserve">fng</t>
  </si>
  <si>
    <t xml:space="preserve">fringe glycosyltransferase(LOC112056524)</t>
  </si>
  <si>
    <t xml:space="preserve">XP_023952733.2</t>
  </si>
  <si>
    <t xml:space="preserve">JL-009</t>
  </si>
  <si>
    <t xml:space="preserve">hth</t>
  </si>
  <si>
    <t xml:space="preserve">homeobox protein homothorax isoform X4</t>
  </si>
  <si>
    <t xml:space="preserve">LOC112054591</t>
  </si>
  <si>
    <t xml:space="preserve">homeobox protein homothorax isoform X1</t>
  </si>
  <si>
    <t xml:space="preserve">XP_052744213.1; XP_052744214.1; XP_023950201.1; XP_052744215.1</t>
  </si>
  <si>
    <t xml:space="preserve">JL-010</t>
  </si>
  <si>
    <t xml:space="preserve">nubbin</t>
  </si>
  <si>
    <t xml:space="preserve">POU domain, class 2, transcription factor 3L-like</t>
  </si>
  <si>
    <t xml:space="preserve">LOC112053646</t>
  </si>
  <si>
    <t xml:space="preserve">nubbin-like</t>
  </si>
  <si>
    <t xml:space="preserve">protein nubbin-like</t>
  </si>
  <si>
    <t xml:space="preserve">XP_052741896.1</t>
  </si>
  <si>
    <t xml:space="preserve">JL-011</t>
  </si>
  <si>
    <t xml:space="preserve">pannier</t>
  </si>
  <si>
    <t xml:space="preserve">homeobox protein araucan isoform X2</t>
  </si>
  <si>
    <t xml:space="preserve">LOC112048938</t>
  </si>
  <si>
    <t xml:space="preserve">pnr</t>
  </si>
  <si>
    <t xml:space="preserve">LOC112045732</t>
  </si>
  <si>
    <t xml:space="preserve">homeobox protein araucan-like isoform X1</t>
  </si>
  <si>
    <t xml:space="preserve">XP_023937802.1; XP_023937803.1</t>
  </si>
  <si>
    <t xml:space="preserve">Recorded LOC differs from the genome match; the probes match the LOC recorded for araucan (possible swap); 3 pair(s) flagged in Probe_Pairs</t>
  </si>
  <si>
    <t xml:space="preserve">JL-012</t>
  </si>
  <si>
    <t xml:space="preserve">rotund</t>
  </si>
  <si>
    <t xml:space="preserve">zinc finger protein rotund-like isoform X4</t>
  </si>
  <si>
    <t xml:space="preserve">LOC112056645</t>
  </si>
  <si>
    <t xml:space="preserve">uncharacterized LOC112056645(LOC112056645)</t>
  </si>
  <si>
    <t xml:space="preserve">XP_052745353.1; XP_052745354.1; XP_052745352.1; XP_023952346.2</t>
  </si>
  <si>
    <t xml:space="preserve">JL-013</t>
  </si>
  <si>
    <t xml:space="preserve">scr</t>
  </si>
  <si>
    <t xml:space="preserve">homeotic protein Sex combs reduced</t>
  </si>
  <si>
    <t xml:space="preserve">LOC112057777</t>
  </si>
  <si>
    <t xml:space="preserve">XP_023954086.1</t>
  </si>
  <si>
    <t xml:space="preserve">JL-014</t>
  </si>
  <si>
    <t xml:space="preserve">sob</t>
  </si>
  <si>
    <t xml:space="preserve">protein sister of odd and bowel-like</t>
  </si>
  <si>
    <t xml:space="preserve">LOC112044996</t>
  </si>
  <si>
    <t xml:space="preserve">XP_023936789.1</t>
  </si>
  <si>
    <t xml:space="preserve">JL-015</t>
  </si>
  <si>
    <t xml:space="preserve">tiptop</t>
  </si>
  <si>
    <t xml:space="preserve">protein tiptop-like isoform X2</t>
  </si>
  <si>
    <t xml:space="preserve">LOC112051061</t>
  </si>
  <si>
    <t xml:space="preserve">tio</t>
  </si>
  <si>
    <t xml:space="preserve">protein tiptop-like isoform X1</t>
  </si>
  <si>
    <t xml:space="preserve">XP_023945294.1; XP_023945304.1; XP_023945313.1</t>
  </si>
  <si>
    <t xml:space="preserve">JL-016</t>
  </si>
  <si>
    <t xml:space="preserve">vestigial</t>
  </si>
  <si>
    <t xml:space="preserve">protein vestigial</t>
  </si>
  <si>
    <t xml:space="preserve">LOC112043588</t>
  </si>
  <si>
    <t xml:space="preserve">vg</t>
  </si>
  <si>
    <t xml:space="preserve">XP_023934840.1</t>
  </si>
  <si>
    <t xml:space="preserve">JL-017</t>
  </si>
  <si>
    <t xml:space="preserve">Wnt-1</t>
  </si>
  <si>
    <t xml:space="preserve">protein Wnt-1</t>
  </si>
  <si>
    <t xml:space="preserve">LOC112058530</t>
  </si>
  <si>
    <t xml:space="preserve">B1_P1 (wnt1 1.1)_1, B1_P1 (wnt1 1.1)_2, B1_P1 (wnt1 1.1)_3, B1_P1 (wnt1 1.1)_4, B1_P1 (wnt1 1.1)_5, B1_P1 (wnt1 1.1)_6, B1_P1 (wnt1 1.1)_7, B1_P1 (wnt1 1.1)_8</t>
  </si>
  <si>
    <t xml:space="preserve">XP_023955185.1</t>
  </si>
  <si>
    <t xml:space="preserve">JL-018</t>
  </si>
  <si>
    <t xml:space="preserve">18w (toll-like receptor 7)</t>
  </si>
  <si>
    <t xml:space="preserve">toll-like receptor 7</t>
  </si>
  <si>
    <t xml:space="preserve">LOC112047337</t>
  </si>
  <si>
    <t xml:space="preserve">AF647</t>
  </si>
  <si>
    <t xml:space="preserve">18w</t>
  </si>
  <si>
    <t xml:space="preserve">genome_cds.fa match</t>
  </si>
  <si>
    <t xml:space="preserve">XP_023940195.2</t>
  </si>
  <si>
    <t xml:space="preserve">JL-019</t>
  </si>
  <si>
    <t xml:space="preserve">22-like</t>
  </si>
  <si>
    <t xml:space="preserve">dual specificity protein phosphatase 22-like</t>
  </si>
  <si>
    <t xml:space="preserve">LOC112051899</t>
  </si>
  <si>
    <t xml:space="preserve">22like</t>
  </si>
  <si>
    <t xml:space="preserve">dual specificity protein phosphatase 22-like isoform X2</t>
  </si>
  <si>
    <t xml:space="preserve">XP_052741740.1</t>
  </si>
  <si>
    <t xml:space="preserve">Designed</t>
  </si>
  <si>
    <t xml:space="preserve">Sheet note: blastp droso puckered</t>
  </si>
  <si>
    <t xml:space="preserve">JL-020</t>
  </si>
  <si>
    <t xml:space="preserve">apterous A</t>
  </si>
  <si>
    <t xml:space="preserve">protein apterous</t>
  </si>
  <si>
    <t xml:space="preserve">LOC112045866</t>
  </si>
  <si>
    <t xml:space="preserve">ap</t>
  </si>
  <si>
    <t xml:space="preserve">protein apterous-like isoform X1</t>
  </si>
  <si>
    <t xml:space="preserve">XP_023937999.1</t>
  </si>
  <si>
    <t xml:space="preserve">JL-021</t>
  </si>
  <si>
    <t xml:space="preserve">araucan</t>
  </si>
  <si>
    <t xml:space="preserve">GATA-binding factor A isoform X3</t>
  </si>
  <si>
    <t xml:space="preserve">ara</t>
  </si>
  <si>
    <t xml:space="preserve">GATA-binding factor A-like</t>
  </si>
  <si>
    <t xml:space="preserve">XP_052747468.1; XP_052747469.1; XP_052747470.1</t>
  </si>
  <si>
    <t xml:space="preserve">Recorded LOC differs from the genome match; the probes match the LOC recorded for pannier (possible swap)</t>
  </si>
  <si>
    <t xml:space="preserve">JL-022</t>
  </si>
  <si>
    <t xml:space="preserve">bric-a-bac</t>
  </si>
  <si>
    <t xml:space="preserve">protein bric-a-brac 1 isoform X1</t>
  </si>
  <si>
    <t xml:space="preserve">LOC112043806</t>
  </si>
  <si>
    <t xml:space="preserve">bab</t>
  </si>
  <si>
    <t xml:space="preserve">protein bric-a-brac 1-like</t>
  </si>
  <si>
    <t xml:space="preserve">XP_052746695.1; XP_023935169.2; XP_052746694.1</t>
  </si>
  <si>
    <t xml:space="preserve">JL-023</t>
  </si>
  <si>
    <t xml:space="preserve">cut</t>
  </si>
  <si>
    <t xml:space="preserve">homeobox protein cut isoform X4</t>
  </si>
  <si>
    <t xml:space="preserve">LOC112051626</t>
  </si>
  <si>
    <t xml:space="preserve">homeobox protein cut isoform X1</t>
  </si>
  <si>
    <t xml:space="preserve">XP_023946111.1; XP_023946113.1; XP_023946110.1; XP_023946109.1; XP_052738760.1; XP_023946112.1</t>
  </si>
  <si>
    <t xml:space="preserve">JL-024</t>
  </si>
  <si>
    <t xml:space="preserve">dishevelled</t>
  </si>
  <si>
    <t xml:space="preserve">segment polarity protein dishevelled homolog DVL-3</t>
  </si>
  <si>
    <t xml:space="preserve">LOC112056023</t>
  </si>
  <si>
    <t xml:space="preserve">dsh</t>
  </si>
  <si>
    <t xml:space="preserve">segment polarity protein dishevelled homolog DVL-3-like</t>
  </si>
  <si>
    <t xml:space="preserve">XP_023952113.2</t>
  </si>
  <si>
    <t xml:space="preserve">JL-025</t>
  </si>
  <si>
    <t xml:space="preserve">dpp</t>
  </si>
  <si>
    <t xml:space="preserve">protein decapentaplegic</t>
  </si>
  <si>
    <t xml:space="preserve">LOC112044871</t>
  </si>
  <si>
    <t xml:space="preserve">XP_023936626.1; XP_052739615.1</t>
  </si>
  <si>
    <t xml:space="preserve">JL-026</t>
  </si>
  <si>
    <t xml:space="preserve">B1, B3</t>
  </si>
  <si>
    <t xml:space="preserve">JL-027</t>
  </si>
  <si>
    <t xml:space="preserve">exd, Exd</t>
  </si>
  <si>
    <t xml:space="preserve">JL-028</t>
  </si>
  <si>
    <t xml:space="preserve">JL-029</t>
  </si>
  <si>
    <t xml:space="preserve">Lhx1</t>
  </si>
  <si>
    <t xml:space="preserve">LIM/homeobox protein Lhx1 isoform X3</t>
  </si>
  <si>
    <t xml:space="preserve">LOC112054918</t>
  </si>
  <si>
    <t xml:space="preserve">lhx1</t>
  </si>
  <si>
    <t xml:space="preserve">LIM/homeobox protein Lhx1-like</t>
  </si>
  <si>
    <t xml:space="preserve">XP_052739080.1; XP_052739079.1; XP_052739081.1</t>
  </si>
  <si>
    <t xml:space="preserve">JL-030</t>
  </si>
  <si>
    <t xml:space="preserve">mpk3</t>
  </si>
  <si>
    <t xml:space="preserve">dual specificity protein phosphatase Mpk3</t>
  </si>
  <si>
    <t xml:space="preserve">LOC112048567</t>
  </si>
  <si>
    <t xml:space="preserve">XP_023941915.2</t>
  </si>
  <si>
    <t xml:space="preserve">Sheet note: blastx droso puckered</t>
  </si>
  <si>
    <t xml:space="preserve">JL-031</t>
  </si>
  <si>
    <t xml:space="preserve">rac</t>
  </si>
  <si>
    <t xml:space="preserve">rac GTPase-activating protein 1</t>
  </si>
  <si>
    <t xml:space="preserve">LOC112045044</t>
  </si>
  <si>
    <t xml:space="preserve">rac GTPase-activating protein 1-like</t>
  </si>
  <si>
    <t xml:space="preserve">XP_052741230.1</t>
  </si>
  <si>
    <t xml:space="preserve">JL-032</t>
  </si>
  <si>
    <t xml:space="preserve">rho-GTPase activating protein p</t>
  </si>
  <si>
    <t xml:space="preserve">rho GTPase-activating protein 190 isoform X3</t>
  </si>
  <si>
    <t xml:space="preserve">LOC112056068</t>
  </si>
  <si>
    <t xml:space="preserve">rgap190</t>
  </si>
  <si>
    <t xml:space="preserve">rho GTPase-activating protein 190</t>
  </si>
  <si>
    <t xml:space="preserve">XP_052745228.1; XP_052745229.1; XP_052745230.1; XP_052745231.1; XP_052745232.1</t>
  </si>
  <si>
    <t xml:space="preserve">Sheet note: transcript variant X1</t>
  </si>
  <si>
    <t xml:space="preserve">JL-033</t>
  </si>
  <si>
    <t xml:space="preserve">scalloped</t>
  </si>
  <si>
    <t xml:space="preserve">protein scalloped isoform X1</t>
  </si>
  <si>
    <t xml:space="preserve">LOC112049271</t>
  </si>
  <si>
    <t xml:space="preserve">protein scalloped isoform X3</t>
  </si>
  <si>
    <t xml:space="preserve">XP_052738202.1; XP_023942867.1</t>
  </si>
  <si>
    <t xml:space="preserve">Sheet note says these probes came from Tirtha</t>
  </si>
  <si>
    <t xml:space="preserve">Sheet note: (^ from tirtha)</t>
  </si>
  <si>
    <t xml:space="preserve">JL-034</t>
  </si>
  <si>
    <t xml:space="preserve">ss</t>
  </si>
  <si>
    <t xml:space="preserve">aryl hydrocarbon receptor isoform X2</t>
  </si>
  <si>
    <t xml:space="preserve">LOC112043391</t>
  </si>
  <si>
    <t xml:space="preserve">aryl hydrocarbon receptor</t>
  </si>
  <si>
    <t xml:space="preserve">XP_052744340.1; XP_023934560.1</t>
  </si>
  <si>
    <t xml:space="preserve">JL-035</t>
  </si>
  <si>
    <t xml:space="preserve">ubx</t>
  </si>
  <si>
    <t xml:space="preserve">homeotic protein ultrabithorax</t>
  </si>
  <si>
    <t xml:space="preserve">LOC112057782</t>
  </si>
  <si>
    <t xml:space="preserve">XP_052739699.1</t>
  </si>
  <si>
    <t xml:space="preserve">JL-036</t>
  </si>
  <si>
    <t xml:space="preserve">uncharacterised (droso raw)</t>
  </si>
  <si>
    <t xml:space="preserve">uncharacterized protein LOC112043347 isoform X4</t>
  </si>
  <si>
    <t xml:space="preserve">LOC112043347</t>
  </si>
  <si>
    <t xml:space="preserve">raw</t>
  </si>
  <si>
    <t xml:space="preserve">uncharacterized LOC112043347(LOC112043347)</t>
  </si>
  <si>
    <t xml:space="preserve">XP_023934495.2; XP_023934490.2; XP_023934493.2; XP_052737221.1</t>
  </si>
  <si>
    <t xml:space="preserve">Sheet note: blastx droso raw</t>
  </si>
  <si>
    <t xml:space="preserve">JL-037</t>
  </si>
  <si>
    <t xml:space="preserve">JL-038</t>
  </si>
  <si>
    <t xml:space="preserve">AF488</t>
  </si>
  <si>
    <t xml:space="preserve">JL-039</t>
  </si>
  <si>
    <t xml:space="preserve">JL-040</t>
  </si>
  <si>
    <t xml:space="preserve">al</t>
  </si>
  <si>
    <t xml:space="preserve">homeobox protein aristaless</t>
  </si>
  <si>
    <t xml:space="preserve">LOC112056678</t>
  </si>
  <si>
    <t xml:space="preserve">XP_023952906.1</t>
  </si>
  <si>
    <t xml:space="preserve">JL-041</t>
  </si>
  <si>
    <t xml:space="preserve">Apterous B</t>
  </si>
  <si>
    <t xml:space="preserve">LIM/homeobox protein Lhx2</t>
  </si>
  <si>
    <t xml:space="preserve">LOC112045833</t>
  </si>
  <si>
    <t xml:space="preserve">apB</t>
  </si>
  <si>
    <t xml:space="preserve">LIM/homeobox protein Lhx2-like</t>
  </si>
  <si>
    <t xml:space="preserve">XP_023937950.1</t>
  </si>
  <si>
    <t xml:space="preserve">JL-042</t>
  </si>
  <si>
    <t xml:space="preserve">JL-043</t>
  </si>
  <si>
    <t xml:space="preserve">dac</t>
  </si>
  <si>
    <t xml:space="preserve">dachshund homolog 1 isoform X1</t>
  </si>
  <si>
    <t xml:space="preserve">LOC112044740</t>
  </si>
  <si>
    <t xml:space="preserve">dachshund homolog 2 isoform X1</t>
  </si>
  <si>
    <t xml:space="preserve">XP_052739409.1; XP_052739408.1</t>
  </si>
  <si>
    <t xml:space="preserve">JL-044</t>
  </si>
  <si>
    <t xml:space="preserve">delta</t>
  </si>
  <si>
    <t xml:space="preserve">neurogenic locus protein delta</t>
  </si>
  <si>
    <t xml:space="preserve">LOC112046850</t>
  </si>
  <si>
    <t xml:space="preserve">neurogenic locus protein delta-like(LOC112046850)</t>
  </si>
  <si>
    <t xml:space="preserve">XP_052744326.1</t>
  </si>
  <si>
    <t xml:space="preserve">JL-045</t>
  </si>
  <si>
    <t xml:space="preserve">B1, B2</t>
  </si>
  <si>
    <t xml:space="preserve">JL-046</t>
  </si>
  <si>
    <t xml:space="preserve">escargot (SNAI2)</t>
  </si>
  <si>
    <t xml:space="preserve">zinc finger protein SNAI2-like</t>
  </si>
  <si>
    <t xml:space="preserve">LOC112058590</t>
  </si>
  <si>
    <t xml:space="preserve">SNAI2</t>
  </si>
  <si>
    <t xml:space="preserve">XP_023955266.1</t>
  </si>
  <si>
    <t xml:space="preserve">JL-047</t>
  </si>
  <si>
    <t xml:space="preserve">JL-048</t>
  </si>
  <si>
    <t xml:space="preserve">hh</t>
  </si>
  <si>
    <t xml:space="preserve">tiggy-winkle hedgehog protein</t>
  </si>
  <si>
    <t xml:space="preserve">LOC112042874</t>
  </si>
  <si>
    <t xml:space="preserve">hh1.1</t>
  </si>
  <si>
    <t xml:space="preserve">XP_023933828.2</t>
  </si>
  <si>
    <t xml:space="preserve">6 pair(s) flagged in Probe_Pairs</t>
  </si>
  <si>
    <t xml:space="preserve">JL-049</t>
  </si>
  <si>
    <t xml:space="preserve">notch_1</t>
  </si>
  <si>
    <t xml:space="preserve">neurogenic locus Notch protein isoform X2</t>
  </si>
  <si>
    <t xml:space="preserve">LOC112052049</t>
  </si>
  <si>
    <t xml:space="preserve">notch1</t>
  </si>
  <si>
    <t xml:space="preserve">neurogenic locus Notch protein isoform X1</t>
  </si>
  <si>
    <t xml:space="preserve">XP_052737293.1; XP_052737294.1</t>
  </si>
  <si>
    <t xml:space="preserve">JL-050</t>
  </si>
  <si>
    <t xml:space="preserve">notch_2</t>
  </si>
  <si>
    <t xml:space="preserve">neurogenic locus notch homolog protein 1 isoform X2</t>
  </si>
  <si>
    <t xml:space="preserve">LOC112057117</t>
  </si>
  <si>
    <t xml:space="preserve">notch2</t>
  </si>
  <si>
    <t xml:space="preserve">neurogenic locus notch homolog protein 1 isoform X1</t>
  </si>
  <si>
    <t xml:space="preserve">XP_052743982.1; XP_052743981.1; XP_023953379.1</t>
  </si>
  <si>
    <t xml:space="preserve">JL-051</t>
  </si>
  <si>
    <t xml:space="preserve">notch_3</t>
  </si>
  <si>
    <t xml:space="preserve">neurogenic locus notch homolog protein 1</t>
  </si>
  <si>
    <t xml:space="preserve">LOC112046872</t>
  </si>
  <si>
    <t xml:space="preserve">notch3</t>
  </si>
  <si>
    <t xml:space="preserve">delta and Notch-like epidermal growth factor-related receptor</t>
  </si>
  <si>
    <t xml:space="preserve">XP_052738910.1</t>
  </si>
  <si>
    <t xml:space="preserve">JL-052</t>
  </si>
  <si>
    <t xml:space="preserve">JL-053</t>
  </si>
  <si>
    <t xml:space="preserve">JL-054</t>
  </si>
  <si>
    <t xml:space="preserve">vein</t>
  </si>
  <si>
    <t xml:space="preserve">protein vein isoform X1</t>
  </si>
  <si>
    <t xml:space="preserve">LOC112058144</t>
  </si>
  <si>
    <t xml:space="preserve">vn</t>
  </si>
  <si>
    <t xml:space="preserve">XP_023954599.1; XP_023954598.1</t>
  </si>
  <si>
    <t xml:space="preserve">JL-055</t>
  </si>
  <si>
    <t xml:space="preserve">JL-056</t>
  </si>
  <si>
    <t xml:space="preserve">wnt1</t>
  </si>
  <si>
    <t xml:space="preserve">Pair_ID</t>
  </si>
  <si>
    <t xml:space="preserve">Gene</t>
  </si>
  <si>
    <t xml:space="preserve">Pair #</t>
  </si>
  <si>
    <t xml:space="preserve">P1 standard name</t>
  </si>
  <si>
    <t xml:space="preserve">P1 sequence (5′→3′)</t>
  </si>
  <si>
    <t xml:space="preserve">P2 standard name</t>
  </si>
  <si>
    <t xml:space="preserve">P2 sequence (5′→3′)</t>
  </si>
  <si>
    <t xml:space="preserve">P1 original name(s)</t>
  </si>
  <si>
    <t xml:space="preserve">P2 original name(s)</t>
  </si>
  <si>
    <t xml:space="preserve">P1 binding arm</t>
  </si>
  <si>
    <t xml:space="preserve">P2 binding arm</t>
  </si>
  <si>
    <t xml:space="preserve">P1 arm length</t>
  </si>
  <si>
    <t xml:space="preserve">P2 arm length</t>
  </si>
  <si>
    <t xml:space="preserve">P1 arm GC%</t>
  </si>
  <si>
    <t xml:space="preserve">P2 arm GC%</t>
  </si>
  <si>
    <t xml:space="preserve">Template</t>
  </si>
  <si>
    <t xml:space="preserve">Template match</t>
  </si>
  <si>
    <t xml:space="preserve">Site start on template (nt)</t>
  </si>
  <si>
    <t xml:space="preserve">Paired by</t>
  </si>
  <si>
    <t xml:space="preserve">Pool / order (as recorded)</t>
  </si>
  <si>
    <t xml:space="preserve">Genome match (to set LOC)</t>
  </si>
  <si>
    <t xml:space="preserve">Pair flag</t>
  </si>
  <si>
    <t xml:space="preserve">JL-001-01</t>
  </si>
  <si>
    <t xml:space="preserve">B-H1_B1_P1_01</t>
  </si>
  <si>
    <t xml:space="preserve">GAGGAGGGCAGCAAACGGAACTTGATACATCGTCTGAGTCGTCTT</t>
  </si>
  <si>
    <t xml:space="preserve">B-H1_B1_P2_01</t>
  </si>
  <si>
    <t xml:space="preserve">GCTGAGGCGTCGCCGCCACACGACTTAGAAGAGTCTTCCTTTACG</t>
  </si>
  <si>
    <t xml:space="preserve">B1_P1 (B-H1)_1; B-H11_HCR_P1B1</t>
  </si>
  <si>
    <t xml:space="preserve">B1_P2 (B-H1)_1; B-H11_HCR_P1B2</t>
  </si>
  <si>
    <t xml:space="preserve">CTTGATACATCGTCTGAGTCGTCTT</t>
  </si>
  <si>
    <t xml:space="preserve">GCTGAGGCGTCGCCGCCACACGACT</t>
  </si>
  <si>
    <t xml:space="preserve">No template</t>
  </si>
  <si>
    <t xml:space="preserve">genome position</t>
  </si>
  <si>
    <t xml:space="preserve">Jeriel_HCRoligosequences › B-H1</t>
  </si>
  <si>
    <t xml:space="preserve">Both halves</t>
  </si>
  <si>
    <t xml:space="preserve">P2 named as B-H11_HCR_P1B2</t>
  </si>
  <si>
    <t xml:space="preserve">JL-001-02</t>
  </si>
  <si>
    <t xml:space="preserve">B-H1_B1_P1_02</t>
  </si>
  <si>
    <t xml:space="preserve">GAGGAGGGCAGCAAACGGAAGTCCGTGAAGGCTGTCCTCGCTTTC</t>
  </si>
  <si>
    <t xml:space="preserve">B-H1_B1_P2_02</t>
  </si>
  <si>
    <t xml:space="preserve">CGACTTCTCCAGGGTCTGGAGCTGGTAGAAGAGTCTTCCTTTACG</t>
  </si>
  <si>
    <t xml:space="preserve">B1_P1 (B-H1)_2; B-H12_HCR_P1B1</t>
  </si>
  <si>
    <t xml:space="preserve">B1_P2 (B-H1)_2; B-H12_HCR_P1B2</t>
  </si>
  <si>
    <t xml:space="preserve">GTCCGTGAAGGCTGTCCTCGCTTTC</t>
  </si>
  <si>
    <t xml:space="preserve">CGACTTCTCCAGGGTCTGGAGCTGG</t>
  </si>
  <si>
    <t xml:space="preserve">P2 named as B-H12_HCR_P1B2</t>
  </si>
  <si>
    <t xml:space="preserve">JL-001-03</t>
  </si>
  <si>
    <t xml:space="preserve">B-H1_B1_P1_03</t>
  </si>
  <si>
    <t xml:space="preserve">GAGGAGGGCAGCAAACGGAAGCTCCATGCGGTCCTGTACACTGAG</t>
  </si>
  <si>
    <t xml:space="preserve">B-H1_B1_P2_03</t>
  </si>
  <si>
    <t xml:space="preserve">TGTCCGTAAGGCCCAGTTTGGCGGCTAGAAGAGTCTTCCTTTACG</t>
  </si>
  <si>
    <t xml:space="preserve">B1_P1 (B-H1)_3; B-H13_HCR_P1B1</t>
  </si>
  <si>
    <t xml:space="preserve">B1_P2 (B-H1)_3; B-H13_HCR_P1B2</t>
  </si>
  <si>
    <t xml:space="preserve">GCTCCATGCGGTCCTGTACACTGAG</t>
  </si>
  <si>
    <t xml:space="preserve">TGTCCGTAAGGCCCAGTTTGGCGGC</t>
  </si>
  <si>
    <t xml:space="preserve">P2 named as B-H13_HCR_P1B2</t>
  </si>
  <si>
    <t xml:space="preserve">JL-001-04</t>
  </si>
  <si>
    <t xml:space="preserve">B-H1_B1_P1_04</t>
  </si>
  <si>
    <t xml:space="preserve">GAGGAGGGCAGCAAACGGAATTCCATTTCGTCCGTCTATTTTGGT</t>
  </si>
  <si>
    <t xml:space="preserve">B-H1_B1_P2_04</t>
  </si>
  <si>
    <t xml:space="preserve">AGCTCCAGCCCGACGGCGGTTTGACTAGAAGAGTCTTCCTTTACG</t>
  </si>
  <si>
    <t xml:space="preserve">B1_P1 (B-H1)_4; B-H14_HCR_P1B1</t>
  </si>
  <si>
    <t xml:space="preserve">B1_P2 (B-H1)_4; B-H14_HCR_P1B2</t>
  </si>
  <si>
    <t xml:space="preserve">TTCCATTTCGTCCGTCTATTTTGGT</t>
  </si>
  <si>
    <t xml:space="preserve">AGCTCCAGCCCGACGGCGGTTTGAC</t>
  </si>
  <si>
    <t xml:space="preserve">P2 named as B-H14_HCR_P1B2</t>
  </si>
  <si>
    <t xml:space="preserve">JL-001-05</t>
  </si>
  <si>
    <t xml:space="preserve">B-H1_B1_P1_05</t>
  </si>
  <si>
    <t xml:space="preserve">GAGGAGGGCAGCAAACGGAAGTACAGCCGCTGCAGCGCTGCGTAG</t>
  </si>
  <si>
    <t xml:space="preserve">B-H1_B1_P2_05</t>
  </si>
  <si>
    <t xml:space="preserve">GGCCGGCACCCCGGCCCAGTAGCCGTAGAAGAGTCTTCCTTTACG</t>
  </si>
  <si>
    <t xml:space="preserve">B1_P1 (B-H1)_5; B-H15_HCR_P1B1</t>
  </si>
  <si>
    <t xml:space="preserve">B1_P2 (B-H1)_5; B-H15_HCR_P1B2</t>
  </si>
  <si>
    <t xml:space="preserve">GTACAGCCGCTGCAGCGCTGCGTAG</t>
  </si>
  <si>
    <t xml:space="preserve">GGCCGGCACCCCGGCCCAGTAGCCG</t>
  </si>
  <si>
    <t xml:space="preserve">P2 named as B-H15_HCR_P1B2</t>
  </si>
  <si>
    <t xml:space="preserve">JL-001-06</t>
  </si>
  <si>
    <t xml:space="preserve">B-H1_B1_P1_06</t>
  </si>
  <si>
    <t xml:space="preserve">GAGGAGGGCAGCAAACGGAAGCCGGTAGTAGAGGTCGGCGGCGGG</t>
  </si>
  <si>
    <t xml:space="preserve">B-H1_B1_P2_06</t>
  </si>
  <si>
    <t xml:space="preserve">CGGCGGCAGCGGCGTTGGCGGCGGCTAGAAGAGTCTTCCTTTACG</t>
  </si>
  <si>
    <t xml:space="preserve">B1_P1 (B-H1)_6; B-H16_HCR_P1B1</t>
  </si>
  <si>
    <t xml:space="preserve">B1_P2 (B-H1)_6; B-H16_HCR_P1B2</t>
  </si>
  <si>
    <t xml:space="preserve">GCCGGTAGTAGAGGTCGGCGGCGGG</t>
  </si>
  <si>
    <t xml:space="preserve">CGGCGGCAGCGGCGTTGGCGGCGGC</t>
  </si>
  <si>
    <t xml:space="preserve">P2 named as B-H16_HCR_P1B2</t>
  </si>
  <si>
    <t xml:space="preserve">JL-001-07</t>
  </si>
  <si>
    <t xml:space="preserve">B-H1_B1_P1_07</t>
  </si>
  <si>
    <t xml:space="preserve">GAGGAGGGCAGCAAACGGAACGATAGGGCAAAGGTTTCTGCAGCG</t>
  </si>
  <si>
    <t xml:space="preserve">B-H1_B1_P2_07</t>
  </si>
  <si>
    <t xml:space="preserve">CCTGCGAGAGGCGCACCTGGATATATAGAAGAGTCTTCCTTTACG</t>
  </si>
  <si>
    <t xml:space="preserve">B1_P1 (B-H1)_7; B-H17_HCR_P1B1</t>
  </si>
  <si>
    <t xml:space="preserve">B1_P2 (B-H1)_7; B-H17_HCR_P1B2</t>
  </si>
  <si>
    <t xml:space="preserve">CGATAGGGCAAAGGTTTCTGCAGCG</t>
  </si>
  <si>
    <t xml:space="preserve">CCTGCGAGAGGCGCACCTGGATATA</t>
  </si>
  <si>
    <t xml:space="preserve">P2 named as B-H17_HCR_P1B2</t>
  </si>
  <si>
    <t xml:space="preserve">JL-001-08</t>
  </si>
  <si>
    <t xml:space="preserve">B-H1_B1_P1_08</t>
  </si>
  <si>
    <t xml:space="preserve">GAGGAGGGCAGCAAACGGAAGTGAGCTGACGGCCCCGGGAGGCCG</t>
  </si>
  <si>
    <t xml:space="preserve">B-H1_B1_P2_08</t>
  </si>
  <si>
    <t xml:space="preserve">GAGAGCTGGAGCCCCCAGAGAGCCGTAGAAGAGTCTTCCTTTACG</t>
  </si>
  <si>
    <t xml:space="preserve">B1_P1 (B-H1)_8; B-H18_HCR_P1B1</t>
  </si>
  <si>
    <t xml:space="preserve">B1_P2 (B-H1)_8; B-H18_HCR_P1B2</t>
  </si>
  <si>
    <t xml:space="preserve">GTGAGCTGACGGCCCCGGGAGGCCG</t>
  </si>
  <si>
    <t xml:space="preserve">GAGAGCTGGAGCCCCCAGAGAGCCG</t>
  </si>
  <si>
    <t xml:space="preserve">P2 named as B-H18_HCR_P1B2</t>
  </si>
  <si>
    <t xml:space="preserve">JL-002-01</t>
  </si>
  <si>
    <t xml:space="preserve">bowel_B1_P1_01</t>
  </si>
  <si>
    <t xml:space="preserve">GAGGAGGGCAGCAAACGGAAGCACCGAGGAATGCACCAGGTGGAC</t>
  </si>
  <si>
    <t xml:space="preserve">bowel_B1_P2_01</t>
  </si>
  <si>
    <t xml:space="preserve">TTGGCAGCAGTTGGCGAAGGACCCGTAGAAGAGTCTTCCTTTACG</t>
  </si>
  <si>
    <t xml:space="preserve">B1_P1 (bowel)_1</t>
  </si>
  <si>
    <t xml:space="preserve">B1_P2 (bowel)_1</t>
  </si>
  <si>
    <t xml:space="preserve">GCACCGAGGAATGCACCAGGTGGAC</t>
  </si>
  <si>
    <t xml:space="preserve">TTGGCAGCAGTTGGCGAAGGACCCG</t>
  </si>
  <si>
    <t xml:space="preserve">Jeriel_HCRoligosequences › bowel</t>
  </si>
  <si>
    <t xml:space="preserve">JL-002-02</t>
  </si>
  <si>
    <t xml:space="preserve">bowel_B1_P1_02</t>
  </si>
  <si>
    <t xml:space="preserve">GAGGAGGGCAGCAAACGGAAAGCCCCGGGAGGAAATAGCCCAGCA</t>
  </si>
  <si>
    <t xml:space="preserve">bowel_B1_P2_02</t>
  </si>
  <si>
    <t xml:space="preserve">TAGATGTGGATGCATTTGATGAGGATAGAAGAGTCTTCCTTTACG</t>
  </si>
  <si>
    <t xml:space="preserve">B1_P1 (bowel)_2</t>
  </si>
  <si>
    <t xml:space="preserve">B1_P2 (bowel)_2</t>
  </si>
  <si>
    <t xml:space="preserve">AGCCCCGGGAGGAAATAGCCCAGCA</t>
  </si>
  <si>
    <t xml:space="preserve">TAGATGTGGATGCATTTGATGAGGA</t>
  </si>
  <si>
    <t xml:space="preserve">JL-002-03</t>
  </si>
  <si>
    <t xml:space="preserve">bowel_B1_P1_03</t>
  </si>
  <si>
    <t xml:space="preserve">GAGGAGGGCAGCAAACGGAATAGGCCTCGACGCTCTGCCTGGGGC</t>
  </si>
  <si>
    <t xml:space="preserve">bowel_B1_P2_03</t>
  </si>
  <si>
    <t xml:space="preserve">TGCAAAATTTACAGATGAACTGTTTTAGAAGAGTCTTCCTTTACG</t>
  </si>
  <si>
    <t xml:space="preserve">B1_P1 (bowel)_3</t>
  </si>
  <si>
    <t xml:space="preserve">B1_P2 (bowel)_3</t>
  </si>
  <si>
    <t xml:space="preserve">TAGGCCTCGACGCTCTGCCTGGGGC</t>
  </si>
  <si>
    <t xml:space="preserve">TGCAAAATTTACAGATGAACTGTTT</t>
  </si>
  <si>
    <t xml:space="preserve">JL-002-04</t>
  </si>
  <si>
    <t xml:space="preserve">bowel_B1_P1_04</t>
  </si>
  <si>
    <t xml:space="preserve">GAGGAGGGCAGCAAACGGAACTTTCGTGGATAAGCAAATTGTAGG</t>
  </si>
  <si>
    <t xml:space="preserve">bowel_B1_P2_04</t>
  </si>
  <si>
    <t xml:space="preserve">GAATAGGGACGCTCGTCGGTGTGTGTAGAAGAGTCTTCCTTTACG</t>
  </si>
  <si>
    <t xml:space="preserve">B1_P1 (bowel)_4</t>
  </si>
  <si>
    <t xml:space="preserve">B1_P2 (bowel)_4</t>
  </si>
  <si>
    <t xml:space="preserve">CTTTCGTGGATAAGCAAATTGTAGG</t>
  </si>
  <si>
    <t xml:space="preserve">GAATAGGGACGCTCGTCGGTGTGTG</t>
  </si>
  <si>
    <t xml:space="preserve">JL-002-05</t>
  </si>
  <si>
    <t xml:space="preserve">bowel_B1_P1_05</t>
  </si>
  <si>
    <t xml:space="preserve">GAGGAGGGCAGCAAACGGAATAAGTGATCCTGTCTTCTGAATGCC</t>
  </si>
  <si>
    <t xml:space="preserve">bowel_B1_P2_05</t>
  </si>
  <si>
    <t xml:space="preserve">TTTTGAATGTATGTACCTATGATCTTAGAAGAGTCTTCCTTTACG</t>
  </si>
  <si>
    <t xml:space="preserve">B1_P1 (bowel)_5</t>
  </si>
  <si>
    <t xml:space="preserve">B1_P2 (bowel)_5</t>
  </si>
  <si>
    <t xml:space="preserve">TAAGTGATCCTGTCTTCTGAATGCC</t>
  </si>
  <si>
    <t xml:space="preserve">TTTTGAATGTATGTACCTATGATCT</t>
  </si>
  <si>
    <t xml:space="preserve">JL-002-06</t>
  </si>
  <si>
    <t xml:space="preserve">bowel_B1_P1_06</t>
  </si>
  <si>
    <t xml:space="preserve">GAGGAGGGCAGCAAACGGAAGGCAGAATCCTTTTCCACATTCTGT</t>
  </si>
  <si>
    <t xml:space="preserve">bowel_B1_P2_06</t>
  </si>
  <si>
    <t xml:space="preserve">TCTTGTGGACAGCTAAAGTCCGCGATAGAAGAGTCTTCCTTTACG</t>
  </si>
  <si>
    <t xml:space="preserve">B1_P1 (bowel)_6</t>
  </si>
  <si>
    <t xml:space="preserve">B1_P2 (bowel)_6</t>
  </si>
  <si>
    <t xml:space="preserve">GGCAGAATCCTTTTCCACATTCTGT</t>
  </si>
  <si>
    <t xml:space="preserve">TCTTGTGGACAGCTAAAGTCCGCGA</t>
  </si>
  <si>
    <t xml:space="preserve">JL-002-07</t>
  </si>
  <si>
    <t xml:space="preserve">bowel_B1_P1_07</t>
  </si>
  <si>
    <t xml:space="preserve">GAGGAGGGCAGCAAACGGAACTGCAGACAGGACACTTGTGGGGAG</t>
  </si>
  <si>
    <t xml:space="preserve">bowel_B1_P2_07</t>
  </si>
  <si>
    <t xml:space="preserve">AGATTCGAGCGCTGGTTGAAACTACTAGAAGAGTCTTCCTTTACG</t>
  </si>
  <si>
    <t xml:space="preserve">B1_P1 (bowel)_7</t>
  </si>
  <si>
    <t xml:space="preserve">B1_P2 (bowel)_7</t>
  </si>
  <si>
    <t xml:space="preserve">CTGCAGACAGGACACTTGTGGGGAG</t>
  </si>
  <si>
    <t xml:space="preserve">AGATTCGAGCGCTGGTTGAAACTAC</t>
  </si>
  <si>
    <t xml:space="preserve">JL-002-08</t>
  </si>
  <si>
    <t xml:space="preserve">bowel_B1_P1_08</t>
  </si>
  <si>
    <t xml:space="preserve">GAGGAGGGCAGCAAACGGAATTCATAAGGTTTGTGGTCAGTATGG</t>
  </si>
  <si>
    <t xml:space="preserve">bowel_B1_P2_08</t>
  </si>
  <si>
    <t xml:space="preserve">TCTGAATACTTTTCCACATGAATTATAGAAGAGTCTTCCTTTACG</t>
  </si>
  <si>
    <t xml:space="preserve">B1_P1 (bowel)_8</t>
  </si>
  <si>
    <t xml:space="preserve">B1_P2 (bowel)_8</t>
  </si>
  <si>
    <t xml:space="preserve">TTCATAAGGTTTGTGGTCAGTATGG</t>
  </si>
  <si>
    <t xml:space="preserve">TCTGAATACTTTTCCACATGAATTA</t>
  </si>
  <si>
    <t xml:space="preserve">JL-002-09</t>
  </si>
  <si>
    <t xml:space="preserve">bowel_B1_P1_09</t>
  </si>
  <si>
    <t xml:space="preserve">GAGGAGGGCAGCAAACGGAACTACAGCATGTGTTAAAGCATGCCT</t>
  </si>
  <si>
    <t xml:space="preserve">bowel_B1_P2_09</t>
  </si>
  <si>
    <t xml:space="preserve">CCAATACGTCACCTGCTGGAACGTCTAGAAGAGTCTTCCTTTACG</t>
  </si>
  <si>
    <t xml:space="preserve">B1_P1 (bowel)_9</t>
  </si>
  <si>
    <t xml:space="preserve">B1_P2 (bowel)_9</t>
  </si>
  <si>
    <t xml:space="preserve">CTACAGCATGTGTTAAAGCATGCCT</t>
  </si>
  <si>
    <t xml:space="preserve">CCAATACGTCACCTGCTGGAACGTC</t>
  </si>
  <si>
    <t xml:space="preserve">JL-002-10</t>
  </si>
  <si>
    <t xml:space="preserve">bowel_B1_P1_10</t>
  </si>
  <si>
    <t xml:space="preserve">GAGGAGGGCAGCAAACGGAATCATTAGGTGAACCAGGTCTACCAA</t>
  </si>
  <si>
    <t xml:space="preserve">bowel_B1_P2_10</t>
  </si>
  <si>
    <t xml:space="preserve">TCAGGGTCATCGTCATCGAAACCGGTAGAAGAGTCTTCCTTTACG</t>
  </si>
  <si>
    <t xml:space="preserve">B1_P1 (bowel)_10</t>
  </si>
  <si>
    <t xml:space="preserve">B1_P2 (bowel)_10</t>
  </si>
  <si>
    <t xml:space="preserve">TCATTAGGTGAACCAGGTCTACCAA</t>
  </si>
  <si>
    <t xml:space="preserve">TCAGGGTCATCGTCATCGAAACCGG</t>
  </si>
  <si>
    <t xml:space="preserve">JL-003-01</t>
  </si>
  <si>
    <t xml:space="preserve">btlfgfr_B1_P1_01</t>
  </si>
  <si>
    <t xml:space="preserve">GAGGAGGGCAGCAAACGGAATTCGTTAGTTCGTCGATTGCCATAG</t>
  </si>
  <si>
    <t xml:space="preserve">btlfgfr_B1_P2_01</t>
  </si>
  <si>
    <t xml:space="preserve">TTGCAGGTATAGTTTCCGTTATCGGTAGAAGAGTCTTCCTTTACG</t>
  </si>
  <si>
    <t xml:space="preserve">B1_P1 (btl)_1</t>
  </si>
  <si>
    <t xml:space="preserve">B1_P2 (btl)_1</t>
  </si>
  <si>
    <t xml:space="preserve">TTCGTTAGTTCGTCGATTGCCATAG</t>
  </si>
  <si>
    <t xml:space="preserve">TTGCAGGTATAGTTTCCGTTATCGG</t>
  </si>
  <si>
    <t xml:space="preserve">Jeriel_HCRoligosequences › btlfgfr</t>
  </si>
  <si>
    <t xml:space="preserve">JL-003-02</t>
  </si>
  <si>
    <t xml:space="preserve">btlfgfr_B1_P1_02</t>
  </si>
  <si>
    <t xml:space="preserve">GAGGAGGGCAGCAAACGGAATAGTGTGTAAGTATGTTCAACACAT</t>
  </si>
  <si>
    <t xml:space="preserve">btlfgfr_B1_P2_02</t>
  </si>
  <si>
    <t xml:space="preserve">CTTAGATGGATAGCGTTCTTGTATATAGAAGAGTCTTCCTTTACG</t>
  </si>
  <si>
    <t xml:space="preserve">B1_P1 (btl)_2</t>
  </si>
  <si>
    <t xml:space="preserve">B1_P2 (btl)_2</t>
  </si>
  <si>
    <t xml:space="preserve">TAGTGTGTAAGTATGTTCAACACAT</t>
  </si>
  <si>
    <t xml:space="preserve">CTTAGATGGATAGCGTTCTTGTATA</t>
  </si>
  <si>
    <t xml:space="preserve">JL-003-03</t>
  </si>
  <si>
    <t xml:space="preserve">btlfgfr_B1_P1_03</t>
  </si>
  <si>
    <t xml:space="preserve">GAGGAGGGCAGCAAACGGAACAAGCACTGTGAGATTCCCTGGATG</t>
  </si>
  <si>
    <t xml:space="preserve">btlfgfr_B1_P2_03</t>
  </si>
  <si>
    <t xml:space="preserve">GGCAGGTCATCGTGACAGTTTCATTTAGAAGAGTCTTCCTTTACG</t>
  </si>
  <si>
    <t xml:space="preserve">B1_P1 (btl)_3</t>
  </si>
  <si>
    <t xml:space="preserve">B1_P2 (btl)_3</t>
  </si>
  <si>
    <t xml:space="preserve">CAAGCACTGTGAGATTCCCTGGATG</t>
  </si>
  <si>
    <t xml:space="preserve">GGCAGGTCATCGTGACAGTTTCATT</t>
  </si>
  <si>
    <t xml:space="preserve">JL-003-04</t>
  </si>
  <si>
    <t xml:space="preserve">btlfgfr_B1_P1_04</t>
  </si>
  <si>
    <t xml:space="preserve">GAGGAGGGCAGCAAACGGAAGGCCTGAGCCAGTATAGGAAAGGTT</t>
  </si>
  <si>
    <t xml:space="preserve">btlfgfr_B1_P2_04</t>
  </si>
  <si>
    <t xml:space="preserve">TCCGTGTCTTTAACGGTGTAGTTTGTAGAAGAGTCTTCCTTTACG</t>
  </si>
  <si>
    <t xml:space="preserve">B1_P1 (btl)_4</t>
  </si>
  <si>
    <t xml:space="preserve">B1_P2 (btl)_4</t>
  </si>
  <si>
    <t xml:space="preserve">GGCCTGAGCCAGTATAGGAAAGGTT</t>
  </si>
  <si>
    <t xml:space="preserve">TCCGTGTCTTTAACGGTGTAGTTTG</t>
  </si>
  <si>
    <t xml:space="preserve">JL-003-05</t>
  </si>
  <si>
    <t xml:space="preserve">btlfgfr_B1_P1_05</t>
  </si>
  <si>
    <t xml:space="preserve">GAGGAGGGCAGCAAACGGAAAATAGTGTCTCCTATAGGAGCAGCT</t>
  </si>
  <si>
    <t xml:space="preserve">btlfgfr_B1_P2_05</t>
  </si>
  <si>
    <t xml:space="preserve">TGGTTTGTCTGCTGGATTATCACTCTAGAAGAGTCTTCCTTTACG</t>
  </si>
  <si>
    <t xml:space="preserve">B1_P1 (btl)_5</t>
  </si>
  <si>
    <t xml:space="preserve">B1_P2 (btl)_5</t>
  </si>
  <si>
    <t xml:space="preserve">AATAGTGTCTCCTATAGGAGCAGCT</t>
  </si>
  <si>
    <t xml:space="preserve">TGGTTTGTCTGCTGGATTATCACTC</t>
  </si>
  <si>
    <t xml:space="preserve">JL-003-06</t>
  </si>
  <si>
    <t xml:space="preserve">btlfgfr_B1_P1_06</t>
  </si>
  <si>
    <t xml:space="preserve">GAGGAGGGCAGCAAACGGAAAACCCTCGTGTTCTTTCGTAACATT</t>
  </si>
  <si>
    <t xml:space="preserve">btlfgfr_B1_P2_06</t>
  </si>
  <si>
    <t xml:space="preserve">GAGAGTTAAGTGCTACACACACGTATAGAAGAGTCTTCCTTTACG</t>
  </si>
  <si>
    <t xml:space="preserve">B1_P1 (btl)_6</t>
  </si>
  <si>
    <t xml:space="preserve">B1_P2 (btl)_6</t>
  </si>
  <si>
    <t xml:space="preserve">AACCCTCGTGTTCTTTCGTAACATT</t>
  </si>
  <si>
    <t xml:space="preserve">GAGAGTTAAGTGCTACACACACGTA</t>
  </si>
  <si>
    <t xml:space="preserve">JL-003-07</t>
  </si>
  <si>
    <t xml:space="preserve">btlfgfr_B1_P1_07</t>
  </si>
  <si>
    <t xml:space="preserve">GAGGAGGGCAGCAAACGGAAGAATCCAGCACTGTAAGATATCCTT</t>
  </si>
  <si>
    <t xml:space="preserve">btlfgfr_B1_P2_07</t>
  </si>
  <si>
    <t xml:space="preserve">TGGTCGAGGGGTTTTGTTTCTGGTATAGAAGAGTCTTCCTTTACG</t>
  </si>
  <si>
    <t xml:space="preserve">B1_P1 (btl)_7</t>
  </si>
  <si>
    <t xml:space="preserve">B1_P2 (btl)_7</t>
  </si>
  <si>
    <t xml:space="preserve">GAATCCAGCACTGTAAGATATCCTT</t>
  </si>
  <si>
    <t xml:space="preserve">TGGTCGAGGGGTTTTGTTTCTGGTA</t>
  </si>
  <si>
    <t xml:space="preserve">JL-003-08</t>
  </si>
  <si>
    <t xml:space="preserve">btlfgfr_B1_P1_08</t>
  </si>
  <si>
    <t xml:space="preserve">GAGGAGGGCAGCAAACGGAATAACACAGCCGTCAATATGTTTATA</t>
  </si>
  <si>
    <t xml:space="preserve">btlfgfr_B1_P2_08</t>
  </si>
  <si>
    <t xml:space="preserve">GATGGCAGCGACGAAGAACATGGCGTAGAAGAGTCTTCCTTTACG</t>
  </si>
  <si>
    <t xml:space="preserve">B1_P1 (btl)_8</t>
  </si>
  <si>
    <t xml:space="preserve">B1_P2 (btl)_8</t>
  </si>
  <si>
    <t xml:space="preserve">TAACACAGCCGTCAATATGTTTATA</t>
  </si>
  <si>
    <t xml:space="preserve">GATGGCAGCGACGAAGAACATGGCG</t>
  </si>
  <si>
    <t xml:space="preserve">JL-003-09</t>
  </si>
  <si>
    <t xml:space="preserve">btlfgfr_B1_P1_09</t>
  </si>
  <si>
    <t xml:space="preserve">GAGGAGGGCAGCAAACGGAATGATCTTCTCTTCTTTCAGCCTCTT</t>
  </si>
  <si>
    <t xml:space="preserve">btlfgfr_B1_P2_09</t>
  </si>
  <si>
    <t xml:space="preserve">TCGCAGTCTCTATAGCTAATTGCTTTAGAAGAGTCTTCCTTTACG</t>
  </si>
  <si>
    <t xml:space="preserve">B1_P1 (btl)_9</t>
  </si>
  <si>
    <t xml:space="preserve">B1_P2 (btl)_9</t>
  </si>
  <si>
    <t xml:space="preserve">TGATCTTCTCTTCTTTCAGCCTCTT</t>
  </si>
  <si>
    <t xml:space="preserve">TCGCAGTCTCTATAGCTAATTGCTT</t>
  </si>
  <si>
    <t xml:space="preserve">JL-003-10</t>
  </si>
  <si>
    <t xml:space="preserve">btlfgfr_B1_P1_10</t>
  </si>
  <si>
    <t xml:space="preserve">GAGGAGGGCAGCAAACGGAATCCACAGTCACTTTCTTGGTCCAAT</t>
  </si>
  <si>
    <t xml:space="preserve">btlfgfr_B1_P2_10</t>
  </si>
  <si>
    <t xml:space="preserve">TTTACTGATCCATTCATCTGAGGTTTAGAAGAGTCTTCCTTTACG</t>
  </si>
  <si>
    <t xml:space="preserve">B1_P1 (btl)_10</t>
  </si>
  <si>
    <t xml:space="preserve">B1_P2 (btl)_10</t>
  </si>
  <si>
    <t xml:space="preserve">TCCACAGTCACTTTCTTGGTCCAAT</t>
  </si>
  <si>
    <t xml:space="preserve">TTTACTGATCCATTCATCTGAGGTT</t>
  </si>
  <si>
    <t xml:space="preserve">JL-004-01</t>
  </si>
  <si>
    <t xml:space="preserve">diaphanous_B1_P1_01</t>
  </si>
  <si>
    <t xml:space="preserve">GAGGAGGGCAGCAAACGGAATTGCATACATCCATTTTTTAAACTC</t>
  </si>
  <si>
    <t xml:space="preserve">diaphanous_B1_P2_01</t>
  </si>
  <si>
    <t xml:space="preserve">TGGTTCAGTGATTATTGCGTTCATCTAGAAGAGTCTTCCTTTACG</t>
  </si>
  <si>
    <t xml:space="preserve">B1_P1 (dia)_1</t>
  </si>
  <si>
    <t xml:space="preserve">B1_P2 (dia)_1</t>
  </si>
  <si>
    <t xml:space="preserve">TTGCATACATCCATTTTTTAAACTC</t>
  </si>
  <si>
    <t xml:space="preserve">TGGTTCAGTGATTATTGCGTTCATC</t>
  </si>
  <si>
    <t xml:space="preserve">Jeriel_HCRoligosequences › diaphanous</t>
  </si>
  <si>
    <t xml:space="preserve">JL-004-02</t>
  </si>
  <si>
    <t xml:space="preserve">diaphanous_B1_P1_02</t>
  </si>
  <si>
    <t xml:space="preserve">GAGGAGGGCAGCAAACGGAATCATGAACTCGCTACGCAAGTGTAA</t>
  </si>
  <si>
    <t xml:space="preserve">diaphanous_B1_P2_02</t>
  </si>
  <si>
    <t xml:space="preserve">CATCTATTAAGTCACAAAGGCCCGTTAGAAGAGTCTTCCTTTACG</t>
  </si>
  <si>
    <t xml:space="preserve">B1_P1 (dia)_2</t>
  </si>
  <si>
    <t xml:space="preserve">B1_P2 (dia)_2</t>
  </si>
  <si>
    <t xml:space="preserve">TCATGAACTCGCTACGCAAGTGTAA</t>
  </si>
  <si>
    <t xml:space="preserve">CATCTATTAAGTCACAAAGGCCCGT</t>
  </si>
  <si>
    <t xml:space="preserve">JL-004-03</t>
  </si>
  <si>
    <t xml:space="preserve">diaphanous_B1_P1_03</t>
  </si>
  <si>
    <t xml:space="preserve">GAGGAGGGCAGCAAACGGAAATTTGTATTTTACGGCCGGCATCTT</t>
  </si>
  <si>
    <t xml:space="preserve">diaphanous_B1_P2_03</t>
  </si>
  <si>
    <t xml:space="preserve">GCCGCCGCGTGACTGTCGAATACATTAGAAGAGTCTTCCTTTACG</t>
  </si>
  <si>
    <t xml:space="preserve">B1_P1 (dia)_3</t>
  </si>
  <si>
    <t xml:space="preserve">B1_P2 (dia)_3</t>
  </si>
  <si>
    <t xml:space="preserve">ATTTGTATTTTACGGCCGGCATCTT</t>
  </si>
  <si>
    <t xml:space="preserve">GCCGCCGCGTGACTGTCGAATACAT</t>
  </si>
  <si>
    <t xml:space="preserve">JL-004-04</t>
  </si>
  <si>
    <t xml:space="preserve">diaphanous_B1_P1_04</t>
  </si>
  <si>
    <t xml:space="preserve">GAGGAGGGCAGCAAACGGAAGGCTCTGACGTCATCGAATTTGGCC</t>
  </si>
  <si>
    <t xml:space="preserve">diaphanous_B1_P2_04</t>
  </si>
  <si>
    <t xml:space="preserve">GAAGCACTCGTTAACATCGTTGAAATAGAAGAGTCTTCCTTTACG</t>
  </si>
  <si>
    <t xml:space="preserve">B1_P1 (dia)_4</t>
  </si>
  <si>
    <t xml:space="preserve">B1_P2 (dia)_4</t>
  </si>
  <si>
    <t xml:space="preserve">GGCTCTGACGTCATCGAATTTGGCC</t>
  </si>
  <si>
    <t xml:space="preserve">GAAGCACTCGTTAACATCGTTGAAA</t>
  </si>
  <si>
    <t xml:space="preserve">JL-004-05</t>
  </si>
  <si>
    <t xml:space="preserve">diaphanous_B1_P1_05</t>
  </si>
  <si>
    <t xml:space="preserve">GAGGAGGGCAGCAAACGGAAAAGGCTCGGCCGGCGAGTCAACCAC</t>
  </si>
  <si>
    <t xml:space="preserve">diaphanous_B1_P2_05</t>
  </si>
  <si>
    <t xml:space="preserve">ACAGATGTTGCATTATCGACAGCAGTAGAAGAGTCTTCCTTTACG</t>
  </si>
  <si>
    <t xml:space="preserve">B1_P1 (dia)_5</t>
  </si>
  <si>
    <t xml:space="preserve">B1_P2 (dia)_5</t>
  </si>
  <si>
    <t xml:space="preserve">AAGGCTCGGCCGGCGAGTCAACCAC</t>
  </si>
  <si>
    <t xml:space="preserve">ACAGATGTTGCATTATCGACAGCAG</t>
  </si>
  <si>
    <t xml:space="preserve">JL-004-06</t>
  </si>
  <si>
    <t xml:space="preserve">diaphanous_B1_P1_06</t>
  </si>
  <si>
    <t xml:space="preserve">GAGGAGGGCAGCAAACGGAATTGTAATACGCTGGCCTGATCTCCT</t>
  </si>
  <si>
    <t xml:space="preserve">diaphanous_B1_P2_06</t>
  </si>
  <si>
    <t xml:space="preserve">ATTTGTGTTATACATTCTTCTATCATAGAAGAGTCTTCCTTTACG</t>
  </si>
  <si>
    <t xml:space="preserve">B1_P1 (dia)_6</t>
  </si>
  <si>
    <t xml:space="preserve">B1_P2 (dia)_6</t>
  </si>
  <si>
    <t xml:space="preserve">TTGTAATACGCTGGCCTGATCTCCT</t>
  </si>
  <si>
    <t xml:space="preserve">ATTTGTGTTATACATTCTTCTATCA</t>
  </si>
  <si>
    <t xml:space="preserve">JL-004-07</t>
  </si>
  <si>
    <t xml:space="preserve">diaphanous_B1_P1_07</t>
  </si>
  <si>
    <t xml:space="preserve">GAGGAGGGCAGCAAACGGAACGTGTATCTAAAGTCCGGGTCGTAG</t>
  </si>
  <si>
    <t xml:space="preserve">diaphanous_B1_P2_07</t>
  </si>
  <si>
    <t xml:space="preserve">CGGCTGCACGTCAATATTGAACCGCTAGAAGAGTCTTCCTTTACG</t>
  </si>
  <si>
    <t xml:space="preserve">B1_P1 (dia)_7</t>
  </si>
  <si>
    <t xml:space="preserve">B1_P2 (dia)_7</t>
  </si>
  <si>
    <t xml:space="preserve">CGTGTATCTAAAGTCCGGGTCGTAG</t>
  </si>
  <si>
    <t xml:space="preserve">CGGCTGCACGTCAATATTGAACCGC</t>
  </si>
  <si>
    <t xml:space="preserve">JL-004-08</t>
  </si>
  <si>
    <t xml:space="preserve">diaphanous_B1_P1_08</t>
  </si>
  <si>
    <t xml:space="preserve">GAGGAGGGCAGCAAACGGAAGCTCTTCTTCGGCGCGTGATTTTTC</t>
  </si>
  <si>
    <t xml:space="preserve">diaphanous_B1_P2_08</t>
  </si>
  <si>
    <t xml:space="preserve">ACTTCGCGTTCAGATCTTCCACTTTTAGAAGAGTCTTCCTTTACG</t>
  </si>
  <si>
    <t xml:space="preserve">B1_P1 (dia)_8</t>
  </si>
  <si>
    <t xml:space="preserve">B1_P2 (dia)_8</t>
  </si>
  <si>
    <t xml:space="preserve">GCTCTTCTTCGGCGCGTGATTTTTC</t>
  </si>
  <si>
    <t xml:space="preserve">ACTTCGCGTTCAGATCTTCCACTTT</t>
  </si>
  <si>
    <t xml:space="preserve">JL-005-01</t>
  </si>
  <si>
    <t xml:space="preserve">distal-less_B1_P1_01</t>
  </si>
  <si>
    <t xml:space="preserve">GAGGAGGGCAGCAAACGGAATTGCTGTAACTCTATGAAGGCGGAT</t>
  </si>
  <si>
    <t xml:space="preserve">distal-less_B1_P2_01</t>
  </si>
  <si>
    <t xml:space="preserve">ACCACCTTTGAAAGGCCCGTAACCGTAGAAGAGTCTTCCTTTACG</t>
  </si>
  <si>
    <t xml:space="preserve">B1_P1 (dll)_3</t>
  </si>
  <si>
    <t xml:space="preserve">B1_P2 (dll)_3</t>
  </si>
  <si>
    <t xml:space="preserve">TTGCTGTAACTCTATGAAGGCGGAT</t>
  </si>
  <si>
    <t xml:space="preserve">ACCACCTTTGAAAGGCCCGTAACCG</t>
  </si>
  <si>
    <t xml:space="preserve">Jeriel_HCRoligosequences › distal-less</t>
  </si>
  <si>
    <t xml:space="preserve">JL-005-02</t>
  </si>
  <si>
    <t xml:space="preserve">distal-less_B1_P1_02</t>
  </si>
  <si>
    <t xml:space="preserve">GAGGAGGGCAGCAAACGGAAGCTGACCCCCCGGGCTGCCGAAATG</t>
  </si>
  <si>
    <t xml:space="preserve">distal-less_B1_P2_02</t>
  </si>
  <si>
    <t xml:space="preserve">GGAACCCCGACGCCTCGTGGGGGTTTAGAAGAGTCTTCCTTTACG</t>
  </si>
  <si>
    <t xml:space="preserve">B1_P1 (dll)_4</t>
  </si>
  <si>
    <t xml:space="preserve">B1_P2 (dll)_4</t>
  </si>
  <si>
    <t xml:space="preserve">GCTGACCCCCCGGGCTGCCGAAATG</t>
  </si>
  <si>
    <t xml:space="preserve">GGAACCCCGACGCCTCGTGGGGGTT</t>
  </si>
  <si>
    <t xml:space="preserve">JL-005-03</t>
  </si>
  <si>
    <t xml:space="preserve">distal-less_B1_P1_03</t>
  </si>
  <si>
    <t xml:space="preserve">GAGGAGGGCAGCAAACGGAAATTGAGGAGCGTAGGAGCCTATATG</t>
  </si>
  <si>
    <t xml:space="preserve">distal-less_B1_P2_03</t>
  </si>
  <si>
    <t xml:space="preserve">ATTTTTCATCTTTGGGCGGACTTGCTAGAAGAGTCTTCCTTTACG</t>
  </si>
  <si>
    <t xml:space="preserve">B1_P1 (dll)_1</t>
  </si>
  <si>
    <t xml:space="preserve">B1_P2 (dll)_1</t>
  </si>
  <si>
    <t xml:space="preserve">ATTGAGGAGCGTAGGAGCCTATATG</t>
  </si>
  <si>
    <t xml:space="preserve">ATTTTTCATCTTTGGGCGGACTTGC</t>
  </si>
  <si>
    <t xml:space="preserve">JL-005-04</t>
  </si>
  <si>
    <t xml:space="preserve">distal-less_B1_P1_04</t>
  </si>
  <si>
    <t xml:space="preserve">GAGGAGGGCAGCAAACGGAATTCATCTTTGGGCGGACTTGCACAT</t>
  </si>
  <si>
    <t xml:space="preserve">distal-less_B1_P2_04</t>
  </si>
  <si>
    <t xml:space="preserve">CCCAGGGTCGTCGGATAGACCACATTAGAAGAGTCTTCCTTTACG</t>
  </si>
  <si>
    <t xml:space="preserve">B1_P1 (dll)_5</t>
  </si>
  <si>
    <t xml:space="preserve">B1_P2 (dll)_5</t>
  </si>
  <si>
    <t xml:space="preserve">TTCATCTTTGGGCGGACTTGCACAT</t>
  </si>
  <si>
    <t xml:space="preserve">CCCAGGGTCGTCGGATAGACCACAT</t>
  </si>
  <si>
    <t xml:space="preserve">JL-005-05</t>
  </si>
  <si>
    <t xml:space="preserve">distal-less_B1_P1_05</t>
  </si>
  <si>
    <t xml:space="preserve">GAGGAGGGCAGCAAACGGAACCCTTGCCATTCACCCGCAGCCCAG</t>
  </si>
  <si>
    <t xml:space="preserve">distal-less_B1_P2_05</t>
  </si>
  <si>
    <t xml:space="preserve">ATGGTGCGCGGCTTGCGCATCTTCTTAGAAGAGTCTTCCTTTACG</t>
  </si>
  <si>
    <t xml:space="preserve">B1_P1 (dll)_2</t>
  </si>
  <si>
    <t xml:space="preserve">B1_P2 (dll)_2</t>
  </si>
  <si>
    <t xml:space="preserve">CCCTTGCCATTCACCCGCAGCCCAG</t>
  </si>
  <si>
    <t xml:space="preserve">ATGGTGCGCGGCTTGCGCATCTTCT</t>
  </si>
  <si>
    <t xml:space="preserve">JL-005-06</t>
  </si>
  <si>
    <t xml:space="preserve">distal-less_B1_P1_06</t>
  </si>
  <si>
    <t xml:space="preserve">GAGGAGGGCAGCAAACGGAACTGGAACCGCCTGTTGAGCTGCTGC</t>
  </si>
  <si>
    <t xml:space="preserve">distal-less_B1_P2_06</t>
  </si>
  <si>
    <t xml:space="preserve">CTCCGGCAGTGCTAGATACTGTGTCTAGAAGAGTCTTCCTTTACG</t>
  </si>
  <si>
    <t xml:space="preserve">CTGGAACCGCCTGTTGAGCTGCTGC</t>
  </si>
  <si>
    <t xml:space="preserve">CTCCGGCAGTGCTAGATACTGTGTC</t>
  </si>
  <si>
    <t xml:space="preserve">JL-005-07</t>
  </si>
  <si>
    <t xml:space="preserve">distal-less_B1_P1_07</t>
  </si>
  <si>
    <t xml:space="preserve">GAGGAGGGCAGCAAACGGAACCTGCGTCTGCGTCAGGCCCAAGCT</t>
  </si>
  <si>
    <t xml:space="preserve">distal-less_B1_P2_07</t>
  </si>
  <si>
    <t xml:space="preserve">TGCGTCTGTTCTGGAACCAGATCTTTAGAAGAGTCTTCCTTTACG</t>
  </si>
  <si>
    <t xml:space="preserve">CCTGCGTCTGCGTCAGGCCCAAGCT</t>
  </si>
  <si>
    <t xml:space="preserve">TGCGTCTGTTCTGGAACCAGATCTT</t>
  </si>
  <si>
    <t xml:space="preserve">JL-005-08</t>
  </si>
  <si>
    <t xml:space="preserve">distal-less_B1_P1_08</t>
  </si>
  <si>
    <t xml:space="preserve">GAGGAGGGCAGCAAACGGAAACGGCGCCTACTTGCGCGGCCTTCA</t>
  </si>
  <si>
    <t xml:space="preserve">distal-less_B1_P2_08</t>
  </si>
  <si>
    <t xml:space="preserve">CCCGGCGGTAGGCCGAGGCCGGGCGTAGAAGAGTCTTCCTTTACG</t>
  </si>
  <si>
    <t xml:space="preserve">ACGGCGCCTACTTGCGCGGCCTTCA</t>
  </si>
  <si>
    <t xml:space="preserve">CCCGGCGGTAGGCCGAGGCCGGGCG</t>
  </si>
  <si>
    <t xml:space="preserve">JL-005-09</t>
  </si>
  <si>
    <t xml:space="preserve">distal-less_B1_P1_09</t>
  </si>
  <si>
    <t xml:space="preserve">GAGGAGGGCAGCAAACGGAAGCCGCCGCCACCATGTAAAAGTTGG</t>
  </si>
  <si>
    <t xml:space="preserve">distal-less_B1_P2_09</t>
  </si>
  <si>
    <t xml:space="preserve">CGGCGAATGTTGGGAACCGCTGGAATAGAAGAGTCTTCCTTTACG</t>
  </si>
  <si>
    <t xml:space="preserve">B1_P1 (dll)_6</t>
  </si>
  <si>
    <t xml:space="preserve">B1_P2 (dll)_6</t>
  </si>
  <si>
    <t xml:space="preserve">GCCGCCGCCACCATGTAAAAGTTGG</t>
  </si>
  <si>
    <t xml:space="preserve">CGGCGAATGTTGGGAACCGCTGGAA</t>
  </si>
  <si>
    <t xml:space="preserve">JL-005-10</t>
  </si>
  <si>
    <t xml:space="preserve">distal-less_B1_P1_10</t>
  </si>
  <si>
    <t xml:space="preserve">GAGGAGGGCAGCAAACGGAAGAACGCTACCCGGCCTCTCGTGGCG</t>
  </si>
  <si>
    <t xml:space="preserve">distal-less_B1_P2_10</t>
  </si>
  <si>
    <t xml:space="preserve">AATTTTGAGGGATTTCTGGACTGCTTAGAAGAGTCTTCCTTTACG</t>
  </si>
  <si>
    <t xml:space="preserve">GAACGCTACCCGGCCTCTCGTGGCG</t>
  </si>
  <si>
    <t xml:space="preserve">AATTTTGAGGGATTTCTGGACTGCT</t>
  </si>
  <si>
    <t xml:space="preserve">probe name</t>
  </si>
  <si>
    <t xml:space="preserve">None</t>
  </si>
  <si>
    <t xml:space="preserve">JL-005-11</t>
  </si>
  <si>
    <t xml:space="preserve">distal-less_B1_P1_11</t>
  </si>
  <si>
    <t xml:space="preserve">GAGGAGGGCAGCAAACGGAACGGGCTGCGGGGTCGACGGGCCCCC</t>
  </si>
  <si>
    <t xml:space="preserve">distal-less_B1_P2_11</t>
  </si>
  <si>
    <t xml:space="preserve">GGTGGTCCAGCTCCTGGGTGGTCATTAGAAGAGTCTTCCTTTACG</t>
  </si>
  <si>
    <t xml:space="preserve">CGGGCTGCGGGGTCGACGGGCCCCC</t>
  </si>
  <si>
    <t xml:space="preserve">GGTGGTCCAGCTCCTGGGTGGTCAT</t>
  </si>
  <si>
    <t xml:space="preserve">P2 only</t>
  </si>
  <si>
    <t xml:space="preserve">JL-005-12</t>
  </si>
  <si>
    <t xml:space="preserve">distal-less_B1_P1_12</t>
  </si>
  <si>
    <t xml:space="preserve">GAGGAGGGCAGCAAACGGAAGGTTTGCGCATCTTCTTGCCCTTGC</t>
  </si>
  <si>
    <t xml:space="preserve">distal-less_B1_P2_12</t>
  </si>
  <si>
    <t xml:space="preserve">AGCTGCAAGCTGGAGTAGATGGTGCTAGAAGAGTCTTCCTTTACG</t>
  </si>
  <si>
    <t xml:space="preserve">GGTTTGCGCATCTTCTTGCCCTTGC</t>
  </si>
  <si>
    <t xml:space="preserve">AGCTGCAAGCTGGAGTAGATGGTGC</t>
  </si>
  <si>
    <t xml:space="preserve">JL-006-01</t>
  </si>
  <si>
    <t xml:space="preserve">drm_B1_P1_01</t>
  </si>
  <si>
    <t xml:space="preserve">GAGGAGGGCAGCAAACGGAACTTGGGGCGCAGCTTACGCCTGAAG</t>
  </si>
  <si>
    <t xml:space="preserve">drm_B1_P2_01</t>
  </si>
  <si>
    <t xml:space="preserve">TTGGCAATACTTGCAGACAAACTCGTAGAAGAGTCTTCCTTTACG</t>
  </si>
  <si>
    <t xml:space="preserve">B1_P1 (drumstick)_2</t>
  </si>
  <si>
    <t xml:space="preserve">B1_P2 (drumstick)_2</t>
  </si>
  <si>
    <t xml:space="preserve">CTTGGGGCGCAGCTTACGCCTGAAG</t>
  </si>
  <si>
    <t xml:space="preserve">TTGGCAATACTTGCAGACAAACTCG</t>
  </si>
  <si>
    <t xml:space="preserve">Jeriel_HCRoligosequences › drm</t>
  </si>
  <si>
    <t xml:space="preserve">JL-006-02</t>
  </si>
  <si>
    <t xml:space="preserve">drm_B1_P1_02</t>
  </si>
  <si>
    <t xml:space="preserve">GAGGAGGGCAGCAAACGGAATGCGCTCGTGTATCATCAGGTTGTA</t>
  </si>
  <si>
    <t xml:space="preserve">drm_B1_P2_02</t>
  </si>
  <si>
    <t xml:space="preserve">TGAAGCTCAGCTCGGGGCTCTTGTGTAGAAGAGTCTTCCTTTACG</t>
  </si>
  <si>
    <t xml:space="preserve">B1_P1 (drumstick)_3</t>
  </si>
  <si>
    <t xml:space="preserve">B1_P2 (drumstick)_3</t>
  </si>
  <si>
    <t xml:space="preserve">TGCGCTCGTGTATCATCAGGTTGTA</t>
  </si>
  <si>
    <t xml:space="preserve">TGAAGCTCAGCTCGGGGCTCTTGTG</t>
  </si>
  <si>
    <t xml:space="preserve">JL-006-03</t>
  </si>
  <si>
    <t xml:space="preserve">drm_B1_P1_03</t>
  </si>
  <si>
    <t xml:space="preserve">GAGGAGGGCAGCAAACGGAAAAATTGTCCTGCCTTTTGAAGCTCT</t>
  </si>
  <si>
    <t xml:space="preserve">drm_B1_P2_03</t>
  </si>
  <si>
    <t xml:space="preserve">AAGCATTGACTACATCTGTGCTGACTAGAAGAGTCTTCCTTTACG</t>
  </si>
  <si>
    <t xml:space="preserve">B1_P1 (drumstick)_4</t>
  </si>
  <si>
    <t xml:space="preserve">B1_P2 (drumstick)_4</t>
  </si>
  <si>
    <t xml:space="preserve">AAATTGTCCTGCCTTTTGAAGCTCT</t>
  </si>
  <si>
    <t xml:space="preserve">AAGCATTGACTACATCTGTGCTGAC</t>
  </si>
  <si>
    <t xml:space="preserve">JL-006-04</t>
  </si>
  <si>
    <t xml:space="preserve">drm_B1_P1_04</t>
  </si>
  <si>
    <t xml:space="preserve">GAGGAGGGCAGCAAACGGAATCTGGGCTATGGTGCTCGCTGCGGG</t>
  </si>
  <si>
    <t xml:space="preserve">drm_B1_P2_04</t>
  </si>
  <si>
    <t xml:space="preserve">TCGATTTGCATCACGGCGAACATTTTAGAAGAGTCTTCCTTTACG</t>
  </si>
  <si>
    <t xml:space="preserve">B1_P1 (drumstick)_1</t>
  </si>
  <si>
    <t xml:space="preserve">B1_P2 (drumstick)_1</t>
  </si>
  <si>
    <t xml:space="preserve">TCTGGGCTATGGTGCTCGCTGCGGG</t>
  </si>
  <si>
    <t xml:space="preserve">TCGATTTGCATCACGGCGAACATTT</t>
  </si>
  <si>
    <t xml:space="preserve">JL-006-05</t>
  </si>
  <si>
    <t xml:space="preserve">drm_B1_P1_05</t>
  </si>
  <si>
    <t xml:space="preserve">GAGGAGGGCAGCAAACGGAAGACCGCTGTTGTTGATCGTGCTTCT</t>
  </si>
  <si>
    <t xml:space="preserve">drm_B1_P2_05</t>
  </si>
  <si>
    <t xml:space="preserve">AGTGTATTTCTTCTATTGTGTAAGATAGAAGAGTCTTCCTTTACG</t>
  </si>
  <si>
    <t xml:space="preserve">B1_P1 (drumstick)_5</t>
  </si>
  <si>
    <t xml:space="preserve">B1_P2 (drumstick)_5</t>
  </si>
  <si>
    <t xml:space="preserve">GACCGCTGTTGTTGATCGTGCTTCT</t>
  </si>
  <si>
    <t xml:space="preserve">AGTGTATTTCTTCTATTGTGTAAGA</t>
  </si>
  <si>
    <t xml:space="preserve">JL-006-06</t>
  </si>
  <si>
    <t xml:space="preserve">drm_B1_P1_06</t>
  </si>
  <si>
    <t xml:space="preserve">GAGGAGGGCAGCAAACGGAAGTGAATCACCATCTTATGTTTGTGG</t>
  </si>
  <si>
    <t xml:space="preserve">drm_B1_P2_06</t>
  </si>
  <si>
    <t xml:space="preserve">ACATACAGGTCTCCGACTGATTGCATAGAAGAGTCTTCCTTTACG</t>
  </si>
  <si>
    <t xml:space="preserve">B1_P1 (drumstick)_6</t>
  </si>
  <si>
    <t xml:space="preserve">B1_P2 (drumstick)_6</t>
  </si>
  <si>
    <t xml:space="preserve">GTGAATCACCATCTTATGTTTGTGG</t>
  </si>
  <si>
    <t xml:space="preserve">ACATACAGGTCTCCGACTGATTGCA</t>
  </si>
  <si>
    <t xml:space="preserve">JL-007-01</t>
  </si>
  <si>
    <t xml:space="preserve">exd_B1_P1_01</t>
  </si>
  <si>
    <t xml:space="preserve">GAGGAGGGCAGCAAACGGAATCAGCTGCGGGTCTGGGGGCTCCTC</t>
  </si>
  <si>
    <t xml:space="preserve">exd_B1_P2_01</t>
  </si>
  <si>
    <t xml:space="preserve">CAGCTATCAGCATGTTGTCCAACCTTAGAAGAGTCTTCCTTTACG</t>
  </si>
  <si>
    <t xml:space="preserve">B1_P1 (exd)_1</t>
  </si>
  <si>
    <t xml:space="preserve">B1_P2 (exd)_1</t>
  </si>
  <si>
    <t xml:space="preserve">TCAGCTGCGGGTCTGGGGGCTCCTC</t>
  </si>
  <si>
    <t xml:space="preserve">CAGCTATCAGCATGTTGTCCAACCT</t>
  </si>
  <si>
    <t xml:space="preserve">Jeriel_HCRoligosequences › exd</t>
  </si>
  <si>
    <t xml:space="preserve">JL-007-02</t>
  </si>
  <si>
    <t xml:space="preserve">exd_B1_P1_02</t>
  </si>
  <si>
    <t xml:space="preserve">GAGGAGGGCAGCAAACGGAAGCTGCACCAGCGCCGCCACCCTTCT</t>
  </si>
  <si>
    <t xml:space="preserve">exd_B1_P2_02</t>
  </si>
  <si>
    <t xml:space="preserve">TCCCCTGCTGCTGCGGAGGCTGAAGTAGAAGAGTCTTCCTTTACG</t>
  </si>
  <si>
    <t xml:space="preserve">B1_P1 (exd)_2</t>
  </si>
  <si>
    <t xml:space="preserve">B1_P2 (exd)_2</t>
  </si>
  <si>
    <t xml:space="preserve">GCTGCACCAGCGCCGCCACCCTTCT</t>
  </si>
  <si>
    <t xml:space="preserve">TCCCCTGCTGCTGCGGAGGCTGAAG</t>
  </si>
  <si>
    <t xml:space="preserve">JL-007-03</t>
  </si>
  <si>
    <t xml:space="preserve">exd_B1_P1_03</t>
  </si>
  <si>
    <t xml:space="preserve">GAGGAGGGCAGCAAACGGAACAGCTTCGCGCGGTAGTCGGAATGC</t>
  </si>
  <si>
    <t xml:space="preserve">exd_B1_P2_03</t>
  </si>
  <si>
    <t xml:space="preserve">CTGGTGGTAGATCTGGCGGATCTGGTAGAAGAGTCTTCCTTTACG</t>
  </si>
  <si>
    <t xml:space="preserve">B1_P1 (exd)_3</t>
  </si>
  <si>
    <t xml:space="preserve">B1_P2 (exd)_3</t>
  </si>
  <si>
    <t xml:space="preserve">CAGCTTCGCGCGGTAGTCGGAATGC</t>
  </si>
  <si>
    <t xml:space="preserve">CTGGTGGTAGATCTGGCGGATCTGG</t>
  </si>
  <si>
    <t xml:space="preserve">JL-007-04</t>
  </si>
  <si>
    <t xml:space="preserve">exd_B1_P1_04</t>
  </si>
  <si>
    <t xml:space="preserve">GAGGAGGGCAGCAAACGGAAGGGTGGTGAACTCGTTGCAGGCGTT</t>
  </si>
  <si>
    <t xml:space="preserve">exd_B1_P2_04</t>
  </si>
  <si>
    <t xml:space="preserve">TCTGCTCCCGCAGCAGGTTCATGACTAGAAGAGTCTTCCTTTACG</t>
  </si>
  <si>
    <t xml:space="preserve">B1_P1 (exd)_4</t>
  </si>
  <si>
    <t xml:space="preserve">B1_P2 (exd)_4</t>
  </si>
  <si>
    <t xml:space="preserve">GGGTGGTGAACTCGTTGCAGGCGTT</t>
  </si>
  <si>
    <t xml:space="preserve">TCTGCTCCCGCAGCAGGTTCATGAC</t>
  </si>
  <si>
    <t xml:space="preserve">JL-007-05</t>
  </si>
  <si>
    <t xml:space="preserve">exd_B1_P1_05</t>
  </si>
  <si>
    <t xml:space="preserve">GAGGAGGGCAGCAAACGGAAACCATGCGCTCTATCTCCTTAGGAG</t>
  </si>
  <si>
    <t xml:space="preserve">exd_B1_P2_05</t>
  </si>
  <si>
    <t xml:space="preserve">GAACTAAACTTCTTGTGTATGATCTTAGAAGAGTCTTCCTTTACG</t>
  </si>
  <si>
    <t xml:space="preserve">B1_P1 (exd)_5</t>
  </si>
  <si>
    <t xml:space="preserve">B1_P2 (exd)_5</t>
  </si>
  <si>
    <t xml:space="preserve">ACCATGCGCTCTATCTCCTTAGGAG</t>
  </si>
  <si>
    <t xml:space="preserve">GAACTAAACTTCTTGTGTATGATCT</t>
  </si>
  <si>
    <t xml:space="preserve">JL-007-06</t>
  </si>
  <si>
    <t xml:space="preserve">exd_B1_P1_06</t>
  </si>
  <si>
    <t xml:space="preserve">GAGGAGGGCAGCAAACGGAACATAACTGCCTCACACGTGGACTGT</t>
  </si>
  <si>
    <t xml:space="preserve">exd_B1_P2_06</t>
  </si>
  <si>
    <t xml:space="preserve">CGCGTCCAGGAAACGTGAGCGTAGGTAGAAGAGTCTTCCTTTACG</t>
  </si>
  <si>
    <t xml:space="preserve">B1_P1 (exd)_6</t>
  </si>
  <si>
    <t xml:space="preserve">B1_P2 (exd)_6</t>
  </si>
  <si>
    <t xml:space="preserve">CATAACTGCCTCACACGTGGACTGT</t>
  </si>
  <si>
    <t xml:space="preserve">CGCGTCCAGGAAACGTGAGCGTAGG</t>
  </si>
  <si>
    <t xml:space="preserve">JL-008-01</t>
  </si>
  <si>
    <t xml:space="preserve">fringe_B1_P1_01</t>
  </si>
  <si>
    <t xml:space="preserve">GAGGAGGGCAGCAAACGGAACTTACTCTGACCACTATCAAAAATA</t>
  </si>
  <si>
    <t xml:space="preserve">fringe_B1_P2_01</t>
  </si>
  <si>
    <t xml:space="preserve">TATGAAAATGTCATCCAATGTTATGTAGAAGAGTCTTCCTTTACG</t>
  </si>
  <si>
    <t xml:space="preserve">B1_P1 (fng)_1</t>
  </si>
  <si>
    <t xml:space="preserve">B1_P2 (fng)_1</t>
  </si>
  <si>
    <t xml:space="preserve">CTTACTCTGACCACTATCAAAAATA</t>
  </si>
  <si>
    <t xml:space="preserve">TATGAAAATGTCATCCAATGTTATG</t>
  </si>
  <si>
    <t xml:space="preserve">Jeriel_HCRoligosequences › fringe</t>
  </si>
  <si>
    <t xml:space="preserve">JL-008-02</t>
  </si>
  <si>
    <t xml:space="preserve">fringe_B1_P1_02</t>
  </si>
  <si>
    <t xml:space="preserve">GAGGAGGGCAGCAAACGGAATCGGCAACCTCGAATACTGATAAAA</t>
  </si>
  <si>
    <t xml:space="preserve">fringe_B1_P2_02</t>
  </si>
  <si>
    <t xml:space="preserve">CCAATTGAAACCATGTCTTCAAAATTAGAAGAGTCTTCCTTTACG</t>
  </si>
  <si>
    <t xml:space="preserve">B1_P1 (fng)_2</t>
  </si>
  <si>
    <t xml:space="preserve">B1_P2 (fng)_2</t>
  </si>
  <si>
    <t xml:space="preserve">TCGGCAACCTCGAATACTGATAAAA</t>
  </si>
  <si>
    <t xml:space="preserve">CCAATTGAAACCATGTCTTCAAAAT</t>
  </si>
  <si>
    <t xml:space="preserve">JL-008-03</t>
  </si>
  <si>
    <t xml:space="preserve">fringe_B1_P1_03</t>
  </si>
  <si>
    <t xml:space="preserve">GAGGAGGGCAGCAAACGGAACGTGGGTTGTCTGTGTCGGTGAAAA</t>
  </si>
  <si>
    <t xml:space="preserve">fringe_B1_P2_03</t>
  </si>
  <si>
    <t xml:space="preserve">ATGTGACCGTTGGTTTGATTTTGGTTAGAAGAGTCTTCCTTTACG</t>
  </si>
  <si>
    <t xml:space="preserve">B1_P1 (fng)_3</t>
  </si>
  <si>
    <t xml:space="preserve">B1_P2 (fng)_3</t>
  </si>
  <si>
    <t xml:space="preserve">CGTGGGTTGTCTGTGTCGGTGAAAA</t>
  </si>
  <si>
    <t xml:space="preserve">ATGTGACCGTTGGTTTGATTTTGGT</t>
  </si>
  <si>
    <t xml:space="preserve">JL-008-04</t>
  </si>
  <si>
    <t xml:space="preserve">fringe_B1_P1_04</t>
  </si>
  <si>
    <t xml:space="preserve">GAGGAGGGCAGCAAACGGAAGAGGTGTTTTAGCTGGTGTGACGCC</t>
  </si>
  <si>
    <t xml:space="preserve">fringe_B1_P2_04</t>
  </si>
  <si>
    <t xml:space="preserve">ATCGTACTCCACGGACATTTTGCAATAGAAGAGTCTTCCTTTACG</t>
  </si>
  <si>
    <t xml:space="preserve">B1_P1 (fng)_4</t>
  </si>
  <si>
    <t xml:space="preserve">B1_P2 (fng)_4</t>
  </si>
  <si>
    <t xml:space="preserve">GAGGTGTTTTAGCTGGTGTGACGCC</t>
  </si>
  <si>
    <t xml:space="preserve">ATCGTACTCCACGGACATTTTGCAA</t>
  </si>
  <si>
    <t xml:space="preserve">JL-008-05</t>
  </si>
  <si>
    <t xml:space="preserve">fringe_B1_P1_05</t>
  </si>
  <si>
    <t xml:space="preserve">GAGGAGGGCAGCAAACGGAACGTCGAAGTGACAAAACCACTTTTT</t>
  </si>
  <si>
    <t xml:space="preserve">fringe_B1_P2_05</t>
  </si>
  <si>
    <t xml:space="preserve">AGCGCGGAATATTGACGTAGTTGTCTAGAAGAGTCTTCCTTTACG</t>
  </si>
  <si>
    <t xml:space="preserve">B1_P1 (fng)_5</t>
  </si>
  <si>
    <t xml:space="preserve">B1_P2 (fng)_5</t>
  </si>
  <si>
    <t xml:space="preserve">CGTCGAAGTGACAAAACCACTTTTT</t>
  </si>
  <si>
    <t xml:space="preserve">AGCGCGGAATATTGACGTAGTTGTC</t>
  </si>
  <si>
    <t xml:space="preserve">JL-008-06</t>
  </si>
  <si>
    <t xml:space="preserve">fringe_B1_P1_06</t>
  </si>
  <si>
    <t xml:space="preserve">GAGGAGGGCAGCAAACGGAATACCAGTCTTCTTGATGATTGTACT</t>
  </si>
  <si>
    <t xml:space="preserve">fringe_B1_P2_06</t>
  </si>
  <si>
    <t xml:space="preserve">GGTTTGTTCACAGAAGTTTTCCCGATAGAAGAGTCTTCCTTTACG</t>
  </si>
  <si>
    <t xml:space="preserve">B1_P1 (fng)_6</t>
  </si>
  <si>
    <t xml:space="preserve">B1_P2 (fng)_6</t>
  </si>
  <si>
    <t xml:space="preserve">TACCAGTCTTCTTGATGATTGTACT</t>
  </si>
  <si>
    <t xml:space="preserve">GGTTTGTTCACAGAAGTTTTCCCGA</t>
  </si>
  <si>
    <t xml:space="preserve">JL-008-07</t>
  </si>
  <si>
    <t xml:space="preserve">fringe_B1_P1_07</t>
  </si>
  <si>
    <t xml:space="preserve">GAGGAGGGCAGCAAACGGAAAGTGTATAATAACTCGTTGGTAGGC</t>
  </si>
  <si>
    <t xml:space="preserve">fringe_B1_P2_07</t>
  </si>
  <si>
    <t xml:space="preserve">TCCGGCACCACCGGTTGCGAACCAATAGAAGAGTCTTCCTTTACG</t>
  </si>
  <si>
    <t xml:space="preserve">B1_P1 (fng)_7</t>
  </si>
  <si>
    <t xml:space="preserve">B1_P2 (fng)_7</t>
  </si>
  <si>
    <t xml:space="preserve">AGTGTATAATAACTCGTTGGTAGGC</t>
  </si>
  <si>
    <t xml:space="preserve">TCCGGCACCACCGGTTGCGAACCAA</t>
  </si>
  <si>
    <t xml:space="preserve">JL-008-08</t>
  </si>
  <si>
    <t xml:space="preserve">fringe_B1_P1_08</t>
  </si>
  <si>
    <t xml:space="preserve">GAGGAGGGCAGCAAACGGAACAATCGGTAACATTTTTAAAGCTAA</t>
  </si>
  <si>
    <t xml:space="preserve">fringe_B1_P2_08</t>
  </si>
  <si>
    <t xml:space="preserve">AGATACTGATGAATCTGCCACCACTTAGAAGAGTCTTCCTTTACG</t>
  </si>
  <si>
    <t xml:space="preserve">B1_P1 (fng)_8</t>
  </si>
  <si>
    <t xml:space="preserve">B1_P2 (fng)_8</t>
  </si>
  <si>
    <t xml:space="preserve">CAATCGGTAACATTTTTAAAGCTAA</t>
  </si>
  <si>
    <t xml:space="preserve">AGATACTGATGAATCTGCCACCACT</t>
  </si>
  <si>
    <t xml:space="preserve">JL-008-09</t>
  </si>
  <si>
    <t xml:space="preserve">fringe_B1_P1_09</t>
  </si>
  <si>
    <t xml:space="preserve">GAGGAGGGCAGCAAACGGAAATATAACCCAAAGTGACATCATCCG</t>
  </si>
  <si>
    <t xml:space="preserve">fringe_B1_P2_09</t>
  </si>
  <si>
    <t xml:space="preserve">AAGTTTTTCTCCATTAGATGTTCTATAGAAGAGTCTTCCTTTACG</t>
  </si>
  <si>
    <t xml:space="preserve">B1_P1 (fng)_9</t>
  </si>
  <si>
    <t xml:space="preserve">B1_P2 (fng)_9</t>
  </si>
  <si>
    <t xml:space="preserve">ATATAACCCAAAGTGACATCATCCG</t>
  </si>
  <si>
    <t xml:space="preserve">AAGTTTTTCTCCATTAGATGTTCTA</t>
  </si>
  <si>
    <t xml:space="preserve">JL-008-10</t>
  </si>
  <si>
    <t xml:space="preserve">fringe_B1_P1_10</t>
  </si>
  <si>
    <t xml:space="preserve">GAGGAGGGCAGCAAACGGAATTTCATTTGCTCCAAATGTGAATGT</t>
  </si>
  <si>
    <t xml:space="preserve">fringe_B1_P2_10</t>
  </si>
  <si>
    <t xml:space="preserve">GTCTCGAAAAGTTTCAGGATTCAGTTAGAAGAGTCTTCCTTTACG</t>
  </si>
  <si>
    <t xml:space="preserve">B1_P1 (fng)_10</t>
  </si>
  <si>
    <t xml:space="preserve">B1_P2 (fng)_10</t>
  </si>
  <si>
    <t xml:space="preserve">TTTCATTTGCTCCAAATGTGAATGT</t>
  </si>
  <si>
    <t xml:space="preserve">GTCTCGAAAAGTTTCAGGATTCAGT</t>
  </si>
  <si>
    <t xml:space="preserve">JL-009-01</t>
  </si>
  <si>
    <t xml:space="preserve">hth_B1_P1_01</t>
  </si>
  <si>
    <t xml:space="preserve">GAGGAGGGCAGCAAACGGAATGTCCTCGTTAAAGGACTCTGAGGA</t>
  </si>
  <si>
    <t xml:space="preserve">hth_B1_P2_01</t>
  </si>
  <si>
    <t xml:space="preserve">GACGTATCTGTTTACTGAACACCGCTAGAAGAGTCTTCCTTTACG</t>
  </si>
  <si>
    <t xml:space="preserve">B1_P1 (hth)_1</t>
  </si>
  <si>
    <t xml:space="preserve">B1_P2 (hth)_1</t>
  </si>
  <si>
    <t xml:space="preserve">TGTCCTCGTTAAAGGACTCTGAGGA</t>
  </si>
  <si>
    <t xml:space="preserve">GACGTATCTGTTTACTGAACACCGC</t>
  </si>
  <si>
    <t xml:space="preserve">Jeriel_HCRoligosequences › hth</t>
  </si>
  <si>
    <t xml:space="preserve">JL-009-02</t>
  </si>
  <si>
    <t xml:space="preserve">hth_B1_P1_02</t>
  </si>
  <si>
    <t xml:space="preserve">GAGGAGGGCAGCAAACGGAAAATGAGTCTACCTCGGGGTCCGCTA</t>
  </si>
  <si>
    <t xml:space="preserve">hth_B1_P2_02</t>
  </si>
  <si>
    <t xml:space="preserve">CGTAGGACTTGTATTGCTTGCACCATAGAAGAGTCTTCCTTTACG</t>
  </si>
  <si>
    <t xml:space="preserve">B1_P1 (hth)_2</t>
  </si>
  <si>
    <t xml:space="preserve">B1_P2 (hth)_2</t>
  </si>
  <si>
    <t xml:space="preserve">AATGAGTCTACCTCGGGGTCCGCTA</t>
  </si>
  <si>
    <t xml:space="preserve">CGTAGGACTTGTATTGCTTGCACCA</t>
  </si>
  <si>
    <t xml:space="preserve">JL-009-03</t>
  </si>
  <si>
    <t xml:space="preserve">hth_B1_P1_03</t>
  </si>
  <si>
    <t xml:space="preserve">GAGGAGGGCAGCAAACGGAAGTCGCACAGCTCGTGCACTTTTTCT</t>
  </si>
  <si>
    <t xml:space="preserve">hth_B1_P2_03</t>
  </si>
  <si>
    <t xml:space="preserve">GCAGCTGATGTAGCGGTGGCAGAAGTAGAAGAGTCTTCCTTTACG</t>
  </si>
  <si>
    <t xml:space="preserve">B1_P1 (hth)_3</t>
  </si>
  <si>
    <t xml:space="preserve">B1_P2 (hth)_3</t>
  </si>
  <si>
    <t xml:space="preserve">GTCGCACAGCTCGTGCACTTTTTCT</t>
  </si>
  <si>
    <t xml:space="preserve">GCAGCTGATGTAGCGGTGGCAGAAG</t>
  </si>
  <si>
    <t xml:space="preserve">JL-009-04</t>
  </si>
  <si>
    <t xml:space="preserve">hth_B1_P1_04</t>
  </si>
  <si>
    <t xml:space="preserve">GAGGAGGGCAGCAAACGGAACCCGCTCGTCGATCACCAGGTCGAT</t>
  </si>
  <si>
    <t xml:space="preserve">hth_B1_P2_04</t>
  </si>
  <si>
    <t xml:space="preserve">CGTTGGTGTCCGGCGGCCGGGCTGATAGAAGAGTCTTCCTTTACG</t>
  </si>
  <si>
    <t xml:space="preserve">B1_P1 (hth)_4</t>
  </si>
  <si>
    <t xml:space="preserve">B1_P2 (hth)_4</t>
  </si>
  <si>
    <t xml:space="preserve">CCCGCTCGTCGATCACCAGGTCGAT</t>
  </si>
  <si>
    <t xml:space="preserve">CGTTGGTGTCCGGCGGCCGGGCTGA</t>
  </si>
  <si>
    <t xml:space="preserve">JL-009-05</t>
  </si>
  <si>
    <t xml:space="preserve">hth_B1_P1_05</t>
  </si>
  <si>
    <t xml:space="preserve">GAGGAGGGCAGCAAACGGAAGATGCGCCGTCGTGGTTGCTGTCAG</t>
  </si>
  <si>
    <t xml:space="preserve">hth_B1_P2_05</t>
  </si>
  <si>
    <t xml:space="preserve">AAATCTGGCCTTACGACGTCGGGGGTAGAAGAGTCTTCCTTTACG</t>
  </si>
  <si>
    <t xml:space="preserve">B1_P1 (hth)_5</t>
  </si>
  <si>
    <t xml:space="preserve">B1_P2 (hth)_5</t>
  </si>
  <si>
    <t xml:space="preserve">GATGCGCCGTCGTGGTTGCTGTCAG</t>
  </si>
  <si>
    <t xml:space="preserve">AAATCTGGCCTTACGACGTCGGGGG</t>
  </si>
  <si>
    <t xml:space="preserve">JL-009-06</t>
  </si>
  <si>
    <t xml:space="preserve">hth_B1_P1_06</t>
  </si>
  <si>
    <t xml:space="preserve">GAGGAGGGCAGCAAACGGAACCACTTACCCATGGCATCACCTTCG</t>
  </si>
  <si>
    <t xml:space="preserve">hth_B1_P2_06</t>
  </si>
  <si>
    <t xml:space="preserve">ATTTATGGGGCTCCGTGGTGTCTCGTAGAAGAGTCTTCCTTTACG</t>
  </si>
  <si>
    <t xml:space="preserve">B1_P1 (hth)_6</t>
  </si>
  <si>
    <t xml:space="preserve">B1_P2 (hth)_6</t>
  </si>
  <si>
    <t xml:space="preserve">CCACTTACCCATGGCATCACCTTCG</t>
  </si>
  <si>
    <t xml:space="preserve">ATTTATGGGGCTCCGTGGTGTCTCG</t>
  </si>
  <si>
    <t xml:space="preserve">JL-009-07</t>
  </si>
  <si>
    <t xml:space="preserve">hth_B1_P1_07</t>
  </si>
  <si>
    <t xml:space="preserve">GAGGAGGGCAGCAAACGGAAGAGGGGATGACCATTCCCGCCGCGA</t>
  </si>
  <si>
    <t xml:space="preserve">hth_B1_P2_07</t>
  </si>
  <si>
    <t xml:space="preserve">AGGAGTAGACCCGCCGCGCCACGTCTAGAAGAGTCTTCCTTTACG</t>
  </si>
  <si>
    <t xml:space="preserve">B1_P1 (hth)_7</t>
  </si>
  <si>
    <t xml:space="preserve">B1_P2 (hth)_7</t>
  </si>
  <si>
    <t xml:space="preserve">GAGGGGATGACCATTCCCGCCGCGA</t>
  </si>
  <si>
    <t xml:space="preserve">AGGAGTAGACCCGCCGCGCCACGTC</t>
  </si>
  <si>
    <t xml:space="preserve">JL-009-08</t>
  </si>
  <si>
    <t xml:space="preserve">hth_B1_P1_08</t>
  </si>
  <si>
    <t xml:space="preserve">GAGGAGGGCAGCAAACGGAACTGGCATCCCCTGGGTATTCCCCGG</t>
  </si>
  <si>
    <t xml:space="preserve">hth_B1_P2_08</t>
  </si>
  <si>
    <t xml:space="preserve">CCCTCGCCGGAGCCGATACTCGCGTTAGAAGAGTCTTCCTTTACG</t>
  </si>
  <si>
    <t xml:space="preserve">B1_P1 (hth)_8</t>
  </si>
  <si>
    <t xml:space="preserve">B1_P2 (hth)_8</t>
  </si>
  <si>
    <t xml:space="preserve">CTGGCATCCCCTGGGTATTCCCCGG</t>
  </si>
  <si>
    <t xml:space="preserve">CCCTCGCCGGAGCCGATACTCGCGT</t>
  </si>
  <si>
    <t xml:space="preserve">JL-009-09</t>
  </si>
  <si>
    <t xml:space="preserve">hth_B1_P1_09</t>
  </si>
  <si>
    <t xml:space="preserve">GAGGAGGGCAGCAAACGGAATTGGTTCTTCTTTCCGTTCGTGTCG</t>
  </si>
  <si>
    <t xml:space="preserve">hth_B1_P2_09</t>
  </si>
  <si>
    <t xml:space="preserve">GACCTTCGGAAAGATTCCCCGTTTCTAGAAGAGTCTTCCTTTACG</t>
  </si>
  <si>
    <t xml:space="preserve">B1_P1 (hth)_9</t>
  </si>
  <si>
    <t xml:space="preserve">B1_P2 (hth)_9</t>
  </si>
  <si>
    <t xml:space="preserve">TTGGTTCTTCTTTCCGTTCGTGTCG</t>
  </si>
  <si>
    <t xml:space="preserve">GACCTTCGGAAAGATTCCCCGTTTC</t>
  </si>
  <si>
    <t xml:space="preserve">JL-009-10</t>
  </si>
  <si>
    <t xml:space="preserve">hth_B1_P1_10</t>
  </si>
  <si>
    <t xml:space="preserve">GAGGAGGGCAGCAAACGGAAGCGTTAAGTGCTGAAAGAGCCACGC</t>
  </si>
  <si>
    <t xml:space="preserve">hth_B1_P2_10</t>
  </si>
  <si>
    <t xml:space="preserve">TCTTCTGGTCTTCCGAAGGGTAGGGTAGAAGAGTCTTCCTTTACG</t>
  </si>
  <si>
    <t xml:space="preserve">B1_P1 (hth)_10</t>
  </si>
  <si>
    <t xml:space="preserve">B1_P2 (hth)_10</t>
  </si>
  <si>
    <t xml:space="preserve">GCGTTAAGTGCTGAAAGAGCCACGC</t>
  </si>
  <si>
    <t xml:space="preserve">TCTTCTGGTCTTCCGAAGGGTAGGG</t>
  </si>
  <si>
    <t xml:space="preserve">JL-010-01</t>
  </si>
  <si>
    <t xml:space="preserve">nubbin_B1_P1_01</t>
  </si>
  <si>
    <t xml:space="preserve">GAGGAGGGCAGCAAACGGAATCAGCAGGAGGTGCTGCAGCTGCGC</t>
  </si>
  <si>
    <t xml:space="preserve">nubbin_B1_P2_01</t>
  </si>
  <si>
    <t xml:space="preserve">GCAGCAGCGAGTGCGCGCCGTGCTGTAGAAGAGTCTTCCTTTACG</t>
  </si>
  <si>
    <t xml:space="preserve">B1_P1 (nubbin-like)_1</t>
  </si>
  <si>
    <t xml:space="preserve">B1_P2 (nubbin-like)_1</t>
  </si>
  <si>
    <t xml:space="preserve">TCAGCAGGAGGTGCTGCAGCTGCGC</t>
  </si>
  <si>
    <t xml:space="preserve">GCAGCAGCGAGTGCGCGCCGTGCTG</t>
  </si>
  <si>
    <t xml:space="preserve">Jeriel_HCRoligosequences › nubbin</t>
  </si>
  <si>
    <t xml:space="preserve">JL-010-02</t>
  </si>
  <si>
    <t xml:space="preserve">nubbin_B1_P1_02</t>
  </si>
  <si>
    <t xml:space="preserve">GAGGAGGGCAGCAAACGGAATGCGCGGCCGCCTGCGCCACCGCCT</t>
  </si>
  <si>
    <t xml:space="preserve">nubbin_B1_P2_02</t>
  </si>
  <si>
    <t xml:space="preserve">GCGCGCGCCTGCAGCTGCTGCAGCTTAGAAGAGTCTTCCTTTACG</t>
  </si>
  <si>
    <t xml:space="preserve">B1_P1 (nubbin-like)_2</t>
  </si>
  <si>
    <t xml:space="preserve">B1_P2 (nubbin-like)_2</t>
  </si>
  <si>
    <t xml:space="preserve">TGCGCGGCCGCCTGCGCCACCGCCT</t>
  </si>
  <si>
    <t xml:space="preserve">GCGCGCGCCTGCAGCTGCTGCAGCT</t>
  </si>
  <si>
    <t xml:space="preserve">JL-010-03</t>
  </si>
  <si>
    <t xml:space="preserve">nubbin_B1_P1_03</t>
  </si>
  <si>
    <t xml:space="preserve">GAGGAGGGCAGCAAACGGAACGGCGAGGGCGAGCGCGCGGCGCCG</t>
  </si>
  <si>
    <t xml:space="preserve">nubbin_B1_P2_03</t>
  </si>
  <si>
    <t xml:space="preserve">GAAAGCGGCGGCGCCGGGCGGGCTGTAGAAGAGTCTTCCTTTACG</t>
  </si>
  <si>
    <t xml:space="preserve">B1_P1 (nubbin-like)_3</t>
  </si>
  <si>
    <t xml:space="preserve">B1_P2 (nubbin-like)_3</t>
  </si>
  <si>
    <t xml:space="preserve">CGGCGAGGGCGAGCGCGCGGCGCCG</t>
  </si>
  <si>
    <t xml:space="preserve">GAAAGCGGCGGCGCCGGGCGGGCTG</t>
  </si>
  <si>
    <t xml:space="preserve">JL-010-04</t>
  </si>
  <si>
    <t xml:space="preserve">nubbin_B1_P1_04</t>
  </si>
  <si>
    <t xml:space="preserve">GAGGAGGGCAGCAAACGGAAGCGGCGAGCGCGCGCGGCCCGGACC</t>
  </si>
  <si>
    <t xml:space="preserve">nubbin_B1_P2_04</t>
  </si>
  <si>
    <t xml:space="preserve">GCGCGTGCAGCGGCGAGTGGAGCGCTAGAAGAGTCTTCCTTTACG</t>
  </si>
  <si>
    <t xml:space="preserve">B1_P1 (nubbin-like)_4</t>
  </si>
  <si>
    <t xml:space="preserve">B1_P2 (nubbin-like)_4</t>
  </si>
  <si>
    <t xml:space="preserve">GCGGCGAGCGCGCGCGGCCCGGACC</t>
  </si>
  <si>
    <t xml:space="preserve">GCGCGTGCAGCGGCGAGTGGAGCGC</t>
  </si>
  <si>
    <t xml:space="preserve">JL-010-05</t>
  </si>
  <si>
    <t xml:space="preserve">nubbin_B1_P1_05</t>
  </si>
  <si>
    <t xml:space="preserve">GAGGAGGGCAGCAAACGGAAGCCGTGTCGTCGGCCGGGTCCAGCG</t>
  </si>
  <si>
    <t xml:space="preserve">nubbin_B1_P2_05</t>
  </si>
  <si>
    <t xml:space="preserve">GCGAAGTGCTCGAGCTCCTCGAGGTTAGAAGAGTCTTCCTTTACG</t>
  </si>
  <si>
    <t xml:space="preserve">B1_P1 (nubbin-like)_5</t>
  </si>
  <si>
    <t xml:space="preserve">B1_P2 (nubbin-like)_5</t>
  </si>
  <si>
    <t xml:space="preserve">GCCGTGTCGTCGGCCGGGTCCAGCG</t>
  </si>
  <si>
    <t xml:space="preserve">GCGAAGTGCTCGAGCTCCTCGAGGT</t>
  </si>
  <si>
    <t xml:space="preserve">JL-010-06</t>
  </si>
  <si>
    <t xml:space="preserve">nubbin_B1_P1_06</t>
  </si>
  <si>
    <t xml:space="preserve">GAGGAGGGCAGCAAACGGAACTGCGTGAAGCCGAGCTTGATGCGG</t>
  </si>
  <si>
    <t xml:space="preserve">nubbin_B1_P2_06</t>
  </si>
  <si>
    <t xml:space="preserve">CTTGCCCATGGCCAGCCCCACGTCGTAGAAGAGTCTTCCTTTACG</t>
  </si>
  <si>
    <t xml:space="preserve">B1_P1 (nubbin-like)_6</t>
  </si>
  <si>
    <t xml:space="preserve">B1_P2 (nubbin-like)_6</t>
  </si>
  <si>
    <t xml:space="preserve">CTGCGTGAAGCCGAGCTTGATGCGG</t>
  </si>
  <si>
    <t xml:space="preserve">CTTGCCCATGGCCAGCCCCACGTCG</t>
  </si>
  <si>
    <t xml:space="preserve">JL-010-07</t>
  </si>
  <si>
    <t xml:space="preserve">nubbin_B1_P1_07</t>
  </si>
  <si>
    <t xml:space="preserve">GAGGAGGGCAGCAAACGGAACGAAGCGCGAGATGGTCGTCTGCGA</t>
  </si>
  <si>
    <t xml:space="preserve">nubbin_B1_P2_07</t>
  </si>
  <si>
    <t xml:space="preserve">TGTTCTTGAAGCTCAGGTTGAGCGCTAGAAGAGTCTTCCTTTACG</t>
  </si>
  <si>
    <t xml:space="preserve">B1_P1 (nubbin-like)_7</t>
  </si>
  <si>
    <t xml:space="preserve">B1_P2 (nubbin-like)_7</t>
  </si>
  <si>
    <t xml:space="preserve">CGAAGCGCGAGATGGTCGTCTGCGA</t>
  </si>
  <si>
    <t xml:space="preserve">TGTTCTTGAAGCTCAGGTTGAGCGC</t>
  </si>
  <si>
    <t xml:space="preserve">JL-010-08</t>
  </si>
  <si>
    <t xml:space="preserve">nubbin_B1_P1_08</t>
  </si>
  <si>
    <t xml:space="preserve">GAGGAGGGCAGCAAACGGAAGCGTCCTCCAGCCACTTCTGCAGCA</t>
  </si>
  <si>
    <t xml:space="preserve">nubbin_B1_P2_08</t>
  </si>
  <si>
    <t xml:space="preserve">GCGCCGCCGCCGCTCAGCGACGAGTTAGAAGAGTCTTCCTTTACG</t>
  </si>
  <si>
    <t xml:space="preserve">B1_P1 (nubbin-like)_8</t>
  </si>
  <si>
    <t xml:space="preserve">B1_P2 (nubbin-like)_8</t>
  </si>
  <si>
    <t xml:space="preserve">GCGTCCTCCAGCCACTTCTGCAGCA</t>
  </si>
  <si>
    <t xml:space="preserve">GCGCCGCCGCCGCTCAGCGACGAGT</t>
  </si>
  <si>
    <t xml:space="preserve">JL-010-09</t>
  </si>
  <si>
    <t xml:space="preserve">nubbin_B1_P1_09</t>
  </si>
  <si>
    <t xml:space="preserve">GAGGAGGGCAGCAAACGGAACCCCACCGCCTCCGCCAGCGCCGCG</t>
  </si>
  <si>
    <t xml:space="preserve">nubbin_B1_P2_09</t>
  </si>
  <si>
    <t xml:space="preserve">GATGCTGGTGCGCTTCTTGCGGCGCTAGAAGAGTCTTCCTTTACG</t>
  </si>
  <si>
    <t xml:space="preserve">B1_P1 (nubbin-like)_9</t>
  </si>
  <si>
    <t xml:space="preserve">B1_P2 (nubbin-like)_9</t>
  </si>
  <si>
    <t xml:space="preserve">CCCCACCGCCTCCGCCAGCGCCGCG</t>
  </si>
  <si>
    <t xml:space="preserve">GATGCTGGTGCGCTTCTTGCGGCGC</t>
  </si>
  <si>
    <t xml:space="preserve">JL-010-10</t>
  </si>
  <si>
    <t xml:space="preserve">nubbin_B1_P1_10</t>
  </si>
  <si>
    <t xml:space="preserve">GAGGAGGGCAGCAAACGGAATGCGCAGGAAGGCCTTCTCCAGCGC</t>
  </si>
  <si>
    <t xml:space="preserve">nubbin_B1_P2_10</t>
  </si>
  <si>
    <t xml:space="preserve">CGATCTCCTCACTGGTGGGCTTGGGTAGAAGAGTCTTCCTTTACG</t>
  </si>
  <si>
    <t xml:space="preserve">B1_P1 (nubbin-like)_10</t>
  </si>
  <si>
    <t xml:space="preserve">B1_P2 (nubbin-like)_10</t>
  </si>
  <si>
    <t xml:space="preserve">TGCGCAGGAAGGCCTTCTCCAGCGC</t>
  </si>
  <si>
    <t xml:space="preserve">CGATCTCCTCACTGGTGGGCTTGGG</t>
  </si>
  <si>
    <t xml:space="preserve">JL-011-01</t>
  </si>
  <si>
    <t xml:space="preserve">pannier_B1_P1_01</t>
  </si>
  <si>
    <t xml:space="preserve">GAGGAGGGCAGCAAACGGAAGGGTTCTGATCCGTGGACGGGTACG</t>
  </si>
  <si>
    <t xml:space="preserve">pannier_B1_P2_01</t>
  </si>
  <si>
    <t xml:space="preserve">GAACTGTCAACCCCGATGCTGGGGTTAGAAGAGTCTTCCTTTACG</t>
  </si>
  <si>
    <t xml:space="preserve">B1_P1 (pnr)_1</t>
  </si>
  <si>
    <t xml:space="preserve">B1_P2 (pnr)_1</t>
  </si>
  <si>
    <t xml:space="preserve">GGGTTCTGATCCGTGGACGGGTACG</t>
  </si>
  <si>
    <t xml:space="preserve">GAACTGTCAACCCCGATGCTGGGGT</t>
  </si>
  <si>
    <t xml:space="preserve">Jeriel_HCRoligosequences › pannier</t>
  </si>
  <si>
    <t xml:space="preserve">identical to Dragonaut9000 S004</t>
  </si>
  <si>
    <t xml:space="preserve">JL-011-02</t>
  </si>
  <si>
    <t xml:space="preserve">pannier_B1_P1_02</t>
  </si>
  <si>
    <t xml:space="preserve">GAGGAGGGCAGCAAACGGAACTCTTTCAGAGCGTACGGGTTGCTC</t>
  </si>
  <si>
    <t xml:space="preserve">pannier_B1_P2_02</t>
  </si>
  <si>
    <t xml:space="preserve">TGTCCAAGCTGACATCTCGCCGTTTTAGAAGAGTCTTCCTTTACG</t>
  </si>
  <si>
    <t xml:space="preserve">B1_P1 (pnr)_2</t>
  </si>
  <si>
    <t xml:space="preserve">B1_P2 (pnr)_2</t>
  </si>
  <si>
    <t xml:space="preserve">CTCTTTCAGAGCGTACGGGTTGCTC</t>
  </si>
  <si>
    <t xml:space="preserve">TGTCCAAGCTGACATCTCGCCGTTT</t>
  </si>
  <si>
    <t xml:space="preserve">JL-011-03</t>
  </si>
  <si>
    <t xml:space="preserve">pannier_B1_P1_03</t>
  </si>
  <si>
    <t xml:space="preserve">GAGGAGGGCAGCAAACGGAAGGTCGTAGGGGTAGTAGCCGCCGGA</t>
  </si>
  <si>
    <t xml:space="preserve">pannier_B1_P2_03</t>
  </si>
  <si>
    <t xml:space="preserve">CTCCGTATCCGTAGGCCGCGAGCGTTAGAAGAGTCTTCCTTTACG</t>
  </si>
  <si>
    <t xml:space="preserve">B1_P1 (pnr)_3</t>
  </si>
  <si>
    <t xml:space="preserve">B1_P2 (pnr)_3</t>
  </si>
  <si>
    <t xml:space="preserve">GGTCGTAGGGGTAGTAGCCGCCGGA</t>
  </si>
  <si>
    <t xml:space="preserve">CTCCGTATCCGTAGGCCGCGAGCGT</t>
  </si>
  <si>
    <t xml:space="preserve">JL-011-04</t>
  </si>
  <si>
    <t xml:space="preserve">pannier_B1_P1_04</t>
  </si>
  <si>
    <t xml:space="preserve">GAGGAGGGCAGCAAACGGAATCGCGCGTCGCGTTTTTCCGCCTGG</t>
  </si>
  <si>
    <t xml:space="preserve">pannier_B1_P2_04</t>
  </si>
  <si>
    <t xml:space="preserve">AGCCACGCCTTTAGTGTTGCGGTGGTAGAAGAGTCTTCCTTTACG</t>
  </si>
  <si>
    <t xml:space="preserve">B1_P1 (pnr)_4</t>
  </si>
  <si>
    <t xml:space="preserve">B1_P2 (pnr)_4</t>
  </si>
  <si>
    <t xml:space="preserve">TCGCGCGTCGCGTTTTTCCGCCTGG</t>
  </si>
  <si>
    <t xml:space="preserve">AGCCACGCCTTTAGTGTTGCGGTGG</t>
  </si>
  <si>
    <t xml:space="preserve">JL-011-05</t>
  </si>
  <si>
    <t xml:space="preserve">pannier_B1_P1_05</t>
  </si>
  <si>
    <t xml:space="preserve">GAGGAGGGCAGCAAACGGAACTTCTCCCCCTTGGTCGGGTACGGG</t>
  </si>
  <si>
    <t xml:space="preserve">pannier_B1_P2_05</t>
  </si>
  <si>
    <t xml:space="preserve">CATCTTGGTGATGATGGCCAACATTTAGAAGAGTCTTCCTTTACG</t>
  </si>
  <si>
    <t xml:space="preserve">B1_P1 (pnr)_5</t>
  </si>
  <si>
    <t xml:space="preserve">B1_P2 (pnr)_5</t>
  </si>
  <si>
    <t xml:space="preserve">CTTCTCCCCCTTGGTCGGGTACGGG</t>
  </si>
  <si>
    <t xml:space="preserve">CATCTTGGTGATGATGGCCAACATT</t>
  </si>
  <si>
    <t xml:space="preserve">JL-011-06</t>
  </si>
  <si>
    <t xml:space="preserve">pannier_B1_P1_06</t>
  </si>
  <si>
    <t xml:space="preserve">GAGGAGGGCAGCAAACGGAAGCCGGCGCGCGTTCGCGAACCACGT</t>
  </si>
  <si>
    <t xml:space="preserve">pannier_B1_P2_06</t>
  </si>
  <si>
    <t xml:space="preserve">AGGTCATCTTGTTCTCCTTCTTGAGTAGAAGAGTCTTCCTTTACG</t>
  </si>
  <si>
    <t xml:space="preserve">B1_P1 (pnr)_6</t>
  </si>
  <si>
    <t xml:space="preserve">B1_P2 (pnr)_6</t>
  </si>
  <si>
    <t xml:space="preserve">GCCGGCGCGCGTTCGCGAACCACGT</t>
  </si>
  <si>
    <t xml:space="preserve">AGGTCATCTTGTTCTCCTTCTTGAG</t>
  </si>
  <si>
    <t xml:space="preserve">JL-011-07</t>
  </si>
  <si>
    <t xml:space="preserve">pannier_B1_P1_07</t>
  </si>
  <si>
    <t xml:space="preserve">GAGGAGGGCAGCAAACGGAAAGCATGGTGTCGTCGTCGTCGTCTG</t>
  </si>
  <si>
    <t xml:space="preserve">pannier_B1_P2_07</t>
  </si>
  <si>
    <t xml:space="preserve">TTGTCGTCGTCTTTCTCCTCGTCGGTAGAAGAGTCTTCCTTTACG</t>
  </si>
  <si>
    <t xml:space="preserve">B1_P1 (pnr)_7</t>
  </si>
  <si>
    <t xml:space="preserve">B1_P2 (pnr)_7</t>
  </si>
  <si>
    <t xml:space="preserve">AGCATGGTGTCGTCGTCGTCGTCTG</t>
  </si>
  <si>
    <t xml:space="preserve">TTGTCGTCGTCTTTCTCCTCGTCGG</t>
  </si>
  <si>
    <t xml:space="preserve">JL-011-08</t>
  </si>
  <si>
    <t xml:space="preserve">pannier_B1_P1_08</t>
  </si>
  <si>
    <t xml:space="preserve">GAGGAGGGCAGCAAACGGAAAAGCTCGTCCCCCTTCCTTTCCTCA</t>
  </si>
  <si>
    <t xml:space="preserve">pannier_B1_P2_08</t>
  </si>
  <si>
    <t xml:space="preserve">GAGTAGTTGACTGTGCATGCCCTGGTAGAAGAGTCTTCCTTTACG</t>
  </si>
  <si>
    <t xml:space="preserve">B1_P1 (pnr)_8</t>
  </si>
  <si>
    <t xml:space="preserve">B1_P2 (pnr)_8</t>
  </si>
  <si>
    <t xml:space="preserve">AAGCTCGTCCCCCTTCCTTTCCTCA</t>
  </si>
  <si>
    <t xml:space="preserve">GAGTAGTTGACTGTGCATGCCCTGG</t>
  </si>
  <si>
    <t xml:space="preserve">JL-011-09</t>
  </si>
  <si>
    <t xml:space="preserve">pannier_B1_P1_09</t>
  </si>
  <si>
    <t xml:space="preserve">GAGGAGGGCAGCAAACGGAAAGTCTGAAGTCCCTCGCTTGGACTC</t>
  </si>
  <si>
    <t xml:space="preserve">pannier_B1_P2_09</t>
  </si>
  <si>
    <t xml:space="preserve">GCTTCGACGCTGGTATCGGCACGCCTAGAAGAGTCTTCCTTTACG</t>
  </si>
  <si>
    <t xml:space="preserve">B1_P1 (pnr)_9</t>
  </si>
  <si>
    <t xml:space="preserve">B1_P2 (pnr)_9</t>
  </si>
  <si>
    <t xml:space="preserve">AGTCTGAAGTCCCTCGCTTGGACTC</t>
  </si>
  <si>
    <t xml:space="preserve">GCTTCGACGCTGGTATCGGCACGCC</t>
  </si>
  <si>
    <t xml:space="preserve">JL-012-01</t>
  </si>
  <si>
    <t xml:space="preserve">rotund_B1_P1_01</t>
  </si>
  <si>
    <t xml:space="preserve">GAGGAGGGCAGCAAACGGAATAAGTACGGACGGCTTTATCTCAGG</t>
  </si>
  <si>
    <t xml:space="preserve">rotund_B1_P2_01</t>
  </si>
  <si>
    <t xml:space="preserve">GTAGACCACTTTTGAATTCGGATAATAGAAGAGTCTTCCTTTACG</t>
  </si>
  <si>
    <t xml:space="preserve">B1_P1 (rotund)_1</t>
  </si>
  <si>
    <t xml:space="preserve">B1_P2 (rotund)_1</t>
  </si>
  <si>
    <t xml:space="preserve">TAAGTACGGACGGCTTTATCTCAGG</t>
  </si>
  <si>
    <t xml:space="preserve">GTAGACCACTTTTGAATTCGGATAA</t>
  </si>
  <si>
    <t xml:space="preserve">Jeriel_HCRoligosequences › rotund</t>
  </si>
  <si>
    <t xml:space="preserve">JL-012-02</t>
  </si>
  <si>
    <t xml:space="preserve">rotund_B1_P1_02</t>
  </si>
  <si>
    <t xml:space="preserve">GAGGAGGGCAGCAAACGGAACGCTGAATGTCATTCTCTTGGTCAT</t>
  </si>
  <si>
    <t xml:space="preserve">rotund_B1_P2_02</t>
  </si>
  <si>
    <t xml:space="preserve">TTTCCATCGTCGTGCGGTGTCATTTTAGAAGAGTCTTCCTTTACG</t>
  </si>
  <si>
    <t xml:space="preserve">B1_P1 (rotund)_2</t>
  </si>
  <si>
    <t xml:space="preserve">B1_P2 (rotund)_2</t>
  </si>
  <si>
    <t xml:space="preserve">CGCTGAATGTCATTCTCTTGGTCAT</t>
  </si>
  <si>
    <t xml:space="preserve">TTTCCATCGTCGTGCGGTGTCATTT</t>
  </si>
  <si>
    <t xml:space="preserve">JL-012-03</t>
  </si>
  <si>
    <t xml:space="preserve">rotund_B1_P1_03</t>
  </si>
  <si>
    <t xml:space="preserve">GAGGAGGGCAGCAAACGGAATCCGCCGTTTTCTGATAAAGGCGTT</t>
  </si>
  <si>
    <t xml:space="preserve">rotund_B1_P2_03</t>
  </si>
  <si>
    <t xml:space="preserve">GAACACCTTTTCCTCTTGAATGCTTTAGAAGAGTCTTCCTTTACG</t>
  </si>
  <si>
    <t xml:space="preserve">B1_P1 (rotund)_3</t>
  </si>
  <si>
    <t xml:space="preserve">B1_P2 (rotund)_3</t>
  </si>
  <si>
    <t xml:space="preserve">TCCGCCGTTTTCTGATAAAGGCGTT</t>
  </si>
  <si>
    <t xml:space="preserve">GAACACCTTTTCCTCTTGAATGCTT</t>
  </si>
  <si>
    <t xml:space="preserve">JL-013-01</t>
  </si>
  <si>
    <t xml:space="preserve">scr_B1_P1_01</t>
  </si>
  <si>
    <t xml:space="preserve">GAGGAGGGCAGCAAACGGAAGCTGTAGCATTTGGATTATAATAGT</t>
  </si>
  <si>
    <t xml:space="preserve">scr_B1_P2_01</t>
  </si>
  <si>
    <t xml:space="preserve">GGTGAATAACATGTATTTGGATACGTAGAAGAGTCTTCCTTTACG</t>
  </si>
  <si>
    <t xml:space="preserve">B1_P1 (scr)_1</t>
  </si>
  <si>
    <t xml:space="preserve">B1_P2 (scr)_1</t>
  </si>
  <si>
    <t xml:space="preserve">GCTGTAGCATTTGGATTATAATAGT</t>
  </si>
  <si>
    <t xml:space="preserve">GGTGAATAACATGTATTTGGATACG</t>
  </si>
  <si>
    <t xml:space="preserve">Jeriel_HCRoligosequences › scr</t>
  </si>
  <si>
    <t xml:space="preserve">JL-013-02</t>
  </si>
  <si>
    <t xml:space="preserve">scr_B1_P1_02</t>
  </si>
  <si>
    <t xml:space="preserve">GAGGAGGGCAGCAAACGGAACGTCGCATACGGATGTTGCGGGTAA</t>
  </si>
  <si>
    <t xml:space="preserve">scr_B1_P2_02</t>
  </si>
  <si>
    <t xml:space="preserve">TGGTTGCATGTGAGCACCGGCTGCCTAGAAGAGTCTTCCTTTACG</t>
  </si>
  <si>
    <t xml:space="preserve">B1_P1 (scr)_2</t>
  </si>
  <si>
    <t xml:space="preserve">B1_P2 (scr)_2</t>
  </si>
  <si>
    <t xml:space="preserve">CGTCGCATACGGATGTTGCGGGTAA</t>
  </si>
  <si>
    <t xml:space="preserve">TGGTTGCATGTGAGCACCGGCTGCC</t>
  </si>
  <si>
    <t xml:space="preserve">JL-013-03</t>
  </si>
  <si>
    <t xml:space="preserve">scr_B1_P1_03</t>
  </si>
  <si>
    <t xml:space="preserve">GAGGAGGGCAGCAAACGGAACAAGTCTTTGTGGATGCAGTTGTGT</t>
  </si>
  <si>
    <t xml:space="preserve">scr_B1_P2_03</t>
  </si>
  <si>
    <t xml:space="preserve">GTTGGTGCACATGGCTCGCCGTGCCTAGAAGAGTCTTCCTTTACG</t>
  </si>
  <si>
    <t xml:space="preserve">B1_P1 (scr)_3</t>
  </si>
  <si>
    <t xml:space="preserve">B1_P2 (scr)_3</t>
  </si>
  <si>
    <t xml:space="preserve">CAAGTCTTTGTGGATGCAGTTGTGT</t>
  </si>
  <si>
    <t xml:space="preserve">GTTGGTGCACATGGCTCGCCGTGCC</t>
  </si>
  <si>
    <t xml:space="preserve">JL-013-04</t>
  </si>
  <si>
    <t xml:space="preserve">scr_B1_P1_04</t>
  </si>
  <si>
    <t xml:space="preserve">GAGGAGGGCAGCAAACGGAAGACATTAGATTCGGGGAAAGCGCTC</t>
  </si>
  <si>
    <t xml:space="preserve">scr_B1_P2_04</t>
  </si>
  <si>
    <t xml:space="preserve">GCACTGGCGGCTTGACTGGGCGGCGTAGAAGAGTCTTCCTTTACG</t>
  </si>
  <si>
    <t xml:space="preserve">B1_P1 (scr)_4</t>
  </si>
  <si>
    <t xml:space="preserve">B1_P2 (scr)_4</t>
  </si>
  <si>
    <t xml:space="preserve">GACATTAGATTCGGGGAAAGCGCTC</t>
  </si>
  <si>
    <t xml:space="preserve">GCACTGGCGGCTTGACTGGGCGGCG</t>
  </si>
  <si>
    <t xml:space="preserve">JL-013-05</t>
  </si>
  <si>
    <t xml:space="preserve">scr_B1_P1_05</t>
  </si>
  <si>
    <t xml:space="preserve">GAGGAGGGCAGCAAACGGAATGCTAAACCTGTTGTAGAGGTTGAA</t>
  </si>
  <si>
    <t xml:space="preserve">scr_B1_P2_05</t>
  </si>
  <si>
    <t xml:space="preserve">TGAAGAAGTTGACAAGTCCTGCGGCTAGAAGAGTCTTCCTTTACG</t>
  </si>
  <si>
    <t xml:space="preserve">B1_P1 (scr)_5</t>
  </si>
  <si>
    <t xml:space="preserve">B1_P2 (scr)_5</t>
  </si>
  <si>
    <t xml:space="preserve">TGCTAAACCTGTTGTAGAGGTTGAA</t>
  </si>
  <si>
    <t xml:space="preserve">TGAAGAAGTTGACAAGTCCTGCGGC</t>
  </si>
  <si>
    <t xml:space="preserve">JL-013-06</t>
  </si>
  <si>
    <t xml:space="preserve">scr_B1_P1_06</t>
  </si>
  <si>
    <t xml:space="preserve">GAGGAGGGCAGCAAACGGAAGATTACCGACATTTCCGAAACCCGG</t>
  </si>
  <si>
    <t xml:space="preserve">scr_B1_P2_06</t>
  </si>
  <si>
    <t xml:space="preserve">CGAGTTTAGTACTGGTCGTGCCGCTTAGAAGAGTCTTCCTTTACG</t>
  </si>
  <si>
    <t xml:space="preserve">B1_P1 (scr)_6</t>
  </si>
  <si>
    <t xml:space="preserve">B1_P2 (scr)_6</t>
  </si>
  <si>
    <t xml:space="preserve">GATTACCGACATTTCCGAAACCCGG</t>
  </si>
  <si>
    <t xml:space="preserve">CGAGTTTAGTACTGGTCGTGCCGCT</t>
  </si>
  <si>
    <t xml:space="preserve">JL-013-07</t>
  </si>
  <si>
    <t xml:space="preserve">scr_B1_P1_07</t>
  </si>
  <si>
    <t xml:space="preserve">GAGGAGGGCAGCAAACGGAATTCGCCTTGTGCTCCACTGGGGAAG</t>
  </si>
  <si>
    <t xml:space="preserve">scr_B1_P2_07</t>
  </si>
  <si>
    <t xml:space="preserve">GCAGGGCTCGAGATGTTTTGATTGATAGAAGAGTCTTCCTTTACG</t>
  </si>
  <si>
    <t xml:space="preserve">B1_P1 (scr)_7</t>
  </si>
  <si>
    <t xml:space="preserve">B1_P2 (scr)_7</t>
  </si>
  <si>
    <t xml:space="preserve">TTCGCCTTGTGCTCCACTGGGGAAG</t>
  </si>
  <si>
    <t xml:space="preserve">GCAGGGCTCGAGATGTTTTGATTGA</t>
  </si>
  <si>
    <t xml:space="preserve">JL-013-08</t>
  </si>
  <si>
    <t xml:space="preserve">scr_B1_P1_08</t>
  </si>
  <si>
    <t xml:space="preserve">GAGGAGGGCAGCAAACGGAATGAATTGTTCGCTTCATTGCTTTCG</t>
  </si>
  <si>
    <t xml:space="preserve">scr_B1_P2_08</t>
  </si>
  <si>
    <t xml:space="preserve">TTTCGCGTTCTTCGTATTGCTTGAATAGAAGAGTCTTCCTTTACG</t>
  </si>
  <si>
    <t xml:space="preserve">B1_P1 (scr)_8</t>
  </si>
  <si>
    <t xml:space="preserve">B1_P2 (scr)_8</t>
  </si>
  <si>
    <t xml:space="preserve">TGAATTGTTCGCTTCATTGCTTTCG</t>
  </si>
  <si>
    <t xml:space="preserve">TTTCGCGTTCTTCGTATTGCTTGAA</t>
  </si>
  <si>
    <t xml:space="preserve">JL-013-09</t>
  </si>
  <si>
    <t xml:space="preserve">scr_B1_P1_09</t>
  </si>
  <si>
    <t xml:space="preserve">GAGGAGGGCAGCAAACGGAAATGGGTAAATCTGCGGTGGATTTGC</t>
  </si>
  <si>
    <t xml:space="preserve">scr_B1_P2_09</t>
  </si>
  <si>
    <t xml:space="preserve">TTTGGCCTAGGTGAACTCTTTTCATTAGAAGAGTCTTCCTTTACG</t>
  </si>
  <si>
    <t xml:space="preserve">B1_P1 (scr)_9</t>
  </si>
  <si>
    <t xml:space="preserve">B1_P2 (scr)_9</t>
  </si>
  <si>
    <t xml:space="preserve">ATGGGTAAATCTGCGGTGGATTTGC</t>
  </si>
  <si>
    <t xml:space="preserve">TTTGGCCTAGGTGAACTCTTTTCAT</t>
  </si>
  <si>
    <t xml:space="preserve">JL-013-10</t>
  </si>
  <si>
    <t xml:space="preserve">scr_B1_P1_10</t>
  </si>
  <si>
    <t xml:space="preserve">GAGGAGGGCAGCAAACGGAAGACGTCCTCTGTCGTTTCGTCTCTC</t>
  </si>
  <si>
    <t xml:space="preserve">scr_B1_P2_10</t>
  </si>
  <si>
    <t xml:space="preserve">AGTTCGAGTGTCTGGTACCGGGTGTTAGAAGAGTCTTCCTTTACG</t>
  </si>
  <si>
    <t xml:space="preserve">B1_P1 (scr)_10</t>
  </si>
  <si>
    <t xml:space="preserve">B1_P2 (scr)_10</t>
  </si>
  <si>
    <t xml:space="preserve">GACGTCCTCTGTCGTTTCGTCTCTC</t>
  </si>
  <si>
    <t xml:space="preserve">AGTTCGAGTGTCTGGTACCGGGTGT</t>
  </si>
  <si>
    <t xml:space="preserve">JL-013-11</t>
  </si>
  <si>
    <t xml:space="preserve">scr_B1_P1_11</t>
  </si>
  <si>
    <t xml:space="preserve">GAGGAGGGCAGCAAACGGAATCTTCTCCGCGTCAGGTACCGATTG</t>
  </si>
  <si>
    <t xml:space="preserve">scr_B1_P2_11</t>
  </si>
  <si>
    <t xml:space="preserve">GCAGAGGGCATGCGCGATCTCGATCTAGAAGAGTCTTCCTTTACG</t>
  </si>
  <si>
    <t xml:space="preserve">B1_P1 (scr)_11</t>
  </si>
  <si>
    <t xml:space="preserve">B1_P2 (scr)_11</t>
  </si>
  <si>
    <t xml:space="preserve">TCTTCTCCGCGTCAGGTACCGATTG</t>
  </si>
  <si>
    <t xml:space="preserve">GCAGAGGGCATGCGCGATCTCGATC</t>
  </si>
  <si>
    <t xml:space="preserve">JL-013-12</t>
  </si>
  <si>
    <t xml:space="preserve">scr_B1_P1_12</t>
  </si>
  <si>
    <t xml:space="preserve">GAGGAGGGCAGCAAACGGAATGCGCCGGTTCTGGAACCAGATTTT</t>
  </si>
  <si>
    <t xml:space="preserve">scr_B1_P2_12</t>
  </si>
  <si>
    <t xml:space="preserve">CCATTTTATGTTCCTTCTTCCACTTTAGAAGAGTCTTCCTTTACG</t>
  </si>
  <si>
    <t xml:space="preserve">B1_P1 (scr)_12</t>
  </si>
  <si>
    <t xml:space="preserve">B1_P2 (scr)_12</t>
  </si>
  <si>
    <t xml:space="preserve">TGCGCCGGTTCTGGAACCAGATTTT</t>
  </si>
  <si>
    <t xml:space="preserve">CCATTTTATGTTCCTTCTTCCACTT</t>
  </si>
  <si>
    <t xml:space="preserve">JL-014-01</t>
  </si>
  <si>
    <t xml:space="preserve">sob_B1_P1_01</t>
  </si>
  <si>
    <t xml:space="preserve">GAGGAGGGCAGCAAACGGAACTGGAGCATGTTCTCTTGTAACAAC</t>
  </si>
  <si>
    <t xml:space="preserve">sob_B1_P2_01</t>
  </si>
  <si>
    <t xml:space="preserve">GGATATCACTACGCCTTGCAACGATTAGAAGAGTCTTCCTTTACG</t>
  </si>
  <si>
    <t xml:space="preserve">B1_P1 (sob)_1</t>
  </si>
  <si>
    <t xml:space="preserve">B1_P2 (sob)_1</t>
  </si>
  <si>
    <t xml:space="preserve">CTGGAGCATGTTCTCTTGTAACAAC</t>
  </si>
  <si>
    <t xml:space="preserve">GGATATCACTACGCCTTGCAACGAT</t>
  </si>
  <si>
    <t xml:space="preserve">Jeriel_HCRoligosequences › sob</t>
  </si>
  <si>
    <t xml:space="preserve">JL-014-02</t>
  </si>
  <si>
    <t xml:space="preserve">sob_B1_P1_02</t>
  </si>
  <si>
    <t xml:space="preserve">GAGGAGGGCAGCAAACGGAAATAAAGCAGCCTGTTGCAGAGAATT</t>
  </si>
  <si>
    <t xml:space="preserve">sob_B1_P2_02</t>
  </si>
  <si>
    <t xml:space="preserve">CAGCGGCTGCCGCAGAATTCGACGGTAGAAGAGTCTTCCTTTACG</t>
  </si>
  <si>
    <t xml:space="preserve">B1_P1 (sob)_2</t>
  </si>
  <si>
    <t xml:space="preserve">B1_P2 (sob)_2</t>
  </si>
  <si>
    <t xml:space="preserve">ATAAAGCAGCCTGTTGCAGAGAATT</t>
  </si>
  <si>
    <t xml:space="preserve">CAGCGGCTGCCGCAGAATTCGACGG</t>
  </si>
  <si>
    <t xml:space="preserve">JL-014-03</t>
  </si>
  <si>
    <t xml:space="preserve">sob_B1_P1_03</t>
  </si>
  <si>
    <t xml:space="preserve">GAGGAGGGCAGCAAACGGAACGTTGTAAAGTTAAATAGGATTCTA</t>
  </si>
  <si>
    <t xml:space="preserve">sob_B1_P2_03</t>
  </si>
  <si>
    <t xml:space="preserve">TTGTTTACAGATGACACAGATGTGATAGAAGAGTCTTCCTTTACG</t>
  </si>
  <si>
    <t xml:space="preserve">B1_P1 (sob)_3</t>
  </si>
  <si>
    <t xml:space="preserve">B1_P2 (sob)_3</t>
  </si>
  <si>
    <t xml:space="preserve">CGTTGTAAAGTTAAATAGGATTCTA</t>
  </si>
  <si>
    <t xml:space="preserve">TTGTTTACAGATGACACAGATGTGA</t>
  </si>
  <si>
    <t xml:space="preserve">JL-014-04</t>
  </si>
  <si>
    <t xml:space="preserve">sob_B1_P1_04</t>
  </si>
  <si>
    <t xml:space="preserve">GAGGAGGGCAGCAAACGGAATTGTTTAGTTGAAGTAATACTTTCG</t>
  </si>
  <si>
    <t xml:space="preserve">sob_B1_P2_04</t>
  </si>
  <si>
    <t xml:space="preserve">GCTGGCCGTCGCGAGCCTCAGTATGTAGAAGAGTCTTCCTTTACG</t>
  </si>
  <si>
    <t xml:space="preserve">B1_P1 (sob)_4</t>
  </si>
  <si>
    <t xml:space="preserve">B1_P2 (sob)_4</t>
  </si>
  <si>
    <t xml:space="preserve">TTGTTTAGTTGAAGTAATACTTTCG</t>
  </si>
  <si>
    <t xml:space="preserve">GCTGGCCGTCGCGAGCCTCAGTATG</t>
  </si>
  <si>
    <t xml:space="preserve">JL-014-05</t>
  </si>
  <si>
    <t xml:space="preserve">sob_B1_P1_05</t>
  </si>
  <si>
    <t xml:space="preserve">GAGGAGGGCAGCAAACGGAACTCTAGATGTACTTTCAGAAACGTC</t>
  </si>
  <si>
    <t xml:space="preserve">sob_B1_P2_05</t>
  </si>
  <si>
    <t xml:space="preserve">ACTCTTCAGGCGTTTTCGGAGATATTAGAAGAGTCTTCCTTTACG</t>
  </si>
  <si>
    <t xml:space="preserve">B1_P1 (sob)_5</t>
  </si>
  <si>
    <t xml:space="preserve">B1_P2 (sob)_5</t>
  </si>
  <si>
    <t xml:space="preserve">CTCTAGATGTACTTTCAGAAACGTC</t>
  </si>
  <si>
    <t xml:space="preserve">ACTCTTCAGGCGTTTTCGGAGATAT</t>
  </si>
  <si>
    <t xml:space="preserve">JL-014-06</t>
  </si>
  <si>
    <t xml:space="preserve">sob_B1_P1_06</t>
  </si>
  <si>
    <t xml:space="preserve">GAGGAGGGCAGCAAACGGAAGATAAATCTACATCTTCAGCCGCTA</t>
  </si>
  <si>
    <t xml:space="preserve">sob_B1_P2_06</t>
  </si>
  <si>
    <t xml:space="preserve">AAAGCTAAGTCTTCTTCCACTTCTTTAGAAGAGTCTTCCTTTACG</t>
  </si>
  <si>
    <t xml:space="preserve">B1_P1 (sob)_6</t>
  </si>
  <si>
    <t xml:space="preserve">B1_P2 (sob)_6</t>
  </si>
  <si>
    <t xml:space="preserve">GATAAATCTACATCTTCAGCCGCTA</t>
  </si>
  <si>
    <t xml:space="preserve">AAAGCTAAGTCTTCTTCCACTTCTT</t>
  </si>
  <si>
    <t xml:space="preserve">JL-014-07</t>
  </si>
  <si>
    <t xml:space="preserve">sob_B1_P1_07</t>
  </si>
  <si>
    <t xml:space="preserve">GAGGAGGGCAGCAAACGGAATTCTAGATGCTGTTCCAACGTGAAT</t>
  </si>
  <si>
    <t xml:space="preserve">sob_B1_P2_07</t>
  </si>
  <si>
    <t xml:space="preserve">ACTGTACCCGTATCCTTTTGACGTATAGAAGAGTCTTCCTTTACG</t>
  </si>
  <si>
    <t xml:space="preserve">B1_P1 (sob)_7</t>
  </si>
  <si>
    <t xml:space="preserve">B1_P2 (sob)_7</t>
  </si>
  <si>
    <t xml:space="preserve">TTCTAGATGCTGTTCCAACGTGAAT</t>
  </si>
  <si>
    <t xml:space="preserve">ACTGTACCCGTATCCTTTTGACGTA</t>
  </si>
  <si>
    <t xml:space="preserve">JL-014-08</t>
  </si>
  <si>
    <t xml:space="preserve">sob_B1_P1_08</t>
  </si>
  <si>
    <t xml:space="preserve">GAGGAGGGCAGCAAACGGAATCATTAGAAGGCTCGGGTAACCGTT</t>
  </si>
  <si>
    <t xml:space="preserve">sob_B1_P2_08</t>
  </si>
  <si>
    <t xml:space="preserve">CATTCATTTGCTGCTGATACATGGCTAGAAGAGTCTTCCTTTACG</t>
  </si>
  <si>
    <t xml:space="preserve">B1_P1 (sob)_8</t>
  </si>
  <si>
    <t xml:space="preserve">B1_P2 (sob)_8</t>
  </si>
  <si>
    <t xml:space="preserve">TCATTAGAAGGCTCGGGTAACCGTT</t>
  </si>
  <si>
    <t xml:space="preserve">CATTCATTTGCTGCTGATACATGGC</t>
  </si>
  <si>
    <t xml:space="preserve">JL-015-01</t>
  </si>
  <si>
    <t xml:space="preserve">tiptop_B1_P1_01</t>
  </si>
  <si>
    <t xml:space="preserve">GAGGAGGGCAGCAAACGGAACGGCTAAAGAGCGGAAACTTTCGGC</t>
  </si>
  <si>
    <t xml:space="preserve">tiptop_B1_P2_01</t>
  </si>
  <si>
    <t xml:space="preserve">GGGTGCGCTGCATGTGGCTCGTCATTAGAAGAGTCTTCCTTTACG</t>
  </si>
  <si>
    <t xml:space="preserve">B1_P1 (tio)_1</t>
  </si>
  <si>
    <t xml:space="preserve">B1_P2 (tio)_1</t>
  </si>
  <si>
    <t xml:space="preserve">CGGCTAAAGAGCGGAAACTTTCGGC</t>
  </si>
  <si>
    <t xml:space="preserve">GGGTGCGCTGCATGTGGCTCGTCAT</t>
  </si>
  <si>
    <t xml:space="preserve">Jeriel_HCRoligosequences › tiptop</t>
  </si>
  <si>
    <t xml:space="preserve">JL-015-02</t>
  </si>
  <si>
    <t xml:space="preserve">tiptop_B1_P1_02</t>
  </si>
  <si>
    <t xml:space="preserve">GAGGAGGGCAGCAAACGGAACAAGAAATGATTTGTTCTTGTGATA</t>
  </si>
  <si>
    <t xml:space="preserve">tiptop_B1_P2_02</t>
  </si>
  <si>
    <t xml:space="preserve">GAGCCCTTGGCTTCATCTGAAGACTTAGAAGAGTCTTCCTTTACG</t>
  </si>
  <si>
    <t xml:space="preserve">B1_P1 (tio)_2</t>
  </si>
  <si>
    <t xml:space="preserve">B1_P2 (tio)_2</t>
  </si>
  <si>
    <t xml:space="preserve">CAAGAAATGATTTGTTCTTGTGATA</t>
  </si>
  <si>
    <t xml:space="preserve">GAGCCCTTGGCTTCATCTGAAGACT</t>
  </si>
  <si>
    <t xml:space="preserve">JL-015-03</t>
  </si>
  <si>
    <t xml:space="preserve">tiptop_B1_P1_03</t>
  </si>
  <si>
    <t xml:space="preserve">GAGGAGGGCAGCAAACGGAACGTCGGAGGAACCGCGTTATTAGTA</t>
  </si>
  <si>
    <t xml:space="preserve">tiptop_B1_P2_03</t>
  </si>
  <si>
    <t xml:space="preserve">AGCGCTAACGTGACTACTCGTCCCTTAGAAGAGTCTTCCTTTACG</t>
  </si>
  <si>
    <t xml:space="preserve">B1_P1 (tio)_3</t>
  </si>
  <si>
    <t xml:space="preserve">B1_P2 (tio)_3</t>
  </si>
  <si>
    <t xml:space="preserve">CGTCGGAGGAACCGCGTTATTAGTA</t>
  </si>
  <si>
    <t xml:space="preserve">AGCGCTAACGTGACTACTCGTCCCT</t>
  </si>
  <si>
    <t xml:space="preserve">JL-015-04</t>
  </si>
  <si>
    <t xml:space="preserve">tiptop_B1_P1_04</t>
  </si>
  <si>
    <t xml:space="preserve">GAGGAGGGCAGCAAACGGAATTAAGGAACTAAACGCTTGGTCGCA</t>
  </si>
  <si>
    <t xml:space="preserve">tiptop_B1_P2_04</t>
  </si>
  <si>
    <t xml:space="preserve">TCTTAACCATATGATTACTTAATTCTAGAAGAGTCTTCCTTTACG</t>
  </si>
  <si>
    <t xml:space="preserve">B1_P1 (tio)_4</t>
  </si>
  <si>
    <t xml:space="preserve">B1_P2 (tio)_4</t>
  </si>
  <si>
    <t xml:space="preserve">TTAAGGAACTAAACGCTTGGTCGCA</t>
  </si>
  <si>
    <t xml:space="preserve">TCTTAACCATATGATTACTTAATTC</t>
  </si>
  <si>
    <t xml:space="preserve">JL-015-05</t>
  </si>
  <si>
    <t xml:space="preserve">tiptop_B1_P1_05</t>
  </si>
  <si>
    <t xml:space="preserve">GAGGAGGGCAGCAAACGGAACTTTCAGTTATCGAGCGCATAATGT</t>
  </si>
  <si>
    <t xml:space="preserve">tiptop_B1_P2_05</t>
  </si>
  <si>
    <t xml:space="preserve">TCGCGCGTTTGTCGTCGTCTGCCACTAGAAGAGTCTTCCTTTACG</t>
  </si>
  <si>
    <t xml:space="preserve">B1_P1 (tio)_5</t>
  </si>
  <si>
    <t xml:space="preserve">B1_P2 (tio)_5</t>
  </si>
  <si>
    <t xml:space="preserve">CTTTCAGTTATCGAGCGCATAATGT</t>
  </si>
  <si>
    <t xml:space="preserve">TCGCGCGTTTGTCGTCGTCTGCCAC</t>
  </si>
  <si>
    <t xml:space="preserve">JL-015-06</t>
  </si>
  <si>
    <t xml:space="preserve">tiptop_B1_P1_06</t>
  </si>
  <si>
    <t xml:space="preserve">GAGGAGGGCAGCAAACGGAAGAGCTCGAGAAGTTTCCTCACAGGC</t>
  </si>
  <si>
    <t xml:space="preserve">tiptop_B1_P2_06</t>
  </si>
  <si>
    <t xml:space="preserve">ATTTTTAAACTCATGTTGGGCTCTCTAGAAGAGTCTTCCTTTACG</t>
  </si>
  <si>
    <t xml:space="preserve">B1_P1 (tio)_6</t>
  </si>
  <si>
    <t xml:space="preserve">B1_P2 (tio)_6</t>
  </si>
  <si>
    <t xml:space="preserve">GAGCTCGAGAAGTTTCCTCACAGGC</t>
  </si>
  <si>
    <t xml:space="preserve">ATTTTTAAACTCATGTTGGGCTCTC</t>
  </si>
  <si>
    <t xml:space="preserve">JL-015-07</t>
  </si>
  <si>
    <t xml:space="preserve">tiptop_B1_P1_07</t>
  </si>
  <si>
    <t xml:space="preserve">GAGGAGGGCAGCAAACGGAAAATCCCTAATAGGTTTTCCCATAGG</t>
  </si>
  <si>
    <t xml:space="preserve">tiptop_B1_P2_07</t>
  </si>
  <si>
    <t xml:space="preserve">CGCAAGTGATACGGCTTCCAGAGCCTAGAAGAGTCTTCCTTTACG</t>
  </si>
  <si>
    <t xml:space="preserve">B1_P1 (tio)_7</t>
  </si>
  <si>
    <t xml:space="preserve">B1_P2 (tio)_7</t>
  </si>
  <si>
    <t xml:space="preserve">AATCCCTAATAGGTTTTCCCATAGG</t>
  </si>
  <si>
    <t xml:space="preserve">CGCAAGTGATACGGCTTCCAGAGCC</t>
  </si>
  <si>
    <t xml:space="preserve">JL-015-08</t>
  </si>
  <si>
    <t xml:space="preserve">tiptop_B1_P1_08</t>
  </si>
  <si>
    <t xml:space="preserve">GAGGAGGGCAGCAAACGGAATGTTCTACGAATACAGCAGTCTCAA</t>
  </si>
  <si>
    <t xml:space="preserve">tiptop_B1_P2_08</t>
  </si>
  <si>
    <t xml:space="preserve">ATGGGCGCGCCTATGCATTGTCGGATAGAAGAGTCTTCCTTTACG</t>
  </si>
  <si>
    <t xml:space="preserve">B1_P1 (tio)_8</t>
  </si>
  <si>
    <t xml:space="preserve">B1_P2 (tio)_8</t>
  </si>
  <si>
    <t xml:space="preserve">TGTTCTACGAATACAGCAGTCTCAA</t>
  </si>
  <si>
    <t xml:space="preserve">ATGGGCGCGCCTATGCATTGTCGGA</t>
  </si>
  <si>
    <t xml:space="preserve">JL-015-09</t>
  </si>
  <si>
    <t xml:space="preserve">tiptop_B1_P1_09</t>
  </si>
  <si>
    <t xml:space="preserve">GAGGAGGGCAGCAAACGGAAGGAAAGTAGAGCACTTTTTAGAAAA</t>
  </si>
  <si>
    <t xml:space="preserve">tiptop_B1_P2_09</t>
  </si>
  <si>
    <t xml:space="preserve">GGGCACGTCGGGTGGAATAATATTATAGAAGAGTCTTCCTTTACG</t>
  </si>
  <si>
    <t xml:space="preserve">B1_P1 (tio)_9</t>
  </si>
  <si>
    <t xml:space="preserve">B1_P2 (tio)_9</t>
  </si>
  <si>
    <t xml:space="preserve">GGAAAGTAGAGCACTTTTTAGAAAA</t>
  </si>
  <si>
    <t xml:space="preserve">GGGCACGTCGGGTGGAATAATATTA</t>
  </si>
  <si>
    <t xml:space="preserve">JL-015-10</t>
  </si>
  <si>
    <t xml:space="preserve">tiptop_B1_P1_10</t>
  </si>
  <si>
    <t xml:space="preserve">GAGGAGGGCAGCAAACGGAATGATACTCTTACGTCCGTCGCGACT</t>
  </si>
  <si>
    <t xml:space="preserve">tiptop_B1_P2_10</t>
  </si>
  <si>
    <t xml:space="preserve">TCGACCCTGGTGAGGGAATTTCGTCTAGAAGAGTCTTCCTTTACG</t>
  </si>
  <si>
    <t xml:space="preserve">B1_P1 (tio)_10</t>
  </si>
  <si>
    <t xml:space="preserve">B1_P2 (tio)_10</t>
  </si>
  <si>
    <t xml:space="preserve">TGATACTCTTACGTCCGTCGCGACT</t>
  </si>
  <si>
    <t xml:space="preserve">TCGACCCTGGTGAGGGAATTTCGTC</t>
  </si>
  <si>
    <t xml:space="preserve">JL-015-11</t>
  </si>
  <si>
    <t xml:space="preserve">tiptop_B1_P1_11</t>
  </si>
  <si>
    <t xml:space="preserve">GAGGAGGGCAGCAAACGGAACTAGGAGAAGAATCGTTAACCGAAG</t>
  </si>
  <si>
    <t xml:space="preserve">tiptop_B1_P2_11</t>
  </si>
  <si>
    <t xml:space="preserve">TCGTTGCTGACGTTGTGATCTTTAGTAGAAGAGTCTTCCTTTACG</t>
  </si>
  <si>
    <t xml:space="preserve">B1_P1 (tio)_11</t>
  </si>
  <si>
    <t xml:space="preserve">B1_P2 (tio)_11</t>
  </si>
  <si>
    <t xml:space="preserve">CTAGGAGAAGAATCGTTAACCGAAG</t>
  </si>
  <si>
    <t xml:space="preserve">TCGTTGCTGACGTTGTGATCTTTAG</t>
  </si>
  <si>
    <t xml:space="preserve">JL-015-12</t>
  </si>
  <si>
    <t xml:space="preserve">tiptop_B1_P1_12</t>
  </si>
  <si>
    <t xml:space="preserve">GAGGAGGGCAGCAAACGGAATAATTGTTCTATGGCATTGAGTACG</t>
  </si>
  <si>
    <t xml:space="preserve">tiptop_B1_P2_12</t>
  </si>
  <si>
    <t xml:space="preserve">CGAGCGAGTATCGAAACTCTTCTCTTAGAAGAGTCTTCCTTTACG</t>
  </si>
  <si>
    <t xml:space="preserve">B1_P1 (tio)_12</t>
  </si>
  <si>
    <t xml:space="preserve">B1_P2 (tio)_12</t>
  </si>
  <si>
    <t xml:space="preserve">TAATTGTTCTATGGCATTGAGTACG</t>
  </si>
  <si>
    <t xml:space="preserve">CGAGCGAGTATCGAAACTCTTCTCT</t>
  </si>
  <si>
    <t xml:space="preserve">JL-016-01</t>
  </si>
  <si>
    <t xml:space="preserve">vestigial_B1_P1_01</t>
  </si>
  <si>
    <t xml:space="preserve">GAGGAGGGCAGCAAACGGAAGTACATCACCTCGGGGCAGCTCACC</t>
  </si>
  <si>
    <t xml:space="preserve">vestigial_B1_P2_01</t>
  </si>
  <si>
    <t xml:space="preserve">GCCGTACAGGTAGGGGTAGTAGGCGTAGAAGAGTCTTCCTTTACG</t>
  </si>
  <si>
    <t xml:space="preserve">B1_P1 (vg)_1</t>
  </si>
  <si>
    <t xml:space="preserve">B1_P2 (vg)_1</t>
  </si>
  <si>
    <t xml:space="preserve">GTACATCACCTCGGGGCAGCTCACC</t>
  </si>
  <si>
    <t xml:space="preserve">GCCGTACAGGTAGGGGTAGTAGGCG</t>
  </si>
  <si>
    <t xml:space="preserve">Jeriel_HCRoligosequences › vestigial</t>
  </si>
  <si>
    <t xml:space="preserve">JL-016-02</t>
  </si>
  <si>
    <t xml:space="preserve">vestigial_B1_P1_02</t>
  </si>
  <si>
    <t xml:space="preserve">GAGGAGGGCAGCAAACGGAAACTGGAAGTGCGGCGCGTGGTGGAA</t>
  </si>
  <si>
    <t xml:space="preserve">vestigial_B1_P2_02</t>
  </si>
  <si>
    <t xml:space="preserve">CCGAGCTTTGCACGTTCAACCGGTCTAGAAGAGTCTTCCTTTACG</t>
  </si>
  <si>
    <t xml:space="preserve">B1_P1 (vg)_2</t>
  </si>
  <si>
    <t xml:space="preserve">B1_P2 (vg)_2</t>
  </si>
  <si>
    <t xml:space="preserve">ACTGGAAGTGCGGCGCGTGGTGGAA</t>
  </si>
  <si>
    <t xml:space="preserve">CCGAGCTTTGCACGTTCAACCGGTC</t>
  </si>
  <si>
    <t xml:space="preserve">JL-016-03</t>
  </si>
  <si>
    <t xml:space="preserve">vestigial_B1_P1_03</t>
  </si>
  <si>
    <t xml:space="preserve">GAGGAGGGCAGCAAACGGAAACGCCCGAGCCGACGGCGGCCGCGT</t>
  </si>
  <si>
    <t xml:space="preserve">vestigial_B1_P2_03</t>
  </si>
  <si>
    <t xml:space="preserve">GACGACGCCGAGCCCGACGCGCCGGTAGAAGAGTCTTCCTTTACG</t>
  </si>
  <si>
    <t xml:space="preserve">B1_P1 (vg)_3</t>
  </si>
  <si>
    <t xml:space="preserve">B1_P2 (vg)_3</t>
  </si>
  <si>
    <t xml:space="preserve">ACGCCCGAGCCGACGGCGGCCGCGT</t>
  </si>
  <si>
    <t xml:space="preserve">GACGACGCCGAGCCCGACGCGCCGG</t>
  </si>
  <si>
    <t xml:space="preserve">JL-016-04</t>
  </si>
  <si>
    <t xml:space="preserve">vestigial_B1_P1_04</t>
  </si>
  <si>
    <t xml:space="preserve">GAGGAGGGCAGCAAACGGAACGCGTGCGGCGGCGAGCCCGGCGAC</t>
  </si>
  <si>
    <t xml:space="preserve">vestigial_B1_P2_04</t>
  </si>
  <si>
    <t xml:space="preserve">CGCCAGGTGCGCGTGCGCCAGGTGGTAGAAGAGTCTTCCTTTACG</t>
  </si>
  <si>
    <t xml:space="preserve">B1_P1 (vg)_4</t>
  </si>
  <si>
    <t xml:space="preserve">B1_P2 (vg)_4</t>
  </si>
  <si>
    <t xml:space="preserve">CGCGTGCGGCGGCGAGCCCGGCGAC</t>
  </si>
  <si>
    <t xml:space="preserve">CGCCAGGTGCGCGTGCGCCAGGTGG</t>
  </si>
  <si>
    <t xml:space="preserve">JL-016-05</t>
  </si>
  <si>
    <t xml:space="preserve">vestigial_B1_P1_05</t>
  </si>
  <si>
    <t xml:space="preserve">GAGGAGGGCAGCAAACGGAAACAGGTCCTCCTCCTTGGCGCGCAG</t>
  </si>
  <si>
    <t xml:space="preserve">vestigial_B1_P2_05</t>
  </si>
  <si>
    <t xml:space="preserve">CGTCGGCGCTGTTGCGGCCGTGCGCTAGAAGAGTCTTCCTTTACG</t>
  </si>
  <si>
    <t xml:space="preserve">B1_P1 (vg)_5</t>
  </si>
  <si>
    <t xml:space="preserve">B1_P2 (vg)_5</t>
  </si>
  <si>
    <t xml:space="preserve">ACAGGTCCTCCTCCTTGGCGCGCAG</t>
  </si>
  <si>
    <t xml:space="preserve">CGTCGGCGCTGTTGCGGCCGTGCGC</t>
  </si>
  <si>
    <t xml:space="preserve">JL-016-06</t>
  </si>
  <si>
    <t xml:space="preserve">vestigial_B1_P1_06</t>
  </si>
  <si>
    <t xml:space="preserve">GAGGAGGGCAGCAAACGGAAGCGCGCGCCGCGCCGCCGCACTCGC</t>
  </si>
  <si>
    <t xml:space="preserve">vestigial_B1_P2_06</t>
  </si>
  <si>
    <t xml:space="preserve">CAGTTGGCGCTGACGTACTGCGCGCTAGAAGAGTCTTCCTTTACG</t>
  </si>
  <si>
    <t xml:space="preserve">B1_P1 (vg)_6</t>
  </si>
  <si>
    <t xml:space="preserve">B1_P2 (vg)_6</t>
  </si>
  <si>
    <t xml:space="preserve">GCGCGCGCCGCGCCGCCGCACTCGC</t>
  </si>
  <si>
    <t xml:space="preserve">CAGTTGGCGCTGACGTACTGCGCGC</t>
  </si>
  <si>
    <t xml:space="preserve">JL-016-07</t>
  </si>
  <si>
    <t xml:space="preserve">vestigial_B1_P1_07</t>
  </si>
  <si>
    <t xml:space="preserve">GAGGAGGGCAGCAAACGGAACACGACGGCGGCCACGTCGCCGGAG</t>
  </si>
  <si>
    <t xml:space="preserve">vestigial_B1_P2_07</t>
  </si>
  <si>
    <t xml:space="preserve">CGCCAGCGCGCGCGCGAAGTGCTCGTAGAAGAGTCTTCCTTTACG</t>
  </si>
  <si>
    <t xml:space="preserve">B1_P1 (vg)_7</t>
  </si>
  <si>
    <t xml:space="preserve">B1_P2 (vg)_7</t>
  </si>
  <si>
    <t xml:space="preserve">CACGACGGCGGCCACGTCGCCGGAG</t>
  </si>
  <si>
    <t xml:space="preserve">CGCCAGCGCGCGCGCGAAGTGCTCG</t>
  </si>
  <si>
    <t xml:space="preserve">JL-016-08</t>
  </si>
  <si>
    <t xml:space="preserve">vestigial_B1_P1_08</t>
  </si>
  <si>
    <t xml:space="preserve">GAGGAGGGCAGCAAACGGAAGGTTGCGCGCCGACAGCGGGACGCC</t>
  </si>
  <si>
    <t xml:space="preserve">vestigial_B1_P2_08</t>
  </si>
  <si>
    <t xml:space="preserve">CCGCCGCGTTGAAGAACGACGCGGGTAGAAGAGTCTTCCTTTACG</t>
  </si>
  <si>
    <t xml:space="preserve">B1_P1 (vg)_8</t>
  </si>
  <si>
    <t xml:space="preserve">B1_P2 (vg)_8</t>
  </si>
  <si>
    <t xml:space="preserve">GGTTGCGCGCCGACAGCGGGACGCC</t>
  </si>
  <si>
    <t xml:space="preserve">CCGCCGCGTTGAAGAACGACGCGGG</t>
  </si>
  <si>
    <t xml:space="preserve">JL-016-09</t>
  </si>
  <si>
    <t xml:space="preserve">vestigial_B1_P1_09</t>
  </si>
  <si>
    <t xml:space="preserve">GAGGAGGGCAGCAAACGGAATCGTACTCGTACAGTTCCAGCGCGC</t>
  </si>
  <si>
    <t xml:space="preserve">vestigial_B1_P2_09</t>
  </si>
  <si>
    <t xml:space="preserve">TTGTACCCGTAGTGCTGGTGCCAGGTAGAAGAGTCTTCCTTTACG</t>
  </si>
  <si>
    <t xml:space="preserve">B1_P1 (vg)_9</t>
  </si>
  <si>
    <t xml:space="preserve">B1_P2 (vg)_9</t>
  </si>
  <si>
    <t xml:space="preserve">TCGTACTCGTACAGTTCCAGCGCGC</t>
  </si>
  <si>
    <t xml:space="preserve">TTGTACCCGTAGTGCTGGTGCCAGG</t>
  </si>
  <si>
    <t xml:space="preserve">JL-016-10</t>
  </si>
  <si>
    <t xml:space="preserve">vestigial_B1_P1_10</t>
  </si>
  <si>
    <t xml:space="preserve">GAGGAGGGCAGCAAACGGAACATGCCGTGGTGCGCGTGGTACTCC</t>
  </si>
  <si>
    <t xml:space="preserve">vestigial_B1_P2_10</t>
  </si>
  <si>
    <t xml:space="preserve">CAGCAGCAGGCCGCCGTAGCCCGCCTAGAAGAGTCTTCCTTTACG</t>
  </si>
  <si>
    <t xml:space="preserve">B1_P1 (vg)_10</t>
  </si>
  <si>
    <t xml:space="preserve">B1_P2 (vg)_10</t>
  </si>
  <si>
    <t xml:space="preserve">CATGCCGTGGTGCGCGTGGTACTCC</t>
  </si>
  <si>
    <t xml:space="preserve">CAGCAGCAGGCCGCCGTAGCCCGCC</t>
  </si>
  <si>
    <t xml:space="preserve">JL-016-11</t>
  </si>
  <si>
    <t xml:space="preserve">vestigial_B1_P1_11</t>
  </si>
  <si>
    <t xml:space="preserve">GAGGAGGGCAGCAAACGGAAGCCACTCCACCGGCTTGTACTGCGC</t>
  </si>
  <si>
    <t xml:space="preserve">vestigial_B1_P2_11</t>
  </si>
  <si>
    <t xml:space="preserve">CGGCGTGCGCGTGGTGCGCGTGGTGTAGAAGAGTCTTCCTTTACG</t>
  </si>
  <si>
    <t xml:space="preserve">B1_P1 (vg)_11</t>
  </si>
  <si>
    <t xml:space="preserve">B1_P2 (vg)_11</t>
  </si>
  <si>
    <t xml:space="preserve">GCCACTCCACCGGCTTGTACTGCGC</t>
  </si>
  <si>
    <t xml:space="preserve">CGGCGTGCGCGTGGTGCGCGTGGTG</t>
  </si>
  <si>
    <t xml:space="preserve">JL-016-12</t>
  </si>
  <si>
    <t xml:space="preserve">vestigial_B1_P1_12</t>
  </si>
  <si>
    <t xml:space="preserve">GAGGAGGGCAGCAAACGGAAGGGTAGGAGTAGGGCGAGCAGGCGG</t>
  </si>
  <si>
    <t xml:space="preserve">vestigial_B1_P2_12</t>
  </si>
  <si>
    <t xml:space="preserve">ACCGGCGCCTCCAGACCTGGCGGCGTAGAAGAGTCTTCCTTTACG</t>
  </si>
  <si>
    <t xml:space="preserve">B1_P1 (vg)_12</t>
  </si>
  <si>
    <t xml:space="preserve">B1_P2 (vg)_12</t>
  </si>
  <si>
    <t xml:space="preserve">GGGTAGGAGTAGGGCGAGCAGGCGG</t>
  </si>
  <si>
    <t xml:space="preserve">ACCGGCGCCTCCAGACCTGGCGGCG</t>
  </si>
  <si>
    <t xml:space="preserve">JL-017-01</t>
  </si>
  <si>
    <t xml:space="preserve">Wnt-1_B1_P1_01</t>
  </si>
  <si>
    <t xml:space="preserve">GAGGAGGGCAGCAAACGGAATGCGAGAACCCCAGGGTTCTCCCTC</t>
  </si>
  <si>
    <t xml:space="preserve">Wnt-1_B1_P2_01</t>
  </si>
  <si>
    <t xml:space="preserve">AGCCATGCTGGCTCCCTTGGATATTTAGAAGAGTCTTCCTTTACG</t>
  </si>
  <si>
    <t xml:space="preserve">B1_P1 (wnt1 1.1)_1</t>
  </si>
  <si>
    <t xml:space="preserve">B1_P2 (wnt1 1.1)_1</t>
  </si>
  <si>
    <t xml:space="preserve">TGCGAGAACCCCAGGGTTCTCCCTC</t>
  </si>
  <si>
    <t xml:space="preserve">AGCCATGCTGGCTCCCTTGGATATT</t>
  </si>
  <si>
    <t xml:space="preserve">Jeriel_HCRoligosequences › Wnt-1</t>
  </si>
  <si>
    <t xml:space="preserve">JL-017-02</t>
  </si>
  <si>
    <t xml:space="preserve">Wnt-1_B1_P1_02</t>
  </si>
  <si>
    <t xml:space="preserve">GAGGAGGGCAGCAAACGGAAAGTTCCATCTCCTGTATTTGAACTG</t>
  </si>
  <si>
    <t xml:space="preserve">Wnt-1_B1_P2_02</t>
  </si>
  <si>
    <t xml:space="preserve">TCCCTCGCAAAAAATTTCTTGTAGATAGAAGAGTCTTCCTTTACG</t>
  </si>
  <si>
    <t xml:space="preserve">B1_P1 (wnt1 1.1)_2</t>
  </si>
  <si>
    <t xml:space="preserve">B1_P2 (wnt1 1.1)_2</t>
  </si>
  <si>
    <t xml:space="preserve">AGTTCCATCTCCTGTATTTGAACTG</t>
  </si>
  <si>
    <t xml:space="preserve">TCCCTCGCAAAAAATTTCTTGTAGA</t>
  </si>
  <si>
    <t xml:space="preserve">JL-017-03</t>
  </si>
  <si>
    <t xml:space="preserve">Wnt-1_B1_P1_03</t>
  </si>
  <si>
    <t xml:space="preserve">GAGGAGGGCAGCAAACGGAAGTTTCACGGCAACCTCTGTCAACAA</t>
  </si>
  <si>
    <t xml:space="preserve">Wnt-1_B1_P2_03</t>
  </si>
  <si>
    <t xml:space="preserve">GCGCTTGTGATGGCGTAGATGAAGGTAGAAGAGTCTTCCTTTACG</t>
  </si>
  <si>
    <t xml:space="preserve">B1_P1 (wnt1 1.1)_3</t>
  </si>
  <si>
    <t xml:space="preserve">B1_P2 (wnt1 1.1)_3</t>
  </si>
  <si>
    <t xml:space="preserve">GTTTCACGGCAACCTCTGTCAACAA</t>
  </si>
  <si>
    <t xml:space="preserve">GCGCTTGTGATGGCGTAGATGAAGG</t>
  </si>
  <si>
    <t xml:space="preserve">JL-017-04</t>
  </si>
  <si>
    <t xml:space="preserve">Wnt-1_B1_P1_04</t>
  </si>
  <si>
    <t xml:space="preserve">GAGGAGGGCAGCAAACGGAAGGAACCTTCGGCGCATGCGCGCGAC</t>
  </si>
  <si>
    <t xml:space="preserve">Wnt-1_B1_P2_04</t>
  </si>
  <si>
    <t xml:space="preserve">AGAATAGTCGCACGTGCAGGACTCGTAGAAGAGTCTTCCTTTACG</t>
  </si>
  <si>
    <t xml:space="preserve">B1_P1 (wnt1 1.1)_4</t>
  </si>
  <si>
    <t xml:space="preserve">B1_P2 (wnt1 1.1)_4</t>
  </si>
  <si>
    <t xml:space="preserve">GGAACCTTCGGCGCATGCGCGCGAC</t>
  </si>
  <si>
    <t xml:space="preserve">AGAATAGTCGCACGTGCAGGACTCG</t>
  </si>
  <si>
    <t xml:space="preserve">JL-017-05</t>
  </si>
  <si>
    <t xml:space="preserve">Wnt-1_B1_P1_05</t>
  </si>
  <si>
    <t xml:space="preserve">GAGGAGGGCAGCAAACGGAACGGCGGCGGCGGCGCGCGCGCGGTG</t>
  </si>
  <si>
    <t xml:space="preserve">Wnt-1_B1_P2_05</t>
  </si>
  <si>
    <t xml:space="preserve">CGCCCCATTTCCAGACCCTCACGTTTAGAAGAGTCTTCCTTTACG</t>
  </si>
  <si>
    <t xml:space="preserve">B1_P1 (wnt1 1.1)_5</t>
  </si>
  <si>
    <t xml:space="preserve">B1_P2 (wnt1 1.1)_5</t>
  </si>
  <si>
    <t xml:space="preserve">CGGCGGCGGCGGCGCGCGCGCGGTG</t>
  </si>
  <si>
    <t xml:space="preserve">CGCCCCATTTCCAGACCCTCACGTT</t>
  </si>
  <si>
    <t xml:space="preserve">JL-017-06</t>
  </si>
  <si>
    <t xml:space="preserve">Wnt-1_B1_P1_06</t>
  </si>
  <si>
    <t xml:space="preserve">GAGGAGGGCAGCAAACGGAATCTCGGCTGAACTTGAAGCCGAAGC</t>
  </si>
  <si>
    <t xml:space="preserve">Wnt-1_B1_P2_06</t>
  </si>
  <si>
    <t xml:space="preserve">TTGCCCCTTTCCCCGGTGTCAACGATAGAAGAGTCTTCCTTTACG</t>
  </si>
  <si>
    <t xml:space="preserve">B1_P1 (wnt1 1.1)_6</t>
  </si>
  <si>
    <t xml:space="preserve">B1_P2 (wnt1 1.1)_6</t>
  </si>
  <si>
    <t xml:space="preserve">TCTCGGCTGAACTTGAAGCCGAAGC</t>
  </si>
  <si>
    <t xml:space="preserve">TTGCCCCTTTCCCCGGTGTCAACGA</t>
  </si>
  <si>
    <t xml:space="preserve">JL-017-07</t>
  </si>
  <si>
    <t xml:space="preserve">Wnt-1_B1_P1_07</t>
  </si>
  <si>
    <t xml:space="preserve">GAGGAGGGCAGCAAACGGAAGCCAGCCTCATTGTTGTGCAAGTTC</t>
  </si>
  <si>
    <t xml:space="preserve">Wnt-1_B1_P2_07</t>
  </si>
  <si>
    <t xml:space="preserve">GCGCATCTCCGTTTGCACGTGCATTTAGAAGAGTCTTCCTTTACG</t>
  </si>
  <si>
    <t xml:space="preserve">B1_P1 (wnt1 1.1)_7</t>
  </si>
  <si>
    <t xml:space="preserve">B1_P2 (wnt1 1.1)_7</t>
  </si>
  <si>
    <t xml:space="preserve">GCCAGCCTCATTGTTGTGCAAGTTC</t>
  </si>
  <si>
    <t xml:space="preserve">GCGCATCTCCGTTTGCACGTGCATT</t>
  </si>
  <si>
    <t xml:space="preserve">JL-017-08</t>
  </si>
  <si>
    <t xml:space="preserve">Wnt-1_B1_P1_08</t>
  </si>
  <si>
    <t xml:space="preserve">GAGGAGGGCAGCAAACGGAATCACCGTGCAGGACCCAGACATACC</t>
  </si>
  <si>
    <t xml:space="preserve">Wnt-1_B1_P2_08</t>
  </si>
  <si>
    <t xml:space="preserve">ACGTCGGCAGCCTCATCCAGCACGTTAGAAGAGTCTTCCTTTACG</t>
  </si>
  <si>
    <t xml:space="preserve">B1_P1 (wnt1 1.1)_8</t>
  </si>
  <si>
    <t xml:space="preserve">B1_P2 (wnt1 1.1)_8</t>
  </si>
  <si>
    <t xml:space="preserve">TCACCGTGCAGGACCCAGACATACC</t>
  </si>
  <si>
    <t xml:space="preserve">ACGTCGGCAGCCTCATCCAGCACGT</t>
  </si>
  <si>
    <t xml:space="preserve">JL-017-09</t>
  </si>
  <si>
    <t xml:space="preserve">Wnt-1_B1_P1_09</t>
  </si>
  <si>
    <t xml:space="preserve">GAGGAGGGCAGCAAACGGAAGCCCCGTCGAAGCTGTCTTTCAGGG</t>
  </si>
  <si>
    <t xml:space="preserve">Wnt-1_B1_P2_09</t>
  </si>
  <si>
    <t xml:space="preserve">TCGGTATTGGGCATCATGACCCGCGTAGAAGAGTCTTCCTTTACG</t>
  </si>
  <si>
    <t xml:space="preserve">B1_P1 (wnt1.1)_9</t>
  </si>
  <si>
    <t xml:space="preserve">B1_P2 (wnt1.1)_9</t>
  </si>
  <si>
    <t xml:space="preserve">GCCCCGTCGAAGCTGTCTTTCAGGG</t>
  </si>
  <si>
    <t xml:space="preserve">TCGGTATTGGGCATCATGACCCGCG</t>
  </si>
  <si>
    <t xml:space="preserve">JL-017-10</t>
  </si>
  <si>
    <t xml:space="preserve">Wnt-1_B1_P1_10</t>
  </si>
  <si>
    <t xml:space="preserve">GAGGAGGGCAGCAAACGGAACCTGTGAGGTGCGGCGTCGTTCCTC</t>
  </si>
  <si>
    <t xml:space="preserve">Wnt-1_B1_P2_10</t>
  </si>
  <si>
    <t xml:space="preserve">GAACCTGTAGCGGTCACGGCGCGGGTAGAAGAGTCTTCCTTTACG</t>
  </si>
  <si>
    <t xml:space="preserve">B1_P1 (wnt1.1)_10</t>
  </si>
  <si>
    <t xml:space="preserve">B1_P2 (wnt1.1)_10</t>
  </si>
  <si>
    <t xml:space="preserve">CCTGTGAGGTGCGGCGTCGTTCCTC</t>
  </si>
  <si>
    <t xml:space="preserve">GAACCTGTAGCGGTCACGGCGCGGG</t>
  </si>
  <si>
    <t xml:space="preserve">JL-017-11</t>
  </si>
  <si>
    <t xml:space="preserve">Wnt-1_B1_P1_11</t>
  </si>
  <si>
    <t xml:space="preserve">GAGGAGGGCAGCAAACGGAATGACCCCGGGTGTTTTGTGGTCAGG</t>
  </si>
  <si>
    <t xml:space="preserve">Wnt-1_B1_P2_11</t>
  </si>
  <si>
    <t xml:space="preserve">GTGAAGATTCCAAGTATACAAGGTCTAGAAGAGTCTTCCTTTACG</t>
  </si>
  <si>
    <t xml:space="preserve">B1_P1 (wnt1.1)_11</t>
  </si>
  <si>
    <t xml:space="preserve">B1_P2 (wnt1.1)_11</t>
  </si>
  <si>
    <t xml:space="preserve">TGACCCCGGGTGTTTTGTGGTCAGG</t>
  </si>
  <si>
    <t xml:space="preserve">GTGAAGATTCCAAGTATACAAGGTC</t>
  </si>
  <si>
    <t xml:space="preserve">JL-017-12</t>
  </si>
  <si>
    <t xml:space="preserve">Wnt-1_B1_P1_12</t>
  </si>
  <si>
    <t xml:space="preserve">GAGGAGGGCAGCAAACGGAAGTACCCGGGATGCCCAGTCTGGGGT</t>
  </si>
  <si>
    <t xml:space="preserve">Wnt-1_B1_P2_12</t>
  </si>
  <si>
    <t xml:space="preserve">CTAGTGTCGTTGCAGGCACGCCCGTTAGAAGAGTCTTCCTTTACG</t>
  </si>
  <si>
    <t xml:space="preserve">B1_P1 (wnt1.1)_12</t>
  </si>
  <si>
    <t xml:space="preserve">B1_P2 (wnt1.1)_12</t>
  </si>
  <si>
    <t xml:space="preserve">GTACCCGGGATGCCCAGTCTGGGGT</t>
  </si>
  <si>
    <t xml:space="preserve">CTAGTGTCGTTGCAGGCACGCCCGT</t>
  </si>
  <si>
    <t xml:space="preserve">JL-018-01</t>
  </si>
  <si>
    <t xml:space="preserve">18w-toll-like-receptor-7_B2_P1_01</t>
  </si>
  <si>
    <t xml:space="preserve">CCTCGTAAATCCTCATCAAAGTTTGCTTCAAGATAACTTTCAAAC</t>
  </si>
  <si>
    <t xml:space="preserve">18w-toll-like-receptor-7_B2_P2_01</t>
  </si>
  <si>
    <t xml:space="preserve">TTCCAACTTTCCAAATCGTTGAAAAAAATCATCCAGTAAACCGCC</t>
  </si>
  <si>
    <t xml:space="preserve">B2_P1 (18w)_1</t>
  </si>
  <si>
    <t xml:space="preserve">B2_P2 (18w)_1</t>
  </si>
  <si>
    <t xml:space="preserve">GTTTGCTTCAAGATAACTTTCAAAC</t>
  </si>
  <si>
    <t xml:space="preserve">TTCCAACTTTCCAAATCGTTGAAAA</t>
  </si>
  <si>
    <t xml:space="preserve">Jeriel_HCRoligosequences › 18w (toll-like receptor 7)</t>
  </si>
  <si>
    <t xml:space="preserve">JL-018-02</t>
  </si>
  <si>
    <t xml:space="preserve">18w-toll-like-receptor-7_B2_P1_02</t>
  </si>
  <si>
    <t xml:space="preserve">CCTCGTAAATCCTCATCAAATTCCAGGTATCCGTAGAAGTTTGCA</t>
  </si>
  <si>
    <t xml:space="preserve">18w-toll-like-receptor-7_B2_P2_02</t>
  </si>
  <si>
    <t xml:space="preserve">TTAATTCGCGTAATCCTTCAAACGCAAATCATCCAGTAAACCGCC</t>
  </si>
  <si>
    <t xml:space="preserve">B2_P1 (18w)_2</t>
  </si>
  <si>
    <t xml:space="preserve">B2_P2 (18w)_2</t>
  </si>
  <si>
    <t xml:space="preserve">TTCCAGGTATCCGTAGAAGTTTGCA</t>
  </si>
  <si>
    <t xml:space="preserve">TTAATTCGCGTAATCCTTCAAACGC</t>
  </si>
  <si>
    <t xml:space="preserve">JL-018-03</t>
  </si>
  <si>
    <t xml:space="preserve">18w-toll-like-receptor-7_B2_P1_03</t>
  </si>
  <si>
    <t xml:space="preserve">CCTCGTAAATCCTCATCAAATTATAGCTCCAGTCATGGTTTTTAG</t>
  </si>
  <si>
    <t xml:space="preserve">18w-toll-like-receptor-7_B2_P2_03</t>
  </si>
  <si>
    <t xml:space="preserve">GCTCCTAGCGAAAGTTCTAAAACTTAAATCATCCAGTAAACCGCC</t>
  </si>
  <si>
    <t xml:space="preserve">B2_P1 (18w)_3</t>
  </si>
  <si>
    <t xml:space="preserve">B2_P2 (18w)_3</t>
  </si>
  <si>
    <t xml:space="preserve">TTATAGCTCCAGTCATGGTTTTTAG</t>
  </si>
  <si>
    <t xml:space="preserve">GCTCCTAGCGAAAGTTCTAAAACTT</t>
  </si>
  <si>
    <t xml:space="preserve">JL-018-04</t>
  </si>
  <si>
    <t xml:space="preserve">18w-toll-like-receptor-7_B2_P1_04</t>
  </si>
  <si>
    <t xml:space="preserve">CCTCGTAAATCCTCATCAAAATTTCCCAAATCCAGCGACTGTAAT</t>
  </si>
  <si>
    <t xml:space="preserve">18w-toll-like-receptor-7_B2_P2_04</t>
  </si>
  <si>
    <t xml:space="preserve">ATCTGCGGGTATAGCTTTCAGATTGAAATCATCCAGTAAACCGCC</t>
  </si>
  <si>
    <t xml:space="preserve">B2_P1 (18w)_4</t>
  </si>
  <si>
    <t xml:space="preserve">B2_P2 (18w)_4</t>
  </si>
  <si>
    <t xml:space="preserve">ATTTCCCAAATCCAGCGACTGTAAT</t>
  </si>
  <si>
    <t xml:space="preserve">ATCTGCGGGTATAGCTTTCAGATTG</t>
  </si>
  <si>
    <t xml:space="preserve">JL-018-05</t>
  </si>
  <si>
    <t xml:space="preserve">18w-toll-like-receptor-7_B2_P1_05</t>
  </si>
  <si>
    <t xml:space="preserve">CCTCGTAAATCCTCATCAAAGAGTAATGTTTAGTATTTGCAAATT</t>
  </si>
  <si>
    <t xml:space="preserve">18w-toll-like-receptor-7_B2_P2_05</t>
  </si>
  <si>
    <t xml:space="preserve">GACGATCTATGGCTTTAATTCTGTTAAATCATCCAGTAAACCGCC</t>
  </si>
  <si>
    <t xml:space="preserve">B2_P1 (18w)_5</t>
  </si>
  <si>
    <t xml:space="preserve">B2_P2 (18w)_5</t>
  </si>
  <si>
    <t xml:space="preserve">GAGTAATGTTTAGTATTTGCAAATT</t>
  </si>
  <si>
    <t xml:space="preserve">GACGATCTATGGCTTTAATTCTGTT</t>
  </si>
  <si>
    <t xml:space="preserve">JL-018-06</t>
  </si>
  <si>
    <t xml:space="preserve">18w-toll-like-receptor-7_B2_P1_06</t>
  </si>
  <si>
    <t xml:space="preserve">CCTCGTAAATCCTCATCAAATCTAAATTACTCAGACCAGATCCAC</t>
  </si>
  <si>
    <t xml:space="preserve">18w-toll-like-receptor-7_B2_P2_06</t>
  </si>
  <si>
    <t xml:space="preserve">AAAGATTTAATTTCATTATAACTCAAAATCATCCAGTAAACCGCC</t>
  </si>
  <si>
    <t xml:space="preserve">B2_P1 (18w)_6</t>
  </si>
  <si>
    <t xml:space="preserve">B2_P2 (18w)_6</t>
  </si>
  <si>
    <t xml:space="preserve">TCTAAATTACTCAGACCAGATCCAC</t>
  </si>
  <si>
    <t xml:space="preserve">AAAGATTTAATTTCATTATAACTCA</t>
  </si>
  <si>
    <t xml:space="preserve">JL-018-07</t>
  </si>
  <si>
    <t xml:space="preserve">18w-toll-like-receptor-7_B2_P1_07</t>
  </si>
  <si>
    <t xml:space="preserve">CCTCGTAAATCCTCATCAAACTCTTGAAGTCGACGAAGTCCTGAA</t>
  </si>
  <si>
    <t xml:space="preserve">18w-toll-like-receptor-7_B2_P2_07</t>
  </si>
  <si>
    <t xml:space="preserve">ACTGATGTTATTATGTTGAAGTCTCAAATCATCCAGTAAACCGCC</t>
  </si>
  <si>
    <t xml:space="preserve">B2_P1 (18w)_7</t>
  </si>
  <si>
    <t xml:space="preserve">B2_P2 (18w)_7</t>
  </si>
  <si>
    <t xml:space="preserve">CTCTTGAAGTCGACGAAGTCCTGAA</t>
  </si>
  <si>
    <t xml:space="preserve">ACTGATGTTATTATGTTGAAGTCTC</t>
  </si>
  <si>
    <t xml:space="preserve">JL-018-08</t>
  </si>
  <si>
    <t xml:space="preserve">18w-toll-like-receptor-7_B2_P1_08</t>
  </si>
  <si>
    <t xml:space="preserve">CCTCGTAAATCCTCATCAAATGCGTAATGAAATAAGTCCATTAAA</t>
  </si>
  <si>
    <t xml:space="preserve">18w-toll-like-receptor-7_B2_P2_08</t>
  </si>
  <si>
    <t xml:space="preserve">GCAGGTTATTATGAGAAACATTTAAAAATCATCCAGTAAACCGCC</t>
  </si>
  <si>
    <t xml:space="preserve">B2_P1 (18w)_8</t>
  </si>
  <si>
    <t xml:space="preserve">B2_P2 (18w)_8</t>
  </si>
  <si>
    <t xml:space="preserve">TGCGTAATGAAATAAGTCCATTAAA</t>
  </si>
  <si>
    <t xml:space="preserve">GCAGGTTATTATGAGAAACATTTAA</t>
  </si>
  <si>
    <t xml:space="preserve">JL-019-01</t>
  </si>
  <si>
    <t xml:space="preserve">22-like_B2_P1_01</t>
  </si>
  <si>
    <t xml:space="preserve">CCTCGTAAATCCTCATCAAATCGCAGTCTCGCGGCGTGTATGAAA</t>
  </si>
  <si>
    <t xml:space="preserve">22-like_B2_P2_01</t>
  </si>
  <si>
    <t xml:space="preserve">CAGACAATGTATCAAAACGTTGCCGAAATCATCCAGTAAACCGCC</t>
  </si>
  <si>
    <t xml:space="preserve">B2_P1 (22like)_1</t>
  </si>
  <si>
    <t xml:space="preserve">B2_P2 (22like)_1</t>
  </si>
  <si>
    <t xml:space="preserve">TCGCAGTCTCGCGGCGTGTATGAAA</t>
  </si>
  <si>
    <t xml:space="preserve">CAGACAATGTATCAAAACGTTGCCG</t>
  </si>
  <si>
    <t xml:space="preserve">Jeriel_HCRoligosequences › 22-like</t>
  </si>
  <si>
    <t xml:space="preserve">JL-019-02</t>
  </si>
  <si>
    <t xml:space="preserve">22-like_B2_P1_02</t>
  </si>
  <si>
    <t xml:space="preserve">CCTCGTAAATCCTCATCAAATTATGTACGCCACCGCCACTGTCAC</t>
  </si>
  <si>
    <t xml:space="preserve">22-like_B2_P2_02</t>
  </si>
  <si>
    <t xml:space="preserve">CCCGCCAGTTCAGAGGCGTGACTGAAAATCATCCAGTAAACCGCC</t>
  </si>
  <si>
    <t xml:space="preserve">B2_P1 (22like)_2</t>
  </si>
  <si>
    <t xml:space="preserve">B2_P2 (22like)_2</t>
  </si>
  <si>
    <t xml:space="preserve">TTATGTACGCCACCGCCACTGTCAC</t>
  </si>
  <si>
    <t xml:space="preserve">CCCGCCAGTTCAGAGGCGTGACTGA</t>
  </si>
  <si>
    <t xml:space="preserve">JL-019-03</t>
  </si>
  <si>
    <t xml:space="preserve">22-like_B2_P1_03</t>
  </si>
  <si>
    <t xml:space="preserve">CCTCGTAAATCCTCATCAAAGGGTTGGCGACGGCGCGGCCTGCCC</t>
  </si>
  <si>
    <t xml:space="preserve">22-like_B2_P2_03</t>
  </si>
  <si>
    <t xml:space="preserve">TGCAGCTGCCTCTGGAAGCCAAGGTAAATCATCCAGTAAACCGCC</t>
  </si>
  <si>
    <t xml:space="preserve">B2_P1 (22like)_3</t>
  </si>
  <si>
    <t xml:space="preserve">B2_P2 (22like)_3</t>
  </si>
  <si>
    <t xml:space="preserve">GGGTTGGCGACGGCGCGGCCTGCCC</t>
  </si>
  <si>
    <t xml:space="preserve">TGCAGCTGCCTCTGGAAGCCAAGGT</t>
  </si>
  <si>
    <t xml:space="preserve">JL-019-04</t>
  </si>
  <si>
    <t xml:space="preserve">22-like_B2_P1_04</t>
  </si>
  <si>
    <t xml:space="preserve">CCTCGTAAATCCTCATCAAATAGACGTCTCCTTTCCTCAACAAGC</t>
  </si>
  <si>
    <t xml:space="preserve">22-like_B2_P2_04</t>
  </si>
  <si>
    <t xml:space="preserve">CAGCGCGAGCGACGGGTAACGCTCTAAATCATCCAGTAAACCGCC</t>
  </si>
  <si>
    <t xml:space="preserve">B2_P1 (22like)_4</t>
  </si>
  <si>
    <t xml:space="preserve">B2_P2 (22like)_4</t>
  </si>
  <si>
    <t xml:space="preserve">TAGACGTCTCCTTTCCTCAACAAGC</t>
  </si>
  <si>
    <t xml:space="preserve">CAGCGCGAGCGACGGGTAACGCTCT</t>
  </si>
  <si>
    <t xml:space="preserve">JL-019-05</t>
  </si>
  <si>
    <t xml:space="preserve">22-like_B2_P1_05</t>
  </si>
  <si>
    <t xml:space="preserve">CCTCGTAAATCCTCATCAAAACGAGTCCAGCATCACGCGACACTC</t>
  </si>
  <si>
    <t xml:space="preserve">22-like_B2_P2_05</t>
  </si>
  <si>
    <t xml:space="preserve">TGGTCCGCTGGTTGAGCATGGTCTGAAATCATCCAGTAAACCGCC</t>
  </si>
  <si>
    <t xml:space="preserve">B2_P1 (22like)_5</t>
  </si>
  <si>
    <t xml:space="preserve">B2_P2 (22like)_5</t>
  </si>
  <si>
    <t xml:space="preserve">ACGAGTCCAGCATCACGCGACACTC</t>
  </si>
  <si>
    <t xml:space="preserve">TGGTCCGCTGGTTGAGCATGGTCTG</t>
  </si>
  <si>
    <t xml:space="preserve">JL-019-06</t>
  </si>
  <si>
    <t xml:space="preserve">22-like_B2_P1_06</t>
  </si>
  <si>
    <t xml:space="preserve">CCTCGTAAATCCTCATCAAACCGGTGGGGCACTGGCGACCCATGG</t>
  </si>
  <si>
    <t xml:space="preserve">22-like_B2_P2_06</t>
  </si>
  <si>
    <t xml:space="preserve">TGCCTCTTCGATCCAGTTCTGCATAAAATCATCCAGTAAACCGCC</t>
  </si>
  <si>
    <t xml:space="preserve">B2_P1 (22like)_6</t>
  </si>
  <si>
    <t xml:space="preserve">B2_P2 (22like)_6</t>
  </si>
  <si>
    <t xml:space="preserve">CCGGTGGGGCACTGGCGACCCATGG</t>
  </si>
  <si>
    <t xml:space="preserve">TGCCTCTTCGATCCAGTTCTGCATA</t>
  </si>
  <si>
    <t xml:space="preserve">JL-019-07</t>
  </si>
  <si>
    <t xml:space="preserve">22-like_B2_P1_07</t>
  </si>
  <si>
    <t xml:space="preserve">CCTCGTAAATCCTCATCAAACTCAGCCACCGTGGACGCGGTCGAT</t>
  </si>
  <si>
    <t xml:space="preserve">22-like_B2_P2_07</t>
  </si>
  <si>
    <t xml:space="preserve">CAACCCCCCACCCCCTACCCCCACAAAATCATCCAGTAAACCGCC</t>
  </si>
  <si>
    <t xml:space="preserve">B2_P1 (22like)_7</t>
  </si>
  <si>
    <t xml:space="preserve">B2_P2 (22like)_7</t>
  </si>
  <si>
    <t xml:space="preserve">CTCAGCCACCGTGGACGCGGTCGAT</t>
  </si>
  <si>
    <t xml:space="preserve">CAACCCCCCACCCCCTACCCCCACA</t>
  </si>
  <si>
    <t xml:space="preserve">JL-019-08</t>
  </si>
  <si>
    <t xml:space="preserve">22-like_B2_P1_08</t>
  </si>
  <si>
    <t xml:space="preserve">CCTCGTAAATCCTCATCAAATGGACGTAGTGGAGGCGGTAGAGAG</t>
  </si>
  <si>
    <t xml:space="preserve">22-like_B2_P2_08</t>
  </si>
  <si>
    <t xml:space="preserve">CAGCGGGCGATGAGCGTGGTCTATAAAATCATCCAGTAAACCGCC</t>
  </si>
  <si>
    <t xml:space="preserve">B2_P1 (22like)_8</t>
  </si>
  <si>
    <t xml:space="preserve">B2_P2 (22like)_8</t>
  </si>
  <si>
    <t xml:space="preserve">TGGACGTAGTGGAGGCGGTAGAGAG</t>
  </si>
  <si>
    <t xml:space="preserve">CAGCGGGCGATGAGCGTGGTCTATA</t>
  </si>
  <si>
    <t xml:space="preserve">JL-020-01</t>
  </si>
  <si>
    <t xml:space="preserve">apterous-A_B2_P1_01</t>
  </si>
  <si>
    <t xml:space="preserve">CCTCGTAAATCCTCATCAAAGGCGAGTAGGTAGTATCTGTCCGTG</t>
  </si>
  <si>
    <t xml:space="preserve">apterous-A_B2_P2_01</t>
  </si>
  <si>
    <t xml:space="preserve">GCAGGGTGTGTGCCAGCGTCGTTCTAAATCATCCAGTAAACCGCC</t>
  </si>
  <si>
    <t xml:space="preserve">B2_P1 (ap)_1</t>
  </si>
  <si>
    <t xml:space="preserve">B2_P2 (ap)_1</t>
  </si>
  <si>
    <t xml:space="preserve">GGCGAGTAGGTAGTATCTGTCCGTG</t>
  </si>
  <si>
    <t xml:space="preserve">GCAGGGTGTGTGCCAGCGTCGTTCT</t>
  </si>
  <si>
    <t xml:space="preserve">Jeriel_HCRoligosequences › apterous A</t>
  </si>
  <si>
    <t xml:space="preserve">JL-020-02</t>
  </si>
  <si>
    <t xml:space="preserve">apterous-A_B2_P1_02</t>
  </si>
  <si>
    <t xml:space="preserve">CCTCGTAAATCCTCATCAAATCTGTTCGGAGTCTAGGGGCATTTT</t>
  </si>
  <si>
    <t xml:space="preserve">apterous-A_B2_P2_02</t>
  </si>
  <si>
    <t xml:space="preserve">ATATGTTACTGTTCCGAGCGTAACAAAATCATCCAGTAAACCGCC</t>
  </si>
  <si>
    <t xml:space="preserve">B2_P1 (ap)_2</t>
  </si>
  <si>
    <t xml:space="preserve">B2_P2 (ap)_2</t>
  </si>
  <si>
    <t xml:space="preserve">TCTGTTCGGAGTCTAGGGGCATTTT</t>
  </si>
  <si>
    <t xml:space="preserve">ATATGTTACTGTTCCGAGCGTAACA</t>
  </si>
  <si>
    <t xml:space="preserve">JL-020-03</t>
  </si>
  <si>
    <t xml:space="preserve">apterous-A_B2_P1_03</t>
  </si>
  <si>
    <t xml:space="preserve">CCTCGTAAATCCTCATCAAACATCGCTTTGATCCATACAACCTGA</t>
  </si>
  <si>
    <t xml:space="preserve">apterous-A_B2_P2_03</t>
  </si>
  <si>
    <t xml:space="preserve">GATGATATAGGGGTGTTACATCTCGAAATCATCCAGTAAACCGCC</t>
  </si>
  <si>
    <t xml:space="preserve">B2_P1 (ap)_3</t>
  </si>
  <si>
    <t xml:space="preserve">B2_P2 (ap)_3</t>
  </si>
  <si>
    <t xml:space="preserve">CATCGCTTTGATCCATACAACCTGA</t>
  </si>
  <si>
    <t xml:space="preserve">GATGATATAGGGGTGTTACATCTCG</t>
  </si>
  <si>
    <t xml:space="preserve">JL-020-04</t>
  </si>
  <si>
    <t xml:space="preserve">apterous-A_B2_P1_04</t>
  </si>
  <si>
    <t xml:space="preserve">CCTCGTAAATCCTCATCAAACACATGAAACACTAGGTCACGCGCC</t>
  </si>
  <si>
    <t xml:space="preserve">apterous-A_B2_P2_04</t>
  </si>
  <si>
    <t xml:space="preserve">ACTACACAGGGCACAGGAGAAACAGAAATCATCCAGTAAACCGCC</t>
  </si>
  <si>
    <t xml:space="preserve">B2_P1 (ap)_4</t>
  </si>
  <si>
    <t xml:space="preserve">B2_P2 (ap)_4</t>
  </si>
  <si>
    <t xml:space="preserve">CACATGAAACACTAGGTCACGCGCC</t>
  </si>
  <si>
    <t xml:space="preserve">ACTACACAGGGCACAGGAGAAACAG</t>
  </si>
  <si>
    <t xml:space="preserve">JL-020-05</t>
  </si>
  <si>
    <t xml:space="preserve">apterous-A_B2_P1_05</t>
  </si>
  <si>
    <t xml:space="preserve">CCTCGTAAATCCTCATCAAACTGAGTTTCTAATACCGTACTCGTC</t>
  </si>
  <si>
    <t xml:space="preserve">apterous-A_B2_P2_05</t>
  </si>
  <si>
    <t xml:space="preserve">TTTCGAAATGTAGCCTGCAATACACAAATCATCCAGTAAACCGCC</t>
  </si>
  <si>
    <t xml:space="preserve">B2_P1 (ap)_5</t>
  </si>
  <si>
    <t xml:space="preserve">B2_P2 (ap)_5</t>
  </si>
  <si>
    <t xml:space="preserve">CTGAGTTTCTAATACCGTACTCGTC</t>
  </si>
  <si>
    <t xml:space="preserve">TTTCGAAATGTAGCCTGCAATACAC</t>
  </si>
  <si>
    <t xml:space="preserve">JL-020-06</t>
  </si>
  <si>
    <t xml:space="preserve">apterous-A_B2_P1_06</t>
  </si>
  <si>
    <t xml:space="preserve">CCTCGTAAATCCTCATCAAAGGAGGACCTGGTACCGCCATATGAG</t>
  </si>
  <si>
    <t xml:space="preserve">apterous-A_B2_P2_06</t>
  </si>
  <si>
    <t xml:space="preserve">CCTACGTAAGGCCCCGGGCACATTTAAATCATCCAGTAAACCGCC</t>
  </si>
  <si>
    <t xml:space="preserve">B2_P1 (ap)_6</t>
  </si>
  <si>
    <t xml:space="preserve">B2_P2 (ap)_6</t>
  </si>
  <si>
    <t xml:space="preserve">GGAGGACCTGGTACCGCCATATGAG</t>
  </si>
  <si>
    <t xml:space="preserve">CCTACGTAAGGCCCCGGGCACATTT</t>
  </si>
  <si>
    <t xml:space="preserve">JL-020-07</t>
  </si>
  <si>
    <t xml:space="preserve">apterous-A_B2_P1_07</t>
  </si>
  <si>
    <t xml:space="preserve">CCTCGTAAATCCTCATCAAACTCCGGCGAAGGGTAGGCGGGGTAG</t>
  </si>
  <si>
    <t xml:space="preserve">apterous-A_B2_P2_07</t>
  </si>
  <si>
    <t xml:space="preserve">AGGAACATCAGGTTCTACTCGACCGAAATCATCCAGTAAACCGCC</t>
  </si>
  <si>
    <t xml:space="preserve">B2_P1 (ap)_7</t>
  </si>
  <si>
    <t xml:space="preserve">B2_P2 (ap)_7</t>
  </si>
  <si>
    <t xml:space="preserve">CTCCGGCGAAGGGTAGGCGGGGTAG</t>
  </si>
  <si>
    <t xml:space="preserve">AGGAACATCAGGTTCTACTCGACCG</t>
  </si>
  <si>
    <t xml:space="preserve">JL-020-08</t>
  </si>
  <si>
    <t xml:space="preserve">apterous-A_B2_P1_08</t>
  </si>
  <si>
    <t xml:space="preserve">CCTCGTAAATCCTCATCAAAGTCGGGGTGGTGGCGCTGAAGTCCC</t>
  </si>
  <si>
    <t xml:space="preserve">apterous-A_B2_P2_08</t>
  </si>
  <si>
    <t xml:space="preserve">GTTTCTTTTTTCTCGGACGACCTTTAAATCATCCAGTAAACCGCC</t>
  </si>
  <si>
    <t xml:space="preserve">B2_P1 (ap)_8</t>
  </si>
  <si>
    <t xml:space="preserve">B2_P2 (ap)_8</t>
  </si>
  <si>
    <t xml:space="preserve">GTCGGGGTGGTGGCGCTGAAGTCCC</t>
  </si>
  <si>
    <t xml:space="preserve">GTTTCTTTTTTCTCGGACGACCTTT</t>
  </si>
  <si>
    <t xml:space="preserve">JL-021-01</t>
  </si>
  <si>
    <t xml:space="preserve">araucan_B2_P1_01</t>
  </si>
  <si>
    <t xml:space="preserve">CCTCGTAAATCCTCATCAAAGCAGTTCACGCACTCGCGGCCCTCC</t>
  </si>
  <si>
    <t xml:space="preserve">araucan_B2_P2_01</t>
  </si>
  <si>
    <t xml:space="preserve">GCGCCACAGCGGCGTGTTGTTGGCGAAATCATCCAGTAAACCGCC</t>
  </si>
  <si>
    <t xml:space="preserve">B2_P1 (ara)_1</t>
  </si>
  <si>
    <t xml:space="preserve">B2_P2 (ara)_1</t>
  </si>
  <si>
    <t xml:space="preserve">GCAGTTCACGCACTCGCGGCCCTCC</t>
  </si>
  <si>
    <t xml:space="preserve">GCGCCACAGCGGCGTGTTGTTGGCG</t>
  </si>
  <si>
    <t xml:space="preserve">Jeriel_HCRoligosequences › araucan</t>
  </si>
  <si>
    <t xml:space="preserve">JL-021-02</t>
  </si>
  <si>
    <t xml:space="preserve">araucan_B2_P1_02</t>
  </si>
  <si>
    <t xml:space="preserve">CCTCGTAAATCCTCATCAAAACAGGCCGCACGCGTTGCACAGGTA</t>
  </si>
  <si>
    <t xml:space="preserve">araucan_B2_P2_02</t>
  </si>
  <si>
    <t xml:space="preserve">GGCGGTTGACGCCGTTGATCTTGTGAAATCATCCAGTAAACCGCC</t>
  </si>
  <si>
    <t xml:space="preserve">B2_P1 (ara)_2</t>
  </si>
  <si>
    <t xml:space="preserve">B2_P2 (ara)_2</t>
  </si>
  <si>
    <t xml:space="preserve">ACAGGCCGCACGCGTTGCACAGGTA</t>
  </si>
  <si>
    <t xml:space="preserve">GGCGGTTGACGCCGTTGATCTTGTG</t>
  </si>
  <si>
    <t xml:space="preserve">JL-021-03</t>
  </si>
  <si>
    <t xml:space="preserve">araucan_B2_P1_03</t>
  </si>
  <si>
    <t xml:space="preserve">CCTCGTAAATCCTCATCAAATGCCGCCGCGCCGCCGACAGCCGCT</t>
  </si>
  <si>
    <t xml:space="preserve">araucan_B2_P2_03</t>
  </si>
  <si>
    <t xml:space="preserve">GAGCCGCAGTTGGTGCAGCACTGGCAAATCATCCAGTAAACCGCC</t>
  </si>
  <si>
    <t xml:space="preserve">B2_P1 (ara)_3</t>
  </si>
  <si>
    <t xml:space="preserve">B2_P2 (ara)_3</t>
  </si>
  <si>
    <t xml:space="preserve">TGCCGCCGCGCCGCCGACAGCCGCT</t>
  </si>
  <si>
    <t xml:space="preserve">GAGCCGCAGTTGGTGCAGCACTGGC</t>
  </si>
  <si>
    <t xml:space="preserve">JL-021-04</t>
  </si>
  <si>
    <t xml:space="preserve">araucan_B2_P1_04</t>
  </si>
  <si>
    <t xml:space="preserve">CCTCGTAAATCCTCATCAAACGGCTCGCCGTCGTTGTTGCGGCGC</t>
  </si>
  <si>
    <t xml:space="preserve">araucan_B2_P2_04</t>
  </si>
  <si>
    <t xml:space="preserve">GTAGTACAGGCCGCAGGCGTTGCACAAATCATCCAGTAAACCGCC</t>
  </si>
  <si>
    <t xml:space="preserve">B2_P1 (ara)_4</t>
  </si>
  <si>
    <t xml:space="preserve">B2_P2 (ara)_4</t>
  </si>
  <si>
    <t xml:space="preserve">CGGCTCGCCGTCGTTGTTGCGGCGC</t>
  </si>
  <si>
    <t xml:space="preserve">GTAGTACAGGCCGCAGGCGTTGCAC</t>
  </si>
  <si>
    <t xml:space="preserve">JL-021-05</t>
  </si>
  <si>
    <t xml:space="preserve">araucan_B2_P1_05</t>
  </si>
  <si>
    <t xml:space="preserve">CCTCGTAAATCCTCATCAAACATCTTTTCGCATCGCTAAAGGCCT</t>
  </si>
  <si>
    <t xml:space="preserve">araucan_B2_P2_05</t>
  </si>
  <si>
    <t xml:space="preserve">TCGGCTTTCGTTTCCGTGTTTGTATAAATCATCCAGTAAACCGCC</t>
  </si>
  <si>
    <t xml:space="preserve">B2_P1 (ara)_5</t>
  </si>
  <si>
    <t xml:space="preserve">B2_P2 (ara)_5</t>
  </si>
  <si>
    <t xml:space="preserve">CATCTTTTCGCATCGCTAAAGGCCT</t>
  </si>
  <si>
    <t xml:space="preserve">TCGGCTTTCGTTTCCGTGTTTGTAT</t>
  </si>
  <si>
    <t xml:space="preserve">JL-021-06</t>
  </si>
  <si>
    <t xml:space="preserve">araucan_B2_P1_06</t>
  </si>
  <si>
    <t xml:space="preserve">CCTCGTAAATCCTCATCAAATTGGCGCCATCTGACGGCGGCTTGG</t>
  </si>
  <si>
    <t xml:space="preserve">araucan_B2_P2_06</t>
  </si>
  <si>
    <t xml:space="preserve">ATTCCCGGCGAGTTGAGTCCGTCTTAAATCATCCAGTAAACCGCC</t>
  </si>
  <si>
    <t xml:space="preserve">B2_P1 (ara)_6</t>
  </si>
  <si>
    <t xml:space="preserve">B2_P2 (ara)_6</t>
  </si>
  <si>
    <t xml:space="preserve">TTGGCGCCATCTGACGGCGGCTTGG</t>
  </si>
  <si>
    <t xml:space="preserve">ATTCCCGGCGAGTTGAGTCCGTCTT</t>
  </si>
  <si>
    <t xml:space="preserve">JL-021-07</t>
  </si>
  <si>
    <t xml:space="preserve">araucan_B2_P1_07</t>
  </si>
  <si>
    <t xml:space="preserve">CCTCGTAAATCCTCATCAAACAGCGGCAGCGGCACTTCTGCTATG</t>
  </si>
  <si>
    <t xml:space="preserve">araucan_B2_P2_07</t>
  </si>
  <si>
    <t xml:space="preserve">GCCGCCCGCGCCCGCCATGGCGGCTAAATCATCCAGTAAACCGCC</t>
  </si>
  <si>
    <t xml:space="preserve">B2_P1 (ara)_7</t>
  </si>
  <si>
    <t xml:space="preserve">B2_P2 (ara)_7</t>
  </si>
  <si>
    <t xml:space="preserve">CAGCGGCAGCGGCACTTCTGCTATG</t>
  </si>
  <si>
    <t xml:space="preserve">GCCGCCCGCGCCCGCCATGGCGGCT</t>
  </si>
  <si>
    <t xml:space="preserve">JL-021-08</t>
  </si>
  <si>
    <t xml:space="preserve">araucan_B2_P1_08</t>
  </si>
  <si>
    <t xml:space="preserve">CCTCGTAAATCCTCATCAAACGTGCGCGTGCGCGTGCGGGGACGG</t>
  </si>
  <si>
    <t xml:space="preserve">araucan_B2_P2_08</t>
  </si>
  <si>
    <t xml:space="preserve">GCGCGTGAGCGTGCGCGTGCCCGTGAAATCATCCAGTAAACCGCC</t>
  </si>
  <si>
    <t xml:space="preserve">B2_P1 (ara)_8</t>
  </si>
  <si>
    <t xml:space="preserve">B2_P2 (ara)_8</t>
  </si>
  <si>
    <t xml:space="preserve">CGTGCGCGTGCGCGTGCGGGGACGG</t>
  </si>
  <si>
    <t xml:space="preserve">GCGCGTGAGCGTGCGCGTGCCCGTG</t>
  </si>
  <si>
    <t xml:space="preserve">JL-021-09</t>
  </si>
  <si>
    <t xml:space="preserve">araucan_B2_P1_09</t>
  </si>
  <si>
    <t xml:space="preserve">CCTCGTAAATCCTCATCAAAGGCAGCGCGTGCCCGGCGTACTGCG</t>
  </si>
  <si>
    <t xml:space="preserve">araucan_B2_P2_09</t>
  </si>
  <si>
    <t xml:space="preserve">GACAGGAAGGCGGGCGCGCTCGGCAAAATCATCCAGTAAACCGCC</t>
  </si>
  <si>
    <t xml:space="preserve">B2_P1 (ara)_9</t>
  </si>
  <si>
    <t xml:space="preserve">B2_P2 (ara)_9</t>
  </si>
  <si>
    <t xml:space="preserve">GGCAGCGCGTGCCCGGCGTACTGCG</t>
  </si>
  <si>
    <t xml:space="preserve">GACAGGAAGGCGGGCGCGCTCGGCA</t>
  </si>
  <si>
    <t xml:space="preserve">JL-022-01</t>
  </si>
  <si>
    <t xml:space="preserve">bric-a-bac_B2_P1_01</t>
  </si>
  <si>
    <t xml:space="preserve">CCTCGTAAATCCTCATCAAAGTTCTCCGTGAACAGCGTCTGGAAG</t>
  </si>
  <si>
    <t xml:space="preserve">bric-a-bac_B2_P2_01</t>
  </si>
  <si>
    <t xml:space="preserve">CATGATGACGATCGGGTGCCGGCACAAATCATCCAGTAAACCGCC</t>
  </si>
  <si>
    <t xml:space="preserve">B2_P1 (bab)_1</t>
  </si>
  <si>
    <t xml:space="preserve">B2_P2 (bab)_1</t>
  </si>
  <si>
    <t xml:space="preserve">GTTCTCCGTGAACAGCGTCTGGAAG</t>
  </si>
  <si>
    <t xml:space="preserve">CATGATGACGATCGGGTGCCGGCAC</t>
  </si>
  <si>
    <t xml:space="preserve">Jeriel_HCRoligosequences › bric-a-bac</t>
  </si>
  <si>
    <t xml:space="preserve">JL-022-02</t>
  </si>
  <si>
    <t xml:space="preserve">bric-a-bac_B2_P1_02</t>
  </si>
  <si>
    <t xml:space="preserve">CCTCGTAAATCCTCATCAAATGAAGTCCACCACCGCCTTCAGGTC</t>
  </si>
  <si>
    <t xml:space="preserve">bric-a-bac_B2_P2_02</t>
  </si>
  <si>
    <t xml:space="preserve">GCGACACGTTGATCTCGCCGCGGTAAAATCATCCAGTAAACCGCC</t>
  </si>
  <si>
    <t xml:space="preserve">B2_P1 (bab)_2</t>
  </si>
  <si>
    <t xml:space="preserve">B2_P2 (bab)_2</t>
  </si>
  <si>
    <t xml:space="preserve">TGAAGTCCACCACCGCCTTCAGGTC</t>
  </si>
  <si>
    <t xml:space="preserve">GCGACACGTTGATCTCGCCGCGGTA</t>
  </si>
  <si>
    <t xml:space="preserve">JL-022-03</t>
  </si>
  <si>
    <t xml:space="preserve">bric-a-bac_B2_P1_03</t>
  </si>
  <si>
    <t xml:space="preserve">CCTCGTAAATCCTCATCAAATTCAGCGTTTCCGCCACCTGCAGCA</t>
  </si>
  <si>
    <t xml:space="preserve">bric-a-bac_B2_P2_03</t>
  </si>
  <si>
    <t xml:space="preserve">CCGCTCACGTCCGTCAGCCCGCGCAAAATCATCCAGTAAACCGCC</t>
  </si>
  <si>
    <t xml:space="preserve">B2_P1 (bab)_3</t>
  </si>
  <si>
    <t xml:space="preserve">B2_P2 (bab)_3</t>
  </si>
  <si>
    <t xml:space="preserve">TTCAGCGTTTCCGCCACCTGCAGCA</t>
  </si>
  <si>
    <t xml:space="preserve">CCGCTCACGTCCGTCAGCCCGCGCA</t>
  </si>
  <si>
    <t xml:space="preserve">JL-022-04</t>
  </si>
  <si>
    <t xml:space="preserve">bric-a-bac_B2_P1_04</t>
  </si>
  <si>
    <t xml:space="preserve">CCTCGTAAATCCTCATCAAACGCGGTGCCGCTGCGCTTGGCGGCG</t>
  </si>
  <si>
    <t xml:space="preserve">bric-a-bac_B2_P2_04</t>
  </si>
  <si>
    <t xml:space="preserve">CAGCCCCGCGCCCGGCGCGTCCGGCAAATCATCCAGTAAACCGCC</t>
  </si>
  <si>
    <t xml:space="preserve">B2_P1 (bab)_4</t>
  </si>
  <si>
    <t xml:space="preserve">B2_P2 (bab)_4</t>
  </si>
  <si>
    <t xml:space="preserve">CGCGGTGCCGCTGCGCTTGGCGGCG</t>
  </si>
  <si>
    <t xml:space="preserve">CAGCCCCGCGCCCGGCGCGTCCGGC</t>
  </si>
  <si>
    <t xml:space="preserve">JL-022-05</t>
  </si>
  <si>
    <t xml:space="preserve">bric-a-bac_B2_P1_05</t>
  </si>
  <si>
    <t xml:space="preserve">CCTCGTAAATCCTCATCAAAGCGCGGAGCCCGAGCGGCGGCGCGC</t>
  </si>
  <si>
    <t xml:space="preserve">bric-a-bac_B2_P2_05</t>
  </si>
  <si>
    <t xml:space="preserve">GCAGCAGGTCGGCGGGCGGCGAGCGAAATCATCCAGTAAACCGCC</t>
  </si>
  <si>
    <t xml:space="preserve">B2_P1 (bab)_5</t>
  </si>
  <si>
    <t xml:space="preserve">B2_P2 (bab)_5</t>
  </si>
  <si>
    <t xml:space="preserve">GCGCGGAGCCCGAGCGGCGGCGCGC</t>
  </si>
  <si>
    <t xml:space="preserve">GCAGCAGGTCGGCGGGCGGCGAGCG</t>
  </si>
  <si>
    <t xml:space="preserve">JL-022-06</t>
  </si>
  <si>
    <t xml:space="preserve">bric-a-bac_B2_P1_06</t>
  </si>
  <si>
    <t xml:space="preserve">CCTCGTAAATCCTCATCAAATCGACGTCGTCGTGCATGGGCGGCG</t>
  </si>
  <si>
    <t xml:space="preserve">bric-a-bac_B2_P2_06</t>
  </si>
  <si>
    <t xml:space="preserve">ATCATCTCGGCGATGCCGGGGCGGAAAATCATCCAGTAAACCGCC</t>
  </si>
  <si>
    <t xml:space="preserve">B2_P1 (bab)_6</t>
  </si>
  <si>
    <t xml:space="preserve">B2_P2 (bab)_6</t>
  </si>
  <si>
    <t xml:space="preserve">TCGACGTCGTCGTGCATGGGCGGCG</t>
  </si>
  <si>
    <t xml:space="preserve">ATCATCTCGGCGATGCCGGGGCGGA</t>
  </si>
  <si>
    <t xml:space="preserve">JL-022-07</t>
  </si>
  <si>
    <t xml:space="preserve">bric-a-bac_B2_P1_07</t>
  </si>
  <si>
    <t xml:space="preserve">CCTCGTAAATCCTCATCAAAAGCGTGAGAGTTTTCAATTAATTTG</t>
  </si>
  <si>
    <t xml:space="preserve">bric-a-bac_B2_P2_07</t>
  </si>
  <si>
    <t xml:space="preserve">AATCGAAGATGTGGAGGCGCCGAGCAAATCATCCAGTAAACCGCC</t>
  </si>
  <si>
    <t xml:space="preserve">B2_P1 (bab)_7</t>
  </si>
  <si>
    <t xml:space="preserve">B2_P2 (bab)_7</t>
  </si>
  <si>
    <t xml:space="preserve">AGCGTGAGAGTTTTCAATTAATTTG</t>
  </si>
  <si>
    <t xml:space="preserve">AATCGAAGATGTGGAGGCGCCGAGC</t>
  </si>
  <si>
    <t xml:space="preserve">JL-022-08</t>
  </si>
  <si>
    <t xml:space="preserve">bric-a-bac_B2_P1_08</t>
  </si>
  <si>
    <t xml:space="preserve">CCTCGTAAATCCTCATCAAAACTTCTGCCACATGGACTGCAGCTG</t>
  </si>
  <si>
    <t xml:space="preserve">bric-a-bac_B2_P2_08</t>
  </si>
  <si>
    <t xml:space="preserve">GCACGATGCTCTGGTTGGTGTTCCAAAATCATCCAGTAAACCGCC</t>
  </si>
  <si>
    <t xml:space="preserve">B2_P1 (bab)_8</t>
  </si>
  <si>
    <t xml:space="preserve">B2_P2 (bab)_8</t>
  </si>
  <si>
    <t xml:space="preserve">ACTTCTGCCACATGGACTGCAGCTG</t>
  </si>
  <si>
    <t xml:space="preserve">GCACGATGCTCTGGTTGGTGTTCCA</t>
  </si>
  <si>
    <t xml:space="preserve">JL-023-01</t>
  </si>
  <si>
    <t xml:space="preserve">cut_B2_P1_01</t>
  </si>
  <si>
    <t xml:space="preserve">CCTCGTAAATCCTCATCAAAAGGTCTATCCTTATCACTATCAGTC</t>
  </si>
  <si>
    <t xml:space="preserve">cut_B2_P2_01</t>
  </si>
  <si>
    <t xml:space="preserve">GTGCCTTATAGCCTCCTCGGCGTCCAAATCATCCAGTAAACCGCC</t>
  </si>
  <si>
    <t xml:space="preserve">B2_P1 (cut)_1</t>
  </si>
  <si>
    <t xml:space="preserve">B2_P2 (cut)_1</t>
  </si>
  <si>
    <t xml:space="preserve">AGGTCTATCCTTATCACTATCAGTC</t>
  </si>
  <si>
    <t xml:space="preserve">GTGCCTTATAGCCTCCTCGGCGTCC</t>
  </si>
  <si>
    <t xml:space="preserve">Jeriel_HCRoligosequences › cut</t>
  </si>
  <si>
    <t xml:space="preserve">JL-023-02</t>
  </si>
  <si>
    <t xml:space="preserve">cut_B2_P1_02</t>
  </si>
  <si>
    <t xml:space="preserve">CCTCGTAAATCCTCATCAAACGGGTTCCAGTTTTGGCCTAACTAA</t>
  </si>
  <si>
    <t xml:space="preserve">cut_B2_P2_02</t>
  </si>
  <si>
    <t xml:space="preserve">ACGCCGAAGATCCGGTCGACTGCTGAAATCATCCAGTAAACCGCC</t>
  </si>
  <si>
    <t xml:space="preserve">B2_P1 (cut)_2</t>
  </si>
  <si>
    <t xml:space="preserve">B2_P2 (cut)_2</t>
  </si>
  <si>
    <t xml:space="preserve">CGGGTTCCAGTTTTGGCCTAACTAA</t>
  </si>
  <si>
    <t xml:space="preserve">ACGCCGAAGATCCGGTCGACTGCTG</t>
  </si>
  <si>
    <t xml:space="preserve">JL-023-03</t>
  </si>
  <si>
    <t xml:space="preserve">cut_B2_P1_03</t>
  </si>
  <si>
    <t xml:space="preserve">CCTCGTAAATCCTCATCAAAGGAGTTATCGCGGGAGGAAGAATTG</t>
  </si>
  <si>
    <t xml:space="preserve">cut_B2_P2_03</t>
  </si>
  <si>
    <t xml:space="preserve">GCAGCAGAACTACTGAAGTCTTCGTAAATCATCCAGTAAACCGCC</t>
  </si>
  <si>
    <t xml:space="preserve">B2_P1 (cut)_3</t>
  </si>
  <si>
    <t xml:space="preserve">B2_P2 (cut)_3</t>
  </si>
  <si>
    <t xml:space="preserve">GGAGTTATCGCGGGAGGAAGAATTG</t>
  </si>
  <si>
    <t xml:space="preserve">GCAGCAGAACTACTGAAGTCTTCGT</t>
  </si>
  <si>
    <t xml:space="preserve">JL-023-04</t>
  </si>
  <si>
    <t xml:space="preserve">cut_B2_P1_04</t>
  </si>
  <si>
    <t xml:space="preserve">CCTCGTAAATCCTCATCAAATAAACTATTCGTTATTGAAGCCATT</t>
  </si>
  <si>
    <t xml:space="preserve">cut_B2_P2_04</t>
  </si>
  <si>
    <t xml:space="preserve">GTGAGGTGGGTTCGGTGGTTGGGAAAAATCATCCAGTAAACCGCC</t>
  </si>
  <si>
    <t xml:space="preserve">B2_P1 (cut)_4</t>
  </si>
  <si>
    <t xml:space="preserve">B2_P2 (cut)_4</t>
  </si>
  <si>
    <t xml:space="preserve">TAAACTATTCGTTATTGAAGCCATT</t>
  </si>
  <si>
    <t xml:space="preserve">GTGAGGTGGGTTCGGTGGTTGGGAA</t>
  </si>
  <si>
    <t xml:space="preserve">JL-023-05</t>
  </si>
  <si>
    <t xml:space="preserve">cut_B2_P1_05</t>
  </si>
  <si>
    <t xml:space="preserve">CCTCGTAAATCCTCATCAAATAGGCGGGAGGACCGCTTTCATCGA</t>
  </si>
  <si>
    <t xml:space="preserve">cut_B2_P2_05</t>
  </si>
  <si>
    <t xml:space="preserve">TAAAGAGATCGAATTGTTGCTGCGTAAATCATCCAGTAAACCGCC</t>
  </si>
  <si>
    <t xml:space="preserve">B2_P1 (cut)_5</t>
  </si>
  <si>
    <t xml:space="preserve">B2_P2 (cut)_5</t>
  </si>
  <si>
    <t xml:space="preserve">TAGGCGGGAGGACCGCTTTCATCGA</t>
  </si>
  <si>
    <t xml:space="preserve">TAAAGAGATCGAATTGTTGCTGCGT</t>
  </si>
  <si>
    <t xml:space="preserve">JL-023-06</t>
  </si>
  <si>
    <t xml:space="preserve">cut_B2_P1_06</t>
  </si>
  <si>
    <t xml:space="preserve">CCTCGTAAATCCTCATCAAAGCTTCCTTGACCCTCTTAACGATGT</t>
  </si>
  <si>
    <t xml:space="preserve">cut_B2_P2_06</t>
  </si>
  <si>
    <t xml:space="preserve">CTTTGGCTGATCGAGTACTGGCTTAAAATCATCCAGTAAACCGCC</t>
  </si>
  <si>
    <t xml:space="preserve">B2_P1 (cut)_6</t>
  </si>
  <si>
    <t xml:space="preserve">B2_P2 (cut)_6</t>
  </si>
  <si>
    <t xml:space="preserve">GCTTCCTTGACCCTCTTAACGATGT</t>
  </si>
  <si>
    <t xml:space="preserve">CTTTGGCTGATCGAGTACTGGCTTA</t>
  </si>
  <si>
    <t xml:space="preserve">JL-023-07</t>
  </si>
  <si>
    <t xml:space="preserve">cut_B2_P1_07</t>
  </si>
  <si>
    <t xml:space="preserve">CCTCGTAAATCCTCATCAAACACGGAACCTTGTGACAGTCCGAGA</t>
  </si>
  <si>
    <t xml:space="preserve">cut_B2_P2_07</t>
  </si>
  <si>
    <t xml:space="preserve">CGGTTTCGGTCGGGCGAGCAAATCGAAATCATCCAGTAAACCGCC</t>
  </si>
  <si>
    <t xml:space="preserve">B2_P1 (cut)_7</t>
  </si>
  <si>
    <t xml:space="preserve">B2_P2 (cut)_7</t>
  </si>
  <si>
    <t xml:space="preserve">CACGGAACCTTGTGACAGTCCGAGA</t>
  </si>
  <si>
    <t xml:space="preserve">CGGTTTCGGTCGGGCGAGCAAATCG</t>
  </si>
  <si>
    <t xml:space="preserve">JL-023-08</t>
  </si>
  <si>
    <t xml:space="preserve">cut_B2_P1_08</t>
  </si>
  <si>
    <t xml:space="preserve">CCTCGTAAATCCTCATCAAATTCTGATGAAGGGTTCTCTTCCTTT</t>
  </si>
  <si>
    <t xml:space="preserve">cut_B2_P2_08</t>
  </si>
  <si>
    <t xml:space="preserve">CGTTGTCGTCCTCCAAGAACATTTTAAATCATCCAGTAAACCGCC</t>
  </si>
  <si>
    <t xml:space="preserve">B2_P1 (cut)_8</t>
  </si>
  <si>
    <t xml:space="preserve">B2_P2 (cut)_8</t>
  </si>
  <si>
    <t xml:space="preserve">TTCTGATGAAGGGTTCTCTTCCTTT</t>
  </si>
  <si>
    <t xml:space="preserve">CGTTGTCGTCCTCCAAGAACATTTT</t>
  </si>
  <si>
    <t xml:space="preserve">JL-023-09</t>
  </si>
  <si>
    <t xml:space="preserve">cut_B2_P1_09</t>
  </si>
  <si>
    <t xml:space="preserve">CCTCGTAAATCCTCATCAAATCAGGGGCGATTTTGTACTGCGATG</t>
  </si>
  <si>
    <t xml:space="preserve">cut_B2_P2_09</t>
  </si>
  <si>
    <t xml:space="preserve">CTGTAGTTTCCAGTCCTCATAAGTTAAATCATCCAGTAAACCGCC</t>
  </si>
  <si>
    <t xml:space="preserve">B2_P1 (cut)_9</t>
  </si>
  <si>
    <t xml:space="preserve">B2_P2 (cut)_9</t>
  </si>
  <si>
    <t xml:space="preserve">TCAGGGGCGATTTTGTACTGCGATG</t>
  </si>
  <si>
    <t xml:space="preserve">CTGTAGTTTCCAGTCCTCATAAGTT</t>
  </si>
  <si>
    <t xml:space="preserve">JL-023-10</t>
  </si>
  <si>
    <t xml:space="preserve">cut_B2_P1_10</t>
  </si>
  <si>
    <t xml:space="preserve">CCTCGTAAATCCTCATCAAATGGTATGGGCTTGGTCATGTTTGGC</t>
  </si>
  <si>
    <t xml:space="preserve">cut_B2_P2_10</t>
  </si>
  <si>
    <t xml:space="preserve">CGCATCTGAGATCATTTTTTGAGTCAAATCATCCAGTAAACCGCC</t>
  </si>
  <si>
    <t xml:space="preserve">B2_P1 (cut)_10</t>
  </si>
  <si>
    <t xml:space="preserve">B2_P2 (cut)_10</t>
  </si>
  <si>
    <t xml:space="preserve">TGGTATGGGCTTGGTCATGTTTGGC</t>
  </si>
  <si>
    <t xml:space="preserve">CGCATCTGAGATCATTTTTTGAGTC</t>
  </si>
  <si>
    <t xml:space="preserve">JL-024-01</t>
  </si>
  <si>
    <t xml:space="preserve">dishevelled_B2_P1_01</t>
  </si>
  <si>
    <t xml:space="preserve">CCTCGTAAATCCTCATCAAACGCGGCCGTTAAAGCACGGCAAATG</t>
  </si>
  <si>
    <t xml:space="preserve">dishevelled_B2_P2_01</t>
  </si>
  <si>
    <t xml:space="preserve">CCTCGGCAGACACCAGCCAAGACACAAATCATCCAGTAAACCGCC</t>
  </si>
  <si>
    <t xml:space="preserve">B2_P1 (dsh)_1</t>
  </si>
  <si>
    <t xml:space="preserve">B2_P2 (dsh)_1</t>
  </si>
  <si>
    <t xml:space="preserve">CGCGGCCGTTAAAGCACGGCAAATG</t>
  </si>
  <si>
    <t xml:space="preserve">CCTCGGCAGACACCAGCCAAGACAC</t>
  </si>
  <si>
    <t xml:space="preserve">Jeriel_HCRoligosequences › dishevelled</t>
  </si>
  <si>
    <t xml:space="preserve">JL-024-02</t>
  </si>
  <si>
    <t xml:space="preserve">dishevelled_B2_P1_02</t>
  </si>
  <si>
    <t xml:space="preserve">CCTCGTAAATCCTCATCAAATTGCTGTCAGTGCACTGGGAAGCGC</t>
  </si>
  <si>
    <t xml:space="preserve">dishevelled_B2_P2_02</t>
  </si>
  <si>
    <t xml:space="preserve">TGGATGTTCTGCTTCGTTTTGCCAGAAATCATCCAGTAAACCGCC</t>
  </si>
  <si>
    <t xml:space="preserve">B2_P1 (dsh)_2</t>
  </si>
  <si>
    <t xml:space="preserve">B2_P2 (dsh)_2</t>
  </si>
  <si>
    <t xml:space="preserve">TTGCTGTCAGTGCACTGGGAAGCGC</t>
  </si>
  <si>
    <t xml:space="preserve">TGGATGTTCTGCTTCGTTTTGCCAG</t>
  </si>
  <si>
    <t xml:space="preserve">JL-024-03</t>
  </si>
  <si>
    <t xml:space="preserve">dishevelled_B2_P1_03</t>
  </si>
  <si>
    <t xml:space="preserve">CCTCGTAAATCCTCATCAAAGTCCGTGCAGGTGTCCCTAGTCAGA</t>
  </si>
  <si>
    <t xml:space="preserve">dishevelled_B2_P2_03</t>
  </si>
  <si>
    <t xml:space="preserve">GGGTCGGGAGCTGATCGTGCTATCTAAATCATCCAGTAAACCGCC</t>
  </si>
  <si>
    <t xml:space="preserve">B2_P1 (dsh)_3</t>
  </si>
  <si>
    <t xml:space="preserve">B2_P2 (dsh)_3</t>
  </si>
  <si>
    <t xml:space="preserve">GTCCGTGCAGGTGTCCCTAGTCAGA</t>
  </si>
  <si>
    <t xml:space="preserve">GGGTCGGGAGCTGATCGTGCTATCT</t>
  </si>
  <si>
    <t xml:space="preserve">JL-024-04</t>
  </si>
  <si>
    <t xml:space="preserve">dishevelled_B2_P1_04</t>
  </si>
  <si>
    <t xml:space="preserve">CCTCGTAAATCCTCATCAAATGAGGCCCCTGTACTTGTATTTGTC</t>
  </si>
  <si>
    <t xml:space="preserve">dishevelled_B2_P2_04</t>
  </si>
  <si>
    <t xml:space="preserve">TGCCGTACTTCGAATGCCCGTTTATAAATCATCCAGTAAACCGCC</t>
  </si>
  <si>
    <t xml:space="preserve">B2_P1 (dsh)_4</t>
  </si>
  <si>
    <t xml:space="preserve">B2_P2 (dsh)_4</t>
  </si>
  <si>
    <t xml:space="preserve">TGAGGCCCCTGTACTTGTATTTGTC</t>
  </si>
  <si>
    <t xml:space="preserve">TGCCGTACTTCGAATGCCCGTTTAT</t>
  </si>
  <si>
    <t xml:space="preserve">JL-024-05</t>
  </si>
  <si>
    <t xml:space="preserve">dishevelled_B2_P1_05</t>
  </si>
  <si>
    <t xml:space="preserve">CCTCGTAAATCCTCATCAAATCTGATGATAGAACTGAAGCAGTTT</t>
  </si>
  <si>
    <t xml:space="preserve">dishevelled_B2_P2_05</t>
  </si>
  <si>
    <t xml:space="preserve">CTGTCGAAGAGACTGGTGGAGTCCAAAATCATCCAGTAAACCGCC</t>
  </si>
  <si>
    <t xml:space="preserve">B2_P1 (dsh)_5</t>
  </si>
  <si>
    <t xml:space="preserve">B2_P2 (dsh)_5</t>
  </si>
  <si>
    <t xml:space="preserve">TCTGATGATAGAACTGAAGCAGTTT</t>
  </si>
  <si>
    <t xml:space="preserve">CTGTCGAAGAGACTGGTGGAGTCCA</t>
  </si>
  <si>
    <t xml:space="preserve">JL-024-06</t>
  </si>
  <si>
    <t xml:space="preserve">dishevelled_B2_P1_06</t>
  </si>
  <si>
    <t xml:space="preserve">CCTCGTAAATCCTCATCAAAGGCATTGGTATGTCTGCCAGTGGTA</t>
  </si>
  <si>
    <t xml:space="preserve">dishevelled_B2_P2_06</t>
  </si>
  <si>
    <t xml:space="preserve">GCATTCTGTGAGTGCTCTGTCTACGAAATCATCCAGTAAACCGCC</t>
  </si>
  <si>
    <t xml:space="preserve">B2_P1 (dsh)_6</t>
  </si>
  <si>
    <t xml:space="preserve">B2_P2 (dsh)_6</t>
  </si>
  <si>
    <t xml:space="preserve">GGCATTGGTATGTCTGCCAGTGGTA</t>
  </si>
  <si>
    <t xml:space="preserve">GCATTCTGTGAGTGCTCTGTCTACG</t>
  </si>
  <si>
    <t xml:space="preserve">JL-024-07</t>
  </si>
  <si>
    <t xml:space="preserve">dishevelled_B2_P1_07</t>
  </si>
  <si>
    <t xml:space="preserve">CCTCGTAAATCCTCATCAAAGAGGCCTTTTGCGTGAGCTGACCTG</t>
  </si>
  <si>
    <t xml:space="preserve">dishevelled_B2_P2_07</t>
  </si>
  <si>
    <t xml:space="preserve">TCACTTGAGGCCTTTTCCGCCGCCTAAATCATCCAGTAAACCGCC</t>
  </si>
  <si>
    <t xml:space="preserve">B2_P1 (dsh)_7</t>
  </si>
  <si>
    <t xml:space="preserve">B2_P2 (dsh)_7</t>
  </si>
  <si>
    <t xml:space="preserve">GAGGCCTTTTGCGTGAGCTGACCTG</t>
  </si>
  <si>
    <t xml:space="preserve">TCACTTGAGGCCTTTTCCGCCGCCT</t>
  </si>
  <si>
    <t xml:space="preserve">JL-024-08</t>
  </si>
  <si>
    <t xml:space="preserve">dishevelled_B2_P1_08</t>
  </si>
  <si>
    <t xml:space="preserve">CCTCGTAAATCCTCATCAAAATCGTAGAGTCCGTGATAGAGGAGT</t>
  </si>
  <si>
    <t xml:space="preserve">dishevelled_B2_P2_08</t>
  </si>
  <si>
    <t xml:space="preserve">AAAGTCACTGTAATTATGTGCATAGAAATCATCCAGTAAACCGCC</t>
  </si>
  <si>
    <t xml:space="preserve">B2_P1 (dsh)_8</t>
  </si>
  <si>
    <t xml:space="preserve">B2_P2 (dsh)_8</t>
  </si>
  <si>
    <t xml:space="preserve">ATCGTAGAGTCCGTGATAGAGGAGT</t>
  </si>
  <si>
    <t xml:space="preserve">AAAGTCACTGTAATTATGTGCATAG</t>
  </si>
  <si>
    <t xml:space="preserve">JL-024-09</t>
  </si>
  <si>
    <t xml:space="preserve">dishevelled_B2_P1_09</t>
  </si>
  <si>
    <t xml:space="preserve">CCTCGTAAATCCTCATCAAAACCAACTATCGATATACCGAGAAAA</t>
  </si>
  <si>
    <t xml:space="preserve">dishevelled_B2_P2_09</t>
  </si>
  <si>
    <t xml:space="preserve">CCCACCATCACCACCCTTATTTGACAAATCATCCAGTAAACCGCC</t>
  </si>
  <si>
    <t xml:space="preserve">B2_P1 (dsh)_9</t>
  </si>
  <si>
    <t xml:space="preserve">B2_P2 (dsh)_9</t>
  </si>
  <si>
    <t xml:space="preserve">ACCAACTATCGATATACCGAGAAAA</t>
  </si>
  <si>
    <t xml:space="preserve">CCCACCATCACCACCCTTATTTGAC</t>
  </si>
  <si>
    <t xml:space="preserve">JL-024-10</t>
  </si>
  <si>
    <t xml:space="preserve">dishevelled_B2_P1_10</t>
  </si>
  <si>
    <t xml:space="preserve">CCTCGTAAATCCTCATCAAACCAGCGCAACCGCACCACCTTTCAT</t>
  </si>
  <si>
    <t xml:space="preserve">dishevelled_B2_P2_10</t>
  </si>
  <si>
    <t xml:space="preserve">TCATATCACCGGGTTCAATCCTGCCAAATCATCCAGTAAACCGCC</t>
  </si>
  <si>
    <t xml:space="preserve">B2_P1 (dsh)_10</t>
  </si>
  <si>
    <t xml:space="preserve">B2_P2 (dsh)_10</t>
  </si>
  <si>
    <t xml:space="preserve">CCAGCGCAACCGCACCACCTTTCAT</t>
  </si>
  <si>
    <t xml:space="preserve">TCATATCACCGGGTTCAATCCTGCC</t>
  </si>
  <si>
    <t xml:space="preserve">JL-024-11</t>
  </si>
  <si>
    <t xml:space="preserve">dishevelled_B2_P1_11</t>
  </si>
  <si>
    <t xml:space="preserve">CCTCGTAAATCCTCATCAAATCGTTGGTCATGTCCTCAAAGTTCA</t>
  </si>
  <si>
    <t xml:space="preserve">dishevelled_B2_P2_11</t>
  </si>
  <si>
    <t xml:space="preserve">ACCTCACGCAAGACCCGCACTGCCTAAATCATCCAGTAAACCGCC</t>
  </si>
  <si>
    <t xml:space="preserve">B2_P1 (dsh)_11</t>
  </si>
  <si>
    <t xml:space="preserve">B2_P2 (dsh)_11</t>
  </si>
  <si>
    <t xml:space="preserve">TCGTTGGTCATGTCCTCAAAGTTCA</t>
  </si>
  <si>
    <t xml:space="preserve">ACCTCACGCAAGACCCGCACTGCCT</t>
  </si>
  <si>
    <t xml:space="preserve">JL-024-12</t>
  </si>
  <si>
    <t xml:space="preserve">dishevelled_B2_P1_12</t>
  </si>
  <si>
    <t xml:space="preserve">CCTCGTAAATCCTCATCAAAGCACTTGGCTACGACCAGCTTTATG</t>
  </si>
  <si>
    <t xml:space="preserve">dishevelled_B2_P2_12</t>
  </si>
  <si>
    <t xml:space="preserve">GAAGTAGCCCTTGGGGTTGGGGTCCAAATCATCCAGTAAACCGCC</t>
  </si>
  <si>
    <t xml:space="preserve">B2_P1 (dsh)_12</t>
  </si>
  <si>
    <t xml:space="preserve">B2_P2 (dsh)_12</t>
  </si>
  <si>
    <t xml:space="preserve">GCACTTGGCTACGACCAGCTTTATG</t>
  </si>
  <si>
    <t xml:space="preserve">GAAGTAGCCCTTGGGGTTGGGGTCC</t>
  </si>
  <si>
    <t xml:space="preserve">JL-025-01</t>
  </si>
  <si>
    <t xml:space="preserve">dpp_B2_P1_01</t>
  </si>
  <si>
    <t xml:space="preserve">CCTCGTAAATCCTCATCAAAGGGCGTGTGGTGGAAGGAGCGCGCC</t>
  </si>
  <si>
    <t xml:space="preserve">dpp_B2_P2_01</t>
  </si>
  <si>
    <t xml:space="preserve">GCCGGGGAAGCGCTCGTCGAGCGGCAAATCATCCAGTAAACCGCC</t>
  </si>
  <si>
    <t xml:space="preserve">B2_P1 (dpp)_1</t>
  </si>
  <si>
    <t xml:space="preserve">B2_P2 (dpp)_1</t>
  </si>
  <si>
    <t xml:space="preserve">GGGCGTGTGGTGGAAGGAGCGCGCC</t>
  </si>
  <si>
    <t xml:space="preserve">GCCGGGGAAGCGCTCGTCGAGCGGC</t>
  </si>
  <si>
    <t xml:space="preserve">Jeriel_HCRoligosequences › dpp</t>
  </si>
  <si>
    <t xml:space="preserve">JL-025-02</t>
  </si>
  <si>
    <t xml:space="preserve">dpp_B2_P1_02</t>
  </si>
  <si>
    <t xml:space="preserve">CCTCGTAAATCCTCATCAAACCGGTACGCCGCTCACGTTGAAGAA</t>
  </si>
  <si>
    <t xml:space="preserve">dpp_B2_P2_02</t>
  </si>
  <si>
    <t xml:space="preserve">GGTCGGCGCCGCGCGCCACCTCGTCAAATCATCCAGTAAACCGCC</t>
  </si>
  <si>
    <t xml:space="preserve">B2_P1 (dpp)_2</t>
  </si>
  <si>
    <t xml:space="preserve">B2_P2 (dpp)_2</t>
  </si>
  <si>
    <t xml:space="preserve">CCGGTACGCCGCTCACGTTGAAGAA</t>
  </si>
  <si>
    <t xml:space="preserve">GGTCGGCGCCGCGCGCCACCTCGTC</t>
  </si>
  <si>
    <t xml:space="preserve">JL-025-03</t>
  </si>
  <si>
    <t xml:space="preserve">dpp_B2_P1_03</t>
  </si>
  <si>
    <t xml:space="preserve">CCTCGTAAATCCTCATCAAAAGTCTCTGTCTGCCGGTGGTGCCGA</t>
  </si>
  <si>
    <t xml:space="preserve">dpp_B2_P2_03</t>
  </si>
  <si>
    <t xml:space="preserve">CCGGGGCGCACCACGTCGTACAACAAAATCATCCAGTAAACCGCC</t>
  </si>
  <si>
    <t xml:space="preserve">B2_P1 (dpp)_3</t>
  </si>
  <si>
    <t xml:space="preserve">B2_P2 (dpp)_3</t>
  </si>
  <si>
    <t xml:space="preserve">AGTCTCTGTCTGCCGGTGGTGCCGA</t>
  </si>
  <si>
    <t xml:space="preserve">CCGGGGCGCACCACGTCGTACAACA</t>
  </si>
  <si>
    <t xml:space="preserve">JL-025-04</t>
  </si>
  <si>
    <t xml:space="preserve">dpp_B2_P1_04</t>
  </si>
  <si>
    <t xml:space="preserve">CCTCGTAAATCCTCATCAAAGGAGTCCAGCAGCCGCAGGATCGGC</t>
  </si>
  <si>
    <t xml:space="preserve">dpp_B2_P2_04</t>
  </si>
  <si>
    <t xml:space="preserve">GATTCCCTCCCCGGGCCGGAGCGGCAAATCATCCAGTAAACCGCC</t>
  </si>
  <si>
    <t xml:space="preserve">B2_P1 (dpp)_4</t>
  </si>
  <si>
    <t xml:space="preserve">B2_P2 (dpp)_4</t>
  </si>
  <si>
    <t xml:space="preserve">GGAGTCCAGCAGCCGCAGGATCGGC</t>
  </si>
  <si>
    <t xml:space="preserve">GATTCCCTCCCCGGGCCGGAGCGGC</t>
  </si>
  <si>
    <t xml:space="preserve">JL-025-05</t>
  </si>
  <si>
    <t xml:space="preserve">dpp_B2_P1_05</t>
  </si>
  <si>
    <t xml:space="preserve">CCTCGTAAATCCTCATCAAACTTTGAGCCACCGTCGCGCCGCTCC</t>
  </si>
  <si>
    <t xml:space="preserve">dpp_B2_P2_05</t>
  </si>
  <si>
    <t xml:space="preserve">CTAATAGTCCGTGATTATGTTTGGGAAATCATCCAGTAAACCGCC</t>
  </si>
  <si>
    <t xml:space="preserve">B2_P1 (dpp)_5</t>
  </si>
  <si>
    <t xml:space="preserve">B2_P2 (dpp)_5</t>
  </si>
  <si>
    <t xml:space="preserve">CTTTGAGCCACCGTCGCGCCGCTCC</t>
  </si>
  <si>
    <t xml:space="preserve">CTAATAGTCCGTGATTATGTTTGGG</t>
  </si>
  <si>
    <t xml:space="preserve">JL-025-06</t>
  </si>
  <si>
    <t xml:space="preserve">dpp_B2_P1_06</t>
  </si>
  <si>
    <t xml:space="preserve">CCTCGTAAATCCTCATCAAAGCGTCCCTGCTCACACTCGCGGCGT</t>
  </si>
  <si>
    <t xml:space="preserve">dpp_B2_P2_06</t>
  </si>
  <si>
    <t xml:space="preserve">CTGCGCACGCGCACGTGCGGGAACTAAATCATCCAGTAAACCGCC</t>
  </si>
  <si>
    <t xml:space="preserve">B2_P1 (dpp)_6</t>
  </si>
  <si>
    <t xml:space="preserve">B2_P2 (dpp)_6</t>
  </si>
  <si>
    <t xml:space="preserve">GCGTCCCTGCTCACACTCGCGGCGT</t>
  </si>
  <si>
    <t xml:space="preserve">CTGCGCACGCGCACGTGCGGGAACT</t>
  </si>
  <si>
    <t xml:space="preserve">JL-025-07</t>
  </si>
  <si>
    <t xml:space="preserve">dpp_B2_P1_07</t>
  </si>
  <si>
    <t xml:space="preserve">CCTCGTAAATCCTCATCAAACGGCTGCGCCGTCCGCCACTCCTCC</t>
  </si>
  <si>
    <t xml:space="preserve">dpp_B2_P2_07</t>
  </si>
  <si>
    <t xml:space="preserve">CTCGTCCTCCGTGTACAGCATGAGCAAATCATCCAGTAAACCGCC</t>
  </si>
  <si>
    <t xml:space="preserve">B2_P1 (dpp)_7</t>
  </si>
  <si>
    <t xml:space="preserve">B2_P2 (dpp)_7</t>
  </si>
  <si>
    <t xml:space="preserve">CGGCTGCGCCGTCCGCCACTCCTCC</t>
  </si>
  <si>
    <t xml:space="preserve">CTCGTCCTCCGTGTACAGCATGAGC</t>
  </si>
  <si>
    <t xml:space="preserve">JL-025-08</t>
  </si>
  <si>
    <t xml:space="preserve">dpp_B2_P1_08</t>
  </si>
  <si>
    <t xml:space="preserve">CCTCGTAAATCCTCATCAAATGCGCGTCAGCCGCTCGCTCGTCTC</t>
  </si>
  <si>
    <t xml:space="preserve">dpp_B2_P2_08</t>
  </si>
  <si>
    <t xml:space="preserve">GCCCCCGCCGCTGCGCCGCGCGCTTAAATCATCCAGTAAACCGCC</t>
  </si>
  <si>
    <t xml:space="preserve">B2_P1 (dpp)_8</t>
  </si>
  <si>
    <t xml:space="preserve">B2_P2 (dpp)_8</t>
  </si>
  <si>
    <t xml:space="preserve">TGCGCGTCAGCCGCTCGCTCGTCTC</t>
  </si>
  <si>
    <t xml:space="preserve">GCCCCCGCCGCTGCGCCGCGCGCTT</t>
  </si>
  <si>
    <t xml:space="preserve">JL-026-01</t>
  </si>
  <si>
    <t xml:space="preserve">drm_B2_P1_01</t>
  </si>
  <si>
    <t xml:space="preserve">CCTCGTAAATCCTCATCAAAATCCTCGTCGATTTGCATCACGGCG</t>
  </si>
  <si>
    <t xml:space="preserve">drm_B2_P2_01</t>
  </si>
  <si>
    <t xml:space="preserve">CAGCTTACGCCTGAAGTCCCTGGTGAAATCATCCAGTAAACCGCC</t>
  </si>
  <si>
    <t xml:space="preserve">B2_P1 (drm)_1</t>
  </si>
  <si>
    <t xml:space="preserve">B2_P2 (drm)_1</t>
  </si>
  <si>
    <t xml:space="preserve">ATCCTCGTCGATTTGCATCACGGCG</t>
  </si>
  <si>
    <t xml:space="preserve">CAGCTTACGCCTGAAGTCCCTGGTG</t>
  </si>
  <si>
    <t xml:space="preserve">JL-026-02</t>
  </si>
  <si>
    <t xml:space="preserve">drm_B2_P1_02</t>
  </si>
  <si>
    <t xml:space="preserve">CCTCGTAAATCCTCATCAAAACCGACGTTGGCAATACTTGCAGAC</t>
  </si>
  <si>
    <t xml:space="preserve">drm_B2_P2_02</t>
  </si>
  <si>
    <t xml:space="preserve">GTATCATCAGGTTGTAGGACTTGGTAAATCATCCAGTAAACCGCC</t>
  </si>
  <si>
    <t xml:space="preserve">B2_P1 (drm)_2</t>
  </si>
  <si>
    <t xml:space="preserve">B2_P2 (drm)_2</t>
  </si>
  <si>
    <t xml:space="preserve">ACCGACGTTGGCAATACTTGCAGAC</t>
  </si>
  <si>
    <t xml:space="preserve">GTATCATCAGGTTGTAGGACTTGGT</t>
  </si>
  <si>
    <t xml:space="preserve">JL-026-03</t>
  </si>
  <si>
    <t xml:space="preserve">drm_B2_P1_03</t>
  </si>
  <si>
    <t xml:space="preserve">CCTCGTAAATCCTCATCAAATCGCAGCTGAAGCTCAGCTCGGGGC</t>
  </si>
  <si>
    <t xml:space="preserve">drm_B2_P2_03</t>
  </si>
  <si>
    <t xml:space="preserve">TGCCTTTTGAAGCTCTTCCCACAGAAAATCATCCAGTAAACCGCC</t>
  </si>
  <si>
    <t xml:space="preserve">B2_P1 (drm)_3</t>
  </si>
  <si>
    <t xml:space="preserve">B2_P2 (drm)_3</t>
  </si>
  <si>
    <t xml:space="preserve">TCGCAGCTGAAGCTCAGCTCGGGGC</t>
  </si>
  <si>
    <t xml:space="preserve">TGCCTTTTGAAGCTCTTCCCACAGA</t>
  </si>
  <si>
    <t xml:space="preserve">JL-027-01</t>
  </si>
  <si>
    <t xml:space="preserve">exd_B2_P1_01</t>
  </si>
  <si>
    <t xml:space="preserve">CCTCGTAAATCCTCATCAAAGCACAACACGGAAAAAAGAGCAGGC</t>
  </si>
  <si>
    <t xml:space="preserve">exd_B2_P2_01</t>
  </si>
  <si>
    <t xml:space="preserve">AGACAGCACTGTTTTTTCTTTGATTAAATCATCCAGTAAACCGCC</t>
  </si>
  <si>
    <t xml:space="preserve">B2_P1 (exd)_1; Exd1_HCR_P1B2</t>
  </si>
  <si>
    <t xml:space="preserve">Exd1_HCR_P2B2; B2_P2 (exd)_1</t>
  </si>
  <si>
    <t xml:space="preserve">GCACAACACGGAAAAAAGAGCAGGC</t>
  </si>
  <si>
    <t xml:space="preserve">AGACAGCACTGTTTTTTCTTTGATT</t>
  </si>
  <si>
    <t xml:space="preserve">JL-027-02</t>
  </si>
  <si>
    <t xml:space="preserve">exd_B2_P1_02</t>
  </si>
  <si>
    <t xml:space="preserve">CCTCGTAAATCCTCATCAAATCAGCTGCGGGTCTGGGGGCTCCTC</t>
  </si>
  <si>
    <t xml:space="preserve">exd_B2_P2_02</t>
  </si>
  <si>
    <t xml:space="preserve">CAGCTATCAGCATGTTGTCCAACCTAAATCATCCAGTAAACCGCC</t>
  </si>
  <si>
    <t xml:space="preserve">B2_P1 (exd)_2; Exd2_HCR_P1B2</t>
  </si>
  <si>
    <t xml:space="preserve">Exd2_HCR_P2B2; B2_P2 (exd)_2</t>
  </si>
  <si>
    <t xml:space="preserve">JL-027-03</t>
  </si>
  <si>
    <t xml:space="preserve">exd_B2_P1_03</t>
  </si>
  <si>
    <t xml:space="preserve">CCTCGTAAATCCTCATCAAAGCTGCACCAGCGCCGCCACCCTTCT</t>
  </si>
  <si>
    <t xml:space="preserve">exd_B2_P2_03</t>
  </si>
  <si>
    <t xml:space="preserve">TCCCCTGCTGCTGCGGAGGCTGAAGAAATCATCCAGTAAACCGCC</t>
  </si>
  <si>
    <t xml:space="preserve">B2_P1 (exd)_3; Exd3_HCR_P1B2</t>
  </si>
  <si>
    <t xml:space="preserve">Exd3_HCR_P2B2; B2_P2 (exd)_3</t>
  </si>
  <si>
    <t xml:space="preserve">JL-027-04</t>
  </si>
  <si>
    <t xml:space="preserve">exd_B2_P1_04</t>
  </si>
  <si>
    <t xml:space="preserve">CCTCGTAAATCCTCATCAAACAGCTTCGCGCGGTAGTCGGAATGC</t>
  </si>
  <si>
    <t xml:space="preserve">exd_B2_P2_04</t>
  </si>
  <si>
    <t xml:space="preserve">CTGGTGGTAGATCTGGCGGATCTGGAAATCATCCAGTAAACCGCC</t>
  </si>
  <si>
    <t xml:space="preserve">B2_P1 (exd)_4; Exd4_HCR_P1B2</t>
  </si>
  <si>
    <t xml:space="preserve">Exd4_HCR_P2B2; B2_P2 (exd)_4</t>
  </si>
  <si>
    <t xml:space="preserve">JL-027-05</t>
  </si>
  <si>
    <t xml:space="preserve">exd_B2_P1_05</t>
  </si>
  <si>
    <t xml:space="preserve">CCTCGTAAATCCTCATCAAAGGGTGGTGAACTCGTTGCAGGCGTT</t>
  </si>
  <si>
    <t xml:space="preserve">exd_B2_P2_05</t>
  </si>
  <si>
    <t xml:space="preserve">TCTGCTCCCGCAGCAGGTTCATGACAAATCATCCAGTAAACCGCC</t>
  </si>
  <si>
    <t xml:space="preserve">B2_P1 (exd)_5; Exd5_HCR_P1B2</t>
  </si>
  <si>
    <t xml:space="preserve">Exd5_HCR_P2B2; B2_P2 (exd)_5</t>
  </si>
  <si>
    <t xml:space="preserve">JL-027-06</t>
  </si>
  <si>
    <t xml:space="preserve">exd_B2_P1_06</t>
  </si>
  <si>
    <t xml:space="preserve">CCTCGTAAATCCTCATCAAAACCATGCGCTCTATCTCCTTAGGAG</t>
  </si>
  <si>
    <t xml:space="preserve">exd_B2_P2_06</t>
  </si>
  <si>
    <t xml:space="preserve">GAACTAAACTTCTTGTGTATGATCTAAATCATCCAGTAAACCGCC</t>
  </si>
  <si>
    <t xml:space="preserve">B2_P1 (exd)_6; Exd6_HCR_P1B2</t>
  </si>
  <si>
    <t xml:space="preserve">Exd6_HCR_P2B2; B2_P2 (exd)_6</t>
  </si>
  <si>
    <t xml:space="preserve">JL-027-07</t>
  </si>
  <si>
    <t xml:space="preserve">exd_B2_P1_07</t>
  </si>
  <si>
    <t xml:space="preserve">CCTCGTAAATCCTCATCAAACATAACTGCCTCACACGTGGACTGT</t>
  </si>
  <si>
    <t xml:space="preserve">exd_B2_P2_07</t>
  </si>
  <si>
    <t xml:space="preserve">CGCGTCCAGGAAACGTGAGCGTAGGAAATCATCCAGTAAACCGCC</t>
  </si>
  <si>
    <t xml:space="preserve">B2_P1 (exd)_7; Exd7_HCR_P1B2</t>
  </si>
  <si>
    <t xml:space="preserve">Exd7_HCR_P2B2; B2_P2 (exd)_7</t>
  </si>
  <si>
    <t xml:space="preserve">JL-027-08</t>
  </si>
  <si>
    <t xml:space="preserve">exd_B2_P1_08</t>
  </si>
  <si>
    <t xml:space="preserve">CCTCGTAAATCCTCATCAAAGGATCTCTGACGCCTGCTTGCTGAA</t>
  </si>
  <si>
    <t xml:space="preserve">exd_B2_P2_08</t>
  </si>
  <si>
    <t xml:space="preserve">AGAGGTGCGAGTAGAAGTACTCGTTAAATCATCCAGTAAACCGCC</t>
  </si>
  <si>
    <t xml:space="preserve">B2_P1 (exd)_8; Exd8_HCR_P1B2</t>
  </si>
  <si>
    <t xml:space="preserve">B2_P2 (exd)_8; Exd8_HCR_P2B2</t>
  </si>
  <si>
    <t xml:space="preserve">GGATCTCTGACGCCTGCTTGCTGAA</t>
  </si>
  <si>
    <t xml:space="preserve">AGAGGTGCGAGTAGAAGTACTCGTT</t>
  </si>
  <si>
    <t xml:space="preserve">JL-028-01</t>
  </si>
  <si>
    <t xml:space="preserve">fringe_B2_P1_01</t>
  </si>
  <si>
    <t xml:space="preserve">CCTCGTAAATCCTCATCAAACTTACTCTGACCACTATCAAAAATA</t>
  </si>
  <si>
    <t xml:space="preserve">fringe_B2_P2_01</t>
  </si>
  <si>
    <t xml:space="preserve">TATGAAAATGTCATCCAATGTTATGAAATCATCCAGTAAACCGCC</t>
  </si>
  <si>
    <t xml:space="preserve">B2_P1 (fng)_1</t>
  </si>
  <si>
    <t xml:space="preserve">B2_P2 (fng)_1</t>
  </si>
  <si>
    <t xml:space="preserve">JL-028-02</t>
  </si>
  <si>
    <t xml:space="preserve">fringe_B2_P1_02</t>
  </si>
  <si>
    <t xml:space="preserve">CCTCGTAAATCCTCATCAAATCGGCAACCTCGAATACTGATAAAA</t>
  </si>
  <si>
    <t xml:space="preserve">fringe_B2_P2_02</t>
  </si>
  <si>
    <t xml:space="preserve">CCAATTGAAACCATGTCTTCAAAATAAATCATCCAGTAAACCGCC</t>
  </si>
  <si>
    <t xml:space="preserve">B2_P1 (fng)_2</t>
  </si>
  <si>
    <t xml:space="preserve">B2_P2 (fng)_2</t>
  </si>
  <si>
    <t xml:space="preserve">JL-028-03</t>
  </si>
  <si>
    <t xml:space="preserve">fringe_B2_P1_03</t>
  </si>
  <si>
    <t xml:space="preserve">CCTCGTAAATCCTCATCAAACGTGGGTTGTCTGTGTCGGTGAAAA</t>
  </si>
  <si>
    <t xml:space="preserve">fringe_B2_P2_03</t>
  </si>
  <si>
    <t xml:space="preserve">ATGTGACCGTTGGTTTGATTTTGGTAAATCATCCAGTAAACCGCC</t>
  </si>
  <si>
    <t xml:space="preserve">B2_P1 (fng)_3</t>
  </si>
  <si>
    <t xml:space="preserve">B2_P2 (fng)_3</t>
  </si>
  <si>
    <t xml:space="preserve">JL-028-04</t>
  </si>
  <si>
    <t xml:space="preserve">fringe_B2_P1_04</t>
  </si>
  <si>
    <t xml:space="preserve">CCTCGTAAATCCTCATCAAAGAGGTGTTTTAGCTGGTGTGACGCC</t>
  </si>
  <si>
    <t xml:space="preserve">fringe_B2_P2_04</t>
  </si>
  <si>
    <t xml:space="preserve">ATCGTACTCCACGGACATTTTGCAAAAATCATCCAGTAAACCGCC</t>
  </si>
  <si>
    <t xml:space="preserve">B2_P1 (fng)_4</t>
  </si>
  <si>
    <t xml:space="preserve">B2_P2 (fng)_4</t>
  </si>
  <si>
    <t xml:space="preserve">JL-028-05</t>
  </si>
  <si>
    <t xml:space="preserve">fringe_B2_P1_05</t>
  </si>
  <si>
    <t xml:space="preserve">CCTCGTAAATCCTCATCAAACGTCGAAGTGACAAAACCACTTTTT</t>
  </si>
  <si>
    <t xml:space="preserve">fringe_B2_P2_05</t>
  </si>
  <si>
    <t xml:space="preserve">AGCGCGGAATATTGACGTAGTTGTCAAATCATCCAGTAAACCGCC</t>
  </si>
  <si>
    <t xml:space="preserve">B2_P1 (fng)_5</t>
  </si>
  <si>
    <t xml:space="preserve">B2_P2 (fng)_5</t>
  </si>
  <si>
    <t xml:space="preserve">JL-028-06</t>
  </si>
  <si>
    <t xml:space="preserve">fringe_B2_P1_06</t>
  </si>
  <si>
    <t xml:space="preserve">CCTCGTAAATCCTCATCAAATACCAGTCTTCTTGATGATTGTACT</t>
  </si>
  <si>
    <t xml:space="preserve">fringe_B2_P2_06</t>
  </si>
  <si>
    <t xml:space="preserve">GGTTTGTTCACAGAAGTTTTCCCGAAAATCATCCAGTAAACCGCC</t>
  </si>
  <si>
    <t xml:space="preserve">B2_P1 (fng)_6</t>
  </si>
  <si>
    <t xml:space="preserve">B2_P2 (fng)_6</t>
  </si>
  <si>
    <t xml:space="preserve">JL-028-07</t>
  </si>
  <si>
    <t xml:space="preserve">fringe_B2_P1_07</t>
  </si>
  <si>
    <t xml:space="preserve">CCTCGTAAATCCTCATCAAAAGTGTATAATAACTCGTTGGTAGGC</t>
  </si>
  <si>
    <t xml:space="preserve">fringe_B2_P2_07</t>
  </si>
  <si>
    <t xml:space="preserve">TCCGGCACCACCGGTTGCGAACCAAAAATCATCCAGTAAACCGCC</t>
  </si>
  <si>
    <t xml:space="preserve">B2_P1 (fng)_7</t>
  </si>
  <si>
    <t xml:space="preserve">B2_P2 (fng)_7</t>
  </si>
  <si>
    <t xml:space="preserve">JL-028-08</t>
  </si>
  <si>
    <t xml:space="preserve">fringe_B2_P1_08</t>
  </si>
  <si>
    <t xml:space="preserve">CCTCGTAAATCCTCATCAAACAATCGGTAACATTTTTAAAGCTAA</t>
  </si>
  <si>
    <t xml:space="preserve">fringe_B2_P2_08</t>
  </si>
  <si>
    <t xml:space="preserve">AGATACTGATGAATCTGCCACCACTAAATCATCCAGTAAACCGCC</t>
  </si>
  <si>
    <t xml:space="preserve">B2_P1 (fng)_8</t>
  </si>
  <si>
    <t xml:space="preserve">B2_P2 (fng)_8</t>
  </si>
  <si>
    <t xml:space="preserve">JL-028-09</t>
  </si>
  <si>
    <t xml:space="preserve">fringe_B2_P1_09</t>
  </si>
  <si>
    <t xml:space="preserve">CCTCGTAAATCCTCATCAAAATATAACCCAAAGTGACATCATCCG</t>
  </si>
  <si>
    <t xml:space="preserve">fringe_B2_P2_09</t>
  </si>
  <si>
    <t xml:space="preserve">AAGTTTTTCTCCATTAGATGTTCTAAAATCATCCAGTAAACCGCC</t>
  </si>
  <si>
    <t xml:space="preserve">B2_P1 (fng)_9</t>
  </si>
  <si>
    <t xml:space="preserve">B2_P2 (fng)_9</t>
  </si>
  <si>
    <t xml:space="preserve">JL-028-10</t>
  </si>
  <si>
    <t xml:space="preserve">fringe_B2_P1_10</t>
  </si>
  <si>
    <t xml:space="preserve">CCTCGTAAATCCTCATCAAATTTCATTTGCTCCAAATGTGAATGT</t>
  </si>
  <si>
    <t xml:space="preserve">fringe_B2_P2_10</t>
  </si>
  <si>
    <t xml:space="preserve">GTCTCGAAAAGTTTCAGGATTCAGTAAATCATCCAGTAAACCGCC</t>
  </si>
  <si>
    <t xml:space="preserve">B2_P1 (fng)_10</t>
  </si>
  <si>
    <t xml:space="preserve">B2_P2 (fng)_10</t>
  </si>
  <si>
    <t xml:space="preserve">JL-029-01</t>
  </si>
  <si>
    <t xml:space="preserve">Lhx1_B2_P1_01</t>
  </si>
  <si>
    <t xml:space="preserve">CCTCGTAAATCCTCATCAAAGTGACCGCAGCCGCTGCATTTTGTA</t>
  </si>
  <si>
    <t xml:space="preserve">Lhx1_B2_P2_01</t>
  </si>
  <si>
    <t xml:space="preserve">CCTAACTAGATCTGATGGGGATATTAAATCATCCAGTAAACCGCC</t>
  </si>
  <si>
    <t xml:space="preserve">B2_P1 (lhx1)_1</t>
  </si>
  <si>
    <t xml:space="preserve">B2_P2 (lhx1)_1</t>
  </si>
  <si>
    <t xml:space="preserve">GTGACCGCAGCCGCTGCATTTTGTA</t>
  </si>
  <si>
    <t xml:space="preserve">CCTAACTAGATCTGATGGGGATATT</t>
  </si>
  <si>
    <t xml:space="preserve">Jeriel_HCRoligosequences › Lhx1</t>
  </si>
  <si>
    <t xml:space="preserve">JL-029-02</t>
  </si>
  <si>
    <t xml:space="preserve">Lhx1_B2_P1_02</t>
  </si>
  <si>
    <t xml:space="preserve">CCTCGTAAATCCTCATCAAAAGCAGGTGAAGCAATTCAGGTGGAA</t>
  </si>
  <si>
    <t xml:space="preserve">Lhx1_B2_P2_02</t>
  </si>
  <si>
    <t xml:space="preserve">CAGTGGACAGTTGCTTCCTGCAGACAAATCATCCAGTAAACCGCC</t>
  </si>
  <si>
    <t xml:space="preserve">B2_P1 (lhx1)_2</t>
  </si>
  <si>
    <t xml:space="preserve">B2_P2 (lhx1)_2</t>
  </si>
  <si>
    <t xml:space="preserve">AGCAGGTGAAGCAATTCAGGTGGAA</t>
  </si>
  <si>
    <t xml:space="preserve">CAGTGGACAGTTGCTTCCTGCAGAC</t>
  </si>
  <si>
    <t xml:space="preserve">JL-029-03</t>
  </si>
  <si>
    <t xml:space="preserve">Lhx1_B2_P1_03</t>
  </si>
  <si>
    <t xml:space="preserve">CCTCGTAAATCCTCATCAAATTACATATAAATTTGTTGTCGTCTA</t>
  </si>
  <si>
    <t xml:space="preserve">Lhx1_B2_P2_03</t>
  </si>
  <si>
    <t xml:space="preserve">GGCGCCTTCCCCGCTAAGTAATCCTAAATCATCCAGTAAACCGCC</t>
  </si>
  <si>
    <t xml:space="preserve">B2_P1 (lhx1)_3</t>
  </si>
  <si>
    <t xml:space="preserve">B2_P2 (lhx1)_3</t>
  </si>
  <si>
    <t xml:space="preserve">TTACATATAAATTTGTTGTCGTCTA</t>
  </si>
  <si>
    <t xml:space="preserve">GGCGCCTTCCCCGCTAAGTAATCCT</t>
  </si>
  <si>
    <t xml:space="preserve">JL-029-04</t>
  </si>
  <si>
    <t xml:space="preserve">Lhx1_B2_P1_04</t>
  </si>
  <si>
    <t xml:space="preserve">CCTCGTAAATCCTCATCAAATTCGTCATCTGAACCTGAGCCGAGT</t>
  </si>
  <si>
    <t xml:space="preserve">Lhx1_B2_P2_04</t>
  </si>
  <si>
    <t xml:space="preserve">GTTTGCTGCTCTCGCTTCTTCCTCTAAATCATCCAGTAAACCGCC</t>
  </si>
  <si>
    <t xml:space="preserve">B2_P1 (lhx1)_4</t>
  </si>
  <si>
    <t xml:space="preserve">B2_P2 (lhx1)_4</t>
  </si>
  <si>
    <t xml:space="preserve">TTCGTCATCTGAACCTGAGCCGAGT</t>
  </si>
  <si>
    <t xml:space="preserve">GTTTGCTGCTCTCGCTTCTTCCTCT</t>
  </si>
  <si>
    <t xml:space="preserve">JL-029-05</t>
  </si>
  <si>
    <t xml:space="preserve">Lhx1_B2_P1_05</t>
  </si>
  <si>
    <t xml:space="preserve">CCTCGTAAATCCTCATCAAAAATGTAGCGCAGGGTGCGGTGCATG</t>
  </si>
  <si>
    <t xml:space="preserve">Lhx1_B2_P2_05</t>
  </si>
  <si>
    <t xml:space="preserve">TGGTGTCCCCATTATGTGATAGCTCAAATCATCCAGTAAACCGCC</t>
  </si>
  <si>
    <t xml:space="preserve">B2_P1 (lhx1)_5</t>
  </si>
  <si>
    <t xml:space="preserve">B2_P2 (lhx1)_5</t>
  </si>
  <si>
    <t xml:space="preserve">AATGTAGCGCAGGGTGCGGTGCATG</t>
  </si>
  <si>
    <t xml:space="preserve">TGGTGTCCCCATTATGTGATAGCTC</t>
  </si>
  <si>
    <t xml:space="preserve">JL-029-06</t>
  </si>
  <si>
    <t xml:space="preserve">Lhx1_B2_P1_06</t>
  </si>
  <si>
    <t xml:space="preserve">CCTCGTAAATCCTCATCAAATCCCCGTCCAGCGAACCCTGATCTT</t>
  </si>
  <si>
    <t xml:space="preserve">Lhx1_B2_P2_06</t>
  </si>
  <si>
    <t xml:space="preserve">TCCGCTTGAGAGTCTCTGGTCTCCGAAATCATCCAGTAAACCGCC</t>
  </si>
  <si>
    <t xml:space="preserve">B2_P1 (lhx1)_6</t>
  </si>
  <si>
    <t xml:space="preserve">B2_P2 (lhx1)_6</t>
  </si>
  <si>
    <t xml:space="preserve">TCCCCGTCCAGCGAACCCTGATCTT</t>
  </si>
  <si>
    <t xml:space="preserve">TCCGCTTGAGAGTCTCTGGTCTCCG</t>
  </si>
  <si>
    <t xml:space="preserve">JL-029-07</t>
  </si>
  <si>
    <t xml:space="preserve">Lhx1_B2_P1_07</t>
  </si>
  <si>
    <t xml:space="preserve">CCTCGTAAATCCTCATCAAATCTTCTTTTGGAGCCACCGTTGCCG</t>
  </si>
  <si>
    <t xml:space="preserve">Lhx1_B2_P2_07</t>
  </si>
  <si>
    <t xml:space="preserve">TTTCGCCTTTATCGTCGTCCGAGGCAAATCATCCAGTAAACCGCC</t>
  </si>
  <si>
    <t xml:space="preserve">B2_P1 (lhx1)_7</t>
  </si>
  <si>
    <t xml:space="preserve">B2_P2 (lhx1)_7</t>
  </si>
  <si>
    <t xml:space="preserve">TCTTCTTTTGGAGCCACCGTTGCCG</t>
  </si>
  <si>
    <t xml:space="preserve">TTTCGCCTTTATCGTCGTCCGAGGC</t>
  </si>
  <si>
    <t xml:space="preserve">JL-029-08</t>
  </si>
  <si>
    <t xml:space="preserve">Lhx1_B2_P1_08</t>
  </si>
  <si>
    <t xml:space="preserve">CCTCGTAAATCCTCATCAAAGTTTGGGTGTCTGTGAAAAAGCCGA</t>
  </si>
  <si>
    <t xml:space="preserve">Lhx1_B2_P2_08</t>
  </si>
  <si>
    <t xml:space="preserve">CCAGCTGTTCTCGTATGTGCCTCGTAAATCATCCAGTAAACCGCC</t>
  </si>
  <si>
    <t xml:space="preserve">B2_P1 (lhx1)_8</t>
  </si>
  <si>
    <t xml:space="preserve">B2_P2 (lhx1)_8</t>
  </si>
  <si>
    <t xml:space="preserve">GTTTGGGTGTCTGTGAAAAAGCCGA</t>
  </si>
  <si>
    <t xml:space="preserve">CCAGCTGTTCTCGTATGTGCCTCGT</t>
  </si>
  <si>
    <t xml:space="preserve">JL-030-01</t>
  </si>
  <si>
    <t xml:space="preserve">mpk3_B2_P1_01</t>
  </si>
  <si>
    <t xml:space="preserve">CCTCGTAAATCCTCATCAAATATACGAGCTTTCAGCTCTTTACAC</t>
  </si>
  <si>
    <t xml:space="preserve">mpk3_B2_P2_01</t>
  </si>
  <si>
    <t xml:space="preserve">GAATATGCCCCGGGAGCAACAATGAAAATCATCCAGTAAACCGCC</t>
  </si>
  <si>
    <t xml:space="preserve">B2_P1 (mpk3)_1</t>
  </si>
  <si>
    <t xml:space="preserve">B2_P2 (mpk3)_1</t>
  </si>
  <si>
    <t xml:space="preserve">TATACGAGCTTTCAGCTCTTTACAC</t>
  </si>
  <si>
    <t xml:space="preserve">GAATATGCCCCGGGAGCAACAATGA</t>
  </si>
  <si>
    <t xml:space="preserve">Jeriel_HCRoligosequences › mpk3</t>
  </si>
  <si>
    <t xml:space="preserve">JL-030-02</t>
  </si>
  <si>
    <t xml:space="preserve">mpk3_B2_P1_02</t>
  </si>
  <si>
    <t xml:space="preserve">CCTCGTAAATCCTCATCAAAGTACGGAGTCCGGATCCCGCGGGGC</t>
  </si>
  <si>
    <t xml:space="preserve">mpk3_B2_P2_02</t>
  </si>
  <si>
    <t xml:space="preserve">GCTTGAGCCTCTTCAGCAGGATGCCAAATCATCCAGTAAACCGCC</t>
  </si>
  <si>
    <t xml:space="preserve">B2_P1 (mpk3)_2</t>
  </si>
  <si>
    <t xml:space="preserve">B2_P2 (mpk3)_2</t>
  </si>
  <si>
    <t xml:space="preserve">GTACGGAGTCCGGATCCCGCGGGGC</t>
  </si>
  <si>
    <t xml:space="preserve">GCTTGAGCCTCTTCAGCAGGATGCC</t>
  </si>
  <si>
    <t xml:space="preserve">JL-030-03</t>
  </si>
  <si>
    <t xml:space="preserve">mpk3_B2_P1_03</t>
  </si>
  <si>
    <t xml:space="preserve">CCTCGTAAATCCTCATCAAATCGGCAAAATCTCCTTCAAGACAGA</t>
  </si>
  <si>
    <t xml:space="preserve">mpk3_B2_P2_03</t>
  </si>
  <si>
    <t xml:space="preserve">CACCATTCGGGGAATGCGCGGCGGAAAATCATCCAGTAAACCGCC</t>
  </si>
  <si>
    <t xml:space="preserve">B2_P1 (mpk3)_3</t>
  </si>
  <si>
    <t xml:space="preserve">B2_P2 (mpk3)_3</t>
  </si>
  <si>
    <t xml:space="preserve">TCGGCAAAATCTCCTTCAAGACAGA</t>
  </si>
  <si>
    <t xml:space="preserve">CACCATTCGGGGAATGCGCGGCGGA</t>
  </si>
  <si>
    <t xml:space="preserve">JL-030-04</t>
  </si>
  <si>
    <t xml:space="preserve">mpk3_B2_P1_04</t>
  </si>
  <si>
    <t xml:space="preserve">CCTCGTAAATCCTCATCAAACATGAGCGGCAGATGAGGTACATGC</t>
  </si>
  <si>
    <t xml:space="preserve">mpk3_B2_P2_04</t>
  </si>
  <si>
    <t xml:space="preserve">GCCGGATATGCGGAGCGAGCGCAGGAAATCATCCAGTAAACCGCC</t>
  </si>
  <si>
    <t xml:space="preserve">B2_P1 (mpk3)_4</t>
  </si>
  <si>
    <t xml:space="preserve">B2_P2 (mpk3)_4</t>
  </si>
  <si>
    <t xml:space="preserve">CATGAGCGGCAGATGAGGTACATGC</t>
  </si>
  <si>
    <t xml:space="preserve">GCCGGATATGCGGAGCGAGCGCAGG</t>
  </si>
  <si>
    <t xml:space="preserve">JL-030-05</t>
  </si>
  <si>
    <t xml:space="preserve">mpk3_B2_P1_05</t>
  </si>
  <si>
    <t xml:space="preserve">CCTCGTAAATCCTCATCAAAACTCGGACGACGAGCCCGACGACAG</t>
  </si>
  <si>
    <t xml:space="preserve">mpk3_B2_P2_05</t>
  </si>
  <si>
    <t xml:space="preserve">GCGGCACGTGCGTGTGCGCGTCCTCAAATCATCCAGTAAACCGCC</t>
  </si>
  <si>
    <t xml:space="preserve">B2_P1 (mpk3)_5</t>
  </si>
  <si>
    <t xml:space="preserve">B2_P2 (mpk3)_5</t>
  </si>
  <si>
    <t xml:space="preserve">ACTCGGACGACGAGCCCGACGACAG</t>
  </si>
  <si>
    <t xml:space="preserve">GCGGCACGTGCGTGTGCGCGTCCTC</t>
  </si>
  <si>
    <t xml:space="preserve">JL-030-06</t>
  </si>
  <si>
    <t xml:space="preserve">mpk3_B2_P1_06</t>
  </si>
  <si>
    <t xml:space="preserve">CCTCGTAAATCCTCATCAAATTGCCGAGGTACAGGTTGGGCAGGA</t>
  </si>
  <si>
    <t xml:space="preserve">mpk3_B2_P2_06</t>
  </si>
  <si>
    <t xml:space="preserve">GCCTCGCAGTCCTCGCTGTTGGTGGAAATCATCCAGTAAACCGCC</t>
  </si>
  <si>
    <t xml:space="preserve">B2_P1 (mpk3)_6</t>
  </si>
  <si>
    <t xml:space="preserve">B2_P2 (mpk3)_6</t>
  </si>
  <si>
    <t xml:space="preserve">TTGCCGAGGTACAGGTTGGGCAGGA</t>
  </si>
  <si>
    <t xml:space="preserve">GCCTCGCAGTCCTCGCTGTTGGTGG</t>
  </si>
  <si>
    <t xml:space="preserve">JL-030-07</t>
  </si>
  <si>
    <t xml:space="preserve">mpk3_B2_P1_07</t>
  </si>
  <si>
    <t xml:space="preserve">CCTCGTAAATCCTCATCAAACGGAGTCACATTCAGTATGTACTTG</t>
  </si>
  <si>
    <t xml:space="preserve">mpk3_B2_P2_07</t>
  </si>
  <si>
    <t xml:space="preserve">GTCCGCCTCGAACGTGTTGGGCAGGAAATCATCCAGTAAACCGCC</t>
  </si>
  <si>
    <t xml:space="preserve">B2_P1 (mpk3)_7</t>
  </si>
  <si>
    <t xml:space="preserve">B2_P2 (mpk3)_7</t>
  </si>
  <si>
    <t xml:space="preserve">CGGAGTCACATTCAGTATGTACTTG</t>
  </si>
  <si>
    <t xml:space="preserve">GTCCGCCTCGAACGTGTTGGGCAGG</t>
  </si>
  <si>
    <t xml:space="preserve">JL-030-08</t>
  </si>
  <si>
    <t xml:space="preserve">mpk3_B2_P1_08</t>
  </si>
  <si>
    <t xml:space="preserve">CCTCGTAAATCCTCATCAAAAGTGGTCAGTGATCGGGATCTTCAG</t>
  </si>
  <si>
    <t xml:space="preserve">mpk3_B2_P2_08</t>
  </si>
  <si>
    <t xml:space="preserve">GAAAATGTACAGCGAGGTTTTGGCTAAATCATCCAGTAAACCGCC</t>
  </si>
  <si>
    <t xml:space="preserve">B2_P1 (mpk3)_8</t>
  </si>
  <si>
    <t xml:space="preserve">B2_P2 (mpk3)_8</t>
  </si>
  <si>
    <t xml:space="preserve">AGTGGTCAGTGATCGGGATCTTCAG</t>
  </si>
  <si>
    <t xml:space="preserve">GAAAATGTACAGCGAGGTTTTGGCT</t>
  </si>
  <si>
    <t xml:space="preserve">JL-031-01</t>
  </si>
  <si>
    <t xml:space="preserve">rac_B2_P1_01</t>
  </si>
  <si>
    <t xml:space="preserve">CCTCGTAAATCCTCATCAAATTAGTGGAGGGTGGCTTCTCGCGCG</t>
  </si>
  <si>
    <t xml:space="preserve">rac_B2_P2_01</t>
  </si>
  <si>
    <t xml:space="preserve">GCGGAGGATGTGGAGGAGCGTCTCTAAATCATCCAGTAAACCGCC</t>
  </si>
  <si>
    <t xml:space="preserve">B2_P1 (rac)_1</t>
  </si>
  <si>
    <t xml:space="preserve">B2_P2 (rac)_1</t>
  </si>
  <si>
    <t xml:space="preserve">TTAGTGGAGGGTGGCTTCTCGCGCG</t>
  </si>
  <si>
    <t xml:space="preserve">GCGGAGGATGTGGAGGAGCGTCTCT</t>
  </si>
  <si>
    <t xml:space="preserve">Jeriel_HCRoligosequences › rac</t>
  </si>
  <si>
    <t xml:space="preserve">JL-031-02</t>
  </si>
  <si>
    <t xml:space="preserve">rac_B2_P1_02</t>
  </si>
  <si>
    <t xml:space="preserve">CCTCGTAAATCCTCATCAAAGGTGGCCAGCACCTTCCCACCTTGT</t>
  </si>
  <si>
    <t xml:space="preserve">rac_B2_P2_02</t>
  </si>
  <si>
    <t xml:space="preserve">ACGCTCCAGCGTGAGTGTTGTCGTGAAATCATCCAGTAAACCGCC</t>
  </si>
  <si>
    <t xml:space="preserve">B2_P1 (rac)_2</t>
  </si>
  <si>
    <t xml:space="preserve">B2_P2 (rac)_2</t>
  </si>
  <si>
    <t xml:space="preserve">GGTGGCCAGCACCTTCCCACCTTGT</t>
  </si>
  <si>
    <t xml:space="preserve">ACGCTCCAGCGTGAGTGTTGTCGTG</t>
  </si>
  <si>
    <t xml:space="preserve">JL-031-03</t>
  </si>
  <si>
    <t xml:space="preserve">rac_B2_P1_03</t>
  </si>
  <si>
    <t xml:space="preserve">CCTCGTAAATCCTCATCAAAGTTGAAAGTTTTGCGGCGGTTTTAA</t>
  </si>
  <si>
    <t xml:space="preserve">rac_B2_P2_03</t>
  </si>
  <si>
    <t xml:space="preserve">GACCCTCGTCACTGCTCTCCGATATAAATCATCCAGTAAACCGCC</t>
  </si>
  <si>
    <t xml:space="preserve">B2_P1 (rac)_3</t>
  </si>
  <si>
    <t xml:space="preserve">B2_P2 (rac)_3</t>
  </si>
  <si>
    <t xml:space="preserve">GTTGAAAGTTTTGCGGCGGTTTTAA</t>
  </si>
  <si>
    <t xml:space="preserve">GACCCTCGTCACTGCTCTCCGATAT</t>
  </si>
  <si>
    <t xml:space="preserve">JL-031-04</t>
  </si>
  <si>
    <t xml:space="preserve">rac_B2_P1_04</t>
  </si>
  <si>
    <t xml:space="preserve">CCTCGTAAATCCTCATCAAAGCGGCGCGCGGCGACGAGCGTGCGG</t>
  </si>
  <si>
    <t xml:space="preserve">rac_B2_P2_04</t>
  </si>
  <si>
    <t xml:space="preserve">GACTCAGTGATGGGCGGCGCGGAGGAAATCATCCAGTAAACCGCC</t>
  </si>
  <si>
    <t xml:space="preserve">B2_P1 (rac)_4</t>
  </si>
  <si>
    <t xml:space="preserve">B2_P2 (rac)_4</t>
  </si>
  <si>
    <t xml:space="preserve">GCGGCGCGCGGCGACGAGCGTGCGG</t>
  </si>
  <si>
    <t xml:space="preserve">GACTCAGTGATGGGCGGCGCGGAGG</t>
  </si>
  <si>
    <t xml:space="preserve">JL-031-05</t>
  </si>
  <si>
    <t xml:space="preserve">rac_B2_P1_05</t>
  </si>
  <si>
    <t xml:space="preserve">CCTCGTAAATCCTCATCAAACGTGCGCTGCGGCGGCGCGCGCGGC</t>
  </si>
  <si>
    <t xml:space="preserve">rac_B2_P2_05</t>
  </si>
  <si>
    <t xml:space="preserve">GCCGTACGCCGCCGACACCGCCGACAAATCATCCAGTAAACCGCC</t>
  </si>
  <si>
    <t xml:space="preserve">B2_P1 (rac)_5</t>
  </si>
  <si>
    <t xml:space="preserve">B2_P2 (rac)_5</t>
  </si>
  <si>
    <t xml:space="preserve">CGTGCGCTGCGGCGGCGCGCGCGGC</t>
  </si>
  <si>
    <t xml:space="preserve">GCCGTACGCCGCCGACACCGCCGAC</t>
  </si>
  <si>
    <t xml:space="preserve">JL-031-06</t>
  </si>
  <si>
    <t xml:space="preserve">rac_B2_P1_06</t>
  </si>
  <si>
    <t xml:space="preserve">CCTCGTAAATCCTCATCAAATTGCGACGAAGTTGTGCTGGCGCGG</t>
  </si>
  <si>
    <t xml:space="preserve">rac_B2_P2_06</t>
  </si>
  <si>
    <t xml:space="preserve">CGCACGTCTCGCGCTTGTAGAAGTTAAATCATCCAGTAAACCGCC</t>
  </si>
  <si>
    <t xml:space="preserve">B2_P1 (rac)_6</t>
  </si>
  <si>
    <t xml:space="preserve">B2_P2 (rac)_6</t>
  </si>
  <si>
    <t xml:space="preserve">TTGCGACGAAGTTGTGCTGGCGCGG</t>
  </si>
  <si>
    <t xml:space="preserve">CGCACGTCTCGCGCTTGTAGAAGTT</t>
  </si>
  <si>
    <t xml:space="preserve">JL-031-07</t>
  </si>
  <si>
    <t xml:space="preserve">rac_B2_P1_07</t>
  </si>
  <si>
    <t xml:space="preserve">CCTCGTAAATCCTCATCAAATTCACGCCCACCTTCGCGAAGCTGA</t>
  </si>
  <si>
    <t xml:space="preserve">rac_B2_P2_07</t>
  </si>
  <si>
    <t xml:space="preserve">TGCGCCTGCGCGCGGCACTGCTCGCAAATCATCCAGTAAACCGCC</t>
  </si>
  <si>
    <t xml:space="preserve">B2_P1 (rac)_7</t>
  </si>
  <si>
    <t xml:space="preserve">B2_P2 (rac)_7</t>
  </si>
  <si>
    <t xml:space="preserve">TTCACGCCCACCTTCGCGAAGCTGA</t>
  </si>
  <si>
    <t xml:space="preserve">TGCGCCTGCGCGCGGCACTGCTCGC</t>
  </si>
  <si>
    <t xml:space="preserve">JL-031-08</t>
  </si>
  <si>
    <t xml:space="preserve">rac_B2_P1_08</t>
  </si>
  <si>
    <t xml:space="preserve">CCTCGTAAATCCTCATCAAAGGGCGGCACGCAGGGCAGCGGCAGC</t>
  </si>
  <si>
    <t xml:space="preserve">rac_B2_P2_08</t>
  </si>
  <si>
    <t xml:space="preserve">GCCCTCCTTGGTGGCGAGCAGCTTCAAATCATCCAGTAAACCGCC</t>
  </si>
  <si>
    <t xml:space="preserve">B2_P1 (rac)_8</t>
  </si>
  <si>
    <t xml:space="preserve">B2_P2 (rac)_8</t>
  </si>
  <si>
    <t xml:space="preserve">GGGCGGCACGCAGGGCAGCGGCAGC</t>
  </si>
  <si>
    <t xml:space="preserve">GCCCTCCTTGGTGGCGAGCAGCTTC</t>
  </si>
  <si>
    <t xml:space="preserve">JL-032-01</t>
  </si>
  <si>
    <t xml:space="preserve">rho-GTPase-activating-protein-p_B2_P1_01</t>
  </si>
  <si>
    <t xml:space="preserve">CCTCGTAAATCCTCATCAAATCTGAGAGTTGCTTCCCCGGCGTGA</t>
  </si>
  <si>
    <t xml:space="preserve">rho-GTPase-activating-protein-p_B2_P2_01</t>
  </si>
  <si>
    <t xml:space="preserve">TCCCTCCCCATCAACAACACTCGTAAAATCATCCAGTAAACCGCC</t>
  </si>
  <si>
    <t xml:space="preserve">B2_P1 (rgap190)_1</t>
  </si>
  <si>
    <t xml:space="preserve">B2_P2 (rgap190)_1</t>
  </si>
  <si>
    <t xml:space="preserve">TCTGAGAGTTGCTTCCCCGGCGTGA</t>
  </si>
  <si>
    <t xml:space="preserve">TCCCTCCCCATCAACAACACTCGTA</t>
  </si>
  <si>
    <t xml:space="preserve">Jeriel_HCRoligosequences › rho-GTPase activating protein p</t>
  </si>
  <si>
    <t xml:space="preserve">JL-032-02</t>
  </si>
  <si>
    <t xml:space="preserve">rho-GTPase-activating-protein-p_B2_P1_02</t>
  </si>
  <si>
    <t xml:space="preserve">CCTCGTAAATCCTCATCAAAGTACACCCTCTGCTGCTGTTCCTCA</t>
  </si>
  <si>
    <t xml:space="preserve">rho-GTPase-activating-protein-p_B2_P2_02</t>
  </si>
  <si>
    <t xml:space="preserve">TCGCTGTATCTCCCTCTGATGGTCGAAATCATCCAGTAAACCGCC</t>
  </si>
  <si>
    <t xml:space="preserve">B2_P1 (rgap190)_2</t>
  </si>
  <si>
    <t xml:space="preserve">B2_P2 (rgap190)_2</t>
  </si>
  <si>
    <t xml:space="preserve">GTACACCCTCTGCTGCTGTTCCTCA</t>
  </si>
  <si>
    <t xml:space="preserve">TCGCTGTATCTCCCTCTGATGGTCG</t>
  </si>
  <si>
    <t xml:space="preserve">JL-032-03</t>
  </si>
  <si>
    <t xml:space="preserve">rho-GTPase-activating-protein-p_B2_P1_03</t>
  </si>
  <si>
    <t xml:space="preserve">CCTCGTAAATCCTCATCAAACGGCGTGCTCCAATAACAGTTCCTG</t>
  </si>
  <si>
    <t xml:space="preserve">rho-GTPase-activating-protein-p_B2_P2_03</t>
  </si>
  <si>
    <t xml:space="preserve">ATATCCTCTTGAAATGGTAGAACAAAAATCATCCAGTAAACCGCC</t>
  </si>
  <si>
    <t xml:space="preserve">B2_P1 (rgap190)_3</t>
  </si>
  <si>
    <t xml:space="preserve">B2_P2 (rgap190)_3</t>
  </si>
  <si>
    <t xml:space="preserve">CGGCGTGCTCCAATAACAGTTCCTG</t>
  </si>
  <si>
    <t xml:space="preserve">ATATCCTCTTGAAATGGTAGAACAA</t>
  </si>
  <si>
    <t xml:space="preserve">JL-032-04</t>
  </si>
  <si>
    <t xml:space="preserve">rho-GTPase-activating-protein-p_B2_P1_04</t>
  </si>
  <si>
    <t xml:space="preserve">CCTCGTAAATCCTCATCAAAGTAATCTCTTTGATGTCCTCTTGGG</t>
  </si>
  <si>
    <t xml:space="preserve">rho-GTPase-activating-protein-p_B2_P2_04</t>
  </si>
  <si>
    <t xml:space="preserve">TATCTGAAATCATCCTGTAGCACGTAAATCATCCAGTAAACCGCC</t>
  </si>
  <si>
    <t xml:space="preserve">B2_P1 (rgap190)_4</t>
  </si>
  <si>
    <t xml:space="preserve">B2_P2 (rgap190)_4</t>
  </si>
  <si>
    <t xml:space="preserve">GTAATCTCTTTGATGTCCTCTTGGG</t>
  </si>
  <si>
    <t xml:space="preserve">TATCTGAAATCATCCTGTAGCACGT</t>
  </si>
  <si>
    <t xml:space="preserve">JL-032-05</t>
  </si>
  <si>
    <t xml:space="preserve">rho-GTPase-activating-protein-p_B2_P1_05</t>
  </si>
  <si>
    <t xml:space="preserve">CCTCGTAAATCCTCATCAAACAGCATCAGCTTGCGGTCCTGCTCC</t>
  </si>
  <si>
    <t xml:space="preserve">rho-GTPase-activating-protein-p_B2_P2_05</t>
  </si>
  <si>
    <t xml:space="preserve">ACAGTGCACGAAGCCGAGGTGCTGGAAATCATCCAGTAAACCGCC</t>
  </si>
  <si>
    <t xml:space="preserve">B2_P1 (rgap190)_5</t>
  </si>
  <si>
    <t xml:space="preserve">B2_P2 (rgap190)_5</t>
  </si>
  <si>
    <t xml:space="preserve">CAGCATCAGCTTGCGGTCCTGCTCC</t>
  </si>
  <si>
    <t xml:space="preserve">ACAGTGCACGAAGCCGAGGTGCTGG</t>
  </si>
  <si>
    <t xml:space="preserve">JL-032-06</t>
  </si>
  <si>
    <t xml:space="preserve">rho-GTPase-activating-protein-p_B2_P1_06</t>
  </si>
  <si>
    <t xml:space="preserve">CCTCGTAAATCCTCATCAAACGTCGAGGCAGTTGGCGGCGGCGGG</t>
  </si>
  <si>
    <t xml:space="preserve">rho-GTPase-activating-protein-p_B2_P2_06</t>
  </si>
  <si>
    <t xml:space="preserve">TAGTGTTGAGTATGACAGGCAGGGTAAATCATCCAGTAAACCGCC</t>
  </si>
  <si>
    <t xml:space="preserve">B2_P1 (rgap190)_6</t>
  </si>
  <si>
    <t xml:space="preserve">B2_P2 (rgap190)_6</t>
  </si>
  <si>
    <t xml:space="preserve">CGTCGAGGCAGTTGGCGGCGGCGGG</t>
  </si>
  <si>
    <t xml:space="preserve">TAGTGTTGAGTATGACAGGCAGGGT</t>
  </si>
  <si>
    <t xml:space="preserve">JL-032-07</t>
  </si>
  <si>
    <t xml:space="preserve">rho-GTPase-activating-protein-p_B2_P1_07</t>
  </si>
  <si>
    <t xml:space="preserve">CCTCGTAAATCCTCATCAAAGCGTGGCACTGAGACTCGCTCGATG</t>
  </si>
  <si>
    <t xml:space="preserve">rho-GTPase-activating-protein-p_B2_P2_07</t>
  </si>
  <si>
    <t xml:space="preserve">AACGCCCAGGGCGCCGCCGGCGGTCAAATCATCCAGTAAACCGCC</t>
  </si>
  <si>
    <t xml:space="preserve">B2_P1 (rgap190)_7</t>
  </si>
  <si>
    <t xml:space="preserve">B2_P2 (rgap190)_7</t>
  </si>
  <si>
    <t xml:space="preserve">GCGTGGCACTGAGACTCGCTCGATG</t>
  </si>
  <si>
    <t xml:space="preserve">AACGCCCAGGGCGCCGCCGGCGGTC</t>
  </si>
  <si>
    <t xml:space="preserve">JL-032-08</t>
  </si>
  <si>
    <t xml:space="preserve">rho-GTPase-activating-protein-p_B2_P1_08</t>
  </si>
  <si>
    <t xml:space="preserve">CCTCGTAAATCCTCATCAAACACCCCTAATATGATAAGGTTTATT</t>
  </si>
  <si>
    <t xml:space="preserve">rho-GTPase-activating-protein-p_B2_P2_08</t>
  </si>
  <si>
    <t xml:space="preserve">CTTGCCAAATTCACCCGCTATGCCTAAATCATCCAGTAAACCGCC</t>
  </si>
  <si>
    <t xml:space="preserve">B2_P1 (rgap190)_8</t>
  </si>
  <si>
    <t xml:space="preserve">B2_P2 (rgap190)_8</t>
  </si>
  <si>
    <t xml:space="preserve">CACCCCTAATATGATAAGGTTTATT</t>
  </si>
  <si>
    <t xml:space="preserve">CTTGCCAAATTCACCCGCTATGCCT</t>
  </si>
  <si>
    <t xml:space="preserve">JL-033-01</t>
  </si>
  <si>
    <t xml:space="preserve">scalloped_B2_P1_01</t>
  </si>
  <si>
    <t xml:space="preserve">CCTCGTAAATCCTCATCAAAACCTGTATGTGAGACGAGACCTGTT</t>
  </si>
  <si>
    <t xml:space="preserve">scalloped_B2_P2_01</t>
  </si>
  <si>
    <t xml:space="preserve">ATCTCGCGCAGTTTCCGCCGGGCCAAAATCATCCAGTAAACCGCC</t>
  </si>
  <si>
    <t xml:space="preserve">B2_P1 (scalloped)_1</t>
  </si>
  <si>
    <t xml:space="preserve">B2_P2 (scalloped)_1</t>
  </si>
  <si>
    <t xml:space="preserve">ACCTGTATGTGAGACGAGACCTGTT</t>
  </si>
  <si>
    <t xml:space="preserve">ATCTCGCGCAGTTTCCGCCGGGCCA</t>
  </si>
  <si>
    <t xml:space="preserve">Jeriel_HCRoligosequences › scalloped</t>
  </si>
  <si>
    <t xml:space="preserve">JL-033-02</t>
  </si>
  <si>
    <t xml:space="preserve">scalloped_B2_P1_02</t>
  </si>
  <si>
    <t xml:space="preserve">CCTCGTAAATCCTCATCAAATTGTAGTCCGGGTTGCCAAAATTGC</t>
  </si>
  <si>
    <t xml:space="preserve">scalloped_B2_P2_02</t>
  </si>
  <si>
    <t xml:space="preserve">TGGTTTCACGTCTTGTGACGTGCCTAAATCATCCAGTAAACCGCC</t>
  </si>
  <si>
    <t xml:space="preserve">B2_P1 (scalloped)_2</t>
  </si>
  <si>
    <t xml:space="preserve">B2_P2 (scalloped)_2</t>
  </si>
  <si>
    <t xml:space="preserve">TTGTAGTCCGGGTTGCCAAAATTGC</t>
  </si>
  <si>
    <t xml:space="preserve">TGGTTTCACGTCTTGTGACGTGCCT</t>
  </si>
  <si>
    <t xml:space="preserve">JL-033-03</t>
  </si>
  <si>
    <t xml:space="preserve">scalloped_B2_P1_03</t>
  </si>
  <si>
    <t xml:space="preserve">CCTCGTAAATCCTCATCAAACTACTCCTGGCACGGGGACGCCTTT</t>
  </si>
  <si>
    <t xml:space="preserve">scalloped_B2_P2_03</t>
  </si>
  <si>
    <t xml:space="preserve">GCGCCACGTCCGTGCCGCCCGGCACAAATCATCCAGTAAACCGCC</t>
  </si>
  <si>
    <t xml:space="preserve">B2_P1 (scalloped)_3</t>
  </si>
  <si>
    <t xml:space="preserve">B2_P2 (scalloped)_3</t>
  </si>
  <si>
    <t xml:space="preserve">CTACTCCTGGCACGGGGACGCCTTT</t>
  </si>
  <si>
    <t xml:space="preserve">GCGCCACGTCCGTGCCGCCCGGCAC</t>
  </si>
  <si>
    <t xml:space="preserve">JL-033-04</t>
  </si>
  <si>
    <t xml:space="preserve">scalloped_B2_P1_04</t>
  </si>
  <si>
    <t xml:space="preserve">CCTCGTAAATCCTCATCAAAAGCTTGTGTGTGGCGATGGCGCGGC</t>
  </si>
  <si>
    <t xml:space="preserve">scalloped_B2_P2_04</t>
  </si>
  <si>
    <t xml:space="preserve">ACGAAGGCCGAGAACTCGACGAGCCAAATCATCCAGTAAACCGCC</t>
  </si>
  <si>
    <t xml:space="preserve">B2_P1 (scalloped)_4</t>
  </si>
  <si>
    <t xml:space="preserve">B2_P2 (scalloped)_4</t>
  </si>
  <si>
    <t xml:space="preserve">AGCTTGTGTGTGGCGATGGCGCGGC</t>
  </si>
  <si>
    <t xml:space="preserve">ACGAAGGCCGAGAACTCGACGAGCC</t>
  </si>
  <si>
    <t xml:space="preserve">JL-033-05</t>
  </si>
  <si>
    <t xml:space="preserve">scalloped_B2_P1_05</t>
  </si>
  <si>
    <t xml:space="preserve">CCTCGTAAATCCTCATCAAACGCTGTGCTCGGTGGATATGTATCA</t>
  </si>
  <si>
    <t xml:space="preserve">scalloped_B2_P2_05</t>
  </si>
  <si>
    <t xml:space="preserve">TATATGTACGAACAAATGTTGCGCCAAATCATCCAGTAAACCGCC</t>
  </si>
  <si>
    <t xml:space="preserve">B2_P1 (scalloped)_5</t>
  </si>
  <si>
    <t xml:space="preserve">B2_P2 (scalloped)_5</t>
  </si>
  <si>
    <t xml:space="preserve">CGCTGTGCTCGGTGGATATGTATCA</t>
  </si>
  <si>
    <t xml:space="preserve">TATATGTACGAACAAATGTTGCGCC</t>
  </si>
  <si>
    <t xml:space="preserve">JL-033-06</t>
  </si>
  <si>
    <t xml:space="preserve">scalloped_B2_P1_06</t>
  </si>
  <si>
    <t xml:space="preserve">CCTCGTAAATCCTCATCAAACTACTGACTCTAATAAAGGATCTGC</t>
  </si>
  <si>
    <t xml:space="preserve">scalloped_B2_P2_06</t>
  </si>
  <si>
    <t xml:space="preserve">GGAATTTGTCGTTTATTTGCTGCACAAATCATCCAGTAAACCGCC</t>
  </si>
  <si>
    <t xml:space="preserve">B2_P1 (scalloped)_6</t>
  </si>
  <si>
    <t xml:space="preserve">B2_P2 (scalloped)_6</t>
  </si>
  <si>
    <t xml:space="preserve">CTACTGACTCTAATAAAGGATCTGC</t>
  </si>
  <si>
    <t xml:space="preserve">GGAATTTGTCGTTTATTTGCTGCAC</t>
  </si>
  <si>
    <t xml:space="preserve">JL-034-01</t>
  </si>
  <si>
    <t xml:space="preserve">ss_B2_P1_01</t>
  </si>
  <si>
    <t xml:space="preserve">CCTCGTAAATCCTCATCAAATGACCTCTTTCTGTGGTATCTCCAG</t>
  </si>
  <si>
    <t xml:space="preserve">ss_B2_P2_01</t>
  </si>
  <si>
    <t xml:space="preserve">AATCCAGTTTGTGTTTGCTCTTGAAAAATCATCCAGTAAACCGCC</t>
  </si>
  <si>
    <t xml:space="preserve">B2_P1 (ss)_1</t>
  </si>
  <si>
    <t xml:space="preserve">B2_P2 (ss)_1</t>
  </si>
  <si>
    <t xml:space="preserve">TGACCTCTTTCTGTGGTATCTCCAG</t>
  </si>
  <si>
    <t xml:space="preserve">AATCCAGTTTGTGTTTGCTCTTGAA</t>
  </si>
  <si>
    <t xml:space="preserve">Jeriel_HCRoligosequences › ss</t>
  </si>
  <si>
    <t xml:space="preserve">JL-034-02</t>
  </si>
  <si>
    <t xml:space="preserve">ss_B2_P1_02</t>
  </si>
  <si>
    <t xml:space="preserve">CCTCGTAAATCCTCATCAAACCGAGGAGAAGTTTCCCTCTTTGAT</t>
  </si>
  <si>
    <t xml:space="preserve">ss_B2_P2_02</t>
  </si>
  <si>
    <t xml:space="preserve">ATGTTTGCGAGCTCGGCGTCCGTGTAAATCATCCAGTAAACCGCC</t>
  </si>
  <si>
    <t xml:space="preserve">B2_P1 (ss)_2</t>
  </si>
  <si>
    <t xml:space="preserve">B2_P2 (ss)_2</t>
  </si>
  <si>
    <t xml:space="preserve">CCGAGGAGAAGTTTCCCTCTTTGAT</t>
  </si>
  <si>
    <t xml:space="preserve">ATGTTTGCGAGCTCGGCGTCCGTGT</t>
  </si>
  <si>
    <t xml:space="preserve">JL-034-03</t>
  </si>
  <si>
    <t xml:space="preserve">ss_B2_P1_03</t>
  </si>
  <si>
    <t xml:space="preserve">CCTCGTAAATCCTCATCAAATACATACGCCAGGTCGTCGTAATGC</t>
  </si>
  <si>
    <t xml:space="preserve">ss_B2_P2_03</t>
  </si>
  <si>
    <t xml:space="preserve">CTTCAGTAATTCCTGATGAGCGCTGAAATCATCCAGTAAACCGCC</t>
  </si>
  <si>
    <t xml:space="preserve">B2_P1 (ss)_3</t>
  </si>
  <si>
    <t xml:space="preserve">B2_P2 (ss)_3</t>
  </si>
  <si>
    <t xml:space="preserve">TACATACGCCAGGTCGTCGTAATGC</t>
  </si>
  <si>
    <t xml:space="preserve">CTTCAGTAATTCCTGATGAGCGCTG</t>
  </si>
  <si>
    <t xml:space="preserve">JL-034-04</t>
  </si>
  <si>
    <t xml:space="preserve">ss_B2_P1_04</t>
  </si>
  <si>
    <t xml:space="preserve">CCTCGTAAATCCTCATCAAACCTTCGTCTGGAAGCGGTATGCGAT</t>
  </si>
  <si>
    <t xml:space="preserve">ss_B2_P2_04</t>
  </si>
  <si>
    <t xml:space="preserve">AAGTCTGCAGCCACTGCCACTGGCCAAATCATCCAGTAAACCGCC</t>
  </si>
  <si>
    <t xml:space="preserve">B2_P1 (ss)_4</t>
  </si>
  <si>
    <t xml:space="preserve">B2_P2 (ss)_4</t>
  </si>
  <si>
    <t xml:space="preserve">CCTTCGTCTGGAAGCGGTATGCGAT</t>
  </si>
  <si>
    <t xml:space="preserve">AAGTCTGCAGCCACTGCCACTGGCC</t>
  </si>
  <si>
    <t xml:space="preserve">JL-034-05</t>
  </si>
  <si>
    <t xml:space="preserve">ss_B2_P1_05</t>
  </si>
  <si>
    <t xml:space="preserve">CCTCGTAAATCCTCATCAAAATCACGAAGTCAGGCTTGGAGTTCT</t>
  </si>
  <si>
    <t xml:space="preserve">ss_B2_P2_05</t>
  </si>
  <si>
    <t xml:space="preserve">TCTTCCATTAGAGGCCTATGCGTGCAAATCATCCAGTAAACCGCC</t>
  </si>
  <si>
    <t xml:space="preserve">B2_P1 (ss)_5</t>
  </si>
  <si>
    <t xml:space="preserve">B2_P2 (ss)_5</t>
  </si>
  <si>
    <t xml:space="preserve">ATCACGAAGTCAGGCTTGGAGTTCT</t>
  </si>
  <si>
    <t xml:space="preserve">TCTTCCATTAGAGGCCTATGCGTGC</t>
  </si>
  <si>
    <t xml:space="preserve">JL-034-06</t>
  </si>
  <si>
    <t xml:space="preserve">ss_B2_P1_06</t>
  </si>
  <si>
    <t xml:space="preserve">CCTCGTAAATCCTCATCAAATTTGAAGTCCATCGTCCGCTTCCCG</t>
  </si>
  <si>
    <t xml:space="preserve">ss_B2_P2_06</t>
  </si>
  <si>
    <t xml:space="preserve">GGTGAGACCGGTGTCTAAATAGCTAAAATCATCCAGTAAACCGCC</t>
  </si>
  <si>
    <t xml:space="preserve">B2_P1 (ss)_6</t>
  </si>
  <si>
    <t xml:space="preserve">B2_P2 (ss)_6</t>
  </si>
  <si>
    <t xml:space="preserve">TTTGAAGTCCATCGTCCGCTTCCCG</t>
  </si>
  <si>
    <t xml:space="preserve">GGTGAGACCGGTGTCTAAATAGCTA</t>
  </si>
  <si>
    <t xml:space="preserve">JL-034-07</t>
  </si>
  <si>
    <t xml:space="preserve">ss_B2_P1_07</t>
  </si>
  <si>
    <t xml:space="preserve">CCTCGTAAATCCTCATCAAAACTCGCAGCCTGAAAGCTGTTCTGT</t>
  </si>
  <si>
    <t xml:space="preserve">ss_B2_P2_07</t>
  </si>
  <si>
    <t xml:space="preserve">CTGCTCGAGGGGGCGTTGAGACGTTAAATCATCCAGTAAACCGCC</t>
  </si>
  <si>
    <t xml:space="preserve">B2_P1 (ss)_7</t>
  </si>
  <si>
    <t xml:space="preserve">B2_P2 (ss)_7</t>
  </si>
  <si>
    <t xml:space="preserve">ACTCGCAGCCTGAAAGCTGTTCTGT</t>
  </si>
  <si>
    <t xml:space="preserve">CTGCTCGAGGGGGCGTTGAGACGTT</t>
  </si>
  <si>
    <t xml:space="preserve">JL-034-08</t>
  </si>
  <si>
    <t xml:space="preserve">ss_B2_P1_08</t>
  </si>
  <si>
    <t xml:space="preserve">CCTCGTAAATCCTCATCAAACAAGTGGATAGAAAGTCTCTCAGTT</t>
  </si>
  <si>
    <t xml:space="preserve">ss_B2_P2_08</t>
  </si>
  <si>
    <t xml:space="preserve">GTGGGAGGCACTCGTCTTTTATTCCAAATCATCCAGTAAACCGCC</t>
  </si>
  <si>
    <t xml:space="preserve">B2_P1 (ss)_8</t>
  </si>
  <si>
    <t xml:space="preserve">B2_P2 (ss)_8</t>
  </si>
  <si>
    <t xml:space="preserve">CAAGTGGATAGAAAGTCTCTCAGTT</t>
  </si>
  <si>
    <t xml:space="preserve">GTGGGAGGCACTCGTCTTTTATTCC</t>
  </si>
  <si>
    <t xml:space="preserve">JL-034-09</t>
  </si>
  <si>
    <t xml:space="preserve">ss_B2_P1_09</t>
  </si>
  <si>
    <t xml:space="preserve">CCTCGTAAATCCTCATCAAATACCGCATCAGCAGCTAAGTAATCC</t>
  </si>
  <si>
    <t xml:space="preserve">ss_B2_P2_09</t>
  </si>
  <si>
    <t xml:space="preserve">TCCGTTTAGATTAGTATACGCTGCGAAATCATCCAGTAAACCGCC</t>
  </si>
  <si>
    <t xml:space="preserve">B2_P1 (ss)_9</t>
  </si>
  <si>
    <t xml:space="preserve">B2_P2 (ss)_9</t>
  </si>
  <si>
    <t xml:space="preserve">TACCGCATCAGCAGCTAAGTAATCC</t>
  </si>
  <si>
    <t xml:space="preserve">TCCGTTTAGATTAGTATACGCTGCG</t>
  </si>
  <si>
    <t xml:space="preserve">JL-034-10</t>
  </si>
  <si>
    <t xml:space="preserve">ss_B2_P1_10</t>
  </si>
  <si>
    <t xml:space="preserve">CCTCGTAAATCCTCATCAAAACGCTGGAGCGGGAGGATATTCCCC</t>
  </si>
  <si>
    <t xml:space="preserve">ss_B2_P2_10</t>
  </si>
  <si>
    <t xml:space="preserve">CATCTAAAGGTGGTGGAGCGTAATGAAATCATCCAGTAAACCGCC</t>
  </si>
  <si>
    <t xml:space="preserve">B2_P1 (ss)_10</t>
  </si>
  <si>
    <t xml:space="preserve">B2_P2 (ss)_10</t>
  </si>
  <si>
    <t xml:space="preserve">ACGCTGGAGCGGGAGGATATTCCCC</t>
  </si>
  <si>
    <t xml:space="preserve">CATCTAAAGGTGGTGGAGCGTAATG</t>
  </si>
  <si>
    <t xml:space="preserve">JL-035-01</t>
  </si>
  <si>
    <t xml:space="preserve">ubx_B2_P1_01</t>
  </si>
  <si>
    <t xml:space="preserve">CCTCGTAAATCCTCATCAAATAAGTCCTAGGGGAAAGCCGCGGTA</t>
  </si>
  <si>
    <t xml:space="preserve">ubx_B2_P2_01</t>
  </si>
  <si>
    <t xml:space="preserve">GGTGCAATGCATGCGGTTGGGCGTAAAATCATCCAGTAAACCGCC</t>
  </si>
  <si>
    <t xml:space="preserve">B2_P1 (ubx)_1</t>
  </si>
  <si>
    <t xml:space="preserve">B2_P2 (ubx)_1</t>
  </si>
  <si>
    <t xml:space="preserve">TAAGTCCTAGGGGAAAGCCGCGGTA</t>
  </si>
  <si>
    <t xml:space="preserve">GGTGCAATGCATGCGGTTGGGCGTA</t>
  </si>
  <si>
    <t xml:space="preserve">Jeriel_HCRoligosequences › ubx</t>
  </si>
  <si>
    <t xml:space="preserve">JL-035-02</t>
  </si>
  <si>
    <t xml:space="preserve">ubx_B2_P1_02</t>
  </si>
  <si>
    <t xml:space="preserve">CCTCGTAAATCCTCATCAAAGCTGCTACGGAGGCGTCGTAGGGCG</t>
  </si>
  <si>
    <t xml:space="preserve">ubx_B2_P2_02</t>
  </si>
  <si>
    <t xml:space="preserve">TGCTCGCCCGCGTATATCTTGCAGGAAATCATCCAGTAAACCGCC</t>
  </si>
  <si>
    <t xml:space="preserve">B2_P1 (ubx)_2</t>
  </si>
  <si>
    <t xml:space="preserve">B2_P2 (ubx)_2</t>
  </si>
  <si>
    <t xml:space="preserve">GCTGCTACGGAGGCGTCGTAGGGCG</t>
  </si>
  <si>
    <t xml:space="preserve">TGCTCGCCCGCGTATATCTTGCAGG</t>
  </si>
  <si>
    <t xml:space="preserve">JL-035-03</t>
  </si>
  <si>
    <t xml:space="preserve">ubx_B2_P1_03</t>
  </si>
  <si>
    <t xml:space="preserve">CCTCGTAAATCCTCATCAAACTGCTGCTCGGCTGCTTTGGAGCAG</t>
  </si>
  <si>
    <t xml:space="preserve">ubx_B2_P2_03</t>
  </si>
  <si>
    <t xml:space="preserve">CCAGGCCTCCTTGCCACCGTATCCGAAATCATCCAGTAAACCGCC</t>
  </si>
  <si>
    <t xml:space="preserve">B2_P1 (ubx)_3</t>
  </si>
  <si>
    <t xml:space="preserve">B2_P2 (ubx)_3</t>
  </si>
  <si>
    <t xml:space="preserve">CTGCTGCTCGGCTGCTTTGGAGCAG</t>
  </si>
  <si>
    <t xml:space="preserve">CCAGGCCTCCTTGCCACCGTATCCG</t>
  </si>
  <si>
    <t xml:space="preserve">JL-035-04</t>
  </si>
  <si>
    <t xml:space="preserve">ubx_B2_P1_04</t>
  </si>
  <si>
    <t xml:space="preserve">CCTCGTAAATCCTCATCAAAGCGTGCAGGCCGCGGGCCGTACGAG</t>
  </si>
  <si>
    <t xml:space="preserve">ubx_B2_P2_04</t>
  </si>
  <si>
    <t xml:space="preserve">TCGAGGACTCGCTGTAGCGGGCCTCAAATCATCCAGTAAACCGCC</t>
  </si>
  <si>
    <t xml:space="preserve">B2_P1 (ubx)_4</t>
  </si>
  <si>
    <t xml:space="preserve">B2_P2 (ubx)_4</t>
  </si>
  <si>
    <t xml:space="preserve">GCGTGCAGGCCGCGGGCCGTACGAG</t>
  </si>
  <si>
    <t xml:space="preserve">TCGAGGACTCGCTGTAGCGGGCCTC</t>
  </si>
  <si>
    <t xml:space="preserve">JL-035-05</t>
  </si>
  <si>
    <t xml:space="preserve">ubx_B2_P1_05</t>
  </si>
  <si>
    <t xml:space="preserve">CCTCGTAAATCCTCATCAAAGGTAGCGTGCACTGATTGCCCCACG</t>
  </si>
  <si>
    <t xml:space="preserve">ubx_B2_P2_05</t>
  </si>
  <si>
    <t xml:space="preserve">ACGGGCTGCGCGGAGGCCGCGGCGCAAATCATCCAGTAAACCGCC</t>
  </si>
  <si>
    <t xml:space="preserve">B2_P1 (ubx)_5</t>
  </si>
  <si>
    <t xml:space="preserve">B2_P2 (ubx)_5</t>
  </si>
  <si>
    <t xml:space="preserve">GGTAGCGTGCACTGATTGCCCCACG</t>
  </si>
  <si>
    <t xml:space="preserve">ACGGGCTGCGCGGAGGCCGCGGCGC</t>
  </si>
  <si>
    <t xml:space="preserve">JL-035-06</t>
  </si>
  <si>
    <t xml:space="preserve">ubx_B2_P1_06</t>
  </si>
  <si>
    <t xml:space="preserve">CCTCGTAAATCCTCATCAAAGGCCATCCAGGGATAGAACGTGTGG</t>
  </si>
  <si>
    <t xml:space="preserve">ubx_B2_P2_06</t>
  </si>
  <si>
    <t xml:space="preserve">TCTTCTCAGGCCGTTCGCTCCTGCTAAATCATCCAGTAAACCGCC</t>
  </si>
  <si>
    <t xml:space="preserve">B2_P1 (ubx)_6</t>
  </si>
  <si>
    <t xml:space="preserve">B2_P2 (ubx)_6</t>
  </si>
  <si>
    <t xml:space="preserve">GGCCATCCAGGGATAGAACGTGTGG</t>
  </si>
  <si>
    <t xml:space="preserve">TCTTCTCAGGCCGTTCGCTCCTGCT</t>
  </si>
  <si>
    <t xml:space="preserve">JL-035-07</t>
  </si>
  <si>
    <t xml:space="preserve">ubx_B2_P1_07</t>
  </si>
  <si>
    <t xml:space="preserve">CCTCGTAAATCCTCATCAAACTAACTCTAGCGTTTGATATCTTGT</t>
  </si>
  <si>
    <t xml:space="preserve">ubx_B2_P2_07</t>
  </si>
  <si>
    <t xml:space="preserve">GGTAGTGATTCGTGTGGAATTCCTTAAATCATCCAGTAAACCGCC</t>
  </si>
  <si>
    <t xml:space="preserve">B2_P1 (ubx)_7</t>
  </si>
  <si>
    <t xml:space="preserve">B2_P2 (ubx)_7</t>
  </si>
  <si>
    <t xml:space="preserve">CTAACTCTAGCGTTTGATATCTTGT</t>
  </si>
  <si>
    <t xml:space="preserve">GGTAGTGATTCGTGTGGAATTCCTT</t>
  </si>
  <si>
    <t xml:space="preserve">JL-035-08</t>
  </si>
  <si>
    <t xml:space="preserve">ubx_B2_P1_08</t>
  </si>
  <si>
    <t xml:space="preserve">CCTCGTAAATCCTCATCAAAAGACAGAGCGCGTGCGCCATTTCTA</t>
  </si>
  <si>
    <t xml:space="preserve">ubx_B2_P2_08</t>
  </si>
  <si>
    <t xml:space="preserve">AACCATATTTTGATTTGTCTTTCCGAAATCATCCAGTAAACCGCC</t>
  </si>
  <si>
    <t xml:space="preserve">B2_P1 (ubx)_8</t>
  </si>
  <si>
    <t xml:space="preserve">B2_P2 (ubx)_8</t>
  </si>
  <si>
    <t xml:space="preserve">AGACAGAGCGCGTGCGCCATTTCTA</t>
  </si>
  <si>
    <t xml:space="preserve">AACCATATTTTGATTTGTCTTTCCG</t>
  </si>
  <si>
    <t xml:space="preserve">JL-035-09</t>
  </si>
  <si>
    <t xml:space="preserve">ubx_B2_P1_09</t>
  </si>
  <si>
    <t xml:space="preserve">CCTCGTAAATCCTCATCAAATATCGCTTGTATTTCTTTCTTTAAC</t>
  </si>
  <si>
    <t xml:space="preserve">ubx_B2_P2_09</t>
  </si>
  <si>
    <t xml:space="preserve">CTGCTTCTCTTGCTCGTTTAACTCCAAATCATCCAGTAAACCGCC</t>
  </si>
  <si>
    <t xml:space="preserve">B2_P1 (ubx)_9</t>
  </si>
  <si>
    <t xml:space="preserve">B2_P2 (ubx)_9</t>
  </si>
  <si>
    <t xml:space="preserve">TATCGCTTGTATTTCTTTCTTTAAC</t>
  </si>
  <si>
    <t xml:space="preserve">CTGCTTCTCTTGCTCGTTTAACTCC</t>
  </si>
  <si>
    <t xml:space="preserve">JL-036-01</t>
  </si>
  <si>
    <t xml:space="preserve">uncharacterised-droso-raw_B2_P1_01</t>
  </si>
  <si>
    <t xml:space="preserve">CCTCGTAAATCCTCATCAAACGTTCCTGCCGCCCGCCGCGTCGTA</t>
  </si>
  <si>
    <t xml:space="preserve">uncharacterised-droso-raw_B2_P2_01</t>
  </si>
  <si>
    <t xml:space="preserve">CGACGGCTCGGGCGCGCGTCAACCGAAATCATCCAGTAAACCGCC</t>
  </si>
  <si>
    <t xml:space="preserve">B2_P1 (raw)_1</t>
  </si>
  <si>
    <t xml:space="preserve">B2_P2 (raw)_1</t>
  </si>
  <si>
    <t xml:space="preserve">CGTTCCTGCCGCCCGCCGCGTCGTA</t>
  </si>
  <si>
    <t xml:space="preserve">CGACGGCTCGGGCGCGCGTCAACCG</t>
  </si>
  <si>
    <t xml:space="preserve">Jeriel_HCRoligosequences › uncharacterised (droso raw)</t>
  </si>
  <si>
    <t xml:space="preserve">JL-036-02</t>
  </si>
  <si>
    <t xml:space="preserve">uncharacterised-droso-raw_B2_P1_02</t>
  </si>
  <si>
    <t xml:space="preserve">CCTCGTAAATCCTCATCAAATCCGCAAGCTCGCGCGGTACCCGCG</t>
  </si>
  <si>
    <t xml:space="preserve">uncharacterised-droso-raw_B2_P2_02</t>
  </si>
  <si>
    <t xml:space="preserve">GTATCCGCACTCGGTGGTAAACAACAAATCATCCAGTAAACCGCC</t>
  </si>
  <si>
    <t xml:space="preserve">B2_P1 (raw)_2</t>
  </si>
  <si>
    <t xml:space="preserve">B2_P2 (raw)_2</t>
  </si>
  <si>
    <t xml:space="preserve">TCCGCAAGCTCGCGCGGTACCCGCG</t>
  </si>
  <si>
    <t xml:space="preserve">GTATCCGCACTCGGTGGTAAACAAC</t>
  </si>
  <si>
    <t xml:space="preserve">JL-036-03</t>
  </si>
  <si>
    <t xml:space="preserve">uncharacterised-droso-raw_B2_P1_03</t>
  </si>
  <si>
    <t xml:space="preserve">CCTCGTAAATCCTCATCAAAGGCAGCGAGCTCGGCGACTCGACAA</t>
  </si>
  <si>
    <t xml:space="preserve">uncharacterised-droso-raw_B2_P2_03</t>
  </si>
  <si>
    <t xml:space="preserve">CGGAGTGTGCGGTGATTGCCCTGCAAAATCATCCAGTAAACCGCC</t>
  </si>
  <si>
    <t xml:space="preserve">B2_P1 (raw)_3</t>
  </si>
  <si>
    <t xml:space="preserve">B2_P2 (raw)_3</t>
  </si>
  <si>
    <t xml:space="preserve">GGCAGCGAGCTCGGCGACTCGACAA</t>
  </si>
  <si>
    <t xml:space="preserve">CGGAGTGTGCGGTGATTGCCCTGCA</t>
  </si>
  <si>
    <t xml:space="preserve">JL-036-04</t>
  </si>
  <si>
    <t xml:space="preserve">uncharacterised-droso-raw_B2_P1_04</t>
  </si>
  <si>
    <t xml:space="preserve">CCTCGTAAATCCTCATCAAATGCGAAACGCGCGACGCACGCGCGC</t>
  </si>
  <si>
    <t xml:space="preserve">uncharacterised-droso-raw_B2_P2_04</t>
  </si>
  <si>
    <t xml:space="preserve">TAGATGAGGTGAGCAAATCACGGAGAAATCATCCAGTAAACCGCC</t>
  </si>
  <si>
    <t xml:space="preserve">B2_P1 (raw)_4</t>
  </si>
  <si>
    <t xml:space="preserve">B2_P2 (raw)_4</t>
  </si>
  <si>
    <t xml:space="preserve">TGCGAAACGCGCGACGCACGCGCGC</t>
  </si>
  <si>
    <t xml:space="preserve">TAGATGAGGTGAGCAAATCACGGAG</t>
  </si>
  <si>
    <t xml:space="preserve">JL-036-05</t>
  </si>
  <si>
    <t xml:space="preserve">uncharacterised-droso-raw_B2_P1_05</t>
  </si>
  <si>
    <t xml:space="preserve">CCTCGTAAATCCTCATCAAATCCGTTTCCGTCCCATTACGGTTCT</t>
  </si>
  <si>
    <t xml:space="preserve">uncharacterised-droso-raw_B2_P2_05</t>
  </si>
  <si>
    <t xml:space="preserve">ACTTTCGCCGTTACTGACTCAGCATAAATCATCCAGTAAACCGCC</t>
  </si>
  <si>
    <t xml:space="preserve">B2_P1 (raw)_5</t>
  </si>
  <si>
    <t xml:space="preserve">B2_P2 (raw)_5</t>
  </si>
  <si>
    <t xml:space="preserve">TCCGTTTCCGTCCCATTACGGTTCT</t>
  </si>
  <si>
    <t xml:space="preserve">ACTTTCGCCGTTACTGACTCAGCAT</t>
  </si>
  <si>
    <t xml:space="preserve">JL-036-06</t>
  </si>
  <si>
    <t xml:space="preserve">uncharacterised-droso-raw_B2_P1_06</t>
  </si>
  <si>
    <t xml:space="preserve">CCTCGTAAATCCTCATCAAACAAACAGTTGTGCTCTCTGGGTGGG</t>
  </si>
  <si>
    <t xml:space="preserve">uncharacterised-droso-raw_B2_P2_06</t>
  </si>
  <si>
    <t xml:space="preserve">CGCCCTGAGCCTAGGGTTGTGTACTAAATCATCCAGTAAACCGCC</t>
  </si>
  <si>
    <t xml:space="preserve">B2_P1 (raw)_6</t>
  </si>
  <si>
    <t xml:space="preserve">B2_P2 (raw)_6</t>
  </si>
  <si>
    <t xml:space="preserve">CAAACAGTTGTGCTCTCTGGGTGGG</t>
  </si>
  <si>
    <t xml:space="preserve">CGCCCTGAGCCTAGGGTTGTGTACT</t>
  </si>
  <si>
    <t xml:space="preserve">JL-036-07</t>
  </si>
  <si>
    <t xml:space="preserve">uncharacterised-droso-raw_B2_P1_07</t>
  </si>
  <si>
    <t xml:space="preserve">CCTCGTAAATCCTCATCAAATGCCACCGTTCTTCGGTATCTTCAA</t>
  </si>
  <si>
    <t xml:space="preserve">uncharacterised-droso-raw_B2_P2_07</t>
  </si>
  <si>
    <t xml:space="preserve">CCGTGCTCTCGTCCACTGCGCTCCTAAATCATCCAGTAAACCGCC</t>
  </si>
  <si>
    <t xml:space="preserve">B2_P1 (raw)_7</t>
  </si>
  <si>
    <t xml:space="preserve">B2_P2 (raw)_7</t>
  </si>
  <si>
    <t xml:space="preserve">TGCCACCGTTCTTCGGTATCTTCAA</t>
  </si>
  <si>
    <t xml:space="preserve">CCGTGCTCTCGTCCACTGCGCTCCT</t>
  </si>
  <si>
    <t xml:space="preserve">JL-036-08</t>
  </si>
  <si>
    <t xml:space="preserve">uncharacterised-droso-raw_B2_P1_08</t>
  </si>
  <si>
    <t xml:space="preserve">CCTCGTAAATCCTCATCAAAGTGCCCGGCGTGAACACCGCGTCGC</t>
  </si>
  <si>
    <t xml:space="preserve">uncharacterised-droso-raw_B2_P2_08</t>
  </si>
  <si>
    <t xml:space="preserve">GCAGGCAGCCGCTCCAGGCGCCGCTAAATCATCCAGTAAACCGCC</t>
  </si>
  <si>
    <t xml:space="preserve">B2_P1 (raw)_8</t>
  </si>
  <si>
    <t xml:space="preserve">B2_P2 (raw)_8</t>
  </si>
  <si>
    <t xml:space="preserve">GTGCCCGGCGTGAACACCGCGTCGC</t>
  </si>
  <si>
    <t xml:space="preserve">GCAGGCAGCCGCTCCAGGCGCCGCT</t>
  </si>
  <si>
    <t xml:space="preserve">JL-037-01</t>
  </si>
  <si>
    <t xml:space="preserve">vestigial_B2_P1_01</t>
  </si>
  <si>
    <t xml:space="preserve">CCTCGTAAATCCTCATCAAACGACGGCGGCCGCGTACTCTGCGCT</t>
  </si>
  <si>
    <t xml:space="preserve">vestigial_B2_P2_01</t>
  </si>
  <si>
    <t xml:space="preserve">AGCCCGACGCGCCGGACACGCCCGAAAATCATCCAGTAAACCGCC</t>
  </si>
  <si>
    <t xml:space="preserve">B2_P1 (vg)_1</t>
  </si>
  <si>
    <t xml:space="preserve">B2_P2 (vg)_1</t>
  </si>
  <si>
    <t xml:space="preserve">CGACGGCGGCCGCGTACTCTGCGCT</t>
  </si>
  <si>
    <t xml:space="preserve">AGCCCGACGCGCCGGACACGCCCGA</t>
  </si>
  <si>
    <t xml:space="preserve">JL-037-02</t>
  </si>
  <si>
    <t xml:space="preserve">vestigial_B2_P1_02</t>
  </si>
  <si>
    <t xml:space="preserve">CCTCGTAAATCCTCATCAAACCCGGCGACTGCGCGCCCGACGCGC</t>
  </si>
  <si>
    <t xml:space="preserve">vestigial_B2_P2_02</t>
  </si>
  <si>
    <t xml:space="preserve">GCCAGGTGGTGCGCGTGCGGCGGCGAAATCATCCAGTAAACCGCC</t>
  </si>
  <si>
    <t xml:space="preserve">B2_P1 (vg)_2</t>
  </si>
  <si>
    <t xml:space="preserve">B2_P2 (vg)_2</t>
  </si>
  <si>
    <t xml:space="preserve">CCCGGCGACTGCGCGCCCGACGCGC</t>
  </si>
  <si>
    <t xml:space="preserve">GCCAGGTGGTGCGCGTGCGGCGGCG</t>
  </si>
  <si>
    <t xml:space="preserve">JL-037-03</t>
  </si>
  <si>
    <t xml:space="preserve">vestigial_B2_P1_03</t>
  </si>
  <si>
    <t xml:space="preserve">CCTCGTAAATCCTCATCAAAGCAGGCGCGGCGACGCGTGGTGCGC</t>
  </si>
  <si>
    <t xml:space="preserve">vestigial_B2_P2_03</t>
  </si>
  <si>
    <t xml:space="preserve">GCGCCGACAGGTCCTCCTCCTTGGCAAATCATCCAGTAAACCGCC</t>
  </si>
  <si>
    <t xml:space="preserve">B2_P1 (vg)_3</t>
  </si>
  <si>
    <t xml:space="preserve">B2_P2 (vg)_3</t>
  </si>
  <si>
    <t xml:space="preserve">GCAGGCGCGGCGACGCGTGGTGCGC</t>
  </si>
  <si>
    <t xml:space="preserve">GCGCCGACAGGTCCTCCTCCTTGGC</t>
  </si>
  <si>
    <t xml:space="preserve">JL-037-04</t>
  </si>
  <si>
    <t xml:space="preserve">vestigial_B2_P1_04</t>
  </si>
  <si>
    <t xml:space="preserve">CCTCGTAAATCCTCATCAAACTCCGACTCGGAGGACGCGTCGGCG</t>
  </si>
  <si>
    <t xml:space="preserve">vestigial_B2_P2_04</t>
  </si>
  <si>
    <t xml:space="preserve">GGCGCGCGCCGCGCCGCCGCACTCGAAATCATCCAGTAAACCGCC</t>
  </si>
  <si>
    <t xml:space="preserve">B2_P1 (vg)_4</t>
  </si>
  <si>
    <t xml:space="preserve">B2_P2 (vg)_4</t>
  </si>
  <si>
    <t xml:space="preserve">CTCCGACTCGGAGGACGCGTCGGCG</t>
  </si>
  <si>
    <t xml:space="preserve">GGCGCGCGCCGCGCCGCCGCACTCG</t>
  </si>
  <si>
    <t xml:space="preserve">JL-037-05</t>
  </si>
  <si>
    <t xml:space="preserve">vestigial_B2_P1_05</t>
  </si>
  <si>
    <t xml:space="preserve">CCTCGTAAATCCTCATCAAAGTGAACACCACGCAGTTGGCGCTGA</t>
  </si>
  <si>
    <t xml:space="preserve">vestigial_B2_P2_05</t>
  </si>
  <si>
    <t xml:space="preserve">ACGGCGGCCACGTCGCCGGAGTAGTAAATCATCCAGTAAACCGCC</t>
  </si>
  <si>
    <t xml:space="preserve">B2_P1 (vg)_5</t>
  </si>
  <si>
    <t xml:space="preserve">B2_P2 (vg)_5</t>
  </si>
  <si>
    <t xml:space="preserve">GTGAACACCACGCAGTTGGCGCTGA</t>
  </si>
  <si>
    <t xml:space="preserve">ACGGCGGCCACGTCGCCGGAGTAGT</t>
  </si>
  <si>
    <t xml:space="preserve">JL-037-06</t>
  </si>
  <si>
    <t xml:space="preserve">vestigial_B2_P1_06</t>
  </si>
  <si>
    <t xml:space="preserve">CCTCGTAAATCCTCATCAAAAGCGCCAGCGCGCGCGCGAAGTGCT</t>
  </si>
  <si>
    <t xml:space="preserve">vestigial_B2_P2_06</t>
  </si>
  <si>
    <t xml:space="preserve">AGCGGGACGCCCTCCTTGGGCTTGTAAATCATCCAGTAAACCGCC</t>
  </si>
  <si>
    <t xml:space="preserve">B2_P1 (vg)_6</t>
  </si>
  <si>
    <t xml:space="preserve">B2_P2 (vg)_6</t>
  </si>
  <si>
    <t xml:space="preserve">AGCGCCAGCGCGCGCGCGAAGTGCT</t>
  </si>
  <si>
    <t xml:space="preserve">AGCGGGACGCCCTCCTTGGGCTTGT</t>
  </si>
  <si>
    <t xml:space="preserve">JL-038-01</t>
  </si>
  <si>
    <t xml:space="preserve">18w-toll-like-receptor-7_B3_P1_01</t>
  </si>
  <si>
    <t xml:space="preserve">GTCCCTGCCTCTATATCTTTGTTTGCTTCAAGATAACTTTCAAAC</t>
  </si>
  <si>
    <t xml:space="preserve">18w-toll-like-receptor-7_B3_P2_01</t>
  </si>
  <si>
    <t xml:space="preserve">TTCCAACTTTCCAAATCGTTGAAAATTCCACTCAACTTTAACCCG</t>
  </si>
  <si>
    <t xml:space="preserve">B3_P1(18w)_1</t>
  </si>
  <si>
    <t xml:space="preserve">B3_P2(18w)_1</t>
  </si>
  <si>
    <t xml:space="preserve">JL-038-02</t>
  </si>
  <si>
    <t xml:space="preserve">18w-toll-like-receptor-7_B3_P1_02</t>
  </si>
  <si>
    <t xml:space="preserve">GTCCCTGCCTCTATATCTTTTTCCAGGTATCCGTAGAAGTTTGCA</t>
  </si>
  <si>
    <t xml:space="preserve">18w-toll-like-receptor-7_B3_P2_02</t>
  </si>
  <si>
    <t xml:space="preserve">TTAATTCGCGTAATCCTTCAAACGCTTCCACTCAACTTTAACCCG</t>
  </si>
  <si>
    <t xml:space="preserve">B3_P1(18w)_2</t>
  </si>
  <si>
    <t xml:space="preserve">B3_P2(18w)_2</t>
  </si>
  <si>
    <t xml:space="preserve">JL-038-03</t>
  </si>
  <si>
    <t xml:space="preserve">18w-toll-like-receptor-7_B3_P1_03</t>
  </si>
  <si>
    <t xml:space="preserve">GTCCCTGCCTCTATATCTTTTTATAGCTCCAGTCATGGTTTTTAG</t>
  </si>
  <si>
    <t xml:space="preserve">18w-toll-like-receptor-7_B3_P2_03</t>
  </si>
  <si>
    <t xml:space="preserve">GCTCCTAGCGAAAGTTCTAAAACTTTTCCACTCAACTTTAACCCG</t>
  </si>
  <si>
    <t xml:space="preserve">B3_P1(18w)_3</t>
  </si>
  <si>
    <t xml:space="preserve">B3_P2(18w)_3</t>
  </si>
  <si>
    <t xml:space="preserve">JL-038-04</t>
  </si>
  <si>
    <t xml:space="preserve">18w-toll-like-receptor-7_B3_P1_04</t>
  </si>
  <si>
    <t xml:space="preserve">GTCCCTGCCTCTATATCTTTATTTCCCAAATCCAGCGACTGTAAT</t>
  </si>
  <si>
    <t xml:space="preserve">18w-toll-like-receptor-7_B3_P2_04</t>
  </si>
  <si>
    <t xml:space="preserve">ATCTGCGGGTATAGCTTTCAGATTGTTCCACTCAACTTTAACCCG</t>
  </si>
  <si>
    <t xml:space="preserve">B3_P1(18w)_4</t>
  </si>
  <si>
    <t xml:space="preserve">B3_P2(18w)_4</t>
  </si>
  <si>
    <t xml:space="preserve">JL-038-05</t>
  </si>
  <si>
    <t xml:space="preserve">18w-toll-like-receptor-7_B3_P1_05</t>
  </si>
  <si>
    <t xml:space="preserve">GTCCCTGCCTCTATATCTTTGAGTAATGTTTAGTATTTGCAAATT</t>
  </si>
  <si>
    <t xml:space="preserve">18w-toll-like-receptor-7_B3_P2_05</t>
  </si>
  <si>
    <t xml:space="preserve">GACGATCTATGGCTTTAATTCTGTTTTCCACTCAACTTTAACCCG</t>
  </si>
  <si>
    <t xml:space="preserve">B3_P1(18w)_5</t>
  </si>
  <si>
    <t xml:space="preserve">B3_P2(18w)_5</t>
  </si>
  <si>
    <t xml:space="preserve">JL-038-06</t>
  </si>
  <si>
    <t xml:space="preserve">18w-toll-like-receptor-7_B3_P1_06</t>
  </si>
  <si>
    <t xml:space="preserve">GTCCCTGCCTCTATATCTTTTCTAAATTACTCAGACCAGATCCAC</t>
  </si>
  <si>
    <t xml:space="preserve">18w-toll-like-receptor-7_B3_P2_06</t>
  </si>
  <si>
    <t xml:space="preserve">AAAGATTTAATTTCATTATAACTCATTCCACTCAACTTTAACCCG</t>
  </si>
  <si>
    <t xml:space="preserve">B3_P1(18w)_6</t>
  </si>
  <si>
    <t xml:space="preserve">B3_P2(18w)_6</t>
  </si>
  <si>
    <t xml:space="preserve">JL-038-07</t>
  </si>
  <si>
    <t xml:space="preserve">18w-toll-like-receptor-7_B3_P1_07</t>
  </si>
  <si>
    <t xml:space="preserve">GTCCCTGCCTCTATATCTTTCTCTTGAAGTCGACGAAGTCCTGAA</t>
  </si>
  <si>
    <t xml:space="preserve">18w-toll-like-receptor-7_B3_P2_07</t>
  </si>
  <si>
    <t xml:space="preserve">ACTGATGTTATTATGTTGAAGTCTCTTCCACTCAACTTTAACCCG</t>
  </si>
  <si>
    <t xml:space="preserve">B3_P1(18w)_7</t>
  </si>
  <si>
    <t xml:space="preserve">B3_P2(18w)_7</t>
  </si>
  <si>
    <t xml:space="preserve">JL-038-08</t>
  </si>
  <si>
    <t xml:space="preserve">18w-toll-like-receptor-7_B3_P1_08</t>
  </si>
  <si>
    <t xml:space="preserve">GTCCCTGCCTCTATATCTTTTGCGTAATGAAATAAGTCCATTAAA</t>
  </si>
  <si>
    <t xml:space="preserve">18w-toll-like-receptor-7_B3_P2_08</t>
  </si>
  <si>
    <t xml:space="preserve">GCAGGTTATTATGAGAAACATTTAATTCCACTCAACTTTAACCCG</t>
  </si>
  <si>
    <t xml:space="preserve">B3_P1(18w)_8</t>
  </si>
  <si>
    <t xml:space="preserve">B3_P2(18w)_8</t>
  </si>
  <si>
    <t xml:space="preserve">JL-039-01</t>
  </si>
  <si>
    <t xml:space="preserve">22-like_B3_P1_01</t>
  </si>
  <si>
    <t xml:space="preserve">GTCCCTGCCTCTATATCTTTTCGCAGTCTCGCGGCGTGTATGAAA</t>
  </si>
  <si>
    <t xml:space="preserve">22-like_B3_P2_01</t>
  </si>
  <si>
    <t xml:space="preserve">CAGACAATGTATCAAAACGTTGCCGTTCCACTCAACTTTAACCCG</t>
  </si>
  <si>
    <t xml:space="preserve">B3_P1(22-like)_1</t>
  </si>
  <si>
    <t xml:space="preserve">B3_P2(22-like)_1</t>
  </si>
  <si>
    <t xml:space="preserve">JL-039-02</t>
  </si>
  <si>
    <t xml:space="preserve">22-like_B3_P1_02</t>
  </si>
  <si>
    <t xml:space="preserve">GTCCCTGCCTCTATATCTTTTTATGTACGCCACCGCCACTGTCAC</t>
  </si>
  <si>
    <t xml:space="preserve">22-like_B3_P2_02</t>
  </si>
  <si>
    <t xml:space="preserve">CCCGCCAGTTCAGAGGCGTGACTGATTCCACTCAACTTTAACCCG</t>
  </si>
  <si>
    <t xml:space="preserve">B3_P1(22-like)_2</t>
  </si>
  <si>
    <t xml:space="preserve">B3_P2(22-like)_2</t>
  </si>
  <si>
    <t xml:space="preserve">JL-039-03</t>
  </si>
  <si>
    <t xml:space="preserve">22-like_B3_P1_03</t>
  </si>
  <si>
    <t xml:space="preserve">GTCCCTGCCTCTATATCTTTGGGTTGGCGACGGCGCGGCCTGCCC</t>
  </si>
  <si>
    <t xml:space="preserve">22-like_B3_P2_03</t>
  </si>
  <si>
    <t xml:space="preserve">TGCAGCTGCCTCTGGAAGCCAAGGTTTCCACTCAACTTTAACCCG</t>
  </si>
  <si>
    <t xml:space="preserve">B3_P1(22-like)_3</t>
  </si>
  <si>
    <t xml:space="preserve">B3_P2(22-like)_3</t>
  </si>
  <si>
    <t xml:space="preserve">JL-039-04</t>
  </si>
  <si>
    <t xml:space="preserve">22-like_B3_P1_04</t>
  </si>
  <si>
    <t xml:space="preserve">GTCCCTGCCTCTATATCTTTTAGACGTCTCCTTTCCTCAACAAGC</t>
  </si>
  <si>
    <t xml:space="preserve">22-like_B3_P2_04</t>
  </si>
  <si>
    <t xml:space="preserve">CAGCGCGAGCGACGGGTAACGCTCTTTCCACTCAACTTTAACCCG</t>
  </si>
  <si>
    <t xml:space="preserve">B3_P1(22-like)_4</t>
  </si>
  <si>
    <t xml:space="preserve">B3_P2(22-like)_4</t>
  </si>
  <si>
    <t xml:space="preserve">JL-039-05</t>
  </si>
  <si>
    <t xml:space="preserve">22-like_B3_P1_05</t>
  </si>
  <si>
    <t xml:space="preserve">GTCCCTGCCTCTATATCTTTACGAGTCCAGCATCACGCGACACTC</t>
  </si>
  <si>
    <t xml:space="preserve">22-like_B3_P2_05</t>
  </si>
  <si>
    <t xml:space="preserve">TGGTCCGCTGGTTGAGCATGGTCTGTTCCACTCAACTTTAACCCG</t>
  </si>
  <si>
    <t xml:space="preserve">B3_P1(22-like)_5</t>
  </si>
  <si>
    <t xml:space="preserve">B3_P2(22-like)_5</t>
  </si>
  <si>
    <t xml:space="preserve">JL-039-06</t>
  </si>
  <si>
    <t xml:space="preserve">22-like_B3_P1_06</t>
  </si>
  <si>
    <t xml:space="preserve">GTCCCTGCCTCTATATCTTTCCGGTGGGGCACTGGCGACCCATGG</t>
  </si>
  <si>
    <t xml:space="preserve">22-like_B3_P2_06</t>
  </si>
  <si>
    <t xml:space="preserve">TGCCTCTTCGATCCAGTTCTGCATATTCCACTCAACTTTAACCCG</t>
  </si>
  <si>
    <t xml:space="preserve">B3_P1(22-like)_6</t>
  </si>
  <si>
    <t xml:space="preserve">B3_P2(22-like)_6</t>
  </si>
  <si>
    <t xml:space="preserve">JL-039-07</t>
  </si>
  <si>
    <t xml:space="preserve">22-like_B3_P1_07</t>
  </si>
  <si>
    <t xml:space="preserve">GTCCCTGCCTCTATATCTTTCTCAGCCACCGTGGACGCGGTCGAT</t>
  </si>
  <si>
    <t xml:space="preserve">22-like_B3_P2_07</t>
  </si>
  <si>
    <t xml:space="preserve">CAACCCCCCACCCCCTACCCCCACATTCCACTCAACTTTAACCCG</t>
  </si>
  <si>
    <t xml:space="preserve">B3_P1(22-like)_7</t>
  </si>
  <si>
    <t xml:space="preserve">B3_P2(22-like)_7</t>
  </si>
  <si>
    <t xml:space="preserve">JL-039-08</t>
  </si>
  <si>
    <t xml:space="preserve">22-like_B3_P1_08</t>
  </si>
  <si>
    <t xml:space="preserve">GTCCCTGCCTCTATATCTTTTGGACGTAGTGGAGGCGGTAGAGAG</t>
  </si>
  <si>
    <t xml:space="preserve">22-like_B3_P2_08</t>
  </si>
  <si>
    <t xml:space="preserve">CAGCGGGCGATGAGCGTGGTCTATATTCCACTCAACTTTAACCCG</t>
  </si>
  <si>
    <t xml:space="preserve">B3_P1(22-like)_8</t>
  </si>
  <si>
    <t xml:space="preserve">B3_P2(22-like)_8</t>
  </si>
  <si>
    <t xml:space="preserve">JL-040-01</t>
  </si>
  <si>
    <t xml:space="preserve">al_B3_P1_01</t>
  </si>
  <si>
    <t xml:space="preserve">GTCCCTGCCTCTATATCTTTGAATGTCCTCGTCATCCATGCCGCT</t>
  </si>
  <si>
    <t xml:space="preserve">al_B3_P2_01</t>
  </si>
  <si>
    <t xml:space="preserve">TCCTATACCGCCTCTGCTTCCTTCTTTCCACTCAACTTTAACCCG</t>
  </si>
  <si>
    <t xml:space="preserve">B3_P1(al)_1</t>
  </si>
  <si>
    <t xml:space="preserve">B3_P2(al)_1</t>
  </si>
  <si>
    <t xml:space="preserve">GAATGTCCTCGTCATCCATGCCGCT</t>
  </si>
  <si>
    <t xml:space="preserve">TCCTATACCGCCTCTGCTTCCTTCT</t>
  </si>
  <si>
    <t xml:space="preserve">Jeriel_HCRoligosequences › al</t>
  </si>
  <si>
    <t xml:space="preserve">JL-040-02</t>
  </si>
  <si>
    <t xml:space="preserve">al_B3_P1_02</t>
  </si>
  <si>
    <t xml:space="preserve">GTCCCTGCCTCTATATCTTTAAAGCCTTCTCCAGTTCGTCGAGCT</t>
  </si>
  <si>
    <t xml:space="preserve">al_B3_P2_02</t>
  </si>
  <si>
    <t xml:space="preserve">AATACATCAGGATAATGCGTCCTCCTTCCACTCAACTTTAACCCG</t>
  </si>
  <si>
    <t xml:space="preserve">B3_P1(al)_2</t>
  </si>
  <si>
    <t xml:space="preserve">B3_P2(al)_2</t>
  </si>
  <si>
    <t xml:space="preserve">AAAGCCTTCTCCAGTTCGTCGAGCT</t>
  </si>
  <si>
    <t xml:space="preserve">AATACATCAGGATAATGCGTCCTCC</t>
  </si>
  <si>
    <t xml:space="preserve">JL-040-03</t>
  </si>
  <si>
    <t xml:space="preserve">al_B3_P1_03</t>
  </si>
  <si>
    <t xml:space="preserve">GTCCCTGCCTCTATATCTTTTGCTTCTGTGAGGCCAATTTTTAAA</t>
  </si>
  <si>
    <t xml:space="preserve">al_B3_P2_03</t>
  </si>
  <si>
    <t xml:space="preserve">CCGGTTTTGGAACCACACCTGTATTTTCCACTCAACTTTAACCCG</t>
  </si>
  <si>
    <t xml:space="preserve">B3_P1(al)_3</t>
  </si>
  <si>
    <t xml:space="preserve">B3_P2(al)_3</t>
  </si>
  <si>
    <t xml:space="preserve">TGCTTCTGTGAGGCCAATTTTTAAA</t>
  </si>
  <si>
    <t xml:space="preserve">CCGGTTTTGGAACCACACCTGTATT</t>
  </si>
  <si>
    <t xml:space="preserve">JL-040-04</t>
  </si>
  <si>
    <t xml:space="preserve">al_B3_P1_04</t>
  </si>
  <si>
    <t xml:space="preserve">GTCCCTGCCTCTATATCTTTGTGCATGGGGCCCCACCTTCTCCTG</t>
  </si>
  <si>
    <t xml:space="preserve">al_B3_P2_04</t>
  </si>
  <si>
    <t xml:space="preserve">CGCTGCTTAAGTATCCGCTATACGGTTCCACTCAACTTTAACCCG</t>
  </si>
  <si>
    <t xml:space="preserve">B3_P1(al)_4</t>
  </si>
  <si>
    <t xml:space="preserve">B3_P2(al)_4</t>
  </si>
  <si>
    <t xml:space="preserve">GTGCATGGGGCCCCACCTTCTCCTG</t>
  </si>
  <si>
    <t xml:space="preserve">CGCTGCTTAAGTATCCGCTATACGG</t>
  </si>
  <si>
    <t xml:space="preserve">JL-040-05</t>
  </si>
  <si>
    <t xml:space="preserve">al_B3_P1_05</t>
  </si>
  <si>
    <t xml:space="preserve">GTCCCTGCCTCTATATCTTTGAATGCGGTGGAACTGGCATAGATG</t>
  </si>
  <si>
    <t xml:space="preserve">al_B3_P2_05</t>
  </si>
  <si>
    <t xml:space="preserve">CTCAATCCAAATCCGAGCTGACTGATTCCACTCAACTTTAACCCG</t>
  </si>
  <si>
    <t xml:space="preserve">B3_P1(al)_5</t>
  </si>
  <si>
    <t xml:space="preserve">B3_P2(al)_5</t>
  </si>
  <si>
    <t xml:space="preserve">GAATGCGGTGGAACTGGCATAGATG</t>
  </si>
  <si>
    <t xml:space="preserve">CTCAATCCAAATCCGAGCTGACTGA</t>
  </si>
  <si>
    <t xml:space="preserve">JL-040-06</t>
  </si>
  <si>
    <t xml:space="preserve">al_B3_P1_06</t>
  </si>
  <si>
    <t xml:space="preserve">GTCCCTGCCTCTATATCTTTGTTGGCGTACCTGAAAGACGCTAGA</t>
  </si>
  <si>
    <t xml:space="preserve">al_B3_P2_06</t>
  </si>
  <si>
    <t xml:space="preserve">AAGGTACTGTGCTCCAAACAGGGGATTCCACTCAACTTTAACCCG</t>
  </si>
  <si>
    <t xml:space="preserve">B3_P1(al)_6</t>
  </si>
  <si>
    <t xml:space="preserve">B3_P2(al)_6</t>
  </si>
  <si>
    <t xml:space="preserve">GTTGGCGTACCTGAAAGACGCTAGA</t>
  </si>
  <si>
    <t xml:space="preserve">AAGGTACTGTGCTCCAAACAGGGGA</t>
  </si>
  <si>
    <t xml:space="preserve">JL-040-07</t>
  </si>
  <si>
    <t xml:space="preserve">al_B3_P1_07</t>
  </si>
  <si>
    <t xml:space="preserve">GTCCCTGCCTCTATATCTTTCGTATAGTGGAGCCCCGAAAAGTGG</t>
  </si>
  <si>
    <t xml:space="preserve">al_B3_P2_07</t>
  </si>
  <si>
    <t xml:space="preserve">GAGAGTGGAAATGAGCGGGCGATGTTTCCACTCAACTTTAACCCG</t>
  </si>
  <si>
    <t xml:space="preserve">B3_P1(al)_7</t>
  </si>
  <si>
    <t xml:space="preserve">B3_P2(al)_7</t>
  </si>
  <si>
    <t xml:space="preserve">CGTATAGTGGAGCCCCGAAAAGTGG</t>
  </si>
  <si>
    <t xml:space="preserve">GAGAGTGGAAATGAGCGGGCGATGT</t>
  </si>
  <si>
    <t xml:space="preserve">JL-040-08</t>
  </si>
  <si>
    <t xml:space="preserve">al_B3_P1_08</t>
  </si>
  <si>
    <t xml:space="preserve">GTCCCTGCCTCTATATCTTTGGTGAGATTCGAGGTAGTTCGGGTA</t>
  </si>
  <si>
    <t xml:space="preserve">al_B3_P2_08</t>
  </si>
  <si>
    <t xml:space="preserve">ACTTCGGGTGACAATCGTGATTGTTTTCCACTCAACTTTAACCCG</t>
  </si>
  <si>
    <t xml:space="preserve">B3_P1(al)_8</t>
  </si>
  <si>
    <t xml:space="preserve">B3_P2(al)_8</t>
  </si>
  <si>
    <t xml:space="preserve">GGTGAGATTCGAGGTAGTTCGGGTA</t>
  </si>
  <si>
    <t xml:space="preserve">ACTTCGGGTGACAATCGTGATTGTT</t>
  </si>
  <si>
    <t xml:space="preserve">JL-040-09</t>
  </si>
  <si>
    <t xml:space="preserve">al_B3_P1_09</t>
  </si>
  <si>
    <t xml:space="preserve">GTCCCTGCCTCTATATCTTTTGGTGATATTGGAGGGGAGATCGAC</t>
  </si>
  <si>
    <t xml:space="preserve">al_B3_P2_09</t>
  </si>
  <si>
    <t xml:space="preserve">TTCAGATGGGGGTAAAGTCTCGCTGTTCCACTCAACTTTAACCCG</t>
  </si>
  <si>
    <t xml:space="preserve">B3_P1(al)_9</t>
  </si>
  <si>
    <t xml:space="preserve">B3_P2(al)_9</t>
  </si>
  <si>
    <t xml:space="preserve">TGGTGATATTGGAGGGGAGATCGAC</t>
  </si>
  <si>
    <t xml:space="preserve">TTCAGATGGGGGTAAAGTCTCGCTG</t>
  </si>
  <si>
    <t xml:space="preserve">JL-040-10</t>
  </si>
  <si>
    <t xml:space="preserve">al_B3_P1_10</t>
  </si>
  <si>
    <t xml:space="preserve">GTCCCTGCCTCTATATCTTTTAGCAGCTAGTCTTAATGCTGCTAT</t>
  </si>
  <si>
    <t xml:space="preserve">al_B3_P2_10</t>
  </si>
  <si>
    <t xml:space="preserve">ACAATTCTAATCTGAGTTCGTGTTCTTCCACTCAACTTTAACCCG</t>
  </si>
  <si>
    <t xml:space="preserve">B3_P1(al)_10</t>
  </si>
  <si>
    <t xml:space="preserve">B3_P2(al)_10</t>
  </si>
  <si>
    <t xml:space="preserve">TAGCAGCTAGTCTTAATGCTGCTAT</t>
  </si>
  <si>
    <t xml:space="preserve">ACAATTCTAATCTGAGTTCGTGTTC</t>
  </si>
  <si>
    <t xml:space="preserve">JL-041-01</t>
  </si>
  <si>
    <t xml:space="preserve">Apterous-B_B3_P1_01</t>
  </si>
  <si>
    <t xml:space="preserve">GTCCCTGCCTCTATATCTTTGTCAACTCGCTGTCCAAAGGCAGAC</t>
  </si>
  <si>
    <t xml:space="preserve">Apterous-B_B3_P2_01</t>
  </si>
  <si>
    <t xml:space="preserve">TAGATATTTCCGTCTCTTGAGAAGCTTCCACTCAACTTTAACCCG</t>
  </si>
  <si>
    <t xml:space="preserve">B3_P1(apB)_1</t>
  </si>
  <si>
    <t xml:space="preserve">B3_P2(apB)_1</t>
  </si>
  <si>
    <t xml:space="preserve">GTCAACTCGCTGTCCAAAGGCAGAC</t>
  </si>
  <si>
    <t xml:space="preserve">TAGATATTTCCGTCTCTTGAGAAGC</t>
  </si>
  <si>
    <t xml:space="preserve">Jeriel_HCRoligosequences › Apterous B</t>
  </si>
  <si>
    <t xml:space="preserve">JL-041-02</t>
  </si>
  <si>
    <t xml:space="preserve">Apterous-B_B3_P1_02</t>
  </si>
  <si>
    <t xml:space="preserve">GTCCCTGCCTCTATATCTTTACACCTTTTCACACAAAACAACCTA</t>
  </si>
  <si>
    <t xml:space="preserve">Apterous-B_B3_P2_02</t>
  </si>
  <si>
    <t xml:space="preserve">CGCCGTGATACCGTTCCCACATCGATTCCACTCAACTTTAACCCG</t>
  </si>
  <si>
    <t xml:space="preserve">B3_P1(apB)_2</t>
  </si>
  <si>
    <t xml:space="preserve">B3_P2(apB)_2</t>
  </si>
  <si>
    <t xml:space="preserve">ACACCTTTTCACACAAAACAACCTA</t>
  </si>
  <si>
    <t xml:space="preserve">CGCCGTGATACCGTTCCCACATCGA</t>
  </si>
  <si>
    <t xml:space="preserve">JL-041-03</t>
  </si>
  <si>
    <t xml:space="preserve">Apterous-B_B3_P1_03</t>
  </si>
  <si>
    <t xml:space="preserve">GTCCCTGCCTCTATATCTTTTGAGATGGAAGACCATGTCGCGGGC</t>
  </si>
  <si>
    <t xml:space="preserve">Apterous-B_B3_P2_03</t>
  </si>
  <si>
    <t xml:space="preserve">TTCCGCATGCAACGCAGGTGAAGCATTCCACTCAACTTTAACCCG</t>
  </si>
  <si>
    <t xml:space="preserve">B3_P1(apB)_3</t>
  </si>
  <si>
    <t xml:space="preserve">B3_P2(apB)_3</t>
  </si>
  <si>
    <t xml:space="preserve">TGAGATGGAAGACCATGTCGCGGGC</t>
  </si>
  <si>
    <t xml:space="preserve">TTCCGCATGCAACGCAGGTGAAGCA</t>
  </si>
  <si>
    <t xml:space="preserve">JL-041-04</t>
  </si>
  <si>
    <t xml:space="preserve">Apterous-B_B3_P1_04</t>
  </si>
  <si>
    <t xml:space="preserve">GTCCCTGCCTCTATATCTTTAGGCCGTTTTTCATCCCAAAGACAT</t>
  </si>
  <si>
    <t xml:space="preserve">Apterous-B_B3_P2_04</t>
  </si>
  <si>
    <t xml:space="preserve">CTGTCATAGTGAGGTCTGCAGTAAATTCCACTCAACTTTAACCCG</t>
  </si>
  <si>
    <t xml:space="preserve">B3_P1(apB)_4</t>
  </si>
  <si>
    <t xml:space="preserve">B3_P2(apB)_4</t>
  </si>
  <si>
    <t xml:space="preserve">AGGCCGTTTTTCATCCCAAAGACAT</t>
  </si>
  <si>
    <t xml:space="preserve">CTGTCATAGTGAGGTCTGCAGTAAA</t>
  </si>
  <si>
    <t xml:space="preserve">JL-041-05</t>
  </si>
  <si>
    <t xml:space="preserve">Apterous-B_B3_P1_05</t>
  </si>
  <si>
    <t xml:space="preserve">GTCCCTGCCTCTATATCTTTAACACTATTGATGTCCTCGTCACAA</t>
  </si>
  <si>
    <t xml:space="preserve">Apterous-B_B3_P2_05</t>
  </si>
  <si>
    <t xml:space="preserve">CTCGCTATGCATTTCTTGGCACCTGTTCCACTCAACTTTAACCCG</t>
  </si>
  <si>
    <t xml:space="preserve">B3_P1(apB)_5</t>
  </si>
  <si>
    <t xml:space="preserve">B3_P2(apB)_5</t>
  </si>
  <si>
    <t xml:space="preserve">AACACTATTGATGTCCTCGTCACAA</t>
  </si>
  <si>
    <t xml:space="preserve">CTCGCTATGCATTTCTTGGCACCTG</t>
  </si>
  <si>
    <t xml:space="preserve">JL-041-06</t>
  </si>
  <si>
    <t xml:space="preserve">Apterous-B_B3_P1_06</t>
  </si>
  <si>
    <t xml:space="preserve">GTCCCTGCCTCTATATCTTTTTTGGCTCGGGCCTCCATTGTAGTA</t>
  </si>
  <si>
    <t xml:space="preserve">Apterous-B_B3_P2_06</t>
  </si>
  <si>
    <t xml:space="preserve">CCACTTTTCTCTTTCTTGGTCTACCTTCCACTCAACTTTAACCCG</t>
  </si>
  <si>
    <t xml:space="preserve">B3_P1(apB)_6</t>
  </si>
  <si>
    <t xml:space="preserve">B3_P2(apB)_6</t>
  </si>
  <si>
    <t xml:space="preserve">TTTGGCTCGGGCCTCCATTGTAGTA</t>
  </si>
  <si>
    <t xml:space="preserve">CCACTTTTCTCTTTCTTGGTCTACC</t>
  </si>
  <si>
    <t xml:space="preserve">JL-041-07</t>
  </si>
  <si>
    <t xml:space="preserve">Apterous-B_B3_P1_07</t>
  </si>
  <si>
    <t xml:space="preserve">GTCCCTGCCTCTATATCTTTATCCTCATCGTTTGAACTTGCATAT</t>
  </si>
  <si>
    <t xml:space="preserve">Apterous-B_B3_P2_07</t>
  </si>
  <si>
    <t xml:space="preserve">TGAAGTATTTCTAAAGCTGTGCTCGTTCCACTCAACTTTAACCCG</t>
  </si>
  <si>
    <t xml:space="preserve">B3_P1(apB)_7</t>
  </si>
  <si>
    <t xml:space="preserve">B3_P2(apB)_7</t>
  </si>
  <si>
    <t xml:space="preserve">ATCCTCATCGTTTGAACTTGCATAT</t>
  </si>
  <si>
    <t xml:space="preserve">TGAAGTATTTCTAAAGCTGTGCTCG</t>
  </si>
  <si>
    <t xml:space="preserve">JL-041-08</t>
  </si>
  <si>
    <t xml:space="preserve">Apterous-B_B3_P1_08</t>
  </si>
  <si>
    <t xml:space="preserve">GTCCCTGCCTCTATATCTTTGTCGTAAGCCAGCGACTCCATTGAT</t>
  </si>
  <si>
    <t xml:space="preserve">Apterous-B_B3_P2_08</t>
  </si>
  <si>
    <t xml:space="preserve">AACACTACCCGGTGAAGCGACTGACTTCCACTCAACTTTAACCCG</t>
  </si>
  <si>
    <t xml:space="preserve">B3_P1(apB)_8</t>
  </si>
  <si>
    <t xml:space="preserve">B3_P2(apB)_8</t>
  </si>
  <si>
    <t xml:space="preserve">GTCGTAAGCCAGCGACTCCATTGAT</t>
  </si>
  <si>
    <t xml:space="preserve">AACACTACCCGGTGAAGCGACTGAC</t>
  </si>
  <si>
    <t xml:space="preserve">JL-041-09</t>
  </si>
  <si>
    <t xml:space="preserve">Apterous-B_B3_P1_09</t>
  </si>
  <si>
    <t xml:space="preserve">GTCCCTGCCTCTATATCTTTTAAAACTGGTGCGCATGCGTTTAGT</t>
  </si>
  <si>
    <t xml:space="preserve">Apterous-B_B3_P2_09</t>
  </si>
  <si>
    <t xml:space="preserve">ACTTCATGGTGCGAAGCTGGTGATGTTCCACTCAACTTTAACCCG</t>
  </si>
  <si>
    <t xml:space="preserve">B3_P1(apB)_9</t>
  </si>
  <si>
    <t xml:space="preserve">B3_P2(apB)_9</t>
  </si>
  <si>
    <t xml:space="preserve">TAAAACTGGTGCGCATGCGTTTAGT</t>
  </si>
  <si>
    <t xml:space="preserve">ACTTCATGGTGCGAAGCTGGTGATG</t>
  </si>
  <si>
    <t xml:space="preserve">JL-041-10</t>
  </si>
  <si>
    <t xml:space="preserve">Apterous-B_B3_P1_10</t>
  </si>
  <si>
    <t xml:space="preserve">GTCCCTGCCTCTATATCTTTTTAAGATCCTTTGCGTCAGGGTTCT</t>
  </si>
  <si>
    <t xml:space="preserve">Apterous-B_B3_P2_10</t>
  </si>
  <si>
    <t xml:space="preserve">GAAAGACCAGTCTTTTGAGCCAGTTTTCCACTCAACTTTAACCCG</t>
  </si>
  <si>
    <t xml:space="preserve">B3_P1(apB)_10</t>
  </si>
  <si>
    <t xml:space="preserve">B3_P2(apB)_10</t>
  </si>
  <si>
    <t xml:space="preserve">TTAAGATCCTTTGCGTCAGGGTTCT</t>
  </si>
  <si>
    <t xml:space="preserve">GAAAGACCAGTCTTTTGAGCCAGTT</t>
  </si>
  <si>
    <t xml:space="preserve">JL-041-11</t>
  </si>
  <si>
    <t xml:space="preserve">Apterous-B_B3_P1_11</t>
  </si>
  <si>
    <t xml:space="preserve">GTCCCTGCCTCTATATCTTTTTTTGCTCTTGCGTTTTGAAACCAT</t>
  </si>
  <si>
    <t xml:space="preserve">Apterous-B_B3_P2_11</t>
  </si>
  <si>
    <t xml:space="preserve">CTCTTGCCTCATCATATTCCGACGCTTCCACTCAACTTTAACCCG</t>
  </si>
  <si>
    <t xml:space="preserve">B3_P1(apB)_11</t>
  </si>
  <si>
    <t xml:space="preserve">B3_P2(apB)_11</t>
  </si>
  <si>
    <t xml:space="preserve">TTTTGCTCTTGCGTTTTGAAACCAT</t>
  </si>
  <si>
    <t xml:space="preserve">CTCTTGCCTCATCATATTCCGACGC</t>
  </si>
  <si>
    <t xml:space="preserve">JL-041-12</t>
  </si>
  <si>
    <t xml:space="preserve">Apterous-B_B3_P1_12</t>
  </si>
  <si>
    <t xml:space="preserve">GTCCCTGCCTCTATATCTTTGATGTCCCAGGTTGCCGTTCATCAT</t>
  </si>
  <si>
    <t xml:space="preserve">Apterous-B_B3_P2_12</t>
  </si>
  <si>
    <t xml:space="preserve">CGCCGCCGACCAACGCCCCGTTTGCTTCCACTCAACTTTAACCCG</t>
  </si>
  <si>
    <t xml:space="preserve">B3_P1(apB)_12</t>
  </si>
  <si>
    <t xml:space="preserve">B3_P2(apB)_12</t>
  </si>
  <si>
    <t xml:space="preserve">GATGTCCCAGGTTGCCGTTCATCAT</t>
  </si>
  <si>
    <t xml:space="preserve">CGCCGCCGACCAACGCCCCGTTTGC</t>
  </si>
  <si>
    <t xml:space="preserve">JL-042-01</t>
  </si>
  <si>
    <t xml:space="preserve">bowel_B3_P1_01</t>
  </si>
  <si>
    <t xml:space="preserve">GTCCCTGCCTCTATATCTTTGGGGTTTCGGAAACTGGCCGAGGTG</t>
  </si>
  <si>
    <t xml:space="preserve">bowel_B3_P2_01</t>
  </si>
  <si>
    <t xml:space="preserve">TGTCTAGAGCGTAGAGGGGGATTCGTTCCACTCAACTTTAACCCG</t>
  </si>
  <si>
    <t xml:space="preserve">B3_P1(bowel)_4</t>
  </si>
  <si>
    <t xml:space="preserve">B3_P2(bowel)_4</t>
  </si>
  <si>
    <t xml:space="preserve">GGGGTTTCGGAAACTGGCCGAGGTG</t>
  </si>
  <si>
    <t xml:space="preserve">TGTCTAGAGCGTAGAGGGGGATTCG</t>
  </si>
  <si>
    <t xml:space="preserve">JL-042-02</t>
  </si>
  <si>
    <t xml:space="preserve">bowel_B3_P1_02</t>
  </si>
  <si>
    <t xml:space="preserve">GTCCCTGCCTCTATATCTTTAGGTCTTTGAGCCCTTTCAGCAGTA</t>
  </si>
  <si>
    <t xml:space="preserve">bowel_B3_P2_02</t>
  </si>
  <si>
    <t xml:space="preserve">GGCACTGGGATTTCGGCCACTAGATTTCCACTCAACTTTAACCCG</t>
  </si>
  <si>
    <t xml:space="preserve">B3_P1(bowel)_5</t>
  </si>
  <si>
    <t xml:space="preserve">B3_P2(bowel)_5</t>
  </si>
  <si>
    <t xml:space="preserve">AGGTCTTTGAGCCCTTTCAGCAGTA</t>
  </si>
  <si>
    <t xml:space="preserve">GGCACTGGGATTTCGGCCACTAGAT</t>
  </si>
  <si>
    <t xml:space="preserve">JL-042-03</t>
  </si>
  <si>
    <t xml:space="preserve">bowel_B3_P1_03</t>
  </si>
  <si>
    <t xml:space="preserve">GTCCCTGCCTCTATATCTTTTGGTTATCTGACGATGGTATGGTAA</t>
  </si>
  <si>
    <t xml:space="preserve">bowel_B3_P2_03</t>
  </si>
  <si>
    <t xml:space="preserve">GATGGGAAGCCGTGAGAAGAGAGCCTTCCACTCAACTTTAACCCG</t>
  </si>
  <si>
    <t xml:space="preserve">B3_P1(bowel)_6</t>
  </si>
  <si>
    <t xml:space="preserve">B3_P2(bowel)_6</t>
  </si>
  <si>
    <t xml:space="preserve">TGGTTATCTGACGATGGTATGGTAA</t>
  </si>
  <si>
    <t xml:space="preserve">GATGGGAAGCCGTGAGAAGAGAGCC</t>
  </si>
  <si>
    <t xml:space="preserve">JL-042-04</t>
  </si>
  <si>
    <t xml:space="preserve">bowel_B3_P1_04</t>
  </si>
  <si>
    <t xml:space="preserve">GTCCCTGCCTCTATATCTTTATGGCTCTTGTTGGGACTACGGGAA</t>
  </si>
  <si>
    <t xml:space="preserve">bowel_B3_P2_04</t>
  </si>
  <si>
    <t xml:space="preserve">ATTTCATTAGGGTACATAACTGGGTTTCCACTCAACTTTAACCCG</t>
  </si>
  <si>
    <t xml:space="preserve">B3_P1(bowel)_1</t>
  </si>
  <si>
    <t xml:space="preserve">B3_P2(bowel)_1</t>
  </si>
  <si>
    <t xml:space="preserve">ATGGCTCTTGTTGGGACTACGGGAA</t>
  </si>
  <si>
    <t xml:space="preserve">ATTTCATTAGGGTACATAACTGGGT</t>
  </si>
  <si>
    <t xml:space="preserve">JL-042-05</t>
  </si>
  <si>
    <t xml:space="preserve">bowel_B3_P1_05</t>
  </si>
  <si>
    <t xml:space="preserve">GTCCCTGCCTCTATATCTTTACGCTCGCGTTCTATGATTTCTGAA</t>
  </si>
  <si>
    <t xml:space="preserve">bowel_B3_P2_05</t>
  </si>
  <si>
    <t xml:space="preserve">TGATTCACTTCTATCTCTTTCTAGATTCCACTCAACTTTAACCCG</t>
  </si>
  <si>
    <t xml:space="preserve">B3_P1(bowel)_2</t>
  </si>
  <si>
    <t xml:space="preserve">B3_P2(bowel)_2</t>
  </si>
  <si>
    <t xml:space="preserve">ACGCTCGCGTTCTATGATTTCTGAA</t>
  </si>
  <si>
    <t xml:space="preserve">TGATTCACTTCTATCTCTTTCTAGA</t>
  </si>
  <si>
    <t xml:space="preserve">JL-042-06</t>
  </si>
  <si>
    <t xml:space="preserve">bowel_B3_P1_06</t>
  </si>
  <si>
    <t xml:space="preserve">GTCCCTGCCTCTATATCTTTTTTTTTGAAAGTTAGCCGATGCTCT</t>
  </si>
  <si>
    <t xml:space="preserve">bowel_B3_P2_06</t>
  </si>
  <si>
    <t xml:space="preserve">TCATAGCCATTAAGTCAAATGAATTTTCCACTCAACTTTAACCCG</t>
  </si>
  <si>
    <t xml:space="preserve">B3_P1(bowel)_3</t>
  </si>
  <si>
    <t xml:space="preserve">B3_P2(bowel)_3</t>
  </si>
  <si>
    <t xml:space="preserve">TTTTTTGAAAGTTAGCCGATGCTCT</t>
  </si>
  <si>
    <t xml:space="preserve">TCATAGCCATTAAGTCAAATGAATT</t>
  </si>
  <si>
    <t xml:space="preserve">JL-043-01</t>
  </si>
  <si>
    <t xml:space="preserve">dac_B3_P1_01</t>
  </si>
  <si>
    <t xml:space="preserve">GTCCCTGCCTCTATATCTTTCTGGTGCATGAAGCCCATGGGCCCC</t>
  </si>
  <si>
    <t xml:space="preserve">dac_B3_P2_01</t>
  </si>
  <si>
    <t xml:space="preserve">TGGCATACCCGGAGACATGAGCGCGTTCCACTCAACTTTAACCCG</t>
  </si>
  <si>
    <t xml:space="preserve">B3_P1(dac)_1</t>
  </si>
  <si>
    <t xml:space="preserve">B3_P2(dac)_1</t>
  </si>
  <si>
    <t xml:space="preserve">CTGGTGCATGAAGCCCATGGGCCCC</t>
  </si>
  <si>
    <t xml:space="preserve">TGGCATACCCGGAGACATGAGCGCG</t>
  </si>
  <si>
    <t xml:space="preserve">Jeriel_HCRoligosequences › dac</t>
  </si>
  <si>
    <t xml:space="preserve">JL-043-02</t>
  </si>
  <si>
    <t xml:space="preserve">dac_B3_P1_02</t>
  </si>
  <si>
    <t xml:space="preserve">GTCCCTGCCTCTATATCTTTGCCCTTTGATGATGGACCCGTCAGG</t>
  </si>
  <si>
    <t xml:space="preserve">dac_B3_P2_02</t>
  </si>
  <si>
    <t xml:space="preserve">CTAATGCTTCCATGTTGTGCATCGGTTCCACTCAACTTTAACCCG</t>
  </si>
  <si>
    <t xml:space="preserve">B3_P1(dac)_2</t>
  </si>
  <si>
    <t xml:space="preserve">B3_P2(dac)_2</t>
  </si>
  <si>
    <t xml:space="preserve">GCCCTTTGATGATGGACCCGTCAGG</t>
  </si>
  <si>
    <t xml:space="preserve">CTAATGCTTCCATGTTGTGCATCGG</t>
  </si>
  <si>
    <t xml:space="preserve">JL-043-03</t>
  </si>
  <si>
    <t xml:space="preserve">dac_B3_P1_03</t>
  </si>
  <si>
    <t xml:space="preserve">GTCCCTGCCTCTATATCTTTTCCTCGTATGCTGCTCTACAATTCT</t>
  </si>
  <si>
    <t xml:space="preserve">dac_B3_P2_03</t>
  </si>
  <si>
    <t xml:space="preserve">CGCAACCTTTCGAGATGTTTTACGATTCCACTCAACTTTAACCCG</t>
  </si>
  <si>
    <t xml:space="preserve">B3_P1(dac)_3</t>
  </si>
  <si>
    <t xml:space="preserve">B3_P2(dac)_3</t>
  </si>
  <si>
    <t xml:space="preserve">TCCTCGTATGCTGCTCTACAATTCT</t>
  </si>
  <si>
    <t xml:space="preserve">CGCAACCTTTCGAGATGTTTTACGA</t>
  </si>
  <si>
    <t xml:space="preserve">JL-043-04</t>
  </si>
  <si>
    <t xml:space="preserve">dac_B3_P1_04</t>
  </si>
  <si>
    <t xml:space="preserve">GTCCCTGCCTCTATATCTTTCTTGTCCATTGCTATAACACGTTCA</t>
  </si>
  <si>
    <t xml:space="preserve">dac_B3_P2_04</t>
  </si>
  <si>
    <t xml:space="preserve">CGAACCATTATGTGAACCCTCGCGCTTCCACTCAACTTTAACCCG</t>
  </si>
  <si>
    <t xml:space="preserve">B3_P1(dac)_4</t>
  </si>
  <si>
    <t xml:space="preserve">B3_P2(dac)_4</t>
  </si>
  <si>
    <t xml:space="preserve">CTTGTCCATTGCTATAACACGTTCA</t>
  </si>
  <si>
    <t xml:space="preserve">CGAACCATTATGTGAACCCTCGCGC</t>
  </si>
  <si>
    <t xml:space="preserve">JL-043-05</t>
  </si>
  <si>
    <t xml:space="preserve">dac_B3_P1_05</t>
  </si>
  <si>
    <t xml:space="preserve">GTCCCTGCCTCTATATCTTTAGCCTGACTTCGAAAGGTTCAGCAC</t>
  </si>
  <si>
    <t xml:space="preserve">dac_B3_P2_05</t>
  </si>
  <si>
    <t xml:space="preserve">CCCGCTCGGACCGCTCGCGCTCACCTTCCACTCAACTTTAACCCG</t>
  </si>
  <si>
    <t xml:space="preserve">B3_P1(dac)_5</t>
  </si>
  <si>
    <t xml:space="preserve">B3_P2(dac)_5</t>
  </si>
  <si>
    <t xml:space="preserve">AGCCTGACTTCGAAAGGTTCAGCAC</t>
  </si>
  <si>
    <t xml:space="preserve">CCCGCTCGGACCGCTCGCGCTCACC</t>
  </si>
  <si>
    <t xml:space="preserve">JL-043-06</t>
  </si>
  <si>
    <t xml:space="preserve">dac_B3_P1_06</t>
  </si>
  <si>
    <t xml:space="preserve">GTCCCTGCCTCTATATCTTTCGCCCGCTCGCCGAGCCTTCGCCCC</t>
  </si>
  <si>
    <t xml:space="preserve">dac_B3_P2_06</t>
  </si>
  <si>
    <t xml:space="preserve">GGCGTGCGGCGCGAGGCGGCCGAGCTTCCACTCAACTTTAACCCG</t>
  </si>
  <si>
    <t xml:space="preserve">B3_P1(dac)_6</t>
  </si>
  <si>
    <t xml:space="preserve">B3_P2(dac)_6</t>
  </si>
  <si>
    <t xml:space="preserve">CGCCCGCTCGCCGAGCCTTCGCCCC</t>
  </si>
  <si>
    <t xml:space="preserve">GGCGTGCGGCGCGAGGCGGCCGAGC</t>
  </si>
  <si>
    <t xml:space="preserve">JL-043-07</t>
  </si>
  <si>
    <t xml:space="preserve">dac_B3_P1_07</t>
  </si>
  <si>
    <t xml:space="preserve">GTCCCTGCCTCTATATCTTTCATCCTCGTCTTTGACGTTATGGTC</t>
  </si>
  <si>
    <t xml:space="preserve">dac_B3_P2_07</t>
  </si>
  <si>
    <t xml:space="preserve">GGTCTCGTTCACCATCGCTGAGATCTTCCACTCAACTTTAACCCG</t>
  </si>
  <si>
    <t xml:space="preserve">B3_P1(dac)_8</t>
  </si>
  <si>
    <t xml:space="preserve">B3_P2(dac)_8</t>
  </si>
  <si>
    <t xml:space="preserve">CATCCTCGTCTTTGACGTTATGGTC</t>
  </si>
  <si>
    <t xml:space="preserve">GGTCTCGTTCACCATCGCTGAGATC</t>
  </si>
  <si>
    <t xml:space="preserve">JL-043-08</t>
  </si>
  <si>
    <t xml:space="preserve">dac_B3_P1_08</t>
  </si>
  <si>
    <t xml:space="preserve">GTCCCTGCCTCTATATCTTTGAGGAGGGTCTCGGTGGAGGAGACC</t>
  </si>
  <si>
    <t xml:space="preserve">dac_B3_P2_08</t>
  </si>
  <si>
    <t xml:space="preserve">TACTTTGAGGAGGCCCTGGATGTTCTTCCACTCAACTTTAACCCG</t>
  </si>
  <si>
    <t xml:space="preserve">B3_P1(dac)_10</t>
  </si>
  <si>
    <t xml:space="preserve">B3_P2(dac)_10</t>
  </si>
  <si>
    <t xml:space="preserve">GAGGAGGGTCTCGGTGGAGGAGACC</t>
  </si>
  <si>
    <t xml:space="preserve">TACTTTGAGGAGGCCCTGGATGTTC</t>
  </si>
  <si>
    <t xml:space="preserve">JL-043-09</t>
  </si>
  <si>
    <t xml:space="preserve">dac_B3_P1_09</t>
  </si>
  <si>
    <t xml:space="preserve">GTCCCTGCCTCTATATCTTTCGTAACTGATTTGCCGTTCTTGTTG</t>
  </si>
  <si>
    <t xml:space="preserve">dac_B3_P2_09</t>
  </si>
  <si>
    <t xml:space="preserve">ACACGTCCATTTTTAGTTCCGCTTTTTCCACTCAACTTTAACCCG</t>
  </si>
  <si>
    <t xml:space="preserve">B3_P1(dac)_11</t>
  </si>
  <si>
    <t xml:space="preserve">B3_P2(dac)_11</t>
  </si>
  <si>
    <t xml:space="preserve">CGTAACTGATTTGCCGTTCTTGTTG</t>
  </si>
  <si>
    <t xml:space="preserve">ACACGTCCATTTTTAGTTCCGCTTT</t>
  </si>
  <si>
    <t xml:space="preserve">JL-043-10</t>
  </si>
  <si>
    <t xml:space="preserve">dac_B3_P1_10</t>
  </si>
  <si>
    <t xml:space="preserve">GTCCCTGCCTCTATATCTTTAGTAACTGTCTTTCCAGGTTGTCTT</t>
  </si>
  <si>
    <t xml:space="preserve">dac_B3_P2_10</t>
  </si>
  <si>
    <t xml:space="preserve">TACATTACTCTCATTTTTTGTTCGTTTCCACTCAACTTTAACCCG</t>
  </si>
  <si>
    <t xml:space="preserve">B3_P1(dac)_12</t>
  </si>
  <si>
    <t xml:space="preserve">B3_P2(dac)_12</t>
  </si>
  <si>
    <t xml:space="preserve">AGTAACTGTCTTTCCAGGTTGTCTT</t>
  </si>
  <si>
    <t xml:space="preserve">TACATTACTCTCATTTTTTGTTCGT</t>
  </si>
  <si>
    <t xml:space="preserve">JL-043-11</t>
  </si>
  <si>
    <t xml:space="preserve">dac_B3_P1_11</t>
  </si>
  <si>
    <t xml:space="preserve">GTCCCTGCCTCTATATCTTTAATTTGTTGCCTCTGCTTTCTTTCT</t>
  </si>
  <si>
    <t xml:space="preserve">dac_B3_P2_11</t>
  </si>
  <si>
    <t xml:space="preserve">TTTTAACTCCAATTCTAATTGGTCTTTCCACTCAACTTTAACCCG</t>
  </si>
  <si>
    <t xml:space="preserve">B3_P1(dac)_13</t>
  </si>
  <si>
    <t xml:space="preserve">B3_P2(dac)_13</t>
  </si>
  <si>
    <t xml:space="preserve">AATTTGTTGCCTCTGCTTTCTTTCT</t>
  </si>
  <si>
    <t xml:space="preserve">TTTTAACTCCAATTCTAATTGGTCT</t>
  </si>
  <si>
    <t xml:space="preserve">JL-043-12</t>
  </si>
  <si>
    <t xml:space="preserve">dac_B3_P1_12</t>
  </si>
  <si>
    <t xml:space="preserve">GTCCCTGCCTCTATATCTTTGCGCTCCTGACTGCTTTAGTGCTTC</t>
  </si>
  <si>
    <t xml:space="preserve">dac_B3_P2_12</t>
  </si>
  <si>
    <t xml:space="preserve">CAGTTACTATTCTCAGAATTTCACCTTCCACTCAACTTTAACCCG</t>
  </si>
  <si>
    <t xml:space="preserve">B3_P1(dac)_14</t>
  </si>
  <si>
    <t xml:space="preserve">B3_P2(dac)_14</t>
  </si>
  <si>
    <t xml:space="preserve">GCGCTCCTGACTGCTTTAGTGCTTC</t>
  </si>
  <si>
    <t xml:space="preserve">CAGTTACTATTCTCAGAATTTCACC</t>
  </si>
  <si>
    <t xml:space="preserve">JL-043-13</t>
  </si>
  <si>
    <t xml:space="preserve">dac_B3_P1_13</t>
  </si>
  <si>
    <t xml:space="preserve">GTCCCTGCCTCTATATCTTTTTCTCACGTTCGCGATTTTCTTGGG</t>
  </si>
  <si>
    <t xml:space="preserve">dac_B3_P2_13</t>
  </si>
  <si>
    <t xml:space="preserve">GTACTTGGCGGTTTGCTCTCTGTACTTCCACTCAACTTTAACCCG</t>
  </si>
  <si>
    <t xml:space="preserve">B3_P1(dac)_15</t>
  </si>
  <si>
    <t xml:space="preserve">B3_P2(dac)_15</t>
  </si>
  <si>
    <t xml:space="preserve">TTCTCACGTTCGCGATTTTCTTGGG</t>
  </si>
  <si>
    <t xml:space="preserve">GTACTTGGCGGTTTGCTCTCTGTAC</t>
  </si>
  <si>
    <t xml:space="preserve">JL-044-01</t>
  </si>
  <si>
    <t xml:space="preserve">delta_B3_P1_01</t>
  </si>
  <si>
    <t xml:space="preserve">GTCCCTGCCTCTATATCTTTTGAATCCTTGCACGTTAATGTTGGG</t>
  </si>
  <si>
    <t xml:space="preserve">delta_B3_P2_01</t>
  </si>
  <si>
    <t xml:space="preserve">AATCGAAGGGGAAGACGATGGGATTTTCCACTCAACTTTAACCCG</t>
  </si>
  <si>
    <t xml:space="preserve">B3_P1(delta)_1</t>
  </si>
  <si>
    <t xml:space="preserve">B3_P2(delta)_1</t>
  </si>
  <si>
    <t xml:space="preserve">TGAATCCTTGCACGTTAATGTTGGG</t>
  </si>
  <si>
    <t xml:space="preserve">AATCGAAGGGGAAGACGATGGGATT</t>
  </si>
  <si>
    <t xml:space="preserve">Jeriel_HCRoligosequences › delta</t>
  </si>
  <si>
    <t xml:space="preserve">JL-044-02</t>
  </si>
  <si>
    <t xml:space="preserve">delta_B3_P1_02</t>
  </si>
  <si>
    <t xml:space="preserve">GTCCCTGCCTCTATATCTTTTGCCACGCTTCGACTATCAGAGAGA</t>
  </si>
  <si>
    <t xml:space="preserve">delta_B3_P2_02</t>
  </si>
  <si>
    <t xml:space="preserve">TCTGATCTTGACGTTTCGTTCGAATTTCCACTCAACTTTAACCCG</t>
  </si>
  <si>
    <t xml:space="preserve">B3_P1(delta)_2</t>
  </si>
  <si>
    <t xml:space="preserve">B3_P2(delta)_2</t>
  </si>
  <si>
    <t xml:space="preserve">TGCCACGCTTCGACTATCAGAGAGA</t>
  </si>
  <si>
    <t xml:space="preserve">TCTGATCTTGACGTTTCGTTCGAAT</t>
  </si>
  <si>
    <t xml:space="preserve">JL-044-03</t>
  </si>
  <si>
    <t xml:space="preserve">delta_B3_P1_03</t>
  </si>
  <si>
    <t xml:space="preserve">GTCCCTGCCTCTATATCTTTGTCGGCTATACTCTGCTTCGTCATC</t>
  </si>
  <si>
    <t xml:space="preserve">delta_B3_P2_03</t>
  </si>
  <si>
    <t xml:space="preserve">GTCCTCCTCGATCCACGGGCCTCCGTTCCACTCAACTTTAACCCG</t>
  </si>
  <si>
    <t xml:space="preserve">B3_P1(delta)_3</t>
  </si>
  <si>
    <t xml:space="preserve">B3_P2(delta)_3</t>
  </si>
  <si>
    <t xml:space="preserve">GTCGGCTATACTCTGCTTCGTCATC</t>
  </si>
  <si>
    <t xml:space="preserve">GTCCTCCTCGATCCACGGGCCTCCG</t>
  </si>
  <si>
    <t xml:space="preserve">JL-044-04</t>
  </si>
  <si>
    <t xml:space="preserve">delta_B3_P1_04</t>
  </si>
  <si>
    <t xml:space="preserve">GTCCCTGCCTCTATATCTTTAGGAAAGCTTCAGATGCACCCCTCC</t>
  </si>
  <si>
    <t xml:space="preserve">delta_B3_P2_04</t>
  </si>
  <si>
    <t xml:space="preserve">AGTAATGCGCCGCACAAGTCACTCGTTCCACTCAACTTTAACCCG</t>
  </si>
  <si>
    <t xml:space="preserve">B3_P1(delta)_4</t>
  </si>
  <si>
    <t xml:space="preserve">B3_P2(delta)_4</t>
  </si>
  <si>
    <t xml:space="preserve">AGGAAAGCTTCAGATGCACCCCTCC</t>
  </si>
  <si>
    <t xml:space="preserve">AGTAATGCGCCGCACAAGTCACTCG</t>
  </si>
  <si>
    <t xml:space="preserve">JL-044-05</t>
  </si>
  <si>
    <t xml:space="preserve">delta_B3_P1_05</t>
  </si>
  <si>
    <t xml:space="preserve">GTCCCTGCCTCTATATCTTTGCGTCGTCTCTCGGCCTACAGAGCA</t>
  </si>
  <si>
    <t xml:space="preserve">delta_B3_P2_05</t>
  </si>
  <si>
    <t xml:space="preserve">GTTGGAGAACAGGTGTAGTGACCAATTCCACTCAACTTTAACCCG</t>
  </si>
  <si>
    <t xml:space="preserve">B3_P1(delta)_5</t>
  </si>
  <si>
    <t xml:space="preserve">B3_P2(delta)_5</t>
  </si>
  <si>
    <t xml:space="preserve">GCGTCGTCTCTCGGCCTACAGAGCA</t>
  </si>
  <si>
    <t xml:space="preserve">GTTGGAGAACAGGTGTAGTGACCAA</t>
  </si>
  <si>
    <t xml:space="preserve">JL-044-06</t>
  </si>
  <si>
    <t xml:space="preserve">delta_B3_P1_06</t>
  </si>
  <si>
    <t xml:space="preserve">GTCCCTGCCTCTATATCTTTGCAGTATTGGGCGGTCCATCCAGGC</t>
  </si>
  <si>
    <t xml:space="preserve">delta_B3_P2_06</t>
  </si>
  <si>
    <t xml:space="preserve">GCAGCCGGGCAGGCATCTCGGTTTCTTCCACTCAACTTTAACCCG</t>
  </si>
  <si>
    <t xml:space="preserve">B3_P1(delta)_6</t>
  </si>
  <si>
    <t xml:space="preserve">B3_P2(delta)_6</t>
  </si>
  <si>
    <t xml:space="preserve">GCAGTATTGGGCGGTCCATCCAGGC</t>
  </si>
  <si>
    <t xml:space="preserve">GCAGCCGGGCAGGCATCTCGGTTTC</t>
  </si>
  <si>
    <t xml:space="preserve">JL-044-07</t>
  </si>
  <si>
    <t xml:space="preserve">delta_B3_P1_07</t>
  </si>
  <si>
    <t xml:space="preserve">GTCCCTGCCTCTATATCTTTATATGCACTCGTCGGGCTTGAGGCA</t>
  </si>
  <si>
    <t xml:space="preserve">delta_B3_P2_07</t>
  </si>
  <si>
    <t xml:space="preserve">ACAGCTCGCCCACCCAGCCGGAGTGTTCCACTCAACTTTAACCCG</t>
  </si>
  <si>
    <t xml:space="preserve">B3_P1(delta)_7</t>
  </si>
  <si>
    <t xml:space="preserve">B3_P2(delta)_7</t>
  </si>
  <si>
    <t xml:space="preserve">ATATGCACTCGTCGGGCTTGAGGCA</t>
  </si>
  <si>
    <t xml:space="preserve">ACAGCTCGCCCACCCAGCCGGAGTG</t>
  </si>
  <si>
    <t xml:space="preserve">JL-044-08</t>
  </si>
  <si>
    <t xml:space="preserve">delta_B3_P1_08</t>
  </si>
  <si>
    <t xml:space="preserve">GTCCCTGCCTCTATATCTTTCAGGTGCCGTGCACGCAGCCGGGGT</t>
  </si>
  <si>
    <t xml:space="preserve">delta_B3_P2_08</t>
  </si>
  <si>
    <t xml:space="preserve">TCGCAGATGCAGTCCCAGGGCTTGGTTCCACTCAACTTTAACCCG</t>
  </si>
  <si>
    <t xml:space="preserve">B3_P1(delta)_8</t>
  </si>
  <si>
    <t xml:space="preserve">B3_P2(delta)_8</t>
  </si>
  <si>
    <t xml:space="preserve">CAGGTGCCGTGCACGCAGCCGGGGT</t>
  </si>
  <si>
    <t xml:space="preserve">TCGCAGATGCAGTCCCAGGGCTTGG</t>
  </si>
  <si>
    <t xml:space="preserve">JL-045-01</t>
  </si>
  <si>
    <t xml:space="preserve">drm_B3_P1_01</t>
  </si>
  <si>
    <t xml:space="preserve">GTCCCTGCCTCTATATCTTTATCCTCGTCGATTTGCATCACGGCG</t>
  </si>
  <si>
    <t xml:space="preserve">drm_B3_P2_01</t>
  </si>
  <si>
    <t xml:space="preserve">CAGCTTACGCCTGAAGTCCCTGGTGTTCCACTCAACTTTAACCCG</t>
  </si>
  <si>
    <t xml:space="preserve">B3_P1(drm)_1</t>
  </si>
  <si>
    <t xml:space="preserve">B3_P2(drm)_1</t>
  </si>
  <si>
    <t xml:space="preserve">JL-045-02</t>
  </si>
  <si>
    <t xml:space="preserve">drm_B3_P1_02</t>
  </si>
  <si>
    <t xml:space="preserve">GTCCCTGCCTCTATATCTTTACCGACGTTGGCAATACTTGCAGAC</t>
  </si>
  <si>
    <t xml:space="preserve">drm_B3_P2_02</t>
  </si>
  <si>
    <t xml:space="preserve">GTATCATCAGGTTGTAGGACTTGGTTTCCACTCAACTTTAACCCG</t>
  </si>
  <si>
    <t xml:space="preserve">B3_P1(drm)_2</t>
  </si>
  <si>
    <t xml:space="preserve">B3_P2(drm)_2</t>
  </si>
  <si>
    <t xml:space="preserve">JL-045-03</t>
  </si>
  <si>
    <t xml:space="preserve">drm_B3_P1_03</t>
  </si>
  <si>
    <t xml:space="preserve">GTCCCTGCCTCTATATCTTTTCGCAGCTGAAGCTCAGCTCGGGGC</t>
  </si>
  <si>
    <t xml:space="preserve">drm_B3_P2_03</t>
  </si>
  <si>
    <t xml:space="preserve">TGCCTTTTGAAGCTCTTCCCACAGATTCCACTCAACTTTAACCCG</t>
  </si>
  <si>
    <t xml:space="preserve">B3_P1(drm)_3</t>
  </si>
  <si>
    <t xml:space="preserve">B3_P2(drm)_3</t>
  </si>
  <si>
    <t xml:space="preserve">JL-046-01</t>
  </si>
  <si>
    <t xml:space="preserve">escargot-SNAI2_B3_P1_01</t>
  </si>
  <si>
    <t xml:space="preserve">GTCCCTGCCTCTATATCTTTGTTGCTGGGACCACTCCTTCGGCTC</t>
  </si>
  <si>
    <t xml:space="preserve">escargot-SNAI2_B3_P2_01</t>
  </si>
  <si>
    <t xml:space="preserve">CGCGACACGCGGCGAGGTAGTCCAGTTCCACTCAACTTTAACCCG</t>
  </si>
  <si>
    <t xml:space="preserve">B3_P1(SNAI2)_1</t>
  </si>
  <si>
    <t xml:space="preserve">B3_P2(SNAI2)_1</t>
  </si>
  <si>
    <t xml:space="preserve">GTTGCTGGGACCACTCCTTCGGCTC</t>
  </si>
  <si>
    <t xml:space="preserve">CGCGACACGCGGCGAGGTAGTCCAG</t>
  </si>
  <si>
    <t xml:space="preserve">Jeriel_HCRoligosequences › escargot (SNAI2)</t>
  </si>
  <si>
    <t xml:space="preserve">JL-046-02</t>
  </si>
  <si>
    <t xml:space="preserve">escargot-SNAI2_B3_P1_02</t>
  </si>
  <si>
    <t xml:space="preserve">GTCCCTGCCTCTATATCTTTGGGGTCGGCCGAGGGAGCTCCGTGG</t>
  </si>
  <si>
    <t xml:space="preserve">escargot-SNAI2_B3_P2_02</t>
  </si>
  <si>
    <t xml:space="preserve">TAGAGGGTGGGCAAGTAGGCGTACTTTCCACTCAACTTTAACCCG</t>
  </si>
  <si>
    <t xml:space="preserve">B3_P1(SNAI2)_2</t>
  </si>
  <si>
    <t xml:space="preserve">B3_P2(SNAI2)_2</t>
  </si>
  <si>
    <t xml:space="preserve">GGGGTCGGCCGAGGGAGCTCCGTGG</t>
  </si>
  <si>
    <t xml:space="preserve">TAGAGGGTGGGCAAGTAGGCGTACT</t>
  </si>
  <si>
    <t xml:space="preserve">JL-046-03</t>
  </si>
  <si>
    <t xml:space="preserve">escargot-SNAI2_B3_P1_03</t>
  </si>
  <si>
    <t xml:space="preserve">GTCCCTGCCTCTATATCTTTGGCTGGGGCGGCGGGGTACAGCTCC</t>
  </si>
  <si>
    <t xml:space="preserve">escargot-SNAI2_B3_P2_03</t>
  </si>
  <si>
    <t xml:space="preserve">CACCTGTGGGTGCGCCGGGGGAGACTTCCACTCAACTTTAACCCG</t>
  </si>
  <si>
    <t xml:space="preserve">B3_P1(SNAI2)_3</t>
  </si>
  <si>
    <t xml:space="preserve">B3_P2(SNAI2)_3</t>
  </si>
  <si>
    <t xml:space="preserve">GGCTGGGGCGGCGGGGTACAGCTCC</t>
  </si>
  <si>
    <t xml:space="preserve">CACCTGTGGGTGCGCCGGGGGAGAC</t>
  </si>
  <si>
    <t xml:space="preserve">JL-046-04</t>
  </si>
  <si>
    <t xml:space="preserve">escargot-SNAI2_B3_P1_04</t>
  </si>
  <si>
    <t xml:space="preserve">GTCCCTGCCTCTATATCTTTGCGAACAGGACGAAGGCGGTGAGGC</t>
  </si>
  <si>
    <t xml:space="preserve">escargot-SNAI2_B3_P2_04</t>
  </si>
  <si>
    <t xml:space="preserve">AACGGAGATCTTCTGGGCAAGGGGGTTCCACTCAACTTTAACCCG</t>
  </si>
  <si>
    <t xml:space="preserve">B3_P1(SNAI2)_4</t>
  </si>
  <si>
    <t xml:space="preserve">B3_P2(SNAI2)_4</t>
  </si>
  <si>
    <t xml:space="preserve">GCGAACAGGACGAAGGCGGTGAGGC</t>
  </si>
  <si>
    <t xml:space="preserve">AACGGAGATCTTCTGGGCAAGGGGG</t>
  </si>
  <si>
    <t xml:space="preserve">JL-046-05</t>
  </si>
  <si>
    <t xml:space="preserve">escargot-SNAI2_B3_P1_05</t>
  </si>
  <si>
    <t xml:space="preserve">GTCCCTGCCTCTATATCTTTGCAGACACTGATACTCCGGAGTCTG</t>
  </si>
  <si>
    <t xml:space="preserve">escargot-SNAI2_B3_P2_05</t>
  </si>
  <si>
    <t xml:space="preserve">GGGCACTGGTAGCGGGGACGACGAGTTCCACTCAACTTTAACCCG</t>
  </si>
  <si>
    <t xml:space="preserve">B3_P1(SNAI2)_5</t>
  </si>
  <si>
    <t xml:space="preserve">B3_P2(SNAI2)_5</t>
  </si>
  <si>
    <t xml:space="preserve">GCAGACACTGATACTCCGGAGTCTG</t>
  </si>
  <si>
    <t xml:space="preserve">GGGCACTGGTAGCGGGGACGACGAG</t>
  </si>
  <si>
    <t xml:space="preserve">JL-046-06</t>
  </si>
  <si>
    <t xml:space="preserve">escargot-SNAI2_B3_P1_06</t>
  </si>
  <si>
    <t xml:space="preserve">GTCCCTGCCTCTATATCTTTTTTCGAAAGTCCCGAATACGTGGAG</t>
  </si>
  <si>
    <t xml:space="preserve">escargot-SNAI2_B3_P2_06</t>
  </si>
  <si>
    <t xml:space="preserve">GGCCGCCGCGCAGTGGTATTGCTGGTTCCACTCAACTTTAACCCG</t>
  </si>
  <si>
    <t xml:space="preserve">B3_P1(SNAI2)_6</t>
  </si>
  <si>
    <t xml:space="preserve">B3_P2(SNAI2)_6</t>
  </si>
  <si>
    <t xml:space="preserve">TTTCGAAAGTCCCGAATACGTGGAG</t>
  </si>
  <si>
    <t xml:space="preserve">GGCCGCCGCGCAGTGGTATTGCTGG</t>
  </si>
  <si>
    <t xml:space="preserve">JL-047-01</t>
  </si>
  <si>
    <t xml:space="preserve">fringe_B3_P1_01</t>
  </si>
  <si>
    <t xml:space="preserve">GTCCCTGCCTCTATATCTTTACTGATAAAACTTAGTTGTCTTTAC</t>
  </si>
  <si>
    <t xml:space="preserve">fringe_B3_P2_01</t>
  </si>
  <si>
    <t xml:space="preserve">TCTTCAAAATTATCGGCAACCTCGATTCCACTCAACTTTAACCCG</t>
  </si>
  <si>
    <t xml:space="preserve">B3_P1(fringe)_1</t>
  </si>
  <si>
    <t xml:space="preserve">B3_P2(fringe)_1</t>
  </si>
  <si>
    <t xml:space="preserve">ACTGATAAAACTTAGTTGTCTTTAC</t>
  </si>
  <si>
    <t xml:space="preserve">TCTTCAAAATTATCGGCAACCTCGA</t>
  </si>
  <si>
    <t xml:space="preserve">JL-047-02</t>
  </si>
  <si>
    <t xml:space="preserve">fringe_B3_P1_02</t>
  </si>
  <si>
    <t xml:space="preserve">GTCCCTGCCTCTATATCTTTTCGGTGAAAAACCATGTCTGTTCTT</t>
  </si>
  <si>
    <t xml:space="preserve">fringe_B3_P2_02</t>
  </si>
  <si>
    <t xml:space="preserve">TGATTTTGGTGTCGTGGGTTGTCTGTTCCACTCAACTTTAACCCG</t>
  </si>
  <si>
    <t xml:space="preserve">B3_P1(fringe)_2</t>
  </si>
  <si>
    <t xml:space="preserve">B3_P2(fringe)_2</t>
  </si>
  <si>
    <t xml:space="preserve">TCGGTGAAAAACCATGTCTGTTCTT</t>
  </si>
  <si>
    <t xml:space="preserve">TGATTTTGGTGTCGTGGGTTGTCTG</t>
  </si>
  <si>
    <t xml:space="preserve">JL-047-03</t>
  </si>
  <si>
    <t xml:space="preserve">fringe_B3_P1_03</t>
  </si>
  <si>
    <t xml:space="preserve">GTCCCTGCCTCTATATCTTTGTGTGACGCCGAGCACTTCGTGTTT</t>
  </si>
  <si>
    <t xml:space="preserve">fringe_B3_P2_03</t>
  </si>
  <si>
    <t xml:space="preserve">CATTTTGCAACAGAGGTGTTTTAGCTTCCACTCAACTTTAACCCG</t>
  </si>
  <si>
    <t xml:space="preserve">B3_P1(fringe)_3</t>
  </si>
  <si>
    <t xml:space="preserve">B3_P2(fringe)_3</t>
  </si>
  <si>
    <t xml:space="preserve">GTGTGACGCCGAGCACTTCGTGTTT</t>
  </si>
  <si>
    <t xml:space="preserve">CATTTTGCAACAGAGGTGTTTTAGC</t>
  </si>
  <si>
    <t xml:space="preserve">JL-047-04</t>
  </si>
  <si>
    <t xml:space="preserve">fringe_B3_P1_04</t>
  </si>
  <si>
    <t xml:space="preserve">GTCCCTGCCTCTATATCTTTACCACTTTTTACCGCTCTCGAGAAA</t>
  </si>
  <si>
    <t xml:space="preserve">fringe_B3_P2_04</t>
  </si>
  <si>
    <t xml:space="preserve">CGTAGTTGTCATCGTCGAAGTGACATTCCACTCAACTTTAACCCG</t>
  </si>
  <si>
    <t xml:space="preserve">B3_P1(fringe)_4</t>
  </si>
  <si>
    <t xml:space="preserve">B3_P2(fringe)_4</t>
  </si>
  <si>
    <t xml:space="preserve">ACCACTTTTTACCGCTCTCGAGAAA</t>
  </si>
  <si>
    <t xml:space="preserve">CGTAGTTGTCATCGTCGAAGTGACA</t>
  </si>
  <si>
    <t xml:space="preserve">JL-047-05</t>
  </si>
  <si>
    <t xml:space="preserve">fringe_B3_P1_05</t>
  </si>
  <si>
    <t xml:space="preserve">GTCCCTGCCTCTATATCTTTTGATTGTACTTCTGCAGCACGGCGA</t>
  </si>
  <si>
    <t xml:space="preserve">fringe_B3_P2_05</t>
  </si>
  <si>
    <t xml:space="preserve">GTTTTCCCGAGATACCAGTCTTCTTTTCCACTCAACTTTAACCCG</t>
  </si>
  <si>
    <t xml:space="preserve">B3_P1(fringe)_5</t>
  </si>
  <si>
    <t xml:space="preserve">B3_P2(fringe)_5</t>
  </si>
  <si>
    <t xml:space="preserve">TGATTGTACTTCTGCAGCACGGCGA</t>
  </si>
  <si>
    <t xml:space="preserve">GTTTTCCCGAGATACCAGTCTTCTT</t>
  </si>
  <si>
    <t xml:space="preserve">JL-047-06</t>
  </si>
  <si>
    <t xml:space="preserve">fringe_B3_P1_06</t>
  </si>
  <si>
    <t xml:space="preserve">GTCCCTGCCTCTATATCTTTGTTGGTAGGCTTCTTGAACATATCT</t>
  </si>
  <si>
    <t xml:space="preserve">fringe_B3_P2_06</t>
  </si>
  <si>
    <t xml:space="preserve">TGCGAACCAAAAAGTGTATAATAACTTCCACTCAACTTTAACCCG</t>
  </si>
  <si>
    <t xml:space="preserve">B3_P1(fringe)_6</t>
  </si>
  <si>
    <t xml:space="preserve">B3_P2(fringe)_6</t>
  </si>
  <si>
    <t xml:space="preserve">GTTGGTAGGCTTCTTGAACATATCT</t>
  </si>
  <si>
    <t xml:space="preserve">TGCGAACCAAAAAGTGTATAATAAC</t>
  </si>
  <si>
    <t xml:space="preserve">JL-048-01</t>
  </si>
  <si>
    <t xml:space="preserve">hh_B3_P1_01</t>
  </si>
  <si>
    <t xml:space="preserve">GTCCCTGCCTCTATATCTTTATCCTTAAACTCTATGTCCGGGTTA</t>
  </si>
  <si>
    <t xml:space="preserve">hh_B3_P2_01</t>
  </si>
  <si>
    <t xml:space="preserve">GAGGCGGTCGGCTCCGGTGCCCTCGTTCCACTCAACTTTAACCCG</t>
  </si>
  <si>
    <t xml:space="preserve">B3_P1(hh1.1)_1</t>
  </si>
  <si>
    <t xml:space="preserve">B3_P2(hh1.1)_1</t>
  </si>
  <si>
    <t xml:space="preserve">ATCCTTAAACTCTATGTCCGGGTTA</t>
  </si>
  <si>
    <t xml:space="preserve">GAGGCGGTCGGCTCCGGTGCCCTCG</t>
  </si>
  <si>
    <t xml:space="preserve">Jeriel_HCRoligosequences › hh</t>
  </si>
  <si>
    <t xml:space="preserve">identical to Dragonaut9000 S143</t>
  </si>
  <si>
    <t xml:space="preserve">JL-048-02</t>
  </si>
  <si>
    <t xml:space="preserve">hh_B3_P1_02</t>
  </si>
  <si>
    <t xml:space="preserve">GTCCCTGCCTCTATATCTTTTGATGGCGAGCGTGTTCAACTTCTC</t>
  </si>
  <si>
    <t xml:space="preserve">hh_B3_P2_02</t>
  </si>
  <si>
    <t xml:space="preserve">GAACCCCCGGCCACTGGTTCATCACTTCCACTCAACTTTAACCCG</t>
  </si>
  <si>
    <t xml:space="preserve">B3_P1(hh1.1)_2</t>
  </si>
  <si>
    <t xml:space="preserve">B3_P2(hh1.1)_2</t>
  </si>
  <si>
    <t xml:space="preserve">TGATGGCGAGCGTGTTCAACTTCTC</t>
  </si>
  <si>
    <t xml:space="preserve">GAACCCCCGGCCACTGGTTCATCAC</t>
  </si>
  <si>
    <t xml:space="preserve">JL-048-03</t>
  </si>
  <si>
    <t xml:space="preserve">hh_B3_P1_03</t>
  </si>
  <si>
    <t xml:space="preserve">GTCCCTGCCTCTATATCTTTTGAGCCGAGTTCTCCTCGTCCCAGC</t>
  </si>
  <si>
    <t xml:space="preserve">hh_B3_P2_03</t>
  </si>
  <si>
    <t xml:space="preserve">CCCTCGTAGTGCAGTGAGTTTTCCATTCCACTCAACTTTAACCCG</t>
  </si>
  <si>
    <t xml:space="preserve">B3_P1(hh1.1)_3</t>
  </si>
  <si>
    <t xml:space="preserve">B3_P2(hh1.1)_3</t>
  </si>
  <si>
    <t xml:space="preserve">TGAGCCGAGTTCTCCTCGTCCCAGC</t>
  </si>
  <si>
    <t xml:space="preserve">CCCTCGTAGTGCAGTGAGTTTTCCA</t>
  </si>
  <si>
    <t xml:space="preserve">JL-048-04</t>
  </si>
  <si>
    <t xml:space="preserve">hh_B3_P1_04</t>
  </si>
  <si>
    <t xml:space="preserve">GTCCCTGCCTCTATATCTTTCTTGCTGCGATCCCGGTCGCTGGTG</t>
  </si>
  <si>
    <t xml:space="preserve">hh_B3_P2_04</t>
  </si>
  <si>
    <t xml:space="preserve">CACAGCAAGGCGTGCCAGCATGCCGTTCCACTCAACTTTAACCCG</t>
  </si>
  <si>
    <t xml:space="preserve">B3_P1(hh1.1)_4</t>
  </si>
  <si>
    <t xml:space="preserve">B3_P2(hh1.1)_4</t>
  </si>
  <si>
    <t xml:space="preserve">CTTGCTGCGATCCCGGTCGCTGGTG</t>
  </si>
  <si>
    <t xml:space="preserve">CACAGCAAGGCGTGCCAGCATGCCG</t>
  </si>
  <si>
    <t xml:space="preserve">JL-048-05</t>
  </si>
  <si>
    <t xml:space="preserve">hh_B3_P1_05</t>
  </si>
  <si>
    <t xml:space="preserve">GTCCCTGCCTCTATATCTTTTGTAGGACCGGCTCTCATAGAACAC</t>
  </si>
  <si>
    <t xml:space="preserve">hh_B3_P2_05</t>
  </si>
  <si>
    <t xml:space="preserve">ATGATTCTGTCTTGACAGAACAATGTTCCACTCAACTTTAACCCG</t>
  </si>
  <si>
    <t xml:space="preserve">B3_P1(hh1.1)_5</t>
  </si>
  <si>
    <t xml:space="preserve">B3_P2(hh1.1)_5</t>
  </si>
  <si>
    <t xml:space="preserve">TGTAGGACCGGCTCTCATAGAACAC</t>
  </si>
  <si>
    <t xml:space="preserve">ATGATTCTGTCTTGACAGAACAATG</t>
  </si>
  <si>
    <t xml:space="preserve">JL-048-06</t>
  </si>
  <si>
    <t xml:space="preserve">hh_B3_P1_06</t>
  </si>
  <si>
    <t xml:space="preserve">GTCCCTGCCTCTATATCTTTACAACAGACCCAGAAGGAAAACAAC</t>
  </si>
  <si>
    <t xml:space="preserve">hh_B3_P2_06</t>
  </si>
  <si>
    <t xml:space="preserve">ATGTCCCGAGGACCTTCTTCCGTGTTTCCACTCAACTTTAACCCG</t>
  </si>
  <si>
    <t xml:space="preserve">B3_P1(hh1.1)_6</t>
  </si>
  <si>
    <t xml:space="preserve">B3_P2(hh1.1)_6</t>
  </si>
  <si>
    <t xml:space="preserve">ACAACAGACCCAGAAGGAAAACAAC</t>
  </si>
  <si>
    <t xml:space="preserve">ATGTCCCGAGGACCTTCTTCCGTGT</t>
  </si>
  <si>
    <t xml:space="preserve">JL-048-07</t>
  </si>
  <si>
    <t xml:space="preserve">hh_B3_P1_07</t>
  </si>
  <si>
    <t xml:space="preserve">GTCCCTGCCTCTATATCTTTGTCATCTGCACCCAGAACTCGATCG</t>
  </si>
  <si>
    <t xml:space="preserve">hh_B3_P2_07</t>
  </si>
  <si>
    <t xml:space="preserve">AACCTCTGAATAGACCATCTTGCCATTCCACTCAACTTTAACCCG</t>
  </si>
  <si>
    <t xml:space="preserve">B3_P1(hh1.1)_7</t>
  </si>
  <si>
    <t xml:space="preserve">B3_P2(hh1.1)_7</t>
  </si>
  <si>
    <t xml:space="preserve">GTCATCTGCACCCAGAACTCGATCG</t>
  </si>
  <si>
    <t xml:space="preserve">AACCTCTGAATAGACCATCTTGCCA</t>
  </si>
  <si>
    <t xml:space="preserve">JL-048-08</t>
  </si>
  <si>
    <t xml:space="preserve">hh_B3_P1_08</t>
  </si>
  <si>
    <t xml:space="preserve">GTCCCTGCCTCTATATCTTTCGAACTGTCGCGTCGCGTTTGGTTC</t>
  </si>
  <si>
    <t xml:space="preserve">hh_B3_P2_08</t>
  </si>
  <si>
    <t xml:space="preserve">TCACGCCGTTCTCTGCTGTCACTTCTTCCACTCAACTTTAACCCG</t>
  </si>
  <si>
    <t xml:space="preserve">B3_P1(hh1.1)_8</t>
  </si>
  <si>
    <t xml:space="preserve">B3_P2(hh1.1)_8</t>
  </si>
  <si>
    <t xml:space="preserve">CGAACTGTCGCGTCGCGTTTGGTTC</t>
  </si>
  <si>
    <t xml:space="preserve">TCACGCCGTTCTCTGCTGTCACTTC</t>
  </si>
  <si>
    <t xml:space="preserve">JL-048-09</t>
  </si>
  <si>
    <t xml:space="preserve">hh_B3_P1_09</t>
  </si>
  <si>
    <t xml:space="preserve">GTCCCTGCCTCTATATCTTTGCGGCAGCTAGCAGCAGCAAATGTG</t>
  </si>
  <si>
    <t xml:space="preserve">hh_B3_P2_09</t>
  </si>
  <si>
    <t xml:space="preserve">GTGGCGAAGGACTCCCGCCATCCGTTTCCACTCAACTTTAACCCG</t>
  </si>
  <si>
    <t xml:space="preserve">B3_P1(hh1.1)_9</t>
  </si>
  <si>
    <t xml:space="preserve">B3_P2(hh1.1)_9</t>
  </si>
  <si>
    <t xml:space="preserve">GCGGCAGCTAGCAGCAGCAAATGTG</t>
  </si>
  <si>
    <t xml:space="preserve">GTGGCGAAGGACTCCCGCCATCCGT</t>
  </si>
  <si>
    <t xml:space="preserve">JL-048-10</t>
  </si>
  <si>
    <t xml:space="preserve">hh_B3_P1_10</t>
  </si>
  <si>
    <t xml:space="preserve">GTCCCTGCCTCTATATCTTTGCCCTGCCCTCTCGTCAGGAGGACG</t>
  </si>
  <si>
    <t xml:space="preserve">hh_B3_P2_10</t>
  </si>
  <si>
    <t xml:space="preserve">GACAACTCTCGACGGTCGCATGACGTTCCACTCAACTTTAACCCG</t>
  </si>
  <si>
    <t xml:space="preserve">B3_P1(hh1.1)_10</t>
  </si>
  <si>
    <t xml:space="preserve">B3_P2(hh1.1)_10</t>
  </si>
  <si>
    <t xml:space="preserve">GCCCTGCCCTCTCGTCAGGAGGACG</t>
  </si>
  <si>
    <t xml:space="preserve">GACAACTCTCGACGGTCGCATGACG</t>
  </si>
  <si>
    <t xml:space="preserve">JL-048-11</t>
  </si>
  <si>
    <t xml:space="preserve">hh_B3_P1_11</t>
  </si>
  <si>
    <t xml:space="preserve">GTCCCTGCCTCTATATCTTTTGAGGGGTGCATAAACCCCTCTCTT</t>
  </si>
  <si>
    <t xml:space="preserve">hh_B3_P2_11</t>
  </si>
  <si>
    <t xml:space="preserve">CGTCTACAATGATAGTCCCTGTCCTTTCCACTCAACTTTAACCCG</t>
  </si>
  <si>
    <t xml:space="preserve">B3_P1(hh1.1)_11</t>
  </si>
  <si>
    <t xml:space="preserve">B3_P2(hh1.1)_11</t>
  </si>
  <si>
    <t xml:space="preserve">TGAGGGGTGCATAAACCCCTCTCTT</t>
  </si>
  <si>
    <t xml:space="preserve">CGTCTACAATGATAGTCCCTGTCCT</t>
  </si>
  <si>
    <t xml:space="preserve">JL-048-12</t>
  </si>
  <si>
    <t xml:space="preserve">hh_B3_P1_12</t>
  </si>
  <si>
    <t xml:space="preserve">GTCCCTGCCTCTATATCTTTAGAGCATGGCTTCGCACGAGAGCGT</t>
  </si>
  <si>
    <t xml:space="preserve">hh_B3_P2_12</t>
  </si>
  <si>
    <t xml:space="preserve">CGCAGTGGAGCCATTGCAGCGTGCGTTCCACTCAACTTTAACCCG</t>
  </si>
  <si>
    <t xml:space="preserve">B3_P1(hh1.1)_12</t>
  </si>
  <si>
    <t xml:space="preserve">B3_P2(hh1.1)_12</t>
  </si>
  <si>
    <t xml:space="preserve">AGAGCATGGCTTCGCACGAGAGCGT</t>
  </si>
  <si>
    <t xml:space="preserve">CGCAGTGGAGCCATTGCAGCGTGCG</t>
  </si>
  <si>
    <t xml:space="preserve">JL-049-01</t>
  </si>
  <si>
    <t xml:space="preserve">notch-1_B3_P1_01</t>
  </si>
  <si>
    <t xml:space="preserve">GTCCCTGCCTCTATATCTTTTGTGGCCGCTAAGGTGGTCAGCAGG</t>
  </si>
  <si>
    <t xml:space="preserve">notch-1_B3_P2_01</t>
  </si>
  <si>
    <t xml:space="preserve">CGACACGAAACCTTCGGCTCCTTGGTTCCACTCAACTTTAACCCG</t>
  </si>
  <si>
    <t xml:space="preserve">B3_P1(notch1)_2</t>
  </si>
  <si>
    <t xml:space="preserve">B3_P2(notch1)_2</t>
  </si>
  <si>
    <t xml:space="preserve">TGTGGCCGCTAAGGTGGTCAGCAGG</t>
  </si>
  <si>
    <t xml:space="preserve">CGACACGAAACCTTCGGCTCCTTGG</t>
  </si>
  <si>
    <t xml:space="preserve">Jeriel_HCRoligosequences › notch_1</t>
  </si>
  <si>
    <t xml:space="preserve">JL-049-02</t>
  </si>
  <si>
    <t xml:space="preserve">notch-1_B3_P1_02</t>
  </si>
  <si>
    <t xml:space="preserve">GTCCCTGCCTCTATATCTTTTAGAGAGACACGTTCCACTATTTTT</t>
  </si>
  <si>
    <t xml:space="preserve">notch-1_B3_P2_02</t>
  </si>
  <si>
    <t xml:space="preserve">AATTGCAAAAATACTCCCCCCGCGTTTCCACTCAACTTTAACCCG</t>
  </si>
  <si>
    <t xml:space="preserve">B3_P1(notch1)_3</t>
  </si>
  <si>
    <t xml:space="preserve">B3_P2(notch1)_3</t>
  </si>
  <si>
    <t xml:space="preserve">TAGAGAGACACGTTCCACTATTTTT</t>
  </si>
  <si>
    <t xml:space="preserve">AATTGCAAAAATACTCCCCCCGCGT</t>
  </si>
  <si>
    <t xml:space="preserve">JL-049-03</t>
  </si>
  <si>
    <t xml:space="preserve">notch-1_B3_P1_03</t>
  </si>
  <si>
    <t xml:space="preserve">GTCCCTGCCTCTATATCTTTGGGTTGAGATGCTGGCAGAACTCGC</t>
  </si>
  <si>
    <t xml:space="preserve">notch-1_B3_P2_03</t>
  </si>
  <si>
    <t xml:space="preserve">CACCGAGGGCTTGATTCGCTGTGGCTTCCACTCAACTTTAACCCG</t>
  </si>
  <si>
    <t xml:space="preserve">B3_P1(notch1)_4</t>
  </si>
  <si>
    <t xml:space="preserve">B3_P2(notch1)_4</t>
  </si>
  <si>
    <t xml:space="preserve">GGGTTGAGATGCTGGCAGAACTCGC</t>
  </si>
  <si>
    <t xml:space="preserve">CACCGAGGGCTTGATTCGCTGTGGC</t>
  </si>
  <si>
    <t xml:space="preserve">JL-049-04</t>
  </si>
  <si>
    <t xml:space="preserve">notch-1_B3_P1_04</t>
  </si>
  <si>
    <t xml:space="preserve">GTCCCTGCCTCTATATCTTTTCCCCCGGCGCCGGGCCTGACCCTG</t>
  </si>
  <si>
    <t xml:space="preserve">notch-1_B3_P2_04</t>
  </si>
  <si>
    <t xml:space="preserve">GCAGTCGCAGGCGAAGGAGGGCGGGTTCCACTCAACTTTAACCCG</t>
  </si>
  <si>
    <t xml:space="preserve">B3_P1(notch1)_5</t>
  </si>
  <si>
    <t xml:space="preserve">B3_P2(notch1)_5</t>
  </si>
  <si>
    <t xml:space="preserve">TCCCCCGGCGCCGGGCCTGACCCTG</t>
  </si>
  <si>
    <t xml:space="preserve">GCAGTCGCAGGCGAAGGAGGGCGGG</t>
  </si>
  <si>
    <t xml:space="preserve">JL-049-05</t>
  </si>
  <si>
    <t xml:space="preserve">notch-1_B3_P1_05</t>
  </si>
  <si>
    <t xml:space="preserve">GTCCCTGCCTCTATATCTTTCAGGCACTCTTATCTCGCACAACGA</t>
  </si>
  <si>
    <t xml:space="preserve">notch-1_B3_P2_05</t>
  </si>
  <si>
    <t xml:space="preserve">TCAAACACGGAGCGGAGTCACACGCTTCCACTCAACTTTAACCCG</t>
  </si>
  <si>
    <t xml:space="preserve">B3_P1(notch1)_6</t>
  </si>
  <si>
    <t xml:space="preserve">B3_P2(notch1)_6</t>
  </si>
  <si>
    <t xml:space="preserve">CAGGCACTCTTATCTCGCACAACGA</t>
  </si>
  <si>
    <t xml:space="preserve">TCAAACACGGAGCGGAGTCACACGC</t>
  </si>
  <si>
    <t xml:space="preserve">JL-049-06</t>
  </si>
  <si>
    <t xml:space="preserve">notch-1_B3_P1_06</t>
  </si>
  <si>
    <t xml:space="preserve">GTCCCTGCCTCTATATCTTTGACCACATCTTGTAGCACAACATTC</t>
  </si>
  <si>
    <t xml:space="preserve">notch-1_B3_P2_06</t>
  </si>
  <si>
    <t xml:space="preserve">ATCCCATAATCCGGTATAAAGTTTCTTCCACTCAACTTTAACCCG</t>
  </si>
  <si>
    <t xml:space="preserve">B3_P1(notch1)_1</t>
  </si>
  <si>
    <t xml:space="preserve">B3_P2(notch1)_1</t>
  </si>
  <si>
    <t xml:space="preserve">GACCACATCTTGTAGCACAACATTC</t>
  </si>
  <si>
    <t xml:space="preserve">ATCCCATAATCCGGTATAAAGTTTC</t>
  </si>
  <si>
    <t xml:space="preserve">JL-050-01</t>
  </si>
  <si>
    <t xml:space="preserve">notch-2_B3_P1_01</t>
  </si>
  <si>
    <t xml:space="preserve">GTCCCTGCCTCTATATCTTTCGGCCGCAAGCGCTCTTGATATTCT</t>
  </si>
  <si>
    <t xml:space="preserve">notch-2_B3_P2_01</t>
  </si>
  <si>
    <t xml:space="preserve">TGACACCTCGTCCACTACGCGTGTTTTCCACTCAACTTTAACCCG</t>
  </si>
  <si>
    <t xml:space="preserve">B3_P1(notch2)_1</t>
  </si>
  <si>
    <t xml:space="preserve">B3_P2(notch2)_1</t>
  </si>
  <si>
    <t xml:space="preserve">CGGCCGCAAGCGCTCTTGATATTCT</t>
  </si>
  <si>
    <t xml:space="preserve">TGACACCTCGTCCACTACGCGTGTT</t>
  </si>
  <si>
    <t xml:space="preserve">Jeriel_HCRoligosequences › notch_2</t>
  </si>
  <si>
    <t xml:space="preserve">JL-050-02</t>
  </si>
  <si>
    <t xml:space="preserve">notch-2_B3_P1_02</t>
  </si>
  <si>
    <t xml:space="preserve">GTCCCTGCCTCTATATCTTTTCTCCGTCCGACACTTTGCACCTCG</t>
  </si>
  <si>
    <t xml:space="preserve">notch-2_B3_P2_02</t>
  </si>
  <si>
    <t xml:space="preserve">TCATTGTCGCACTGAATCTCCTCAATTCCACTCAACTTTAACCCG</t>
  </si>
  <si>
    <t xml:space="preserve">B3_P1(notch2)_2</t>
  </si>
  <si>
    <t xml:space="preserve">B3_P2(notch2)_2</t>
  </si>
  <si>
    <t xml:space="preserve">TCTCCGTCCGACACTTTGCACCTCG</t>
  </si>
  <si>
    <t xml:space="preserve">TCATTGTCGCACTGAATCTCCTCAA</t>
  </si>
  <si>
    <t xml:space="preserve">JL-050-03</t>
  </si>
  <si>
    <t xml:space="preserve">notch-2_B3_P1_03</t>
  </si>
  <si>
    <t xml:space="preserve">GTCCCTGCCTCTATATCTTTCTCGAACCCAGCGGCGTCAACGCAC</t>
  </si>
  <si>
    <t xml:space="preserve">notch-2_B3_P2_03</t>
  </si>
  <si>
    <t xml:space="preserve">TGCCGCAGGCGCTCTGGTGCCAGGATTCCACTCAACTTTAACCCG</t>
  </si>
  <si>
    <t xml:space="preserve">B3_P1(notch2)_3</t>
  </si>
  <si>
    <t xml:space="preserve">B3_P2(notch2)_3</t>
  </si>
  <si>
    <t xml:space="preserve">CTCGAACCCAGCGGCGTCAACGCAC</t>
  </si>
  <si>
    <t xml:space="preserve">TGCCGCAGGCGCTCTGGTGCCAGGA</t>
  </si>
  <si>
    <t xml:space="preserve">JL-050-04</t>
  </si>
  <si>
    <t xml:space="preserve">notch-2_B3_P1_04</t>
  </si>
  <si>
    <t xml:space="preserve">GTCCCTGCCTCTATATCTTTTGTGGGCTGCACATGGAGCTGAGTT</t>
  </si>
  <si>
    <t xml:space="preserve">notch-2_B3_P2_04</t>
  </si>
  <si>
    <t xml:space="preserve">ACCCGAGGGGACACAACATTCGGCATTCCACTCAACTTTAACCCG</t>
  </si>
  <si>
    <t xml:space="preserve">B3_P1(notch2)_4</t>
  </si>
  <si>
    <t xml:space="preserve">B3_P2(notch2)_4</t>
  </si>
  <si>
    <t xml:space="preserve">TGTGGGCTGCACATGGAGCTGAGTT</t>
  </si>
  <si>
    <t xml:space="preserve">ACCCGAGGGGACACAACATTCGGCA</t>
  </si>
  <si>
    <t xml:space="preserve">JL-050-05</t>
  </si>
  <si>
    <t xml:space="preserve">notch-2_B3_P1_05</t>
  </si>
  <si>
    <t xml:space="preserve">GTCCCTGCCTCTATATCTTTTCTCTGCATTTGCACAACGGACAGC</t>
  </si>
  <si>
    <t xml:space="preserve">notch-2_B3_P2_05</t>
  </si>
  <si>
    <t xml:space="preserve">CCTGGACAAGTGACACCTGAGCAGGTTCCACTCAACTTTAACCCG</t>
  </si>
  <si>
    <t xml:space="preserve">B3_P1(notch2)_5</t>
  </si>
  <si>
    <t xml:space="preserve">B3_P2(notch2)_5</t>
  </si>
  <si>
    <t xml:space="preserve">TCTCTGCATTTGCACAACGGACAGC</t>
  </si>
  <si>
    <t xml:space="preserve">CCTGGACAAGTGACACCTGAGCAGG</t>
  </si>
  <si>
    <t xml:space="preserve">JL-050-06</t>
  </si>
  <si>
    <t xml:space="preserve">notch-2_B3_P1_06</t>
  </si>
  <si>
    <t xml:space="preserve">GTCCCTGCCTCTATATCTTTCGGCCTCAAACACGGAGTCTCCTCC</t>
  </si>
  <si>
    <t xml:space="preserve">notch-2_B3_P2_06</t>
  </si>
  <si>
    <t xml:space="preserve">TTTACATGTTGGTACAGGCGGACAATTCCACTCAACTTTAACCCG</t>
  </si>
  <si>
    <t xml:space="preserve">B3_P1(notch2)_6</t>
  </si>
  <si>
    <t xml:space="preserve">B3_P2(notch2)_6</t>
  </si>
  <si>
    <t xml:space="preserve">CGGCCTCAAACACGGAGTCTCCTCC</t>
  </si>
  <si>
    <t xml:space="preserve">TTTACATGTTGGTACAGGCGGACAA</t>
  </si>
  <si>
    <t xml:space="preserve">JL-051-01</t>
  </si>
  <si>
    <t xml:space="preserve">notch-3_B3_P1_01</t>
  </si>
  <si>
    <t xml:space="preserve">GTCCCTGCCTCTATATCTTTCACTTGGTACACGGCGGGCTGGGGG</t>
  </si>
  <si>
    <t xml:space="preserve">notch-3_B3_P2_01</t>
  </si>
  <si>
    <t xml:space="preserve">GTCGCAGTGTTCGTGTCCTTGCCGCTTCCACTCAACTTTAACCCG</t>
  </si>
  <si>
    <t xml:space="preserve">B3_P1(notch3)_1</t>
  </si>
  <si>
    <t xml:space="preserve">B3_P2(notch3)_1</t>
  </si>
  <si>
    <t xml:space="preserve">CACTTGGTACACGGCGGGCTGGGGG</t>
  </si>
  <si>
    <t xml:space="preserve">GTCGCAGTGTTCGTGTCCTTGCCGC</t>
  </si>
  <si>
    <t xml:space="preserve">Jeriel_HCRoligosequences › notch_3</t>
  </si>
  <si>
    <t xml:space="preserve">JL-051-02</t>
  </si>
  <si>
    <t xml:space="preserve">notch-3_B3_P1_02</t>
  </si>
  <si>
    <t xml:space="preserve">GTCCCTGCCTCTATATCTTTTCTCGTCTAACGGCGTAATATCGAG</t>
  </si>
  <si>
    <t xml:space="preserve">notch-3_B3_P2_02</t>
  </si>
  <si>
    <t xml:space="preserve">CGTAGAGAGTGAATATTTTCGATCCTTCCACTCAACTTTAACCCG</t>
  </si>
  <si>
    <t xml:space="preserve">B3_P1(notch3)_2</t>
  </si>
  <si>
    <t xml:space="preserve">B3_P2(notch3)_2</t>
  </si>
  <si>
    <t xml:space="preserve">TCTCGTCTAACGGCGTAATATCGAG</t>
  </si>
  <si>
    <t xml:space="preserve">CGTAGAGAGTGAATATTTTCGATCC</t>
  </si>
  <si>
    <t xml:space="preserve">JL-051-03</t>
  </si>
  <si>
    <t xml:space="preserve">notch-3_B3_P1_03</t>
  </si>
  <si>
    <t xml:space="preserve">GTCCCTGCCTCTATATCTTTGATACAACTATTAATAAATTAACGC</t>
  </si>
  <si>
    <t xml:space="preserve">notch-3_B3_P2_03</t>
  </si>
  <si>
    <t xml:space="preserve">CGAATGCATTGTGACCCCCAAGTCTTTCCACTCAACTTTAACCCG</t>
  </si>
  <si>
    <t xml:space="preserve">B3_P1(notch3)_3</t>
  </si>
  <si>
    <t xml:space="preserve">B3_P2(notch3)_3</t>
  </si>
  <si>
    <t xml:space="preserve">GATACAACTATTAATAAATTAACGC</t>
  </si>
  <si>
    <t xml:space="preserve">CGAATGCATTGTGACCCCCAAGTCT</t>
  </si>
  <si>
    <t xml:space="preserve">JL-051-04</t>
  </si>
  <si>
    <t xml:space="preserve">notch-3_B3_P1_04</t>
  </si>
  <si>
    <t xml:space="preserve">GTCCCTGCCTCTATATCTTTTTGGGAATCGCCGCAGTTGTCCGAC</t>
  </si>
  <si>
    <t xml:space="preserve">notch-3_B3_P2_04</t>
  </si>
  <si>
    <t xml:space="preserve">ATAGCAGACGCCCTTTCCTGTACAGTTCCACTCAACTTTAACCCG</t>
  </si>
  <si>
    <t xml:space="preserve">B3_P1(notch3)_4</t>
  </si>
  <si>
    <t xml:space="preserve">B3_P2(notch3)_4</t>
  </si>
  <si>
    <t xml:space="preserve">TTGGGAATCGCCGCAGTTGTCCGAC</t>
  </si>
  <si>
    <t xml:space="preserve">ATAGCAGACGCCCTTTCCTGTACAG</t>
  </si>
  <si>
    <t xml:space="preserve">JL-051-05</t>
  </si>
  <si>
    <t xml:space="preserve">notch-3_B3_P1_05</t>
  </si>
  <si>
    <t xml:space="preserve">GTCCCTGCCTCTATATCTTTCGCGGCAGCACTGGCACTCGTAGCC</t>
  </si>
  <si>
    <t xml:space="preserve">notch-3_B3_P2_05</t>
  </si>
  <si>
    <t xml:space="preserve">TGTCCTCGCAGTGCGGGCCAGCGTATTCCACTCAACTTTAACCCG</t>
  </si>
  <si>
    <t xml:space="preserve">B3_P1(notch3)_5</t>
  </si>
  <si>
    <t xml:space="preserve">B3_P2(notch3)_5</t>
  </si>
  <si>
    <t xml:space="preserve">CGCGGCAGCACTGGCACTCGTAGCC</t>
  </si>
  <si>
    <t xml:space="preserve">TGTCCTCGCAGTGCGGGCCAGCGTA</t>
  </si>
  <si>
    <t xml:space="preserve">JL-051-06</t>
  </si>
  <si>
    <t xml:space="preserve">notch-3_B3_P1_06</t>
  </si>
  <si>
    <t xml:space="preserve">GTCCCTGCCTCTATATCTTTCAGATGCCATTGTTCAGACAGGGTG</t>
  </si>
  <si>
    <t xml:space="preserve">notch-3_B3_P2_06</t>
  </si>
  <si>
    <t xml:space="preserve">CCGTTGAGCGGCTGCGAGAGGTCGATTCCACTCAACTTTAACCCG</t>
  </si>
  <si>
    <t xml:space="preserve">B3_P1(notch3)_6</t>
  </si>
  <si>
    <t xml:space="preserve">B3_P2(notch3)_6</t>
  </si>
  <si>
    <t xml:space="preserve">CAGATGCCATTGTTCAGACAGGGTG</t>
  </si>
  <si>
    <t xml:space="preserve">CCGTTGAGCGGCTGCGAGAGGTCGA</t>
  </si>
  <si>
    <t xml:space="preserve">JL-051-07</t>
  </si>
  <si>
    <t xml:space="preserve">notch-3_B3_P1_07</t>
  </si>
  <si>
    <t xml:space="preserve">GTCCCTGCCTCTATATCTTTCCTTCCAGTGAACCCGTATGGACAA</t>
  </si>
  <si>
    <t xml:space="preserve">notch-3_B3_P2_07</t>
  </si>
  <si>
    <t xml:space="preserve">AGAATAACAAGGGTCCTTCTCACATTTCCACTCAACTTTAACCCG</t>
  </si>
  <si>
    <t xml:space="preserve">B3_P1(notch3)_7</t>
  </si>
  <si>
    <t xml:space="preserve">B3_P2(notch3)_7</t>
  </si>
  <si>
    <t xml:space="preserve">CCTTCCAGTGAACCCGTATGGACAA</t>
  </si>
  <si>
    <t xml:space="preserve">AGAATAACAAGGGTCCTTCTCACAT</t>
  </si>
  <si>
    <t xml:space="preserve">JL-051-08</t>
  </si>
  <si>
    <t xml:space="preserve">notch-3_B3_P1_08</t>
  </si>
  <si>
    <t xml:space="preserve">GTCCCTGCCTCTATATCTTTTCATTGCCATGCTCATACAAGATCC</t>
  </si>
  <si>
    <t xml:space="preserve">notch-3_B3_P2_08</t>
  </si>
  <si>
    <t xml:space="preserve">AAGCGCAATGAAATGTTGTGGAACCTTCCACTCAACTTTAACCCG</t>
  </si>
  <si>
    <t xml:space="preserve">B3_P1(notch3)_8</t>
  </si>
  <si>
    <t xml:space="preserve">B3_P2(notch3)_8</t>
  </si>
  <si>
    <t xml:space="preserve">TCATTGCCATGCTCATACAAGATCC</t>
  </si>
  <si>
    <t xml:space="preserve">AAGCGCAATGAAATGTTGTGGAACC</t>
  </si>
  <si>
    <t xml:space="preserve">JL-052-01</t>
  </si>
  <si>
    <t xml:space="preserve">rotund_B3_P1_01</t>
  </si>
  <si>
    <t xml:space="preserve">GTCCCTGCCTCTATATCTTTTACGGACGGCTTTATCTCAGGCATG</t>
  </si>
  <si>
    <t xml:space="preserve">rotund_B3_P2_01</t>
  </si>
  <si>
    <t xml:space="preserve">ACCACTTTTGAATTCGGATAATCTATTCCACTCAACTTTAACCCG</t>
  </si>
  <si>
    <t xml:space="preserve">B3_P1(rotund)_1</t>
  </si>
  <si>
    <t xml:space="preserve">B3_P2(rotund)_1</t>
  </si>
  <si>
    <t xml:space="preserve">TACGGACGGCTTTATCTCAGGCATG</t>
  </si>
  <si>
    <t xml:space="preserve">ACCACTTTTGAATTCGGATAATCTA</t>
  </si>
  <si>
    <t xml:space="preserve">JL-052-02</t>
  </si>
  <si>
    <t xml:space="preserve">rotund_B3_P1_02</t>
  </si>
  <si>
    <t xml:space="preserve">GTCCCTGCCTCTATATCTTTGAATGTCATTCTCTTGGTCATTGTG</t>
  </si>
  <si>
    <t xml:space="preserve">rotund_B3_P2_02</t>
  </si>
  <si>
    <t xml:space="preserve">CATCGTCGTGCGGTGTCATTTGACGTTCCACTCAACTTTAACCCG</t>
  </si>
  <si>
    <t xml:space="preserve">B3_P1(rotund)_2</t>
  </si>
  <si>
    <t xml:space="preserve">B3_P2(rotund)_2</t>
  </si>
  <si>
    <t xml:space="preserve">GAATGTCATTCTCTTGGTCATTGTG</t>
  </si>
  <si>
    <t xml:space="preserve">CATCGTCGTGCGGTGTCATTTGACG</t>
  </si>
  <si>
    <t xml:space="preserve">JL-052-03</t>
  </si>
  <si>
    <t xml:space="preserve">rotund_B3_P1_03</t>
  </si>
  <si>
    <t xml:space="preserve">GTCCCTGCCTCTATATCTTTCCGTTTTCTGATAAAGGCGTTGAAG</t>
  </si>
  <si>
    <t xml:space="preserve">rotund_B3_P2_03</t>
  </si>
  <si>
    <t xml:space="preserve">ACCTTTTCCTCTTGAATGCTTTGTCTTCCACTCAACTTTAACCCG</t>
  </si>
  <si>
    <t xml:space="preserve">B3_P1(rotund)_3</t>
  </si>
  <si>
    <t xml:space="preserve">B3_P2(rotund)_3</t>
  </si>
  <si>
    <t xml:space="preserve">CCGTTTTCTGATAAAGGCGTTGAAG</t>
  </si>
  <si>
    <t xml:space="preserve">ACCTTTTCCTCTTGAATGCTTTGTC</t>
  </si>
  <si>
    <t xml:space="preserve">JL-052-04</t>
  </si>
  <si>
    <t xml:space="preserve">rotund_B3_P1_04</t>
  </si>
  <si>
    <t xml:space="preserve">GTCCCTGCCTCTATATCTTTGTGGATCTGCGTGTGCAGCTGGAGG</t>
  </si>
  <si>
    <t xml:space="preserve">rotund_B3_P2_04</t>
  </si>
  <si>
    <t xml:space="preserve">GCAGCGGTAGGGCTTCGCTTCGCGCTTCCACTCAACTTTAACCCG</t>
  </si>
  <si>
    <t xml:space="preserve">B3_P1(rotund)_4</t>
  </si>
  <si>
    <t xml:space="preserve">B3_P2(rotund)_4</t>
  </si>
  <si>
    <t xml:space="preserve">GTGGATCTGCGTGTGCAGCTGGAGG</t>
  </si>
  <si>
    <t xml:space="preserve">GCAGCGGTAGGGCTTCGCTTCGCGC</t>
  </si>
  <si>
    <t xml:space="preserve">JL-052-05</t>
  </si>
  <si>
    <t xml:space="preserve">rotund_B3_P1_05</t>
  </si>
  <si>
    <t xml:space="preserve">GTCCCTGCCTCTATATCTTTGCGCTAGGTATGAGGAGTTGGCGAA</t>
  </si>
  <si>
    <t xml:space="preserve">rotund_B3_P2_05</t>
  </si>
  <si>
    <t xml:space="preserve">TGATGCCGAGGTGGATGCGCGAATGTTCCACTCAACTTTAACCCG</t>
  </si>
  <si>
    <t xml:space="preserve">B3_P1(rotund)_5</t>
  </si>
  <si>
    <t xml:space="preserve">B3_P2(rotund)_5</t>
  </si>
  <si>
    <t xml:space="preserve">GCGCTAGGTATGAGGAGTTGGCGAA</t>
  </si>
  <si>
    <t xml:space="preserve">TGATGCCGAGGTGGATGCGCGAATG</t>
  </si>
  <si>
    <t xml:space="preserve">JL-052-06</t>
  </si>
  <si>
    <t xml:space="preserve">rotund_B3_P1_06</t>
  </si>
  <si>
    <t xml:space="preserve">GTCCCTGCCTCTATATCTTTAGTTGGGTGAACTTGCGCTGGCAGA</t>
  </si>
  <si>
    <t xml:space="preserve">rotund_B3_P2_06</t>
  </si>
  <si>
    <t xml:space="preserve">GTGCGGATGTGCTGCTGCAGGTGAGTTCCACTCAACTTTAACCCG</t>
  </si>
  <si>
    <t xml:space="preserve">B3_P1(rotund)_6</t>
  </si>
  <si>
    <t xml:space="preserve">B3_P2(rotund)_6</t>
  </si>
  <si>
    <t xml:space="preserve">AGTTGGGTGAACTTGCGCTGGCAGA</t>
  </si>
  <si>
    <t xml:space="preserve">GTGCGGATGTGCTGCTGCAGGTGAG</t>
  </si>
  <si>
    <t xml:space="preserve">JL-052-07</t>
  </si>
  <si>
    <t xml:space="preserve">rotund_B3_P1_07</t>
  </si>
  <si>
    <t xml:space="preserve">GTCCCTGCCTCTATATCTTTGCACCCTATCTGGGTGCATCGATAG</t>
  </si>
  <si>
    <t xml:space="preserve">rotund_B3_P2_07</t>
  </si>
  <si>
    <t xml:space="preserve">GTTGGACAGCTGGGAGAACGCTTTGTTCCACTCAACTTTAACCCG</t>
  </si>
  <si>
    <t xml:space="preserve">B3_P1(rotund)_7</t>
  </si>
  <si>
    <t xml:space="preserve">B3_P2(rotund)_7</t>
  </si>
  <si>
    <t xml:space="preserve">GCACCCTATCTGGGTGCATCGATAG</t>
  </si>
  <si>
    <t xml:space="preserve">GTTGGACAGCTGGGAGAACGCTTTG</t>
  </si>
  <si>
    <t xml:space="preserve">JL-052-08</t>
  </si>
  <si>
    <t xml:space="preserve">rotund_B3_P1_08</t>
  </si>
  <si>
    <t xml:space="preserve">GTCCCTGCCTCTATATCTTTTGAAGGGTTTGTCGGTCTGGTGGCA</t>
  </si>
  <si>
    <t xml:space="preserve">rotund_B3_P2_08</t>
  </si>
  <si>
    <t xml:space="preserve">TGAAGCATTTGTAGCAGGAGTTGCATTCCACTCAACTTTAACCCG</t>
  </si>
  <si>
    <t xml:space="preserve">B3_P1(rotund)_8</t>
  </si>
  <si>
    <t xml:space="preserve">B3_P2(rotund)_8</t>
  </si>
  <si>
    <t xml:space="preserve">TGAAGGGTTTGTCGGTCTGGTGGCA</t>
  </si>
  <si>
    <t xml:space="preserve">TGAAGCATTTGTAGCAGGAGTTGCA</t>
  </si>
  <si>
    <t xml:space="preserve">JL-053-01</t>
  </si>
  <si>
    <t xml:space="preserve">uncharacterised-droso-raw_B3_P1_01</t>
  </si>
  <si>
    <t xml:space="preserve">GTCCCTGCCTCTATATCTTTCGAGCCGCCCAGGAACACCTCGCAG</t>
  </si>
  <si>
    <t xml:space="preserve">uncharacterised-droso-raw_B3_P2_01</t>
  </si>
  <si>
    <t xml:space="preserve">GTCTGACCTCCATGTGGTGGGGTTGTTCCACTCAACTTTAACCCG</t>
  </si>
  <si>
    <t xml:space="preserve">B3_P1(raw)_1</t>
  </si>
  <si>
    <t xml:space="preserve">B3_P2(raw)_1</t>
  </si>
  <si>
    <t xml:space="preserve">CGAGCCGCCCAGGAACACCTCGCAG</t>
  </si>
  <si>
    <t xml:space="preserve">GTCTGACCTCCATGTGGTGGGGTTG</t>
  </si>
  <si>
    <t xml:space="preserve">JL-053-02</t>
  </si>
  <si>
    <t xml:space="preserve">uncharacterised-droso-raw_B3_P1_02</t>
  </si>
  <si>
    <t xml:space="preserve">GTCCCTGCCTCTATATCTTTTGAAATATGTGATGCCCATCTTCTC</t>
  </si>
  <si>
    <t xml:space="preserve">uncharacterised-droso-raw_B3_P2_02</t>
  </si>
  <si>
    <t xml:space="preserve">CCGTCGACCAGTCGTCTACTTGAGGTTCCACTCAACTTTAACCCG</t>
  </si>
  <si>
    <t xml:space="preserve">B3_P1(raw)_2</t>
  </si>
  <si>
    <t xml:space="preserve">B3_P2(raw)_2</t>
  </si>
  <si>
    <t xml:space="preserve">TGAAATATGTGATGCCCATCTTCTC</t>
  </si>
  <si>
    <t xml:space="preserve">CCGTCGACCAGTCGTCTACTTGAGG</t>
  </si>
  <si>
    <t xml:space="preserve">JL-053-03</t>
  </si>
  <si>
    <t xml:space="preserve">uncharacterised-droso-raw_B3_P1_03</t>
  </si>
  <si>
    <t xml:space="preserve">GTCCCTGCCTCTATATCTTTGCCCGCGCCTCCGCCTTCGCACGAT</t>
  </si>
  <si>
    <t xml:space="preserve">uncharacterised-droso-raw_B3_P2_03</t>
  </si>
  <si>
    <t xml:space="preserve">GTCTCGCTGTCCAGCACGAACAACATTCCACTCAACTTTAACCCG</t>
  </si>
  <si>
    <t xml:space="preserve">B3_P1(raw)_3</t>
  </si>
  <si>
    <t xml:space="preserve">B3_P2(raw)_3</t>
  </si>
  <si>
    <t xml:space="preserve">GCCCGCGCCTCCGCCTTCGCACGAT</t>
  </si>
  <si>
    <t xml:space="preserve">GTCTCGCTGTCCAGCACGAACAACA</t>
  </si>
  <si>
    <t xml:space="preserve">JL-053-04</t>
  </si>
  <si>
    <t xml:space="preserve">uncharacterised-droso-raw_B3_P1_04</t>
  </si>
  <si>
    <t xml:space="preserve">GTCCCTGCCTCTATATCTTTCGCAGCTAGATGCGCTGCCTCCACG</t>
  </si>
  <si>
    <t xml:space="preserve">uncharacterised-droso-raw_B3_P2_04</t>
  </si>
  <si>
    <t xml:space="preserve">CAGCACCAGCAGCAGGTCTCGAGGCTTCCACTCAACTTTAACCCG</t>
  </si>
  <si>
    <t xml:space="preserve">B3_P1(raw)_4</t>
  </si>
  <si>
    <t xml:space="preserve">B3_P2(raw)_4</t>
  </si>
  <si>
    <t xml:space="preserve">CGCAGCTAGATGCGCTGCCTCCACG</t>
  </si>
  <si>
    <t xml:space="preserve">CAGCACCAGCAGCAGGTCTCGAGGC</t>
  </si>
  <si>
    <t xml:space="preserve">JL-053-05</t>
  </si>
  <si>
    <t xml:space="preserve">uncharacterised-droso-raw_B3_P1_05</t>
  </si>
  <si>
    <t xml:space="preserve">GTCCCTGCCTCTATATCTTTAGATGGCCTCCGATCCGATGACCTG</t>
  </si>
  <si>
    <t xml:space="preserve">uncharacterised-droso-raw_B3_P2_05</t>
  </si>
  <si>
    <t xml:space="preserve">GCGATAGCTCAATGTACTCCTGGTCTTCCACTCAACTTTAACCCG</t>
  </si>
  <si>
    <t xml:space="preserve">B3_P1(raw)_5</t>
  </si>
  <si>
    <t xml:space="preserve">B3_P2(raw)_5</t>
  </si>
  <si>
    <t xml:space="preserve">AGATGGCCTCCGATCCGATGACCTG</t>
  </si>
  <si>
    <t xml:space="preserve">GCGATAGCTCAATGTACTCCTGGTC</t>
  </si>
  <si>
    <t xml:space="preserve">JL-053-06</t>
  </si>
  <si>
    <t xml:space="preserve">uncharacterised-droso-raw_B3_P1_06</t>
  </si>
  <si>
    <t xml:space="preserve">GTCCCTGCCTCTATATCTTTAATCCTCGCCTTTCTACCGCTTCTT</t>
  </si>
  <si>
    <t xml:space="preserve">uncharacterised-droso-raw_B3_P2_06</t>
  </si>
  <si>
    <t xml:space="preserve">GCCGTGGGAATGTCCGTGAATGCGGTTCCACTCAACTTTAACCCG</t>
  </si>
  <si>
    <t xml:space="preserve">B3_P1(raw)_6</t>
  </si>
  <si>
    <t xml:space="preserve">B3_P2(raw)_6</t>
  </si>
  <si>
    <t xml:space="preserve">AATCCTCGCCTTTCTACCGCTTCTT</t>
  </si>
  <si>
    <t xml:space="preserve">GCCGTGGGAATGTCCGTGAATGCGG</t>
  </si>
  <si>
    <t xml:space="preserve">JL-053-07</t>
  </si>
  <si>
    <t xml:space="preserve">uncharacterised-droso-raw_B3_P1_07</t>
  </si>
  <si>
    <t xml:space="preserve">GTCCCTGCCTCTATATCTTTGTGCGTCCTCGCGCCTCTCAGAACG</t>
  </si>
  <si>
    <t xml:space="preserve">uncharacterised-droso-raw_B3_P2_07</t>
  </si>
  <si>
    <t xml:space="preserve">GATTGTGTGACCCAAGGGGTGACGCTTCCACTCAACTTTAACCCG</t>
  </si>
  <si>
    <t xml:space="preserve">B3_P1(raw)_7</t>
  </si>
  <si>
    <t xml:space="preserve">B3_P2(raw)_7</t>
  </si>
  <si>
    <t xml:space="preserve">GTGCGTCCTCGCGCCTCTCAGAACG</t>
  </si>
  <si>
    <t xml:space="preserve">GATTGTGTGACCCAAGGGGTGACGC</t>
  </si>
  <si>
    <t xml:space="preserve">JL-053-08</t>
  </si>
  <si>
    <t xml:space="preserve">uncharacterised-droso-raw_B3_P1_08</t>
  </si>
  <si>
    <t xml:space="preserve">GTCCCTGCCTCTATATCTTTCGTTCCTGCCGCCCGCCGCGTCGTA</t>
  </si>
  <si>
    <t xml:space="preserve">uncharacterised-droso-raw_B3_P2_08</t>
  </si>
  <si>
    <t xml:space="preserve">CGACGGCTCGGGCGCGCGTCAACCGTTCCACTCAACTTTAACCCG</t>
  </si>
  <si>
    <t xml:space="preserve">B3_P1(raw)_8</t>
  </si>
  <si>
    <t xml:space="preserve">B3_P2(raw)_8</t>
  </si>
  <si>
    <t xml:space="preserve">JL-054-01</t>
  </si>
  <si>
    <t xml:space="preserve">vein_B3_P1_01</t>
  </si>
  <si>
    <t xml:space="preserve">GTCCCTGCCTCTATATCTTTGTGGCGGCGTCGCGCGCCAGCGACT</t>
  </si>
  <si>
    <t xml:space="preserve">vein_B3_P2_01</t>
  </si>
  <si>
    <t xml:space="preserve">CGCCGCAGCACGCGGCCCACCTGCATTCCACTCAACTTTAACCCG</t>
  </si>
  <si>
    <t xml:space="preserve">B3_P1(vn)_1</t>
  </si>
  <si>
    <t xml:space="preserve">B3_P2(vn)_1</t>
  </si>
  <si>
    <t xml:space="preserve">GTGGCGGCGTCGCGCGCCAGCGACT</t>
  </si>
  <si>
    <t xml:space="preserve">CGCCGCAGCACGCGGCCCACCTGCA</t>
  </si>
  <si>
    <t xml:space="preserve">Jeriel_HCRoligosequences › vein</t>
  </si>
  <si>
    <t xml:space="preserve">JL-054-02</t>
  </si>
  <si>
    <t xml:space="preserve">vein_B3_P1_02</t>
  </si>
  <si>
    <t xml:space="preserve">GTCCCTGCCTCTATATCTTTCTTGAGGCGCAGCACGGCGTCCTCG</t>
  </si>
  <si>
    <t xml:space="preserve">vein_B3_P2_02</t>
  </si>
  <si>
    <t xml:space="preserve">GGCGCACTCGCGGGGCTGCTCGGGCTTCCACTCAACTTTAACCCG</t>
  </si>
  <si>
    <t xml:space="preserve">B3_P1(vn)_2</t>
  </si>
  <si>
    <t xml:space="preserve">B3_P2(vn)_2</t>
  </si>
  <si>
    <t xml:space="preserve">CTTGAGGCGCAGCACGGCGTCCTCG</t>
  </si>
  <si>
    <t xml:space="preserve">GGCGCACTCGCGGGGCTGCTCGGGC</t>
  </si>
  <si>
    <t xml:space="preserve">JL-054-03</t>
  </si>
  <si>
    <t xml:space="preserve">vein_B3_P1_03</t>
  </si>
  <si>
    <t xml:space="preserve">GTCCCTGCCTCTATATCTTTCGATATAGTTCTTTCGGTTCTGCAG</t>
  </si>
  <si>
    <t xml:space="preserve">vein_B3_P2_03</t>
  </si>
  <si>
    <t xml:space="preserve">CGGCGTGGCCCTGCCTCTCCGCGAATTCCACTCAACTTTAACCCG</t>
  </si>
  <si>
    <t xml:space="preserve">B3_P1(vn)_3</t>
  </si>
  <si>
    <t xml:space="preserve">B3_P2(vn)_3</t>
  </si>
  <si>
    <t xml:space="preserve">CGATATAGTTCTTTCGGTTCTGCAG</t>
  </si>
  <si>
    <t xml:space="preserve">CGGCGTGGCCCTGCCTCTCCGCGAA</t>
  </si>
  <si>
    <t xml:space="preserve">JL-054-04</t>
  </si>
  <si>
    <t xml:space="preserve">vein_B3_P1_04</t>
  </si>
  <si>
    <t xml:space="preserve">GTCCCTGCCTCTATATCTTTATCAACTTGGCAGTCCTGCGCAGCG</t>
  </si>
  <si>
    <t xml:space="preserve">vein_B3_P2_04</t>
  </si>
  <si>
    <t xml:space="preserve">GGCCGGTAGACCGCGCGGATCCTCCTTCCACTCAACTTTAACCCG</t>
  </si>
  <si>
    <t xml:space="preserve">B3_P1(vn)_4</t>
  </si>
  <si>
    <t xml:space="preserve">B3_P2(vn)_4</t>
  </si>
  <si>
    <t xml:space="preserve">ATCAACTTGGCAGTCCTGCGCAGCG</t>
  </si>
  <si>
    <t xml:space="preserve">GGCCGGTAGACCGCGCGGATCCTCC</t>
  </si>
  <si>
    <t xml:space="preserve">JL-054-05</t>
  </si>
  <si>
    <t xml:space="preserve">vein_B3_P1_05</t>
  </si>
  <si>
    <t xml:space="preserve">GTCCCTGCCTCTATATCTTTCACCGACTGCATCGGCTCCACCCGC</t>
  </si>
  <si>
    <t xml:space="preserve">vein_B3_P2_05</t>
  </si>
  <si>
    <t xml:space="preserve">CCGGACCTTGCCGCCGCGCGTCGCGTTCCACTCAACTTTAACCCG</t>
  </si>
  <si>
    <t xml:space="preserve">B3_P1(vn)_5</t>
  </si>
  <si>
    <t xml:space="preserve">B3_P2(vn)_5</t>
  </si>
  <si>
    <t xml:space="preserve">CACCGACTGCATCGGCTCCACCCGC</t>
  </si>
  <si>
    <t xml:space="preserve">CCGGACCTTGCCGCCGCGCGTCGCG</t>
  </si>
  <si>
    <t xml:space="preserve">JL-054-06</t>
  </si>
  <si>
    <t xml:space="preserve">vein_B3_P1_06</t>
  </si>
  <si>
    <t xml:space="preserve">GTCCCTGCCTCTATATCTTTAGGCTATCCGCGGCGGCGGGCGCGC</t>
  </si>
  <si>
    <t xml:space="preserve">vein_B3_P2_06</t>
  </si>
  <si>
    <t xml:space="preserve">CTGCGACGGGCCGGCCGTCCTTGTATTCCACTCAACTTTAACCCG</t>
  </si>
  <si>
    <t xml:space="preserve">B3_P1(vn)_6</t>
  </si>
  <si>
    <t xml:space="preserve">B3_P2(vn)_6</t>
  </si>
  <si>
    <t xml:space="preserve">AGGCTATCCGCGGCGGCGGGCGCGC</t>
  </si>
  <si>
    <t xml:space="preserve">CTGCGACGGGCCGGCCGTCCTTGTA</t>
  </si>
  <si>
    <t xml:space="preserve">JL-054-07</t>
  </si>
  <si>
    <t xml:space="preserve">vein_B3_P1_07</t>
  </si>
  <si>
    <t xml:space="preserve">GTCCCTGCCTCTATATCTTTCGCCGCCTATAGTTCTGCACTCGGA</t>
  </si>
  <si>
    <t xml:space="preserve">vein_B3_P2_07</t>
  </si>
  <si>
    <t xml:space="preserve">CGCGCATGTCTTATTACTAATACCGTTCCACTCAACTTTAACCCG</t>
  </si>
  <si>
    <t xml:space="preserve">B3_P1(vn)_7</t>
  </si>
  <si>
    <t xml:space="preserve">B3_P2(vn)_7</t>
  </si>
  <si>
    <t xml:space="preserve">CGCCGCCTATAGTTCTGCACTCGGA</t>
  </si>
  <si>
    <t xml:space="preserve">CGCGCATGTCTTATTACTAATACCG</t>
  </si>
  <si>
    <t xml:space="preserve">JL-054-08</t>
  </si>
  <si>
    <t xml:space="preserve">vein_B3_P1_08</t>
  </si>
  <si>
    <t xml:space="preserve">GTCCCTGCCTCTATATCTTTCGCACCCTGCGCCCTACATTCGTAC</t>
  </si>
  <si>
    <t xml:space="preserve">vein_B3_P2_08</t>
  </si>
  <si>
    <t xml:space="preserve">GGCGGCGGCGACGGCCGGCGGCCCCTTCCACTCAACTTTAACCCG</t>
  </si>
  <si>
    <t xml:space="preserve">B3_P1(vn)_8</t>
  </si>
  <si>
    <t xml:space="preserve">B3_P2(vn)_8</t>
  </si>
  <si>
    <t xml:space="preserve">CGCACCCTGCGCCCTACATTCGTAC</t>
  </si>
  <si>
    <t xml:space="preserve">GGCGGCGGCGACGGCCGGCGGCCCC</t>
  </si>
  <si>
    <t xml:space="preserve">JL-054-09</t>
  </si>
  <si>
    <t xml:space="preserve">vein_B3_P1_09</t>
  </si>
  <si>
    <t xml:space="preserve">GTCCCTGCCTCTATATCTTTGGGTATCTGGCGCCATCGTGGCCGG</t>
  </si>
  <si>
    <t xml:space="preserve">vein_B3_P2_09</t>
  </si>
  <si>
    <t xml:space="preserve">CGGGCATCGGACACGGAGCGCCGGGTTCCACTCAACTTTAACCCG</t>
  </si>
  <si>
    <t xml:space="preserve">B3_P1(vn)_9</t>
  </si>
  <si>
    <t xml:space="preserve">B3_P2(vn)_9</t>
  </si>
  <si>
    <t xml:space="preserve">GGGTATCTGGCGCCATCGTGGCCGG</t>
  </si>
  <si>
    <t xml:space="preserve">CGGGCATCGGACACGGAGCGCCGGG</t>
  </si>
  <si>
    <t xml:space="preserve">JL-054-10</t>
  </si>
  <si>
    <t xml:space="preserve">vein_B3_P1_10</t>
  </si>
  <si>
    <t xml:space="preserve">GTCCCTGCCTCTATATCTTTAAGAATAAACAAGTGCCTCCATTGA</t>
  </si>
  <si>
    <t xml:space="preserve">vein_B3_P2_10</t>
  </si>
  <si>
    <t xml:space="preserve">TTGCAAGCTTGTTCCTGAACAAGCTTTCCACTCAACTTTAACCCG</t>
  </si>
  <si>
    <t xml:space="preserve">B3_P1(vn)_10</t>
  </si>
  <si>
    <t xml:space="preserve">B3_P2(vn)_10</t>
  </si>
  <si>
    <t xml:space="preserve">AAGAATAAACAAGTGCCTCCATTGA</t>
  </si>
  <si>
    <t xml:space="preserve">TTGCAAGCTTGTTCCTGAACAAGCT</t>
  </si>
  <si>
    <t xml:space="preserve">JL-055-01</t>
  </si>
  <si>
    <t xml:space="preserve">vestigial_B3_P1_01</t>
  </si>
  <si>
    <t xml:space="preserve">GTCCCTGCCTCTATATCTTTCGCGTGCGGCGGCGAGCCCGGCGAC</t>
  </si>
  <si>
    <t xml:space="preserve">vestigial_B3_P2_01</t>
  </si>
  <si>
    <t xml:space="preserve">CGCCAGGTGCGCGTGCGCCAGGTGGTTCCACTCAACTTTAACCCG</t>
  </si>
  <si>
    <t xml:space="preserve">B3_P1(vg)_1</t>
  </si>
  <si>
    <t xml:space="preserve">B3_P2(vg)_1</t>
  </si>
  <si>
    <t xml:space="preserve">JL-055-02</t>
  </si>
  <si>
    <t xml:space="preserve">vestigial_B3_P1_02</t>
  </si>
  <si>
    <t xml:space="preserve">GTCCCTGCCTCTATATCTTTACAGGTCCTCCTCCTTGGCGCGCAG</t>
  </si>
  <si>
    <t xml:space="preserve">vestigial_B3_P2_02</t>
  </si>
  <si>
    <t xml:space="preserve">CGTCGGCGCTGTTGCGGCCGTGCGCTTCCACTCAACTTTAACCCG</t>
  </si>
  <si>
    <t xml:space="preserve">B3_P1(vg)_2</t>
  </si>
  <si>
    <t xml:space="preserve">B3_P2(vg)_2</t>
  </si>
  <si>
    <t xml:space="preserve">JL-055-03</t>
  </si>
  <si>
    <t xml:space="preserve">vestigial_B3_P1_03</t>
  </si>
  <si>
    <t xml:space="preserve">GTCCCTGCCTCTATATCTTTGCGCGCGCCGCGCCGCCGCACTCGC</t>
  </si>
  <si>
    <t xml:space="preserve">vestigial_B3_P2_03</t>
  </si>
  <si>
    <t xml:space="preserve">CAGTTGGCGCTGACGTACTGCGCGCTTCCACTCAACTTTAACCCG</t>
  </si>
  <si>
    <t xml:space="preserve">B3_P1(vg)_3</t>
  </si>
  <si>
    <t xml:space="preserve">B3_P2(vg)_3</t>
  </si>
  <si>
    <t xml:space="preserve">JL-055-04</t>
  </si>
  <si>
    <t xml:space="preserve">vestigial_B3_P1_04</t>
  </si>
  <si>
    <t xml:space="preserve">GTCCCTGCCTCTATATCTTTCACGACGGCGGCCACGTCGCCGGAG</t>
  </si>
  <si>
    <t xml:space="preserve">vestigial_B3_P2_04</t>
  </si>
  <si>
    <t xml:space="preserve">CGCCAGCGCGCGCGCGAAGTGCTCGTTCCACTCAACTTTAACCCG</t>
  </si>
  <si>
    <t xml:space="preserve">B3_P1(vg)_4</t>
  </si>
  <si>
    <t xml:space="preserve">B3_P2(vg)_4</t>
  </si>
  <si>
    <t xml:space="preserve">JL-055-05</t>
  </si>
  <si>
    <t xml:space="preserve">vestigial_B3_P1_05</t>
  </si>
  <si>
    <t xml:space="preserve">GTCCCTGCCTCTATATCTTTGGTTGCGCGCCGACAGCGGGACGCC</t>
  </si>
  <si>
    <t xml:space="preserve">vestigial_B3_P2_05</t>
  </si>
  <si>
    <t xml:space="preserve">CCGCCGCGTTGAAGAACGACGCGGGTTCCACTCAACTTTAACCCG</t>
  </si>
  <si>
    <t xml:space="preserve">B3_P1(vg)_5</t>
  </si>
  <si>
    <t xml:space="preserve">B3_P2(vg)_5</t>
  </si>
  <si>
    <t xml:space="preserve">JL-055-06</t>
  </si>
  <si>
    <t xml:space="preserve">vestigial_B3_P1_06</t>
  </si>
  <si>
    <t xml:space="preserve">GTCCCTGCCTCTATATCTTTTCGTACTCGTACAGTTCCAGCGCGC</t>
  </si>
  <si>
    <t xml:space="preserve">vestigial_B3_P2_06</t>
  </si>
  <si>
    <t xml:space="preserve">TTGTACCCGTAGTGCTGGTGCCAGGTTCCACTCAACTTTAACCCG</t>
  </si>
  <si>
    <t xml:space="preserve">B3_P1(vg)_6</t>
  </si>
  <si>
    <t xml:space="preserve">B3_P2(vg)_6</t>
  </si>
  <si>
    <t xml:space="preserve">JL-055-07</t>
  </si>
  <si>
    <t xml:space="preserve">vestigial_B3_P1_07</t>
  </si>
  <si>
    <t xml:space="preserve">GTCCCTGCCTCTATATCTTTCATGCCGTGGTGCGCGTGGTACTCC</t>
  </si>
  <si>
    <t xml:space="preserve">vestigial_B3_P2_07</t>
  </si>
  <si>
    <t xml:space="preserve">CAGCAGCAGGCCGCCGTAGCCCGCCTTCCACTCAACTTTAACCCG</t>
  </si>
  <si>
    <t xml:space="preserve">B3_P1(vg)_7</t>
  </si>
  <si>
    <t xml:space="preserve">B3_P2(vg)_7</t>
  </si>
  <si>
    <t xml:space="preserve">JL-055-08</t>
  </si>
  <si>
    <t xml:space="preserve">vestigial_B3_P1_08</t>
  </si>
  <si>
    <t xml:space="preserve">GTCCCTGCCTCTATATCTTTGCCACTCCACCGGCTTGTACTGCGC</t>
  </si>
  <si>
    <t xml:space="preserve">vestigial_B3_P2_08</t>
  </si>
  <si>
    <t xml:space="preserve">CGGCGTGCGCGTGGTGCGCGTGGTGTTCCACTCAACTTTAACCCG</t>
  </si>
  <si>
    <t xml:space="preserve">B3_P1(vg)_8</t>
  </si>
  <si>
    <t xml:space="preserve">B3_P2(vg)_8</t>
  </si>
  <si>
    <t xml:space="preserve">JL-056-01</t>
  </si>
  <si>
    <t xml:space="preserve">Wnt-1_B3_P1_01</t>
  </si>
  <si>
    <t xml:space="preserve">GTCCCTGCCTCTATATCTTTCCCTTGGATATTGCTGCGAGAACCC</t>
  </si>
  <si>
    <t xml:space="preserve">Wnt-1_B3_P2_01</t>
  </si>
  <si>
    <t xml:space="preserve">TGGCATTCGGCCACAGCCATGCTGGTTCCACTCAACTTTAACCCG</t>
  </si>
  <si>
    <t xml:space="preserve">B3_P1(wnt1)_1</t>
  </si>
  <si>
    <t xml:space="preserve">B3_P2(wnt1)_1</t>
  </si>
  <si>
    <t xml:space="preserve">CCCTTGGATATTGCTGCGAGAACCC</t>
  </si>
  <si>
    <t xml:space="preserve">TGGCATTCGGCCACAGCCATGCTGG</t>
  </si>
  <si>
    <t xml:space="preserve">JL-056-02</t>
  </si>
  <si>
    <t xml:space="preserve">Wnt-1_B3_P1_02</t>
  </si>
  <si>
    <t xml:space="preserve">GTCCCTGCCTCTATATCTTTATTTCTTGTAGAACAGTTCCATCTC</t>
  </si>
  <si>
    <t xml:space="preserve">Wnt-1_B3_P2_02</t>
  </si>
  <si>
    <t xml:space="preserve">TCCAAATAGATTCTTCCCTCGCAAATTCCACTCAACTTTAACCCG</t>
  </si>
  <si>
    <t xml:space="preserve">B3_P1(wnt1)_2</t>
  </si>
  <si>
    <t xml:space="preserve">B3_P2(wnt1)_2</t>
  </si>
  <si>
    <t xml:space="preserve">ATTTCTTGTAGAACAGTTCCATCTC</t>
  </si>
  <si>
    <t xml:space="preserve">TCCAAATAGATTCTTCCCTCGCAAA</t>
  </si>
  <si>
    <t xml:space="preserve">JL-056-03</t>
  </si>
  <si>
    <t xml:space="preserve">Wnt-1_B3_P1_03</t>
  </si>
  <si>
    <t xml:space="preserve">GTCCCTGCCTCTATATCTTTCGTAGATGAAGGCGGTTTCACGGCA</t>
  </si>
  <si>
    <t xml:space="preserve">Wnt-1_B3_P2_03</t>
  </si>
  <si>
    <t xml:space="preserve">CGTGCGTCACCCCCGCGCTTGTGATTTCCACTCAACTTTAACCCG</t>
  </si>
  <si>
    <t xml:space="preserve">B3_P1(wnt1)_3</t>
  </si>
  <si>
    <t xml:space="preserve">B3_P2(wnt1)_3</t>
  </si>
  <si>
    <t xml:space="preserve">CGTAGATGAAGGCGGTTTCACGGCA</t>
  </si>
  <si>
    <t xml:space="preserve">CGTGCGTCACCCCCGCGCTTGTGAT</t>
  </si>
  <si>
    <t xml:space="preserve">JL-056-04</t>
  </si>
  <si>
    <t xml:space="preserve">Wnt-1_B3_P1_04</t>
  </si>
  <si>
    <t xml:space="preserve">GTCCCTGCCTCTATATCTTTGTGCAGGACTCGATGGAACCTTCGG</t>
  </si>
  <si>
    <t xml:space="preserve">Wnt-1_B3_P2_04</t>
  </si>
  <si>
    <t xml:space="preserve">GAACGGTCCACATGAGAATAGTCGCTTCCACTCAACTTTAACCCG</t>
  </si>
  <si>
    <t xml:space="preserve">B3_P1(wnt1)_4</t>
  </si>
  <si>
    <t xml:space="preserve">B3_P2(wnt1)_4</t>
  </si>
  <si>
    <t xml:space="preserve">GTGCAGGACTCGATGGAACCTTCGG</t>
  </si>
  <si>
    <t xml:space="preserve">GAACGGTCCACATGAGAATAGTCGC</t>
  </si>
  <si>
    <t xml:space="preserve">JL-056-05</t>
  </si>
  <si>
    <t xml:space="preserve">Wnt-1_B3_P1_05</t>
  </si>
  <si>
    <t xml:space="preserve">GTCCCTGCCTCTATATCTTTGACCCTCACGTTGGCGGCGGCGGCG</t>
  </si>
  <si>
    <t xml:space="preserve">Wnt-1_B3_P2_05</t>
  </si>
  <si>
    <t xml:space="preserve">GTTGTCGCTGCACCCGCCCCATTTCTTCCACTCAACTTTAACCCG</t>
  </si>
  <si>
    <t xml:space="preserve">B3_P1(wnt1)_5</t>
  </si>
  <si>
    <t xml:space="preserve">B3_P2(wnt1)_5</t>
  </si>
  <si>
    <t xml:space="preserve">GACCCTCACGTTGGCGGCGGCGGCG</t>
  </si>
  <si>
    <t xml:space="preserve">GTTGTCGCTGCACCCGCCCCATTTC</t>
  </si>
  <si>
    <t xml:space="preserve">JL-056-06</t>
  </si>
  <si>
    <t xml:space="preserve">Wnt-1_B3_P1_06</t>
  </si>
  <si>
    <t xml:space="preserve">GTCCCTGCCTCTATATCTTTCGGTGTCAACGAACTCTCGGCTGAA</t>
  </si>
  <si>
    <t xml:space="preserve">Wnt-1_B3_P2_06</t>
  </si>
  <si>
    <t xml:space="preserve">TCTCCCTAAGCGTCTTGCCCCTTTCTTCCACTCAACTTTAACCCG</t>
  </si>
  <si>
    <t xml:space="preserve">B3_P1(wnt1)_6</t>
  </si>
  <si>
    <t xml:space="preserve">B3_P2(wnt1)_6</t>
  </si>
  <si>
    <t xml:space="preserve">CGGTGTCAACGAACTCTCGGCTGAA</t>
  </si>
  <si>
    <t xml:space="preserve">TCTCCCTAAGCGTCTTGCCCCTTTC</t>
  </si>
  <si>
    <t xml:space="preserve">Template_ID</t>
  </si>
  <si>
    <t xml:space="preserve">Header as written in source</t>
  </si>
  <si>
    <t xml:space="preserve">Source file</t>
  </si>
  <si>
    <t xml:space="preserve">Length (nt)</t>
  </si>
  <si>
    <t xml:space="preserve"># pairs assigned here</t>
  </si>
  <si>
    <t xml:space="preserve">Sequence (sense, 5′→3′)</t>
  </si>
  <si>
    <t xml:space="preserve">Fluorophore (lab default)</t>
  </si>
  <si>
    <t xml:space="preserve">P1 5′ initiator half</t>
  </si>
  <si>
    <t xml:space="preserve">P1 spacer</t>
  </si>
  <si>
    <t xml:space="preserve">P2 spacer</t>
  </si>
  <si>
    <t xml:space="preserve">P2 3′ initiator half</t>
  </si>
  <si>
    <t xml:space="preserve"># sets in this file</t>
  </si>
  <si>
    <t xml:space="preserve"># pairs in this file</t>
  </si>
  <si>
    <t xml:space="preserve">GAGGAGGGCAGCAAACGG</t>
  </si>
  <si>
    <t xml:space="preserve">AA</t>
  </si>
  <si>
    <t xml:space="preserve">TA</t>
  </si>
  <si>
    <t xml:space="preserve">GAAGAGTCTTCCTTTACG</t>
  </si>
  <si>
    <t xml:space="preserve">CCTCGTAAATCCTCATCA</t>
  </si>
  <si>
    <t xml:space="preserve">ATCATCCAGTAAACCGCC</t>
  </si>
  <si>
    <t xml:space="preserve">GTCCCTGCCTCTATATCT</t>
  </si>
  <si>
    <t xml:space="preserve">TT</t>
  </si>
  <si>
    <t xml:space="preserve">CCACTCAACTTTAACCCG</t>
  </si>
  <si>
    <t xml:space="preserve">B4</t>
  </si>
  <si>
    <t xml:space="preserve">AF514</t>
  </si>
  <si>
    <t xml:space="preserve">CCTCAACCTACCTCCAAC</t>
  </si>
  <si>
    <t xml:space="preserve">AT</t>
  </si>
  <si>
    <t xml:space="preserve">TCTCACCATATTCGCTTC</t>
  </si>
  <si>
    <t xml:space="preserve">B5</t>
  </si>
  <si>
    <t xml:space="preserve">AF594</t>
  </si>
  <si>
    <t xml:space="preserve">CTCACTCCCAATCTCTAT</t>
  </si>
  <si>
    <t xml:space="preserve">CTACCCTACAAATCCAAT</t>
  </si>
</sst>
</file>

<file path=xl/styles.xml><?xml version="1.0" encoding="utf-8"?>
<styleSheet xmlns="http://schemas.openxmlformats.org/spreadsheetml/2006/main">
  <numFmts count="2">
    <numFmt numFmtId="164" formatCode="General"/>
    <numFmt numFmtId="165" formatCode="0%"/>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color rgb="FFFFFFFF"/>
      <name val="Arial"/>
      <family val="0"/>
      <charset val="1"/>
    </font>
    <font>
      <sz val="9"/>
      <name val="Courier New"/>
      <family val="0"/>
      <charset val="1"/>
    </font>
  </fonts>
  <fills count="12">
    <fill>
      <patternFill patternType="none"/>
    </fill>
    <fill>
      <patternFill patternType="gray125"/>
    </fill>
    <fill>
      <patternFill patternType="solid">
        <fgColor rgb="FF1F3864"/>
        <bgColor rgb="FF333333"/>
      </patternFill>
    </fill>
    <fill>
      <patternFill patternType="solid">
        <fgColor rgb="FFBF8F00"/>
        <bgColor rgb="FFED7D31"/>
      </patternFill>
    </fill>
    <fill>
      <patternFill patternType="solid">
        <fgColor rgb="FFF4B084"/>
        <bgColor rgb="FFFFD966"/>
      </patternFill>
    </fill>
    <fill>
      <patternFill patternType="solid">
        <fgColor rgb="FFFCE4D6"/>
        <bgColor rgb="FFFFF2CC"/>
      </patternFill>
    </fill>
    <fill>
      <patternFill patternType="solid">
        <fgColor rgb="FFFFF2CC"/>
        <bgColor rgb="FFFCE4D6"/>
      </patternFill>
    </fill>
    <fill>
      <patternFill patternType="solid">
        <fgColor rgb="FFC00000"/>
        <bgColor rgb="FF800000"/>
      </patternFill>
    </fill>
    <fill>
      <patternFill patternType="solid">
        <fgColor rgb="FF70AD47"/>
        <bgColor rgb="FF339966"/>
      </patternFill>
    </fill>
    <fill>
      <patternFill patternType="solid">
        <fgColor rgb="FFE2EFDA"/>
        <bgColor rgb="FFFCE4D6"/>
      </patternFill>
    </fill>
    <fill>
      <patternFill patternType="solid">
        <fgColor rgb="FFFFD966"/>
        <bgColor rgb="FFF4B084"/>
      </patternFill>
    </fill>
    <fill>
      <patternFill patternType="solid">
        <fgColor rgb="FFED7D31"/>
        <bgColor rgb="FFFF808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6" fillId="3"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8"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64" fontId="5" fillId="10" borderId="0" xfId="0" applyFont="true" applyBorder="false" applyAlignment="false" applyProtection="false">
      <alignment horizontal="general" vertical="bottom" textRotation="0" wrapText="false" indent="0" shrinkToFit="false"/>
      <protection locked="true" hidden="false"/>
    </xf>
    <xf numFmtId="164" fontId="5" fillId="11"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70AD47"/>
          <bgColor rgb="FF000000"/>
        </patternFill>
      </fill>
    </dxf>
    <dxf>
      <fill>
        <patternFill patternType="solid">
          <fgColor rgb="FFC00000"/>
          <bgColor rgb="FF000000"/>
        </patternFill>
      </fill>
    </dxf>
    <dxf>
      <fill>
        <patternFill patternType="solid">
          <fgColor rgb="FFF4B084"/>
          <bgColor rgb="FF000000"/>
        </patternFill>
      </fill>
    </dxf>
    <dxf>
      <fill>
        <patternFill patternType="solid">
          <fgColor rgb="FFFCE4D6"/>
          <bgColor rgb="FF000000"/>
        </patternFill>
      </fill>
    </dxf>
    <dxf>
      <fill>
        <patternFill patternType="solid">
          <fgColor rgb="FFBF8F00"/>
          <bgColor rgb="FF000000"/>
        </patternFill>
      </fill>
    </dxf>
    <dxf>
      <fill>
        <patternFill patternType="solid">
          <fgColor rgb="FFFFF2CC"/>
          <bgColor rgb="FF000000"/>
        </patternFill>
      </fill>
    </dxf>
    <dxf>
      <fill>
        <patternFill patternType="solid">
          <fgColor rgb="FFE2EFDA"/>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4B084"/>
      <rgbColor rgb="FFCC99FF"/>
      <rgbColor rgb="FFFFD966"/>
      <rgbColor rgb="FF3366FF"/>
      <rgbColor rgb="FF33CCCC"/>
      <rgbColor rgb="FF99CC00"/>
      <rgbColor rgb="FFFFCC00"/>
      <rgbColor rgb="FFBF8F00"/>
      <rgbColor rgb="FFED7D31"/>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1" t="s">
        <v>0</v>
      </c>
    </row>
    <row r="2" customFormat="false" ht="30" hidden="false" customHeight="tru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45" hidden="false" customHeight="tru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30" hidden="false" customHeight="true" outlineLevel="0" collapsed="false">
      <c r="A8" s="2" t="s">
        <v>5</v>
      </c>
    </row>
    <row r="9" customFormat="false" ht="15" hidden="false" customHeight="false" outlineLevel="0" collapsed="false">
      <c r="A9" s="2"/>
    </row>
    <row r="10" customFormat="false" ht="15" hidden="false" customHeight="false" outlineLevel="0" collapsed="false">
      <c r="A10" s="1" t="s">
        <v>6</v>
      </c>
    </row>
    <row r="11" customFormat="false" ht="75" hidden="false" customHeight="true" outlineLevel="0" collapsed="false">
      <c r="A11" s="2" t="s">
        <v>7</v>
      </c>
    </row>
    <row r="12" customFormat="false" ht="15" hidden="false" customHeight="false" outlineLevel="0" collapsed="false">
      <c r="A12" s="2"/>
    </row>
    <row r="13" customFormat="false" ht="15" hidden="false" customHeight="false" outlineLevel="0" collapsed="false">
      <c r="A13" s="1" t="s">
        <v>8</v>
      </c>
    </row>
    <row r="14" customFormat="false" ht="45" hidden="false" customHeight="true" outlineLevel="0" collapsed="false">
      <c r="A14" s="2"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20"/>
    <col collapsed="false" customWidth="true" hidden="false" outlineLevel="0" max="4" min="4" style="0" width="34"/>
    <col collapsed="false" customWidth="true" hidden="false" outlineLevel="0" max="6" min="5" style="0" width="16"/>
    <col collapsed="false" customWidth="true" hidden="false" outlineLevel="0" max="7" min="7" style="0" width="17"/>
    <col collapsed="false" customWidth="true" hidden="false" outlineLevel="0" max="8" min="8" style="0" width="18"/>
    <col collapsed="false" customWidth="true" hidden="false" outlineLevel="0" max="9" min="9" style="0" width="10"/>
    <col collapsed="false" customWidth="true" hidden="false" outlineLevel="0" max="10" min="10" style="0" width="11"/>
    <col collapsed="false" customWidth="true" hidden="false" outlineLevel="0" max="11" min="11" style="0" width="8"/>
    <col collapsed="false" customWidth="true" hidden="false" outlineLevel="0" max="12" min="12" style="0" width="11"/>
    <col collapsed="false" customWidth="true" hidden="false" outlineLevel="0" max="13" min="13" style="0" width="13"/>
    <col collapsed="false" customWidth="true" hidden="false" outlineLevel="0" max="14" min="14" style="0" width="28"/>
    <col collapsed="false" customWidth="true" hidden="false" outlineLevel="0" max="15" min="15" style="0" width="30"/>
    <col collapsed="false" customWidth="true" hidden="false" outlineLevel="0" max="16" min="16" style="0" width="12"/>
    <col collapsed="false" customWidth="true" hidden="false" outlineLevel="0" max="18" min="17" style="0" width="17"/>
    <col collapsed="false" customWidth="true" hidden="false" outlineLevel="0" max="20" min="19" style="0" width="11"/>
    <col collapsed="false" customWidth="true" hidden="false" outlineLevel="0" max="22" min="21" style="0" width="34"/>
    <col collapsed="false" customWidth="true" hidden="false" outlineLevel="0" max="23" min="23" style="0" width="30"/>
    <col collapsed="false" customWidth="true" hidden="false" outlineLevel="0" max="24" min="24" style="0" width="40"/>
    <col collapsed="false" customWidth="true" hidden="false" outlineLevel="0" max="25" min="25" style="0" width="12"/>
    <col collapsed="false" customWidth="true" hidden="false" outlineLevel="0" max="26" min="26" style="0" width="16"/>
    <col collapsed="false" customWidth="true" hidden="false" outlineLevel="0" max="27" min="27" style="0" width="12"/>
    <col collapsed="false" customWidth="true" hidden="false" outlineLevel="0" max="28" min="28" style="0" width="16"/>
    <col collapsed="false" customWidth="true" hidden="false" outlineLevel="0" max="29" min="29" style="0" width="34"/>
  </cols>
  <sheetData>
    <row r="1" customFormat="false" ht="31.5" hidden="false" customHeight="true" outlineLevel="0" collapsed="false">
      <c r="A1" s="3" t="s">
        <v>10</v>
      </c>
      <c r="B1" s="3" t="s">
        <v>11</v>
      </c>
      <c r="C1" s="3" t="s">
        <v>12</v>
      </c>
      <c r="D1" s="3" t="s">
        <v>13</v>
      </c>
      <c r="E1" s="3" t="s">
        <v>14</v>
      </c>
      <c r="F1" s="3" t="s">
        <v>15</v>
      </c>
      <c r="G1" s="3" t="s">
        <v>16</v>
      </c>
      <c r="H1" s="3" t="s">
        <v>17</v>
      </c>
      <c r="I1" s="3" t="s">
        <v>18</v>
      </c>
      <c r="J1" s="3" t="s">
        <v>19</v>
      </c>
      <c r="K1" s="3" t="s">
        <v>20</v>
      </c>
      <c r="L1" s="3" t="s">
        <v>21</v>
      </c>
      <c r="M1" s="3" t="s">
        <v>22</v>
      </c>
      <c r="N1" s="3" t="s">
        <v>23</v>
      </c>
      <c r="O1" s="3" t="s">
        <v>24</v>
      </c>
      <c r="P1" s="3" t="s">
        <v>25</v>
      </c>
      <c r="Q1" s="3" t="s">
        <v>26</v>
      </c>
      <c r="R1" s="3" t="s">
        <v>27</v>
      </c>
      <c r="S1" s="3" t="s">
        <v>28</v>
      </c>
      <c r="T1" s="3" t="s">
        <v>29</v>
      </c>
      <c r="U1" s="3" t="s">
        <v>30</v>
      </c>
      <c r="V1" s="3" t="s">
        <v>31</v>
      </c>
      <c r="W1" s="3" t="s">
        <v>32</v>
      </c>
      <c r="X1" s="3" t="s">
        <v>33</v>
      </c>
      <c r="Y1" s="4" t="s">
        <v>34</v>
      </c>
      <c r="Z1" s="4" t="s">
        <v>35</v>
      </c>
      <c r="AA1" s="4" t="s">
        <v>36</v>
      </c>
      <c r="AB1" s="4" t="s">
        <v>37</v>
      </c>
      <c r="AC1" s="4" t="s">
        <v>38</v>
      </c>
    </row>
    <row r="2" customFormat="false" ht="15" hidden="false" customHeight="false" outlineLevel="0" collapsed="false">
      <c r="A2" s="5" t="s">
        <v>39</v>
      </c>
      <c r="B2" s="5" t="s">
        <v>40</v>
      </c>
      <c r="C2" s="5" t="s">
        <v>41</v>
      </c>
      <c r="D2" s="5" t="s">
        <v>42</v>
      </c>
      <c r="E2" s="5" t="s">
        <v>43</v>
      </c>
      <c r="F2" s="5" t="s">
        <v>44</v>
      </c>
      <c r="G2" s="5"/>
      <c r="H2" s="5"/>
      <c r="I2" s="6" t="s">
        <v>45</v>
      </c>
      <c r="J2" s="5" t="s">
        <v>46</v>
      </c>
      <c r="K2" s="5" t="n">
        <f aca="false">COUNTIF(Probe_Pairs!$B:$B,A2)</f>
        <v>8</v>
      </c>
      <c r="L2" s="5" t="n">
        <f aca="false">COUNTIFS(Probe_Pairs!$B:$B,A2,Probe_Pairs!$S:$S,"Both halves")</f>
        <v>0</v>
      </c>
      <c r="M2" s="5"/>
      <c r="N2" s="5" t="s">
        <v>47</v>
      </c>
      <c r="O2" s="5" t="s">
        <v>48</v>
      </c>
      <c r="P2" s="5"/>
      <c r="Q2" s="5" t="s">
        <v>49</v>
      </c>
      <c r="R2" s="5" t="s">
        <v>44</v>
      </c>
      <c r="S2" s="5" t="n">
        <f aca="false">IF(R2="","",COUNTIFS(Probe_Pairs!$B:$B,A2,Probe_Pairs!$X:$X,"Both halves"))</f>
        <v>8</v>
      </c>
      <c r="T2" s="5" t="str">
        <f aca="false">IF(R2="","",IF(S2*2&gt;=K2,"High","Low"))</f>
        <v>High</v>
      </c>
      <c r="U2" s="5" t="s">
        <v>42</v>
      </c>
      <c r="V2" s="5" t="s">
        <v>42</v>
      </c>
      <c r="W2" s="5" t="s">
        <v>50</v>
      </c>
      <c r="X2" s="7" t="s">
        <v>51</v>
      </c>
      <c r="Y2" s="8"/>
      <c r="Z2" s="8"/>
      <c r="AA2" s="8"/>
      <c r="AB2" s="8"/>
      <c r="AC2" s="8"/>
    </row>
    <row r="3" customFormat="false" ht="15" hidden="false" customHeight="false" outlineLevel="0" collapsed="false">
      <c r="A3" s="5" t="s">
        <v>52</v>
      </c>
      <c r="B3" s="5" t="s">
        <v>40</v>
      </c>
      <c r="C3" s="5" t="s">
        <v>53</v>
      </c>
      <c r="D3" s="5" t="s">
        <v>54</v>
      </c>
      <c r="E3" s="5" t="s">
        <v>43</v>
      </c>
      <c r="F3" s="5" t="s">
        <v>55</v>
      </c>
      <c r="G3" s="5"/>
      <c r="H3" s="5"/>
      <c r="I3" s="6" t="s">
        <v>45</v>
      </c>
      <c r="J3" s="5" t="s">
        <v>46</v>
      </c>
      <c r="K3" s="5" t="n">
        <f aca="false">COUNTIF(Probe_Pairs!$B:$B,A3)</f>
        <v>10</v>
      </c>
      <c r="L3" s="5" t="n">
        <f aca="false">COUNTIFS(Probe_Pairs!$B:$B,A3,Probe_Pairs!$S:$S,"Both halves")</f>
        <v>0</v>
      </c>
      <c r="M3" s="5" t="s">
        <v>56</v>
      </c>
      <c r="N3" s="5" t="s">
        <v>53</v>
      </c>
      <c r="O3" s="5" t="s">
        <v>48</v>
      </c>
      <c r="P3" s="5"/>
      <c r="Q3" s="5" t="s">
        <v>49</v>
      </c>
      <c r="R3" s="5" t="s">
        <v>55</v>
      </c>
      <c r="S3" s="5" t="n">
        <f aca="false">IF(R3="","",COUNTIFS(Probe_Pairs!$B:$B,A3,Probe_Pairs!$X:$X,"Both halves"))</f>
        <v>10</v>
      </c>
      <c r="T3" s="5" t="str">
        <f aca="false">IF(R3="","",IF(S3*2&gt;=K3,"High","Low"))</f>
        <v>High</v>
      </c>
      <c r="U3" s="5" t="s">
        <v>54</v>
      </c>
      <c r="V3" s="5" t="s">
        <v>57</v>
      </c>
      <c r="W3" s="5" t="s">
        <v>58</v>
      </c>
      <c r="X3" s="5"/>
      <c r="Y3" s="8"/>
      <c r="Z3" s="8"/>
      <c r="AA3" s="8"/>
      <c r="AB3" s="8"/>
      <c r="AC3" s="8"/>
    </row>
    <row r="4" customFormat="false" ht="15" hidden="false" customHeight="false" outlineLevel="0" collapsed="false">
      <c r="A4" s="5" t="s">
        <v>59</v>
      </c>
      <c r="B4" s="5" t="s">
        <v>40</v>
      </c>
      <c r="C4" s="5" t="s">
        <v>60</v>
      </c>
      <c r="D4" s="5" t="s">
        <v>61</v>
      </c>
      <c r="E4" s="5" t="s">
        <v>43</v>
      </c>
      <c r="F4" s="5" t="s">
        <v>62</v>
      </c>
      <c r="G4" s="5"/>
      <c r="H4" s="5"/>
      <c r="I4" s="6" t="s">
        <v>45</v>
      </c>
      <c r="J4" s="5" t="s">
        <v>46</v>
      </c>
      <c r="K4" s="5" t="n">
        <f aca="false">COUNTIF(Probe_Pairs!$B:$B,A4)</f>
        <v>10</v>
      </c>
      <c r="L4" s="5" t="n">
        <f aca="false">COUNTIFS(Probe_Pairs!$B:$B,A4,Probe_Pairs!$S:$S,"Both halves")</f>
        <v>0</v>
      </c>
      <c r="M4" s="5"/>
      <c r="N4" s="5" t="s">
        <v>63</v>
      </c>
      <c r="O4" s="5" t="s">
        <v>48</v>
      </c>
      <c r="P4" s="5"/>
      <c r="Q4" s="5" t="s">
        <v>49</v>
      </c>
      <c r="R4" s="5" t="s">
        <v>62</v>
      </c>
      <c r="S4" s="5" t="n">
        <f aca="false">IF(R4="","",COUNTIFS(Probe_Pairs!$B:$B,A4,Probe_Pairs!$X:$X,"Both halves"))</f>
        <v>10</v>
      </c>
      <c r="T4" s="5" t="str">
        <f aca="false">IF(R4="","",IF(S4*2&gt;=K4,"High","Low"))</f>
        <v>High</v>
      </c>
      <c r="U4" s="5" t="s">
        <v>61</v>
      </c>
      <c r="V4" s="5" t="s">
        <v>64</v>
      </c>
      <c r="W4" s="5" t="s">
        <v>65</v>
      </c>
      <c r="X4" s="5"/>
      <c r="Y4" s="8"/>
      <c r="Z4" s="8"/>
      <c r="AA4" s="8"/>
      <c r="AB4" s="8"/>
      <c r="AC4" s="8"/>
    </row>
    <row r="5" customFormat="false" ht="15" hidden="false" customHeight="false" outlineLevel="0" collapsed="false">
      <c r="A5" s="5" t="s">
        <v>66</v>
      </c>
      <c r="B5" s="5" t="s">
        <v>40</v>
      </c>
      <c r="C5" s="5" t="s">
        <v>67</v>
      </c>
      <c r="D5" s="5" t="s">
        <v>68</v>
      </c>
      <c r="E5" s="5" t="s">
        <v>43</v>
      </c>
      <c r="F5" s="5" t="s">
        <v>69</v>
      </c>
      <c r="G5" s="5"/>
      <c r="H5" s="5"/>
      <c r="I5" s="6" t="s">
        <v>45</v>
      </c>
      <c r="J5" s="5" t="s">
        <v>46</v>
      </c>
      <c r="K5" s="5" t="n">
        <f aca="false">COUNTIF(Probe_Pairs!$B:$B,A5)</f>
        <v>8</v>
      </c>
      <c r="L5" s="5" t="n">
        <f aca="false">COUNTIFS(Probe_Pairs!$B:$B,A5,Probe_Pairs!$S:$S,"Both halves")</f>
        <v>0</v>
      </c>
      <c r="M5" s="5"/>
      <c r="N5" s="5" t="s">
        <v>70</v>
      </c>
      <c r="O5" s="5" t="s">
        <v>48</v>
      </c>
      <c r="P5" s="5"/>
      <c r="Q5" s="5" t="s">
        <v>49</v>
      </c>
      <c r="R5" s="5" t="s">
        <v>69</v>
      </c>
      <c r="S5" s="5" t="n">
        <f aca="false">IF(R5="","",COUNTIFS(Probe_Pairs!$B:$B,A5,Probe_Pairs!$X:$X,"Both halves"))</f>
        <v>8</v>
      </c>
      <c r="T5" s="5" t="str">
        <f aca="false">IF(R5="","",IF(S5*2&gt;=K5,"High","Low"))</f>
        <v>High</v>
      </c>
      <c r="U5" s="5" t="s">
        <v>68</v>
      </c>
      <c r="V5" s="5" t="s">
        <v>71</v>
      </c>
      <c r="W5" s="5" t="s">
        <v>72</v>
      </c>
      <c r="X5" s="5"/>
      <c r="Y5" s="8"/>
      <c r="Z5" s="8"/>
      <c r="AA5" s="8"/>
      <c r="AB5" s="8"/>
      <c r="AC5" s="8"/>
    </row>
    <row r="6" customFormat="false" ht="15" hidden="false" customHeight="false" outlineLevel="0" collapsed="false">
      <c r="A6" s="5" t="s">
        <v>73</v>
      </c>
      <c r="B6" s="5" t="s">
        <v>40</v>
      </c>
      <c r="C6" s="5" t="s">
        <v>74</v>
      </c>
      <c r="D6" s="5" t="s">
        <v>75</v>
      </c>
      <c r="E6" s="5" t="s">
        <v>43</v>
      </c>
      <c r="F6" s="5" t="s">
        <v>76</v>
      </c>
      <c r="G6" s="5"/>
      <c r="H6" s="5"/>
      <c r="I6" s="6" t="s">
        <v>45</v>
      </c>
      <c r="J6" s="5" t="s">
        <v>46</v>
      </c>
      <c r="K6" s="5" t="n">
        <f aca="false">COUNTIF(Probe_Pairs!$B:$B,A6)</f>
        <v>12</v>
      </c>
      <c r="L6" s="5" t="n">
        <f aca="false">COUNTIFS(Probe_Pairs!$B:$B,A6,Probe_Pairs!$S:$S,"Both halves")</f>
        <v>0</v>
      </c>
      <c r="M6" s="5"/>
      <c r="N6" s="5" t="s">
        <v>77</v>
      </c>
      <c r="O6" s="5" t="s">
        <v>48</v>
      </c>
      <c r="P6" s="5"/>
      <c r="Q6" s="5" t="s">
        <v>49</v>
      </c>
      <c r="R6" s="5" t="s">
        <v>76</v>
      </c>
      <c r="S6" s="5" t="n">
        <f aca="false">IF(R6="","",COUNTIFS(Probe_Pairs!$B:$B,A6,Probe_Pairs!$X:$X,"Both halves"))</f>
        <v>9</v>
      </c>
      <c r="T6" s="5" t="str">
        <f aca="false">IF(R6="","",IF(S6*2&gt;=K6,"High","Low"))</f>
        <v>High</v>
      </c>
      <c r="U6" s="5" t="s">
        <v>75</v>
      </c>
      <c r="V6" s="5" t="s">
        <v>78</v>
      </c>
      <c r="W6" s="5" t="s">
        <v>79</v>
      </c>
      <c r="X6" s="5"/>
      <c r="Y6" s="8"/>
      <c r="Z6" s="8"/>
      <c r="AA6" s="8"/>
      <c r="AB6" s="8"/>
      <c r="AC6" s="8"/>
    </row>
    <row r="7" customFormat="false" ht="15" hidden="false" customHeight="false" outlineLevel="0" collapsed="false">
      <c r="A7" s="5" t="s">
        <v>80</v>
      </c>
      <c r="B7" s="5" t="s">
        <v>40</v>
      </c>
      <c r="C7" s="5" t="s">
        <v>81</v>
      </c>
      <c r="D7" s="5" t="s">
        <v>82</v>
      </c>
      <c r="E7" s="5" t="s">
        <v>43</v>
      </c>
      <c r="F7" s="5" t="s">
        <v>83</v>
      </c>
      <c r="G7" s="5"/>
      <c r="H7" s="5"/>
      <c r="I7" s="6" t="s">
        <v>45</v>
      </c>
      <c r="J7" s="5" t="s">
        <v>46</v>
      </c>
      <c r="K7" s="5" t="n">
        <f aca="false">COUNTIF(Probe_Pairs!$B:$B,A7)</f>
        <v>6</v>
      </c>
      <c r="L7" s="5" t="n">
        <f aca="false">COUNTIFS(Probe_Pairs!$B:$B,A7,Probe_Pairs!$S:$S,"Both halves")</f>
        <v>0</v>
      </c>
      <c r="M7" s="5" t="s">
        <v>84</v>
      </c>
      <c r="N7" s="5" t="s">
        <v>85</v>
      </c>
      <c r="O7" s="5" t="s">
        <v>48</v>
      </c>
      <c r="P7" s="5"/>
      <c r="Q7" s="5" t="s">
        <v>49</v>
      </c>
      <c r="R7" s="5" t="s">
        <v>83</v>
      </c>
      <c r="S7" s="5" t="n">
        <f aca="false">IF(R7="","",COUNTIFS(Probe_Pairs!$B:$B,A7,Probe_Pairs!$X:$X,"Both halves"))</f>
        <v>3</v>
      </c>
      <c r="T7" s="5" t="str">
        <f aca="false">IF(R7="","",IF(S7*2&gt;=K7,"High","Low"))</f>
        <v>High</v>
      </c>
      <c r="U7" s="5" t="s">
        <v>82</v>
      </c>
      <c r="V7" s="5" t="s">
        <v>82</v>
      </c>
      <c r="W7" s="5" t="s">
        <v>86</v>
      </c>
      <c r="X7" s="5"/>
      <c r="Y7" s="8"/>
      <c r="Z7" s="8"/>
      <c r="AA7" s="8"/>
      <c r="AB7" s="8"/>
      <c r="AC7" s="8" t="s">
        <v>87</v>
      </c>
    </row>
    <row r="8" customFormat="false" ht="15" hidden="false" customHeight="false" outlineLevel="0" collapsed="false">
      <c r="A8" s="5" t="s">
        <v>88</v>
      </c>
      <c r="B8" s="5" t="s">
        <v>40</v>
      </c>
      <c r="C8" s="5" t="s">
        <v>89</v>
      </c>
      <c r="D8" s="5" t="s">
        <v>90</v>
      </c>
      <c r="E8" s="5" t="s">
        <v>43</v>
      </c>
      <c r="F8" s="5" t="s">
        <v>91</v>
      </c>
      <c r="G8" s="5"/>
      <c r="H8" s="5"/>
      <c r="I8" s="6" t="s">
        <v>45</v>
      </c>
      <c r="J8" s="5" t="s">
        <v>46</v>
      </c>
      <c r="K8" s="5" t="n">
        <f aca="false">COUNTIF(Probe_Pairs!$B:$B,A8)</f>
        <v>6</v>
      </c>
      <c r="L8" s="5" t="n">
        <f aca="false">COUNTIFS(Probe_Pairs!$B:$B,A8,Probe_Pairs!$S:$S,"Both halves")</f>
        <v>0</v>
      </c>
      <c r="M8" s="5" t="s">
        <v>92</v>
      </c>
      <c r="N8" s="5" t="s">
        <v>89</v>
      </c>
      <c r="O8" s="5" t="s">
        <v>48</v>
      </c>
      <c r="P8" s="5"/>
      <c r="Q8" s="5" t="s">
        <v>49</v>
      </c>
      <c r="R8" s="5" t="s">
        <v>91</v>
      </c>
      <c r="S8" s="5" t="n">
        <f aca="false">IF(R8="","",COUNTIFS(Probe_Pairs!$B:$B,A8,Probe_Pairs!$X:$X,"Both halves"))</f>
        <v>6</v>
      </c>
      <c r="T8" s="5" t="str">
        <f aca="false">IF(R8="","",IF(S8*2&gt;=K8,"High","Low"))</f>
        <v>High</v>
      </c>
      <c r="U8" s="5" t="s">
        <v>90</v>
      </c>
      <c r="V8" s="5" t="s">
        <v>93</v>
      </c>
      <c r="W8" s="5" t="s">
        <v>94</v>
      </c>
      <c r="X8" s="5"/>
      <c r="Y8" s="8"/>
      <c r="Z8" s="8"/>
      <c r="AA8" s="8"/>
      <c r="AB8" s="8"/>
      <c r="AC8" s="8"/>
    </row>
    <row r="9" customFormat="false" ht="15" hidden="false" customHeight="false" outlineLevel="0" collapsed="false">
      <c r="A9" s="5" t="s">
        <v>95</v>
      </c>
      <c r="B9" s="5" t="s">
        <v>40</v>
      </c>
      <c r="C9" s="5" t="s">
        <v>96</v>
      </c>
      <c r="D9" s="5" t="s">
        <v>97</v>
      </c>
      <c r="E9" s="5" t="s">
        <v>43</v>
      </c>
      <c r="F9" s="5" t="s">
        <v>98</v>
      </c>
      <c r="G9" s="5"/>
      <c r="H9" s="5"/>
      <c r="I9" s="6" t="s">
        <v>45</v>
      </c>
      <c r="J9" s="5" t="s">
        <v>46</v>
      </c>
      <c r="K9" s="5" t="n">
        <f aca="false">COUNTIF(Probe_Pairs!$B:$B,A9)</f>
        <v>10</v>
      </c>
      <c r="L9" s="5" t="n">
        <f aca="false">COUNTIFS(Probe_Pairs!$B:$B,A9,Probe_Pairs!$S:$S,"Both halves")</f>
        <v>0</v>
      </c>
      <c r="M9" s="5" t="s">
        <v>84</v>
      </c>
      <c r="N9" s="5" t="s">
        <v>99</v>
      </c>
      <c r="O9" s="5" t="s">
        <v>48</v>
      </c>
      <c r="P9" s="5"/>
      <c r="Q9" s="5" t="s">
        <v>49</v>
      </c>
      <c r="R9" s="5" t="s">
        <v>98</v>
      </c>
      <c r="S9" s="5" t="n">
        <f aca="false">IF(R9="","",COUNTIFS(Probe_Pairs!$B:$B,A9,Probe_Pairs!$X:$X,"Both halves"))</f>
        <v>10</v>
      </c>
      <c r="T9" s="5" t="str">
        <f aca="false">IF(R9="","",IF(S9*2&gt;=K9,"High","Low"))</f>
        <v>High</v>
      </c>
      <c r="U9" s="5" t="s">
        <v>97</v>
      </c>
      <c r="V9" s="5" t="s">
        <v>100</v>
      </c>
      <c r="W9" s="5" t="s">
        <v>101</v>
      </c>
      <c r="X9" s="5"/>
      <c r="Y9" s="8"/>
      <c r="Z9" s="8"/>
      <c r="AA9" s="8"/>
      <c r="AB9" s="8"/>
      <c r="AC9" s="8"/>
    </row>
    <row r="10" customFormat="false" ht="15" hidden="false" customHeight="false" outlineLevel="0" collapsed="false">
      <c r="A10" s="5" t="s">
        <v>102</v>
      </c>
      <c r="B10" s="5" t="s">
        <v>40</v>
      </c>
      <c r="C10" s="5" t="s">
        <v>103</v>
      </c>
      <c r="D10" s="5" t="s">
        <v>104</v>
      </c>
      <c r="E10" s="5" t="s">
        <v>43</v>
      </c>
      <c r="F10" s="5" t="s">
        <v>105</v>
      </c>
      <c r="G10" s="5"/>
      <c r="H10" s="5"/>
      <c r="I10" s="6" t="s">
        <v>45</v>
      </c>
      <c r="J10" s="5" t="s">
        <v>46</v>
      </c>
      <c r="K10" s="5" t="n">
        <f aca="false">COUNTIF(Probe_Pairs!$B:$B,A10)</f>
        <v>10</v>
      </c>
      <c r="L10" s="5" t="n">
        <f aca="false">COUNTIFS(Probe_Pairs!$B:$B,A10,Probe_Pairs!$S:$S,"Both halves")</f>
        <v>0</v>
      </c>
      <c r="M10" s="5"/>
      <c r="N10" s="5" t="s">
        <v>103</v>
      </c>
      <c r="O10" s="5" t="s">
        <v>48</v>
      </c>
      <c r="P10" s="5"/>
      <c r="Q10" s="5" t="s">
        <v>49</v>
      </c>
      <c r="R10" s="5" t="s">
        <v>105</v>
      </c>
      <c r="S10" s="5" t="n">
        <f aca="false">IF(R10="","",COUNTIFS(Probe_Pairs!$B:$B,A10,Probe_Pairs!$X:$X,"Both halves"))</f>
        <v>10</v>
      </c>
      <c r="T10" s="5" t="str">
        <f aca="false">IF(R10="","",IF(S10*2&gt;=K10,"High","Low"))</f>
        <v>High</v>
      </c>
      <c r="U10" s="5" t="s">
        <v>104</v>
      </c>
      <c r="V10" s="5" t="s">
        <v>106</v>
      </c>
      <c r="W10" s="5" t="s">
        <v>107</v>
      </c>
      <c r="X10" s="5"/>
      <c r="Y10" s="8"/>
      <c r="Z10" s="8"/>
      <c r="AA10" s="8"/>
      <c r="AB10" s="8"/>
      <c r="AC10" s="8"/>
    </row>
    <row r="11" customFormat="false" ht="15" hidden="false" customHeight="false" outlineLevel="0" collapsed="false">
      <c r="A11" s="5" t="s">
        <v>108</v>
      </c>
      <c r="B11" s="5" t="s">
        <v>40</v>
      </c>
      <c r="C11" s="5" t="s">
        <v>109</v>
      </c>
      <c r="D11" s="5" t="s">
        <v>110</v>
      </c>
      <c r="E11" s="5" t="s">
        <v>43</v>
      </c>
      <c r="F11" s="5" t="s">
        <v>111</v>
      </c>
      <c r="G11" s="5"/>
      <c r="H11" s="5"/>
      <c r="I11" s="6" t="s">
        <v>45</v>
      </c>
      <c r="J11" s="5" t="s">
        <v>46</v>
      </c>
      <c r="K11" s="5" t="n">
        <f aca="false">COUNTIF(Probe_Pairs!$B:$B,A11)</f>
        <v>10</v>
      </c>
      <c r="L11" s="5" t="n">
        <f aca="false">COUNTIFS(Probe_Pairs!$B:$B,A11,Probe_Pairs!$S:$S,"Both halves")</f>
        <v>0</v>
      </c>
      <c r="M11" s="5"/>
      <c r="N11" s="5" t="s">
        <v>112</v>
      </c>
      <c r="O11" s="5" t="s">
        <v>48</v>
      </c>
      <c r="P11" s="5"/>
      <c r="Q11" s="5" t="s">
        <v>49</v>
      </c>
      <c r="R11" s="5" t="s">
        <v>111</v>
      </c>
      <c r="S11" s="5" t="n">
        <f aca="false">IF(R11="","",COUNTIFS(Probe_Pairs!$B:$B,A11,Probe_Pairs!$X:$X,"Both halves"))</f>
        <v>10</v>
      </c>
      <c r="T11" s="5" t="str">
        <f aca="false">IF(R11="","",IF(S11*2&gt;=K11,"High","Low"))</f>
        <v>High</v>
      </c>
      <c r="U11" s="5" t="s">
        <v>110</v>
      </c>
      <c r="V11" s="5" t="s">
        <v>113</v>
      </c>
      <c r="W11" s="5" t="s">
        <v>114</v>
      </c>
      <c r="X11" s="5"/>
      <c r="Y11" s="8"/>
      <c r="Z11" s="8"/>
      <c r="AA11" s="8"/>
      <c r="AB11" s="8"/>
      <c r="AC11" s="8"/>
    </row>
    <row r="12" customFormat="false" ht="15" hidden="false" customHeight="false" outlineLevel="0" collapsed="false">
      <c r="A12" s="5" t="s">
        <v>115</v>
      </c>
      <c r="B12" s="5" t="s">
        <v>40</v>
      </c>
      <c r="C12" s="5" t="s">
        <v>116</v>
      </c>
      <c r="D12" s="5" t="s">
        <v>117</v>
      </c>
      <c r="E12" s="5" t="s">
        <v>43</v>
      </c>
      <c r="F12" s="5" t="s">
        <v>118</v>
      </c>
      <c r="G12" s="5"/>
      <c r="H12" s="5"/>
      <c r="I12" s="6" t="s">
        <v>45</v>
      </c>
      <c r="J12" s="5" t="s">
        <v>46</v>
      </c>
      <c r="K12" s="5" t="n">
        <f aca="false">COUNTIF(Probe_Pairs!$B:$B,A12)</f>
        <v>9</v>
      </c>
      <c r="L12" s="5" t="n">
        <f aca="false">COUNTIFS(Probe_Pairs!$B:$B,A12,Probe_Pairs!$S:$S,"Both halves")</f>
        <v>0</v>
      </c>
      <c r="M12" s="5"/>
      <c r="N12" s="5" t="s">
        <v>119</v>
      </c>
      <c r="O12" s="5" t="s">
        <v>48</v>
      </c>
      <c r="P12" s="5"/>
      <c r="Q12" s="5" t="s">
        <v>49</v>
      </c>
      <c r="R12" s="5" t="s">
        <v>120</v>
      </c>
      <c r="S12" s="5" t="n">
        <f aca="false">IF(R12="","",COUNTIFS(Probe_Pairs!$B:$B,A12,Probe_Pairs!$X:$X,"Both halves"))</f>
        <v>9</v>
      </c>
      <c r="T12" s="5" t="str">
        <f aca="false">IF(R12="","",IF(S12*2&gt;=K12,"High","Low"))</f>
        <v>High</v>
      </c>
      <c r="U12" s="5" t="s">
        <v>117</v>
      </c>
      <c r="V12" s="5" t="s">
        <v>121</v>
      </c>
      <c r="W12" s="5" t="s">
        <v>122</v>
      </c>
      <c r="X12" s="7" t="s">
        <v>123</v>
      </c>
      <c r="Y12" s="8"/>
      <c r="Z12" s="8"/>
      <c r="AA12" s="8"/>
      <c r="AB12" s="8"/>
      <c r="AC12" s="8"/>
    </row>
    <row r="13" customFormat="false" ht="15" hidden="false" customHeight="false" outlineLevel="0" collapsed="false">
      <c r="A13" s="5" t="s">
        <v>124</v>
      </c>
      <c r="B13" s="5" t="s">
        <v>40</v>
      </c>
      <c r="C13" s="5" t="s">
        <v>125</v>
      </c>
      <c r="D13" s="5" t="s">
        <v>126</v>
      </c>
      <c r="E13" s="5" t="s">
        <v>43</v>
      </c>
      <c r="F13" s="5" t="s">
        <v>127</v>
      </c>
      <c r="G13" s="5"/>
      <c r="H13" s="5"/>
      <c r="I13" s="6" t="s">
        <v>45</v>
      </c>
      <c r="J13" s="5" t="s">
        <v>46</v>
      </c>
      <c r="K13" s="5" t="n">
        <f aca="false">COUNTIF(Probe_Pairs!$B:$B,A13)</f>
        <v>3</v>
      </c>
      <c r="L13" s="5" t="n">
        <f aca="false">COUNTIFS(Probe_Pairs!$B:$B,A13,Probe_Pairs!$S:$S,"Both halves")</f>
        <v>0</v>
      </c>
      <c r="M13" s="5" t="s">
        <v>56</v>
      </c>
      <c r="N13" s="5" t="s">
        <v>125</v>
      </c>
      <c r="O13" s="5" t="s">
        <v>48</v>
      </c>
      <c r="P13" s="5"/>
      <c r="Q13" s="5" t="s">
        <v>49</v>
      </c>
      <c r="R13" s="5" t="s">
        <v>127</v>
      </c>
      <c r="S13" s="5" t="n">
        <f aca="false">IF(R13="","",COUNTIFS(Probe_Pairs!$B:$B,A13,Probe_Pairs!$X:$X,"Both halves"))</f>
        <v>3</v>
      </c>
      <c r="T13" s="5" t="str">
        <f aca="false">IF(R13="","",IF(S13*2&gt;=K13,"High","Low"))</f>
        <v>High</v>
      </c>
      <c r="U13" s="5" t="s">
        <v>126</v>
      </c>
      <c r="V13" s="5" t="s">
        <v>128</v>
      </c>
      <c r="W13" s="5" t="s">
        <v>129</v>
      </c>
      <c r="X13" s="5"/>
      <c r="Y13" s="8"/>
      <c r="Z13" s="8"/>
      <c r="AA13" s="8"/>
      <c r="AB13" s="8"/>
      <c r="AC13" s="8"/>
    </row>
    <row r="14" customFormat="false" ht="15" hidden="false" customHeight="false" outlineLevel="0" collapsed="false">
      <c r="A14" s="5" t="s">
        <v>130</v>
      </c>
      <c r="B14" s="5" t="s">
        <v>40</v>
      </c>
      <c r="C14" s="5" t="s">
        <v>131</v>
      </c>
      <c r="D14" s="5" t="s">
        <v>132</v>
      </c>
      <c r="E14" s="5" t="s">
        <v>43</v>
      </c>
      <c r="F14" s="5" t="s">
        <v>133</v>
      </c>
      <c r="G14" s="5"/>
      <c r="H14" s="5"/>
      <c r="I14" s="6" t="s">
        <v>45</v>
      </c>
      <c r="J14" s="5" t="s">
        <v>46</v>
      </c>
      <c r="K14" s="5" t="n">
        <f aca="false">COUNTIF(Probe_Pairs!$B:$B,A14)</f>
        <v>12</v>
      </c>
      <c r="L14" s="5" t="n">
        <f aca="false">COUNTIFS(Probe_Pairs!$B:$B,A14,Probe_Pairs!$S:$S,"Both halves")</f>
        <v>0</v>
      </c>
      <c r="M14" s="5"/>
      <c r="N14" s="5" t="s">
        <v>131</v>
      </c>
      <c r="O14" s="5" t="s">
        <v>48</v>
      </c>
      <c r="P14" s="5"/>
      <c r="Q14" s="5" t="s">
        <v>49</v>
      </c>
      <c r="R14" s="5" t="s">
        <v>133</v>
      </c>
      <c r="S14" s="5" t="n">
        <f aca="false">IF(R14="","",COUNTIFS(Probe_Pairs!$B:$B,A14,Probe_Pairs!$X:$X,"Both halves"))</f>
        <v>12</v>
      </c>
      <c r="T14" s="5" t="str">
        <f aca="false">IF(R14="","",IF(S14*2&gt;=K14,"High","Low"))</f>
        <v>High</v>
      </c>
      <c r="U14" s="5" t="s">
        <v>132</v>
      </c>
      <c r="V14" s="5" t="s">
        <v>132</v>
      </c>
      <c r="W14" s="5" t="s">
        <v>134</v>
      </c>
      <c r="X14" s="5"/>
      <c r="Y14" s="8"/>
      <c r="Z14" s="8"/>
      <c r="AA14" s="8"/>
      <c r="AB14" s="8"/>
      <c r="AC14" s="8"/>
    </row>
    <row r="15" customFormat="false" ht="15" hidden="false" customHeight="false" outlineLevel="0" collapsed="false">
      <c r="A15" s="5" t="s">
        <v>135</v>
      </c>
      <c r="B15" s="5" t="s">
        <v>40</v>
      </c>
      <c r="C15" s="5" t="s">
        <v>136</v>
      </c>
      <c r="D15" s="5" t="s">
        <v>137</v>
      </c>
      <c r="E15" s="5" t="s">
        <v>43</v>
      </c>
      <c r="F15" s="5" t="s">
        <v>138</v>
      </c>
      <c r="G15" s="5"/>
      <c r="H15" s="5"/>
      <c r="I15" s="6" t="s">
        <v>45</v>
      </c>
      <c r="J15" s="5" t="s">
        <v>46</v>
      </c>
      <c r="K15" s="5" t="n">
        <f aca="false">COUNTIF(Probe_Pairs!$B:$B,A15)</f>
        <v>8</v>
      </c>
      <c r="L15" s="5" t="n">
        <f aca="false">COUNTIFS(Probe_Pairs!$B:$B,A15,Probe_Pairs!$S:$S,"Both halves")</f>
        <v>0</v>
      </c>
      <c r="M15" s="5"/>
      <c r="N15" s="5" t="s">
        <v>136</v>
      </c>
      <c r="O15" s="5" t="s">
        <v>48</v>
      </c>
      <c r="P15" s="5"/>
      <c r="Q15" s="5" t="s">
        <v>49</v>
      </c>
      <c r="R15" s="5" t="s">
        <v>138</v>
      </c>
      <c r="S15" s="5" t="n">
        <f aca="false">IF(R15="","",COUNTIFS(Probe_Pairs!$B:$B,A15,Probe_Pairs!$X:$X,"Both halves"))</f>
        <v>8</v>
      </c>
      <c r="T15" s="5" t="str">
        <f aca="false">IF(R15="","",IF(S15*2&gt;=K15,"High","Low"))</f>
        <v>High</v>
      </c>
      <c r="U15" s="5" t="s">
        <v>137</v>
      </c>
      <c r="V15" s="5" t="s">
        <v>137</v>
      </c>
      <c r="W15" s="5" t="s">
        <v>139</v>
      </c>
      <c r="X15" s="5"/>
      <c r="Y15" s="8"/>
      <c r="Z15" s="8"/>
      <c r="AA15" s="8"/>
      <c r="AB15" s="8"/>
      <c r="AC15" s="8"/>
    </row>
    <row r="16" customFormat="false" ht="15" hidden="false" customHeight="false" outlineLevel="0" collapsed="false">
      <c r="A16" s="5" t="s">
        <v>140</v>
      </c>
      <c r="B16" s="5" t="s">
        <v>40</v>
      </c>
      <c r="C16" s="5" t="s">
        <v>141</v>
      </c>
      <c r="D16" s="5" t="s">
        <v>142</v>
      </c>
      <c r="E16" s="5" t="s">
        <v>43</v>
      </c>
      <c r="F16" s="5" t="s">
        <v>143</v>
      </c>
      <c r="G16" s="5"/>
      <c r="H16" s="5"/>
      <c r="I16" s="6" t="s">
        <v>45</v>
      </c>
      <c r="J16" s="5" t="s">
        <v>46</v>
      </c>
      <c r="K16" s="5" t="n">
        <f aca="false">COUNTIF(Probe_Pairs!$B:$B,A16)</f>
        <v>12</v>
      </c>
      <c r="L16" s="5" t="n">
        <f aca="false">COUNTIFS(Probe_Pairs!$B:$B,A16,Probe_Pairs!$S:$S,"Both halves")</f>
        <v>0</v>
      </c>
      <c r="M16" s="5"/>
      <c r="N16" s="5" t="s">
        <v>144</v>
      </c>
      <c r="O16" s="5" t="s">
        <v>48</v>
      </c>
      <c r="P16" s="5"/>
      <c r="Q16" s="5" t="s">
        <v>49</v>
      </c>
      <c r="R16" s="5" t="s">
        <v>143</v>
      </c>
      <c r="S16" s="5" t="n">
        <f aca="false">IF(R16="","",COUNTIFS(Probe_Pairs!$B:$B,A16,Probe_Pairs!$X:$X,"Both halves"))</f>
        <v>12</v>
      </c>
      <c r="T16" s="5" t="str">
        <f aca="false">IF(R16="","",IF(S16*2&gt;=K16,"High","Low"))</f>
        <v>High</v>
      </c>
      <c r="U16" s="5" t="s">
        <v>142</v>
      </c>
      <c r="V16" s="5" t="s">
        <v>145</v>
      </c>
      <c r="W16" s="5" t="s">
        <v>146</v>
      </c>
      <c r="X16" s="5"/>
      <c r="Y16" s="8"/>
      <c r="Z16" s="8"/>
      <c r="AA16" s="8"/>
      <c r="AB16" s="8"/>
      <c r="AC16" s="8"/>
    </row>
    <row r="17" customFormat="false" ht="15" hidden="false" customHeight="false" outlineLevel="0" collapsed="false">
      <c r="A17" s="5" t="s">
        <v>147</v>
      </c>
      <c r="B17" s="5" t="s">
        <v>40</v>
      </c>
      <c r="C17" s="5" t="s">
        <v>148</v>
      </c>
      <c r="D17" s="5" t="s">
        <v>149</v>
      </c>
      <c r="E17" s="5" t="s">
        <v>43</v>
      </c>
      <c r="F17" s="5" t="s">
        <v>150</v>
      </c>
      <c r="G17" s="5"/>
      <c r="H17" s="5"/>
      <c r="I17" s="6" t="s">
        <v>45</v>
      </c>
      <c r="J17" s="5" t="s">
        <v>46</v>
      </c>
      <c r="K17" s="5" t="n">
        <f aca="false">COUNTIF(Probe_Pairs!$B:$B,A17)</f>
        <v>12</v>
      </c>
      <c r="L17" s="5" t="n">
        <f aca="false">COUNTIFS(Probe_Pairs!$B:$B,A17,Probe_Pairs!$S:$S,"Both halves")</f>
        <v>0</v>
      </c>
      <c r="M17" s="5" t="s">
        <v>84</v>
      </c>
      <c r="N17" s="5" t="s">
        <v>151</v>
      </c>
      <c r="O17" s="5" t="s">
        <v>48</v>
      </c>
      <c r="P17" s="5"/>
      <c r="Q17" s="5" t="s">
        <v>49</v>
      </c>
      <c r="R17" s="5" t="s">
        <v>150</v>
      </c>
      <c r="S17" s="5" t="n">
        <f aca="false">IF(R17="","",COUNTIFS(Probe_Pairs!$B:$B,A17,Probe_Pairs!$X:$X,"Both halves"))</f>
        <v>12</v>
      </c>
      <c r="T17" s="5" t="str">
        <f aca="false">IF(R17="","",IF(S17*2&gt;=K17,"High","Low"))</f>
        <v>High</v>
      </c>
      <c r="U17" s="5" t="s">
        <v>149</v>
      </c>
      <c r="V17" s="5" t="s">
        <v>149</v>
      </c>
      <c r="W17" s="5" t="s">
        <v>152</v>
      </c>
      <c r="X17" s="5"/>
      <c r="Y17" s="8"/>
      <c r="Z17" s="8"/>
      <c r="AA17" s="8"/>
      <c r="AB17" s="8"/>
      <c r="AC17" s="8"/>
    </row>
    <row r="18" customFormat="false" ht="15" hidden="false" customHeight="false" outlineLevel="0" collapsed="false">
      <c r="A18" s="5" t="s">
        <v>153</v>
      </c>
      <c r="B18" s="5" t="s">
        <v>40</v>
      </c>
      <c r="C18" s="5" t="s">
        <v>154</v>
      </c>
      <c r="D18" s="5" t="s">
        <v>155</v>
      </c>
      <c r="E18" s="5" t="s">
        <v>43</v>
      </c>
      <c r="F18" s="5" t="s">
        <v>156</v>
      </c>
      <c r="G18" s="5"/>
      <c r="H18" s="5"/>
      <c r="I18" s="6" t="s">
        <v>45</v>
      </c>
      <c r="J18" s="5" t="s">
        <v>46</v>
      </c>
      <c r="K18" s="5" t="n">
        <f aca="false">COUNTIF(Probe_Pairs!$B:$B,A18)</f>
        <v>12</v>
      </c>
      <c r="L18" s="5" t="n">
        <f aca="false">COUNTIFS(Probe_Pairs!$B:$B,A18,Probe_Pairs!$S:$S,"Both halves")</f>
        <v>0</v>
      </c>
      <c r="M18" s="5" t="s">
        <v>56</v>
      </c>
      <c r="N18" s="5" t="s">
        <v>157</v>
      </c>
      <c r="O18" s="5" t="s">
        <v>48</v>
      </c>
      <c r="P18" s="5"/>
      <c r="Q18" s="5" t="s">
        <v>49</v>
      </c>
      <c r="R18" s="5" t="s">
        <v>156</v>
      </c>
      <c r="S18" s="5" t="n">
        <f aca="false">IF(R18="","",COUNTIFS(Probe_Pairs!$B:$B,A18,Probe_Pairs!$X:$X,"Both halves"))</f>
        <v>12</v>
      </c>
      <c r="T18" s="5" t="str">
        <f aca="false">IF(R18="","",IF(S18*2&gt;=K18,"High","Low"))</f>
        <v>High</v>
      </c>
      <c r="U18" s="5" t="s">
        <v>155</v>
      </c>
      <c r="V18" s="5" t="s">
        <v>155</v>
      </c>
      <c r="W18" s="5" t="s">
        <v>158</v>
      </c>
      <c r="X18" s="5"/>
      <c r="Y18" s="8"/>
      <c r="Z18" s="8"/>
      <c r="AA18" s="8"/>
      <c r="AB18" s="8"/>
      <c r="AC18" s="8"/>
    </row>
    <row r="19" customFormat="false" ht="15" hidden="false" customHeight="false" outlineLevel="0" collapsed="false">
      <c r="A19" s="5" t="s">
        <v>159</v>
      </c>
      <c r="B19" s="5" t="s">
        <v>40</v>
      </c>
      <c r="C19" s="5" t="s">
        <v>160</v>
      </c>
      <c r="D19" s="5" t="s">
        <v>161</v>
      </c>
      <c r="E19" s="5" t="s">
        <v>43</v>
      </c>
      <c r="F19" s="5" t="s">
        <v>162</v>
      </c>
      <c r="G19" s="5"/>
      <c r="H19" s="5"/>
      <c r="I19" s="9" t="s">
        <v>92</v>
      </c>
      <c r="J19" s="5" t="s">
        <v>163</v>
      </c>
      <c r="K19" s="5" t="n">
        <f aca="false">COUNTIF(Probe_Pairs!$B:$B,A19)</f>
        <v>8</v>
      </c>
      <c r="L19" s="5" t="n">
        <f aca="false">COUNTIFS(Probe_Pairs!$B:$B,A19,Probe_Pairs!$S:$S,"Both halves")</f>
        <v>0</v>
      </c>
      <c r="M19" s="5" t="s">
        <v>56</v>
      </c>
      <c r="N19" s="5" t="s">
        <v>164</v>
      </c>
      <c r="O19" s="5" t="s">
        <v>48</v>
      </c>
      <c r="P19" s="5"/>
      <c r="Q19" s="5" t="s">
        <v>165</v>
      </c>
      <c r="R19" s="5" t="s">
        <v>162</v>
      </c>
      <c r="S19" s="5" t="n">
        <f aca="false">IF(R19="","",COUNTIFS(Probe_Pairs!$B:$B,A19,Probe_Pairs!$X:$X,"Both halves"))</f>
        <v>8</v>
      </c>
      <c r="T19" s="5" t="str">
        <f aca="false">IF(R19="","",IF(S19*2&gt;=K19,"High","Low"))</f>
        <v>High</v>
      </c>
      <c r="U19" s="5" t="s">
        <v>161</v>
      </c>
      <c r="V19" s="5" t="s">
        <v>161</v>
      </c>
      <c r="W19" s="5" t="s">
        <v>166</v>
      </c>
      <c r="X19" s="5"/>
      <c r="Y19" s="8"/>
      <c r="Z19" s="8"/>
      <c r="AA19" s="8"/>
      <c r="AB19" s="8"/>
      <c r="AC19" s="8"/>
    </row>
    <row r="20" customFormat="false" ht="15" hidden="false" customHeight="false" outlineLevel="0" collapsed="false">
      <c r="A20" s="5" t="s">
        <v>167</v>
      </c>
      <c r="B20" s="5" t="s">
        <v>40</v>
      </c>
      <c r="C20" s="5" t="s">
        <v>168</v>
      </c>
      <c r="D20" s="5" t="s">
        <v>169</v>
      </c>
      <c r="E20" s="5" t="s">
        <v>43</v>
      </c>
      <c r="F20" s="5" t="s">
        <v>170</v>
      </c>
      <c r="G20" s="5"/>
      <c r="H20" s="5"/>
      <c r="I20" s="9" t="s">
        <v>92</v>
      </c>
      <c r="J20" s="5" t="s">
        <v>163</v>
      </c>
      <c r="K20" s="5" t="n">
        <f aca="false">COUNTIF(Probe_Pairs!$B:$B,A20)</f>
        <v>8</v>
      </c>
      <c r="L20" s="5" t="n">
        <f aca="false">COUNTIFS(Probe_Pairs!$B:$B,A20,Probe_Pairs!$S:$S,"Both halves")</f>
        <v>0</v>
      </c>
      <c r="M20" s="5" t="s">
        <v>56</v>
      </c>
      <c r="N20" s="5" t="s">
        <v>171</v>
      </c>
      <c r="O20" s="5" t="s">
        <v>48</v>
      </c>
      <c r="P20" s="5"/>
      <c r="Q20" s="5" t="s">
        <v>49</v>
      </c>
      <c r="R20" s="5" t="s">
        <v>170</v>
      </c>
      <c r="S20" s="5" t="n">
        <f aca="false">IF(R20="","",COUNTIFS(Probe_Pairs!$B:$B,A20,Probe_Pairs!$X:$X,"Both halves"))</f>
        <v>8</v>
      </c>
      <c r="T20" s="5" t="str">
        <f aca="false">IF(R20="","",IF(S20*2&gt;=K20,"High","Low"))</f>
        <v>High</v>
      </c>
      <c r="U20" s="5" t="s">
        <v>169</v>
      </c>
      <c r="V20" s="5" t="s">
        <v>172</v>
      </c>
      <c r="W20" s="5" t="s">
        <v>173</v>
      </c>
      <c r="X20" s="5"/>
      <c r="Y20" s="8" t="s">
        <v>174</v>
      </c>
      <c r="Z20" s="8"/>
      <c r="AA20" s="8"/>
      <c r="AB20" s="8"/>
      <c r="AC20" s="8" t="s">
        <v>175</v>
      </c>
    </row>
    <row r="21" customFormat="false" ht="15" hidden="false" customHeight="false" outlineLevel="0" collapsed="false">
      <c r="A21" s="5" t="s">
        <v>176</v>
      </c>
      <c r="B21" s="5" t="s">
        <v>40</v>
      </c>
      <c r="C21" s="5" t="s">
        <v>177</v>
      </c>
      <c r="D21" s="5" t="s">
        <v>178</v>
      </c>
      <c r="E21" s="5" t="s">
        <v>43</v>
      </c>
      <c r="F21" s="5" t="s">
        <v>179</v>
      </c>
      <c r="G21" s="5"/>
      <c r="H21" s="5"/>
      <c r="I21" s="9" t="s">
        <v>92</v>
      </c>
      <c r="J21" s="5" t="s">
        <v>163</v>
      </c>
      <c r="K21" s="5" t="n">
        <f aca="false">COUNTIF(Probe_Pairs!$B:$B,A21)</f>
        <v>8</v>
      </c>
      <c r="L21" s="5" t="n">
        <f aca="false">COUNTIFS(Probe_Pairs!$B:$B,A21,Probe_Pairs!$S:$S,"Both halves")</f>
        <v>0</v>
      </c>
      <c r="M21" s="5"/>
      <c r="N21" s="5" t="s">
        <v>180</v>
      </c>
      <c r="O21" s="5" t="s">
        <v>48</v>
      </c>
      <c r="P21" s="5"/>
      <c r="Q21" s="5" t="s">
        <v>49</v>
      </c>
      <c r="R21" s="5" t="s">
        <v>179</v>
      </c>
      <c r="S21" s="5" t="n">
        <f aca="false">IF(R21="","",COUNTIFS(Probe_Pairs!$B:$B,A21,Probe_Pairs!$X:$X,"Both halves"))</f>
        <v>8</v>
      </c>
      <c r="T21" s="5" t="str">
        <f aca="false">IF(R21="","",IF(S21*2&gt;=K21,"High","Low"))</f>
        <v>High</v>
      </c>
      <c r="U21" s="5" t="s">
        <v>178</v>
      </c>
      <c r="V21" s="5" t="s">
        <v>181</v>
      </c>
      <c r="W21" s="5" t="s">
        <v>182</v>
      </c>
      <c r="X21" s="5"/>
      <c r="Y21" s="8"/>
      <c r="Z21" s="8"/>
      <c r="AA21" s="8"/>
      <c r="AB21" s="8"/>
      <c r="AC21" s="8"/>
    </row>
    <row r="22" customFormat="false" ht="15" hidden="false" customHeight="false" outlineLevel="0" collapsed="false">
      <c r="A22" s="5" t="s">
        <v>183</v>
      </c>
      <c r="B22" s="5" t="s">
        <v>40</v>
      </c>
      <c r="C22" s="5" t="s">
        <v>184</v>
      </c>
      <c r="D22" s="5" t="s">
        <v>185</v>
      </c>
      <c r="E22" s="5" t="s">
        <v>43</v>
      </c>
      <c r="F22" s="5" t="s">
        <v>120</v>
      </c>
      <c r="G22" s="5"/>
      <c r="H22" s="5"/>
      <c r="I22" s="9" t="s">
        <v>92</v>
      </c>
      <c r="J22" s="5" t="s">
        <v>163</v>
      </c>
      <c r="K22" s="5" t="n">
        <f aca="false">COUNTIF(Probe_Pairs!$B:$B,A22)</f>
        <v>9</v>
      </c>
      <c r="L22" s="5" t="n">
        <f aca="false">COUNTIFS(Probe_Pairs!$B:$B,A22,Probe_Pairs!$S:$S,"Both halves")</f>
        <v>0</v>
      </c>
      <c r="M22" s="5"/>
      <c r="N22" s="5" t="s">
        <v>186</v>
      </c>
      <c r="O22" s="5" t="s">
        <v>48</v>
      </c>
      <c r="P22" s="5"/>
      <c r="Q22" s="5" t="s">
        <v>49</v>
      </c>
      <c r="R22" s="5" t="s">
        <v>118</v>
      </c>
      <c r="S22" s="5" t="n">
        <f aca="false">IF(R22="","",COUNTIFS(Probe_Pairs!$B:$B,A22,Probe_Pairs!$X:$X,"Both halves"))</f>
        <v>9</v>
      </c>
      <c r="T22" s="5" t="str">
        <f aca="false">IF(R22="","",IF(S22*2&gt;=K22,"High","Low"))</f>
        <v>High</v>
      </c>
      <c r="U22" s="5" t="s">
        <v>185</v>
      </c>
      <c r="V22" s="5" t="s">
        <v>187</v>
      </c>
      <c r="W22" s="5" t="s">
        <v>188</v>
      </c>
      <c r="X22" s="7" t="s">
        <v>189</v>
      </c>
      <c r="Y22" s="8"/>
      <c r="Z22" s="8"/>
      <c r="AA22" s="8"/>
      <c r="AB22" s="8"/>
      <c r="AC22" s="8"/>
    </row>
    <row r="23" customFormat="false" ht="15" hidden="false" customHeight="false" outlineLevel="0" collapsed="false">
      <c r="A23" s="5" t="s">
        <v>190</v>
      </c>
      <c r="B23" s="5" t="s">
        <v>40</v>
      </c>
      <c r="C23" s="5" t="s">
        <v>191</v>
      </c>
      <c r="D23" s="5" t="s">
        <v>192</v>
      </c>
      <c r="E23" s="5" t="s">
        <v>43</v>
      </c>
      <c r="F23" s="5" t="s">
        <v>193</v>
      </c>
      <c r="G23" s="5"/>
      <c r="H23" s="5"/>
      <c r="I23" s="9" t="s">
        <v>92</v>
      </c>
      <c r="J23" s="5" t="s">
        <v>163</v>
      </c>
      <c r="K23" s="5" t="n">
        <f aca="false">COUNTIF(Probe_Pairs!$B:$B,A23)</f>
        <v>8</v>
      </c>
      <c r="L23" s="5" t="n">
        <f aca="false">COUNTIFS(Probe_Pairs!$B:$B,A23,Probe_Pairs!$S:$S,"Both halves")</f>
        <v>0</v>
      </c>
      <c r="M23" s="5"/>
      <c r="N23" s="5" t="s">
        <v>194</v>
      </c>
      <c r="O23" s="5" t="s">
        <v>48</v>
      </c>
      <c r="P23" s="5"/>
      <c r="Q23" s="5" t="s">
        <v>49</v>
      </c>
      <c r="R23" s="5" t="s">
        <v>193</v>
      </c>
      <c r="S23" s="5" t="n">
        <f aca="false">IF(R23="","",COUNTIFS(Probe_Pairs!$B:$B,A23,Probe_Pairs!$X:$X,"Both halves"))</f>
        <v>8</v>
      </c>
      <c r="T23" s="5" t="str">
        <f aca="false">IF(R23="","",IF(S23*2&gt;=K23,"High","Low"))</f>
        <v>High</v>
      </c>
      <c r="U23" s="5" t="s">
        <v>192</v>
      </c>
      <c r="V23" s="5" t="s">
        <v>195</v>
      </c>
      <c r="W23" s="5" t="s">
        <v>196</v>
      </c>
      <c r="X23" s="5"/>
      <c r="Y23" s="8"/>
      <c r="Z23" s="8"/>
      <c r="AA23" s="8"/>
      <c r="AB23" s="8"/>
      <c r="AC23" s="8"/>
    </row>
    <row r="24" customFormat="false" ht="15" hidden="false" customHeight="false" outlineLevel="0" collapsed="false">
      <c r="A24" s="5" t="s">
        <v>197</v>
      </c>
      <c r="B24" s="5" t="s">
        <v>40</v>
      </c>
      <c r="C24" s="5" t="s">
        <v>198</v>
      </c>
      <c r="D24" s="5" t="s">
        <v>199</v>
      </c>
      <c r="E24" s="5" t="s">
        <v>43</v>
      </c>
      <c r="F24" s="5" t="s">
        <v>200</v>
      </c>
      <c r="G24" s="5"/>
      <c r="H24" s="5"/>
      <c r="I24" s="9" t="s">
        <v>92</v>
      </c>
      <c r="J24" s="5" t="s">
        <v>163</v>
      </c>
      <c r="K24" s="5" t="n">
        <f aca="false">COUNTIF(Probe_Pairs!$B:$B,A24)</f>
        <v>10</v>
      </c>
      <c r="L24" s="5" t="n">
        <f aca="false">COUNTIFS(Probe_Pairs!$B:$B,A24,Probe_Pairs!$S:$S,"Both halves")</f>
        <v>0</v>
      </c>
      <c r="M24" s="5"/>
      <c r="N24" s="5" t="s">
        <v>198</v>
      </c>
      <c r="O24" s="5" t="s">
        <v>48</v>
      </c>
      <c r="P24" s="5"/>
      <c r="Q24" s="5" t="s">
        <v>49</v>
      </c>
      <c r="R24" s="5" t="s">
        <v>200</v>
      </c>
      <c r="S24" s="5" t="n">
        <f aca="false">IF(R24="","",COUNTIFS(Probe_Pairs!$B:$B,A24,Probe_Pairs!$X:$X,"Both halves"))</f>
        <v>10</v>
      </c>
      <c r="T24" s="5" t="str">
        <f aca="false">IF(R24="","",IF(S24*2&gt;=K24,"High","Low"))</f>
        <v>High</v>
      </c>
      <c r="U24" s="5" t="s">
        <v>199</v>
      </c>
      <c r="V24" s="5" t="s">
        <v>201</v>
      </c>
      <c r="W24" s="5" t="s">
        <v>202</v>
      </c>
      <c r="X24" s="5"/>
      <c r="Y24" s="8"/>
      <c r="Z24" s="8"/>
      <c r="AA24" s="8"/>
      <c r="AB24" s="8"/>
      <c r="AC24" s="8"/>
    </row>
    <row r="25" customFormat="false" ht="15" hidden="false" customHeight="false" outlineLevel="0" collapsed="false">
      <c r="A25" s="5" t="s">
        <v>203</v>
      </c>
      <c r="B25" s="5" t="s">
        <v>40</v>
      </c>
      <c r="C25" s="5" t="s">
        <v>204</v>
      </c>
      <c r="D25" s="5" t="s">
        <v>205</v>
      </c>
      <c r="E25" s="5" t="s">
        <v>43</v>
      </c>
      <c r="F25" s="5" t="s">
        <v>206</v>
      </c>
      <c r="G25" s="5"/>
      <c r="H25" s="5"/>
      <c r="I25" s="9" t="s">
        <v>92</v>
      </c>
      <c r="J25" s="5" t="s">
        <v>163</v>
      </c>
      <c r="K25" s="5" t="n">
        <f aca="false">COUNTIF(Probe_Pairs!$B:$B,A25)</f>
        <v>12</v>
      </c>
      <c r="L25" s="5" t="n">
        <f aca="false">COUNTIFS(Probe_Pairs!$B:$B,A25,Probe_Pairs!$S:$S,"Both halves")</f>
        <v>0</v>
      </c>
      <c r="M25" s="5"/>
      <c r="N25" s="5" t="s">
        <v>207</v>
      </c>
      <c r="O25" s="5" t="s">
        <v>48</v>
      </c>
      <c r="P25" s="5"/>
      <c r="Q25" s="5" t="s">
        <v>49</v>
      </c>
      <c r="R25" s="5" t="s">
        <v>206</v>
      </c>
      <c r="S25" s="5" t="n">
        <f aca="false">IF(R25="","",COUNTIFS(Probe_Pairs!$B:$B,A25,Probe_Pairs!$X:$X,"Both halves"))</f>
        <v>12</v>
      </c>
      <c r="T25" s="5" t="str">
        <f aca="false">IF(R25="","",IF(S25*2&gt;=K25,"High","Low"))</f>
        <v>High</v>
      </c>
      <c r="U25" s="5" t="s">
        <v>205</v>
      </c>
      <c r="V25" s="5" t="s">
        <v>208</v>
      </c>
      <c r="W25" s="5" t="s">
        <v>209</v>
      </c>
      <c r="X25" s="5"/>
      <c r="Y25" s="8"/>
      <c r="Z25" s="8"/>
      <c r="AA25" s="8"/>
      <c r="AB25" s="8"/>
      <c r="AC25" s="8"/>
    </row>
    <row r="26" customFormat="false" ht="15" hidden="false" customHeight="false" outlineLevel="0" collapsed="false">
      <c r="A26" s="5" t="s">
        <v>210</v>
      </c>
      <c r="B26" s="5" t="s">
        <v>40</v>
      </c>
      <c r="C26" s="5" t="s">
        <v>211</v>
      </c>
      <c r="D26" s="5" t="s">
        <v>212</v>
      </c>
      <c r="E26" s="5" t="s">
        <v>43</v>
      </c>
      <c r="F26" s="5" t="s">
        <v>213</v>
      </c>
      <c r="G26" s="5"/>
      <c r="H26" s="5"/>
      <c r="I26" s="9" t="s">
        <v>92</v>
      </c>
      <c r="J26" s="5" t="s">
        <v>163</v>
      </c>
      <c r="K26" s="5" t="n">
        <f aca="false">COUNTIF(Probe_Pairs!$B:$B,A26)</f>
        <v>8</v>
      </c>
      <c r="L26" s="5" t="n">
        <f aca="false">COUNTIFS(Probe_Pairs!$B:$B,A26,Probe_Pairs!$S:$S,"Both halves")</f>
        <v>0</v>
      </c>
      <c r="M26" s="5"/>
      <c r="N26" s="5" t="s">
        <v>211</v>
      </c>
      <c r="O26" s="5" t="s">
        <v>48</v>
      </c>
      <c r="P26" s="5"/>
      <c r="Q26" s="5" t="s">
        <v>49</v>
      </c>
      <c r="R26" s="5" t="s">
        <v>213</v>
      </c>
      <c r="S26" s="5" t="n">
        <f aca="false">IF(R26="","",COUNTIFS(Probe_Pairs!$B:$B,A26,Probe_Pairs!$X:$X,"Both halves"))</f>
        <v>8</v>
      </c>
      <c r="T26" s="5" t="str">
        <f aca="false">IF(R26="","",IF(S26*2&gt;=K26,"High","Low"))</f>
        <v>High</v>
      </c>
      <c r="U26" s="5" t="s">
        <v>212</v>
      </c>
      <c r="V26" s="5" t="s">
        <v>212</v>
      </c>
      <c r="W26" s="5" t="s">
        <v>214</v>
      </c>
      <c r="X26" s="5"/>
      <c r="Y26" s="8"/>
      <c r="Z26" s="8"/>
      <c r="AA26" s="8"/>
      <c r="AB26" s="8"/>
      <c r="AC26" s="8"/>
    </row>
    <row r="27" customFormat="false" ht="15" hidden="false" customHeight="false" outlineLevel="0" collapsed="false">
      <c r="A27" s="5" t="s">
        <v>215</v>
      </c>
      <c r="B27" s="5" t="s">
        <v>40</v>
      </c>
      <c r="C27" s="5" t="s">
        <v>81</v>
      </c>
      <c r="D27" s="5" t="s">
        <v>82</v>
      </c>
      <c r="E27" s="5" t="s">
        <v>43</v>
      </c>
      <c r="F27" s="5" t="s">
        <v>83</v>
      </c>
      <c r="G27" s="5"/>
      <c r="H27" s="5"/>
      <c r="I27" s="9" t="s">
        <v>92</v>
      </c>
      <c r="J27" s="5" t="s">
        <v>163</v>
      </c>
      <c r="K27" s="5" t="n">
        <f aca="false">COUNTIF(Probe_Pairs!$B:$B,A27)</f>
        <v>3</v>
      </c>
      <c r="L27" s="5" t="n">
        <f aca="false">COUNTIFS(Probe_Pairs!$B:$B,A27,Probe_Pairs!$S:$S,"Both halves")</f>
        <v>0</v>
      </c>
      <c r="M27" s="5" t="s">
        <v>216</v>
      </c>
      <c r="N27" s="5" t="s">
        <v>81</v>
      </c>
      <c r="O27" s="5" t="s">
        <v>48</v>
      </c>
      <c r="P27" s="5"/>
      <c r="Q27" s="5" t="s">
        <v>49</v>
      </c>
      <c r="R27" s="5" t="s">
        <v>83</v>
      </c>
      <c r="S27" s="5" t="n">
        <f aca="false">IF(R27="","",COUNTIFS(Probe_Pairs!$B:$B,A27,Probe_Pairs!$X:$X,"Both halves"))</f>
        <v>3</v>
      </c>
      <c r="T27" s="5" t="str">
        <f aca="false">IF(R27="","",IF(S27*2&gt;=K27,"High","Low"))</f>
        <v>High</v>
      </c>
      <c r="U27" s="5" t="s">
        <v>82</v>
      </c>
      <c r="V27" s="5" t="s">
        <v>82</v>
      </c>
      <c r="W27" s="5" t="s">
        <v>86</v>
      </c>
      <c r="X27" s="5"/>
      <c r="Y27" s="8"/>
      <c r="Z27" s="8"/>
      <c r="AA27" s="8"/>
      <c r="AB27" s="8"/>
      <c r="AC27" s="8" t="s">
        <v>87</v>
      </c>
    </row>
    <row r="28" customFormat="false" ht="15" hidden="false" customHeight="false" outlineLevel="0" collapsed="false">
      <c r="A28" s="5" t="s">
        <v>217</v>
      </c>
      <c r="B28" s="5" t="s">
        <v>40</v>
      </c>
      <c r="C28" s="5" t="s">
        <v>89</v>
      </c>
      <c r="D28" s="5" t="s">
        <v>90</v>
      </c>
      <c r="E28" s="5" t="s">
        <v>43</v>
      </c>
      <c r="F28" s="5" t="s">
        <v>91</v>
      </c>
      <c r="G28" s="5"/>
      <c r="H28" s="5"/>
      <c r="I28" s="9" t="s">
        <v>92</v>
      </c>
      <c r="J28" s="5" t="s">
        <v>163</v>
      </c>
      <c r="K28" s="5" t="n">
        <f aca="false">COUNTIF(Probe_Pairs!$B:$B,A28)</f>
        <v>8</v>
      </c>
      <c r="L28" s="5" t="n">
        <f aca="false">COUNTIFS(Probe_Pairs!$B:$B,A28,Probe_Pairs!$S:$S,"Both halves")</f>
        <v>0</v>
      </c>
      <c r="M28" s="5" t="s">
        <v>45</v>
      </c>
      <c r="N28" s="5" t="s">
        <v>218</v>
      </c>
      <c r="O28" s="5" t="s">
        <v>48</v>
      </c>
      <c r="P28" s="5"/>
      <c r="Q28" s="5" t="s">
        <v>49</v>
      </c>
      <c r="R28" s="5" t="s">
        <v>91</v>
      </c>
      <c r="S28" s="5" t="n">
        <f aca="false">IF(R28="","",COUNTIFS(Probe_Pairs!$B:$B,A28,Probe_Pairs!$X:$X,"Both halves"))</f>
        <v>8</v>
      </c>
      <c r="T28" s="5" t="str">
        <f aca="false">IF(R28="","",IF(S28*2&gt;=K28,"High","Low"))</f>
        <v>High</v>
      </c>
      <c r="U28" s="5" t="s">
        <v>90</v>
      </c>
      <c r="V28" s="5" t="s">
        <v>93</v>
      </c>
      <c r="W28" s="5" t="s">
        <v>94</v>
      </c>
      <c r="X28" s="5"/>
      <c r="Y28" s="8"/>
      <c r="Z28" s="8"/>
      <c r="AA28" s="8"/>
      <c r="AB28" s="8"/>
      <c r="AC28" s="8"/>
    </row>
    <row r="29" customFormat="false" ht="15" hidden="false" customHeight="false" outlineLevel="0" collapsed="false">
      <c r="A29" s="5" t="s">
        <v>219</v>
      </c>
      <c r="B29" s="5" t="s">
        <v>40</v>
      </c>
      <c r="C29" s="5" t="s">
        <v>96</v>
      </c>
      <c r="D29" s="5" t="s">
        <v>97</v>
      </c>
      <c r="E29" s="5" t="s">
        <v>43</v>
      </c>
      <c r="F29" s="5" t="s">
        <v>98</v>
      </c>
      <c r="G29" s="5"/>
      <c r="H29" s="5"/>
      <c r="I29" s="9" t="s">
        <v>92</v>
      </c>
      <c r="J29" s="5" t="s">
        <v>163</v>
      </c>
      <c r="K29" s="5" t="n">
        <f aca="false">COUNTIF(Probe_Pairs!$B:$B,A29)</f>
        <v>10</v>
      </c>
      <c r="L29" s="5" t="n">
        <f aca="false">COUNTIFS(Probe_Pairs!$B:$B,A29,Probe_Pairs!$S:$S,"Both halves")</f>
        <v>0</v>
      </c>
      <c r="M29" s="5" t="s">
        <v>216</v>
      </c>
      <c r="N29" s="5" t="s">
        <v>99</v>
      </c>
      <c r="O29" s="5" t="s">
        <v>48</v>
      </c>
      <c r="P29" s="5"/>
      <c r="Q29" s="5" t="s">
        <v>49</v>
      </c>
      <c r="R29" s="5" t="s">
        <v>98</v>
      </c>
      <c r="S29" s="5" t="n">
        <f aca="false">IF(R29="","",COUNTIFS(Probe_Pairs!$B:$B,A29,Probe_Pairs!$X:$X,"Both halves"))</f>
        <v>10</v>
      </c>
      <c r="T29" s="5" t="str">
        <f aca="false">IF(R29="","",IF(S29*2&gt;=K29,"High","Low"))</f>
        <v>High</v>
      </c>
      <c r="U29" s="5" t="s">
        <v>97</v>
      </c>
      <c r="V29" s="5" t="s">
        <v>100</v>
      </c>
      <c r="W29" s="5" t="s">
        <v>101</v>
      </c>
      <c r="X29" s="5"/>
      <c r="Y29" s="8"/>
      <c r="Z29" s="8"/>
      <c r="AA29" s="8"/>
      <c r="AB29" s="8"/>
      <c r="AC29" s="8"/>
    </row>
    <row r="30" customFormat="false" ht="15" hidden="false" customHeight="false" outlineLevel="0" collapsed="false">
      <c r="A30" s="5" t="s">
        <v>220</v>
      </c>
      <c r="B30" s="5" t="s">
        <v>40</v>
      </c>
      <c r="C30" s="5" t="s">
        <v>221</v>
      </c>
      <c r="D30" s="5" t="s">
        <v>222</v>
      </c>
      <c r="E30" s="5" t="s">
        <v>43</v>
      </c>
      <c r="F30" s="5" t="s">
        <v>223</v>
      </c>
      <c r="G30" s="5"/>
      <c r="H30" s="5"/>
      <c r="I30" s="9" t="s">
        <v>92</v>
      </c>
      <c r="J30" s="5" t="s">
        <v>163</v>
      </c>
      <c r="K30" s="5" t="n">
        <f aca="false">COUNTIF(Probe_Pairs!$B:$B,A30)</f>
        <v>8</v>
      </c>
      <c r="L30" s="5" t="n">
        <f aca="false">COUNTIFS(Probe_Pairs!$B:$B,A30,Probe_Pairs!$S:$S,"Both halves")</f>
        <v>0</v>
      </c>
      <c r="M30" s="5"/>
      <c r="N30" s="5" t="s">
        <v>224</v>
      </c>
      <c r="O30" s="5" t="s">
        <v>48</v>
      </c>
      <c r="P30" s="5"/>
      <c r="Q30" s="5" t="s">
        <v>49</v>
      </c>
      <c r="R30" s="5" t="s">
        <v>223</v>
      </c>
      <c r="S30" s="5" t="n">
        <f aca="false">IF(R30="","",COUNTIFS(Probe_Pairs!$B:$B,A30,Probe_Pairs!$X:$X,"Both halves"))</f>
        <v>8</v>
      </c>
      <c r="T30" s="5" t="str">
        <f aca="false">IF(R30="","",IF(S30*2&gt;=K30,"High","Low"))</f>
        <v>High</v>
      </c>
      <c r="U30" s="5" t="s">
        <v>222</v>
      </c>
      <c r="V30" s="5" t="s">
        <v>225</v>
      </c>
      <c r="W30" s="5" t="s">
        <v>226</v>
      </c>
      <c r="X30" s="5"/>
      <c r="Y30" s="8"/>
      <c r="Z30" s="8"/>
      <c r="AA30" s="8"/>
      <c r="AB30" s="8"/>
      <c r="AC30" s="8"/>
    </row>
    <row r="31" customFormat="false" ht="15" hidden="false" customHeight="false" outlineLevel="0" collapsed="false">
      <c r="A31" s="5" t="s">
        <v>227</v>
      </c>
      <c r="B31" s="5" t="s">
        <v>40</v>
      </c>
      <c r="C31" s="5" t="s">
        <v>228</v>
      </c>
      <c r="D31" s="5" t="s">
        <v>229</v>
      </c>
      <c r="E31" s="5" t="s">
        <v>43</v>
      </c>
      <c r="F31" s="5" t="s">
        <v>230</v>
      </c>
      <c r="G31" s="5"/>
      <c r="H31" s="5"/>
      <c r="I31" s="9" t="s">
        <v>92</v>
      </c>
      <c r="J31" s="5" t="s">
        <v>163</v>
      </c>
      <c r="K31" s="5" t="n">
        <f aca="false">COUNTIF(Probe_Pairs!$B:$B,A31)</f>
        <v>8</v>
      </c>
      <c r="L31" s="5" t="n">
        <f aca="false">COUNTIFS(Probe_Pairs!$B:$B,A31,Probe_Pairs!$S:$S,"Both halves")</f>
        <v>0</v>
      </c>
      <c r="M31" s="5"/>
      <c r="N31" s="5" t="s">
        <v>228</v>
      </c>
      <c r="O31" s="5" t="s">
        <v>48</v>
      </c>
      <c r="P31" s="5"/>
      <c r="Q31" s="5" t="s">
        <v>49</v>
      </c>
      <c r="R31" s="5" t="s">
        <v>230</v>
      </c>
      <c r="S31" s="5" t="n">
        <f aca="false">IF(R31="","",COUNTIFS(Probe_Pairs!$B:$B,A31,Probe_Pairs!$X:$X,"Both halves"))</f>
        <v>8</v>
      </c>
      <c r="T31" s="5" t="str">
        <f aca="false">IF(R31="","",IF(S31*2&gt;=K31,"High","Low"))</f>
        <v>High</v>
      </c>
      <c r="U31" s="5" t="s">
        <v>229</v>
      </c>
      <c r="V31" s="5" t="s">
        <v>229</v>
      </c>
      <c r="W31" s="5" t="s">
        <v>231</v>
      </c>
      <c r="X31" s="5"/>
      <c r="Y31" s="8" t="s">
        <v>174</v>
      </c>
      <c r="Z31" s="8"/>
      <c r="AA31" s="8"/>
      <c r="AB31" s="8"/>
      <c r="AC31" s="8" t="s">
        <v>232</v>
      </c>
    </row>
    <row r="32" customFormat="false" ht="15" hidden="false" customHeight="false" outlineLevel="0" collapsed="false">
      <c r="A32" s="5" t="s">
        <v>233</v>
      </c>
      <c r="B32" s="5" t="s">
        <v>40</v>
      </c>
      <c r="C32" s="5" t="s">
        <v>234</v>
      </c>
      <c r="D32" s="5" t="s">
        <v>235</v>
      </c>
      <c r="E32" s="5" t="s">
        <v>43</v>
      </c>
      <c r="F32" s="5" t="s">
        <v>236</v>
      </c>
      <c r="G32" s="5"/>
      <c r="H32" s="5"/>
      <c r="I32" s="9" t="s">
        <v>92</v>
      </c>
      <c r="J32" s="5" t="s">
        <v>163</v>
      </c>
      <c r="K32" s="5" t="n">
        <f aca="false">COUNTIF(Probe_Pairs!$B:$B,A32)</f>
        <v>8</v>
      </c>
      <c r="L32" s="5" t="n">
        <f aca="false">COUNTIFS(Probe_Pairs!$B:$B,A32,Probe_Pairs!$S:$S,"Both halves")</f>
        <v>0</v>
      </c>
      <c r="M32" s="5"/>
      <c r="N32" s="5" t="s">
        <v>234</v>
      </c>
      <c r="O32" s="5" t="s">
        <v>48</v>
      </c>
      <c r="P32" s="5"/>
      <c r="Q32" s="5" t="s">
        <v>49</v>
      </c>
      <c r="R32" s="5" t="s">
        <v>236</v>
      </c>
      <c r="S32" s="5" t="n">
        <f aca="false">IF(R32="","",COUNTIFS(Probe_Pairs!$B:$B,A32,Probe_Pairs!$X:$X,"Both halves"))</f>
        <v>8</v>
      </c>
      <c r="T32" s="5" t="str">
        <f aca="false">IF(R32="","",IF(S32*2&gt;=K32,"High","Low"))</f>
        <v>High</v>
      </c>
      <c r="U32" s="5" t="s">
        <v>235</v>
      </c>
      <c r="V32" s="5" t="s">
        <v>237</v>
      </c>
      <c r="W32" s="5" t="s">
        <v>238</v>
      </c>
      <c r="X32" s="5"/>
      <c r="Y32" s="8"/>
      <c r="Z32" s="8"/>
      <c r="AA32" s="8"/>
      <c r="AB32" s="8"/>
      <c r="AC32" s="8"/>
    </row>
    <row r="33" customFormat="false" ht="15" hidden="false" customHeight="false" outlineLevel="0" collapsed="false">
      <c r="A33" s="5" t="s">
        <v>239</v>
      </c>
      <c r="B33" s="5" t="s">
        <v>40</v>
      </c>
      <c r="C33" s="5" t="s">
        <v>240</v>
      </c>
      <c r="D33" s="5" t="s">
        <v>241</v>
      </c>
      <c r="E33" s="5" t="s">
        <v>43</v>
      </c>
      <c r="F33" s="5" t="s">
        <v>242</v>
      </c>
      <c r="G33" s="5"/>
      <c r="H33" s="5"/>
      <c r="I33" s="9" t="s">
        <v>92</v>
      </c>
      <c r="J33" s="5" t="s">
        <v>163</v>
      </c>
      <c r="K33" s="5" t="n">
        <f aca="false">COUNTIF(Probe_Pairs!$B:$B,A33)</f>
        <v>8</v>
      </c>
      <c r="L33" s="5" t="n">
        <f aca="false">COUNTIFS(Probe_Pairs!$B:$B,A33,Probe_Pairs!$S:$S,"Both halves")</f>
        <v>0</v>
      </c>
      <c r="M33" s="5"/>
      <c r="N33" s="5" t="s">
        <v>243</v>
      </c>
      <c r="O33" s="5" t="s">
        <v>48</v>
      </c>
      <c r="P33" s="5"/>
      <c r="Q33" s="5" t="s">
        <v>49</v>
      </c>
      <c r="R33" s="5" t="s">
        <v>242</v>
      </c>
      <c r="S33" s="5" t="n">
        <f aca="false">IF(R33="","",COUNTIFS(Probe_Pairs!$B:$B,A33,Probe_Pairs!$X:$X,"Both halves"))</f>
        <v>8</v>
      </c>
      <c r="T33" s="5" t="str">
        <f aca="false">IF(R33="","",IF(S33*2&gt;=K33,"High","Low"))</f>
        <v>High</v>
      </c>
      <c r="U33" s="5" t="s">
        <v>241</v>
      </c>
      <c r="V33" s="5" t="s">
        <v>244</v>
      </c>
      <c r="W33" s="5" t="s">
        <v>245</v>
      </c>
      <c r="X33" s="5"/>
      <c r="Y33" s="8"/>
      <c r="Z33" s="8"/>
      <c r="AA33" s="8"/>
      <c r="AB33" s="8"/>
      <c r="AC33" s="8" t="s">
        <v>246</v>
      </c>
    </row>
    <row r="34" customFormat="false" ht="15" hidden="false" customHeight="false" outlineLevel="0" collapsed="false">
      <c r="A34" s="5" t="s">
        <v>247</v>
      </c>
      <c r="B34" s="5" t="s">
        <v>40</v>
      </c>
      <c r="C34" s="5" t="s">
        <v>248</v>
      </c>
      <c r="D34" s="5" t="s">
        <v>249</v>
      </c>
      <c r="E34" s="5" t="s">
        <v>43</v>
      </c>
      <c r="F34" s="5" t="s">
        <v>250</v>
      </c>
      <c r="G34" s="5"/>
      <c r="H34" s="5"/>
      <c r="I34" s="9" t="s">
        <v>92</v>
      </c>
      <c r="J34" s="5" t="s">
        <v>163</v>
      </c>
      <c r="K34" s="5" t="n">
        <f aca="false">COUNTIF(Probe_Pairs!$B:$B,A34)</f>
        <v>6</v>
      </c>
      <c r="L34" s="5" t="n">
        <f aca="false">COUNTIFS(Probe_Pairs!$B:$B,A34,Probe_Pairs!$S:$S,"Both halves")</f>
        <v>0</v>
      </c>
      <c r="M34" s="5"/>
      <c r="N34" s="5" t="s">
        <v>248</v>
      </c>
      <c r="O34" s="5" t="s">
        <v>48</v>
      </c>
      <c r="P34" s="5"/>
      <c r="Q34" s="5" t="s">
        <v>165</v>
      </c>
      <c r="R34" s="5" t="s">
        <v>250</v>
      </c>
      <c r="S34" s="5" t="n">
        <f aca="false">IF(R34="","",COUNTIFS(Probe_Pairs!$B:$B,A34,Probe_Pairs!$X:$X,"Both halves"))</f>
        <v>6</v>
      </c>
      <c r="T34" s="5" t="str">
        <f aca="false">IF(R34="","",IF(S34*2&gt;=K34,"High","Low"))</f>
        <v>High</v>
      </c>
      <c r="U34" s="5" t="s">
        <v>249</v>
      </c>
      <c r="V34" s="5" t="s">
        <v>251</v>
      </c>
      <c r="W34" s="5" t="s">
        <v>252</v>
      </c>
      <c r="X34" s="7" t="s">
        <v>253</v>
      </c>
      <c r="Y34" s="8"/>
      <c r="Z34" s="8"/>
      <c r="AA34" s="8"/>
      <c r="AB34" s="8"/>
      <c r="AC34" s="8" t="s">
        <v>254</v>
      </c>
    </row>
    <row r="35" customFormat="false" ht="15" hidden="false" customHeight="false" outlineLevel="0" collapsed="false">
      <c r="A35" s="5" t="s">
        <v>255</v>
      </c>
      <c r="B35" s="5" t="s">
        <v>40</v>
      </c>
      <c r="C35" s="5" t="s">
        <v>256</v>
      </c>
      <c r="D35" s="5" t="s">
        <v>257</v>
      </c>
      <c r="E35" s="5" t="s">
        <v>43</v>
      </c>
      <c r="F35" s="5" t="s">
        <v>258</v>
      </c>
      <c r="G35" s="5"/>
      <c r="H35" s="5"/>
      <c r="I35" s="9" t="s">
        <v>92</v>
      </c>
      <c r="J35" s="5" t="s">
        <v>163</v>
      </c>
      <c r="K35" s="5" t="n">
        <f aca="false">COUNTIF(Probe_Pairs!$B:$B,A35)</f>
        <v>10</v>
      </c>
      <c r="L35" s="5" t="n">
        <f aca="false">COUNTIFS(Probe_Pairs!$B:$B,A35,Probe_Pairs!$S:$S,"Both halves")</f>
        <v>0</v>
      </c>
      <c r="M35" s="5"/>
      <c r="N35" s="5" t="s">
        <v>256</v>
      </c>
      <c r="O35" s="5" t="s">
        <v>48</v>
      </c>
      <c r="P35" s="5"/>
      <c r="Q35" s="5" t="s">
        <v>165</v>
      </c>
      <c r="R35" s="5" t="s">
        <v>258</v>
      </c>
      <c r="S35" s="5" t="n">
        <f aca="false">IF(R35="","",COUNTIFS(Probe_Pairs!$B:$B,A35,Probe_Pairs!$X:$X,"Both halves"))</f>
        <v>10</v>
      </c>
      <c r="T35" s="5" t="str">
        <f aca="false">IF(R35="","",IF(S35*2&gt;=K35,"High","Low"))</f>
        <v>High</v>
      </c>
      <c r="U35" s="5" t="s">
        <v>257</v>
      </c>
      <c r="V35" s="5" t="s">
        <v>259</v>
      </c>
      <c r="W35" s="5" t="s">
        <v>260</v>
      </c>
      <c r="X35" s="5"/>
      <c r="Y35" s="8"/>
      <c r="Z35" s="8"/>
      <c r="AA35" s="8"/>
      <c r="AB35" s="8"/>
      <c r="AC35" s="8"/>
    </row>
    <row r="36" customFormat="false" ht="15" hidden="false" customHeight="false" outlineLevel="0" collapsed="false">
      <c r="A36" s="5" t="s">
        <v>261</v>
      </c>
      <c r="B36" s="5" t="s">
        <v>40</v>
      </c>
      <c r="C36" s="5" t="s">
        <v>262</v>
      </c>
      <c r="D36" s="5" t="s">
        <v>263</v>
      </c>
      <c r="E36" s="5" t="s">
        <v>43</v>
      </c>
      <c r="F36" s="5" t="s">
        <v>264</v>
      </c>
      <c r="G36" s="5"/>
      <c r="H36" s="5"/>
      <c r="I36" s="9" t="s">
        <v>92</v>
      </c>
      <c r="J36" s="5" t="s">
        <v>163</v>
      </c>
      <c r="K36" s="5" t="n">
        <f aca="false">COUNTIF(Probe_Pairs!$B:$B,A36)</f>
        <v>9</v>
      </c>
      <c r="L36" s="5" t="n">
        <f aca="false">COUNTIFS(Probe_Pairs!$B:$B,A36,Probe_Pairs!$S:$S,"Both halves")</f>
        <v>0</v>
      </c>
      <c r="M36" s="5"/>
      <c r="N36" s="5" t="s">
        <v>262</v>
      </c>
      <c r="O36" s="5" t="s">
        <v>48</v>
      </c>
      <c r="P36" s="5"/>
      <c r="Q36" s="5" t="s">
        <v>165</v>
      </c>
      <c r="R36" s="5" t="s">
        <v>264</v>
      </c>
      <c r="S36" s="5" t="n">
        <f aca="false">IF(R36="","",COUNTIFS(Probe_Pairs!$B:$B,A36,Probe_Pairs!$X:$X,"Both halves"))</f>
        <v>9</v>
      </c>
      <c r="T36" s="5" t="str">
        <f aca="false">IF(R36="","",IF(S36*2&gt;=K36,"High","Low"))</f>
        <v>High</v>
      </c>
      <c r="U36" s="5" t="s">
        <v>263</v>
      </c>
      <c r="V36" s="5" t="s">
        <v>263</v>
      </c>
      <c r="W36" s="5" t="s">
        <v>265</v>
      </c>
      <c r="X36" s="5"/>
      <c r="Y36" s="8"/>
      <c r="Z36" s="8"/>
      <c r="AA36" s="8"/>
      <c r="AB36" s="8"/>
      <c r="AC36" s="8"/>
    </row>
    <row r="37" customFormat="false" ht="15" hidden="false" customHeight="false" outlineLevel="0" collapsed="false">
      <c r="A37" s="5" t="s">
        <v>266</v>
      </c>
      <c r="B37" s="5" t="s">
        <v>40</v>
      </c>
      <c r="C37" s="5" t="s">
        <v>267</v>
      </c>
      <c r="D37" s="5" t="s">
        <v>268</v>
      </c>
      <c r="E37" s="5" t="s">
        <v>43</v>
      </c>
      <c r="F37" s="5" t="s">
        <v>269</v>
      </c>
      <c r="G37" s="5"/>
      <c r="H37" s="5"/>
      <c r="I37" s="9" t="s">
        <v>92</v>
      </c>
      <c r="J37" s="5" t="s">
        <v>163</v>
      </c>
      <c r="K37" s="5" t="n">
        <f aca="false">COUNTIF(Probe_Pairs!$B:$B,A37)</f>
        <v>8</v>
      </c>
      <c r="L37" s="5" t="n">
        <f aca="false">COUNTIFS(Probe_Pairs!$B:$B,A37,Probe_Pairs!$S:$S,"Both halves")</f>
        <v>0</v>
      </c>
      <c r="M37" s="5" t="s">
        <v>56</v>
      </c>
      <c r="N37" s="5" t="s">
        <v>270</v>
      </c>
      <c r="O37" s="5" t="s">
        <v>48</v>
      </c>
      <c r="P37" s="5"/>
      <c r="Q37" s="5" t="s">
        <v>49</v>
      </c>
      <c r="R37" s="5" t="s">
        <v>269</v>
      </c>
      <c r="S37" s="5" t="n">
        <f aca="false">IF(R37="","",COUNTIFS(Probe_Pairs!$B:$B,A37,Probe_Pairs!$X:$X,"Both halves"))</f>
        <v>8</v>
      </c>
      <c r="T37" s="5" t="str">
        <f aca="false">IF(R37="","",IF(S37*2&gt;=K37,"High","Low"))</f>
        <v>High</v>
      </c>
      <c r="U37" s="5" t="s">
        <v>268</v>
      </c>
      <c r="V37" s="5" t="s">
        <v>271</v>
      </c>
      <c r="W37" s="5" t="s">
        <v>272</v>
      </c>
      <c r="X37" s="5"/>
      <c r="Y37" s="8" t="s">
        <v>174</v>
      </c>
      <c r="Z37" s="8"/>
      <c r="AA37" s="8"/>
      <c r="AB37" s="8"/>
      <c r="AC37" s="8" t="s">
        <v>273</v>
      </c>
    </row>
    <row r="38" customFormat="false" ht="15" hidden="false" customHeight="false" outlineLevel="0" collapsed="false">
      <c r="A38" s="5" t="s">
        <v>274</v>
      </c>
      <c r="B38" s="5" t="s">
        <v>40</v>
      </c>
      <c r="C38" s="5" t="s">
        <v>148</v>
      </c>
      <c r="D38" s="5" t="s">
        <v>149</v>
      </c>
      <c r="E38" s="5" t="s">
        <v>43</v>
      </c>
      <c r="F38" s="5" t="s">
        <v>150</v>
      </c>
      <c r="G38" s="5"/>
      <c r="H38" s="5"/>
      <c r="I38" s="9" t="s">
        <v>92</v>
      </c>
      <c r="J38" s="5" t="s">
        <v>163</v>
      </c>
      <c r="K38" s="5" t="n">
        <f aca="false">COUNTIF(Probe_Pairs!$B:$B,A38)</f>
        <v>6</v>
      </c>
      <c r="L38" s="5" t="n">
        <f aca="false">COUNTIFS(Probe_Pairs!$B:$B,A38,Probe_Pairs!$S:$S,"Both halves")</f>
        <v>0</v>
      </c>
      <c r="M38" s="5" t="s">
        <v>216</v>
      </c>
      <c r="N38" s="5" t="s">
        <v>151</v>
      </c>
      <c r="O38" s="5" t="s">
        <v>48</v>
      </c>
      <c r="P38" s="5"/>
      <c r="Q38" s="5" t="s">
        <v>49</v>
      </c>
      <c r="R38" s="5" t="s">
        <v>150</v>
      </c>
      <c r="S38" s="5" t="n">
        <f aca="false">IF(R38="","",COUNTIFS(Probe_Pairs!$B:$B,A38,Probe_Pairs!$X:$X,"Both halves"))</f>
        <v>6</v>
      </c>
      <c r="T38" s="5" t="str">
        <f aca="false">IF(R38="","",IF(S38*2&gt;=K38,"High","Low"))</f>
        <v>High</v>
      </c>
      <c r="U38" s="5" t="s">
        <v>149</v>
      </c>
      <c r="V38" s="5" t="s">
        <v>149</v>
      </c>
      <c r="W38" s="5" t="s">
        <v>152</v>
      </c>
      <c r="X38" s="5"/>
      <c r="Y38" s="8"/>
      <c r="Z38" s="8"/>
      <c r="AA38" s="8"/>
      <c r="AB38" s="8"/>
      <c r="AC38" s="8"/>
    </row>
    <row r="39" customFormat="false" ht="15" hidden="false" customHeight="false" outlineLevel="0" collapsed="false">
      <c r="A39" s="5" t="s">
        <v>275</v>
      </c>
      <c r="B39" s="5" t="s">
        <v>40</v>
      </c>
      <c r="C39" s="5" t="s">
        <v>160</v>
      </c>
      <c r="D39" s="5" t="s">
        <v>161</v>
      </c>
      <c r="E39" s="5" t="s">
        <v>43</v>
      </c>
      <c r="F39" s="5" t="s">
        <v>162</v>
      </c>
      <c r="G39" s="5"/>
      <c r="H39" s="5"/>
      <c r="I39" s="10" t="s">
        <v>56</v>
      </c>
      <c r="J39" s="5" t="s">
        <v>276</v>
      </c>
      <c r="K39" s="5" t="n">
        <f aca="false">COUNTIF(Probe_Pairs!$B:$B,A39)</f>
        <v>8</v>
      </c>
      <c r="L39" s="5" t="n">
        <f aca="false">COUNTIFS(Probe_Pairs!$B:$B,A39,Probe_Pairs!$S:$S,"Both halves")</f>
        <v>0</v>
      </c>
      <c r="M39" s="5" t="s">
        <v>92</v>
      </c>
      <c r="N39" s="5" t="s">
        <v>164</v>
      </c>
      <c r="O39" s="5" t="s">
        <v>48</v>
      </c>
      <c r="P39" s="5"/>
      <c r="Q39" s="5" t="s">
        <v>165</v>
      </c>
      <c r="R39" s="5" t="s">
        <v>162</v>
      </c>
      <c r="S39" s="5" t="n">
        <f aca="false">IF(R39="","",COUNTIFS(Probe_Pairs!$B:$B,A39,Probe_Pairs!$X:$X,"Both halves"))</f>
        <v>8</v>
      </c>
      <c r="T39" s="5" t="str">
        <f aca="false">IF(R39="","",IF(S39*2&gt;=K39,"High","Low"))</f>
        <v>High</v>
      </c>
      <c r="U39" s="5" t="s">
        <v>161</v>
      </c>
      <c r="V39" s="5" t="s">
        <v>161</v>
      </c>
      <c r="W39" s="5" t="s">
        <v>166</v>
      </c>
      <c r="X39" s="5"/>
      <c r="Y39" s="8"/>
      <c r="Z39" s="8"/>
      <c r="AA39" s="8"/>
      <c r="AB39" s="8"/>
      <c r="AC39" s="8"/>
    </row>
    <row r="40" customFormat="false" ht="15" hidden="false" customHeight="false" outlineLevel="0" collapsed="false">
      <c r="A40" s="5" t="s">
        <v>277</v>
      </c>
      <c r="B40" s="5" t="s">
        <v>40</v>
      </c>
      <c r="C40" s="5" t="s">
        <v>168</v>
      </c>
      <c r="D40" s="5" t="s">
        <v>169</v>
      </c>
      <c r="E40" s="5" t="s">
        <v>43</v>
      </c>
      <c r="F40" s="5" t="s">
        <v>170</v>
      </c>
      <c r="G40" s="5"/>
      <c r="H40" s="5"/>
      <c r="I40" s="10" t="s">
        <v>56</v>
      </c>
      <c r="J40" s="5" t="s">
        <v>276</v>
      </c>
      <c r="K40" s="5" t="n">
        <f aca="false">COUNTIF(Probe_Pairs!$B:$B,A40)</f>
        <v>8</v>
      </c>
      <c r="L40" s="5" t="n">
        <f aca="false">COUNTIFS(Probe_Pairs!$B:$B,A40,Probe_Pairs!$S:$S,"Both halves")</f>
        <v>0</v>
      </c>
      <c r="M40" s="5" t="s">
        <v>92</v>
      </c>
      <c r="N40" s="5" t="s">
        <v>168</v>
      </c>
      <c r="O40" s="5" t="s">
        <v>48</v>
      </c>
      <c r="P40" s="5"/>
      <c r="Q40" s="5" t="s">
        <v>49</v>
      </c>
      <c r="R40" s="5" t="s">
        <v>170</v>
      </c>
      <c r="S40" s="5" t="n">
        <f aca="false">IF(R40="","",COUNTIFS(Probe_Pairs!$B:$B,A40,Probe_Pairs!$X:$X,"Both halves"))</f>
        <v>8</v>
      </c>
      <c r="T40" s="5" t="str">
        <f aca="false">IF(R40="","",IF(S40*2&gt;=K40,"High","Low"))</f>
        <v>High</v>
      </c>
      <c r="U40" s="5" t="s">
        <v>169</v>
      </c>
      <c r="V40" s="5" t="s">
        <v>172</v>
      </c>
      <c r="W40" s="5" t="s">
        <v>173</v>
      </c>
      <c r="X40" s="5"/>
      <c r="Y40" s="8" t="s">
        <v>174</v>
      </c>
      <c r="Z40" s="8"/>
      <c r="AA40" s="8"/>
      <c r="AB40" s="8"/>
      <c r="AC40" s="8" t="s">
        <v>175</v>
      </c>
    </row>
    <row r="41" customFormat="false" ht="15" hidden="false" customHeight="false" outlineLevel="0" collapsed="false">
      <c r="A41" s="5" t="s">
        <v>278</v>
      </c>
      <c r="B41" s="5" t="s">
        <v>40</v>
      </c>
      <c r="C41" s="5" t="s">
        <v>279</v>
      </c>
      <c r="D41" s="5" t="s">
        <v>280</v>
      </c>
      <c r="E41" s="5" t="s">
        <v>43</v>
      </c>
      <c r="F41" s="5" t="s">
        <v>281</v>
      </c>
      <c r="G41" s="5"/>
      <c r="H41" s="5"/>
      <c r="I41" s="10" t="s">
        <v>56</v>
      </c>
      <c r="J41" s="5" t="s">
        <v>276</v>
      </c>
      <c r="K41" s="5" t="n">
        <f aca="false">COUNTIF(Probe_Pairs!$B:$B,A41)</f>
        <v>10</v>
      </c>
      <c r="L41" s="5" t="n">
        <f aca="false">COUNTIFS(Probe_Pairs!$B:$B,A41,Probe_Pairs!$S:$S,"Both halves")</f>
        <v>0</v>
      </c>
      <c r="M41" s="5"/>
      <c r="N41" s="5" t="s">
        <v>279</v>
      </c>
      <c r="O41" s="5" t="s">
        <v>48</v>
      </c>
      <c r="P41" s="5"/>
      <c r="Q41" s="5" t="s">
        <v>49</v>
      </c>
      <c r="R41" s="5" t="s">
        <v>281</v>
      </c>
      <c r="S41" s="5" t="n">
        <f aca="false">IF(R41="","",COUNTIFS(Probe_Pairs!$B:$B,A41,Probe_Pairs!$X:$X,"Both halves"))</f>
        <v>10</v>
      </c>
      <c r="T41" s="5" t="str">
        <f aca="false">IF(R41="","",IF(S41*2&gt;=K41,"High","Low"))</f>
        <v>High</v>
      </c>
      <c r="U41" s="5" t="s">
        <v>280</v>
      </c>
      <c r="V41" s="5" t="s">
        <v>280</v>
      </c>
      <c r="W41" s="5" t="s">
        <v>282</v>
      </c>
      <c r="X41" s="5"/>
      <c r="Y41" s="8"/>
      <c r="Z41" s="8"/>
      <c r="AA41" s="8"/>
      <c r="AB41" s="8"/>
      <c r="AC41" s="8"/>
    </row>
    <row r="42" customFormat="false" ht="15" hidden="false" customHeight="false" outlineLevel="0" collapsed="false">
      <c r="A42" s="5" t="s">
        <v>283</v>
      </c>
      <c r="B42" s="5" t="s">
        <v>40</v>
      </c>
      <c r="C42" s="5" t="s">
        <v>284</v>
      </c>
      <c r="D42" s="5" t="s">
        <v>285</v>
      </c>
      <c r="E42" s="5" t="s">
        <v>43</v>
      </c>
      <c r="F42" s="5" t="s">
        <v>286</v>
      </c>
      <c r="G42" s="5"/>
      <c r="H42" s="5"/>
      <c r="I42" s="10" t="s">
        <v>56</v>
      </c>
      <c r="J42" s="5" t="s">
        <v>276</v>
      </c>
      <c r="K42" s="5" t="n">
        <f aca="false">COUNTIF(Probe_Pairs!$B:$B,A42)</f>
        <v>12</v>
      </c>
      <c r="L42" s="5" t="n">
        <f aca="false">COUNTIFS(Probe_Pairs!$B:$B,A42,Probe_Pairs!$S:$S,"Both halves")</f>
        <v>0</v>
      </c>
      <c r="M42" s="5"/>
      <c r="N42" s="5" t="s">
        <v>287</v>
      </c>
      <c r="O42" s="5" t="s">
        <v>48</v>
      </c>
      <c r="P42" s="5"/>
      <c r="Q42" s="5" t="s">
        <v>49</v>
      </c>
      <c r="R42" s="5" t="s">
        <v>286</v>
      </c>
      <c r="S42" s="5" t="n">
        <f aca="false">IF(R42="","",COUNTIFS(Probe_Pairs!$B:$B,A42,Probe_Pairs!$X:$X,"Both halves"))</f>
        <v>12</v>
      </c>
      <c r="T42" s="5" t="str">
        <f aca="false">IF(R42="","",IF(S42*2&gt;=K42,"High","Low"))</f>
        <v>High</v>
      </c>
      <c r="U42" s="5" t="s">
        <v>285</v>
      </c>
      <c r="V42" s="5" t="s">
        <v>288</v>
      </c>
      <c r="W42" s="5" t="s">
        <v>289</v>
      </c>
      <c r="X42" s="5"/>
      <c r="Y42" s="8"/>
      <c r="Z42" s="8"/>
      <c r="AA42" s="8"/>
      <c r="AB42" s="8"/>
      <c r="AC42" s="8"/>
    </row>
    <row r="43" customFormat="false" ht="15" hidden="false" customHeight="false" outlineLevel="0" collapsed="false">
      <c r="A43" s="5" t="s">
        <v>290</v>
      </c>
      <c r="B43" s="5" t="s">
        <v>40</v>
      </c>
      <c r="C43" s="5" t="s">
        <v>53</v>
      </c>
      <c r="D43" s="5" t="s">
        <v>54</v>
      </c>
      <c r="E43" s="5" t="s">
        <v>43</v>
      </c>
      <c r="F43" s="5" t="s">
        <v>55</v>
      </c>
      <c r="G43" s="5"/>
      <c r="H43" s="5"/>
      <c r="I43" s="10" t="s">
        <v>56</v>
      </c>
      <c r="J43" s="5" t="s">
        <v>276</v>
      </c>
      <c r="K43" s="5" t="n">
        <f aca="false">COUNTIF(Probe_Pairs!$B:$B,A43)</f>
        <v>6</v>
      </c>
      <c r="L43" s="5" t="n">
        <f aca="false">COUNTIFS(Probe_Pairs!$B:$B,A43,Probe_Pairs!$S:$S,"Both halves")</f>
        <v>0</v>
      </c>
      <c r="M43" s="5" t="s">
        <v>45</v>
      </c>
      <c r="N43" s="5" t="s">
        <v>53</v>
      </c>
      <c r="O43" s="5" t="s">
        <v>48</v>
      </c>
      <c r="P43" s="5"/>
      <c r="Q43" s="5" t="s">
        <v>49</v>
      </c>
      <c r="R43" s="5" t="s">
        <v>55</v>
      </c>
      <c r="S43" s="5" t="n">
        <f aca="false">IF(R43="","",COUNTIFS(Probe_Pairs!$B:$B,A43,Probe_Pairs!$X:$X,"Both halves"))</f>
        <v>6</v>
      </c>
      <c r="T43" s="5" t="str">
        <f aca="false">IF(R43="","",IF(S43*2&gt;=K43,"High","Low"))</f>
        <v>High</v>
      </c>
      <c r="U43" s="5" t="s">
        <v>54</v>
      </c>
      <c r="V43" s="5" t="s">
        <v>57</v>
      </c>
      <c r="W43" s="5" t="s">
        <v>58</v>
      </c>
      <c r="X43" s="5"/>
      <c r="Y43" s="8"/>
      <c r="Z43" s="8"/>
      <c r="AA43" s="8"/>
      <c r="AB43" s="8"/>
      <c r="AC43" s="8"/>
    </row>
    <row r="44" customFormat="false" ht="15" hidden="false" customHeight="false" outlineLevel="0" collapsed="false">
      <c r="A44" s="5" t="s">
        <v>291</v>
      </c>
      <c r="B44" s="5" t="s">
        <v>40</v>
      </c>
      <c r="C44" s="5" t="s">
        <v>292</v>
      </c>
      <c r="D44" s="5" t="s">
        <v>293</v>
      </c>
      <c r="E44" s="5" t="s">
        <v>43</v>
      </c>
      <c r="F44" s="5" t="s">
        <v>294</v>
      </c>
      <c r="G44" s="5"/>
      <c r="H44" s="5"/>
      <c r="I44" s="10" t="s">
        <v>56</v>
      </c>
      <c r="J44" s="5" t="s">
        <v>276</v>
      </c>
      <c r="K44" s="5" t="n">
        <f aca="false">COUNTIF(Probe_Pairs!$B:$B,A44)</f>
        <v>13</v>
      </c>
      <c r="L44" s="5" t="n">
        <f aca="false">COUNTIFS(Probe_Pairs!$B:$B,A44,Probe_Pairs!$S:$S,"Both halves")</f>
        <v>0</v>
      </c>
      <c r="M44" s="5"/>
      <c r="N44" s="5" t="s">
        <v>292</v>
      </c>
      <c r="O44" s="5" t="s">
        <v>48</v>
      </c>
      <c r="P44" s="5"/>
      <c r="Q44" s="5" t="s">
        <v>49</v>
      </c>
      <c r="R44" s="5" t="s">
        <v>294</v>
      </c>
      <c r="S44" s="5" t="n">
        <f aca="false">IF(R44="","",COUNTIFS(Probe_Pairs!$B:$B,A44,Probe_Pairs!$X:$X,"Both halves"))</f>
        <v>13</v>
      </c>
      <c r="T44" s="5" t="str">
        <f aca="false">IF(R44="","",IF(S44*2&gt;=K44,"High","Low"))</f>
        <v>High</v>
      </c>
      <c r="U44" s="5" t="s">
        <v>293</v>
      </c>
      <c r="V44" s="5" t="s">
        <v>295</v>
      </c>
      <c r="W44" s="5" t="s">
        <v>296</v>
      </c>
      <c r="X44" s="5"/>
      <c r="Y44" s="8"/>
      <c r="Z44" s="8"/>
      <c r="AA44" s="8"/>
      <c r="AB44" s="8"/>
      <c r="AC44" s="8"/>
    </row>
    <row r="45" customFormat="false" ht="15" hidden="false" customHeight="false" outlineLevel="0" collapsed="false">
      <c r="A45" s="5" t="s">
        <v>297</v>
      </c>
      <c r="B45" s="5" t="s">
        <v>40</v>
      </c>
      <c r="C45" s="5" t="s">
        <v>298</v>
      </c>
      <c r="D45" s="5" t="s">
        <v>299</v>
      </c>
      <c r="E45" s="5" t="s">
        <v>43</v>
      </c>
      <c r="F45" s="5" t="s">
        <v>300</v>
      </c>
      <c r="G45" s="5"/>
      <c r="H45" s="5"/>
      <c r="I45" s="10" t="s">
        <v>56</v>
      </c>
      <c r="J45" s="5" t="s">
        <v>276</v>
      </c>
      <c r="K45" s="5" t="n">
        <f aca="false">COUNTIF(Probe_Pairs!$B:$B,A45)</f>
        <v>8</v>
      </c>
      <c r="L45" s="5" t="n">
        <f aca="false">COUNTIFS(Probe_Pairs!$B:$B,A45,Probe_Pairs!$S:$S,"Both halves")</f>
        <v>0</v>
      </c>
      <c r="M45" s="5"/>
      <c r="N45" s="5" t="s">
        <v>298</v>
      </c>
      <c r="O45" s="5" t="s">
        <v>48</v>
      </c>
      <c r="P45" s="5"/>
      <c r="Q45" s="5" t="s">
        <v>165</v>
      </c>
      <c r="R45" s="5" t="s">
        <v>300</v>
      </c>
      <c r="S45" s="5" t="n">
        <f aca="false">IF(R45="","",COUNTIFS(Probe_Pairs!$B:$B,A45,Probe_Pairs!$X:$X,"Both halves"))</f>
        <v>8</v>
      </c>
      <c r="T45" s="5" t="str">
        <f aca="false">IF(R45="","",IF(S45*2&gt;=K45,"High","Low"))</f>
        <v>High</v>
      </c>
      <c r="U45" s="5" t="s">
        <v>299</v>
      </c>
      <c r="V45" s="5" t="s">
        <v>301</v>
      </c>
      <c r="W45" s="5" t="s">
        <v>302</v>
      </c>
      <c r="X45" s="5"/>
      <c r="Y45" s="8"/>
      <c r="Z45" s="8"/>
      <c r="AA45" s="8"/>
      <c r="AB45" s="8"/>
      <c r="AC45" s="8"/>
    </row>
    <row r="46" customFormat="false" ht="15" hidden="false" customHeight="false" outlineLevel="0" collapsed="false">
      <c r="A46" s="5" t="s">
        <v>303</v>
      </c>
      <c r="B46" s="5" t="s">
        <v>40</v>
      </c>
      <c r="C46" s="5" t="s">
        <v>81</v>
      </c>
      <c r="D46" s="5" t="s">
        <v>82</v>
      </c>
      <c r="E46" s="5" t="s">
        <v>43</v>
      </c>
      <c r="F46" s="5" t="s">
        <v>83</v>
      </c>
      <c r="G46" s="5"/>
      <c r="H46" s="5"/>
      <c r="I46" s="10" t="s">
        <v>56</v>
      </c>
      <c r="J46" s="5" t="s">
        <v>276</v>
      </c>
      <c r="K46" s="5" t="n">
        <f aca="false">COUNTIF(Probe_Pairs!$B:$B,A46)</f>
        <v>3</v>
      </c>
      <c r="L46" s="5" t="n">
        <f aca="false">COUNTIFS(Probe_Pairs!$B:$B,A46,Probe_Pairs!$S:$S,"Both halves")</f>
        <v>0</v>
      </c>
      <c r="M46" s="5" t="s">
        <v>304</v>
      </c>
      <c r="N46" s="5" t="s">
        <v>81</v>
      </c>
      <c r="O46" s="5" t="s">
        <v>48</v>
      </c>
      <c r="P46" s="5"/>
      <c r="Q46" s="5" t="s">
        <v>49</v>
      </c>
      <c r="R46" s="5" t="s">
        <v>83</v>
      </c>
      <c r="S46" s="5" t="n">
        <f aca="false">IF(R46="","",COUNTIFS(Probe_Pairs!$B:$B,A46,Probe_Pairs!$X:$X,"Both halves"))</f>
        <v>3</v>
      </c>
      <c r="T46" s="5" t="str">
        <f aca="false">IF(R46="","",IF(S46*2&gt;=K46,"High","Low"))</f>
        <v>High</v>
      </c>
      <c r="U46" s="5" t="s">
        <v>82</v>
      </c>
      <c r="V46" s="5" t="s">
        <v>82</v>
      </c>
      <c r="W46" s="5" t="s">
        <v>86</v>
      </c>
      <c r="X46" s="5"/>
      <c r="Y46" s="8"/>
      <c r="Z46" s="8"/>
      <c r="AA46" s="8"/>
      <c r="AB46" s="8"/>
      <c r="AC46" s="8" t="s">
        <v>87</v>
      </c>
    </row>
    <row r="47" customFormat="false" ht="15" hidden="false" customHeight="false" outlineLevel="0" collapsed="false">
      <c r="A47" s="5" t="s">
        <v>305</v>
      </c>
      <c r="B47" s="5" t="s">
        <v>40</v>
      </c>
      <c r="C47" s="5" t="s">
        <v>306</v>
      </c>
      <c r="D47" s="5" t="s">
        <v>307</v>
      </c>
      <c r="E47" s="5" t="s">
        <v>43</v>
      </c>
      <c r="F47" s="5" t="s">
        <v>308</v>
      </c>
      <c r="G47" s="5"/>
      <c r="H47" s="5"/>
      <c r="I47" s="10" t="s">
        <v>56</v>
      </c>
      <c r="J47" s="5" t="s">
        <v>276</v>
      </c>
      <c r="K47" s="5" t="n">
        <f aca="false">COUNTIF(Probe_Pairs!$B:$B,A47)</f>
        <v>6</v>
      </c>
      <c r="L47" s="5" t="n">
        <f aca="false">COUNTIFS(Probe_Pairs!$B:$B,A47,Probe_Pairs!$S:$S,"Both halves")</f>
        <v>0</v>
      </c>
      <c r="M47" s="5"/>
      <c r="N47" s="5" t="s">
        <v>309</v>
      </c>
      <c r="O47" s="5" t="s">
        <v>48</v>
      </c>
      <c r="P47" s="5"/>
      <c r="Q47" s="5" t="s">
        <v>49</v>
      </c>
      <c r="R47" s="5" t="s">
        <v>308</v>
      </c>
      <c r="S47" s="5" t="n">
        <f aca="false">IF(R47="","",COUNTIFS(Probe_Pairs!$B:$B,A47,Probe_Pairs!$X:$X,"Both halves"))</f>
        <v>6</v>
      </c>
      <c r="T47" s="5" t="str">
        <f aca="false">IF(R47="","",IF(S47*2&gt;=K47,"High","Low"))</f>
        <v>High</v>
      </c>
      <c r="U47" s="5" t="s">
        <v>307</v>
      </c>
      <c r="V47" s="5" t="s">
        <v>307</v>
      </c>
      <c r="W47" s="5" t="s">
        <v>310</v>
      </c>
      <c r="X47" s="5"/>
      <c r="Y47" s="8"/>
      <c r="Z47" s="8"/>
      <c r="AA47" s="8"/>
      <c r="AB47" s="8"/>
      <c r="AC47" s="8"/>
    </row>
    <row r="48" customFormat="false" ht="15" hidden="false" customHeight="false" outlineLevel="0" collapsed="false">
      <c r="A48" s="5" t="s">
        <v>311</v>
      </c>
      <c r="B48" s="5" t="s">
        <v>40</v>
      </c>
      <c r="C48" s="5" t="s">
        <v>96</v>
      </c>
      <c r="D48" s="5" t="s">
        <v>97</v>
      </c>
      <c r="E48" s="5" t="s">
        <v>43</v>
      </c>
      <c r="F48" s="5" t="s">
        <v>98</v>
      </c>
      <c r="G48" s="5"/>
      <c r="H48" s="5"/>
      <c r="I48" s="10" t="s">
        <v>56</v>
      </c>
      <c r="J48" s="5" t="s">
        <v>276</v>
      </c>
      <c r="K48" s="5" t="n">
        <f aca="false">COUNTIF(Probe_Pairs!$B:$B,A48)</f>
        <v>6</v>
      </c>
      <c r="L48" s="5" t="n">
        <f aca="false">COUNTIFS(Probe_Pairs!$B:$B,A48,Probe_Pairs!$S:$S,"Both halves")</f>
        <v>0</v>
      </c>
      <c r="M48" s="5" t="s">
        <v>304</v>
      </c>
      <c r="N48" s="5" t="s">
        <v>96</v>
      </c>
      <c r="O48" s="5" t="s">
        <v>48</v>
      </c>
      <c r="P48" s="5"/>
      <c r="Q48" s="5" t="s">
        <v>49</v>
      </c>
      <c r="R48" s="5" t="s">
        <v>98</v>
      </c>
      <c r="S48" s="5" t="n">
        <f aca="false">IF(R48="","",COUNTIFS(Probe_Pairs!$B:$B,A48,Probe_Pairs!$X:$X,"Both halves"))</f>
        <v>6</v>
      </c>
      <c r="T48" s="5" t="str">
        <f aca="false">IF(R48="","",IF(S48*2&gt;=K48,"High","Low"))</f>
        <v>High</v>
      </c>
      <c r="U48" s="5" t="s">
        <v>97</v>
      </c>
      <c r="V48" s="5" t="s">
        <v>100</v>
      </c>
      <c r="W48" s="5" t="s">
        <v>101</v>
      </c>
      <c r="X48" s="5"/>
      <c r="Y48" s="8"/>
      <c r="Z48" s="8"/>
      <c r="AA48" s="8"/>
      <c r="AB48" s="8"/>
      <c r="AC48" s="8"/>
    </row>
    <row r="49" customFormat="false" ht="15" hidden="false" customHeight="false" outlineLevel="0" collapsed="false">
      <c r="A49" s="5" t="s">
        <v>312</v>
      </c>
      <c r="B49" s="5" t="s">
        <v>40</v>
      </c>
      <c r="C49" s="5" t="s">
        <v>313</v>
      </c>
      <c r="D49" s="5" t="s">
        <v>314</v>
      </c>
      <c r="E49" s="5" t="s">
        <v>43</v>
      </c>
      <c r="F49" s="5" t="s">
        <v>315</v>
      </c>
      <c r="G49" s="5"/>
      <c r="H49" s="5"/>
      <c r="I49" s="10" t="s">
        <v>56</v>
      </c>
      <c r="J49" s="5" t="s">
        <v>276</v>
      </c>
      <c r="K49" s="5" t="n">
        <f aca="false">COUNTIF(Probe_Pairs!$B:$B,A49)</f>
        <v>12</v>
      </c>
      <c r="L49" s="5" t="n">
        <f aca="false">COUNTIFS(Probe_Pairs!$B:$B,A49,Probe_Pairs!$S:$S,"Both halves")</f>
        <v>0</v>
      </c>
      <c r="M49" s="5"/>
      <c r="N49" s="5" t="s">
        <v>316</v>
      </c>
      <c r="O49" s="5" t="s">
        <v>48</v>
      </c>
      <c r="P49" s="5"/>
      <c r="Q49" s="5" t="s">
        <v>165</v>
      </c>
      <c r="R49" s="5" t="s">
        <v>315</v>
      </c>
      <c r="S49" s="5" t="n">
        <f aca="false">IF(R49="","",COUNTIFS(Probe_Pairs!$B:$B,A49,Probe_Pairs!$X:$X,"Both halves"))</f>
        <v>12</v>
      </c>
      <c r="T49" s="5" t="str">
        <f aca="false">IF(R49="","",IF(S49*2&gt;=K49,"High","Low"))</f>
        <v>High</v>
      </c>
      <c r="U49" s="5" t="s">
        <v>314</v>
      </c>
      <c r="V49" s="5" t="s">
        <v>314</v>
      </c>
      <c r="W49" s="5" t="s">
        <v>317</v>
      </c>
      <c r="X49" s="7" t="s">
        <v>318</v>
      </c>
      <c r="Y49" s="8"/>
      <c r="Z49" s="8"/>
      <c r="AA49" s="8"/>
      <c r="AB49" s="8"/>
      <c r="AC49" s="8"/>
    </row>
    <row r="50" customFormat="false" ht="15" hidden="false" customHeight="false" outlineLevel="0" collapsed="false">
      <c r="A50" s="5" t="s">
        <v>319</v>
      </c>
      <c r="B50" s="5" t="s">
        <v>40</v>
      </c>
      <c r="C50" s="5" t="s">
        <v>320</v>
      </c>
      <c r="D50" s="5" t="s">
        <v>321</v>
      </c>
      <c r="E50" s="5" t="s">
        <v>43</v>
      </c>
      <c r="F50" s="5" t="s">
        <v>322</v>
      </c>
      <c r="G50" s="5"/>
      <c r="H50" s="5"/>
      <c r="I50" s="10" t="s">
        <v>56</v>
      </c>
      <c r="J50" s="5" t="s">
        <v>276</v>
      </c>
      <c r="K50" s="5" t="n">
        <f aca="false">COUNTIF(Probe_Pairs!$B:$B,A50)</f>
        <v>6</v>
      </c>
      <c r="L50" s="5" t="n">
        <f aca="false">COUNTIFS(Probe_Pairs!$B:$B,A50,Probe_Pairs!$S:$S,"Both halves")</f>
        <v>0</v>
      </c>
      <c r="M50" s="5"/>
      <c r="N50" s="5" t="s">
        <v>323</v>
      </c>
      <c r="O50" s="5" t="s">
        <v>48</v>
      </c>
      <c r="P50" s="5"/>
      <c r="Q50" s="5" t="s">
        <v>165</v>
      </c>
      <c r="R50" s="5" t="s">
        <v>322</v>
      </c>
      <c r="S50" s="5" t="n">
        <f aca="false">IF(R50="","",COUNTIFS(Probe_Pairs!$B:$B,A50,Probe_Pairs!$X:$X,"Both halves"))</f>
        <v>5</v>
      </c>
      <c r="T50" s="5" t="str">
        <f aca="false">IF(R50="","",IF(S50*2&gt;=K50,"High","Low"))</f>
        <v>High</v>
      </c>
      <c r="U50" s="5" t="s">
        <v>321</v>
      </c>
      <c r="V50" s="5" t="s">
        <v>324</v>
      </c>
      <c r="W50" s="5" t="s">
        <v>325</v>
      </c>
      <c r="X50" s="5"/>
      <c r="Y50" s="8"/>
      <c r="Z50" s="8"/>
      <c r="AA50" s="8"/>
      <c r="AB50" s="8"/>
      <c r="AC50" s="8"/>
    </row>
    <row r="51" customFormat="false" ht="15" hidden="false" customHeight="false" outlineLevel="0" collapsed="false">
      <c r="A51" s="5" t="s">
        <v>326</v>
      </c>
      <c r="B51" s="5" t="s">
        <v>40</v>
      </c>
      <c r="C51" s="5" t="s">
        <v>327</v>
      </c>
      <c r="D51" s="5" t="s">
        <v>328</v>
      </c>
      <c r="E51" s="5" t="s">
        <v>43</v>
      </c>
      <c r="F51" s="5" t="s">
        <v>329</v>
      </c>
      <c r="G51" s="5"/>
      <c r="H51" s="5"/>
      <c r="I51" s="10" t="s">
        <v>56</v>
      </c>
      <c r="J51" s="5" t="s">
        <v>276</v>
      </c>
      <c r="K51" s="5" t="n">
        <f aca="false">COUNTIF(Probe_Pairs!$B:$B,A51)</f>
        <v>6</v>
      </c>
      <c r="L51" s="5" t="n">
        <f aca="false">COUNTIFS(Probe_Pairs!$B:$B,A51,Probe_Pairs!$S:$S,"Both halves")</f>
        <v>0</v>
      </c>
      <c r="M51" s="5"/>
      <c r="N51" s="5" t="s">
        <v>330</v>
      </c>
      <c r="O51" s="5" t="s">
        <v>48</v>
      </c>
      <c r="P51" s="5"/>
      <c r="Q51" s="5" t="s">
        <v>165</v>
      </c>
      <c r="R51" s="5" t="s">
        <v>329</v>
      </c>
      <c r="S51" s="5" t="n">
        <f aca="false">IF(R51="","",COUNTIFS(Probe_Pairs!$B:$B,A51,Probe_Pairs!$X:$X,"Both halves"))</f>
        <v>6</v>
      </c>
      <c r="T51" s="5" t="str">
        <f aca="false">IF(R51="","",IF(S51*2&gt;=K51,"High","Low"))</f>
        <v>High</v>
      </c>
      <c r="U51" s="5" t="s">
        <v>328</v>
      </c>
      <c r="V51" s="5" t="s">
        <v>331</v>
      </c>
      <c r="W51" s="5" t="s">
        <v>332</v>
      </c>
      <c r="X51" s="5"/>
      <c r="Y51" s="8"/>
      <c r="Z51" s="8"/>
      <c r="AA51" s="8"/>
      <c r="AB51" s="8"/>
      <c r="AC51" s="8"/>
    </row>
    <row r="52" customFormat="false" ht="15" hidden="false" customHeight="false" outlineLevel="0" collapsed="false">
      <c r="A52" s="5" t="s">
        <v>333</v>
      </c>
      <c r="B52" s="5" t="s">
        <v>40</v>
      </c>
      <c r="C52" s="5" t="s">
        <v>334</v>
      </c>
      <c r="D52" s="5" t="s">
        <v>335</v>
      </c>
      <c r="E52" s="5" t="s">
        <v>43</v>
      </c>
      <c r="F52" s="5" t="s">
        <v>336</v>
      </c>
      <c r="G52" s="5"/>
      <c r="H52" s="5"/>
      <c r="I52" s="10" t="s">
        <v>56</v>
      </c>
      <c r="J52" s="5" t="s">
        <v>276</v>
      </c>
      <c r="K52" s="5" t="n">
        <f aca="false">COUNTIF(Probe_Pairs!$B:$B,A52)</f>
        <v>8</v>
      </c>
      <c r="L52" s="5" t="n">
        <f aca="false">COUNTIFS(Probe_Pairs!$B:$B,A52,Probe_Pairs!$S:$S,"Both halves")</f>
        <v>0</v>
      </c>
      <c r="M52" s="5"/>
      <c r="N52" s="5" t="s">
        <v>337</v>
      </c>
      <c r="O52" s="5" t="s">
        <v>48</v>
      </c>
      <c r="P52" s="5"/>
      <c r="Q52" s="5" t="s">
        <v>165</v>
      </c>
      <c r="R52" s="5" t="s">
        <v>336</v>
      </c>
      <c r="S52" s="5" t="n">
        <f aca="false">IF(R52="","",COUNTIFS(Probe_Pairs!$B:$B,A52,Probe_Pairs!$X:$X,"Both halves"))</f>
        <v>8</v>
      </c>
      <c r="T52" s="5" t="str">
        <f aca="false">IF(R52="","",IF(S52*2&gt;=K52,"High","Low"))</f>
        <v>High</v>
      </c>
      <c r="U52" s="5" t="s">
        <v>335</v>
      </c>
      <c r="V52" s="5" t="s">
        <v>338</v>
      </c>
      <c r="W52" s="5" t="s">
        <v>339</v>
      </c>
      <c r="X52" s="5"/>
      <c r="Y52" s="8"/>
      <c r="Z52" s="8"/>
      <c r="AA52" s="8"/>
      <c r="AB52" s="8"/>
      <c r="AC52" s="8"/>
    </row>
    <row r="53" customFormat="false" ht="15" hidden="false" customHeight="false" outlineLevel="0" collapsed="false">
      <c r="A53" s="5" t="s">
        <v>340</v>
      </c>
      <c r="B53" s="5" t="s">
        <v>40</v>
      </c>
      <c r="C53" s="5" t="s">
        <v>125</v>
      </c>
      <c r="D53" s="5" t="s">
        <v>126</v>
      </c>
      <c r="E53" s="5" t="s">
        <v>43</v>
      </c>
      <c r="F53" s="5" t="s">
        <v>127</v>
      </c>
      <c r="G53" s="5"/>
      <c r="H53" s="5"/>
      <c r="I53" s="10" t="s">
        <v>56</v>
      </c>
      <c r="J53" s="5" t="s">
        <v>276</v>
      </c>
      <c r="K53" s="5" t="n">
        <f aca="false">COUNTIF(Probe_Pairs!$B:$B,A53)</f>
        <v>8</v>
      </c>
      <c r="L53" s="5" t="n">
        <f aca="false">COUNTIFS(Probe_Pairs!$B:$B,A53,Probe_Pairs!$S:$S,"Both halves")</f>
        <v>0</v>
      </c>
      <c r="M53" s="5" t="s">
        <v>45</v>
      </c>
      <c r="N53" s="5" t="s">
        <v>125</v>
      </c>
      <c r="O53" s="5" t="s">
        <v>48</v>
      </c>
      <c r="P53" s="5"/>
      <c r="Q53" s="5" t="s">
        <v>49</v>
      </c>
      <c r="R53" s="5" t="s">
        <v>127</v>
      </c>
      <c r="S53" s="5" t="n">
        <f aca="false">IF(R53="","",COUNTIFS(Probe_Pairs!$B:$B,A53,Probe_Pairs!$X:$X,"Both halves"))</f>
        <v>8</v>
      </c>
      <c r="T53" s="5" t="str">
        <f aca="false">IF(R53="","",IF(S53*2&gt;=K53,"High","Low"))</f>
        <v>High</v>
      </c>
      <c r="U53" s="5" t="s">
        <v>126</v>
      </c>
      <c r="V53" s="5" t="s">
        <v>128</v>
      </c>
      <c r="W53" s="5" t="s">
        <v>129</v>
      </c>
      <c r="X53" s="5"/>
      <c r="Y53" s="8"/>
      <c r="Z53" s="8"/>
      <c r="AA53" s="8"/>
      <c r="AB53" s="8"/>
      <c r="AC53" s="8"/>
    </row>
    <row r="54" customFormat="false" ht="15" hidden="false" customHeight="false" outlineLevel="0" collapsed="false">
      <c r="A54" s="5" t="s">
        <v>341</v>
      </c>
      <c r="B54" s="5" t="s">
        <v>40</v>
      </c>
      <c r="C54" s="5" t="s">
        <v>267</v>
      </c>
      <c r="D54" s="5" t="s">
        <v>268</v>
      </c>
      <c r="E54" s="5" t="s">
        <v>43</v>
      </c>
      <c r="F54" s="5" t="s">
        <v>269</v>
      </c>
      <c r="G54" s="5"/>
      <c r="H54" s="5"/>
      <c r="I54" s="10" t="s">
        <v>56</v>
      </c>
      <c r="J54" s="5" t="s">
        <v>276</v>
      </c>
      <c r="K54" s="5" t="n">
        <f aca="false">COUNTIF(Probe_Pairs!$B:$B,A54)</f>
        <v>8</v>
      </c>
      <c r="L54" s="5" t="n">
        <f aca="false">COUNTIFS(Probe_Pairs!$B:$B,A54,Probe_Pairs!$S:$S,"Both halves")</f>
        <v>0</v>
      </c>
      <c r="M54" s="5" t="s">
        <v>92</v>
      </c>
      <c r="N54" s="5" t="s">
        <v>270</v>
      </c>
      <c r="O54" s="5" t="s">
        <v>48</v>
      </c>
      <c r="P54" s="5"/>
      <c r="Q54" s="5" t="s">
        <v>49</v>
      </c>
      <c r="R54" s="5" t="s">
        <v>269</v>
      </c>
      <c r="S54" s="5" t="n">
        <f aca="false">IF(R54="","",COUNTIFS(Probe_Pairs!$B:$B,A54,Probe_Pairs!$X:$X,"Both halves"))</f>
        <v>8</v>
      </c>
      <c r="T54" s="5" t="str">
        <f aca="false">IF(R54="","",IF(S54*2&gt;=K54,"High","Low"))</f>
        <v>High</v>
      </c>
      <c r="U54" s="5" t="s">
        <v>268</v>
      </c>
      <c r="V54" s="5" t="s">
        <v>271</v>
      </c>
      <c r="W54" s="5" t="s">
        <v>272</v>
      </c>
      <c r="X54" s="5"/>
      <c r="Y54" s="8" t="s">
        <v>174</v>
      </c>
      <c r="Z54" s="8"/>
      <c r="AA54" s="8"/>
      <c r="AB54" s="8"/>
      <c r="AC54" s="8" t="s">
        <v>273</v>
      </c>
    </row>
    <row r="55" customFormat="false" ht="15" hidden="false" customHeight="false" outlineLevel="0" collapsed="false">
      <c r="A55" s="5" t="s">
        <v>342</v>
      </c>
      <c r="B55" s="5" t="s">
        <v>40</v>
      </c>
      <c r="C55" s="5" t="s">
        <v>343</v>
      </c>
      <c r="D55" s="5" t="s">
        <v>344</v>
      </c>
      <c r="E55" s="5" t="s">
        <v>43</v>
      </c>
      <c r="F55" s="5" t="s">
        <v>345</v>
      </c>
      <c r="G55" s="5"/>
      <c r="H55" s="5"/>
      <c r="I55" s="10" t="s">
        <v>56</v>
      </c>
      <c r="J55" s="5" t="s">
        <v>276</v>
      </c>
      <c r="K55" s="5" t="n">
        <f aca="false">COUNTIF(Probe_Pairs!$B:$B,A55)</f>
        <v>10</v>
      </c>
      <c r="L55" s="5" t="n">
        <f aca="false">COUNTIFS(Probe_Pairs!$B:$B,A55,Probe_Pairs!$S:$S,"Both halves")</f>
        <v>0</v>
      </c>
      <c r="M55" s="5"/>
      <c r="N55" s="5" t="s">
        <v>346</v>
      </c>
      <c r="O55" s="5" t="s">
        <v>48</v>
      </c>
      <c r="P55" s="5"/>
      <c r="Q55" s="5" t="s">
        <v>49</v>
      </c>
      <c r="R55" s="5" t="s">
        <v>345</v>
      </c>
      <c r="S55" s="5" t="n">
        <f aca="false">IF(R55="","",COUNTIFS(Probe_Pairs!$B:$B,A55,Probe_Pairs!$X:$X,"Both halves"))</f>
        <v>10</v>
      </c>
      <c r="T55" s="5" t="str">
        <f aca="false">IF(R55="","",IF(S55*2&gt;=K55,"High","Low"))</f>
        <v>High</v>
      </c>
      <c r="U55" s="5" t="s">
        <v>344</v>
      </c>
      <c r="V55" s="5" t="s">
        <v>344</v>
      </c>
      <c r="W55" s="5" t="s">
        <v>347</v>
      </c>
      <c r="X55" s="5"/>
      <c r="Y55" s="8"/>
      <c r="Z55" s="8"/>
      <c r="AA55" s="8"/>
      <c r="AB55" s="8"/>
      <c r="AC55" s="8"/>
    </row>
    <row r="56" customFormat="false" ht="15" hidden="false" customHeight="false" outlineLevel="0" collapsed="false">
      <c r="A56" s="5" t="s">
        <v>348</v>
      </c>
      <c r="B56" s="5" t="s">
        <v>40</v>
      </c>
      <c r="C56" s="5" t="s">
        <v>148</v>
      </c>
      <c r="D56" s="5" t="s">
        <v>149</v>
      </c>
      <c r="E56" s="5" t="s">
        <v>43</v>
      </c>
      <c r="F56" s="5" t="s">
        <v>150</v>
      </c>
      <c r="G56" s="5"/>
      <c r="H56" s="5"/>
      <c r="I56" s="10" t="s">
        <v>56</v>
      </c>
      <c r="J56" s="5" t="s">
        <v>276</v>
      </c>
      <c r="K56" s="5" t="n">
        <f aca="false">COUNTIF(Probe_Pairs!$B:$B,A56)</f>
        <v>8</v>
      </c>
      <c r="L56" s="5" t="n">
        <f aca="false">COUNTIFS(Probe_Pairs!$B:$B,A56,Probe_Pairs!$S:$S,"Both halves")</f>
        <v>0</v>
      </c>
      <c r="M56" s="5" t="s">
        <v>304</v>
      </c>
      <c r="N56" s="5" t="s">
        <v>151</v>
      </c>
      <c r="O56" s="5" t="s">
        <v>48</v>
      </c>
      <c r="P56" s="5"/>
      <c r="Q56" s="5" t="s">
        <v>49</v>
      </c>
      <c r="R56" s="5" t="s">
        <v>150</v>
      </c>
      <c r="S56" s="5" t="n">
        <f aca="false">IF(R56="","",COUNTIFS(Probe_Pairs!$B:$B,A56,Probe_Pairs!$X:$X,"Both halves"))</f>
        <v>8</v>
      </c>
      <c r="T56" s="5" t="str">
        <f aca="false">IF(R56="","",IF(S56*2&gt;=K56,"High","Low"))</f>
        <v>High</v>
      </c>
      <c r="U56" s="5" t="s">
        <v>149</v>
      </c>
      <c r="V56" s="5" t="s">
        <v>149</v>
      </c>
      <c r="W56" s="5" t="s">
        <v>152</v>
      </c>
      <c r="X56" s="5"/>
      <c r="Y56" s="8"/>
      <c r="Z56" s="8"/>
      <c r="AA56" s="8"/>
      <c r="AB56" s="8"/>
      <c r="AC56" s="8"/>
    </row>
    <row r="57" customFormat="false" ht="15" hidden="false" customHeight="false" outlineLevel="0" collapsed="false">
      <c r="A57" s="5" t="s">
        <v>349</v>
      </c>
      <c r="B57" s="5" t="s">
        <v>40</v>
      </c>
      <c r="C57" s="5" t="s">
        <v>154</v>
      </c>
      <c r="D57" s="5" t="s">
        <v>155</v>
      </c>
      <c r="E57" s="5" t="s">
        <v>43</v>
      </c>
      <c r="F57" s="5" t="s">
        <v>156</v>
      </c>
      <c r="G57" s="5"/>
      <c r="H57" s="5"/>
      <c r="I57" s="10" t="s">
        <v>56</v>
      </c>
      <c r="J57" s="5" t="s">
        <v>276</v>
      </c>
      <c r="K57" s="5" t="n">
        <f aca="false">COUNTIF(Probe_Pairs!$B:$B,A57)</f>
        <v>6</v>
      </c>
      <c r="L57" s="5" t="n">
        <f aca="false">COUNTIFS(Probe_Pairs!$B:$B,A57,Probe_Pairs!$S:$S,"Both halves")</f>
        <v>0</v>
      </c>
      <c r="M57" s="5" t="s">
        <v>45</v>
      </c>
      <c r="N57" s="5" t="s">
        <v>350</v>
      </c>
      <c r="O57" s="5" t="s">
        <v>48</v>
      </c>
      <c r="P57" s="5"/>
      <c r="Q57" s="5" t="s">
        <v>49</v>
      </c>
      <c r="R57" s="5" t="s">
        <v>156</v>
      </c>
      <c r="S57" s="5" t="n">
        <f aca="false">IF(R57="","",COUNTIFS(Probe_Pairs!$B:$B,A57,Probe_Pairs!$X:$X,"Both halves"))</f>
        <v>6</v>
      </c>
      <c r="T57" s="5" t="str">
        <f aca="false">IF(R57="","",IF(S57*2&gt;=K57,"High","Low"))</f>
        <v>High</v>
      </c>
      <c r="U57" s="5" t="s">
        <v>155</v>
      </c>
      <c r="V57" s="5" t="s">
        <v>155</v>
      </c>
      <c r="W57" s="5" t="s">
        <v>158</v>
      </c>
      <c r="X57" s="5"/>
      <c r="Y57" s="8"/>
      <c r="Z57" s="8"/>
      <c r="AA57" s="8"/>
      <c r="AB57" s="8"/>
      <c r="AC57" s="8"/>
    </row>
  </sheetData>
  <autoFilter ref="A1:AC57"/>
  <dataValidations count="1">
    <dataValidation allowBlank="true" errorStyle="stop" operator="between" showDropDown="false" showErrorMessage="false" showInputMessage="false" sqref="Y2:Y1057" type="list">
      <formula1>"Designed,Ordered,In stock,Validated,Failed,Retired"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18"/>
    <col collapsed="false" customWidth="true" hidden="false" outlineLevel="0" max="4" min="4" style="0" width="9"/>
    <col collapsed="false" customWidth="true" hidden="false" outlineLevel="0" max="5" min="5" style="0" width="6"/>
    <col collapsed="false" customWidth="true" hidden="false" outlineLevel="0" max="6" min="6" style="0" width="26"/>
    <col collapsed="false" customWidth="true" hidden="false" outlineLevel="0" max="7" min="7" style="0" width="52"/>
    <col collapsed="false" customWidth="true" hidden="false" outlineLevel="0" max="8" min="8" style="0" width="26"/>
    <col collapsed="false" customWidth="true" hidden="false" outlineLevel="0" max="9" min="9" style="0" width="52"/>
    <col collapsed="false" customWidth="true" hidden="false" outlineLevel="0" max="11" min="10" style="0" width="26"/>
    <col collapsed="false" customWidth="true" hidden="false" outlineLevel="0" max="13" min="12" style="0" width="30"/>
    <col collapsed="false" customWidth="true" hidden="false" outlineLevel="0" max="17" min="14" style="0" width="8"/>
    <col collapsed="false" customWidth="true" hidden="false" outlineLevel="0" max="18" min="18" style="0" width="9"/>
    <col collapsed="false" customWidth="true" hidden="false" outlineLevel="0" max="19" min="19" style="0" width="12"/>
    <col collapsed="false" customWidth="true" hidden="false" outlineLevel="0" max="20" min="20" style="0" width="10"/>
    <col collapsed="false" customWidth="true" hidden="false" outlineLevel="0" max="21" min="21" style="0" width="15"/>
    <col collapsed="false" customWidth="true" hidden="false" outlineLevel="0" max="22" min="22" style="0" width="34"/>
    <col collapsed="false" customWidth="true" hidden="false" outlineLevel="0" max="23" min="23" style="0" width="30"/>
    <col collapsed="false" customWidth="true" hidden="false" outlineLevel="0" max="24" min="24" style="0" width="14"/>
    <col collapsed="false" customWidth="true" hidden="false" outlineLevel="0" max="25" min="25" style="0" width="40"/>
  </cols>
  <sheetData>
    <row r="1" customFormat="false" ht="31.5" hidden="false" customHeight="true" outlineLevel="0" collapsed="false">
      <c r="A1" s="3" t="s">
        <v>351</v>
      </c>
      <c r="B1" s="3" t="s">
        <v>10</v>
      </c>
      <c r="C1" s="3" t="s">
        <v>352</v>
      </c>
      <c r="D1" s="3" t="s">
        <v>18</v>
      </c>
      <c r="E1" s="3" t="s">
        <v>353</v>
      </c>
      <c r="F1" s="3" t="s">
        <v>354</v>
      </c>
      <c r="G1" s="3" t="s">
        <v>355</v>
      </c>
      <c r="H1" s="3" t="s">
        <v>356</v>
      </c>
      <c r="I1" s="3" t="s">
        <v>357</v>
      </c>
      <c r="J1" s="3" t="s">
        <v>358</v>
      </c>
      <c r="K1" s="3" t="s">
        <v>359</v>
      </c>
      <c r="L1" s="3" t="s">
        <v>360</v>
      </c>
      <c r="M1" s="3" t="s">
        <v>361</v>
      </c>
      <c r="N1" s="3" t="s">
        <v>362</v>
      </c>
      <c r="O1" s="3" t="s">
        <v>363</v>
      </c>
      <c r="P1" s="3" t="s">
        <v>364</v>
      </c>
      <c r="Q1" s="3" t="s">
        <v>365</v>
      </c>
      <c r="R1" s="3" t="s">
        <v>366</v>
      </c>
      <c r="S1" s="3" t="s">
        <v>367</v>
      </c>
      <c r="T1" s="3" t="s">
        <v>368</v>
      </c>
      <c r="U1" s="3" t="s">
        <v>369</v>
      </c>
      <c r="V1" s="3" t="s">
        <v>24</v>
      </c>
      <c r="W1" s="3" t="s">
        <v>370</v>
      </c>
      <c r="X1" s="3" t="s">
        <v>371</v>
      </c>
      <c r="Y1" s="3" t="s">
        <v>372</v>
      </c>
    </row>
    <row r="2" customFormat="false" ht="15" hidden="false" customHeight="false" outlineLevel="0" collapsed="false">
      <c r="A2" s="5" t="s">
        <v>373</v>
      </c>
      <c r="B2" s="5" t="s">
        <v>39</v>
      </c>
      <c r="C2" s="5" t="s">
        <v>41</v>
      </c>
      <c r="D2" s="6" t="s">
        <v>45</v>
      </c>
      <c r="E2" s="5" t="n">
        <v>1</v>
      </c>
      <c r="F2" s="5" t="s">
        <v>374</v>
      </c>
      <c r="G2" s="11" t="s">
        <v>375</v>
      </c>
      <c r="H2" s="5" t="s">
        <v>376</v>
      </c>
      <c r="I2" s="11" t="s">
        <v>377</v>
      </c>
      <c r="J2" s="5" t="s">
        <v>378</v>
      </c>
      <c r="K2" s="5" t="s">
        <v>379</v>
      </c>
      <c r="L2" s="11" t="s">
        <v>380</v>
      </c>
      <c r="M2" s="11" t="s">
        <v>381</v>
      </c>
      <c r="N2" s="5" t="n">
        <f aca="false">LEN(L2)</f>
        <v>25</v>
      </c>
      <c r="O2" s="5" t="n">
        <f aca="false">LEN(M2)</f>
        <v>25</v>
      </c>
      <c r="P2" s="12" t="n">
        <f aca="false">IF(N2=0,"",(N2-LEN(SUBSTITUTE(SUBSTITUTE(L2,"G",""),"C","")))/N2)</f>
        <v>0.44</v>
      </c>
      <c r="Q2" s="12" t="n">
        <f aca="false">IF(O2=0,"",(O2-LEN(SUBSTITUTE(SUBSTITUTE(M2,"G",""),"C","")))/O2)</f>
        <v>0.72</v>
      </c>
      <c r="R2" s="5"/>
      <c r="S2" s="5" t="s">
        <v>382</v>
      </c>
      <c r="T2" s="5"/>
      <c r="U2" s="5" t="s">
        <v>383</v>
      </c>
      <c r="V2" s="5" t="s">
        <v>384</v>
      </c>
      <c r="W2" s="5"/>
      <c r="X2" s="13" t="s">
        <v>385</v>
      </c>
      <c r="Y2" s="7" t="s">
        <v>386</v>
      </c>
    </row>
    <row r="3" customFormat="false" ht="15" hidden="false" customHeight="false" outlineLevel="0" collapsed="false">
      <c r="A3" s="5" t="s">
        <v>387</v>
      </c>
      <c r="B3" s="5" t="s">
        <v>39</v>
      </c>
      <c r="C3" s="5" t="s">
        <v>41</v>
      </c>
      <c r="D3" s="6" t="s">
        <v>45</v>
      </c>
      <c r="E3" s="5" t="n">
        <v>2</v>
      </c>
      <c r="F3" s="5" t="s">
        <v>388</v>
      </c>
      <c r="G3" s="11" t="s">
        <v>389</v>
      </c>
      <c r="H3" s="5" t="s">
        <v>390</v>
      </c>
      <c r="I3" s="11" t="s">
        <v>391</v>
      </c>
      <c r="J3" s="5" t="s">
        <v>392</v>
      </c>
      <c r="K3" s="5" t="s">
        <v>393</v>
      </c>
      <c r="L3" s="11" t="s">
        <v>394</v>
      </c>
      <c r="M3" s="11" t="s">
        <v>395</v>
      </c>
      <c r="N3" s="5" t="n">
        <f aca="false">LEN(L3)</f>
        <v>25</v>
      </c>
      <c r="O3" s="5" t="n">
        <f aca="false">LEN(M3)</f>
        <v>25</v>
      </c>
      <c r="P3" s="12" t="n">
        <f aca="false">IF(N3=0,"",(N3-LEN(SUBSTITUTE(SUBSTITUTE(L3,"G",""),"C","")))/N3)</f>
        <v>0.6</v>
      </c>
      <c r="Q3" s="12" t="n">
        <f aca="false">IF(O3=0,"",(O3-LEN(SUBSTITUTE(SUBSTITUTE(M3,"G",""),"C","")))/O3)</f>
        <v>0.64</v>
      </c>
      <c r="R3" s="5"/>
      <c r="S3" s="5" t="s">
        <v>382</v>
      </c>
      <c r="T3" s="5"/>
      <c r="U3" s="5" t="s">
        <v>383</v>
      </c>
      <c r="V3" s="5" t="s">
        <v>384</v>
      </c>
      <c r="W3" s="5"/>
      <c r="X3" s="13" t="s">
        <v>385</v>
      </c>
      <c r="Y3" s="7" t="s">
        <v>396</v>
      </c>
    </row>
    <row r="4" customFormat="false" ht="15" hidden="false" customHeight="false" outlineLevel="0" collapsed="false">
      <c r="A4" s="5" t="s">
        <v>397</v>
      </c>
      <c r="B4" s="5" t="s">
        <v>39</v>
      </c>
      <c r="C4" s="5" t="s">
        <v>41</v>
      </c>
      <c r="D4" s="6" t="s">
        <v>45</v>
      </c>
      <c r="E4" s="5" t="n">
        <v>3</v>
      </c>
      <c r="F4" s="5" t="s">
        <v>398</v>
      </c>
      <c r="G4" s="11" t="s">
        <v>399</v>
      </c>
      <c r="H4" s="5" t="s">
        <v>400</v>
      </c>
      <c r="I4" s="11" t="s">
        <v>401</v>
      </c>
      <c r="J4" s="5" t="s">
        <v>402</v>
      </c>
      <c r="K4" s="5" t="s">
        <v>403</v>
      </c>
      <c r="L4" s="11" t="s">
        <v>404</v>
      </c>
      <c r="M4" s="11" t="s">
        <v>405</v>
      </c>
      <c r="N4" s="5" t="n">
        <f aca="false">LEN(L4)</f>
        <v>25</v>
      </c>
      <c r="O4" s="5" t="n">
        <f aca="false">LEN(M4)</f>
        <v>25</v>
      </c>
      <c r="P4" s="12" t="n">
        <f aca="false">IF(N4=0,"",(N4-LEN(SUBSTITUTE(SUBSTITUTE(L4,"G",""),"C","")))/N4)</f>
        <v>0.6</v>
      </c>
      <c r="Q4" s="12" t="n">
        <f aca="false">IF(O4=0,"",(O4-LEN(SUBSTITUTE(SUBSTITUTE(M4,"G",""),"C","")))/O4)</f>
        <v>0.64</v>
      </c>
      <c r="R4" s="5"/>
      <c r="S4" s="5" t="s">
        <v>382</v>
      </c>
      <c r="T4" s="5"/>
      <c r="U4" s="5" t="s">
        <v>383</v>
      </c>
      <c r="V4" s="5" t="s">
        <v>384</v>
      </c>
      <c r="W4" s="5"/>
      <c r="X4" s="13" t="s">
        <v>385</v>
      </c>
      <c r="Y4" s="7" t="s">
        <v>406</v>
      </c>
    </row>
    <row r="5" customFormat="false" ht="15" hidden="false" customHeight="false" outlineLevel="0" collapsed="false">
      <c r="A5" s="5" t="s">
        <v>407</v>
      </c>
      <c r="B5" s="5" t="s">
        <v>39</v>
      </c>
      <c r="C5" s="5" t="s">
        <v>41</v>
      </c>
      <c r="D5" s="6" t="s">
        <v>45</v>
      </c>
      <c r="E5" s="5" t="n">
        <v>4</v>
      </c>
      <c r="F5" s="5" t="s">
        <v>408</v>
      </c>
      <c r="G5" s="11" t="s">
        <v>409</v>
      </c>
      <c r="H5" s="5" t="s">
        <v>410</v>
      </c>
      <c r="I5" s="11" t="s">
        <v>411</v>
      </c>
      <c r="J5" s="5" t="s">
        <v>412</v>
      </c>
      <c r="K5" s="5" t="s">
        <v>413</v>
      </c>
      <c r="L5" s="11" t="s">
        <v>414</v>
      </c>
      <c r="M5" s="11" t="s">
        <v>415</v>
      </c>
      <c r="N5" s="5" t="n">
        <f aca="false">LEN(L5)</f>
        <v>25</v>
      </c>
      <c r="O5" s="5" t="n">
        <f aca="false">LEN(M5)</f>
        <v>25</v>
      </c>
      <c r="P5" s="12" t="n">
        <f aca="false">IF(N5=0,"",(N5-LEN(SUBSTITUTE(SUBSTITUTE(L5,"G",""),"C","")))/N5)</f>
        <v>0.4</v>
      </c>
      <c r="Q5" s="12" t="n">
        <f aca="false">IF(O5=0,"",(O5-LEN(SUBSTITUTE(SUBSTITUTE(M5,"G",""),"C","")))/O5)</f>
        <v>0.68</v>
      </c>
      <c r="R5" s="5"/>
      <c r="S5" s="5" t="s">
        <v>382</v>
      </c>
      <c r="T5" s="5"/>
      <c r="U5" s="5" t="s">
        <v>383</v>
      </c>
      <c r="V5" s="5" t="s">
        <v>384</v>
      </c>
      <c r="W5" s="5"/>
      <c r="X5" s="13" t="s">
        <v>385</v>
      </c>
      <c r="Y5" s="7" t="s">
        <v>416</v>
      </c>
    </row>
    <row r="6" customFormat="false" ht="15" hidden="false" customHeight="false" outlineLevel="0" collapsed="false">
      <c r="A6" s="5" t="s">
        <v>417</v>
      </c>
      <c r="B6" s="5" t="s">
        <v>39</v>
      </c>
      <c r="C6" s="5" t="s">
        <v>41</v>
      </c>
      <c r="D6" s="6" t="s">
        <v>45</v>
      </c>
      <c r="E6" s="5" t="n">
        <v>5</v>
      </c>
      <c r="F6" s="5" t="s">
        <v>418</v>
      </c>
      <c r="G6" s="11" t="s">
        <v>419</v>
      </c>
      <c r="H6" s="5" t="s">
        <v>420</v>
      </c>
      <c r="I6" s="11" t="s">
        <v>421</v>
      </c>
      <c r="J6" s="5" t="s">
        <v>422</v>
      </c>
      <c r="K6" s="5" t="s">
        <v>423</v>
      </c>
      <c r="L6" s="11" t="s">
        <v>424</v>
      </c>
      <c r="M6" s="11" t="s">
        <v>425</v>
      </c>
      <c r="N6" s="5" t="n">
        <f aca="false">LEN(L6)</f>
        <v>25</v>
      </c>
      <c r="O6" s="5" t="n">
        <f aca="false">LEN(M6)</f>
        <v>25</v>
      </c>
      <c r="P6" s="12" t="n">
        <f aca="false">IF(N6=0,"",(N6-LEN(SUBSTITUTE(SUBSTITUTE(L6,"G",""),"C","")))/N6)</f>
        <v>0.68</v>
      </c>
      <c r="Q6" s="12" t="n">
        <f aca="false">IF(O6=0,"",(O6-LEN(SUBSTITUTE(SUBSTITUTE(M6,"G",""),"C","")))/O6)</f>
        <v>0.84</v>
      </c>
      <c r="R6" s="5"/>
      <c r="S6" s="5" t="s">
        <v>382</v>
      </c>
      <c r="T6" s="5"/>
      <c r="U6" s="5" t="s">
        <v>383</v>
      </c>
      <c r="V6" s="5" t="s">
        <v>384</v>
      </c>
      <c r="W6" s="5"/>
      <c r="X6" s="13" t="s">
        <v>385</v>
      </c>
      <c r="Y6" s="7" t="s">
        <v>426</v>
      </c>
    </row>
    <row r="7" customFormat="false" ht="15" hidden="false" customHeight="false" outlineLevel="0" collapsed="false">
      <c r="A7" s="5" t="s">
        <v>427</v>
      </c>
      <c r="B7" s="5" t="s">
        <v>39</v>
      </c>
      <c r="C7" s="5" t="s">
        <v>41</v>
      </c>
      <c r="D7" s="6" t="s">
        <v>45</v>
      </c>
      <c r="E7" s="5" t="n">
        <v>6</v>
      </c>
      <c r="F7" s="5" t="s">
        <v>428</v>
      </c>
      <c r="G7" s="11" t="s">
        <v>429</v>
      </c>
      <c r="H7" s="5" t="s">
        <v>430</v>
      </c>
      <c r="I7" s="11" t="s">
        <v>431</v>
      </c>
      <c r="J7" s="5" t="s">
        <v>432</v>
      </c>
      <c r="K7" s="5" t="s">
        <v>433</v>
      </c>
      <c r="L7" s="11" t="s">
        <v>434</v>
      </c>
      <c r="M7" s="11" t="s">
        <v>435</v>
      </c>
      <c r="N7" s="5" t="n">
        <f aca="false">LEN(L7)</f>
        <v>25</v>
      </c>
      <c r="O7" s="5" t="n">
        <f aca="false">LEN(M7)</f>
        <v>25</v>
      </c>
      <c r="P7" s="12" t="n">
        <f aca="false">IF(N7=0,"",(N7-LEN(SUBSTITUTE(SUBSTITUTE(L7,"G",""),"C","")))/N7)</f>
        <v>0.76</v>
      </c>
      <c r="Q7" s="12" t="n">
        <f aca="false">IF(O7=0,"",(O7-LEN(SUBSTITUTE(SUBSTITUTE(M7,"G",""),"C","")))/O7)</f>
        <v>0.88</v>
      </c>
      <c r="R7" s="5"/>
      <c r="S7" s="5" t="s">
        <v>382</v>
      </c>
      <c r="T7" s="5"/>
      <c r="U7" s="5" t="s">
        <v>383</v>
      </c>
      <c r="V7" s="5" t="s">
        <v>384</v>
      </c>
      <c r="W7" s="5"/>
      <c r="X7" s="13" t="s">
        <v>385</v>
      </c>
      <c r="Y7" s="7" t="s">
        <v>436</v>
      </c>
    </row>
    <row r="8" customFormat="false" ht="15" hidden="false" customHeight="false" outlineLevel="0" collapsed="false">
      <c r="A8" s="5" t="s">
        <v>437</v>
      </c>
      <c r="B8" s="5" t="s">
        <v>39</v>
      </c>
      <c r="C8" s="5" t="s">
        <v>41</v>
      </c>
      <c r="D8" s="6" t="s">
        <v>45</v>
      </c>
      <c r="E8" s="5" t="n">
        <v>7</v>
      </c>
      <c r="F8" s="5" t="s">
        <v>438</v>
      </c>
      <c r="G8" s="11" t="s">
        <v>439</v>
      </c>
      <c r="H8" s="5" t="s">
        <v>440</v>
      </c>
      <c r="I8" s="11" t="s">
        <v>441</v>
      </c>
      <c r="J8" s="5" t="s">
        <v>442</v>
      </c>
      <c r="K8" s="5" t="s">
        <v>443</v>
      </c>
      <c r="L8" s="11" t="s">
        <v>444</v>
      </c>
      <c r="M8" s="11" t="s">
        <v>445</v>
      </c>
      <c r="N8" s="5" t="n">
        <f aca="false">LEN(L8)</f>
        <v>25</v>
      </c>
      <c r="O8" s="5" t="n">
        <f aca="false">LEN(M8)</f>
        <v>25</v>
      </c>
      <c r="P8" s="12" t="n">
        <f aca="false">IF(N8=0,"",(N8-LEN(SUBSTITUTE(SUBSTITUTE(L8,"G",""),"C","")))/N8)</f>
        <v>0.56</v>
      </c>
      <c r="Q8" s="12" t="n">
        <f aca="false">IF(O8=0,"",(O8-LEN(SUBSTITUTE(SUBSTITUTE(M8,"G",""),"C","")))/O8)</f>
        <v>0.6</v>
      </c>
      <c r="R8" s="5"/>
      <c r="S8" s="5" t="s">
        <v>382</v>
      </c>
      <c r="T8" s="5"/>
      <c r="U8" s="5" t="s">
        <v>383</v>
      </c>
      <c r="V8" s="5" t="s">
        <v>384</v>
      </c>
      <c r="W8" s="5"/>
      <c r="X8" s="13" t="s">
        <v>385</v>
      </c>
      <c r="Y8" s="7" t="s">
        <v>446</v>
      </c>
    </row>
    <row r="9" customFormat="false" ht="15" hidden="false" customHeight="false" outlineLevel="0" collapsed="false">
      <c r="A9" s="5" t="s">
        <v>447</v>
      </c>
      <c r="B9" s="5" t="s">
        <v>39</v>
      </c>
      <c r="C9" s="5" t="s">
        <v>41</v>
      </c>
      <c r="D9" s="6" t="s">
        <v>45</v>
      </c>
      <c r="E9" s="5" t="n">
        <v>8</v>
      </c>
      <c r="F9" s="5" t="s">
        <v>448</v>
      </c>
      <c r="G9" s="11" t="s">
        <v>449</v>
      </c>
      <c r="H9" s="5" t="s">
        <v>450</v>
      </c>
      <c r="I9" s="11" t="s">
        <v>451</v>
      </c>
      <c r="J9" s="5" t="s">
        <v>452</v>
      </c>
      <c r="K9" s="5" t="s">
        <v>453</v>
      </c>
      <c r="L9" s="11" t="s">
        <v>454</v>
      </c>
      <c r="M9" s="11" t="s">
        <v>455</v>
      </c>
      <c r="N9" s="5" t="n">
        <f aca="false">LEN(L9)</f>
        <v>25</v>
      </c>
      <c r="O9" s="5" t="n">
        <f aca="false">LEN(M9)</f>
        <v>25</v>
      </c>
      <c r="P9" s="12" t="n">
        <f aca="false">IF(N9=0,"",(N9-LEN(SUBSTITUTE(SUBSTITUTE(L9,"G",""),"C","")))/N9)</f>
        <v>0.8</v>
      </c>
      <c r="Q9" s="12" t="n">
        <f aca="false">IF(O9=0,"",(O9-LEN(SUBSTITUTE(SUBSTITUTE(M9,"G",""),"C","")))/O9)</f>
        <v>0.72</v>
      </c>
      <c r="R9" s="5"/>
      <c r="S9" s="5" t="s">
        <v>382</v>
      </c>
      <c r="T9" s="5"/>
      <c r="U9" s="5" t="s">
        <v>383</v>
      </c>
      <c r="V9" s="5" t="s">
        <v>384</v>
      </c>
      <c r="W9" s="5"/>
      <c r="X9" s="13" t="s">
        <v>385</v>
      </c>
      <c r="Y9" s="7" t="s">
        <v>456</v>
      </c>
    </row>
    <row r="10" customFormat="false" ht="15" hidden="false" customHeight="false" outlineLevel="0" collapsed="false">
      <c r="A10" s="5" t="s">
        <v>457</v>
      </c>
      <c r="B10" s="5" t="s">
        <v>52</v>
      </c>
      <c r="C10" s="5" t="s">
        <v>53</v>
      </c>
      <c r="D10" s="6" t="s">
        <v>45</v>
      </c>
      <c r="E10" s="5" t="n">
        <v>1</v>
      </c>
      <c r="F10" s="5" t="s">
        <v>458</v>
      </c>
      <c r="G10" s="11" t="s">
        <v>459</v>
      </c>
      <c r="H10" s="5" t="s">
        <v>460</v>
      </c>
      <c r="I10" s="11" t="s">
        <v>461</v>
      </c>
      <c r="J10" s="5" t="s">
        <v>462</v>
      </c>
      <c r="K10" s="5" t="s">
        <v>463</v>
      </c>
      <c r="L10" s="11" t="s">
        <v>464</v>
      </c>
      <c r="M10" s="11" t="s">
        <v>465</v>
      </c>
      <c r="N10" s="5" t="n">
        <f aca="false">LEN(L10)</f>
        <v>25</v>
      </c>
      <c r="O10" s="5" t="n">
        <f aca="false">LEN(M10)</f>
        <v>25</v>
      </c>
      <c r="P10" s="12" t="n">
        <f aca="false">IF(N10=0,"",(N10-LEN(SUBSTITUTE(SUBSTITUTE(L10,"G",""),"C","")))/N10)</f>
        <v>0.64</v>
      </c>
      <c r="Q10" s="12" t="n">
        <f aca="false">IF(O10=0,"",(O10-LEN(SUBSTITUTE(SUBSTITUTE(M10,"G",""),"C","")))/O10)</f>
        <v>0.64</v>
      </c>
      <c r="R10" s="5"/>
      <c r="S10" s="5" t="s">
        <v>382</v>
      </c>
      <c r="T10" s="5"/>
      <c r="U10" s="5" t="s">
        <v>383</v>
      </c>
      <c r="V10" s="5" t="s">
        <v>466</v>
      </c>
      <c r="W10" s="5"/>
      <c r="X10" s="13" t="s">
        <v>385</v>
      </c>
      <c r="Y10" s="5"/>
    </row>
    <row r="11" customFormat="false" ht="15" hidden="false" customHeight="false" outlineLevel="0" collapsed="false">
      <c r="A11" s="5" t="s">
        <v>467</v>
      </c>
      <c r="B11" s="5" t="s">
        <v>52</v>
      </c>
      <c r="C11" s="5" t="s">
        <v>53</v>
      </c>
      <c r="D11" s="6" t="s">
        <v>45</v>
      </c>
      <c r="E11" s="5" t="n">
        <v>2</v>
      </c>
      <c r="F11" s="5" t="s">
        <v>468</v>
      </c>
      <c r="G11" s="11" t="s">
        <v>469</v>
      </c>
      <c r="H11" s="5" t="s">
        <v>470</v>
      </c>
      <c r="I11" s="11" t="s">
        <v>471</v>
      </c>
      <c r="J11" s="5" t="s">
        <v>472</v>
      </c>
      <c r="K11" s="5" t="s">
        <v>473</v>
      </c>
      <c r="L11" s="11" t="s">
        <v>474</v>
      </c>
      <c r="M11" s="11" t="s">
        <v>475</v>
      </c>
      <c r="N11" s="5" t="n">
        <f aca="false">LEN(L11)</f>
        <v>25</v>
      </c>
      <c r="O11" s="5" t="n">
        <f aca="false">LEN(M11)</f>
        <v>25</v>
      </c>
      <c r="P11" s="12" t="n">
        <f aca="false">IF(N11=0,"",(N11-LEN(SUBSTITUTE(SUBSTITUTE(L11,"G",""),"C","")))/N11)</f>
        <v>0.64</v>
      </c>
      <c r="Q11" s="12" t="n">
        <f aca="false">IF(O11=0,"",(O11-LEN(SUBSTITUTE(SUBSTITUTE(M11,"G",""),"C","")))/O11)</f>
        <v>0.4</v>
      </c>
      <c r="R11" s="5"/>
      <c r="S11" s="5" t="s">
        <v>382</v>
      </c>
      <c r="T11" s="5"/>
      <c r="U11" s="5" t="s">
        <v>383</v>
      </c>
      <c r="V11" s="5" t="s">
        <v>466</v>
      </c>
      <c r="W11" s="5"/>
      <c r="X11" s="13" t="s">
        <v>385</v>
      </c>
      <c r="Y11" s="5"/>
    </row>
    <row r="12" customFormat="false" ht="15" hidden="false" customHeight="false" outlineLevel="0" collapsed="false">
      <c r="A12" s="5" t="s">
        <v>476</v>
      </c>
      <c r="B12" s="5" t="s">
        <v>52</v>
      </c>
      <c r="C12" s="5" t="s">
        <v>53</v>
      </c>
      <c r="D12" s="6" t="s">
        <v>45</v>
      </c>
      <c r="E12" s="5" t="n">
        <v>3</v>
      </c>
      <c r="F12" s="5" t="s">
        <v>477</v>
      </c>
      <c r="G12" s="11" t="s">
        <v>478</v>
      </c>
      <c r="H12" s="5" t="s">
        <v>479</v>
      </c>
      <c r="I12" s="11" t="s">
        <v>480</v>
      </c>
      <c r="J12" s="5" t="s">
        <v>481</v>
      </c>
      <c r="K12" s="5" t="s">
        <v>482</v>
      </c>
      <c r="L12" s="11" t="s">
        <v>483</v>
      </c>
      <c r="M12" s="11" t="s">
        <v>484</v>
      </c>
      <c r="N12" s="5" t="n">
        <f aca="false">LEN(L12)</f>
        <v>25</v>
      </c>
      <c r="O12" s="5" t="n">
        <f aca="false">LEN(M12)</f>
        <v>25</v>
      </c>
      <c r="P12" s="12" t="n">
        <f aca="false">IF(N12=0,"",(N12-LEN(SUBSTITUTE(SUBSTITUTE(L12,"G",""),"C","")))/N12)</f>
        <v>0.72</v>
      </c>
      <c r="Q12" s="12" t="n">
        <f aca="false">IF(O12=0,"",(O12-LEN(SUBSTITUTE(SUBSTITUTE(M12,"G",""),"C","")))/O12)</f>
        <v>0.28</v>
      </c>
      <c r="R12" s="5"/>
      <c r="S12" s="5" t="s">
        <v>382</v>
      </c>
      <c r="T12" s="5"/>
      <c r="U12" s="5" t="s">
        <v>383</v>
      </c>
      <c r="V12" s="5" t="s">
        <v>466</v>
      </c>
      <c r="W12" s="5"/>
      <c r="X12" s="13" t="s">
        <v>385</v>
      </c>
      <c r="Y12" s="5"/>
    </row>
    <row r="13" customFormat="false" ht="15" hidden="false" customHeight="false" outlineLevel="0" collapsed="false">
      <c r="A13" s="5" t="s">
        <v>485</v>
      </c>
      <c r="B13" s="5" t="s">
        <v>52</v>
      </c>
      <c r="C13" s="5" t="s">
        <v>53</v>
      </c>
      <c r="D13" s="6" t="s">
        <v>45</v>
      </c>
      <c r="E13" s="5" t="n">
        <v>4</v>
      </c>
      <c r="F13" s="5" t="s">
        <v>486</v>
      </c>
      <c r="G13" s="11" t="s">
        <v>487</v>
      </c>
      <c r="H13" s="5" t="s">
        <v>488</v>
      </c>
      <c r="I13" s="11" t="s">
        <v>489</v>
      </c>
      <c r="J13" s="5" t="s">
        <v>490</v>
      </c>
      <c r="K13" s="5" t="s">
        <v>491</v>
      </c>
      <c r="L13" s="11" t="s">
        <v>492</v>
      </c>
      <c r="M13" s="11" t="s">
        <v>493</v>
      </c>
      <c r="N13" s="5" t="n">
        <f aca="false">LEN(L13)</f>
        <v>25</v>
      </c>
      <c r="O13" s="5" t="n">
        <f aca="false">LEN(M13)</f>
        <v>25</v>
      </c>
      <c r="P13" s="12" t="n">
        <f aca="false">IF(N13=0,"",(N13-LEN(SUBSTITUTE(SUBSTITUTE(L13,"G",""),"C","")))/N13)</f>
        <v>0.4</v>
      </c>
      <c r="Q13" s="12" t="n">
        <f aca="false">IF(O13=0,"",(O13-LEN(SUBSTITUTE(SUBSTITUTE(M13,"G",""),"C","")))/O13)</f>
        <v>0.6</v>
      </c>
      <c r="R13" s="5"/>
      <c r="S13" s="5" t="s">
        <v>382</v>
      </c>
      <c r="T13" s="5"/>
      <c r="U13" s="5" t="s">
        <v>383</v>
      </c>
      <c r="V13" s="5" t="s">
        <v>466</v>
      </c>
      <c r="W13" s="5"/>
      <c r="X13" s="13" t="s">
        <v>385</v>
      </c>
      <c r="Y13" s="5"/>
    </row>
    <row r="14" customFormat="false" ht="15" hidden="false" customHeight="false" outlineLevel="0" collapsed="false">
      <c r="A14" s="5" t="s">
        <v>494</v>
      </c>
      <c r="B14" s="5" t="s">
        <v>52</v>
      </c>
      <c r="C14" s="5" t="s">
        <v>53</v>
      </c>
      <c r="D14" s="6" t="s">
        <v>45</v>
      </c>
      <c r="E14" s="5" t="n">
        <v>5</v>
      </c>
      <c r="F14" s="5" t="s">
        <v>495</v>
      </c>
      <c r="G14" s="11" t="s">
        <v>496</v>
      </c>
      <c r="H14" s="5" t="s">
        <v>497</v>
      </c>
      <c r="I14" s="11" t="s">
        <v>498</v>
      </c>
      <c r="J14" s="5" t="s">
        <v>499</v>
      </c>
      <c r="K14" s="5" t="s">
        <v>500</v>
      </c>
      <c r="L14" s="11" t="s">
        <v>501</v>
      </c>
      <c r="M14" s="11" t="s">
        <v>502</v>
      </c>
      <c r="N14" s="5" t="n">
        <f aca="false">LEN(L14)</f>
        <v>25</v>
      </c>
      <c r="O14" s="5" t="n">
        <f aca="false">LEN(M14)</f>
        <v>25</v>
      </c>
      <c r="P14" s="12" t="n">
        <f aca="false">IF(N14=0,"",(N14-LEN(SUBSTITUTE(SUBSTITUTE(L14,"G",""),"C","")))/N14)</f>
        <v>0.44</v>
      </c>
      <c r="Q14" s="12" t="n">
        <f aca="false">IF(O14=0,"",(O14-LEN(SUBSTITUTE(SUBSTITUTE(M14,"G",""),"C","")))/O14)</f>
        <v>0.28</v>
      </c>
      <c r="R14" s="5"/>
      <c r="S14" s="5" t="s">
        <v>382</v>
      </c>
      <c r="T14" s="5"/>
      <c r="U14" s="5" t="s">
        <v>383</v>
      </c>
      <c r="V14" s="5" t="s">
        <v>466</v>
      </c>
      <c r="W14" s="5"/>
      <c r="X14" s="13" t="s">
        <v>385</v>
      </c>
      <c r="Y14" s="5"/>
    </row>
    <row r="15" customFormat="false" ht="15" hidden="false" customHeight="false" outlineLevel="0" collapsed="false">
      <c r="A15" s="5" t="s">
        <v>503</v>
      </c>
      <c r="B15" s="5" t="s">
        <v>52</v>
      </c>
      <c r="C15" s="5" t="s">
        <v>53</v>
      </c>
      <c r="D15" s="6" t="s">
        <v>45</v>
      </c>
      <c r="E15" s="5" t="n">
        <v>6</v>
      </c>
      <c r="F15" s="5" t="s">
        <v>504</v>
      </c>
      <c r="G15" s="11" t="s">
        <v>505</v>
      </c>
      <c r="H15" s="5" t="s">
        <v>506</v>
      </c>
      <c r="I15" s="11" t="s">
        <v>507</v>
      </c>
      <c r="J15" s="5" t="s">
        <v>508</v>
      </c>
      <c r="K15" s="5" t="s">
        <v>509</v>
      </c>
      <c r="L15" s="11" t="s">
        <v>510</v>
      </c>
      <c r="M15" s="11" t="s">
        <v>511</v>
      </c>
      <c r="N15" s="5" t="n">
        <f aca="false">LEN(L15)</f>
        <v>25</v>
      </c>
      <c r="O15" s="5" t="n">
        <f aca="false">LEN(M15)</f>
        <v>25</v>
      </c>
      <c r="P15" s="12" t="n">
        <f aca="false">IF(N15=0,"",(N15-LEN(SUBSTITUTE(SUBSTITUTE(L15,"G",""),"C","")))/N15)</f>
        <v>0.44</v>
      </c>
      <c r="Q15" s="12" t="n">
        <f aca="false">IF(O15=0,"",(O15-LEN(SUBSTITUTE(SUBSTITUTE(M15,"G",""),"C","")))/O15)</f>
        <v>0.52</v>
      </c>
      <c r="R15" s="5"/>
      <c r="S15" s="5" t="s">
        <v>382</v>
      </c>
      <c r="T15" s="5"/>
      <c r="U15" s="5" t="s">
        <v>383</v>
      </c>
      <c r="V15" s="5" t="s">
        <v>466</v>
      </c>
      <c r="W15" s="5"/>
      <c r="X15" s="13" t="s">
        <v>385</v>
      </c>
      <c r="Y15" s="5"/>
    </row>
    <row r="16" customFormat="false" ht="15" hidden="false" customHeight="false" outlineLevel="0" collapsed="false">
      <c r="A16" s="5" t="s">
        <v>512</v>
      </c>
      <c r="B16" s="5" t="s">
        <v>52</v>
      </c>
      <c r="C16" s="5" t="s">
        <v>53</v>
      </c>
      <c r="D16" s="6" t="s">
        <v>45</v>
      </c>
      <c r="E16" s="5" t="n">
        <v>7</v>
      </c>
      <c r="F16" s="5" t="s">
        <v>513</v>
      </c>
      <c r="G16" s="11" t="s">
        <v>514</v>
      </c>
      <c r="H16" s="5" t="s">
        <v>515</v>
      </c>
      <c r="I16" s="11" t="s">
        <v>516</v>
      </c>
      <c r="J16" s="5" t="s">
        <v>517</v>
      </c>
      <c r="K16" s="5" t="s">
        <v>518</v>
      </c>
      <c r="L16" s="11" t="s">
        <v>519</v>
      </c>
      <c r="M16" s="11" t="s">
        <v>520</v>
      </c>
      <c r="N16" s="5" t="n">
        <f aca="false">LEN(L16)</f>
        <v>25</v>
      </c>
      <c r="O16" s="5" t="n">
        <f aca="false">LEN(M16)</f>
        <v>25</v>
      </c>
      <c r="P16" s="12" t="n">
        <f aca="false">IF(N16=0,"",(N16-LEN(SUBSTITUTE(SUBSTITUTE(L16,"G",""),"C","")))/N16)</f>
        <v>0.6</v>
      </c>
      <c r="Q16" s="12" t="n">
        <f aca="false">IF(O16=0,"",(O16-LEN(SUBSTITUTE(SUBSTITUTE(M16,"G",""),"C","")))/O16)</f>
        <v>0.48</v>
      </c>
      <c r="R16" s="5"/>
      <c r="S16" s="5" t="s">
        <v>382</v>
      </c>
      <c r="T16" s="5"/>
      <c r="U16" s="5" t="s">
        <v>383</v>
      </c>
      <c r="V16" s="5" t="s">
        <v>466</v>
      </c>
      <c r="W16" s="5"/>
      <c r="X16" s="13" t="s">
        <v>385</v>
      </c>
      <c r="Y16" s="5"/>
    </row>
    <row r="17" customFormat="false" ht="15" hidden="false" customHeight="false" outlineLevel="0" collapsed="false">
      <c r="A17" s="5" t="s">
        <v>521</v>
      </c>
      <c r="B17" s="5" t="s">
        <v>52</v>
      </c>
      <c r="C17" s="5" t="s">
        <v>53</v>
      </c>
      <c r="D17" s="6" t="s">
        <v>45</v>
      </c>
      <c r="E17" s="5" t="n">
        <v>8</v>
      </c>
      <c r="F17" s="5" t="s">
        <v>522</v>
      </c>
      <c r="G17" s="11" t="s">
        <v>523</v>
      </c>
      <c r="H17" s="5" t="s">
        <v>524</v>
      </c>
      <c r="I17" s="11" t="s">
        <v>525</v>
      </c>
      <c r="J17" s="5" t="s">
        <v>526</v>
      </c>
      <c r="K17" s="5" t="s">
        <v>527</v>
      </c>
      <c r="L17" s="11" t="s">
        <v>528</v>
      </c>
      <c r="M17" s="11" t="s">
        <v>529</v>
      </c>
      <c r="N17" s="5" t="n">
        <f aca="false">LEN(L17)</f>
        <v>25</v>
      </c>
      <c r="O17" s="5" t="n">
        <f aca="false">LEN(M17)</f>
        <v>25</v>
      </c>
      <c r="P17" s="12" t="n">
        <f aca="false">IF(N17=0,"",(N17-LEN(SUBSTITUTE(SUBSTITUTE(L17,"G",""),"C","")))/N17)</f>
        <v>0.4</v>
      </c>
      <c r="Q17" s="12" t="n">
        <f aca="false">IF(O17=0,"",(O17-LEN(SUBSTITUTE(SUBSTITUTE(M17,"G",""),"C","")))/O17)</f>
        <v>0.28</v>
      </c>
      <c r="R17" s="5"/>
      <c r="S17" s="5" t="s">
        <v>382</v>
      </c>
      <c r="T17" s="5"/>
      <c r="U17" s="5" t="s">
        <v>383</v>
      </c>
      <c r="V17" s="5" t="s">
        <v>466</v>
      </c>
      <c r="W17" s="5"/>
      <c r="X17" s="13" t="s">
        <v>385</v>
      </c>
      <c r="Y17" s="5"/>
    </row>
    <row r="18" customFormat="false" ht="15" hidden="false" customHeight="false" outlineLevel="0" collapsed="false">
      <c r="A18" s="5" t="s">
        <v>530</v>
      </c>
      <c r="B18" s="5" t="s">
        <v>52</v>
      </c>
      <c r="C18" s="5" t="s">
        <v>53</v>
      </c>
      <c r="D18" s="6" t="s">
        <v>45</v>
      </c>
      <c r="E18" s="5" t="n">
        <v>9</v>
      </c>
      <c r="F18" s="5" t="s">
        <v>531</v>
      </c>
      <c r="G18" s="11" t="s">
        <v>532</v>
      </c>
      <c r="H18" s="5" t="s">
        <v>533</v>
      </c>
      <c r="I18" s="11" t="s">
        <v>534</v>
      </c>
      <c r="J18" s="5" t="s">
        <v>535</v>
      </c>
      <c r="K18" s="5" t="s">
        <v>536</v>
      </c>
      <c r="L18" s="11" t="s">
        <v>537</v>
      </c>
      <c r="M18" s="11" t="s">
        <v>538</v>
      </c>
      <c r="N18" s="5" t="n">
        <f aca="false">LEN(L18)</f>
        <v>25</v>
      </c>
      <c r="O18" s="5" t="n">
        <f aca="false">LEN(M18)</f>
        <v>25</v>
      </c>
      <c r="P18" s="12" t="n">
        <f aca="false">IF(N18=0,"",(N18-LEN(SUBSTITUTE(SUBSTITUTE(L18,"G",""),"C","")))/N18)</f>
        <v>0.44</v>
      </c>
      <c r="Q18" s="12" t="n">
        <f aca="false">IF(O18=0,"",(O18-LEN(SUBSTITUTE(SUBSTITUTE(M18,"G",""),"C","")))/O18)</f>
        <v>0.56</v>
      </c>
      <c r="R18" s="5"/>
      <c r="S18" s="5" t="s">
        <v>382</v>
      </c>
      <c r="T18" s="5"/>
      <c r="U18" s="5" t="s">
        <v>383</v>
      </c>
      <c r="V18" s="5" t="s">
        <v>466</v>
      </c>
      <c r="W18" s="5"/>
      <c r="X18" s="13" t="s">
        <v>385</v>
      </c>
      <c r="Y18" s="5"/>
    </row>
    <row r="19" customFormat="false" ht="15" hidden="false" customHeight="false" outlineLevel="0" collapsed="false">
      <c r="A19" s="5" t="s">
        <v>539</v>
      </c>
      <c r="B19" s="5" t="s">
        <v>52</v>
      </c>
      <c r="C19" s="5" t="s">
        <v>53</v>
      </c>
      <c r="D19" s="6" t="s">
        <v>45</v>
      </c>
      <c r="E19" s="5" t="n">
        <v>10</v>
      </c>
      <c r="F19" s="5" t="s">
        <v>540</v>
      </c>
      <c r="G19" s="11" t="s">
        <v>541</v>
      </c>
      <c r="H19" s="5" t="s">
        <v>542</v>
      </c>
      <c r="I19" s="11" t="s">
        <v>543</v>
      </c>
      <c r="J19" s="5" t="s">
        <v>544</v>
      </c>
      <c r="K19" s="5" t="s">
        <v>545</v>
      </c>
      <c r="L19" s="11" t="s">
        <v>546</v>
      </c>
      <c r="M19" s="11" t="s">
        <v>547</v>
      </c>
      <c r="N19" s="5" t="n">
        <f aca="false">LEN(L19)</f>
        <v>25</v>
      </c>
      <c r="O19" s="5" t="n">
        <f aca="false">LEN(M19)</f>
        <v>25</v>
      </c>
      <c r="P19" s="12" t="n">
        <f aca="false">IF(N19=0,"",(N19-LEN(SUBSTITUTE(SUBSTITUTE(L19,"G",""),"C","")))/N19)</f>
        <v>0.44</v>
      </c>
      <c r="Q19" s="12" t="n">
        <f aca="false">IF(O19=0,"",(O19-LEN(SUBSTITUTE(SUBSTITUTE(M19,"G",""),"C","")))/O19)</f>
        <v>0.56</v>
      </c>
      <c r="R19" s="5"/>
      <c r="S19" s="5" t="s">
        <v>382</v>
      </c>
      <c r="T19" s="5"/>
      <c r="U19" s="5" t="s">
        <v>383</v>
      </c>
      <c r="V19" s="5" t="s">
        <v>466</v>
      </c>
      <c r="W19" s="5"/>
      <c r="X19" s="13" t="s">
        <v>385</v>
      </c>
      <c r="Y19" s="5"/>
    </row>
    <row r="20" customFormat="false" ht="15" hidden="false" customHeight="false" outlineLevel="0" collapsed="false">
      <c r="A20" s="5" t="s">
        <v>548</v>
      </c>
      <c r="B20" s="5" t="s">
        <v>59</v>
      </c>
      <c r="C20" s="5" t="s">
        <v>60</v>
      </c>
      <c r="D20" s="6" t="s">
        <v>45</v>
      </c>
      <c r="E20" s="5" t="n">
        <v>1</v>
      </c>
      <c r="F20" s="5" t="s">
        <v>549</v>
      </c>
      <c r="G20" s="11" t="s">
        <v>550</v>
      </c>
      <c r="H20" s="5" t="s">
        <v>551</v>
      </c>
      <c r="I20" s="11" t="s">
        <v>552</v>
      </c>
      <c r="J20" s="5" t="s">
        <v>553</v>
      </c>
      <c r="K20" s="5" t="s">
        <v>554</v>
      </c>
      <c r="L20" s="11" t="s">
        <v>555</v>
      </c>
      <c r="M20" s="11" t="s">
        <v>556</v>
      </c>
      <c r="N20" s="5" t="n">
        <f aca="false">LEN(L20)</f>
        <v>25</v>
      </c>
      <c r="O20" s="5" t="n">
        <f aca="false">LEN(M20)</f>
        <v>25</v>
      </c>
      <c r="P20" s="12" t="n">
        <f aca="false">IF(N20=0,"",(N20-LEN(SUBSTITUTE(SUBSTITUTE(L20,"G",""),"C","")))/N20)</f>
        <v>0.44</v>
      </c>
      <c r="Q20" s="12" t="n">
        <f aca="false">IF(O20=0,"",(O20-LEN(SUBSTITUTE(SUBSTITUTE(M20,"G",""),"C","")))/O20)</f>
        <v>0.44</v>
      </c>
      <c r="R20" s="5"/>
      <c r="S20" s="5" t="s">
        <v>382</v>
      </c>
      <c r="T20" s="5"/>
      <c r="U20" s="5" t="s">
        <v>383</v>
      </c>
      <c r="V20" s="5" t="s">
        <v>557</v>
      </c>
      <c r="W20" s="5"/>
      <c r="X20" s="13" t="s">
        <v>385</v>
      </c>
      <c r="Y20" s="5"/>
    </row>
    <row r="21" customFormat="false" ht="15" hidden="false" customHeight="false" outlineLevel="0" collapsed="false">
      <c r="A21" s="5" t="s">
        <v>558</v>
      </c>
      <c r="B21" s="5" t="s">
        <v>59</v>
      </c>
      <c r="C21" s="5" t="s">
        <v>60</v>
      </c>
      <c r="D21" s="6" t="s">
        <v>45</v>
      </c>
      <c r="E21" s="5" t="n">
        <v>2</v>
      </c>
      <c r="F21" s="5" t="s">
        <v>559</v>
      </c>
      <c r="G21" s="11" t="s">
        <v>560</v>
      </c>
      <c r="H21" s="5" t="s">
        <v>561</v>
      </c>
      <c r="I21" s="11" t="s">
        <v>562</v>
      </c>
      <c r="J21" s="5" t="s">
        <v>563</v>
      </c>
      <c r="K21" s="5" t="s">
        <v>564</v>
      </c>
      <c r="L21" s="11" t="s">
        <v>565</v>
      </c>
      <c r="M21" s="11" t="s">
        <v>566</v>
      </c>
      <c r="N21" s="5" t="n">
        <f aca="false">LEN(L21)</f>
        <v>25</v>
      </c>
      <c r="O21" s="5" t="n">
        <f aca="false">LEN(M21)</f>
        <v>25</v>
      </c>
      <c r="P21" s="12" t="n">
        <f aca="false">IF(N21=0,"",(N21-LEN(SUBSTITUTE(SUBSTITUTE(L21,"G",""),"C","")))/N21)</f>
        <v>0.32</v>
      </c>
      <c r="Q21" s="12" t="n">
        <f aca="false">IF(O21=0,"",(O21-LEN(SUBSTITUTE(SUBSTITUTE(M21,"G",""),"C","")))/O21)</f>
        <v>0.36</v>
      </c>
      <c r="R21" s="5"/>
      <c r="S21" s="5" t="s">
        <v>382</v>
      </c>
      <c r="T21" s="5"/>
      <c r="U21" s="5" t="s">
        <v>383</v>
      </c>
      <c r="V21" s="5" t="s">
        <v>557</v>
      </c>
      <c r="W21" s="5"/>
      <c r="X21" s="13" t="s">
        <v>385</v>
      </c>
      <c r="Y21" s="5"/>
    </row>
    <row r="22" customFormat="false" ht="15" hidden="false" customHeight="false" outlineLevel="0" collapsed="false">
      <c r="A22" s="5" t="s">
        <v>567</v>
      </c>
      <c r="B22" s="5" t="s">
        <v>59</v>
      </c>
      <c r="C22" s="5" t="s">
        <v>60</v>
      </c>
      <c r="D22" s="6" t="s">
        <v>45</v>
      </c>
      <c r="E22" s="5" t="n">
        <v>3</v>
      </c>
      <c r="F22" s="5" t="s">
        <v>568</v>
      </c>
      <c r="G22" s="11" t="s">
        <v>569</v>
      </c>
      <c r="H22" s="5" t="s">
        <v>570</v>
      </c>
      <c r="I22" s="11" t="s">
        <v>571</v>
      </c>
      <c r="J22" s="5" t="s">
        <v>572</v>
      </c>
      <c r="K22" s="5" t="s">
        <v>573</v>
      </c>
      <c r="L22" s="11" t="s">
        <v>574</v>
      </c>
      <c r="M22" s="11" t="s">
        <v>575</v>
      </c>
      <c r="N22" s="5" t="n">
        <f aca="false">LEN(L22)</f>
        <v>25</v>
      </c>
      <c r="O22" s="5" t="n">
        <f aca="false">LEN(M22)</f>
        <v>25</v>
      </c>
      <c r="P22" s="12" t="n">
        <f aca="false">IF(N22=0,"",(N22-LEN(SUBSTITUTE(SUBSTITUTE(L22,"G",""),"C","")))/N22)</f>
        <v>0.52</v>
      </c>
      <c r="Q22" s="12" t="n">
        <f aca="false">IF(O22=0,"",(O22-LEN(SUBSTITUTE(SUBSTITUTE(M22,"G",""),"C","")))/O22)</f>
        <v>0.48</v>
      </c>
      <c r="R22" s="5"/>
      <c r="S22" s="5" t="s">
        <v>382</v>
      </c>
      <c r="T22" s="5"/>
      <c r="U22" s="5" t="s">
        <v>383</v>
      </c>
      <c r="V22" s="5" t="s">
        <v>557</v>
      </c>
      <c r="W22" s="5"/>
      <c r="X22" s="13" t="s">
        <v>385</v>
      </c>
      <c r="Y22" s="5"/>
    </row>
    <row r="23" customFormat="false" ht="15" hidden="false" customHeight="false" outlineLevel="0" collapsed="false">
      <c r="A23" s="5" t="s">
        <v>576</v>
      </c>
      <c r="B23" s="5" t="s">
        <v>59</v>
      </c>
      <c r="C23" s="5" t="s">
        <v>60</v>
      </c>
      <c r="D23" s="6" t="s">
        <v>45</v>
      </c>
      <c r="E23" s="5" t="n">
        <v>4</v>
      </c>
      <c r="F23" s="5" t="s">
        <v>577</v>
      </c>
      <c r="G23" s="11" t="s">
        <v>578</v>
      </c>
      <c r="H23" s="5" t="s">
        <v>579</v>
      </c>
      <c r="I23" s="11" t="s">
        <v>580</v>
      </c>
      <c r="J23" s="5" t="s">
        <v>581</v>
      </c>
      <c r="K23" s="5" t="s">
        <v>582</v>
      </c>
      <c r="L23" s="11" t="s">
        <v>583</v>
      </c>
      <c r="M23" s="11" t="s">
        <v>584</v>
      </c>
      <c r="N23" s="5" t="n">
        <f aca="false">LEN(L23)</f>
        <v>25</v>
      </c>
      <c r="O23" s="5" t="n">
        <f aca="false">LEN(M23)</f>
        <v>25</v>
      </c>
      <c r="P23" s="12" t="n">
        <f aca="false">IF(N23=0,"",(N23-LEN(SUBSTITUTE(SUBSTITUTE(L23,"G",""),"C","")))/N23)</f>
        <v>0.52</v>
      </c>
      <c r="Q23" s="12" t="n">
        <f aca="false">IF(O23=0,"",(O23-LEN(SUBSTITUTE(SUBSTITUTE(M23,"G",""),"C","")))/O23)</f>
        <v>0.44</v>
      </c>
      <c r="R23" s="5"/>
      <c r="S23" s="5" t="s">
        <v>382</v>
      </c>
      <c r="T23" s="5"/>
      <c r="U23" s="5" t="s">
        <v>383</v>
      </c>
      <c r="V23" s="5" t="s">
        <v>557</v>
      </c>
      <c r="W23" s="5"/>
      <c r="X23" s="13" t="s">
        <v>385</v>
      </c>
      <c r="Y23" s="5"/>
    </row>
    <row r="24" customFormat="false" ht="15" hidden="false" customHeight="false" outlineLevel="0" collapsed="false">
      <c r="A24" s="5" t="s">
        <v>585</v>
      </c>
      <c r="B24" s="5" t="s">
        <v>59</v>
      </c>
      <c r="C24" s="5" t="s">
        <v>60</v>
      </c>
      <c r="D24" s="6" t="s">
        <v>45</v>
      </c>
      <c r="E24" s="5" t="n">
        <v>5</v>
      </c>
      <c r="F24" s="5" t="s">
        <v>586</v>
      </c>
      <c r="G24" s="11" t="s">
        <v>587</v>
      </c>
      <c r="H24" s="5" t="s">
        <v>588</v>
      </c>
      <c r="I24" s="11" t="s">
        <v>589</v>
      </c>
      <c r="J24" s="5" t="s">
        <v>590</v>
      </c>
      <c r="K24" s="5" t="s">
        <v>591</v>
      </c>
      <c r="L24" s="11" t="s">
        <v>592</v>
      </c>
      <c r="M24" s="11" t="s">
        <v>593</v>
      </c>
      <c r="N24" s="5" t="n">
        <f aca="false">LEN(L24)</f>
        <v>25</v>
      </c>
      <c r="O24" s="5" t="n">
        <f aca="false">LEN(M24)</f>
        <v>25</v>
      </c>
      <c r="P24" s="12" t="n">
        <f aca="false">IF(N24=0,"",(N24-LEN(SUBSTITUTE(SUBSTITUTE(L24,"G",""),"C","")))/N24)</f>
        <v>0.44</v>
      </c>
      <c r="Q24" s="12" t="n">
        <f aca="false">IF(O24=0,"",(O24-LEN(SUBSTITUTE(SUBSTITUTE(M24,"G",""),"C","")))/O24)</f>
        <v>0.44</v>
      </c>
      <c r="R24" s="5"/>
      <c r="S24" s="5" t="s">
        <v>382</v>
      </c>
      <c r="T24" s="5"/>
      <c r="U24" s="5" t="s">
        <v>383</v>
      </c>
      <c r="V24" s="5" t="s">
        <v>557</v>
      </c>
      <c r="W24" s="5"/>
      <c r="X24" s="13" t="s">
        <v>385</v>
      </c>
      <c r="Y24" s="5"/>
    </row>
    <row r="25" customFormat="false" ht="15" hidden="false" customHeight="false" outlineLevel="0" collapsed="false">
      <c r="A25" s="5" t="s">
        <v>594</v>
      </c>
      <c r="B25" s="5" t="s">
        <v>59</v>
      </c>
      <c r="C25" s="5" t="s">
        <v>60</v>
      </c>
      <c r="D25" s="6" t="s">
        <v>45</v>
      </c>
      <c r="E25" s="5" t="n">
        <v>6</v>
      </c>
      <c r="F25" s="5" t="s">
        <v>595</v>
      </c>
      <c r="G25" s="11" t="s">
        <v>596</v>
      </c>
      <c r="H25" s="5" t="s">
        <v>597</v>
      </c>
      <c r="I25" s="11" t="s">
        <v>598</v>
      </c>
      <c r="J25" s="5" t="s">
        <v>599</v>
      </c>
      <c r="K25" s="5" t="s">
        <v>600</v>
      </c>
      <c r="L25" s="11" t="s">
        <v>601</v>
      </c>
      <c r="M25" s="11" t="s">
        <v>602</v>
      </c>
      <c r="N25" s="5" t="n">
        <f aca="false">LEN(L25)</f>
        <v>25</v>
      </c>
      <c r="O25" s="5" t="n">
        <f aca="false">LEN(M25)</f>
        <v>25</v>
      </c>
      <c r="P25" s="12" t="n">
        <f aca="false">IF(N25=0,"",(N25-LEN(SUBSTITUTE(SUBSTITUTE(L25,"G",""),"C","")))/N25)</f>
        <v>0.4</v>
      </c>
      <c r="Q25" s="12" t="n">
        <f aca="false">IF(O25=0,"",(O25-LEN(SUBSTITUTE(SUBSTITUTE(M25,"G",""),"C","")))/O25)</f>
        <v>0.44</v>
      </c>
      <c r="R25" s="5"/>
      <c r="S25" s="5" t="s">
        <v>382</v>
      </c>
      <c r="T25" s="5"/>
      <c r="U25" s="5" t="s">
        <v>383</v>
      </c>
      <c r="V25" s="5" t="s">
        <v>557</v>
      </c>
      <c r="W25" s="5"/>
      <c r="X25" s="13" t="s">
        <v>385</v>
      </c>
      <c r="Y25" s="5"/>
    </row>
    <row r="26" customFormat="false" ht="15" hidden="false" customHeight="false" outlineLevel="0" collapsed="false">
      <c r="A26" s="5" t="s">
        <v>603</v>
      </c>
      <c r="B26" s="5" t="s">
        <v>59</v>
      </c>
      <c r="C26" s="5" t="s">
        <v>60</v>
      </c>
      <c r="D26" s="6" t="s">
        <v>45</v>
      </c>
      <c r="E26" s="5" t="n">
        <v>7</v>
      </c>
      <c r="F26" s="5" t="s">
        <v>604</v>
      </c>
      <c r="G26" s="11" t="s">
        <v>605</v>
      </c>
      <c r="H26" s="5" t="s">
        <v>606</v>
      </c>
      <c r="I26" s="11" t="s">
        <v>607</v>
      </c>
      <c r="J26" s="5" t="s">
        <v>608</v>
      </c>
      <c r="K26" s="5" t="s">
        <v>609</v>
      </c>
      <c r="L26" s="11" t="s">
        <v>610</v>
      </c>
      <c r="M26" s="11" t="s">
        <v>611</v>
      </c>
      <c r="N26" s="5" t="n">
        <f aca="false">LEN(L26)</f>
        <v>25</v>
      </c>
      <c r="O26" s="5" t="n">
        <f aca="false">LEN(M26)</f>
        <v>25</v>
      </c>
      <c r="P26" s="12" t="n">
        <f aca="false">IF(N26=0,"",(N26-LEN(SUBSTITUTE(SUBSTITUTE(L26,"G",""),"C","")))/N26)</f>
        <v>0.4</v>
      </c>
      <c r="Q26" s="12" t="n">
        <f aca="false">IF(O26=0,"",(O26-LEN(SUBSTITUTE(SUBSTITUTE(M26,"G",""),"C","")))/O26)</f>
        <v>0.48</v>
      </c>
      <c r="R26" s="5"/>
      <c r="S26" s="5" t="s">
        <v>382</v>
      </c>
      <c r="T26" s="5"/>
      <c r="U26" s="5" t="s">
        <v>383</v>
      </c>
      <c r="V26" s="5" t="s">
        <v>557</v>
      </c>
      <c r="W26" s="5"/>
      <c r="X26" s="13" t="s">
        <v>385</v>
      </c>
      <c r="Y26" s="5"/>
    </row>
    <row r="27" customFormat="false" ht="15" hidden="false" customHeight="false" outlineLevel="0" collapsed="false">
      <c r="A27" s="5" t="s">
        <v>612</v>
      </c>
      <c r="B27" s="5" t="s">
        <v>59</v>
      </c>
      <c r="C27" s="5" t="s">
        <v>60</v>
      </c>
      <c r="D27" s="6" t="s">
        <v>45</v>
      </c>
      <c r="E27" s="5" t="n">
        <v>8</v>
      </c>
      <c r="F27" s="5" t="s">
        <v>613</v>
      </c>
      <c r="G27" s="11" t="s">
        <v>614</v>
      </c>
      <c r="H27" s="5" t="s">
        <v>615</v>
      </c>
      <c r="I27" s="11" t="s">
        <v>616</v>
      </c>
      <c r="J27" s="5" t="s">
        <v>617</v>
      </c>
      <c r="K27" s="5" t="s">
        <v>618</v>
      </c>
      <c r="L27" s="11" t="s">
        <v>619</v>
      </c>
      <c r="M27" s="11" t="s">
        <v>620</v>
      </c>
      <c r="N27" s="5" t="n">
        <f aca="false">LEN(L27)</f>
        <v>25</v>
      </c>
      <c r="O27" s="5" t="n">
        <f aca="false">LEN(M27)</f>
        <v>25</v>
      </c>
      <c r="P27" s="12" t="n">
        <f aca="false">IF(N27=0,"",(N27-LEN(SUBSTITUTE(SUBSTITUTE(L27,"G",""),"C","")))/N27)</f>
        <v>0.32</v>
      </c>
      <c r="Q27" s="12" t="n">
        <f aca="false">IF(O27=0,"",(O27-LEN(SUBSTITUTE(SUBSTITUTE(M27,"G",""),"C","")))/O27)</f>
        <v>0.6</v>
      </c>
      <c r="R27" s="5"/>
      <c r="S27" s="5" t="s">
        <v>382</v>
      </c>
      <c r="T27" s="5"/>
      <c r="U27" s="5" t="s">
        <v>383</v>
      </c>
      <c r="V27" s="5" t="s">
        <v>557</v>
      </c>
      <c r="W27" s="5"/>
      <c r="X27" s="13" t="s">
        <v>385</v>
      </c>
      <c r="Y27" s="5"/>
    </row>
    <row r="28" customFormat="false" ht="15" hidden="false" customHeight="false" outlineLevel="0" collapsed="false">
      <c r="A28" s="5" t="s">
        <v>621</v>
      </c>
      <c r="B28" s="5" t="s">
        <v>59</v>
      </c>
      <c r="C28" s="5" t="s">
        <v>60</v>
      </c>
      <c r="D28" s="6" t="s">
        <v>45</v>
      </c>
      <c r="E28" s="5" t="n">
        <v>9</v>
      </c>
      <c r="F28" s="5" t="s">
        <v>622</v>
      </c>
      <c r="G28" s="11" t="s">
        <v>623</v>
      </c>
      <c r="H28" s="5" t="s">
        <v>624</v>
      </c>
      <c r="I28" s="11" t="s">
        <v>625</v>
      </c>
      <c r="J28" s="5" t="s">
        <v>626</v>
      </c>
      <c r="K28" s="5" t="s">
        <v>627</v>
      </c>
      <c r="L28" s="11" t="s">
        <v>628</v>
      </c>
      <c r="M28" s="11" t="s">
        <v>629</v>
      </c>
      <c r="N28" s="5" t="n">
        <f aca="false">LEN(L28)</f>
        <v>25</v>
      </c>
      <c r="O28" s="5" t="n">
        <f aca="false">LEN(M28)</f>
        <v>25</v>
      </c>
      <c r="P28" s="12" t="n">
        <f aca="false">IF(N28=0,"",(N28-LEN(SUBSTITUTE(SUBSTITUTE(L28,"G",""),"C","")))/N28)</f>
        <v>0.4</v>
      </c>
      <c r="Q28" s="12" t="n">
        <f aca="false">IF(O28=0,"",(O28-LEN(SUBSTITUTE(SUBSTITUTE(M28,"G",""),"C","")))/O28)</f>
        <v>0.4</v>
      </c>
      <c r="R28" s="5"/>
      <c r="S28" s="5" t="s">
        <v>382</v>
      </c>
      <c r="T28" s="5"/>
      <c r="U28" s="5" t="s">
        <v>383</v>
      </c>
      <c r="V28" s="5" t="s">
        <v>557</v>
      </c>
      <c r="W28" s="5"/>
      <c r="X28" s="13" t="s">
        <v>385</v>
      </c>
      <c r="Y28" s="5"/>
    </row>
    <row r="29" customFormat="false" ht="15" hidden="false" customHeight="false" outlineLevel="0" collapsed="false">
      <c r="A29" s="5" t="s">
        <v>630</v>
      </c>
      <c r="B29" s="5" t="s">
        <v>59</v>
      </c>
      <c r="C29" s="5" t="s">
        <v>60</v>
      </c>
      <c r="D29" s="6" t="s">
        <v>45</v>
      </c>
      <c r="E29" s="5" t="n">
        <v>10</v>
      </c>
      <c r="F29" s="5" t="s">
        <v>631</v>
      </c>
      <c r="G29" s="11" t="s">
        <v>632</v>
      </c>
      <c r="H29" s="5" t="s">
        <v>633</v>
      </c>
      <c r="I29" s="11" t="s">
        <v>634</v>
      </c>
      <c r="J29" s="5" t="s">
        <v>635</v>
      </c>
      <c r="K29" s="5" t="s">
        <v>636</v>
      </c>
      <c r="L29" s="11" t="s">
        <v>637</v>
      </c>
      <c r="M29" s="11" t="s">
        <v>638</v>
      </c>
      <c r="N29" s="5" t="n">
        <f aca="false">LEN(L29)</f>
        <v>25</v>
      </c>
      <c r="O29" s="5" t="n">
        <f aca="false">LEN(M29)</f>
        <v>25</v>
      </c>
      <c r="P29" s="12" t="n">
        <f aca="false">IF(N29=0,"",(N29-LEN(SUBSTITUTE(SUBSTITUTE(L29,"G",""),"C","")))/N29)</f>
        <v>0.44</v>
      </c>
      <c r="Q29" s="12" t="n">
        <f aca="false">IF(O29=0,"",(O29-LEN(SUBSTITUTE(SUBSTITUTE(M29,"G",""),"C","")))/O29)</f>
        <v>0.36</v>
      </c>
      <c r="R29" s="5"/>
      <c r="S29" s="5" t="s">
        <v>382</v>
      </c>
      <c r="T29" s="5"/>
      <c r="U29" s="5" t="s">
        <v>383</v>
      </c>
      <c r="V29" s="5" t="s">
        <v>557</v>
      </c>
      <c r="W29" s="5"/>
      <c r="X29" s="13" t="s">
        <v>385</v>
      </c>
      <c r="Y29" s="5"/>
    </row>
    <row r="30" customFormat="false" ht="15" hidden="false" customHeight="false" outlineLevel="0" collapsed="false">
      <c r="A30" s="5" t="s">
        <v>639</v>
      </c>
      <c r="B30" s="5" t="s">
        <v>66</v>
      </c>
      <c r="C30" s="5" t="s">
        <v>67</v>
      </c>
      <c r="D30" s="6" t="s">
        <v>45</v>
      </c>
      <c r="E30" s="5" t="n">
        <v>1</v>
      </c>
      <c r="F30" s="5" t="s">
        <v>640</v>
      </c>
      <c r="G30" s="11" t="s">
        <v>641</v>
      </c>
      <c r="H30" s="5" t="s">
        <v>642</v>
      </c>
      <c r="I30" s="11" t="s">
        <v>643</v>
      </c>
      <c r="J30" s="5" t="s">
        <v>644</v>
      </c>
      <c r="K30" s="5" t="s">
        <v>645</v>
      </c>
      <c r="L30" s="11" t="s">
        <v>646</v>
      </c>
      <c r="M30" s="11" t="s">
        <v>647</v>
      </c>
      <c r="N30" s="5" t="n">
        <f aca="false">LEN(L30)</f>
        <v>25</v>
      </c>
      <c r="O30" s="5" t="n">
        <f aca="false">LEN(M30)</f>
        <v>25</v>
      </c>
      <c r="P30" s="12" t="n">
        <f aca="false">IF(N30=0,"",(N30-LEN(SUBSTITUTE(SUBSTITUTE(L30,"G",""),"C","")))/N30)</f>
        <v>0.28</v>
      </c>
      <c r="Q30" s="12" t="n">
        <f aca="false">IF(O30=0,"",(O30-LEN(SUBSTITUTE(SUBSTITUTE(M30,"G",""),"C","")))/O30)</f>
        <v>0.4</v>
      </c>
      <c r="R30" s="5"/>
      <c r="S30" s="5" t="s">
        <v>382</v>
      </c>
      <c r="T30" s="5"/>
      <c r="U30" s="5" t="s">
        <v>383</v>
      </c>
      <c r="V30" s="5" t="s">
        <v>648</v>
      </c>
      <c r="W30" s="5"/>
      <c r="X30" s="13" t="s">
        <v>385</v>
      </c>
      <c r="Y30" s="5"/>
    </row>
    <row r="31" customFormat="false" ht="15" hidden="false" customHeight="false" outlineLevel="0" collapsed="false">
      <c r="A31" s="5" t="s">
        <v>649</v>
      </c>
      <c r="B31" s="5" t="s">
        <v>66</v>
      </c>
      <c r="C31" s="5" t="s">
        <v>67</v>
      </c>
      <c r="D31" s="6" t="s">
        <v>45</v>
      </c>
      <c r="E31" s="5" t="n">
        <v>2</v>
      </c>
      <c r="F31" s="5" t="s">
        <v>650</v>
      </c>
      <c r="G31" s="11" t="s">
        <v>651</v>
      </c>
      <c r="H31" s="5" t="s">
        <v>652</v>
      </c>
      <c r="I31" s="11" t="s">
        <v>653</v>
      </c>
      <c r="J31" s="5" t="s">
        <v>654</v>
      </c>
      <c r="K31" s="5" t="s">
        <v>655</v>
      </c>
      <c r="L31" s="11" t="s">
        <v>656</v>
      </c>
      <c r="M31" s="11" t="s">
        <v>657</v>
      </c>
      <c r="N31" s="5" t="n">
        <f aca="false">LEN(L31)</f>
        <v>25</v>
      </c>
      <c r="O31" s="5" t="n">
        <f aca="false">LEN(M31)</f>
        <v>25</v>
      </c>
      <c r="P31" s="12" t="n">
        <f aca="false">IF(N31=0,"",(N31-LEN(SUBSTITUTE(SUBSTITUTE(L31,"G",""),"C","")))/N31)</f>
        <v>0.44</v>
      </c>
      <c r="Q31" s="12" t="n">
        <f aca="false">IF(O31=0,"",(O31-LEN(SUBSTITUTE(SUBSTITUTE(M31,"G",""),"C","")))/O31)</f>
        <v>0.44</v>
      </c>
      <c r="R31" s="5"/>
      <c r="S31" s="5" t="s">
        <v>382</v>
      </c>
      <c r="T31" s="5"/>
      <c r="U31" s="5" t="s">
        <v>383</v>
      </c>
      <c r="V31" s="5" t="s">
        <v>648</v>
      </c>
      <c r="W31" s="5"/>
      <c r="X31" s="13" t="s">
        <v>385</v>
      </c>
      <c r="Y31" s="5"/>
    </row>
    <row r="32" customFormat="false" ht="15" hidden="false" customHeight="false" outlineLevel="0" collapsed="false">
      <c r="A32" s="5" t="s">
        <v>658</v>
      </c>
      <c r="B32" s="5" t="s">
        <v>66</v>
      </c>
      <c r="C32" s="5" t="s">
        <v>67</v>
      </c>
      <c r="D32" s="6" t="s">
        <v>45</v>
      </c>
      <c r="E32" s="5" t="n">
        <v>3</v>
      </c>
      <c r="F32" s="5" t="s">
        <v>659</v>
      </c>
      <c r="G32" s="11" t="s">
        <v>660</v>
      </c>
      <c r="H32" s="5" t="s">
        <v>661</v>
      </c>
      <c r="I32" s="11" t="s">
        <v>662</v>
      </c>
      <c r="J32" s="5" t="s">
        <v>663</v>
      </c>
      <c r="K32" s="5" t="s">
        <v>664</v>
      </c>
      <c r="L32" s="11" t="s">
        <v>665</v>
      </c>
      <c r="M32" s="11" t="s">
        <v>666</v>
      </c>
      <c r="N32" s="5" t="n">
        <f aca="false">LEN(L32)</f>
        <v>25</v>
      </c>
      <c r="O32" s="5" t="n">
        <f aca="false">LEN(M32)</f>
        <v>25</v>
      </c>
      <c r="P32" s="12" t="n">
        <f aca="false">IF(N32=0,"",(N32-LEN(SUBSTITUTE(SUBSTITUTE(L32,"G",""),"C","")))/N32)</f>
        <v>0.4</v>
      </c>
      <c r="Q32" s="12" t="n">
        <f aca="false">IF(O32=0,"",(O32-LEN(SUBSTITUTE(SUBSTITUTE(M32,"G",""),"C","")))/O32)</f>
        <v>0.6</v>
      </c>
      <c r="R32" s="5"/>
      <c r="S32" s="5" t="s">
        <v>382</v>
      </c>
      <c r="T32" s="5"/>
      <c r="U32" s="5" t="s">
        <v>383</v>
      </c>
      <c r="V32" s="5" t="s">
        <v>648</v>
      </c>
      <c r="W32" s="5"/>
      <c r="X32" s="13" t="s">
        <v>385</v>
      </c>
      <c r="Y32" s="5"/>
    </row>
    <row r="33" customFormat="false" ht="15" hidden="false" customHeight="false" outlineLevel="0" collapsed="false">
      <c r="A33" s="5" t="s">
        <v>667</v>
      </c>
      <c r="B33" s="5" t="s">
        <v>66</v>
      </c>
      <c r="C33" s="5" t="s">
        <v>67</v>
      </c>
      <c r="D33" s="6" t="s">
        <v>45</v>
      </c>
      <c r="E33" s="5" t="n">
        <v>4</v>
      </c>
      <c r="F33" s="5" t="s">
        <v>668</v>
      </c>
      <c r="G33" s="11" t="s">
        <v>669</v>
      </c>
      <c r="H33" s="5" t="s">
        <v>670</v>
      </c>
      <c r="I33" s="11" t="s">
        <v>671</v>
      </c>
      <c r="J33" s="5" t="s">
        <v>672</v>
      </c>
      <c r="K33" s="5" t="s">
        <v>673</v>
      </c>
      <c r="L33" s="11" t="s">
        <v>674</v>
      </c>
      <c r="M33" s="11" t="s">
        <v>675</v>
      </c>
      <c r="N33" s="5" t="n">
        <f aca="false">LEN(L33)</f>
        <v>25</v>
      </c>
      <c r="O33" s="5" t="n">
        <f aca="false">LEN(M33)</f>
        <v>25</v>
      </c>
      <c r="P33" s="12" t="n">
        <f aca="false">IF(N33=0,"",(N33-LEN(SUBSTITUTE(SUBSTITUTE(L33,"G",""),"C","")))/N33)</f>
        <v>0.56</v>
      </c>
      <c r="Q33" s="12" t="n">
        <f aca="false">IF(O33=0,"",(O33-LEN(SUBSTITUTE(SUBSTITUTE(M33,"G",""),"C","")))/O33)</f>
        <v>0.4</v>
      </c>
      <c r="R33" s="5"/>
      <c r="S33" s="5" t="s">
        <v>382</v>
      </c>
      <c r="T33" s="5"/>
      <c r="U33" s="5" t="s">
        <v>383</v>
      </c>
      <c r="V33" s="5" t="s">
        <v>648</v>
      </c>
      <c r="W33" s="5"/>
      <c r="X33" s="13" t="s">
        <v>385</v>
      </c>
      <c r="Y33" s="5"/>
    </row>
    <row r="34" customFormat="false" ht="15" hidden="false" customHeight="false" outlineLevel="0" collapsed="false">
      <c r="A34" s="5" t="s">
        <v>676</v>
      </c>
      <c r="B34" s="5" t="s">
        <v>66</v>
      </c>
      <c r="C34" s="5" t="s">
        <v>67</v>
      </c>
      <c r="D34" s="6" t="s">
        <v>45</v>
      </c>
      <c r="E34" s="5" t="n">
        <v>5</v>
      </c>
      <c r="F34" s="5" t="s">
        <v>677</v>
      </c>
      <c r="G34" s="11" t="s">
        <v>678</v>
      </c>
      <c r="H34" s="5" t="s">
        <v>679</v>
      </c>
      <c r="I34" s="11" t="s">
        <v>680</v>
      </c>
      <c r="J34" s="5" t="s">
        <v>681</v>
      </c>
      <c r="K34" s="5" t="s">
        <v>682</v>
      </c>
      <c r="L34" s="11" t="s">
        <v>683</v>
      </c>
      <c r="M34" s="11" t="s">
        <v>684</v>
      </c>
      <c r="N34" s="5" t="n">
        <f aca="false">LEN(L34)</f>
        <v>25</v>
      </c>
      <c r="O34" s="5" t="n">
        <f aca="false">LEN(M34)</f>
        <v>25</v>
      </c>
      <c r="P34" s="12" t="n">
        <f aca="false">IF(N34=0,"",(N34-LEN(SUBSTITUTE(SUBSTITUTE(L34,"G",""),"C","")))/N34)</f>
        <v>0.68</v>
      </c>
      <c r="Q34" s="12" t="n">
        <f aca="false">IF(O34=0,"",(O34-LEN(SUBSTITUTE(SUBSTITUTE(M34,"G",""),"C","")))/O34)</f>
        <v>0.44</v>
      </c>
      <c r="R34" s="5"/>
      <c r="S34" s="5" t="s">
        <v>382</v>
      </c>
      <c r="T34" s="5"/>
      <c r="U34" s="5" t="s">
        <v>383</v>
      </c>
      <c r="V34" s="5" t="s">
        <v>648</v>
      </c>
      <c r="W34" s="5"/>
      <c r="X34" s="13" t="s">
        <v>385</v>
      </c>
      <c r="Y34" s="5"/>
    </row>
    <row r="35" customFormat="false" ht="15" hidden="false" customHeight="false" outlineLevel="0" collapsed="false">
      <c r="A35" s="5" t="s">
        <v>685</v>
      </c>
      <c r="B35" s="5" t="s">
        <v>66</v>
      </c>
      <c r="C35" s="5" t="s">
        <v>67</v>
      </c>
      <c r="D35" s="6" t="s">
        <v>45</v>
      </c>
      <c r="E35" s="5" t="n">
        <v>6</v>
      </c>
      <c r="F35" s="5" t="s">
        <v>686</v>
      </c>
      <c r="G35" s="11" t="s">
        <v>687</v>
      </c>
      <c r="H35" s="5" t="s">
        <v>688</v>
      </c>
      <c r="I35" s="11" t="s">
        <v>689</v>
      </c>
      <c r="J35" s="5" t="s">
        <v>690</v>
      </c>
      <c r="K35" s="5" t="s">
        <v>691</v>
      </c>
      <c r="L35" s="11" t="s">
        <v>692</v>
      </c>
      <c r="M35" s="11" t="s">
        <v>693</v>
      </c>
      <c r="N35" s="5" t="n">
        <f aca="false">LEN(L35)</f>
        <v>25</v>
      </c>
      <c r="O35" s="5" t="n">
        <f aca="false">LEN(M35)</f>
        <v>25</v>
      </c>
      <c r="P35" s="12" t="n">
        <f aca="false">IF(N35=0,"",(N35-LEN(SUBSTITUTE(SUBSTITUTE(L35,"G",""),"C","")))/N35)</f>
        <v>0.48</v>
      </c>
      <c r="Q35" s="12" t="n">
        <f aca="false">IF(O35=0,"",(O35-LEN(SUBSTITUTE(SUBSTITUTE(M35,"G",""),"C","")))/O35)</f>
        <v>0.24</v>
      </c>
      <c r="R35" s="5"/>
      <c r="S35" s="5" t="s">
        <v>382</v>
      </c>
      <c r="T35" s="5"/>
      <c r="U35" s="5" t="s">
        <v>383</v>
      </c>
      <c r="V35" s="5" t="s">
        <v>648</v>
      </c>
      <c r="W35" s="5"/>
      <c r="X35" s="13" t="s">
        <v>385</v>
      </c>
      <c r="Y35" s="5"/>
    </row>
    <row r="36" customFormat="false" ht="15" hidden="false" customHeight="false" outlineLevel="0" collapsed="false">
      <c r="A36" s="5" t="s">
        <v>694</v>
      </c>
      <c r="B36" s="5" t="s">
        <v>66</v>
      </c>
      <c r="C36" s="5" t="s">
        <v>67</v>
      </c>
      <c r="D36" s="6" t="s">
        <v>45</v>
      </c>
      <c r="E36" s="5" t="n">
        <v>7</v>
      </c>
      <c r="F36" s="5" t="s">
        <v>695</v>
      </c>
      <c r="G36" s="11" t="s">
        <v>696</v>
      </c>
      <c r="H36" s="5" t="s">
        <v>697</v>
      </c>
      <c r="I36" s="11" t="s">
        <v>698</v>
      </c>
      <c r="J36" s="5" t="s">
        <v>699</v>
      </c>
      <c r="K36" s="5" t="s">
        <v>700</v>
      </c>
      <c r="L36" s="11" t="s">
        <v>701</v>
      </c>
      <c r="M36" s="11" t="s">
        <v>702</v>
      </c>
      <c r="N36" s="5" t="n">
        <f aca="false">LEN(L36)</f>
        <v>25</v>
      </c>
      <c r="O36" s="5" t="n">
        <f aca="false">LEN(M36)</f>
        <v>25</v>
      </c>
      <c r="P36" s="12" t="n">
        <f aca="false">IF(N36=0,"",(N36-LEN(SUBSTITUTE(SUBSTITUTE(L36,"G",""),"C","")))/N36)</f>
        <v>0.52</v>
      </c>
      <c r="Q36" s="12" t="n">
        <f aca="false">IF(O36=0,"",(O36-LEN(SUBSTITUTE(SUBSTITUTE(M36,"G",""),"C","")))/O36)</f>
        <v>0.56</v>
      </c>
      <c r="R36" s="5"/>
      <c r="S36" s="5" t="s">
        <v>382</v>
      </c>
      <c r="T36" s="5"/>
      <c r="U36" s="5" t="s">
        <v>383</v>
      </c>
      <c r="V36" s="5" t="s">
        <v>648</v>
      </c>
      <c r="W36" s="5"/>
      <c r="X36" s="13" t="s">
        <v>385</v>
      </c>
      <c r="Y36" s="5"/>
    </row>
    <row r="37" customFormat="false" ht="15" hidden="false" customHeight="false" outlineLevel="0" collapsed="false">
      <c r="A37" s="5" t="s">
        <v>703</v>
      </c>
      <c r="B37" s="5" t="s">
        <v>66</v>
      </c>
      <c r="C37" s="5" t="s">
        <v>67</v>
      </c>
      <c r="D37" s="6" t="s">
        <v>45</v>
      </c>
      <c r="E37" s="5" t="n">
        <v>8</v>
      </c>
      <c r="F37" s="5" t="s">
        <v>704</v>
      </c>
      <c r="G37" s="11" t="s">
        <v>705</v>
      </c>
      <c r="H37" s="5" t="s">
        <v>706</v>
      </c>
      <c r="I37" s="11" t="s">
        <v>707</v>
      </c>
      <c r="J37" s="5" t="s">
        <v>708</v>
      </c>
      <c r="K37" s="5" t="s">
        <v>709</v>
      </c>
      <c r="L37" s="11" t="s">
        <v>710</v>
      </c>
      <c r="M37" s="11" t="s">
        <v>711</v>
      </c>
      <c r="N37" s="5" t="n">
        <f aca="false">LEN(L37)</f>
        <v>25</v>
      </c>
      <c r="O37" s="5" t="n">
        <f aca="false">LEN(M37)</f>
        <v>25</v>
      </c>
      <c r="P37" s="12" t="n">
        <f aca="false">IF(N37=0,"",(N37-LEN(SUBSTITUTE(SUBSTITUTE(L37,"G",""),"C","")))/N37)</f>
        <v>0.52</v>
      </c>
      <c r="Q37" s="12" t="n">
        <f aca="false">IF(O37=0,"",(O37-LEN(SUBSTITUTE(SUBSTITUTE(M37,"G",""),"C","")))/O37)</f>
        <v>0.44</v>
      </c>
      <c r="R37" s="5"/>
      <c r="S37" s="5" t="s">
        <v>382</v>
      </c>
      <c r="T37" s="5"/>
      <c r="U37" s="5" t="s">
        <v>383</v>
      </c>
      <c r="V37" s="5" t="s">
        <v>648</v>
      </c>
      <c r="W37" s="5"/>
      <c r="X37" s="13" t="s">
        <v>385</v>
      </c>
      <c r="Y37" s="5"/>
    </row>
    <row r="38" customFormat="false" ht="15" hidden="false" customHeight="false" outlineLevel="0" collapsed="false">
      <c r="A38" s="5" t="s">
        <v>712</v>
      </c>
      <c r="B38" s="5" t="s">
        <v>73</v>
      </c>
      <c r="C38" s="5" t="s">
        <v>74</v>
      </c>
      <c r="D38" s="6" t="s">
        <v>45</v>
      </c>
      <c r="E38" s="5" t="n">
        <v>1</v>
      </c>
      <c r="F38" s="5" t="s">
        <v>713</v>
      </c>
      <c r="G38" s="11" t="s">
        <v>714</v>
      </c>
      <c r="H38" s="5" t="s">
        <v>715</v>
      </c>
      <c r="I38" s="11" t="s">
        <v>716</v>
      </c>
      <c r="J38" s="5" t="s">
        <v>717</v>
      </c>
      <c r="K38" s="5" t="s">
        <v>718</v>
      </c>
      <c r="L38" s="11" t="s">
        <v>719</v>
      </c>
      <c r="M38" s="11" t="s">
        <v>720</v>
      </c>
      <c r="N38" s="5" t="n">
        <f aca="false">LEN(L38)</f>
        <v>25</v>
      </c>
      <c r="O38" s="5" t="n">
        <f aca="false">LEN(M38)</f>
        <v>25</v>
      </c>
      <c r="P38" s="12" t="n">
        <f aca="false">IF(N38=0,"",(N38-LEN(SUBSTITUTE(SUBSTITUTE(L38,"G",""),"C","")))/N38)</f>
        <v>0.44</v>
      </c>
      <c r="Q38" s="12" t="n">
        <f aca="false">IF(O38=0,"",(O38-LEN(SUBSTITUTE(SUBSTITUTE(M38,"G",""),"C","")))/O38)</f>
        <v>0.56</v>
      </c>
      <c r="R38" s="5"/>
      <c r="S38" s="5" t="s">
        <v>382</v>
      </c>
      <c r="T38" s="5"/>
      <c r="U38" s="5" t="s">
        <v>383</v>
      </c>
      <c r="V38" s="5" t="s">
        <v>721</v>
      </c>
      <c r="W38" s="5"/>
      <c r="X38" s="13" t="s">
        <v>385</v>
      </c>
      <c r="Y38" s="5"/>
    </row>
    <row r="39" customFormat="false" ht="15" hidden="false" customHeight="false" outlineLevel="0" collapsed="false">
      <c r="A39" s="5" t="s">
        <v>722</v>
      </c>
      <c r="B39" s="5" t="s">
        <v>73</v>
      </c>
      <c r="C39" s="5" t="s">
        <v>74</v>
      </c>
      <c r="D39" s="6" t="s">
        <v>45</v>
      </c>
      <c r="E39" s="5" t="n">
        <v>2</v>
      </c>
      <c r="F39" s="5" t="s">
        <v>723</v>
      </c>
      <c r="G39" s="11" t="s">
        <v>724</v>
      </c>
      <c r="H39" s="5" t="s">
        <v>725</v>
      </c>
      <c r="I39" s="11" t="s">
        <v>726</v>
      </c>
      <c r="J39" s="5" t="s">
        <v>727</v>
      </c>
      <c r="K39" s="5" t="s">
        <v>728</v>
      </c>
      <c r="L39" s="11" t="s">
        <v>729</v>
      </c>
      <c r="M39" s="11" t="s">
        <v>730</v>
      </c>
      <c r="N39" s="5" t="n">
        <f aca="false">LEN(L39)</f>
        <v>25</v>
      </c>
      <c r="O39" s="5" t="n">
        <f aca="false">LEN(M39)</f>
        <v>25</v>
      </c>
      <c r="P39" s="12" t="n">
        <f aca="false">IF(N39=0,"",(N39-LEN(SUBSTITUTE(SUBSTITUTE(L39,"G",""),"C","")))/N39)</f>
        <v>0.72</v>
      </c>
      <c r="Q39" s="12" t="n">
        <f aca="false">IF(O39=0,"",(O39-LEN(SUBSTITUTE(SUBSTITUTE(M39,"G",""),"C","")))/O39)</f>
        <v>0.72</v>
      </c>
      <c r="R39" s="5"/>
      <c r="S39" s="5" t="s">
        <v>382</v>
      </c>
      <c r="T39" s="5"/>
      <c r="U39" s="5" t="s">
        <v>383</v>
      </c>
      <c r="V39" s="5" t="s">
        <v>721</v>
      </c>
      <c r="W39" s="5"/>
      <c r="X39" s="13" t="s">
        <v>385</v>
      </c>
      <c r="Y39" s="5"/>
    </row>
    <row r="40" customFormat="false" ht="15" hidden="false" customHeight="false" outlineLevel="0" collapsed="false">
      <c r="A40" s="5" t="s">
        <v>731</v>
      </c>
      <c r="B40" s="5" t="s">
        <v>73</v>
      </c>
      <c r="C40" s="5" t="s">
        <v>74</v>
      </c>
      <c r="D40" s="6" t="s">
        <v>45</v>
      </c>
      <c r="E40" s="5" t="n">
        <v>3</v>
      </c>
      <c r="F40" s="5" t="s">
        <v>732</v>
      </c>
      <c r="G40" s="11" t="s">
        <v>733</v>
      </c>
      <c r="H40" s="5" t="s">
        <v>734</v>
      </c>
      <c r="I40" s="11" t="s">
        <v>735</v>
      </c>
      <c r="J40" s="5" t="s">
        <v>736</v>
      </c>
      <c r="K40" s="5" t="s">
        <v>737</v>
      </c>
      <c r="L40" s="11" t="s">
        <v>738</v>
      </c>
      <c r="M40" s="11" t="s">
        <v>739</v>
      </c>
      <c r="N40" s="5" t="n">
        <f aca="false">LEN(L40)</f>
        <v>25</v>
      </c>
      <c r="O40" s="5" t="n">
        <f aca="false">LEN(M40)</f>
        <v>25</v>
      </c>
      <c r="P40" s="12" t="n">
        <f aca="false">IF(N40=0,"",(N40-LEN(SUBSTITUTE(SUBSTITUTE(L40,"G",""),"C","")))/N40)</f>
        <v>0.48</v>
      </c>
      <c r="Q40" s="12" t="n">
        <f aca="false">IF(O40=0,"",(O40-LEN(SUBSTITUTE(SUBSTITUTE(M40,"G",""),"C","")))/O40)</f>
        <v>0.44</v>
      </c>
      <c r="R40" s="5"/>
      <c r="S40" s="5" t="s">
        <v>382</v>
      </c>
      <c r="T40" s="5"/>
      <c r="U40" s="5" t="s">
        <v>383</v>
      </c>
      <c r="V40" s="5" t="s">
        <v>721</v>
      </c>
      <c r="W40" s="5"/>
      <c r="X40" s="13" t="s">
        <v>385</v>
      </c>
      <c r="Y40" s="5"/>
    </row>
    <row r="41" customFormat="false" ht="15" hidden="false" customHeight="false" outlineLevel="0" collapsed="false">
      <c r="A41" s="5" t="s">
        <v>740</v>
      </c>
      <c r="B41" s="5" t="s">
        <v>73</v>
      </c>
      <c r="C41" s="5" t="s">
        <v>74</v>
      </c>
      <c r="D41" s="6" t="s">
        <v>45</v>
      </c>
      <c r="E41" s="5" t="n">
        <v>4</v>
      </c>
      <c r="F41" s="5" t="s">
        <v>741</v>
      </c>
      <c r="G41" s="11" t="s">
        <v>742</v>
      </c>
      <c r="H41" s="5" t="s">
        <v>743</v>
      </c>
      <c r="I41" s="11" t="s">
        <v>744</v>
      </c>
      <c r="J41" s="5" t="s">
        <v>745</v>
      </c>
      <c r="K41" s="5" t="s">
        <v>746</v>
      </c>
      <c r="L41" s="11" t="s">
        <v>747</v>
      </c>
      <c r="M41" s="11" t="s">
        <v>748</v>
      </c>
      <c r="N41" s="5" t="n">
        <f aca="false">LEN(L41)</f>
        <v>25</v>
      </c>
      <c r="O41" s="5" t="n">
        <f aca="false">LEN(M41)</f>
        <v>25</v>
      </c>
      <c r="P41" s="12" t="n">
        <f aca="false">IF(N41=0,"",(N41-LEN(SUBSTITUTE(SUBSTITUTE(L41,"G",""),"C","")))/N41)</f>
        <v>0.48</v>
      </c>
      <c r="Q41" s="12" t="n">
        <f aca="false">IF(O41=0,"",(O41-LEN(SUBSTITUTE(SUBSTITUTE(M41,"G",""),"C","")))/O41)</f>
        <v>0.6</v>
      </c>
      <c r="R41" s="5"/>
      <c r="S41" s="5" t="s">
        <v>382</v>
      </c>
      <c r="T41" s="5"/>
      <c r="U41" s="5" t="s">
        <v>383</v>
      </c>
      <c r="V41" s="5" t="s">
        <v>721</v>
      </c>
      <c r="W41" s="5"/>
      <c r="X41" s="13" t="s">
        <v>385</v>
      </c>
      <c r="Y41" s="5"/>
    </row>
    <row r="42" customFormat="false" ht="15" hidden="false" customHeight="false" outlineLevel="0" collapsed="false">
      <c r="A42" s="5" t="s">
        <v>749</v>
      </c>
      <c r="B42" s="5" t="s">
        <v>73</v>
      </c>
      <c r="C42" s="5" t="s">
        <v>74</v>
      </c>
      <c r="D42" s="6" t="s">
        <v>45</v>
      </c>
      <c r="E42" s="5" t="n">
        <v>5</v>
      </c>
      <c r="F42" s="5" t="s">
        <v>750</v>
      </c>
      <c r="G42" s="11" t="s">
        <v>751</v>
      </c>
      <c r="H42" s="5" t="s">
        <v>752</v>
      </c>
      <c r="I42" s="11" t="s">
        <v>753</v>
      </c>
      <c r="J42" s="5" t="s">
        <v>754</v>
      </c>
      <c r="K42" s="5" t="s">
        <v>755</v>
      </c>
      <c r="L42" s="11" t="s">
        <v>756</v>
      </c>
      <c r="M42" s="11" t="s">
        <v>757</v>
      </c>
      <c r="N42" s="5" t="n">
        <f aca="false">LEN(L42)</f>
        <v>25</v>
      </c>
      <c r="O42" s="5" t="n">
        <f aca="false">LEN(M42)</f>
        <v>25</v>
      </c>
      <c r="P42" s="12" t="n">
        <f aca="false">IF(N42=0,"",(N42-LEN(SUBSTITUTE(SUBSTITUTE(L42,"G",""),"C","")))/N42)</f>
        <v>0.68</v>
      </c>
      <c r="Q42" s="12" t="n">
        <f aca="false">IF(O42=0,"",(O42-LEN(SUBSTITUTE(SUBSTITUTE(M42,"G",""),"C","")))/O42)</f>
        <v>0.6</v>
      </c>
      <c r="R42" s="5"/>
      <c r="S42" s="5" t="s">
        <v>382</v>
      </c>
      <c r="T42" s="5"/>
      <c r="U42" s="5" t="s">
        <v>383</v>
      </c>
      <c r="V42" s="5" t="s">
        <v>721</v>
      </c>
      <c r="W42" s="5"/>
      <c r="X42" s="13" t="s">
        <v>385</v>
      </c>
      <c r="Y42" s="5"/>
    </row>
    <row r="43" customFormat="false" ht="15" hidden="false" customHeight="false" outlineLevel="0" collapsed="false">
      <c r="A43" s="5" t="s">
        <v>758</v>
      </c>
      <c r="B43" s="5" t="s">
        <v>73</v>
      </c>
      <c r="C43" s="5" t="s">
        <v>74</v>
      </c>
      <c r="D43" s="6" t="s">
        <v>45</v>
      </c>
      <c r="E43" s="5" t="n">
        <v>6</v>
      </c>
      <c r="F43" s="5" t="s">
        <v>759</v>
      </c>
      <c r="G43" s="11" t="s">
        <v>760</v>
      </c>
      <c r="H43" s="5" t="s">
        <v>761</v>
      </c>
      <c r="I43" s="11" t="s">
        <v>762</v>
      </c>
      <c r="J43" s="5" t="s">
        <v>717</v>
      </c>
      <c r="K43" s="5" t="s">
        <v>718</v>
      </c>
      <c r="L43" s="11" t="s">
        <v>763</v>
      </c>
      <c r="M43" s="11" t="s">
        <v>764</v>
      </c>
      <c r="N43" s="5" t="n">
        <f aca="false">LEN(L43)</f>
        <v>25</v>
      </c>
      <c r="O43" s="5" t="n">
        <f aca="false">LEN(M43)</f>
        <v>25</v>
      </c>
      <c r="P43" s="12" t="n">
        <f aca="false">IF(N43=0,"",(N43-LEN(SUBSTITUTE(SUBSTITUTE(L43,"G",""),"C","")))/N43)</f>
        <v>0.64</v>
      </c>
      <c r="Q43" s="12" t="n">
        <f aca="false">IF(O43=0,"",(O43-LEN(SUBSTITUTE(SUBSTITUTE(M43,"G",""),"C","")))/O43)</f>
        <v>0.56</v>
      </c>
      <c r="R43" s="5"/>
      <c r="S43" s="5" t="s">
        <v>382</v>
      </c>
      <c r="T43" s="5"/>
      <c r="U43" s="5" t="s">
        <v>383</v>
      </c>
      <c r="V43" s="5" t="s">
        <v>721</v>
      </c>
      <c r="W43" s="5"/>
      <c r="X43" s="13" t="s">
        <v>385</v>
      </c>
      <c r="Y43" s="5"/>
    </row>
    <row r="44" customFormat="false" ht="15" hidden="false" customHeight="false" outlineLevel="0" collapsed="false">
      <c r="A44" s="5" t="s">
        <v>765</v>
      </c>
      <c r="B44" s="5" t="s">
        <v>73</v>
      </c>
      <c r="C44" s="5" t="s">
        <v>74</v>
      </c>
      <c r="D44" s="6" t="s">
        <v>45</v>
      </c>
      <c r="E44" s="5" t="n">
        <v>7</v>
      </c>
      <c r="F44" s="5" t="s">
        <v>766</v>
      </c>
      <c r="G44" s="11" t="s">
        <v>767</v>
      </c>
      <c r="H44" s="5" t="s">
        <v>768</v>
      </c>
      <c r="I44" s="11" t="s">
        <v>769</v>
      </c>
      <c r="J44" s="5" t="s">
        <v>727</v>
      </c>
      <c r="K44" s="5" t="s">
        <v>728</v>
      </c>
      <c r="L44" s="11" t="s">
        <v>770</v>
      </c>
      <c r="M44" s="11" t="s">
        <v>771</v>
      </c>
      <c r="N44" s="5" t="n">
        <f aca="false">LEN(L44)</f>
        <v>25</v>
      </c>
      <c r="O44" s="5" t="n">
        <f aca="false">LEN(M44)</f>
        <v>25</v>
      </c>
      <c r="P44" s="12" t="n">
        <f aca="false">IF(N44=0,"",(N44-LEN(SUBSTITUTE(SUBSTITUTE(L44,"G",""),"C","")))/N44)</f>
        <v>0.68</v>
      </c>
      <c r="Q44" s="12" t="n">
        <f aca="false">IF(O44=0,"",(O44-LEN(SUBSTITUTE(SUBSTITUTE(M44,"G",""),"C","")))/O44)</f>
        <v>0.48</v>
      </c>
      <c r="R44" s="5"/>
      <c r="S44" s="5" t="s">
        <v>382</v>
      </c>
      <c r="T44" s="5"/>
      <c r="U44" s="5" t="s">
        <v>383</v>
      </c>
      <c r="V44" s="5" t="s">
        <v>721</v>
      </c>
      <c r="W44" s="5"/>
      <c r="X44" s="13" t="s">
        <v>385</v>
      </c>
      <c r="Y44" s="5"/>
    </row>
    <row r="45" customFormat="false" ht="15" hidden="false" customHeight="false" outlineLevel="0" collapsed="false">
      <c r="A45" s="5" t="s">
        <v>772</v>
      </c>
      <c r="B45" s="5" t="s">
        <v>73</v>
      </c>
      <c r="C45" s="5" t="s">
        <v>74</v>
      </c>
      <c r="D45" s="6" t="s">
        <v>45</v>
      </c>
      <c r="E45" s="5" t="n">
        <v>8</v>
      </c>
      <c r="F45" s="5" t="s">
        <v>773</v>
      </c>
      <c r="G45" s="11" t="s">
        <v>774</v>
      </c>
      <c r="H45" s="5" t="s">
        <v>775</v>
      </c>
      <c r="I45" s="11" t="s">
        <v>776</v>
      </c>
      <c r="J45" s="5" t="s">
        <v>745</v>
      </c>
      <c r="K45" s="5" t="s">
        <v>746</v>
      </c>
      <c r="L45" s="11" t="s">
        <v>777</v>
      </c>
      <c r="M45" s="11" t="s">
        <v>778</v>
      </c>
      <c r="N45" s="5" t="n">
        <f aca="false">LEN(L45)</f>
        <v>25</v>
      </c>
      <c r="O45" s="5" t="n">
        <f aca="false">LEN(M45)</f>
        <v>25</v>
      </c>
      <c r="P45" s="12" t="n">
        <f aca="false">IF(N45=0,"",(N45-LEN(SUBSTITUTE(SUBSTITUTE(L45,"G",""),"C","")))/N45)</f>
        <v>0.68</v>
      </c>
      <c r="Q45" s="12" t="n">
        <f aca="false">IF(O45=0,"",(O45-LEN(SUBSTITUTE(SUBSTITUTE(M45,"G",""),"C","")))/O45)</f>
        <v>0.88</v>
      </c>
      <c r="R45" s="5"/>
      <c r="S45" s="5" t="s">
        <v>382</v>
      </c>
      <c r="T45" s="5"/>
      <c r="U45" s="5" t="s">
        <v>383</v>
      </c>
      <c r="V45" s="5" t="s">
        <v>721</v>
      </c>
      <c r="W45" s="5"/>
      <c r="X45" s="13" t="s">
        <v>385</v>
      </c>
      <c r="Y45" s="5"/>
    </row>
    <row r="46" customFormat="false" ht="15" hidden="false" customHeight="false" outlineLevel="0" collapsed="false">
      <c r="A46" s="5" t="s">
        <v>779</v>
      </c>
      <c r="B46" s="5" t="s">
        <v>73</v>
      </c>
      <c r="C46" s="5" t="s">
        <v>74</v>
      </c>
      <c r="D46" s="6" t="s">
        <v>45</v>
      </c>
      <c r="E46" s="5" t="n">
        <v>9</v>
      </c>
      <c r="F46" s="5" t="s">
        <v>780</v>
      </c>
      <c r="G46" s="11" t="s">
        <v>781</v>
      </c>
      <c r="H46" s="5" t="s">
        <v>782</v>
      </c>
      <c r="I46" s="11" t="s">
        <v>783</v>
      </c>
      <c r="J46" s="5" t="s">
        <v>784</v>
      </c>
      <c r="K46" s="5" t="s">
        <v>785</v>
      </c>
      <c r="L46" s="11" t="s">
        <v>786</v>
      </c>
      <c r="M46" s="11" t="s">
        <v>787</v>
      </c>
      <c r="N46" s="5" t="n">
        <f aca="false">LEN(L46)</f>
        <v>25</v>
      </c>
      <c r="O46" s="5" t="n">
        <f aca="false">LEN(M46)</f>
        <v>25</v>
      </c>
      <c r="P46" s="12" t="n">
        <f aca="false">IF(N46=0,"",(N46-LEN(SUBSTITUTE(SUBSTITUTE(L46,"G",""),"C","")))/N46)</f>
        <v>0.6</v>
      </c>
      <c r="Q46" s="12" t="n">
        <f aca="false">IF(O46=0,"",(O46-LEN(SUBSTITUTE(SUBSTITUTE(M46,"G",""),"C","")))/O46)</f>
        <v>0.6</v>
      </c>
      <c r="R46" s="5"/>
      <c r="S46" s="5" t="s">
        <v>382</v>
      </c>
      <c r="T46" s="5"/>
      <c r="U46" s="5" t="s">
        <v>383</v>
      </c>
      <c r="V46" s="5" t="s">
        <v>721</v>
      </c>
      <c r="W46" s="5"/>
      <c r="X46" s="13" t="s">
        <v>385</v>
      </c>
      <c r="Y46" s="5"/>
    </row>
    <row r="47" customFormat="false" ht="15" hidden="false" customHeight="false" outlineLevel="0" collapsed="false">
      <c r="A47" s="5" t="s">
        <v>788</v>
      </c>
      <c r="B47" s="5" t="s">
        <v>73</v>
      </c>
      <c r="C47" s="5" t="s">
        <v>74</v>
      </c>
      <c r="D47" s="6" t="s">
        <v>45</v>
      </c>
      <c r="E47" s="5" t="n">
        <v>10</v>
      </c>
      <c r="F47" s="5" t="s">
        <v>789</v>
      </c>
      <c r="G47" s="11" t="s">
        <v>790</v>
      </c>
      <c r="H47" s="5" t="s">
        <v>791</v>
      </c>
      <c r="I47" s="11" t="s">
        <v>792</v>
      </c>
      <c r="J47" s="5" t="s">
        <v>736</v>
      </c>
      <c r="K47" s="5" t="s">
        <v>737</v>
      </c>
      <c r="L47" s="11" t="s">
        <v>793</v>
      </c>
      <c r="M47" s="11" t="s">
        <v>794</v>
      </c>
      <c r="N47" s="5" t="n">
        <f aca="false">LEN(L47)</f>
        <v>25</v>
      </c>
      <c r="O47" s="5" t="n">
        <f aca="false">LEN(M47)</f>
        <v>25</v>
      </c>
      <c r="P47" s="12" t="n">
        <f aca="false">IF(N47=0,"",(N47-LEN(SUBSTITUTE(SUBSTITUTE(L47,"G",""),"C","")))/N47)</f>
        <v>0.72</v>
      </c>
      <c r="Q47" s="12" t="n">
        <f aca="false">IF(O47=0,"",(O47-LEN(SUBSTITUTE(SUBSTITUTE(M47,"G",""),"C","")))/O47)</f>
        <v>0.4</v>
      </c>
      <c r="R47" s="5"/>
      <c r="S47" s="5" t="s">
        <v>382</v>
      </c>
      <c r="T47" s="5"/>
      <c r="U47" s="5" t="s">
        <v>795</v>
      </c>
      <c r="V47" s="5" t="s">
        <v>721</v>
      </c>
      <c r="W47" s="5"/>
      <c r="X47" s="7" t="s">
        <v>796</v>
      </c>
      <c r="Y47" s="5"/>
    </row>
    <row r="48" customFormat="false" ht="15" hidden="false" customHeight="false" outlineLevel="0" collapsed="false">
      <c r="A48" s="5" t="s">
        <v>797</v>
      </c>
      <c r="B48" s="5" t="s">
        <v>73</v>
      </c>
      <c r="C48" s="5" t="s">
        <v>74</v>
      </c>
      <c r="D48" s="6" t="s">
        <v>45</v>
      </c>
      <c r="E48" s="5" t="n">
        <v>11</v>
      </c>
      <c r="F48" s="5" t="s">
        <v>798</v>
      </c>
      <c r="G48" s="11" t="s">
        <v>799</v>
      </c>
      <c r="H48" s="5" t="s">
        <v>800</v>
      </c>
      <c r="I48" s="11" t="s">
        <v>801</v>
      </c>
      <c r="J48" s="5" t="s">
        <v>754</v>
      </c>
      <c r="K48" s="5" t="s">
        <v>755</v>
      </c>
      <c r="L48" s="11" t="s">
        <v>802</v>
      </c>
      <c r="M48" s="11" t="s">
        <v>803</v>
      </c>
      <c r="N48" s="5" t="n">
        <f aca="false">LEN(L48)</f>
        <v>25</v>
      </c>
      <c r="O48" s="5" t="n">
        <f aca="false">LEN(M48)</f>
        <v>25</v>
      </c>
      <c r="P48" s="12" t="n">
        <f aca="false">IF(N48=0,"",(N48-LEN(SUBSTITUTE(SUBSTITUTE(L48,"G",""),"C","")))/N48)</f>
        <v>0.88</v>
      </c>
      <c r="Q48" s="12" t="n">
        <f aca="false">IF(O48=0,"",(O48-LEN(SUBSTITUTE(SUBSTITUTE(M48,"G",""),"C","")))/O48)</f>
        <v>0.64</v>
      </c>
      <c r="R48" s="5"/>
      <c r="S48" s="5" t="s">
        <v>382</v>
      </c>
      <c r="T48" s="5"/>
      <c r="U48" s="5" t="s">
        <v>795</v>
      </c>
      <c r="V48" s="5" t="s">
        <v>721</v>
      </c>
      <c r="W48" s="5"/>
      <c r="X48" s="7" t="s">
        <v>804</v>
      </c>
      <c r="Y48" s="5"/>
    </row>
    <row r="49" customFormat="false" ht="15" hidden="false" customHeight="false" outlineLevel="0" collapsed="false">
      <c r="A49" s="5" t="s">
        <v>805</v>
      </c>
      <c r="B49" s="5" t="s">
        <v>73</v>
      </c>
      <c r="C49" s="5" t="s">
        <v>74</v>
      </c>
      <c r="D49" s="6" t="s">
        <v>45</v>
      </c>
      <c r="E49" s="5" t="n">
        <v>12</v>
      </c>
      <c r="F49" s="5" t="s">
        <v>806</v>
      </c>
      <c r="G49" s="11" t="s">
        <v>807</v>
      </c>
      <c r="H49" s="5" t="s">
        <v>808</v>
      </c>
      <c r="I49" s="11" t="s">
        <v>809</v>
      </c>
      <c r="J49" s="5" t="s">
        <v>784</v>
      </c>
      <c r="K49" s="5" t="s">
        <v>785</v>
      </c>
      <c r="L49" s="11" t="s">
        <v>810</v>
      </c>
      <c r="M49" s="11" t="s">
        <v>811</v>
      </c>
      <c r="N49" s="5" t="n">
        <f aca="false">LEN(L49)</f>
        <v>25</v>
      </c>
      <c r="O49" s="5" t="n">
        <f aca="false">LEN(M49)</f>
        <v>25</v>
      </c>
      <c r="P49" s="12" t="n">
        <f aca="false">IF(N49=0,"",(N49-LEN(SUBSTITUTE(SUBSTITUTE(L49,"G",""),"C","")))/N49)</f>
        <v>0.56</v>
      </c>
      <c r="Q49" s="12" t="n">
        <f aca="false">IF(O49=0,"",(O49-LEN(SUBSTITUTE(SUBSTITUTE(M49,"G",""),"C","")))/O49)</f>
        <v>0.56</v>
      </c>
      <c r="R49" s="5"/>
      <c r="S49" s="5" t="s">
        <v>382</v>
      </c>
      <c r="T49" s="5"/>
      <c r="U49" s="5" t="s">
        <v>795</v>
      </c>
      <c r="V49" s="5" t="s">
        <v>721</v>
      </c>
      <c r="W49" s="5"/>
      <c r="X49" s="7" t="s">
        <v>804</v>
      </c>
      <c r="Y49" s="5"/>
    </row>
    <row r="50" customFormat="false" ht="15" hidden="false" customHeight="false" outlineLevel="0" collapsed="false">
      <c r="A50" s="5" t="s">
        <v>812</v>
      </c>
      <c r="B50" s="5" t="s">
        <v>80</v>
      </c>
      <c r="C50" s="5" t="s">
        <v>81</v>
      </c>
      <c r="D50" s="6" t="s">
        <v>45</v>
      </c>
      <c r="E50" s="5" t="n">
        <v>1</v>
      </c>
      <c r="F50" s="5" t="s">
        <v>813</v>
      </c>
      <c r="G50" s="11" t="s">
        <v>814</v>
      </c>
      <c r="H50" s="5" t="s">
        <v>815</v>
      </c>
      <c r="I50" s="11" t="s">
        <v>816</v>
      </c>
      <c r="J50" s="5" t="s">
        <v>817</v>
      </c>
      <c r="K50" s="5" t="s">
        <v>818</v>
      </c>
      <c r="L50" s="11" t="s">
        <v>819</v>
      </c>
      <c r="M50" s="11" t="s">
        <v>820</v>
      </c>
      <c r="N50" s="5" t="n">
        <f aca="false">LEN(L50)</f>
        <v>25</v>
      </c>
      <c r="O50" s="5" t="n">
        <f aca="false">LEN(M50)</f>
        <v>25</v>
      </c>
      <c r="P50" s="12" t="n">
        <f aca="false">IF(N50=0,"",(N50-LEN(SUBSTITUTE(SUBSTITUTE(L50,"G",""),"C","")))/N50)</f>
        <v>0.64</v>
      </c>
      <c r="Q50" s="12" t="n">
        <f aca="false">IF(O50=0,"",(O50-LEN(SUBSTITUTE(SUBSTITUTE(M50,"G",""),"C","")))/O50)</f>
        <v>0.44</v>
      </c>
      <c r="R50" s="5"/>
      <c r="S50" s="5" t="s">
        <v>382</v>
      </c>
      <c r="T50" s="5"/>
      <c r="U50" s="5" t="s">
        <v>383</v>
      </c>
      <c r="V50" s="5" t="s">
        <v>821</v>
      </c>
      <c r="W50" s="5"/>
      <c r="X50" s="13" t="s">
        <v>385</v>
      </c>
      <c r="Y50" s="5"/>
    </row>
    <row r="51" customFormat="false" ht="15" hidden="false" customHeight="false" outlineLevel="0" collapsed="false">
      <c r="A51" s="5" t="s">
        <v>822</v>
      </c>
      <c r="B51" s="5" t="s">
        <v>80</v>
      </c>
      <c r="C51" s="5" t="s">
        <v>81</v>
      </c>
      <c r="D51" s="6" t="s">
        <v>45</v>
      </c>
      <c r="E51" s="5" t="n">
        <v>2</v>
      </c>
      <c r="F51" s="5" t="s">
        <v>823</v>
      </c>
      <c r="G51" s="11" t="s">
        <v>824</v>
      </c>
      <c r="H51" s="5" t="s">
        <v>825</v>
      </c>
      <c r="I51" s="11" t="s">
        <v>826</v>
      </c>
      <c r="J51" s="5" t="s">
        <v>827</v>
      </c>
      <c r="K51" s="5" t="s">
        <v>828</v>
      </c>
      <c r="L51" s="11" t="s">
        <v>829</v>
      </c>
      <c r="M51" s="11" t="s">
        <v>830</v>
      </c>
      <c r="N51" s="5" t="n">
        <f aca="false">LEN(L51)</f>
        <v>25</v>
      </c>
      <c r="O51" s="5" t="n">
        <f aca="false">LEN(M51)</f>
        <v>25</v>
      </c>
      <c r="P51" s="12" t="n">
        <f aca="false">IF(N51=0,"",(N51-LEN(SUBSTITUTE(SUBSTITUTE(L51,"G",""),"C","")))/N51)</f>
        <v>0.48</v>
      </c>
      <c r="Q51" s="12" t="n">
        <f aca="false">IF(O51=0,"",(O51-LEN(SUBSTITUTE(SUBSTITUTE(M51,"G",""),"C","")))/O51)</f>
        <v>0.6</v>
      </c>
      <c r="R51" s="5"/>
      <c r="S51" s="5" t="s">
        <v>382</v>
      </c>
      <c r="T51" s="5"/>
      <c r="U51" s="5" t="s">
        <v>383</v>
      </c>
      <c r="V51" s="5" t="s">
        <v>821</v>
      </c>
      <c r="W51" s="5"/>
      <c r="X51" s="13" t="s">
        <v>385</v>
      </c>
      <c r="Y51" s="5"/>
    </row>
    <row r="52" customFormat="false" ht="15" hidden="false" customHeight="false" outlineLevel="0" collapsed="false">
      <c r="A52" s="5" t="s">
        <v>831</v>
      </c>
      <c r="B52" s="5" t="s">
        <v>80</v>
      </c>
      <c r="C52" s="5" t="s">
        <v>81</v>
      </c>
      <c r="D52" s="6" t="s">
        <v>45</v>
      </c>
      <c r="E52" s="5" t="n">
        <v>3</v>
      </c>
      <c r="F52" s="5" t="s">
        <v>832</v>
      </c>
      <c r="G52" s="11" t="s">
        <v>833</v>
      </c>
      <c r="H52" s="5" t="s">
        <v>834</v>
      </c>
      <c r="I52" s="11" t="s">
        <v>835</v>
      </c>
      <c r="J52" s="5" t="s">
        <v>836</v>
      </c>
      <c r="K52" s="5" t="s">
        <v>837</v>
      </c>
      <c r="L52" s="11" t="s">
        <v>838</v>
      </c>
      <c r="M52" s="11" t="s">
        <v>839</v>
      </c>
      <c r="N52" s="5" t="n">
        <f aca="false">LEN(L52)</f>
        <v>25</v>
      </c>
      <c r="O52" s="5" t="n">
        <f aca="false">LEN(M52)</f>
        <v>25</v>
      </c>
      <c r="P52" s="12" t="n">
        <f aca="false">IF(N52=0,"",(N52-LEN(SUBSTITUTE(SUBSTITUTE(L52,"G",""),"C","")))/N52)</f>
        <v>0.4</v>
      </c>
      <c r="Q52" s="12" t="n">
        <f aca="false">IF(O52=0,"",(O52-LEN(SUBSTITUTE(SUBSTITUTE(M52,"G",""),"C","")))/O52)</f>
        <v>0.44</v>
      </c>
      <c r="R52" s="5"/>
      <c r="S52" s="5" t="s">
        <v>382</v>
      </c>
      <c r="T52" s="5"/>
      <c r="U52" s="5" t="s">
        <v>383</v>
      </c>
      <c r="V52" s="5" t="s">
        <v>821</v>
      </c>
      <c r="W52" s="5"/>
      <c r="X52" s="13" t="s">
        <v>385</v>
      </c>
      <c r="Y52" s="5"/>
    </row>
    <row r="53" customFormat="false" ht="15" hidden="false" customHeight="false" outlineLevel="0" collapsed="false">
      <c r="A53" s="5" t="s">
        <v>840</v>
      </c>
      <c r="B53" s="5" t="s">
        <v>80</v>
      </c>
      <c r="C53" s="5" t="s">
        <v>81</v>
      </c>
      <c r="D53" s="6" t="s">
        <v>45</v>
      </c>
      <c r="E53" s="5" t="n">
        <v>4</v>
      </c>
      <c r="F53" s="5" t="s">
        <v>841</v>
      </c>
      <c r="G53" s="11" t="s">
        <v>842</v>
      </c>
      <c r="H53" s="5" t="s">
        <v>843</v>
      </c>
      <c r="I53" s="11" t="s">
        <v>844</v>
      </c>
      <c r="J53" s="5" t="s">
        <v>845</v>
      </c>
      <c r="K53" s="5" t="s">
        <v>846</v>
      </c>
      <c r="L53" s="11" t="s">
        <v>847</v>
      </c>
      <c r="M53" s="11" t="s">
        <v>848</v>
      </c>
      <c r="N53" s="5" t="n">
        <f aca="false">LEN(L53)</f>
        <v>25</v>
      </c>
      <c r="O53" s="5" t="n">
        <f aca="false">LEN(M53)</f>
        <v>25</v>
      </c>
      <c r="P53" s="12" t="n">
        <f aca="false">IF(N53=0,"",(N53-LEN(SUBSTITUTE(SUBSTITUTE(L53,"G",""),"C","")))/N53)</f>
        <v>0.68</v>
      </c>
      <c r="Q53" s="12" t="n">
        <f aca="false">IF(O53=0,"",(O53-LEN(SUBSTITUTE(SUBSTITUTE(M53,"G",""),"C","")))/O53)</f>
        <v>0.44</v>
      </c>
      <c r="R53" s="5"/>
      <c r="S53" s="5" t="s">
        <v>382</v>
      </c>
      <c r="T53" s="5"/>
      <c r="U53" s="5" t="s">
        <v>795</v>
      </c>
      <c r="V53" s="5" t="s">
        <v>821</v>
      </c>
      <c r="W53" s="5"/>
      <c r="X53" s="7" t="s">
        <v>796</v>
      </c>
      <c r="Y53" s="5"/>
    </row>
    <row r="54" customFormat="false" ht="15" hidden="false" customHeight="false" outlineLevel="0" collapsed="false">
      <c r="A54" s="5" t="s">
        <v>849</v>
      </c>
      <c r="B54" s="5" t="s">
        <v>80</v>
      </c>
      <c r="C54" s="5" t="s">
        <v>81</v>
      </c>
      <c r="D54" s="6" t="s">
        <v>45</v>
      </c>
      <c r="E54" s="5" t="n">
        <v>5</v>
      </c>
      <c r="F54" s="5" t="s">
        <v>850</v>
      </c>
      <c r="G54" s="11" t="s">
        <v>851</v>
      </c>
      <c r="H54" s="5" t="s">
        <v>852</v>
      </c>
      <c r="I54" s="11" t="s">
        <v>853</v>
      </c>
      <c r="J54" s="5" t="s">
        <v>854</v>
      </c>
      <c r="K54" s="5" t="s">
        <v>855</v>
      </c>
      <c r="L54" s="11" t="s">
        <v>856</v>
      </c>
      <c r="M54" s="11" t="s">
        <v>857</v>
      </c>
      <c r="N54" s="5" t="n">
        <f aca="false">LEN(L54)</f>
        <v>25</v>
      </c>
      <c r="O54" s="5" t="n">
        <f aca="false">LEN(M54)</f>
        <v>25</v>
      </c>
      <c r="P54" s="12" t="n">
        <f aca="false">IF(N54=0,"",(N54-LEN(SUBSTITUTE(SUBSTITUTE(L54,"G",""),"C","")))/N54)</f>
        <v>0.52</v>
      </c>
      <c r="Q54" s="12" t="n">
        <f aca="false">IF(O54=0,"",(O54-LEN(SUBSTITUTE(SUBSTITUTE(M54,"G",""),"C","")))/O54)</f>
        <v>0.28</v>
      </c>
      <c r="R54" s="5"/>
      <c r="S54" s="5" t="s">
        <v>382</v>
      </c>
      <c r="T54" s="5"/>
      <c r="U54" s="5" t="s">
        <v>795</v>
      </c>
      <c r="V54" s="5" t="s">
        <v>821</v>
      </c>
      <c r="W54" s="5"/>
      <c r="X54" s="7" t="s">
        <v>796</v>
      </c>
      <c r="Y54" s="5"/>
    </row>
    <row r="55" customFormat="false" ht="15" hidden="false" customHeight="false" outlineLevel="0" collapsed="false">
      <c r="A55" s="5" t="s">
        <v>858</v>
      </c>
      <c r="B55" s="5" t="s">
        <v>80</v>
      </c>
      <c r="C55" s="5" t="s">
        <v>81</v>
      </c>
      <c r="D55" s="6" t="s">
        <v>45</v>
      </c>
      <c r="E55" s="5" t="n">
        <v>6</v>
      </c>
      <c r="F55" s="5" t="s">
        <v>859</v>
      </c>
      <c r="G55" s="11" t="s">
        <v>860</v>
      </c>
      <c r="H55" s="5" t="s">
        <v>861</v>
      </c>
      <c r="I55" s="11" t="s">
        <v>862</v>
      </c>
      <c r="J55" s="5" t="s">
        <v>863</v>
      </c>
      <c r="K55" s="5" t="s">
        <v>864</v>
      </c>
      <c r="L55" s="11" t="s">
        <v>865</v>
      </c>
      <c r="M55" s="11" t="s">
        <v>866</v>
      </c>
      <c r="N55" s="5" t="n">
        <f aca="false">LEN(L55)</f>
        <v>25</v>
      </c>
      <c r="O55" s="5" t="n">
        <f aca="false">LEN(M55)</f>
        <v>25</v>
      </c>
      <c r="P55" s="12" t="n">
        <f aca="false">IF(N55=0,"",(N55-LEN(SUBSTITUTE(SUBSTITUTE(L55,"G",""),"C","")))/N55)</f>
        <v>0.4</v>
      </c>
      <c r="Q55" s="12" t="n">
        <f aca="false">IF(O55=0,"",(O55-LEN(SUBSTITUTE(SUBSTITUTE(M55,"G",""),"C","")))/O55)</f>
        <v>0.48</v>
      </c>
      <c r="R55" s="5"/>
      <c r="S55" s="5" t="s">
        <v>382</v>
      </c>
      <c r="T55" s="5"/>
      <c r="U55" s="5" t="s">
        <v>795</v>
      </c>
      <c r="V55" s="5" t="s">
        <v>821</v>
      </c>
      <c r="W55" s="5"/>
      <c r="X55" s="7" t="s">
        <v>796</v>
      </c>
      <c r="Y55" s="5"/>
    </row>
    <row r="56" customFormat="false" ht="15" hidden="false" customHeight="false" outlineLevel="0" collapsed="false">
      <c r="A56" s="5" t="s">
        <v>867</v>
      </c>
      <c r="B56" s="5" t="s">
        <v>88</v>
      </c>
      <c r="C56" s="5" t="s">
        <v>89</v>
      </c>
      <c r="D56" s="6" t="s">
        <v>45</v>
      </c>
      <c r="E56" s="5" t="n">
        <v>1</v>
      </c>
      <c r="F56" s="5" t="s">
        <v>868</v>
      </c>
      <c r="G56" s="11" t="s">
        <v>869</v>
      </c>
      <c r="H56" s="5" t="s">
        <v>870</v>
      </c>
      <c r="I56" s="11" t="s">
        <v>871</v>
      </c>
      <c r="J56" s="5" t="s">
        <v>872</v>
      </c>
      <c r="K56" s="5" t="s">
        <v>873</v>
      </c>
      <c r="L56" s="11" t="s">
        <v>874</v>
      </c>
      <c r="M56" s="11" t="s">
        <v>875</v>
      </c>
      <c r="N56" s="5" t="n">
        <f aca="false">LEN(L56)</f>
        <v>25</v>
      </c>
      <c r="O56" s="5" t="n">
        <f aca="false">LEN(M56)</f>
        <v>25</v>
      </c>
      <c r="P56" s="12" t="n">
        <f aca="false">IF(N56=0,"",(N56-LEN(SUBSTITUTE(SUBSTITUTE(L56,"G",""),"C","")))/N56)</f>
        <v>0.72</v>
      </c>
      <c r="Q56" s="12" t="n">
        <f aca="false">IF(O56=0,"",(O56-LEN(SUBSTITUTE(SUBSTITUTE(M56,"G",""),"C","")))/O56)</f>
        <v>0.48</v>
      </c>
      <c r="R56" s="5"/>
      <c r="S56" s="5" t="s">
        <v>382</v>
      </c>
      <c r="T56" s="5"/>
      <c r="U56" s="5" t="s">
        <v>383</v>
      </c>
      <c r="V56" s="5" t="s">
        <v>876</v>
      </c>
      <c r="W56" s="5"/>
      <c r="X56" s="13" t="s">
        <v>385</v>
      </c>
      <c r="Y56" s="5"/>
    </row>
    <row r="57" customFormat="false" ht="15" hidden="false" customHeight="false" outlineLevel="0" collapsed="false">
      <c r="A57" s="5" t="s">
        <v>877</v>
      </c>
      <c r="B57" s="5" t="s">
        <v>88</v>
      </c>
      <c r="C57" s="5" t="s">
        <v>89</v>
      </c>
      <c r="D57" s="6" t="s">
        <v>45</v>
      </c>
      <c r="E57" s="5" t="n">
        <v>2</v>
      </c>
      <c r="F57" s="5" t="s">
        <v>878</v>
      </c>
      <c r="G57" s="11" t="s">
        <v>879</v>
      </c>
      <c r="H57" s="5" t="s">
        <v>880</v>
      </c>
      <c r="I57" s="11" t="s">
        <v>881</v>
      </c>
      <c r="J57" s="5" t="s">
        <v>882</v>
      </c>
      <c r="K57" s="5" t="s">
        <v>883</v>
      </c>
      <c r="L57" s="11" t="s">
        <v>884</v>
      </c>
      <c r="M57" s="11" t="s">
        <v>885</v>
      </c>
      <c r="N57" s="5" t="n">
        <f aca="false">LEN(L57)</f>
        <v>25</v>
      </c>
      <c r="O57" s="5" t="n">
        <f aca="false">LEN(M57)</f>
        <v>25</v>
      </c>
      <c r="P57" s="12" t="n">
        <f aca="false">IF(N57=0,"",(N57-LEN(SUBSTITUTE(SUBSTITUTE(L57,"G",""),"C","")))/N57)</f>
        <v>0.72</v>
      </c>
      <c r="Q57" s="12" t="n">
        <f aca="false">IF(O57=0,"",(O57-LEN(SUBSTITUTE(SUBSTITUTE(M57,"G",""),"C","")))/O57)</f>
        <v>0.68</v>
      </c>
      <c r="R57" s="5"/>
      <c r="S57" s="5" t="s">
        <v>382</v>
      </c>
      <c r="T57" s="5"/>
      <c r="U57" s="5" t="s">
        <v>383</v>
      </c>
      <c r="V57" s="5" t="s">
        <v>876</v>
      </c>
      <c r="W57" s="5"/>
      <c r="X57" s="13" t="s">
        <v>385</v>
      </c>
      <c r="Y57" s="5"/>
    </row>
    <row r="58" customFormat="false" ht="15" hidden="false" customHeight="false" outlineLevel="0" collapsed="false">
      <c r="A58" s="5" t="s">
        <v>886</v>
      </c>
      <c r="B58" s="5" t="s">
        <v>88</v>
      </c>
      <c r="C58" s="5" t="s">
        <v>89</v>
      </c>
      <c r="D58" s="6" t="s">
        <v>45</v>
      </c>
      <c r="E58" s="5" t="n">
        <v>3</v>
      </c>
      <c r="F58" s="5" t="s">
        <v>887</v>
      </c>
      <c r="G58" s="11" t="s">
        <v>888</v>
      </c>
      <c r="H58" s="5" t="s">
        <v>889</v>
      </c>
      <c r="I58" s="11" t="s">
        <v>890</v>
      </c>
      <c r="J58" s="5" t="s">
        <v>891</v>
      </c>
      <c r="K58" s="5" t="s">
        <v>892</v>
      </c>
      <c r="L58" s="11" t="s">
        <v>893</v>
      </c>
      <c r="M58" s="11" t="s">
        <v>894</v>
      </c>
      <c r="N58" s="5" t="n">
        <f aca="false">LEN(L58)</f>
        <v>25</v>
      </c>
      <c r="O58" s="5" t="n">
        <f aca="false">LEN(M58)</f>
        <v>25</v>
      </c>
      <c r="P58" s="12" t="n">
        <f aca="false">IF(N58=0,"",(N58-LEN(SUBSTITUTE(SUBSTITUTE(L58,"G",""),"C","")))/N58)</f>
        <v>0.64</v>
      </c>
      <c r="Q58" s="12" t="n">
        <f aca="false">IF(O58=0,"",(O58-LEN(SUBSTITUTE(SUBSTITUTE(M58,"G",""),"C","")))/O58)</f>
        <v>0.6</v>
      </c>
      <c r="R58" s="5"/>
      <c r="S58" s="5" t="s">
        <v>382</v>
      </c>
      <c r="T58" s="5"/>
      <c r="U58" s="5" t="s">
        <v>383</v>
      </c>
      <c r="V58" s="5" t="s">
        <v>876</v>
      </c>
      <c r="W58" s="5"/>
      <c r="X58" s="13" t="s">
        <v>385</v>
      </c>
      <c r="Y58" s="5"/>
    </row>
    <row r="59" customFormat="false" ht="15" hidden="false" customHeight="false" outlineLevel="0" collapsed="false">
      <c r="A59" s="5" t="s">
        <v>895</v>
      </c>
      <c r="B59" s="5" t="s">
        <v>88</v>
      </c>
      <c r="C59" s="5" t="s">
        <v>89</v>
      </c>
      <c r="D59" s="6" t="s">
        <v>45</v>
      </c>
      <c r="E59" s="5" t="n">
        <v>4</v>
      </c>
      <c r="F59" s="5" t="s">
        <v>896</v>
      </c>
      <c r="G59" s="11" t="s">
        <v>897</v>
      </c>
      <c r="H59" s="5" t="s">
        <v>898</v>
      </c>
      <c r="I59" s="11" t="s">
        <v>899</v>
      </c>
      <c r="J59" s="5" t="s">
        <v>900</v>
      </c>
      <c r="K59" s="5" t="s">
        <v>901</v>
      </c>
      <c r="L59" s="11" t="s">
        <v>902</v>
      </c>
      <c r="M59" s="11" t="s">
        <v>903</v>
      </c>
      <c r="N59" s="5" t="n">
        <f aca="false">LEN(L59)</f>
        <v>25</v>
      </c>
      <c r="O59" s="5" t="n">
        <f aca="false">LEN(M59)</f>
        <v>25</v>
      </c>
      <c r="P59" s="12" t="n">
        <f aca="false">IF(N59=0,"",(N59-LEN(SUBSTITUTE(SUBSTITUTE(L59,"G",""),"C","")))/N59)</f>
        <v>0.6</v>
      </c>
      <c r="Q59" s="12" t="n">
        <f aca="false">IF(O59=0,"",(O59-LEN(SUBSTITUTE(SUBSTITUTE(M59,"G",""),"C","")))/O59)</f>
        <v>0.6</v>
      </c>
      <c r="R59" s="5"/>
      <c r="S59" s="5" t="s">
        <v>382</v>
      </c>
      <c r="T59" s="5"/>
      <c r="U59" s="5" t="s">
        <v>383</v>
      </c>
      <c r="V59" s="5" t="s">
        <v>876</v>
      </c>
      <c r="W59" s="5"/>
      <c r="X59" s="13" t="s">
        <v>385</v>
      </c>
      <c r="Y59" s="5"/>
    </row>
    <row r="60" customFormat="false" ht="15" hidden="false" customHeight="false" outlineLevel="0" collapsed="false">
      <c r="A60" s="5" t="s">
        <v>904</v>
      </c>
      <c r="B60" s="5" t="s">
        <v>88</v>
      </c>
      <c r="C60" s="5" t="s">
        <v>89</v>
      </c>
      <c r="D60" s="6" t="s">
        <v>45</v>
      </c>
      <c r="E60" s="5" t="n">
        <v>5</v>
      </c>
      <c r="F60" s="5" t="s">
        <v>905</v>
      </c>
      <c r="G60" s="11" t="s">
        <v>906</v>
      </c>
      <c r="H60" s="5" t="s">
        <v>907</v>
      </c>
      <c r="I60" s="11" t="s">
        <v>908</v>
      </c>
      <c r="J60" s="5" t="s">
        <v>909</v>
      </c>
      <c r="K60" s="5" t="s">
        <v>910</v>
      </c>
      <c r="L60" s="11" t="s">
        <v>911</v>
      </c>
      <c r="M60" s="11" t="s">
        <v>912</v>
      </c>
      <c r="N60" s="5" t="n">
        <f aca="false">LEN(L60)</f>
        <v>25</v>
      </c>
      <c r="O60" s="5" t="n">
        <f aca="false">LEN(M60)</f>
        <v>25</v>
      </c>
      <c r="P60" s="12" t="n">
        <f aca="false">IF(N60=0,"",(N60-LEN(SUBSTITUTE(SUBSTITUTE(L60,"G",""),"C","")))/N60)</f>
        <v>0.52</v>
      </c>
      <c r="Q60" s="12" t="n">
        <f aca="false">IF(O60=0,"",(O60-LEN(SUBSTITUTE(SUBSTITUTE(M60,"G",""),"C","")))/O60)</f>
        <v>0.32</v>
      </c>
      <c r="R60" s="5"/>
      <c r="S60" s="5" t="s">
        <v>382</v>
      </c>
      <c r="T60" s="5"/>
      <c r="U60" s="5" t="s">
        <v>383</v>
      </c>
      <c r="V60" s="5" t="s">
        <v>876</v>
      </c>
      <c r="W60" s="5"/>
      <c r="X60" s="13" t="s">
        <v>385</v>
      </c>
      <c r="Y60" s="5"/>
    </row>
    <row r="61" customFormat="false" ht="15" hidden="false" customHeight="false" outlineLevel="0" collapsed="false">
      <c r="A61" s="5" t="s">
        <v>913</v>
      </c>
      <c r="B61" s="5" t="s">
        <v>88</v>
      </c>
      <c r="C61" s="5" t="s">
        <v>89</v>
      </c>
      <c r="D61" s="6" t="s">
        <v>45</v>
      </c>
      <c r="E61" s="5" t="n">
        <v>6</v>
      </c>
      <c r="F61" s="5" t="s">
        <v>914</v>
      </c>
      <c r="G61" s="11" t="s">
        <v>915</v>
      </c>
      <c r="H61" s="5" t="s">
        <v>916</v>
      </c>
      <c r="I61" s="11" t="s">
        <v>917</v>
      </c>
      <c r="J61" s="5" t="s">
        <v>918</v>
      </c>
      <c r="K61" s="5" t="s">
        <v>919</v>
      </c>
      <c r="L61" s="11" t="s">
        <v>920</v>
      </c>
      <c r="M61" s="11" t="s">
        <v>921</v>
      </c>
      <c r="N61" s="5" t="n">
        <f aca="false">LEN(L61)</f>
        <v>25</v>
      </c>
      <c r="O61" s="5" t="n">
        <f aca="false">LEN(M61)</f>
        <v>25</v>
      </c>
      <c r="P61" s="12" t="n">
        <f aca="false">IF(N61=0,"",(N61-LEN(SUBSTITUTE(SUBSTITUTE(L61,"G",""),"C","")))/N61)</f>
        <v>0.52</v>
      </c>
      <c r="Q61" s="12" t="n">
        <f aca="false">IF(O61=0,"",(O61-LEN(SUBSTITUTE(SUBSTITUTE(M61,"G",""),"C","")))/O61)</f>
        <v>0.64</v>
      </c>
      <c r="R61" s="5"/>
      <c r="S61" s="5" t="s">
        <v>382</v>
      </c>
      <c r="T61" s="5"/>
      <c r="U61" s="5" t="s">
        <v>383</v>
      </c>
      <c r="V61" s="5" t="s">
        <v>876</v>
      </c>
      <c r="W61" s="5"/>
      <c r="X61" s="13" t="s">
        <v>385</v>
      </c>
      <c r="Y61" s="5"/>
    </row>
    <row r="62" customFormat="false" ht="15" hidden="false" customHeight="false" outlineLevel="0" collapsed="false">
      <c r="A62" s="5" t="s">
        <v>922</v>
      </c>
      <c r="B62" s="5" t="s">
        <v>95</v>
      </c>
      <c r="C62" s="5" t="s">
        <v>96</v>
      </c>
      <c r="D62" s="6" t="s">
        <v>45</v>
      </c>
      <c r="E62" s="5" t="n">
        <v>1</v>
      </c>
      <c r="F62" s="5" t="s">
        <v>923</v>
      </c>
      <c r="G62" s="11" t="s">
        <v>924</v>
      </c>
      <c r="H62" s="5" t="s">
        <v>925</v>
      </c>
      <c r="I62" s="11" t="s">
        <v>926</v>
      </c>
      <c r="J62" s="5" t="s">
        <v>927</v>
      </c>
      <c r="K62" s="5" t="s">
        <v>928</v>
      </c>
      <c r="L62" s="11" t="s">
        <v>929</v>
      </c>
      <c r="M62" s="11" t="s">
        <v>930</v>
      </c>
      <c r="N62" s="5" t="n">
        <f aca="false">LEN(L62)</f>
        <v>25</v>
      </c>
      <c r="O62" s="5" t="n">
        <f aca="false">LEN(M62)</f>
        <v>25</v>
      </c>
      <c r="P62" s="12" t="n">
        <f aca="false">IF(N62=0,"",(N62-LEN(SUBSTITUTE(SUBSTITUTE(L62,"G",""),"C","")))/N62)</f>
        <v>0.32</v>
      </c>
      <c r="Q62" s="12" t="n">
        <f aca="false">IF(O62=0,"",(O62-LEN(SUBSTITUTE(SUBSTITUTE(M62,"G",""),"C","")))/O62)</f>
        <v>0.28</v>
      </c>
      <c r="R62" s="5"/>
      <c r="S62" s="5" t="s">
        <v>382</v>
      </c>
      <c r="T62" s="5"/>
      <c r="U62" s="5" t="s">
        <v>383</v>
      </c>
      <c r="V62" s="5" t="s">
        <v>931</v>
      </c>
      <c r="W62" s="5"/>
      <c r="X62" s="13" t="s">
        <v>385</v>
      </c>
      <c r="Y62" s="5"/>
    </row>
    <row r="63" customFormat="false" ht="15" hidden="false" customHeight="false" outlineLevel="0" collapsed="false">
      <c r="A63" s="5" t="s">
        <v>932</v>
      </c>
      <c r="B63" s="5" t="s">
        <v>95</v>
      </c>
      <c r="C63" s="5" t="s">
        <v>96</v>
      </c>
      <c r="D63" s="6" t="s">
        <v>45</v>
      </c>
      <c r="E63" s="5" t="n">
        <v>2</v>
      </c>
      <c r="F63" s="5" t="s">
        <v>933</v>
      </c>
      <c r="G63" s="11" t="s">
        <v>934</v>
      </c>
      <c r="H63" s="5" t="s">
        <v>935</v>
      </c>
      <c r="I63" s="11" t="s">
        <v>936</v>
      </c>
      <c r="J63" s="5" t="s">
        <v>937</v>
      </c>
      <c r="K63" s="5" t="s">
        <v>938</v>
      </c>
      <c r="L63" s="11" t="s">
        <v>939</v>
      </c>
      <c r="M63" s="11" t="s">
        <v>940</v>
      </c>
      <c r="N63" s="5" t="n">
        <f aca="false">LEN(L63)</f>
        <v>25</v>
      </c>
      <c r="O63" s="5" t="n">
        <f aca="false">LEN(M63)</f>
        <v>25</v>
      </c>
      <c r="P63" s="12" t="n">
        <f aca="false">IF(N63=0,"",(N63-LEN(SUBSTITUTE(SUBSTITUTE(L63,"G",""),"C","")))/N63)</f>
        <v>0.4</v>
      </c>
      <c r="Q63" s="12" t="n">
        <f aca="false">IF(O63=0,"",(O63-LEN(SUBSTITUTE(SUBSTITUTE(M63,"G",""),"C","")))/O63)</f>
        <v>0.32</v>
      </c>
      <c r="R63" s="5"/>
      <c r="S63" s="5" t="s">
        <v>382</v>
      </c>
      <c r="T63" s="5"/>
      <c r="U63" s="5" t="s">
        <v>383</v>
      </c>
      <c r="V63" s="5" t="s">
        <v>931</v>
      </c>
      <c r="W63" s="5"/>
      <c r="X63" s="13" t="s">
        <v>385</v>
      </c>
      <c r="Y63" s="5"/>
    </row>
    <row r="64" customFormat="false" ht="15" hidden="false" customHeight="false" outlineLevel="0" collapsed="false">
      <c r="A64" s="5" t="s">
        <v>941</v>
      </c>
      <c r="B64" s="5" t="s">
        <v>95</v>
      </c>
      <c r="C64" s="5" t="s">
        <v>96</v>
      </c>
      <c r="D64" s="6" t="s">
        <v>45</v>
      </c>
      <c r="E64" s="5" t="n">
        <v>3</v>
      </c>
      <c r="F64" s="5" t="s">
        <v>942</v>
      </c>
      <c r="G64" s="11" t="s">
        <v>943</v>
      </c>
      <c r="H64" s="5" t="s">
        <v>944</v>
      </c>
      <c r="I64" s="11" t="s">
        <v>945</v>
      </c>
      <c r="J64" s="5" t="s">
        <v>946</v>
      </c>
      <c r="K64" s="5" t="s">
        <v>947</v>
      </c>
      <c r="L64" s="11" t="s">
        <v>948</v>
      </c>
      <c r="M64" s="11" t="s">
        <v>949</v>
      </c>
      <c r="N64" s="5" t="n">
        <f aca="false">LEN(L64)</f>
        <v>25</v>
      </c>
      <c r="O64" s="5" t="n">
        <f aca="false">LEN(M64)</f>
        <v>25</v>
      </c>
      <c r="P64" s="12" t="n">
        <f aca="false">IF(N64=0,"",(N64-LEN(SUBSTITUTE(SUBSTITUTE(L64,"G",""),"C","")))/N64)</f>
        <v>0.52</v>
      </c>
      <c r="Q64" s="12" t="n">
        <f aca="false">IF(O64=0,"",(O64-LEN(SUBSTITUTE(SUBSTITUTE(M64,"G",""),"C","")))/O64)</f>
        <v>0.4</v>
      </c>
      <c r="R64" s="5"/>
      <c r="S64" s="5" t="s">
        <v>382</v>
      </c>
      <c r="T64" s="5"/>
      <c r="U64" s="5" t="s">
        <v>383</v>
      </c>
      <c r="V64" s="5" t="s">
        <v>931</v>
      </c>
      <c r="W64" s="5"/>
      <c r="X64" s="13" t="s">
        <v>385</v>
      </c>
      <c r="Y64" s="5"/>
    </row>
    <row r="65" customFormat="false" ht="15" hidden="false" customHeight="false" outlineLevel="0" collapsed="false">
      <c r="A65" s="5" t="s">
        <v>950</v>
      </c>
      <c r="B65" s="5" t="s">
        <v>95</v>
      </c>
      <c r="C65" s="5" t="s">
        <v>96</v>
      </c>
      <c r="D65" s="6" t="s">
        <v>45</v>
      </c>
      <c r="E65" s="5" t="n">
        <v>4</v>
      </c>
      <c r="F65" s="5" t="s">
        <v>951</v>
      </c>
      <c r="G65" s="11" t="s">
        <v>952</v>
      </c>
      <c r="H65" s="5" t="s">
        <v>953</v>
      </c>
      <c r="I65" s="11" t="s">
        <v>954</v>
      </c>
      <c r="J65" s="5" t="s">
        <v>955</v>
      </c>
      <c r="K65" s="5" t="s">
        <v>956</v>
      </c>
      <c r="L65" s="11" t="s">
        <v>957</v>
      </c>
      <c r="M65" s="11" t="s">
        <v>958</v>
      </c>
      <c r="N65" s="5" t="n">
        <f aca="false">LEN(L65)</f>
        <v>25</v>
      </c>
      <c r="O65" s="5" t="n">
        <f aca="false">LEN(M65)</f>
        <v>25</v>
      </c>
      <c r="P65" s="12" t="n">
        <f aca="false">IF(N65=0,"",(N65-LEN(SUBSTITUTE(SUBSTITUTE(L65,"G",""),"C","")))/N65)</f>
        <v>0.56</v>
      </c>
      <c r="Q65" s="12" t="n">
        <f aca="false">IF(O65=0,"",(O65-LEN(SUBSTITUTE(SUBSTITUTE(M65,"G",""),"C","")))/O65)</f>
        <v>0.44</v>
      </c>
      <c r="R65" s="5"/>
      <c r="S65" s="5" t="s">
        <v>382</v>
      </c>
      <c r="T65" s="5"/>
      <c r="U65" s="5" t="s">
        <v>383</v>
      </c>
      <c r="V65" s="5" t="s">
        <v>931</v>
      </c>
      <c r="W65" s="5"/>
      <c r="X65" s="13" t="s">
        <v>385</v>
      </c>
      <c r="Y65" s="5"/>
    </row>
    <row r="66" customFormat="false" ht="15" hidden="false" customHeight="false" outlineLevel="0" collapsed="false">
      <c r="A66" s="5" t="s">
        <v>959</v>
      </c>
      <c r="B66" s="5" t="s">
        <v>95</v>
      </c>
      <c r="C66" s="5" t="s">
        <v>96</v>
      </c>
      <c r="D66" s="6" t="s">
        <v>45</v>
      </c>
      <c r="E66" s="5" t="n">
        <v>5</v>
      </c>
      <c r="F66" s="5" t="s">
        <v>960</v>
      </c>
      <c r="G66" s="11" t="s">
        <v>961</v>
      </c>
      <c r="H66" s="5" t="s">
        <v>962</v>
      </c>
      <c r="I66" s="11" t="s">
        <v>963</v>
      </c>
      <c r="J66" s="5" t="s">
        <v>964</v>
      </c>
      <c r="K66" s="5" t="s">
        <v>965</v>
      </c>
      <c r="L66" s="11" t="s">
        <v>966</v>
      </c>
      <c r="M66" s="11" t="s">
        <v>967</v>
      </c>
      <c r="N66" s="5" t="n">
        <f aca="false">LEN(L66)</f>
        <v>25</v>
      </c>
      <c r="O66" s="5" t="n">
        <f aca="false">LEN(M66)</f>
        <v>25</v>
      </c>
      <c r="P66" s="12" t="n">
        <f aca="false">IF(N66=0,"",(N66-LEN(SUBSTITUTE(SUBSTITUTE(L66,"G",""),"C","")))/N66)</f>
        <v>0.4</v>
      </c>
      <c r="Q66" s="12" t="n">
        <f aca="false">IF(O66=0,"",(O66-LEN(SUBSTITUTE(SUBSTITUTE(M66,"G",""),"C","")))/O66)</f>
        <v>0.48</v>
      </c>
      <c r="R66" s="5"/>
      <c r="S66" s="5" t="s">
        <v>382</v>
      </c>
      <c r="T66" s="5"/>
      <c r="U66" s="5" t="s">
        <v>383</v>
      </c>
      <c r="V66" s="5" t="s">
        <v>931</v>
      </c>
      <c r="W66" s="5"/>
      <c r="X66" s="13" t="s">
        <v>385</v>
      </c>
      <c r="Y66" s="5"/>
    </row>
    <row r="67" customFormat="false" ht="15" hidden="false" customHeight="false" outlineLevel="0" collapsed="false">
      <c r="A67" s="5" t="s">
        <v>968</v>
      </c>
      <c r="B67" s="5" t="s">
        <v>95</v>
      </c>
      <c r="C67" s="5" t="s">
        <v>96</v>
      </c>
      <c r="D67" s="6" t="s">
        <v>45</v>
      </c>
      <c r="E67" s="5" t="n">
        <v>6</v>
      </c>
      <c r="F67" s="5" t="s">
        <v>969</v>
      </c>
      <c r="G67" s="11" t="s">
        <v>970</v>
      </c>
      <c r="H67" s="5" t="s">
        <v>971</v>
      </c>
      <c r="I67" s="11" t="s">
        <v>972</v>
      </c>
      <c r="J67" s="5" t="s">
        <v>973</v>
      </c>
      <c r="K67" s="5" t="s">
        <v>974</v>
      </c>
      <c r="L67" s="11" t="s">
        <v>975</v>
      </c>
      <c r="M67" s="11" t="s">
        <v>976</v>
      </c>
      <c r="N67" s="5" t="n">
        <f aca="false">LEN(L67)</f>
        <v>25</v>
      </c>
      <c r="O67" s="5" t="n">
        <f aca="false">LEN(M67)</f>
        <v>25</v>
      </c>
      <c r="P67" s="12" t="n">
        <f aca="false">IF(N67=0,"",(N67-LEN(SUBSTITUTE(SUBSTITUTE(L67,"G",""),"C","")))/N67)</f>
        <v>0.36</v>
      </c>
      <c r="Q67" s="12" t="n">
        <f aca="false">IF(O67=0,"",(O67-LEN(SUBSTITUTE(SUBSTITUTE(M67,"G",""),"C","")))/O67)</f>
        <v>0.44</v>
      </c>
      <c r="R67" s="5"/>
      <c r="S67" s="5" t="s">
        <v>382</v>
      </c>
      <c r="T67" s="5"/>
      <c r="U67" s="5" t="s">
        <v>383</v>
      </c>
      <c r="V67" s="5" t="s">
        <v>931</v>
      </c>
      <c r="W67" s="5"/>
      <c r="X67" s="13" t="s">
        <v>385</v>
      </c>
      <c r="Y67" s="5"/>
    </row>
    <row r="68" customFormat="false" ht="15" hidden="false" customHeight="false" outlineLevel="0" collapsed="false">
      <c r="A68" s="5" t="s">
        <v>977</v>
      </c>
      <c r="B68" s="5" t="s">
        <v>95</v>
      </c>
      <c r="C68" s="5" t="s">
        <v>96</v>
      </c>
      <c r="D68" s="6" t="s">
        <v>45</v>
      </c>
      <c r="E68" s="5" t="n">
        <v>7</v>
      </c>
      <c r="F68" s="5" t="s">
        <v>978</v>
      </c>
      <c r="G68" s="11" t="s">
        <v>979</v>
      </c>
      <c r="H68" s="5" t="s">
        <v>980</v>
      </c>
      <c r="I68" s="11" t="s">
        <v>981</v>
      </c>
      <c r="J68" s="5" t="s">
        <v>982</v>
      </c>
      <c r="K68" s="5" t="s">
        <v>983</v>
      </c>
      <c r="L68" s="11" t="s">
        <v>984</v>
      </c>
      <c r="M68" s="11" t="s">
        <v>985</v>
      </c>
      <c r="N68" s="5" t="n">
        <f aca="false">LEN(L68)</f>
        <v>25</v>
      </c>
      <c r="O68" s="5" t="n">
        <f aca="false">LEN(M68)</f>
        <v>25</v>
      </c>
      <c r="P68" s="12" t="n">
        <f aca="false">IF(N68=0,"",(N68-LEN(SUBSTITUTE(SUBSTITUTE(L68,"G",""),"C","")))/N68)</f>
        <v>0.4</v>
      </c>
      <c r="Q68" s="12" t="n">
        <f aca="false">IF(O68=0,"",(O68-LEN(SUBSTITUTE(SUBSTITUTE(M68,"G",""),"C","")))/O68)</f>
        <v>0.64</v>
      </c>
      <c r="R68" s="5"/>
      <c r="S68" s="5" t="s">
        <v>382</v>
      </c>
      <c r="T68" s="5"/>
      <c r="U68" s="5" t="s">
        <v>383</v>
      </c>
      <c r="V68" s="5" t="s">
        <v>931</v>
      </c>
      <c r="W68" s="5"/>
      <c r="X68" s="13" t="s">
        <v>385</v>
      </c>
      <c r="Y68" s="5"/>
    </row>
    <row r="69" customFormat="false" ht="15" hidden="false" customHeight="false" outlineLevel="0" collapsed="false">
      <c r="A69" s="5" t="s">
        <v>986</v>
      </c>
      <c r="B69" s="5" t="s">
        <v>95</v>
      </c>
      <c r="C69" s="5" t="s">
        <v>96</v>
      </c>
      <c r="D69" s="6" t="s">
        <v>45</v>
      </c>
      <c r="E69" s="5" t="n">
        <v>8</v>
      </c>
      <c r="F69" s="5" t="s">
        <v>987</v>
      </c>
      <c r="G69" s="11" t="s">
        <v>988</v>
      </c>
      <c r="H69" s="5" t="s">
        <v>989</v>
      </c>
      <c r="I69" s="11" t="s">
        <v>990</v>
      </c>
      <c r="J69" s="5" t="s">
        <v>991</v>
      </c>
      <c r="K69" s="5" t="s">
        <v>992</v>
      </c>
      <c r="L69" s="11" t="s">
        <v>993</v>
      </c>
      <c r="M69" s="11" t="s">
        <v>994</v>
      </c>
      <c r="N69" s="5" t="n">
        <f aca="false">LEN(L69)</f>
        <v>25</v>
      </c>
      <c r="O69" s="5" t="n">
        <f aca="false">LEN(M69)</f>
        <v>25</v>
      </c>
      <c r="P69" s="12" t="n">
        <f aca="false">IF(N69=0,"",(N69-LEN(SUBSTITUTE(SUBSTITUTE(L69,"G",""),"C","")))/N69)</f>
        <v>0.28</v>
      </c>
      <c r="Q69" s="12" t="n">
        <f aca="false">IF(O69=0,"",(O69-LEN(SUBSTITUTE(SUBSTITUTE(M69,"G",""),"C","")))/O69)</f>
        <v>0.44</v>
      </c>
      <c r="R69" s="5"/>
      <c r="S69" s="5" t="s">
        <v>382</v>
      </c>
      <c r="T69" s="5"/>
      <c r="U69" s="5" t="s">
        <v>383</v>
      </c>
      <c r="V69" s="5" t="s">
        <v>931</v>
      </c>
      <c r="W69" s="5"/>
      <c r="X69" s="13" t="s">
        <v>385</v>
      </c>
      <c r="Y69" s="5"/>
    </row>
    <row r="70" customFormat="false" ht="15" hidden="false" customHeight="false" outlineLevel="0" collapsed="false">
      <c r="A70" s="5" t="s">
        <v>995</v>
      </c>
      <c r="B70" s="5" t="s">
        <v>95</v>
      </c>
      <c r="C70" s="5" t="s">
        <v>96</v>
      </c>
      <c r="D70" s="6" t="s">
        <v>45</v>
      </c>
      <c r="E70" s="5" t="n">
        <v>9</v>
      </c>
      <c r="F70" s="5" t="s">
        <v>996</v>
      </c>
      <c r="G70" s="11" t="s">
        <v>997</v>
      </c>
      <c r="H70" s="5" t="s">
        <v>998</v>
      </c>
      <c r="I70" s="11" t="s">
        <v>999</v>
      </c>
      <c r="J70" s="5" t="s">
        <v>1000</v>
      </c>
      <c r="K70" s="5" t="s">
        <v>1001</v>
      </c>
      <c r="L70" s="11" t="s">
        <v>1002</v>
      </c>
      <c r="M70" s="11" t="s">
        <v>1003</v>
      </c>
      <c r="N70" s="5" t="n">
        <f aca="false">LEN(L70)</f>
        <v>25</v>
      </c>
      <c r="O70" s="5" t="n">
        <f aca="false">LEN(M70)</f>
        <v>25</v>
      </c>
      <c r="P70" s="12" t="n">
        <f aca="false">IF(N70=0,"",(N70-LEN(SUBSTITUTE(SUBSTITUTE(L70,"G",""),"C","")))/N70)</f>
        <v>0.4</v>
      </c>
      <c r="Q70" s="12" t="n">
        <f aca="false">IF(O70=0,"",(O70-LEN(SUBSTITUTE(SUBSTITUTE(M70,"G",""),"C","")))/O70)</f>
        <v>0.28</v>
      </c>
      <c r="R70" s="5"/>
      <c r="S70" s="5" t="s">
        <v>382</v>
      </c>
      <c r="T70" s="5"/>
      <c r="U70" s="5" t="s">
        <v>383</v>
      </c>
      <c r="V70" s="5" t="s">
        <v>931</v>
      </c>
      <c r="W70" s="5"/>
      <c r="X70" s="13" t="s">
        <v>385</v>
      </c>
      <c r="Y70" s="5"/>
    </row>
    <row r="71" customFormat="false" ht="15" hidden="false" customHeight="false" outlineLevel="0" collapsed="false">
      <c r="A71" s="5" t="s">
        <v>1004</v>
      </c>
      <c r="B71" s="5" t="s">
        <v>95</v>
      </c>
      <c r="C71" s="5" t="s">
        <v>96</v>
      </c>
      <c r="D71" s="6" t="s">
        <v>45</v>
      </c>
      <c r="E71" s="5" t="n">
        <v>10</v>
      </c>
      <c r="F71" s="5" t="s">
        <v>1005</v>
      </c>
      <c r="G71" s="11" t="s">
        <v>1006</v>
      </c>
      <c r="H71" s="5" t="s">
        <v>1007</v>
      </c>
      <c r="I71" s="11" t="s">
        <v>1008</v>
      </c>
      <c r="J71" s="5" t="s">
        <v>1009</v>
      </c>
      <c r="K71" s="5" t="s">
        <v>1010</v>
      </c>
      <c r="L71" s="11" t="s">
        <v>1011</v>
      </c>
      <c r="M71" s="11" t="s">
        <v>1012</v>
      </c>
      <c r="N71" s="5" t="n">
        <f aca="false">LEN(L71)</f>
        <v>25</v>
      </c>
      <c r="O71" s="5" t="n">
        <f aca="false">LEN(M71)</f>
        <v>25</v>
      </c>
      <c r="P71" s="12" t="n">
        <f aca="false">IF(N71=0,"",(N71-LEN(SUBSTITUTE(SUBSTITUTE(L71,"G",""),"C","")))/N71)</f>
        <v>0.32</v>
      </c>
      <c r="Q71" s="12" t="n">
        <f aca="false">IF(O71=0,"",(O71-LEN(SUBSTITUTE(SUBSTITUTE(M71,"G",""),"C","")))/O71)</f>
        <v>0.4</v>
      </c>
      <c r="R71" s="5"/>
      <c r="S71" s="5" t="s">
        <v>382</v>
      </c>
      <c r="T71" s="5"/>
      <c r="U71" s="5" t="s">
        <v>383</v>
      </c>
      <c r="V71" s="5" t="s">
        <v>931</v>
      </c>
      <c r="W71" s="5"/>
      <c r="X71" s="13" t="s">
        <v>385</v>
      </c>
      <c r="Y71" s="5"/>
    </row>
    <row r="72" customFormat="false" ht="15" hidden="false" customHeight="false" outlineLevel="0" collapsed="false">
      <c r="A72" s="5" t="s">
        <v>1013</v>
      </c>
      <c r="B72" s="5" t="s">
        <v>102</v>
      </c>
      <c r="C72" s="5" t="s">
        <v>103</v>
      </c>
      <c r="D72" s="6" t="s">
        <v>45</v>
      </c>
      <c r="E72" s="5" t="n">
        <v>1</v>
      </c>
      <c r="F72" s="5" t="s">
        <v>1014</v>
      </c>
      <c r="G72" s="11" t="s">
        <v>1015</v>
      </c>
      <c r="H72" s="5" t="s">
        <v>1016</v>
      </c>
      <c r="I72" s="11" t="s">
        <v>1017</v>
      </c>
      <c r="J72" s="5" t="s">
        <v>1018</v>
      </c>
      <c r="K72" s="5" t="s">
        <v>1019</v>
      </c>
      <c r="L72" s="11" t="s">
        <v>1020</v>
      </c>
      <c r="M72" s="11" t="s">
        <v>1021</v>
      </c>
      <c r="N72" s="5" t="n">
        <f aca="false">LEN(L72)</f>
        <v>25</v>
      </c>
      <c r="O72" s="5" t="n">
        <f aca="false">LEN(M72)</f>
        <v>25</v>
      </c>
      <c r="P72" s="12" t="n">
        <f aca="false">IF(N72=0,"",(N72-LEN(SUBSTITUTE(SUBSTITUTE(L72,"G",""),"C","")))/N72)</f>
        <v>0.48</v>
      </c>
      <c r="Q72" s="12" t="n">
        <f aca="false">IF(O72=0,"",(O72-LEN(SUBSTITUTE(SUBSTITUTE(M72,"G",""),"C","")))/O72)</f>
        <v>0.48</v>
      </c>
      <c r="R72" s="5"/>
      <c r="S72" s="5" t="s">
        <v>382</v>
      </c>
      <c r="T72" s="5"/>
      <c r="U72" s="5" t="s">
        <v>383</v>
      </c>
      <c r="V72" s="5" t="s">
        <v>1022</v>
      </c>
      <c r="W72" s="5"/>
      <c r="X72" s="13" t="s">
        <v>385</v>
      </c>
      <c r="Y72" s="5"/>
    </row>
    <row r="73" customFormat="false" ht="15" hidden="false" customHeight="false" outlineLevel="0" collapsed="false">
      <c r="A73" s="5" t="s">
        <v>1023</v>
      </c>
      <c r="B73" s="5" t="s">
        <v>102</v>
      </c>
      <c r="C73" s="5" t="s">
        <v>103</v>
      </c>
      <c r="D73" s="6" t="s">
        <v>45</v>
      </c>
      <c r="E73" s="5" t="n">
        <v>2</v>
      </c>
      <c r="F73" s="5" t="s">
        <v>1024</v>
      </c>
      <c r="G73" s="11" t="s">
        <v>1025</v>
      </c>
      <c r="H73" s="5" t="s">
        <v>1026</v>
      </c>
      <c r="I73" s="11" t="s">
        <v>1027</v>
      </c>
      <c r="J73" s="5" t="s">
        <v>1028</v>
      </c>
      <c r="K73" s="5" t="s">
        <v>1029</v>
      </c>
      <c r="L73" s="11" t="s">
        <v>1030</v>
      </c>
      <c r="M73" s="11" t="s">
        <v>1031</v>
      </c>
      <c r="N73" s="5" t="n">
        <f aca="false">LEN(L73)</f>
        <v>25</v>
      </c>
      <c r="O73" s="5" t="n">
        <f aca="false">LEN(M73)</f>
        <v>25</v>
      </c>
      <c r="P73" s="12" t="n">
        <f aca="false">IF(N73=0,"",(N73-LEN(SUBSTITUTE(SUBSTITUTE(L73,"G",""),"C","")))/N73)</f>
        <v>0.56</v>
      </c>
      <c r="Q73" s="12" t="n">
        <f aca="false">IF(O73=0,"",(O73-LEN(SUBSTITUTE(SUBSTITUTE(M73,"G",""),"C","")))/O73)</f>
        <v>0.48</v>
      </c>
      <c r="R73" s="5"/>
      <c r="S73" s="5" t="s">
        <v>382</v>
      </c>
      <c r="T73" s="5"/>
      <c r="U73" s="5" t="s">
        <v>383</v>
      </c>
      <c r="V73" s="5" t="s">
        <v>1022</v>
      </c>
      <c r="W73" s="5"/>
      <c r="X73" s="13" t="s">
        <v>385</v>
      </c>
      <c r="Y73" s="5"/>
    </row>
    <row r="74" customFormat="false" ht="15" hidden="false" customHeight="false" outlineLevel="0" collapsed="false">
      <c r="A74" s="5" t="s">
        <v>1032</v>
      </c>
      <c r="B74" s="5" t="s">
        <v>102</v>
      </c>
      <c r="C74" s="5" t="s">
        <v>103</v>
      </c>
      <c r="D74" s="6" t="s">
        <v>45</v>
      </c>
      <c r="E74" s="5" t="n">
        <v>3</v>
      </c>
      <c r="F74" s="5" t="s">
        <v>1033</v>
      </c>
      <c r="G74" s="11" t="s">
        <v>1034</v>
      </c>
      <c r="H74" s="5" t="s">
        <v>1035</v>
      </c>
      <c r="I74" s="11" t="s">
        <v>1036</v>
      </c>
      <c r="J74" s="5" t="s">
        <v>1037</v>
      </c>
      <c r="K74" s="5" t="s">
        <v>1038</v>
      </c>
      <c r="L74" s="11" t="s">
        <v>1039</v>
      </c>
      <c r="M74" s="11" t="s">
        <v>1040</v>
      </c>
      <c r="N74" s="5" t="n">
        <f aca="false">LEN(L74)</f>
        <v>25</v>
      </c>
      <c r="O74" s="5" t="n">
        <f aca="false">LEN(M74)</f>
        <v>25</v>
      </c>
      <c r="P74" s="12" t="n">
        <f aca="false">IF(N74=0,"",(N74-LEN(SUBSTITUTE(SUBSTITUTE(L74,"G",""),"C","")))/N74)</f>
        <v>0.52</v>
      </c>
      <c r="Q74" s="12" t="n">
        <f aca="false">IF(O74=0,"",(O74-LEN(SUBSTITUTE(SUBSTITUTE(M74,"G",""),"C","")))/O74)</f>
        <v>0.6</v>
      </c>
      <c r="R74" s="5"/>
      <c r="S74" s="5" t="s">
        <v>382</v>
      </c>
      <c r="T74" s="5"/>
      <c r="U74" s="5" t="s">
        <v>383</v>
      </c>
      <c r="V74" s="5" t="s">
        <v>1022</v>
      </c>
      <c r="W74" s="5"/>
      <c r="X74" s="13" t="s">
        <v>385</v>
      </c>
      <c r="Y74" s="5"/>
    </row>
    <row r="75" customFormat="false" ht="15" hidden="false" customHeight="false" outlineLevel="0" collapsed="false">
      <c r="A75" s="5" t="s">
        <v>1041</v>
      </c>
      <c r="B75" s="5" t="s">
        <v>102</v>
      </c>
      <c r="C75" s="5" t="s">
        <v>103</v>
      </c>
      <c r="D75" s="6" t="s">
        <v>45</v>
      </c>
      <c r="E75" s="5" t="n">
        <v>4</v>
      </c>
      <c r="F75" s="5" t="s">
        <v>1042</v>
      </c>
      <c r="G75" s="11" t="s">
        <v>1043</v>
      </c>
      <c r="H75" s="5" t="s">
        <v>1044</v>
      </c>
      <c r="I75" s="11" t="s">
        <v>1045</v>
      </c>
      <c r="J75" s="5" t="s">
        <v>1046</v>
      </c>
      <c r="K75" s="5" t="s">
        <v>1047</v>
      </c>
      <c r="L75" s="11" t="s">
        <v>1048</v>
      </c>
      <c r="M75" s="11" t="s">
        <v>1049</v>
      </c>
      <c r="N75" s="5" t="n">
        <f aca="false">LEN(L75)</f>
        <v>25</v>
      </c>
      <c r="O75" s="5" t="n">
        <f aca="false">LEN(M75)</f>
        <v>25</v>
      </c>
      <c r="P75" s="12" t="n">
        <f aca="false">IF(N75=0,"",(N75-LEN(SUBSTITUTE(SUBSTITUTE(L75,"G",""),"C","")))/N75)</f>
        <v>0.64</v>
      </c>
      <c r="Q75" s="12" t="n">
        <f aca="false">IF(O75=0,"",(O75-LEN(SUBSTITUTE(SUBSTITUTE(M75,"G",""),"C","")))/O75)</f>
        <v>0.76</v>
      </c>
      <c r="R75" s="5"/>
      <c r="S75" s="5" t="s">
        <v>382</v>
      </c>
      <c r="T75" s="5"/>
      <c r="U75" s="5" t="s">
        <v>383</v>
      </c>
      <c r="V75" s="5" t="s">
        <v>1022</v>
      </c>
      <c r="W75" s="5"/>
      <c r="X75" s="13" t="s">
        <v>385</v>
      </c>
      <c r="Y75" s="5"/>
    </row>
    <row r="76" customFormat="false" ht="15" hidden="false" customHeight="false" outlineLevel="0" collapsed="false">
      <c r="A76" s="5" t="s">
        <v>1050</v>
      </c>
      <c r="B76" s="5" t="s">
        <v>102</v>
      </c>
      <c r="C76" s="5" t="s">
        <v>103</v>
      </c>
      <c r="D76" s="6" t="s">
        <v>45</v>
      </c>
      <c r="E76" s="5" t="n">
        <v>5</v>
      </c>
      <c r="F76" s="5" t="s">
        <v>1051</v>
      </c>
      <c r="G76" s="11" t="s">
        <v>1052</v>
      </c>
      <c r="H76" s="5" t="s">
        <v>1053</v>
      </c>
      <c r="I76" s="11" t="s">
        <v>1054</v>
      </c>
      <c r="J76" s="5" t="s">
        <v>1055</v>
      </c>
      <c r="K76" s="5" t="s">
        <v>1056</v>
      </c>
      <c r="L76" s="11" t="s">
        <v>1057</v>
      </c>
      <c r="M76" s="11" t="s">
        <v>1058</v>
      </c>
      <c r="N76" s="5" t="n">
        <f aca="false">LEN(L76)</f>
        <v>25</v>
      </c>
      <c r="O76" s="5" t="n">
        <f aca="false">LEN(M76)</f>
        <v>25</v>
      </c>
      <c r="P76" s="12" t="n">
        <f aca="false">IF(N76=0,"",(N76-LEN(SUBSTITUTE(SUBSTITUTE(L76,"G",""),"C","")))/N76)</f>
        <v>0.64</v>
      </c>
      <c r="Q76" s="12" t="n">
        <f aca="false">IF(O76=0,"",(O76-LEN(SUBSTITUTE(SUBSTITUTE(M76,"G",""),"C","")))/O76)</f>
        <v>0.6</v>
      </c>
      <c r="R76" s="5"/>
      <c r="S76" s="5" t="s">
        <v>382</v>
      </c>
      <c r="T76" s="5"/>
      <c r="U76" s="5" t="s">
        <v>383</v>
      </c>
      <c r="V76" s="5" t="s">
        <v>1022</v>
      </c>
      <c r="W76" s="5"/>
      <c r="X76" s="13" t="s">
        <v>385</v>
      </c>
      <c r="Y76" s="5"/>
    </row>
    <row r="77" customFormat="false" ht="15" hidden="false" customHeight="false" outlineLevel="0" collapsed="false">
      <c r="A77" s="5" t="s">
        <v>1059</v>
      </c>
      <c r="B77" s="5" t="s">
        <v>102</v>
      </c>
      <c r="C77" s="5" t="s">
        <v>103</v>
      </c>
      <c r="D77" s="6" t="s">
        <v>45</v>
      </c>
      <c r="E77" s="5" t="n">
        <v>6</v>
      </c>
      <c r="F77" s="5" t="s">
        <v>1060</v>
      </c>
      <c r="G77" s="11" t="s">
        <v>1061</v>
      </c>
      <c r="H77" s="5" t="s">
        <v>1062</v>
      </c>
      <c r="I77" s="11" t="s">
        <v>1063</v>
      </c>
      <c r="J77" s="5" t="s">
        <v>1064</v>
      </c>
      <c r="K77" s="5" t="s">
        <v>1065</v>
      </c>
      <c r="L77" s="11" t="s">
        <v>1066</v>
      </c>
      <c r="M77" s="11" t="s">
        <v>1067</v>
      </c>
      <c r="N77" s="5" t="n">
        <f aca="false">LEN(L77)</f>
        <v>25</v>
      </c>
      <c r="O77" s="5" t="n">
        <f aca="false">LEN(M77)</f>
        <v>25</v>
      </c>
      <c r="P77" s="12" t="n">
        <f aca="false">IF(N77=0,"",(N77-LEN(SUBSTITUTE(SUBSTITUTE(L77,"G",""),"C","")))/N77)</f>
        <v>0.56</v>
      </c>
      <c r="Q77" s="12" t="n">
        <f aca="false">IF(O77=0,"",(O77-LEN(SUBSTITUTE(SUBSTITUTE(M77,"G",""),"C","")))/O77)</f>
        <v>0.56</v>
      </c>
      <c r="R77" s="5"/>
      <c r="S77" s="5" t="s">
        <v>382</v>
      </c>
      <c r="T77" s="5"/>
      <c r="U77" s="5" t="s">
        <v>383</v>
      </c>
      <c r="V77" s="5" t="s">
        <v>1022</v>
      </c>
      <c r="W77" s="5"/>
      <c r="X77" s="13" t="s">
        <v>385</v>
      </c>
      <c r="Y77" s="5"/>
    </row>
    <row r="78" customFormat="false" ht="15" hidden="false" customHeight="false" outlineLevel="0" collapsed="false">
      <c r="A78" s="5" t="s">
        <v>1068</v>
      </c>
      <c r="B78" s="5" t="s">
        <v>102</v>
      </c>
      <c r="C78" s="5" t="s">
        <v>103</v>
      </c>
      <c r="D78" s="6" t="s">
        <v>45</v>
      </c>
      <c r="E78" s="5" t="n">
        <v>7</v>
      </c>
      <c r="F78" s="5" t="s">
        <v>1069</v>
      </c>
      <c r="G78" s="11" t="s">
        <v>1070</v>
      </c>
      <c r="H78" s="5" t="s">
        <v>1071</v>
      </c>
      <c r="I78" s="11" t="s">
        <v>1072</v>
      </c>
      <c r="J78" s="5" t="s">
        <v>1073</v>
      </c>
      <c r="K78" s="5" t="s">
        <v>1074</v>
      </c>
      <c r="L78" s="11" t="s">
        <v>1075</v>
      </c>
      <c r="M78" s="11" t="s">
        <v>1076</v>
      </c>
      <c r="N78" s="5" t="n">
        <f aca="false">LEN(L78)</f>
        <v>25</v>
      </c>
      <c r="O78" s="5" t="n">
        <f aca="false">LEN(M78)</f>
        <v>25</v>
      </c>
      <c r="P78" s="12" t="n">
        <f aca="false">IF(N78=0,"",(N78-LEN(SUBSTITUTE(SUBSTITUTE(L78,"G",""),"C","")))/N78)</f>
        <v>0.68</v>
      </c>
      <c r="Q78" s="12" t="n">
        <f aca="false">IF(O78=0,"",(O78-LEN(SUBSTITUTE(SUBSTITUTE(M78,"G",""),"C","")))/O78)</f>
        <v>0.72</v>
      </c>
      <c r="R78" s="5"/>
      <c r="S78" s="5" t="s">
        <v>382</v>
      </c>
      <c r="T78" s="5"/>
      <c r="U78" s="5" t="s">
        <v>383</v>
      </c>
      <c r="V78" s="5" t="s">
        <v>1022</v>
      </c>
      <c r="W78" s="5"/>
      <c r="X78" s="13" t="s">
        <v>385</v>
      </c>
      <c r="Y78" s="5"/>
    </row>
    <row r="79" customFormat="false" ht="15" hidden="false" customHeight="false" outlineLevel="0" collapsed="false">
      <c r="A79" s="5" t="s">
        <v>1077</v>
      </c>
      <c r="B79" s="5" t="s">
        <v>102</v>
      </c>
      <c r="C79" s="5" t="s">
        <v>103</v>
      </c>
      <c r="D79" s="6" t="s">
        <v>45</v>
      </c>
      <c r="E79" s="5" t="n">
        <v>8</v>
      </c>
      <c r="F79" s="5" t="s">
        <v>1078</v>
      </c>
      <c r="G79" s="11" t="s">
        <v>1079</v>
      </c>
      <c r="H79" s="5" t="s">
        <v>1080</v>
      </c>
      <c r="I79" s="11" t="s">
        <v>1081</v>
      </c>
      <c r="J79" s="5" t="s">
        <v>1082</v>
      </c>
      <c r="K79" s="5" t="s">
        <v>1083</v>
      </c>
      <c r="L79" s="11" t="s">
        <v>1084</v>
      </c>
      <c r="M79" s="11" t="s">
        <v>1085</v>
      </c>
      <c r="N79" s="5" t="n">
        <f aca="false">LEN(L79)</f>
        <v>25</v>
      </c>
      <c r="O79" s="5" t="n">
        <f aca="false">LEN(M79)</f>
        <v>25</v>
      </c>
      <c r="P79" s="12" t="n">
        <f aca="false">IF(N79=0,"",(N79-LEN(SUBSTITUTE(SUBSTITUTE(L79,"G",""),"C","")))/N79)</f>
        <v>0.68</v>
      </c>
      <c r="Q79" s="12" t="n">
        <f aca="false">IF(O79=0,"",(O79-LEN(SUBSTITUTE(SUBSTITUTE(M79,"G",""),"C","")))/O79)</f>
        <v>0.72</v>
      </c>
      <c r="R79" s="5"/>
      <c r="S79" s="5" t="s">
        <v>382</v>
      </c>
      <c r="T79" s="5"/>
      <c r="U79" s="5" t="s">
        <v>383</v>
      </c>
      <c r="V79" s="5" t="s">
        <v>1022</v>
      </c>
      <c r="W79" s="5"/>
      <c r="X79" s="13" t="s">
        <v>385</v>
      </c>
      <c r="Y79" s="5"/>
    </row>
    <row r="80" customFormat="false" ht="15" hidden="false" customHeight="false" outlineLevel="0" collapsed="false">
      <c r="A80" s="5" t="s">
        <v>1086</v>
      </c>
      <c r="B80" s="5" t="s">
        <v>102</v>
      </c>
      <c r="C80" s="5" t="s">
        <v>103</v>
      </c>
      <c r="D80" s="6" t="s">
        <v>45</v>
      </c>
      <c r="E80" s="5" t="n">
        <v>9</v>
      </c>
      <c r="F80" s="5" t="s">
        <v>1087</v>
      </c>
      <c r="G80" s="11" t="s">
        <v>1088</v>
      </c>
      <c r="H80" s="5" t="s">
        <v>1089</v>
      </c>
      <c r="I80" s="11" t="s">
        <v>1090</v>
      </c>
      <c r="J80" s="5" t="s">
        <v>1091</v>
      </c>
      <c r="K80" s="5" t="s">
        <v>1092</v>
      </c>
      <c r="L80" s="11" t="s">
        <v>1093</v>
      </c>
      <c r="M80" s="11" t="s">
        <v>1094</v>
      </c>
      <c r="N80" s="5" t="n">
        <f aca="false">LEN(L80)</f>
        <v>25</v>
      </c>
      <c r="O80" s="5" t="n">
        <f aca="false">LEN(M80)</f>
        <v>25</v>
      </c>
      <c r="P80" s="12" t="n">
        <f aca="false">IF(N80=0,"",(N80-LEN(SUBSTITUTE(SUBSTITUTE(L80,"G",""),"C","")))/N80)</f>
        <v>0.48</v>
      </c>
      <c r="Q80" s="12" t="n">
        <f aca="false">IF(O80=0,"",(O80-LEN(SUBSTITUTE(SUBSTITUTE(M80,"G",""),"C","")))/O80)</f>
        <v>0.52</v>
      </c>
      <c r="R80" s="5"/>
      <c r="S80" s="5" t="s">
        <v>382</v>
      </c>
      <c r="T80" s="5"/>
      <c r="U80" s="5" t="s">
        <v>383</v>
      </c>
      <c r="V80" s="5" t="s">
        <v>1022</v>
      </c>
      <c r="W80" s="5"/>
      <c r="X80" s="13" t="s">
        <v>385</v>
      </c>
      <c r="Y80" s="5"/>
    </row>
    <row r="81" customFormat="false" ht="15" hidden="false" customHeight="false" outlineLevel="0" collapsed="false">
      <c r="A81" s="5" t="s">
        <v>1095</v>
      </c>
      <c r="B81" s="5" t="s">
        <v>102</v>
      </c>
      <c r="C81" s="5" t="s">
        <v>103</v>
      </c>
      <c r="D81" s="6" t="s">
        <v>45</v>
      </c>
      <c r="E81" s="5" t="n">
        <v>10</v>
      </c>
      <c r="F81" s="5" t="s">
        <v>1096</v>
      </c>
      <c r="G81" s="11" t="s">
        <v>1097</v>
      </c>
      <c r="H81" s="5" t="s">
        <v>1098</v>
      </c>
      <c r="I81" s="11" t="s">
        <v>1099</v>
      </c>
      <c r="J81" s="5" t="s">
        <v>1100</v>
      </c>
      <c r="K81" s="5" t="s">
        <v>1101</v>
      </c>
      <c r="L81" s="11" t="s">
        <v>1102</v>
      </c>
      <c r="M81" s="11" t="s">
        <v>1103</v>
      </c>
      <c r="N81" s="5" t="n">
        <f aca="false">LEN(L81)</f>
        <v>25</v>
      </c>
      <c r="O81" s="5" t="n">
        <f aca="false">LEN(M81)</f>
        <v>25</v>
      </c>
      <c r="P81" s="12" t="n">
        <f aca="false">IF(N81=0,"",(N81-LEN(SUBSTITUTE(SUBSTITUTE(L81,"G",""),"C","")))/N81)</f>
        <v>0.56</v>
      </c>
      <c r="Q81" s="12" t="n">
        <f aca="false">IF(O81=0,"",(O81-LEN(SUBSTITUTE(SUBSTITUTE(M81,"G",""),"C","")))/O81)</f>
        <v>0.56</v>
      </c>
      <c r="R81" s="5"/>
      <c r="S81" s="5" t="s">
        <v>382</v>
      </c>
      <c r="T81" s="5"/>
      <c r="U81" s="5" t="s">
        <v>383</v>
      </c>
      <c r="V81" s="5" t="s">
        <v>1022</v>
      </c>
      <c r="W81" s="5"/>
      <c r="X81" s="13" t="s">
        <v>385</v>
      </c>
      <c r="Y81" s="5"/>
    </row>
    <row r="82" customFormat="false" ht="15" hidden="false" customHeight="false" outlineLevel="0" collapsed="false">
      <c r="A82" s="5" t="s">
        <v>1104</v>
      </c>
      <c r="B82" s="5" t="s">
        <v>108</v>
      </c>
      <c r="C82" s="5" t="s">
        <v>109</v>
      </c>
      <c r="D82" s="6" t="s">
        <v>45</v>
      </c>
      <c r="E82" s="5" t="n">
        <v>1</v>
      </c>
      <c r="F82" s="5" t="s">
        <v>1105</v>
      </c>
      <c r="G82" s="11" t="s">
        <v>1106</v>
      </c>
      <c r="H82" s="5" t="s">
        <v>1107</v>
      </c>
      <c r="I82" s="11" t="s">
        <v>1108</v>
      </c>
      <c r="J82" s="5" t="s">
        <v>1109</v>
      </c>
      <c r="K82" s="5" t="s">
        <v>1110</v>
      </c>
      <c r="L82" s="11" t="s">
        <v>1111</v>
      </c>
      <c r="M82" s="11" t="s">
        <v>1112</v>
      </c>
      <c r="N82" s="5" t="n">
        <f aca="false">LEN(L82)</f>
        <v>25</v>
      </c>
      <c r="O82" s="5" t="n">
        <f aca="false">LEN(M82)</f>
        <v>25</v>
      </c>
      <c r="P82" s="12" t="n">
        <f aca="false">IF(N82=0,"",(N82-LEN(SUBSTITUTE(SUBSTITUTE(L82,"G",""),"C","")))/N82)</f>
        <v>0.68</v>
      </c>
      <c r="Q82" s="12" t="n">
        <f aca="false">IF(O82=0,"",(O82-LEN(SUBSTITUTE(SUBSTITUTE(M82,"G",""),"C","")))/O82)</f>
        <v>0.76</v>
      </c>
      <c r="R82" s="5"/>
      <c r="S82" s="5" t="s">
        <v>382</v>
      </c>
      <c r="T82" s="5"/>
      <c r="U82" s="5" t="s">
        <v>383</v>
      </c>
      <c r="V82" s="5" t="s">
        <v>1113</v>
      </c>
      <c r="W82" s="5"/>
      <c r="X82" s="13" t="s">
        <v>385</v>
      </c>
      <c r="Y82" s="5"/>
    </row>
    <row r="83" customFormat="false" ht="15" hidden="false" customHeight="false" outlineLevel="0" collapsed="false">
      <c r="A83" s="5" t="s">
        <v>1114</v>
      </c>
      <c r="B83" s="5" t="s">
        <v>108</v>
      </c>
      <c r="C83" s="5" t="s">
        <v>109</v>
      </c>
      <c r="D83" s="6" t="s">
        <v>45</v>
      </c>
      <c r="E83" s="5" t="n">
        <v>2</v>
      </c>
      <c r="F83" s="5" t="s">
        <v>1115</v>
      </c>
      <c r="G83" s="11" t="s">
        <v>1116</v>
      </c>
      <c r="H83" s="5" t="s">
        <v>1117</v>
      </c>
      <c r="I83" s="11" t="s">
        <v>1118</v>
      </c>
      <c r="J83" s="5" t="s">
        <v>1119</v>
      </c>
      <c r="K83" s="5" t="s">
        <v>1120</v>
      </c>
      <c r="L83" s="11" t="s">
        <v>1121</v>
      </c>
      <c r="M83" s="11" t="s">
        <v>1122</v>
      </c>
      <c r="N83" s="5" t="n">
        <f aca="false">LEN(L83)</f>
        <v>25</v>
      </c>
      <c r="O83" s="5" t="n">
        <f aca="false">LEN(M83)</f>
        <v>25</v>
      </c>
      <c r="P83" s="12" t="n">
        <f aca="false">IF(N83=0,"",(N83-LEN(SUBSTITUTE(SUBSTITUTE(L83,"G",""),"C","")))/N83)</f>
        <v>0.84</v>
      </c>
      <c r="Q83" s="12" t="n">
        <f aca="false">IF(O83=0,"",(O83-LEN(SUBSTITUTE(SUBSTITUTE(M83,"G",""),"C","")))/O83)</f>
        <v>0.76</v>
      </c>
      <c r="R83" s="5"/>
      <c r="S83" s="5" t="s">
        <v>382</v>
      </c>
      <c r="T83" s="5"/>
      <c r="U83" s="5" t="s">
        <v>383</v>
      </c>
      <c r="V83" s="5" t="s">
        <v>1113</v>
      </c>
      <c r="W83" s="5"/>
      <c r="X83" s="13" t="s">
        <v>385</v>
      </c>
      <c r="Y83" s="5"/>
    </row>
    <row r="84" customFormat="false" ht="15" hidden="false" customHeight="false" outlineLevel="0" collapsed="false">
      <c r="A84" s="5" t="s">
        <v>1123</v>
      </c>
      <c r="B84" s="5" t="s">
        <v>108</v>
      </c>
      <c r="C84" s="5" t="s">
        <v>109</v>
      </c>
      <c r="D84" s="6" t="s">
        <v>45</v>
      </c>
      <c r="E84" s="5" t="n">
        <v>3</v>
      </c>
      <c r="F84" s="5" t="s">
        <v>1124</v>
      </c>
      <c r="G84" s="11" t="s">
        <v>1125</v>
      </c>
      <c r="H84" s="5" t="s">
        <v>1126</v>
      </c>
      <c r="I84" s="11" t="s">
        <v>1127</v>
      </c>
      <c r="J84" s="5" t="s">
        <v>1128</v>
      </c>
      <c r="K84" s="5" t="s">
        <v>1129</v>
      </c>
      <c r="L84" s="11" t="s">
        <v>1130</v>
      </c>
      <c r="M84" s="11" t="s">
        <v>1131</v>
      </c>
      <c r="N84" s="5" t="n">
        <f aca="false">LEN(L84)</f>
        <v>25</v>
      </c>
      <c r="O84" s="5" t="n">
        <f aca="false">LEN(M84)</f>
        <v>25</v>
      </c>
      <c r="P84" s="12" t="n">
        <f aca="false">IF(N84=0,"",(N84-LEN(SUBSTITUTE(SUBSTITUTE(L84,"G",""),"C","")))/N84)</f>
        <v>0.92</v>
      </c>
      <c r="Q84" s="12" t="n">
        <f aca="false">IF(O84=0,"",(O84-LEN(SUBSTITUTE(SUBSTITUTE(M84,"G",""),"C","")))/O84)</f>
        <v>0.84</v>
      </c>
      <c r="R84" s="5"/>
      <c r="S84" s="5" t="s">
        <v>382</v>
      </c>
      <c r="T84" s="5"/>
      <c r="U84" s="5" t="s">
        <v>383</v>
      </c>
      <c r="V84" s="5" t="s">
        <v>1113</v>
      </c>
      <c r="W84" s="5"/>
      <c r="X84" s="13" t="s">
        <v>385</v>
      </c>
      <c r="Y84" s="5"/>
    </row>
    <row r="85" customFormat="false" ht="15" hidden="false" customHeight="false" outlineLevel="0" collapsed="false">
      <c r="A85" s="5" t="s">
        <v>1132</v>
      </c>
      <c r="B85" s="5" t="s">
        <v>108</v>
      </c>
      <c r="C85" s="5" t="s">
        <v>109</v>
      </c>
      <c r="D85" s="6" t="s">
        <v>45</v>
      </c>
      <c r="E85" s="5" t="n">
        <v>4</v>
      </c>
      <c r="F85" s="5" t="s">
        <v>1133</v>
      </c>
      <c r="G85" s="11" t="s">
        <v>1134</v>
      </c>
      <c r="H85" s="5" t="s">
        <v>1135</v>
      </c>
      <c r="I85" s="11" t="s">
        <v>1136</v>
      </c>
      <c r="J85" s="5" t="s">
        <v>1137</v>
      </c>
      <c r="K85" s="5" t="s">
        <v>1138</v>
      </c>
      <c r="L85" s="11" t="s">
        <v>1139</v>
      </c>
      <c r="M85" s="11" t="s">
        <v>1140</v>
      </c>
      <c r="N85" s="5" t="n">
        <f aca="false">LEN(L85)</f>
        <v>25</v>
      </c>
      <c r="O85" s="5" t="n">
        <f aca="false">LEN(M85)</f>
        <v>25</v>
      </c>
      <c r="P85" s="12" t="n">
        <f aca="false">IF(N85=0,"",(N85-LEN(SUBSTITUTE(SUBSTITUTE(L85,"G",""),"C","")))/N85)</f>
        <v>0.92</v>
      </c>
      <c r="Q85" s="12" t="n">
        <f aca="false">IF(O85=0,"",(O85-LEN(SUBSTITUTE(SUBSTITUTE(M85,"G",""),"C","")))/O85)</f>
        <v>0.8</v>
      </c>
      <c r="R85" s="5"/>
      <c r="S85" s="5" t="s">
        <v>382</v>
      </c>
      <c r="T85" s="5"/>
      <c r="U85" s="5" t="s">
        <v>383</v>
      </c>
      <c r="V85" s="5" t="s">
        <v>1113</v>
      </c>
      <c r="W85" s="5"/>
      <c r="X85" s="13" t="s">
        <v>385</v>
      </c>
      <c r="Y85" s="5"/>
    </row>
    <row r="86" customFormat="false" ht="15" hidden="false" customHeight="false" outlineLevel="0" collapsed="false">
      <c r="A86" s="5" t="s">
        <v>1141</v>
      </c>
      <c r="B86" s="5" t="s">
        <v>108</v>
      </c>
      <c r="C86" s="5" t="s">
        <v>109</v>
      </c>
      <c r="D86" s="6" t="s">
        <v>45</v>
      </c>
      <c r="E86" s="5" t="n">
        <v>5</v>
      </c>
      <c r="F86" s="5" t="s">
        <v>1142</v>
      </c>
      <c r="G86" s="11" t="s">
        <v>1143</v>
      </c>
      <c r="H86" s="5" t="s">
        <v>1144</v>
      </c>
      <c r="I86" s="11" t="s">
        <v>1145</v>
      </c>
      <c r="J86" s="5" t="s">
        <v>1146</v>
      </c>
      <c r="K86" s="5" t="s">
        <v>1147</v>
      </c>
      <c r="L86" s="11" t="s">
        <v>1148</v>
      </c>
      <c r="M86" s="11" t="s">
        <v>1149</v>
      </c>
      <c r="N86" s="5" t="n">
        <f aca="false">LEN(L86)</f>
        <v>25</v>
      </c>
      <c r="O86" s="5" t="n">
        <f aca="false">LEN(M86)</f>
        <v>25</v>
      </c>
      <c r="P86" s="12" t="n">
        <f aca="false">IF(N86=0,"",(N86-LEN(SUBSTITUTE(SUBSTITUTE(L86,"G",""),"C","")))/N86)</f>
        <v>0.8</v>
      </c>
      <c r="Q86" s="12" t="n">
        <f aca="false">IF(O86=0,"",(O86-LEN(SUBSTITUTE(SUBSTITUTE(M86,"G",""),"C","")))/O86)</f>
        <v>0.64</v>
      </c>
      <c r="R86" s="5"/>
      <c r="S86" s="5" t="s">
        <v>382</v>
      </c>
      <c r="T86" s="5"/>
      <c r="U86" s="5" t="s">
        <v>383</v>
      </c>
      <c r="V86" s="5" t="s">
        <v>1113</v>
      </c>
      <c r="W86" s="5"/>
      <c r="X86" s="13" t="s">
        <v>385</v>
      </c>
      <c r="Y86" s="5"/>
    </row>
    <row r="87" customFormat="false" ht="15" hidden="false" customHeight="false" outlineLevel="0" collapsed="false">
      <c r="A87" s="5" t="s">
        <v>1150</v>
      </c>
      <c r="B87" s="5" t="s">
        <v>108</v>
      </c>
      <c r="C87" s="5" t="s">
        <v>109</v>
      </c>
      <c r="D87" s="6" t="s">
        <v>45</v>
      </c>
      <c r="E87" s="5" t="n">
        <v>6</v>
      </c>
      <c r="F87" s="5" t="s">
        <v>1151</v>
      </c>
      <c r="G87" s="11" t="s">
        <v>1152</v>
      </c>
      <c r="H87" s="5" t="s">
        <v>1153</v>
      </c>
      <c r="I87" s="11" t="s">
        <v>1154</v>
      </c>
      <c r="J87" s="5" t="s">
        <v>1155</v>
      </c>
      <c r="K87" s="5" t="s">
        <v>1156</v>
      </c>
      <c r="L87" s="11" t="s">
        <v>1157</v>
      </c>
      <c r="M87" s="11" t="s">
        <v>1158</v>
      </c>
      <c r="N87" s="5" t="n">
        <f aca="false">LEN(L87)</f>
        <v>25</v>
      </c>
      <c r="O87" s="5" t="n">
        <f aca="false">LEN(M87)</f>
        <v>25</v>
      </c>
      <c r="P87" s="12" t="n">
        <f aca="false">IF(N87=0,"",(N87-LEN(SUBSTITUTE(SUBSTITUTE(L87,"G",""),"C","")))/N87)</f>
        <v>0.64</v>
      </c>
      <c r="Q87" s="12" t="n">
        <f aca="false">IF(O87=0,"",(O87-LEN(SUBSTITUTE(SUBSTITUTE(M87,"G",""),"C","")))/O87)</f>
        <v>0.72</v>
      </c>
      <c r="R87" s="5"/>
      <c r="S87" s="5" t="s">
        <v>382</v>
      </c>
      <c r="T87" s="5"/>
      <c r="U87" s="5" t="s">
        <v>383</v>
      </c>
      <c r="V87" s="5" t="s">
        <v>1113</v>
      </c>
      <c r="W87" s="5"/>
      <c r="X87" s="13" t="s">
        <v>385</v>
      </c>
      <c r="Y87" s="5"/>
    </row>
    <row r="88" customFormat="false" ht="15" hidden="false" customHeight="false" outlineLevel="0" collapsed="false">
      <c r="A88" s="5" t="s">
        <v>1159</v>
      </c>
      <c r="B88" s="5" t="s">
        <v>108</v>
      </c>
      <c r="C88" s="5" t="s">
        <v>109</v>
      </c>
      <c r="D88" s="6" t="s">
        <v>45</v>
      </c>
      <c r="E88" s="5" t="n">
        <v>7</v>
      </c>
      <c r="F88" s="5" t="s">
        <v>1160</v>
      </c>
      <c r="G88" s="11" t="s">
        <v>1161</v>
      </c>
      <c r="H88" s="5" t="s">
        <v>1162</v>
      </c>
      <c r="I88" s="11" t="s">
        <v>1163</v>
      </c>
      <c r="J88" s="5" t="s">
        <v>1164</v>
      </c>
      <c r="K88" s="5" t="s">
        <v>1165</v>
      </c>
      <c r="L88" s="11" t="s">
        <v>1166</v>
      </c>
      <c r="M88" s="11" t="s">
        <v>1167</v>
      </c>
      <c r="N88" s="5" t="n">
        <f aca="false">LEN(L88)</f>
        <v>25</v>
      </c>
      <c r="O88" s="5" t="n">
        <f aca="false">LEN(M88)</f>
        <v>25</v>
      </c>
      <c r="P88" s="12" t="n">
        <f aca="false">IF(N88=0,"",(N88-LEN(SUBSTITUTE(SUBSTITUTE(L88,"G",""),"C","")))/N88)</f>
        <v>0.64</v>
      </c>
      <c r="Q88" s="12" t="n">
        <f aca="false">IF(O88=0,"",(O88-LEN(SUBSTITUTE(SUBSTITUTE(M88,"G",""),"C","")))/O88)</f>
        <v>0.52</v>
      </c>
      <c r="R88" s="5"/>
      <c r="S88" s="5" t="s">
        <v>382</v>
      </c>
      <c r="T88" s="5"/>
      <c r="U88" s="5" t="s">
        <v>383</v>
      </c>
      <c r="V88" s="5" t="s">
        <v>1113</v>
      </c>
      <c r="W88" s="5"/>
      <c r="X88" s="13" t="s">
        <v>385</v>
      </c>
      <c r="Y88" s="5"/>
    </row>
    <row r="89" customFormat="false" ht="15" hidden="false" customHeight="false" outlineLevel="0" collapsed="false">
      <c r="A89" s="5" t="s">
        <v>1168</v>
      </c>
      <c r="B89" s="5" t="s">
        <v>108</v>
      </c>
      <c r="C89" s="5" t="s">
        <v>109</v>
      </c>
      <c r="D89" s="6" t="s">
        <v>45</v>
      </c>
      <c r="E89" s="5" t="n">
        <v>8</v>
      </c>
      <c r="F89" s="5" t="s">
        <v>1169</v>
      </c>
      <c r="G89" s="11" t="s">
        <v>1170</v>
      </c>
      <c r="H89" s="5" t="s">
        <v>1171</v>
      </c>
      <c r="I89" s="11" t="s">
        <v>1172</v>
      </c>
      <c r="J89" s="5" t="s">
        <v>1173</v>
      </c>
      <c r="K89" s="5" t="s">
        <v>1174</v>
      </c>
      <c r="L89" s="11" t="s">
        <v>1175</v>
      </c>
      <c r="M89" s="11" t="s">
        <v>1176</v>
      </c>
      <c r="N89" s="5" t="n">
        <f aca="false">LEN(L89)</f>
        <v>25</v>
      </c>
      <c r="O89" s="5" t="n">
        <f aca="false">LEN(M89)</f>
        <v>25</v>
      </c>
      <c r="P89" s="12" t="n">
        <f aca="false">IF(N89=0,"",(N89-LEN(SUBSTITUTE(SUBSTITUTE(L89,"G",""),"C","")))/N89)</f>
        <v>0.64</v>
      </c>
      <c r="Q89" s="12" t="n">
        <f aca="false">IF(O89=0,"",(O89-LEN(SUBSTITUTE(SUBSTITUTE(M89,"G",""),"C","")))/O89)</f>
        <v>0.8</v>
      </c>
      <c r="R89" s="5"/>
      <c r="S89" s="5" t="s">
        <v>382</v>
      </c>
      <c r="T89" s="5"/>
      <c r="U89" s="5" t="s">
        <v>383</v>
      </c>
      <c r="V89" s="5" t="s">
        <v>1113</v>
      </c>
      <c r="W89" s="5"/>
      <c r="X89" s="13" t="s">
        <v>385</v>
      </c>
      <c r="Y89" s="5"/>
    </row>
    <row r="90" customFormat="false" ht="15" hidden="false" customHeight="false" outlineLevel="0" collapsed="false">
      <c r="A90" s="5" t="s">
        <v>1177</v>
      </c>
      <c r="B90" s="5" t="s">
        <v>108</v>
      </c>
      <c r="C90" s="5" t="s">
        <v>109</v>
      </c>
      <c r="D90" s="6" t="s">
        <v>45</v>
      </c>
      <c r="E90" s="5" t="n">
        <v>9</v>
      </c>
      <c r="F90" s="5" t="s">
        <v>1178</v>
      </c>
      <c r="G90" s="11" t="s">
        <v>1179</v>
      </c>
      <c r="H90" s="5" t="s">
        <v>1180</v>
      </c>
      <c r="I90" s="11" t="s">
        <v>1181</v>
      </c>
      <c r="J90" s="5" t="s">
        <v>1182</v>
      </c>
      <c r="K90" s="5" t="s">
        <v>1183</v>
      </c>
      <c r="L90" s="11" t="s">
        <v>1184</v>
      </c>
      <c r="M90" s="11" t="s">
        <v>1185</v>
      </c>
      <c r="N90" s="5" t="n">
        <f aca="false">LEN(L90)</f>
        <v>25</v>
      </c>
      <c r="O90" s="5" t="n">
        <f aca="false">LEN(M90)</f>
        <v>25</v>
      </c>
      <c r="P90" s="12" t="n">
        <f aca="false">IF(N90=0,"",(N90-LEN(SUBSTITUTE(SUBSTITUTE(L90,"G",""),"C","")))/N90)</f>
        <v>0.88</v>
      </c>
      <c r="Q90" s="12" t="n">
        <f aca="false">IF(O90=0,"",(O90-LEN(SUBSTITUTE(SUBSTITUTE(M90,"G",""),"C","")))/O90)</f>
        <v>0.68</v>
      </c>
      <c r="R90" s="5"/>
      <c r="S90" s="5" t="s">
        <v>382</v>
      </c>
      <c r="T90" s="5"/>
      <c r="U90" s="5" t="s">
        <v>383</v>
      </c>
      <c r="V90" s="5" t="s">
        <v>1113</v>
      </c>
      <c r="W90" s="5"/>
      <c r="X90" s="13" t="s">
        <v>385</v>
      </c>
      <c r="Y90" s="5"/>
    </row>
    <row r="91" customFormat="false" ht="15" hidden="false" customHeight="false" outlineLevel="0" collapsed="false">
      <c r="A91" s="5" t="s">
        <v>1186</v>
      </c>
      <c r="B91" s="5" t="s">
        <v>108</v>
      </c>
      <c r="C91" s="5" t="s">
        <v>109</v>
      </c>
      <c r="D91" s="6" t="s">
        <v>45</v>
      </c>
      <c r="E91" s="5" t="n">
        <v>10</v>
      </c>
      <c r="F91" s="5" t="s">
        <v>1187</v>
      </c>
      <c r="G91" s="11" t="s">
        <v>1188</v>
      </c>
      <c r="H91" s="5" t="s">
        <v>1189</v>
      </c>
      <c r="I91" s="11" t="s">
        <v>1190</v>
      </c>
      <c r="J91" s="5" t="s">
        <v>1191</v>
      </c>
      <c r="K91" s="5" t="s">
        <v>1192</v>
      </c>
      <c r="L91" s="11" t="s">
        <v>1193</v>
      </c>
      <c r="M91" s="11" t="s">
        <v>1194</v>
      </c>
      <c r="N91" s="5" t="n">
        <f aca="false">LEN(L91)</f>
        <v>25</v>
      </c>
      <c r="O91" s="5" t="n">
        <f aca="false">LEN(M91)</f>
        <v>25</v>
      </c>
      <c r="P91" s="12" t="n">
        <f aca="false">IF(N91=0,"",(N91-LEN(SUBSTITUTE(SUBSTITUTE(L91,"G",""),"C","")))/N91)</f>
        <v>0.68</v>
      </c>
      <c r="Q91" s="12" t="n">
        <f aca="false">IF(O91=0,"",(O91-LEN(SUBSTITUTE(SUBSTITUTE(M91,"G",""),"C","")))/O91)</f>
        <v>0.64</v>
      </c>
      <c r="R91" s="5"/>
      <c r="S91" s="5" t="s">
        <v>382</v>
      </c>
      <c r="T91" s="5"/>
      <c r="U91" s="5" t="s">
        <v>383</v>
      </c>
      <c r="V91" s="5" t="s">
        <v>1113</v>
      </c>
      <c r="W91" s="5"/>
      <c r="X91" s="13" t="s">
        <v>385</v>
      </c>
      <c r="Y91" s="5"/>
    </row>
    <row r="92" customFormat="false" ht="15" hidden="false" customHeight="false" outlineLevel="0" collapsed="false">
      <c r="A92" s="5" t="s">
        <v>1195</v>
      </c>
      <c r="B92" s="5" t="s">
        <v>115</v>
      </c>
      <c r="C92" s="5" t="s">
        <v>116</v>
      </c>
      <c r="D92" s="6" t="s">
        <v>45</v>
      </c>
      <c r="E92" s="5" t="n">
        <v>1</v>
      </c>
      <c r="F92" s="5" t="s">
        <v>1196</v>
      </c>
      <c r="G92" s="11" t="s">
        <v>1197</v>
      </c>
      <c r="H92" s="5" t="s">
        <v>1198</v>
      </c>
      <c r="I92" s="11" t="s">
        <v>1199</v>
      </c>
      <c r="J92" s="5" t="s">
        <v>1200</v>
      </c>
      <c r="K92" s="5" t="s">
        <v>1201</v>
      </c>
      <c r="L92" s="11" t="s">
        <v>1202</v>
      </c>
      <c r="M92" s="11" t="s">
        <v>1203</v>
      </c>
      <c r="N92" s="5" t="n">
        <f aca="false">LEN(L92)</f>
        <v>25</v>
      </c>
      <c r="O92" s="5" t="n">
        <f aca="false">LEN(M92)</f>
        <v>25</v>
      </c>
      <c r="P92" s="12" t="n">
        <f aca="false">IF(N92=0,"",(N92-LEN(SUBSTITUTE(SUBSTITUTE(L92,"G",""),"C","")))/N92)</f>
        <v>0.64</v>
      </c>
      <c r="Q92" s="12" t="n">
        <f aca="false">IF(O92=0,"",(O92-LEN(SUBSTITUTE(SUBSTITUTE(M92,"G",""),"C","")))/O92)</f>
        <v>0.6</v>
      </c>
      <c r="R92" s="5"/>
      <c r="S92" s="5" t="s">
        <v>382</v>
      </c>
      <c r="T92" s="5"/>
      <c r="U92" s="5" t="s">
        <v>383</v>
      </c>
      <c r="V92" s="5" t="s">
        <v>1204</v>
      </c>
      <c r="W92" s="5"/>
      <c r="X92" s="13" t="s">
        <v>385</v>
      </c>
      <c r="Y92" s="7" t="s">
        <v>1205</v>
      </c>
    </row>
    <row r="93" customFormat="false" ht="15" hidden="false" customHeight="false" outlineLevel="0" collapsed="false">
      <c r="A93" s="5" t="s">
        <v>1206</v>
      </c>
      <c r="B93" s="5" t="s">
        <v>115</v>
      </c>
      <c r="C93" s="5" t="s">
        <v>116</v>
      </c>
      <c r="D93" s="6" t="s">
        <v>45</v>
      </c>
      <c r="E93" s="5" t="n">
        <v>2</v>
      </c>
      <c r="F93" s="5" t="s">
        <v>1207</v>
      </c>
      <c r="G93" s="11" t="s">
        <v>1208</v>
      </c>
      <c r="H93" s="5" t="s">
        <v>1209</v>
      </c>
      <c r="I93" s="11" t="s">
        <v>1210</v>
      </c>
      <c r="J93" s="5" t="s">
        <v>1211</v>
      </c>
      <c r="K93" s="5" t="s">
        <v>1212</v>
      </c>
      <c r="L93" s="11" t="s">
        <v>1213</v>
      </c>
      <c r="M93" s="11" t="s">
        <v>1214</v>
      </c>
      <c r="N93" s="5" t="n">
        <f aca="false">LEN(L93)</f>
        <v>25</v>
      </c>
      <c r="O93" s="5" t="n">
        <f aca="false">LEN(M93)</f>
        <v>25</v>
      </c>
      <c r="P93" s="12" t="n">
        <f aca="false">IF(N93=0,"",(N93-LEN(SUBSTITUTE(SUBSTITUTE(L93,"G",""),"C","")))/N93)</f>
        <v>0.56</v>
      </c>
      <c r="Q93" s="12" t="n">
        <f aca="false">IF(O93=0,"",(O93-LEN(SUBSTITUTE(SUBSTITUTE(M93,"G",""),"C","")))/O93)</f>
        <v>0.52</v>
      </c>
      <c r="R93" s="5"/>
      <c r="S93" s="5" t="s">
        <v>382</v>
      </c>
      <c r="T93" s="5"/>
      <c r="U93" s="5" t="s">
        <v>383</v>
      </c>
      <c r="V93" s="5" t="s">
        <v>1204</v>
      </c>
      <c r="W93" s="5"/>
      <c r="X93" s="13" t="s">
        <v>385</v>
      </c>
      <c r="Y93" s="7" t="s">
        <v>1205</v>
      </c>
    </row>
    <row r="94" customFormat="false" ht="15" hidden="false" customHeight="false" outlineLevel="0" collapsed="false">
      <c r="A94" s="5" t="s">
        <v>1215</v>
      </c>
      <c r="B94" s="5" t="s">
        <v>115</v>
      </c>
      <c r="C94" s="5" t="s">
        <v>116</v>
      </c>
      <c r="D94" s="6" t="s">
        <v>45</v>
      </c>
      <c r="E94" s="5" t="n">
        <v>3</v>
      </c>
      <c r="F94" s="5" t="s">
        <v>1216</v>
      </c>
      <c r="G94" s="11" t="s">
        <v>1217</v>
      </c>
      <c r="H94" s="5" t="s">
        <v>1218</v>
      </c>
      <c r="I94" s="11" t="s">
        <v>1219</v>
      </c>
      <c r="J94" s="5" t="s">
        <v>1220</v>
      </c>
      <c r="K94" s="5" t="s">
        <v>1221</v>
      </c>
      <c r="L94" s="11" t="s">
        <v>1222</v>
      </c>
      <c r="M94" s="11" t="s">
        <v>1223</v>
      </c>
      <c r="N94" s="5" t="n">
        <f aca="false">LEN(L94)</f>
        <v>25</v>
      </c>
      <c r="O94" s="5" t="n">
        <f aca="false">LEN(M94)</f>
        <v>25</v>
      </c>
      <c r="P94" s="12" t="n">
        <f aca="false">IF(N94=0,"",(N94-LEN(SUBSTITUTE(SUBSTITUTE(L94,"G",""),"C","")))/N94)</f>
        <v>0.68</v>
      </c>
      <c r="Q94" s="12" t="n">
        <f aca="false">IF(O94=0,"",(O94-LEN(SUBSTITUTE(SUBSTITUTE(M94,"G",""),"C","")))/O94)</f>
        <v>0.68</v>
      </c>
      <c r="R94" s="5"/>
      <c r="S94" s="5" t="s">
        <v>382</v>
      </c>
      <c r="T94" s="5"/>
      <c r="U94" s="5" t="s">
        <v>383</v>
      </c>
      <c r="V94" s="5" t="s">
        <v>1204</v>
      </c>
      <c r="W94" s="5"/>
      <c r="X94" s="13" t="s">
        <v>385</v>
      </c>
      <c r="Y94" s="7" t="s">
        <v>1205</v>
      </c>
    </row>
    <row r="95" customFormat="false" ht="15" hidden="false" customHeight="false" outlineLevel="0" collapsed="false">
      <c r="A95" s="5" t="s">
        <v>1224</v>
      </c>
      <c r="B95" s="5" t="s">
        <v>115</v>
      </c>
      <c r="C95" s="5" t="s">
        <v>116</v>
      </c>
      <c r="D95" s="6" t="s">
        <v>45</v>
      </c>
      <c r="E95" s="5" t="n">
        <v>4</v>
      </c>
      <c r="F95" s="5" t="s">
        <v>1225</v>
      </c>
      <c r="G95" s="11" t="s">
        <v>1226</v>
      </c>
      <c r="H95" s="5" t="s">
        <v>1227</v>
      </c>
      <c r="I95" s="11" t="s">
        <v>1228</v>
      </c>
      <c r="J95" s="5" t="s">
        <v>1229</v>
      </c>
      <c r="K95" s="5" t="s">
        <v>1230</v>
      </c>
      <c r="L95" s="11" t="s">
        <v>1231</v>
      </c>
      <c r="M95" s="11" t="s">
        <v>1232</v>
      </c>
      <c r="N95" s="5" t="n">
        <f aca="false">LEN(L95)</f>
        <v>25</v>
      </c>
      <c r="O95" s="5" t="n">
        <f aca="false">LEN(M95)</f>
        <v>25</v>
      </c>
      <c r="P95" s="12" t="n">
        <f aca="false">IF(N95=0,"",(N95-LEN(SUBSTITUTE(SUBSTITUTE(L95,"G",""),"C","")))/N95)</f>
        <v>0.68</v>
      </c>
      <c r="Q95" s="12" t="n">
        <f aca="false">IF(O95=0,"",(O95-LEN(SUBSTITUTE(SUBSTITUTE(M95,"G",""),"C","")))/O95)</f>
        <v>0.6</v>
      </c>
      <c r="R95" s="5"/>
      <c r="S95" s="5" t="s">
        <v>382</v>
      </c>
      <c r="T95" s="5"/>
      <c r="U95" s="5" t="s">
        <v>383</v>
      </c>
      <c r="V95" s="5" t="s">
        <v>1204</v>
      </c>
      <c r="W95" s="5"/>
      <c r="X95" s="13" t="s">
        <v>385</v>
      </c>
      <c r="Y95" s="5"/>
    </row>
    <row r="96" customFormat="false" ht="15" hidden="false" customHeight="false" outlineLevel="0" collapsed="false">
      <c r="A96" s="5" t="s">
        <v>1233</v>
      </c>
      <c r="B96" s="5" t="s">
        <v>115</v>
      </c>
      <c r="C96" s="5" t="s">
        <v>116</v>
      </c>
      <c r="D96" s="6" t="s">
        <v>45</v>
      </c>
      <c r="E96" s="5" t="n">
        <v>5</v>
      </c>
      <c r="F96" s="5" t="s">
        <v>1234</v>
      </c>
      <c r="G96" s="11" t="s">
        <v>1235</v>
      </c>
      <c r="H96" s="5" t="s">
        <v>1236</v>
      </c>
      <c r="I96" s="11" t="s">
        <v>1237</v>
      </c>
      <c r="J96" s="5" t="s">
        <v>1238</v>
      </c>
      <c r="K96" s="5" t="s">
        <v>1239</v>
      </c>
      <c r="L96" s="11" t="s">
        <v>1240</v>
      </c>
      <c r="M96" s="11" t="s">
        <v>1241</v>
      </c>
      <c r="N96" s="5" t="n">
        <f aca="false">LEN(L96)</f>
        <v>25</v>
      </c>
      <c r="O96" s="5" t="n">
        <f aca="false">LEN(M96)</f>
        <v>25</v>
      </c>
      <c r="P96" s="12" t="n">
        <f aca="false">IF(N96=0,"",(N96-LEN(SUBSTITUTE(SUBSTITUTE(L96,"G",""),"C","")))/N96)</f>
        <v>0.68</v>
      </c>
      <c r="Q96" s="12" t="n">
        <f aca="false">IF(O96=0,"",(O96-LEN(SUBSTITUTE(SUBSTITUTE(M96,"G",""),"C","")))/O96)</f>
        <v>0.44</v>
      </c>
      <c r="R96" s="5"/>
      <c r="S96" s="5" t="s">
        <v>382</v>
      </c>
      <c r="T96" s="5"/>
      <c r="U96" s="5" t="s">
        <v>383</v>
      </c>
      <c r="V96" s="5" t="s">
        <v>1204</v>
      </c>
      <c r="W96" s="5"/>
      <c r="X96" s="13" t="s">
        <v>385</v>
      </c>
      <c r="Y96" s="5"/>
    </row>
    <row r="97" customFormat="false" ht="15" hidden="false" customHeight="false" outlineLevel="0" collapsed="false">
      <c r="A97" s="5" t="s">
        <v>1242</v>
      </c>
      <c r="B97" s="5" t="s">
        <v>115</v>
      </c>
      <c r="C97" s="5" t="s">
        <v>116</v>
      </c>
      <c r="D97" s="6" t="s">
        <v>45</v>
      </c>
      <c r="E97" s="5" t="n">
        <v>6</v>
      </c>
      <c r="F97" s="5" t="s">
        <v>1243</v>
      </c>
      <c r="G97" s="11" t="s">
        <v>1244</v>
      </c>
      <c r="H97" s="5" t="s">
        <v>1245</v>
      </c>
      <c r="I97" s="11" t="s">
        <v>1246</v>
      </c>
      <c r="J97" s="5" t="s">
        <v>1247</v>
      </c>
      <c r="K97" s="5" t="s">
        <v>1248</v>
      </c>
      <c r="L97" s="11" t="s">
        <v>1249</v>
      </c>
      <c r="M97" s="11" t="s">
        <v>1250</v>
      </c>
      <c r="N97" s="5" t="n">
        <f aca="false">LEN(L97)</f>
        <v>25</v>
      </c>
      <c r="O97" s="5" t="n">
        <f aca="false">LEN(M97)</f>
        <v>25</v>
      </c>
      <c r="P97" s="12" t="n">
        <f aca="false">IF(N97=0,"",(N97-LEN(SUBSTITUTE(SUBSTITUTE(L97,"G",""),"C","")))/N97)</f>
        <v>0.76</v>
      </c>
      <c r="Q97" s="12" t="n">
        <f aca="false">IF(O97=0,"",(O97-LEN(SUBSTITUTE(SUBSTITUTE(M97,"G",""),"C","")))/O97)</f>
        <v>0.44</v>
      </c>
      <c r="R97" s="5"/>
      <c r="S97" s="5" t="s">
        <v>382</v>
      </c>
      <c r="T97" s="5"/>
      <c r="U97" s="5" t="s">
        <v>383</v>
      </c>
      <c r="V97" s="5" t="s">
        <v>1204</v>
      </c>
      <c r="W97" s="5"/>
      <c r="X97" s="13" t="s">
        <v>385</v>
      </c>
      <c r="Y97" s="5"/>
    </row>
    <row r="98" customFormat="false" ht="15" hidden="false" customHeight="false" outlineLevel="0" collapsed="false">
      <c r="A98" s="5" t="s">
        <v>1251</v>
      </c>
      <c r="B98" s="5" t="s">
        <v>115</v>
      </c>
      <c r="C98" s="5" t="s">
        <v>116</v>
      </c>
      <c r="D98" s="6" t="s">
        <v>45</v>
      </c>
      <c r="E98" s="5" t="n">
        <v>7</v>
      </c>
      <c r="F98" s="5" t="s">
        <v>1252</v>
      </c>
      <c r="G98" s="11" t="s">
        <v>1253</v>
      </c>
      <c r="H98" s="5" t="s">
        <v>1254</v>
      </c>
      <c r="I98" s="11" t="s">
        <v>1255</v>
      </c>
      <c r="J98" s="5" t="s">
        <v>1256</v>
      </c>
      <c r="K98" s="5" t="s">
        <v>1257</v>
      </c>
      <c r="L98" s="11" t="s">
        <v>1258</v>
      </c>
      <c r="M98" s="11" t="s">
        <v>1259</v>
      </c>
      <c r="N98" s="5" t="n">
        <f aca="false">LEN(L98)</f>
        <v>25</v>
      </c>
      <c r="O98" s="5" t="n">
        <f aca="false">LEN(M98)</f>
        <v>25</v>
      </c>
      <c r="P98" s="12" t="n">
        <f aca="false">IF(N98=0,"",(N98-LEN(SUBSTITUTE(SUBSTITUTE(L98,"G",""),"C","")))/N98)</f>
        <v>0.6</v>
      </c>
      <c r="Q98" s="12" t="n">
        <f aca="false">IF(O98=0,"",(O98-LEN(SUBSTITUTE(SUBSTITUTE(M98,"G",""),"C","")))/O98)</f>
        <v>0.56</v>
      </c>
      <c r="R98" s="5"/>
      <c r="S98" s="5" t="s">
        <v>382</v>
      </c>
      <c r="T98" s="5"/>
      <c r="U98" s="5" t="s">
        <v>383</v>
      </c>
      <c r="V98" s="5" t="s">
        <v>1204</v>
      </c>
      <c r="W98" s="5"/>
      <c r="X98" s="13" t="s">
        <v>385</v>
      </c>
      <c r="Y98" s="5"/>
    </row>
    <row r="99" customFormat="false" ht="15" hidden="false" customHeight="false" outlineLevel="0" collapsed="false">
      <c r="A99" s="5" t="s">
        <v>1260</v>
      </c>
      <c r="B99" s="5" t="s">
        <v>115</v>
      </c>
      <c r="C99" s="5" t="s">
        <v>116</v>
      </c>
      <c r="D99" s="6" t="s">
        <v>45</v>
      </c>
      <c r="E99" s="5" t="n">
        <v>8</v>
      </c>
      <c r="F99" s="5" t="s">
        <v>1261</v>
      </c>
      <c r="G99" s="11" t="s">
        <v>1262</v>
      </c>
      <c r="H99" s="5" t="s">
        <v>1263</v>
      </c>
      <c r="I99" s="11" t="s">
        <v>1264</v>
      </c>
      <c r="J99" s="5" t="s">
        <v>1265</v>
      </c>
      <c r="K99" s="5" t="s">
        <v>1266</v>
      </c>
      <c r="L99" s="11" t="s">
        <v>1267</v>
      </c>
      <c r="M99" s="11" t="s">
        <v>1268</v>
      </c>
      <c r="N99" s="5" t="n">
        <f aca="false">LEN(L99)</f>
        <v>25</v>
      </c>
      <c r="O99" s="5" t="n">
        <f aca="false">LEN(M99)</f>
        <v>25</v>
      </c>
      <c r="P99" s="12" t="n">
        <f aca="false">IF(N99=0,"",(N99-LEN(SUBSTITUTE(SUBSTITUTE(L99,"G",""),"C","")))/N99)</f>
        <v>0.56</v>
      </c>
      <c r="Q99" s="12" t="n">
        <f aca="false">IF(O99=0,"",(O99-LEN(SUBSTITUTE(SUBSTITUTE(M99,"G",""),"C","")))/O99)</f>
        <v>0.56</v>
      </c>
      <c r="R99" s="5"/>
      <c r="S99" s="5" t="s">
        <v>382</v>
      </c>
      <c r="T99" s="5"/>
      <c r="U99" s="5" t="s">
        <v>383</v>
      </c>
      <c r="V99" s="5" t="s">
        <v>1204</v>
      </c>
      <c r="W99" s="5"/>
      <c r="X99" s="13" t="s">
        <v>385</v>
      </c>
      <c r="Y99" s="5"/>
    </row>
    <row r="100" customFormat="false" ht="15" hidden="false" customHeight="false" outlineLevel="0" collapsed="false">
      <c r="A100" s="5" t="s">
        <v>1269</v>
      </c>
      <c r="B100" s="5" t="s">
        <v>115</v>
      </c>
      <c r="C100" s="5" t="s">
        <v>116</v>
      </c>
      <c r="D100" s="6" t="s">
        <v>45</v>
      </c>
      <c r="E100" s="5" t="n">
        <v>9</v>
      </c>
      <c r="F100" s="5" t="s">
        <v>1270</v>
      </c>
      <c r="G100" s="11" t="s">
        <v>1271</v>
      </c>
      <c r="H100" s="5" t="s">
        <v>1272</v>
      </c>
      <c r="I100" s="11" t="s">
        <v>1273</v>
      </c>
      <c r="J100" s="5" t="s">
        <v>1274</v>
      </c>
      <c r="K100" s="5" t="s">
        <v>1275</v>
      </c>
      <c r="L100" s="11" t="s">
        <v>1276</v>
      </c>
      <c r="M100" s="11" t="s">
        <v>1277</v>
      </c>
      <c r="N100" s="5" t="n">
        <f aca="false">LEN(L100)</f>
        <v>25</v>
      </c>
      <c r="O100" s="5" t="n">
        <f aca="false">LEN(M100)</f>
        <v>25</v>
      </c>
      <c r="P100" s="12" t="n">
        <f aca="false">IF(N100=0,"",(N100-LEN(SUBSTITUTE(SUBSTITUTE(L100,"G",""),"C","")))/N100)</f>
        <v>0.56</v>
      </c>
      <c r="Q100" s="12" t="n">
        <f aca="false">IF(O100=0,"",(O100-LEN(SUBSTITUTE(SUBSTITUTE(M100,"G",""),"C","")))/O100)</f>
        <v>0.68</v>
      </c>
      <c r="R100" s="5"/>
      <c r="S100" s="5" t="s">
        <v>382</v>
      </c>
      <c r="T100" s="5"/>
      <c r="U100" s="5" t="s">
        <v>383</v>
      </c>
      <c r="V100" s="5" t="s">
        <v>1204</v>
      </c>
      <c r="W100" s="5"/>
      <c r="X100" s="13" t="s">
        <v>385</v>
      </c>
      <c r="Y100" s="5"/>
    </row>
    <row r="101" customFormat="false" ht="15" hidden="false" customHeight="false" outlineLevel="0" collapsed="false">
      <c r="A101" s="5" t="s">
        <v>1278</v>
      </c>
      <c r="B101" s="5" t="s">
        <v>124</v>
      </c>
      <c r="C101" s="5" t="s">
        <v>125</v>
      </c>
      <c r="D101" s="6" t="s">
        <v>45</v>
      </c>
      <c r="E101" s="5" t="n">
        <v>1</v>
      </c>
      <c r="F101" s="5" t="s">
        <v>1279</v>
      </c>
      <c r="G101" s="11" t="s">
        <v>1280</v>
      </c>
      <c r="H101" s="5" t="s">
        <v>1281</v>
      </c>
      <c r="I101" s="11" t="s">
        <v>1282</v>
      </c>
      <c r="J101" s="5" t="s">
        <v>1283</v>
      </c>
      <c r="K101" s="5" t="s">
        <v>1284</v>
      </c>
      <c r="L101" s="11" t="s">
        <v>1285</v>
      </c>
      <c r="M101" s="11" t="s">
        <v>1286</v>
      </c>
      <c r="N101" s="5" t="n">
        <f aca="false">LEN(L101)</f>
        <v>25</v>
      </c>
      <c r="O101" s="5" t="n">
        <f aca="false">LEN(M101)</f>
        <v>25</v>
      </c>
      <c r="P101" s="12" t="n">
        <f aca="false">IF(N101=0,"",(N101-LEN(SUBSTITUTE(SUBSTITUTE(L101,"G",""),"C","")))/N101)</f>
        <v>0.48</v>
      </c>
      <c r="Q101" s="12" t="n">
        <f aca="false">IF(O101=0,"",(O101-LEN(SUBSTITUTE(SUBSTITUTE(M101,"G",""),"C","")))/O101)</f>
        <v>0.36</v>
      </c>
      <c r="R101" s="5"/>
      <c r="S101" s="5" t="s">
        <v>382</v>
      </c>
      <c r="T101" s="5"/>
      <c r="U101" s="5" t="s">
        <v>383</v>
      </c>
      <c r="V101" s="5" t="s">
        <v>1287</v>
      </c>
      <c r="W101" s="5"/>
      <c r="X101" s="13" t="s">
        <v>385</v>
      </c>
      <c r="Y101" s="5"/>
    </row>
    <row r="102" customFormat="false" ht="15" hidden="false" customHeight="false" outlineLevel="0" collapsed="false">
      <c r="A102" s="5" t="s">
        <v>1288</v>
      </c>
      <c r="B102" s="5" t="s">
        <v>124</v>
      </c>
      <c r="C102" s="5" t="s">
        <v>125</v>
      </c>
      <c r="D102" s="6" t="s">
        <v>45</v>
      </c>
      <c r="E102" s="5" t="n">
        <v>2</v>
      </c>
      <c r="F102" s="5" t="s">
        <v>1289</v>
      </c>
      <c r="G102" s="11" t="s">
        <v>1290</v>
      </c>
      <c r="H102" s="5" t="s">
        <v>1291</v>
      </c>
      <c r="I102" s="11" t="s">
        <v>1292</v>
      </c>
      <c r="J102" s="5" t="s">
        <v>1293</v>
      </c>
      <c r="K102" s="5" t="s">
        <v>1294</v>
      </c>
      <c r="L102" s="11" t="s">
        <v>1295</v>
      </c>
      <c r="M102" s="11" t="s">
        <v>1296</v>
      </c>
      <c r="N102" s="5" t="n">
        <f aca="false">LEN(L102)</f>
        <v>25</v>
      </c>
      <c r="O102" s="5" t="n">
        <f aca="false">LEN(M102)</f>
        <v>25</v>
      </c>
      <c r="P102" s="12" t="n">
        <f aca="false">IF(N102=0,"",(N102-LEN(SUBSTITUTE(SUBSTITUTE(L102,"G",""),"C","")))/N102)</f>
        <v>0.44</v>
      </c>
      <c r="Q102" s="12" t="n">
        <f aca="false">IF(O102=0,"",(O102-LEN(SUBSTITUTE(SUBSTITUTE(M102,"G",""),"C","")))/O102)</f>
        <v>0.48</v>
      </c>
      <c r="R102" s="5"/>
      <c r="S102" s="5" t="s">
        <v>382</v>
      </c>
      <c r="T102" s="5"/>
      <c r="U102" s="5" t="s">
        <v>383</v>
      </c>
      <c r="V102" s="5" t="s">
        <v>1287</v>
      </c>
      <c r="W102" s="5"/>
      <c r="X102" s="13" t="s">
        <v>385</v>
      </c>
      <c r="Y102" s="5"/>
    </row>
    <row r="103" customFormat="false" ht="15" hidden="false" customHeight="false" outlineLevel="0" collapsed="false">
      <c r="A103" s="5" t="s">
        <v>1297</v>
      </c>
      <c r="B103" s="5" t="s">
        <v>124</v>
      </c>
      <c r="C103" s="5" t="s">
        <v>125</v>
      </c>
      <c r="D103" s="6" t="s">
        <v>45</v>
      </c>
      <c r="E103" s="5" t="n">
        <v>3</v>
      </c>
      <c r="F103" s="5" t="s">
        <v>1298</v>
      </c>
      <c r="G103" s="11" t="s">
        <v>1299</v>
      </c>
      <c r="H103" s="5" t="s">
        <v>1300</v>
      </c>
      <c r="I103" s="11" t="s">
        <v>1301</v>
      </c>
      <c r="J103" s="5" t="s">
        <v>1302</v>
      </c>
      <c r="K103" s="5" t="s">
        <v>1303</v>
      </c>
      <c r="L103" s="11" t="s">
        <v>1304</v>
      </c>
      <c r="M103" s="11" t="s">
        <v>1305</v>
      </c>
      <c r="N103" s="5" t="n">
        <f aca="false">LEN(L103)</f>
        <v>25</v>
      </c>
      <c r="O103" s="5" t="n">
        <f aca="false">LEN(M103)</f>
        <v>25</v>
      </c>
      <c r="P103" s="12" t="n">
        <f aca="false">IF(N103=0,"",(N103-LEN(SUBSTITUTE(SUBSTITUTE(L103,"G",""),"C","")))/N103)</f>
        <v>0.48</v>
      </c>
      <c r="Q103" s="12" t="n">
        <f aca="false">IF(O103=0,"",(O103-LEN(SUBSTITUTE(SUBSTITUTE(M103,"G",""),"C","")))/O103)</f>
        <v>0.4</v>
      </c>
      <c r="R103" s="5"/>
      <c r="S103" s="5" t="s">
        <v>382</v>
      </c>
      <c r="T103" s="5"/>
      <c r="U103" s="5" t="s">
        <v>383</v>
      </c>
      <c r="V103" s="5" t="s">
        <v>1287</v>
      </c>
      <c r="W103" s="5"/>
      <c r="X103" s="13" t="s">
        <v>385</v>
      </c>
      <c r="Y103" s="5"/>
    </row>
    <row r="104" customFormat="false" ht="15" hidden="false" customHeight="false" outlineLevel="0" collapsed="false">
      <c r="A104" s="5" t="s">
        <v>1306</v>
      </c>
      <c r="B104" s="5" t="s">
        <v>130</v>
      </c>
      <c r="C104" s="5" t="s">
        <v>131</v>
      </c>
      <c r="D104" s="6" t="s">
        <v>45</v>
      </c>
      <c r="E104" s="5" t="n">
        <v>1</v>
      </c>
      <c r="F104" s="5" t="s">
        <v>1307</v>
      </c>
      <c r="G104" s="11" t="s">
        <v>1308</v>
      </c>
      <c r="H104" s="5" t="s">
        <v>1309</v>
      </c>
      <c r="I104" s="11" t="s">
        <v>1310</v>
      </c>
      <c r="J104" s="5" t="s">
        <v>1311</v>
      </c>
      <c r="K104" s="5" t="s">
        <v>1312</v>
      </c>
      <c r="L104" s="11" t="s">
        <v>1313</v>
      </c>
      <c r="M104" s="11" t="s">
        <v>1314</v>
      </c>
      <c r="N104" s="5" t="n">
        <f aca="false">LEN(L104)</f>
        <v>25</v>
      </c>
      <c r="O104" s="5" t="n">
        <f aca="false">LEN(M104)</f>
        <v>25</v>
      </c>
      <c r="P104" s="12" t="n">
        <f aca="false">IF(N104=0,"",(N104-LEN(SUBSTITUTE(SUBSTITUTE(L104,"G",""),"C","")))/N104)</f>
        <v>0.32</v>
      </c>
      <c r="Q104" s="12" t="n">
        <f aca="false">IF(O104=0,"",(O104-LEN(SUBSTITUTE(SUBSTITUTE(M104,"G",""),"C","")))/O104)</f>
        <v>0.36</v>
      </c>
      <c r="R104" s="5"/>
      <c r="S104" s="5" t="s">
        <v>382</v>
      </c>
      <c r="T104" s="5"/>
      <c r="U104" s="5" t="s">
        <v>383</v>
      </c>
      <c r="V104" s="5" t="s">
        <v>1315</v>
      </c>
      <c r="W104" s="5"/>
      <c r="X104" s="13" t="s">
        <v>385</v>
      </c>
      <c r="Y104" s="5"/>
    </row>
    <row r="105" customFormat="false" ht="15" hidden="false" customHeight="false" outlineLevel="0" collapsed="false">
      <c r="A105" s="5" t="s">
        <v>1316</v>
      </c>
      <c r="B105" s="5" t="s">
        <v>130</v>
      </c>
      <c r="C105" s="5" t="s">
        <v>131</v>
      </c>
      <c r="D105" s="6" t="s">
        <v>45</v>
      </c>
      <c r="E105" s="5" t="n">
        <v>2</v>
      </c>
      <c r="F105" s="5" t="s">
        <v>1317</v>
      </c>
      <c r="G105" s="11" t="s">
        <v>1318</v>
      </c>
      <c r="H105" s="5" t="s">
        <v>1319</v>
      </c>
      <c r="I105" s="11" t="s">
        <v>1320</v>
      </c>
      <c r="J105" s="5" t="s">
        <v>1321</v>
      </c>
      <c r="K105" s="5" t="s">
        <v>1322</v>
      </c>
      <c r="L105" s="11" t="s">
        <v>1323</v>
      </c>
      <c r="M105" s="11" t="s">
        <v>1324</v>
      </c>
      <c r="N105" s="5" t="n">
        <f aca="false">LEN(L105)</f>
        <v>25</v>
      </c>
      <c r="O105" s="5" t="n">
        <f aca="false">LEN(M105)</f>
        <v>25</v>
      </c>
      <c r="P105" s="12" t="n">
        <f aca="false">IF(N105=0,"",(N105-LEN(SUBSTITUTE(SUBSTITUTE(L105,"G",""),"C","")))/N105)</f>
        <v>0.56</v>
      </c>
      <c r="Q105" s="12" t="n">
        <f aca="false">IF(O105=0,"",(O105-LEN(SUBSTITUTE(SUBSTITUTE(M105,"G",""),"C","")))/O105)</f>
        <v>0.64</v>
      </c>
      <c r="R105" s="5"/>
      <c r="S105" s="5" t="s">
        <v>382</v>
      </c>
      <c r="T105" s="5"/>
      <c r="U105" s="5" t="s">
        <v>383</v>
      </c>
      <c r="V105" s="5" t="s">
        <v>1315</v>
      </c>
      <c r="W105" s="5"/>
      <c r="X105" s="13" t="s">
        <v>385</v>
      </c>
      <c r="Y105" s="5"/>
    </row>
    <row r="106" customFormat="false" ht="15" hidden="false" customHeight="false" outlineLevel="0" collapsed="false">
      <c r="A106" s="5" t="s">
        <v>1325</v>
      </c>
      <c r="B106" s="5" t="s">
        <v>130</v>
      </c>
      <c r="C106" s="5" t="s">
        <v>131</v>
      </c>
      <c r="D106" s="6" t="s">
        <v>45</v>
      </c>
      <c r="E106" s="5" t="n">
        <v>3</v>
      </c>
      <c r="F106" s="5" t="s">
        <v>1326</v>
      </c>
      <c r="G106" s="11" t="s">
        <v>1327</v>
      </c>
      <c r="H106" s="5" t="s">
        <v>1328</v>
      </c>
      <c r="I106" s="11" t="s">
        <v>1329</v>
      </c>
      <c r="J106" s="5" t="s">
        <v>1330</v>
      </c>
      <c r="K106" s="5" t="s">
        <v>1331</v>
      </c>
      <c r="L106" s="11" t="s">
        <v>1332</v>
      </c>
      <c r="M106" s="11" t="s">
        <v>1333</v>
      </c>
      <c r="N106" s="5" t="n">
        <f aca="false">LEN(L106)</f>
        <v>25</v>
      </c>
      <c r="O106" s="5" t="n">
        <f aca="false">LEN(M106)</f>
        <v>25</v>
      </c>
      <c r="P106" s="12" t="n">
        <f aca="false">IF(N106=0,"",(N106-LEN(SUBSTITUTE(SUBSTITUTE(L106,"G",""),"C","")))/N106)</f>
        <v>0.44</v>
      </c>
      <c r="Q106" s="12" t="n">
        <f aca="false">IF(O106=0,"",(O106-LEN(SUBSTITUTE(SUBSTITUTE(M106,"G",""),"C","")))/O106)</f>
        <v>0.68</v>
      </c>
      <c r="R106" s="5"/>
      <c r="S106" s="5" t="s">
        <v>382</v>
      </c>
      <c r="T106" s="5"/>
      <c r="U106" s="5" t="s">
        <v>383</v>
      </c>
      <c r="V106" s="5" t="s">
        <v>1315</v>
      </c>
      <c r="W106" s="5"/>
      <c r="X106" s="13" t="s">
        <v>385</v>
      </c>
      <c r="Y106" s="5"/>
    </row>
    <row r="107" customFormat="false" ht="15" hidden="false" customHeight="false" outlineLevel="0" collapsed="false">
      <c r="A107" s="5" t="s">
        <v>1334</v>
      </c>
      <c r="B107" s="5" t="s">
        <v>130</v>
      </c>
      <c r="C107" s="5" t="s">
        <v>131</v>
      </c>
      <c r="D107" s="6" t="s">
        <v>45</v>
      </c>
      <c r="E107" s="5" t="n">
        <v>4</v>
      </c>
      <c r="F107" s="5" t="s">
        <v>1335</v>
      </c>
      <c r="G107" s="11" t="s">
        <v>1336</v>
      </c>
      <c r="H107" s="5" t="s">
        <v>1337</v>
      </c>
      <c r="I107" s="11" t="s">
        <v>1338</v>
      </c>
      <c r="J107" s="5" t="s">
        <v>1339</v>
      </c>
      <c r="K107" s="5" t="s">
        <v>1340</v>
      </c>
      <c r="L107" s="11" t="s">
        <v>1341</v>
      </c>
      <c r="M107" s="11" t="s">
        <v>1342</v>
      </c>
      <c r="N107" s="5" t="n">
        <f aca="false">LEN(L107)</f>
        <v>25</v>
      </c>
      <c r="O107" s="5" t="n">
        <f aca="false">LEN(M107)</f>
        <v>25</v>
      </c>
      <c r="P107" s="12" t="n">
        <f aca="false">IF(N107=0,"",(N107-LEN(SUBSTITUTE(SUBSTITUTE(L107,"G",""),"C","")))/N107)</f>
        <v>0.52</v>
      </c>
      <c r="Q107" s="12" t="n">
        <f aca="false">IF(O107=0,"",(O107-LEN(SUBSTITUTE(SUBSTITUTE(M107,"G",""),"C","")))/O107)</f>
        <v>0.76</v>
      </c>
      <c r="R107" s="5"/>
      <c r="S107" s="5" t="s">
        <v>382</v>
      </c>
      <c r="T107" s="5"/>
      <c r="U107" s="5" t="s">
        <v>383</v>
      </c>
      <c r="V107" s="5" t="s">
        <v>1315</v>
      </c>
      <c r="W107" s="5"/>
      <c r="X107" s="13" t="s">
        <v>385</v>
      </c>
      <c r="Y107" s="5"/>
    </row>
    <row r="108" customFormat="false" ht="15" hidden="false" customHeight="false" outlineLevel="0" collapsed="false">
      <c r="A108" s="5" t="s">
        <v>1343</v>
      </c>
      <c r="B108" s="5" t="s">
        <v>130</v>
      </c>
      <c r="C108" s="5" t="s">
        <v>131</v>
      </c>
      <c r="D108" s="6" t="s">
        <v>45</v>
      </c>
      <c r="E108" s="5" t="n">
        <v>5</v>
      </c>
      <c r="F108" s="5" t="s">
        <v>1344</v>
      </c>
      <c r="G108" s="11" t="s">
        <v>1345</v>
      </c>
      <c r="H108" s="5" t="s">
        <v>1346</v>
      </c>
      <c r="I108" s="11" t="s">
        <v>1347</v>
      </c>
      <c r="J108" s="5" t="s">
        <v>1348</v>
      </c>
      <c r="K108" s="5" t="s">
        <v>1349</v>
      </c>
      <c r="L108" s="11" t="s">
        <v>1350</v>
      </c>
      <c r="M108" s="11" t="s">
        <v>1351</v>
      </c>
      <c r="N108" s="5" t="n">
        <f aca="false">LEN(L108)</f>
        <v>25</v>
      </c>
      <c r="O108" s="5" t="n">
        <f aca="false">LEN(M108)</f>
        <v>25</v>
      </c>
      <c r="P108" s="12" t="n">
        <f aca="false">IF(N108=0,"",(N108-LEN(SUBSTITUTE(SUBSTITUTE(L108,"G",""),"C","")))/N108)</f>
        <v>0.4</v>
      </c>
      <c r="Q108" s="12" t="n">
        <f aca="false">IF(O108=0,"",(O108-LEN(SUBSTITUTE(SUBSTITUTE(M108,"G",""),"C","")))/O108)</f>
        <v>0.52</v>
      </c>
      <c r="R108" s="5"/>
      <c r="S108" s="5" t="s">
        <v>382</v>
      </c>
      <c r="T108" s="5"/>
      <c r="U108" s="5" t="s">
        <v>383</v>
      </c>
      <c r="V108" s="5" t="s">
        <v>1315</v>
      </c>
      <c r="W108" s="5"/>
      <c r="X108" s="13" t="s">
        <v>385</v>
      </c>
      <c r="Y108" s="5"/>
    </row>
    <row r="109" customFormat="false" ht="15" hidden="false" customHeight="false" outlineLevel="0" collapsed="false">
      <c r="A109" s="5" t="s">
        <v>1352</v>
      </c>
      <c r="B109" s="5" t="s">
        <v>130</v>
      </c>
      <c r="C109" s="5" t="s">
        <v>131</v>
      </c>
      <c r="D109" s="6" t="s">
        <v>45</v>
      </c>
      <c r="E109" s="5" t="n">
        <v>6</v>
      </c>
      <c r="F109" s="5" t="s">
        <v>1353</v>
      </c>
      <c r="G109" s="11" t="s">
        <v>1354</v>
      </c>
      <c r="H109" s="5" t="s">
        <v>1355</v>
      </c>
      <c r="I109" s="11" t="s">
        <v>1356</v>
      </c>
      <c r="J109" s="5" t="s">
        <v>1357</v>
      </c>
      <c r="K109" s="5" t="s">
        <v>1358</v>
      </c>
      <c r="L109" s="11" t="s">
        <v>1359</v>
      </c>
      <c r="M109" s="11" t="s">
        <v>1360</v>
      </c>
      <c r="N109" s="5" t="n">
        <f aca="false">LEN(L109)</f>
        <v>25</v>
      </c>
      <c r="O109" s="5" t="n">
        <f aca="false">LEN(M109)</f>
        <v>25</v>
      </c>
      <c r="P109" s="12" t="n">
        <f aca="false">IF(N109=0,"",(N109-LEN(SUBSTITUTE(SUBSTITUTE(L109,"G",""),"C","")))/N109)</f>
        <v>0.52</v>
      </c>
      <c r="Q109" s="12" t="n">
        <f aca="false">IF(O109=0,"",(O109-LEN(SUBSTITUTE(SUBSTITUTE(M109,"G",""),"C","")))/O109)</f>
        <v>0.56</v>
      </c>
      <c r="R109" s="5"/>
      <c r="S109" s="5" t="s">
        <v>382</v>
      </c>
      <c r="T109" s="5"/>
      <c r="U109" s="5" t="s">
        <v>383</v>
      </c>
      <c r="V109" s="5" t="s">
        <v>1315</v>
      </c>
      <c r="W109" s="5"/>
      <c r="X109" s="13" t="s">
        <v>385</v>
      </c>
      <c r="Y109" s="5"/>
    </row>
    <row r="110" customFormat="false" ht="15" hidden="false" customHeight="false" outlineLevel="0" collapsed="false">
      <c r="A110" s="5" t="s">
        <v>1361</v>
      </c>
      <c r="B110" s="5" t="s">
        <v>130</v>
      </c>
      <c r="C110" s="5" t="s">
        <v>131</v>
      </c>
      <c r="D110" s="6" t="s">
        <v>45</v>
      </c>
      <c r="E110" s="5" t="n">
        <v>7</v>
      </c>
      <c r="F110" s="5" t="s">
        <v>1362</v>
      </c>
      <c r="G110" s="11" t="s">
        <v>1363</v>
      </c>
      <c r="H110" s="5" t="s">
        <v>1364</v>
      </c>
      <c r="I110" s="11" t="s">
        <v>1365</v>
      </c>
      <c r="J110" s="5" t="s">
        <v>1366</v>
      </c>
      <c r="K110" s="5" t="s">
        <v>1367</v>
      </c>
      <c r="L110" s="11" t="s">
        <v>1368</v>
      </c>
      <c r="M110" s="11" t="s">
        <v>1369</v>
      </c>
      <c r="N110" s="5" t="n">
        <f aca="false">LEN(L110)</f>
        <v>25</v>
      </c>
      <c r="O110" s="5" t="n">
        <f aca="false">LEN(M110)</f>
        <v>25</v>
      </c>
      <c r="P110" s="12" t="n">
        <f aca="false">IF(N110=0,"",(N110-LEN(SUBSTITUTE(SUBSTITUTE(L110,"G",""),"C","")))/N110)</f>
        <v>0.6</v>
      </c>
      <c r="Q110" s="12" t="n">
        <f aca="false">IF(O110=0,"",(O110-LEN(SUBSTITUTE(SUBSTITUTE(M110,"G",""),"C","")))/O110)</f>
        <v>0.48</v>
      </c>
      <c r="R110" s="5"/>
      <c r="S110" s="5" t="s">
        <v>382</v>
      </c>
      <c r="T110" s="5"/>
      <c r="U110" s="5" t="s">
        <v>383</v>
      </c>
      <c r="V110" s="5" t="s">
        <v>1315</v>
      </c>
      <c r="W110" s="5"/>
      <c r="X110" s="13" t="s">
        <v>385</v>
      </c>
      <c r="Y110" s="5"/>
    </row>
    <row r="111" customFormat="false" ht="15" hidden="false" customHeight="false" outlineLevel="0" collapsed="false">
      <c r="A111" s="5" t="s">
        <v>1370</v>
      </c>
      <c r="B111" s="5" t="s">
        <v>130</v>
      </c>
      <c r="C111" s="5" t="s">
        <v>131</v>
      </c>
      <c r="D111" s="6" t="s">
        <v>45</v>
      </c>
      <c r="E111" s="5" t="n">
        <v>8</v>
      </c>
      <c r="F111" s="5" t="s">
        <v>1371</v>
      </c>
      <c r="G111" s="11" t="s">
        <v>1372</v>
      </c>
      <c r="H111" s="5" t="s">
        <v>1373</v>
      </c>
      <c r="I111" s="11" t="s">
        <v>1374</v>
      </c>
      <c r="J111" s="5" t="s">
        <v>1375</v>
      </c>
      <c r="K111" s="5" t="s">
        <v>1376</v>
      </c>
      <c r="L111" s="11" t="s">
        <v>1377</v>
      </c>
      <c r="M111" s="11" t="s">
        <v>1378</v>
      </c>
      <c r="N111" s="5" t="n">
        <f aca="false">LEN(L111)</f>
        <v>25</v>
      </c>
      <c r="O111" s="5" t="n">
        <f aca="false">LEN(M111)</f>
        <v>25</v>
      </c>
      <c r="P111" s="12" t="n">
        <f aca="false">IF(N111=0,"",(N111-LEN(SUBSTITUTE(SUBSTITUTE(L111,"G",""),"C","")))/N111)</f>
        <v>0.4</v>
      </c>
      <c r="Q111" s="12" t="n">
        <f aca="false">IF(O111=0,"",(O111-LEN(SUBSTITUTE(SUBSTITUTE(M111,"G",""),"C","")))/O111)</f>
        <v>0.4</v>
      </c>
      <c r="R111" s="5"/>
      <c r="S111" s="5" t="s">
        <v>382</v>
      </c>
      <c r="T111" s="5"/>
      <c r="U111" s="5" t="s">
        <v>383</v>
      </c>
      <c r="V111" s="5" t="s">
        <v>1315</v>
      </c>
      <c r="W111" s="5"/>
      <c r="X111" s="13" t="s">
        <v>385</v>
      </c>
      <c r="Y111" s="5"/>
    </row>
    <row r="112" customFormat="false" ht="15" hidden="false" customHeight="false" outlineLevel="0" collapsed="false">
      <c r="A112" s="5" t="s">
        <v>1379</v>
      </c>
      <c r="B112" s="5" t="s">
        <v>130</v>
      </c>
      <c r="C112" s="5" t="s">
        <v>131</v>
      </c>
      <c r="D112" s="6" t="s">
        <v>45</v>
      </c>
      <c r="E112" s="5" t="n">
        <v>9</v>
      </c>
      <c r="F112" s="5" t="s">
        <v>1380</v>
      </c>
      <c r="G112" s="11" t="s">
        <v>1381</v>
      </c>
      <c r="H112" s="5" t="s">
        <v>1382</v>
      </c>
      <c r="I112" s="11" t="s">
        <v>1383</v>
      </c>
      <c r="J112" s="5" t="s">
        <v>1384</v>
      </c>
      <c r="K112" s="5" t="s">
        <v>1385</v>
      </c>
      <c r="L112" s="11" t="s">
        <v>1386</v>
      </c>
      <c r="M112" s="11" t="s">
        <v>1387</v>
      </c>
      <c r="N112" s="5" t="n">
        <f aca="false">LEN(L112)</f>
        <v>25</v>
      </c>
      <c r="O112" s="5" t="n">
        <f aca="false">LEN(M112)</f>
        <v>25</v>
      </c>
      <c r="P112" s="12" t="n">
        <f aca="false">IF(N112=0,"",(N112-LEN(SUBSTITUTE(SUBSTITUTE(L112,"G",""),"C","")))/N112)</f>
        <v>0.48</v>
      </c>
      <c r="Q112" s="12" t="n">
        <f aca="false">IF(O112=0,"",(O112-LEN(SUBSTITUTE(SUBSTITUTE(M112,"G",""),"C","")))/O112)</f>
        <v>0.4</v>
      </c>
      <c r="R112" s="5"/>
      <c r="S112" s="5" t="s">
        <v>382</v>
      </c>
      <c r="T112" s="5"/>
      <c r="U112" s="5" t="s">
        <v>383</v>
      </c>
      <c r="V112" s="5" t="s">
        <v>1315</v>
      </c>
      <c r="W112" s="5"/>
      <c r="X112" s="13" t="s">
        <v>385</v>
      </c>
      <c r="Y112" s="5"/>
    </row>
    <row r="113" customFormat="false" ht="15" hidden="false" customHeight="false" outlineLevel="0" collapsed="false">
      <c r="A113" s="5" t="s">
        <v>1388</v>
      </c>
      <c r="B113" s="5" t="s">
        <v>130</v>
      </c>
      <c r="C113" s="5" t="s">
        <v>131</v>
      </c>
      <c r="D113" s="6" t="s">
        <v>45</v>
      </c>
      <c r="E113" s="5" t="n">
        <v>10</v>
      </c>
      <c r="F113" s="5" t="s">
        <v>1389</v>
      </c>
      <c r="G113" s="11" t="s">
        <v>1390</v>
      </c>
      <c r="H113" s="5" t="s">
        <v>1391</v>
      </c>
      <c r="I113" s="11" t="s">
        <v>1392</v>
      </c>
      <c r="J113" s="5" t="s">
        <v>1393</v>
      </c>
      <c r="K113" s="5" t="s">
        <v>1394</v>
      </c>
      <c r="L113" s="11" t="s">
        <v>1395</v>
      </c>
      <c r="M113" s="11" t="s">
        <v>1396</v>
      </c>
      <c r="N113" s="5" t="n">
        <f aca="false">LEN(L113)</f>
        <v>25</v>
      </c>
      <c r="O113" s="5" t="n">
        <f aca="false">LEN(M113)</f>
        <v>25</v>
      </c>
      <c r="P113" s="12" t="n">
        <f aca="false">IF(N113=0,"",(N113-LEN(SUBSTITUTE(SUBSTITUTE(L113,"G",""),"C","")))/N113)</f>
        <v>0.56</v>
      </c>
      <c r="Q113" s="12" t="n">
        <f aca="false">IF(O113=0,"",(O113-LEN(SUBSTITUTE(SUBSTITUTE(M113,"G",""),"C","")))/O113)</f>
        <v>0.56</v>
      </c>
      <c r="R113" s="5"/>
      <c r="S113" s="5" t="s">
        <v>382</v>
      </c>
      <c r="T113" s="5"/>
      <c r="U113" s="5" t="s">
        <v>383</v>
      </c>
      <c r="V113" s="5" t="s">
        <v>1315</v>
      </c>
      <c r="W113" s="5"/>
      <c r="X113" s="13" t="s">
        <v>385</v>
      </c>
      <c r="Y113" s="5"/>
    </row>
    <row r="114" customFormat="false" ht="15" hidden="false" customHeight="false" outlineLevel="0" collapsed="false">
      <c r="A114" s="5" t="s">
        <v>1397</v>
      </c>
      <c r="B114" s="5" t="s">
        <v>130</v>
      </c>
      <c r="C114" s="5" t="s">
        <v>131</v>
      </c>
      <c r="D114" s="6" t="s">
        <v>45</v>
      </c>
      <c r="E114" s="5" t="n">
        <v>11</v>
      </c>
      <c r="F114" s="5" t="s">
        <v>1398</v>
      </c>
      <c r="G114" s="11" t="s">
        <v>1399</v>
      </c>
      <c r="H114" s="5" t="s">
        <v>1400</v>
      </c>
      <c r="I114" s="11" t="s">
        <v>1401</v>
      </c>
      <c r="J114" s="5" t="s">
        <v>1402</v>
      </c>
      <c r="K114" s="5" t="s">
        <v>1403</v>
      </c>
      <c r="L114" s="11" t="s">
        <v>1404</v>
      </c>
      <c r="M114" s="11" t="s">
        <v>1405</v>
      </c>
      <c r="N114" s="5" t="n">
        <f aca="false">LEN(L114)</f>
        <v>25</v>
      </c>
      <c r="O114" s="5" t="n">
        <f aca="false">LEN(M114)</f>
        <v>25</v>
      </c>
      <c r="P114" s="12" t="n">
        <f aca="false">IF(N114=0,"",(N114-LEN(SUBSTITUTE(SUBSTITUTE(L114,"G",""),"C","")))/N114)</f>
        <v>0.56</v>
      </c>
      <c r="Q114" s="12" t="n">
        <f aca="false">IF(O114=0,"",(O114-LEN(SUBSTITUTE(SUBSTITUTE(M114,"G",""),"C","")))/O114)</f>
        <v>0.64</v>
      </c>
      <c r="R114" s="5"/>
      <c r="S114" s="5" t="s">
        <v>382</v>
      </c>
      <c r="T114" s="5"/>
      <c r="U114" s="5" t="s">
        <v>383</v>
      </c>
      <c r="V114" s="5" t="s">
        <v>1315</v>
      </c>
      <c r="W114" s="5"/>
      <c r="X114" s="13" t="s">
        <v>385</v>
      </c>
      <c r="Y114" s="5"/>
    </row>
    <row r="115" customFormat="false" ht="15" hidden="false" customHeight="false" outlineLevel="0" collapsed="false">
      <c r="A115" s="5" t="s">
        <v>1406</v>
      </c>
      <c r="B115" s="5" t="s">
        <v>130</v>
      </c>
      <c r="C115" s="5" t="s">
        <v>131</v>
      </c>
      <c r="D115" s="6" t="s">
        <v>45</v>
      </c>
      <c r="E115" s="5" t="n">
        <v>12</v>
      </c>
      <c r="F115" s="5" t="s">
        <v>1407</v>
      </c>
      <c r="G115" s="11" t="s">
        <v>1408</v>
      </c>
      <c r="H115" s="5" t="s">
        <v>1409</v>
      </c>
      <c r="I115" s="11" t="s">
        <v>1410</v>
      </c>
      <c r="J115" s="5" t="s">
        <v>1411</v>
      </c>
      <c r="K115" s="5" t="s">
        <v>1412</v>
      </c>
      <c r="L115" s="11" t="s">
        <v>1413</v>
      </c>
      <c r="M115" s="11" t="s">
        <v>1414</v>
      </c>
      <c r="N115" s="5" t="n">
        <f aca="false">LEN(L115)</f>
        <v>25</v>
      </c>
      <c r="O115" s="5" t="n">
        <f aca="false">LEN(M115)</f>
        <v>25</v>
      </c>
      <c r="P115" s="12" t="n">
        <f aca="false">IF(N115=0,"",(N115-LEN(SUBSTITUTE(SUBSTITUTE(L115,"G",""),"C","")))/N115)</f>
        <v>0.52</v>
      </c>
      <c r="Q115" s="12" t="n">
        <f aca="false">IF(O115=0,"",(O115-LEN(SUBSTITUTE(SUBSTITUTE(M115,"G",""),"C","")))/O115)</f>
        <v>0.36</v>
      </c>
      <c r="R115" s="5"/>
      <c r="S115" s="5" t="s">
        <v>382</v>
      </c>
      <c r="T115" s="5"/>
      <c r="U115" s="5" t="s">
        <v>383</v>
      </c>
      <c r="V115" s="5" t="s">
        <v>1315</v>
      </c>
      <c r="W115" s="5"/>
      <c r="X115" s="13" t="s">
        <v>385</v>
      </c>
      <c r="Y115" s="5"/>
    </row>
    <row r="116" customFormat="false" ht="15" hidden="false" customHeight="false" outlineLevel="0" collapsed="false">
      <c r="A116" s="5" t="s">
        <v>1415</v>
      </c>
      <c r="B116" s="5" t="s">
        <v>135</v>
      </c>
      <c r="C116" s="5" t="s">
        <v>136</v>
      </c>
      <c r="D116" s="6" t="s">
        <v>45</v>
      </c>
      <c r="E116" s="5" t="n">
        <v>1</v>
      </c>
      <c r="F116" s="5" t="s">
        <v>1416</v>
      </c>
      <c r="G116" s="11" t="s">
        <v>1417</v>
      </c>
      <c r="H116" s="5" t="s">
        <v>1418</v>
      </c>
      <c r="I116" s="11" t="s">
        <v>1419</v>
      </c>
      <c r="J116" s="5" t="s">
        <v>1420</v>
      </c>
      <c r="K116" s="5" t="s">
        <v>1421</v>
      </c>
      <c r="L116" s="11" t="s">
        <v>1422</v>
      </c>
      <c r="M116" s="11" t="s">
        <v>1423</v>
      </c>
      <c r="N116" s="5" t="n">
        <f aca="false">LEN(L116)</f>
        <v>25</v>
      </c>
      <c r="O116" s="5" t="n">
        <f aca="false">LEN(M116)</f>
        <v>25</v>
      </c>
      <c r="P116" s="12" t="n">
        <f aca="false">IF(N116=0,"",(N116-LEN(SUBSTITUTE(SUBSTITUTE(L116,"G",""),"C","")))/N116)</f>
        <v>0.44</v>
      </c>
      <c r="Q116" s="12" t="n">
        <f aca="false">IF(O116=0,"",(O116-LEN(SUBSTITUTE(SUBSTITUTE(M116,"G",""),"C","")))/O116)</f>
        <v>0.48</v>
      </c>
      <c r="R116" s="5"/>
      <c r="S116" s="5" t="s">
        <v>382</v>
      </c>
      <c r="T116" s="5"/>
      <c r="U116" s="5" t="s">
        <v>383</v>
      </c>
      <c r="V116" s="5" t="s">
        <v>1424</v>
      </c>
      <c r="W116" s="5"/>
      <c r="X116" s="13" t="s">
        <v>385</v>
      </c>
      <c r="Y116" s="5"/>
    </row>
    <row r="117" customFormat="false" ht="15" hidden="false" customHeight="false" outlineLevel="0" collapsed="false">
      <c r="A117" s="5" t="s">
        <v>1425</v>
      </c>
      <c r="B117" s="5" t="s">
        <v>135</v>
      </c>
      <c r="C117" s="5" t="s">
        <v>136</v>
      </c>
      <c r="D117" s="6" t="s">
        <v>45</v>
      </c>
      <c r="E117" s="5" t="n">
        <v>2</v>
      </c>
      <c r="F117" s="5" t="s">
        <v>1426</v>
      </c>
      <c r="G117" s="11" t="s">
        <v>1427</v>
      </c>
      <c r="H117" s="5" t="s">
        <v>1428</v>
      </c>
      <c r="I117" s="11" t="s">
        <v>1429</v>
      </c>
      <c r="J117" s="5" t="s">
        <v>1430</v>
      </c>
      <c r="K117" s="5" t="s">
        <v>1431</v>
      </c>
      <c r="L117" s="11" t="s">
        <v>1432</v>
      </c>
      <c r="M117" s="11" t="s">
        <v>1433</v>
      </c>
      <c r="N117" s="5" t="n">
        <f aca="false">LEN(L117)</f>
        <v>25</v>
      </c>
      <c r="O117" s="5" t="n">
        <f aca="false">LEN(M117)</f>
        <v>25</v>
      </c>
      <c r="P117" s="12" t="n">
        <f aca="false">IF(N117=0,"",(N117-LEN(SUBSTITUTE(SUBSTITUTE(L117,"G",""),"C","")))/N117)</f>
        <v>0.4</v>
      </c>
      <c r="Q117" s="12" t="n">
        <f aca="false">IF(O117=0,"",(O117-LEN(SUBSTITUTE(SUBSTITUTE(M117,"G",""),"C","")))/O117)</f>
        <v>0.68</v>
      </c>
      <c r="R117" s="5"/>
      <c r="S117" s="5" t="s">
        <v>382</v>
      </c>
      <c r="T117" s="5"/>
      <c r="U117" s="5" t="s">
        <v>383</v>
      </c>
      <c r="V117" s="5" t="s">
        <v>1424</v>
      </c>
      <c r="W117" s="5"/>
      <c r="X117" s="13" t="s">
        <v>385</v>
      </c>
      <c r="Y117" s="5"/>
    </row>
    <row r="118" customFormat="false" ht="15" hidden="false" customHeight="false" outlineLevel="0" collapsed="false">
      <c r="A118" s="5" t="s">
        <v>1434</v>
      </c>
      <c r="B118" s="5" t="s">
        <v>135</v>
      </c>
      <c r="C118" s="5" t="s">
        <v>136</v>
      </c>
      <c r="D118" s="6" t="s">
        <v>45</v>
      </c>
      <c r="E118" s="5" t="n">
        <v>3</v>
      </c>
      <c r="F118" s="5" t="s">
        <v>1435</v>
      </c>
      <c r="G118" s="11" t="s">
        <v>1436</v>
      </c>
      <c r="H118" s="5" t="s">
        <v>1437</v>
      </c>
      <c r="I118" s="11" t="s">
        <v>1438</v>
      </c>
      <c r="J118" s="5" t="s">
        <v>1439</v>
      </c>
      <c r="K118" s="5" t="s">
        <v>1440</v>
      </c>
      <c r="L118" s="11" t="s">
        <v>1441</v>
      </c>
      <c r="M118" s="11" t="s">
        <v>1442</v>
      </c>
      <c r="N118" s="5" t="n">
        <f aca="false">LEN(L118)</f>
        <v>25</v>
      </c>
      <c r="O118" s="5" t="n">
        <f aca="false">LEN(M118)</f>
        <v>25</v>
      </c>
      <c r="P118" s="12" t="n">
        <f aca="false">IF(N118=0,"",(N118-LEN(SUBSTITUTE(SUBSTITUTE(L118,"G",""),"C","")))/N118)</f>
        <v>0.28</v>
      </c>
      <c r="Q118" s="12" t="n">
        <f aca="false">IF(O118=0,"",(O118-LEN(SUBSTITUTE(SUBSTITUTE(M118,"G",""),"C","")))/O118)</f>
        <v>0.36</v>
      </c>
      <c r="R118" s="5"/>
      <c r="S118" s="5" t="s">
        <v>382</v>
      </c>
      <c r="T118" s="5"/>
      <c r="U118" s="5" t="s">
        <v>383</v>
      </c>
      <c r="V118" s="5" t="s">
        <v>1424</v>
      </c>
      <c r="W118" s="5"/>
      <c r="X118" s="13" t="s">
        <v>385</v>
      </c>
      <c r="Y118" s="5"/>
    </row>
    <row r="119" customFormat="false" ht="15" hidden="false" customHeight="false" outlineLevel="0" collapsed="false">
      <c r="A119" s="5" t="s">
        <v>1443</v>
      </c>
      <c r="B119" s="5" t="s">
        <v>135</v>
      </c>
      <c r="C119" s="5" t="s">
        <v>136</v>
      </c>
      <c r="D119" s="6" t="s">
        <v>45</v>
      </c>
      <c r="E119" s="5" t="n">
        <v>4</v>
      </c>
      <c r="F119" s="5" t="s">
        <v>1444</v>
      </c>
      <c r="G119" s="11" t="s">
        <v>1445</v>
      </c>
      <c r="H119" s="5" t="s">
        <v>1446</v>
      </c>
      <c r="I119" s="11" t="s">
        <v>1447</v>
      </c>
      <c r="J119" s="5" t="s">
        <v>1448</v>
      </c>
      <c r="K119" s="5" t="s">
        <v>1449</v>
      </c>
      <c r="L119" s="11" t="s">
        <v>1450</v>
      </c>
      <c r="M119" s="11" t="s">
        <v>1451</v>
      </c>
      <c r="N119" s="5" t="n">
        <f aca="false">LEN(L119)</f>
        <v>25</v>
      </c>
      <c r="O119" s="5" t="n">
        <f aca="false">LEN(M119)</f>
        <v>25</v>
      </c>
      <c r="P119" s="12" t="n">
        <f aca="false">IF(N119=0,"",(N119-LEN(SUBSTITUTE(SUBSTITUTE(L119,"G",""),"C","")))/N119)</f>
        <v>0.28</v>
      </c>
      <c r="Q119" s="12" t="n">
        <f aca="false">IF(O119=0,"",(O119-LEN(SUBSTITUTE(SUBSTITUTE(M119,"G",""),"C","")))/O119)</f>
        <v>0.68</v>
      </c>
      <c r="R119" s="5"/>
      <c r="S119" s="5" t="s">
        <v>382</v>
      </c>
      <c r="T119" s="5"/>
      <c r="U119" s="5" t="s">
        <v>383</v>
      </c>
      <c r="V119" s="5" t="s">
        <v>1424</v>
      </c>
      <c r="W119" s="5"/>
      <c r="X119" s="13" t="s">
        <v>385</v>
      </c>
      <c r="Y119" s="5"/>
    </row>
    <row r="120" customFormat="false" ht="15" hidden="false" customHeight="false" outlineLevel="0" collapsed="false">
      <c r="A120" s="5" t="s">
        <v>1452</v>
      </c>
      <c r="B120" s="5" t="s">
        <v>135</v>
      </c>
      <c r="C120" s="5" t="s">
        <v>136</v>
      </c>
      <c r="D120" s="6" t="s">
        <v>45</v>
      </c>
      <c r="E120" s="5" t="n">
        <v>5</v>
      </c>
      <c r="F120" s="5" t="s">
        <v>1453</v>
      </c>
      <c r="G120" s="11" t="s">
        <v>1454</v>
      </c>
      <c r="H120" s="5" t="s">
        <v>1455</v>
      </c>
      <c r="I120" s="11" t="s">
        <v>1456</v>
      </c>
      <c r="J120" s="5" t="s">
        <v>1457</v>
      </c>
      <c r="K120" s="5" t="s">
        <v>1458</v>
      </c>
      <c r="L120" s="11" t="s">
        <v>1459</v>
      </c>
      <c r="M120" s="11" t="s">
        <v>1460</v>
      </c>
      <c r="N120" s="5" t="n">
        <f aca="false">LEN(L120)</f>
        <v>25</v>
      </c>
      <c r="O120" s="5" t="n">
        <f aca="false">LEN(M120)</f>
        <v>25</v>
      </c>
      <c r="P120" s="12" t="n">
        <f aca="false">IF(N120=0,"",(N120-LEN(SUBSTITUTE(SUBSTITUTE(L120,"G",""),"C","")))/N120)</f>
        <v>0.4</v>
      </c>
      <c r="Q120" s="12" t="n">
        <f aca="false">IF(O120=0,"",(O120-LEN(SUBSTITUTE(SUBSTITUTE(M120,"G",""),"C","")))/O120)</f>
        <v>0.44</v>
      </c>
      <c r="R120" s="5"/>
      <c r="S120" s="5" t="s">
        <v>382</v>
      </c>
      <c r="T120" s="5"/>
      <c r="U120" s="5" t="s">
        <v>383</v>
      </c>
      <c r="V120" s="5" t="s">
        <v>1424</v>
      </c>
      <c r="W120" s="5"/>
      <c r="X120" s="13" t="s">
        <v>385</v>
      </c>
      <c r="Y120" s="5"/>
    </row>
    <row r="121" customFormat="false" ht="15" hidden="false" customHeight="false" outlineLevel="0" collapsed="false">
      <c r="A121" s="5" t="s">
        <v>1461</v>
      </c>
      <c r="B121" s="5" t="s">
        <v>135</v>
      </c>
      <c r="C121" s="5" t="s">
        <v>136</v>
      </c>
      <c r="D121" s="6" t="s">
        <v>45</v>
      </c>
      <c r="E121" s="5" t="n">
        <v>6</v>
      </c>
      <c r="F121" s="5" t="s">
        <v>1462</v>
      </c>
      <c r="G121" s="11" t="s">
        <v>1463</v>
      </c>
      <c r="H121" s="5" t="s">
        <v>1464</v>
      </c>
      <c r="I121" s="11" t="s">
        <v>1465</v>
      </c>
      <c r="J121" s="5" t="s">
        <v>1466</v>
      </c>
      <c r="K121" s="5" t="s">
        <v>1467</v>
      </c>
      <c r="L121" s="11" t="s">
        <v>1468</v>
      </c>
      <c r="M121" s="11" t="s">
        <v>1469</v>
      </c>
      <c r="N121" s="5" t="n">
        <f aca="false">LEN(L121)</f>
        <v>25</v>
      </c>
      <c r="O121" s="5" t="n">
        <f aca="false">LEN(M121)</f>
        <v>25</v>
      </c>
      <c r="P121" s="12" t="n">
        <f aca="false">IF(N121=0,"",(N121-LEN(SUBSTITUTE(SUBSTITUTE(L121,"G",""),"C","")))/N121)</f>
        <v>0.4</v>
      </c>
      <c r="Q121" s="12" t="n">
        <f aca="false">IF(O121=0,"",(O121-LEN(SUBSTITUTE(SUBSTITUTE(M121,"G",""),"C","")))/O121)</f>
        <v>0.36</v>
      </c>
      <c r="R121" s="5"/>
      <c r="S121" s="5" t="s">
        <v>382</v>
      </c>
      <c r="T121" s="5"/>
      <c r="U121" s="5" t="s">
        <v>383</v>
      </c>
      <c r="V121" s="5" t="s">
        <v>1424</v>
      </c>
      <c r="W121" s="5"/>
      <c r="X121" s="13" t="s">
        <v>385</v>
      </c>
      <c r="Y121" s="5"/>
    </row>
    <row r="122" customFormat="false" ht="15" hidden="false" customHeight="false" outlineLevel="0" collapsed="false">
      <c r="A122" s="5" t="s">
        <v>1470</v>
      </c>
      <c r="B122" s="5" t="s">
        <v>135</v>
      </c>
      <c r="C122" s="5" t="s">
        <v>136</v>
      </c>
      <c r="D122" s="6" t="s">
        <v>45</v>
      </c>
      <c r="E122" s="5" t="n">
        <v>7</v>
      </c>
      <c r="F122" s="5" t="s">
        <v>1471</v>
      </c>
      <c r="G122" s="11" t="s">
        <v>1472</v>
      </c>
      <c r="H122" s="5" t="s">
        <v>1473</v>
      </c>
      <c r="I122" s="11" t="s">
        <v>1474</v>
      </c>
      <c r="J122" s="5" t="s">
        <v>1475</v>
      </c>
      <c r="K122" s="5" t="s">
        <v>1476</v>
      </c>
      <c r="L122" s="11" t="s">
        <v>1477</v>
      </c>
      <c r="M122" s="11" t="s">
        <v>1478</v>
      </c>
      <c r="N122" s="5" t="n">
        <f aca="false">LEN(L122)</f>
        <v>25</v>
      </c>
      <c r="O122" s="5" t="n">
        <f aca="false">LEN(M122)</f>
        <v>25</v>
      </c>
      <c r="P122" s="12" t="n">
        <f aca="false">IF(N122=0,"",(N122-LEN(SUBSTITUTE(SUBSTITUTE(L122,"G",""),"C","")))/N122)</f>
        <v>0.4</v>
      </c>
      <c r="Q122" s="12" t="n">
        <f aca="false">IF(O122=0,"",(O122-LEN(SUBSTITUTE(SUBSTITUTE(M122,"G",""),"C","")))/O122)</f>
        <v>0.44</v>
      </c>
      <c r="R122" s="5"/>
      <c r="S122" s="5" t="s">
        <v>382</v>
      </c>
      <c r="T122" s="5"/>
      <c r="U122" s="5" t="s">
        <v>383</v>
      </c>
      <c r="V122" s="5" t="s">
        <v>1424</v>
      </c>
      <c r="W122" s="5"/>
      <c r="X122" s="13" t="s">
        <v>385</v>
      </c>
      <c r="Y122" s="5"/>
    </row>
    <row r="123" customFormat="false" ht="15" hidden="false" customHeight="false" outlineLevel="0" collapsed="false">
      <c r="A123" s="5" t="s">
        <v>1479</v>
      </c>
      <c r="B123" s="5" t="s">
        <v>135</v>
      </c>
      <c r="C123" s="5" t="s">
        <v>136</v>
      </c>
      <c r="D123" s="6" t="s">
        <v>45</v>
      </c>
      <c r="E123" s="5" t="n">
        <v>8</v>
      </c>
      <c r="F123" s="5" t="s">
        <v>1480</v>
      </c>
      <c r="G123" s="11" t="s">
        <v>1481</v>
      </c>
      <c r="H123" s="5" t="s">
        <v>1482</v>
      </c>
      <c r="I123" s="11" t="s">
        <v>1483</v>
      </c>
      <c r="J123" s="5" t="s">
        <v>1484</v>
      </c>
      <c r="K123" s="5" t="s">
        <v>1485</v>
      </c>
      <c r="L123" s="11" t="s">
        <v>1486</v>
      </c>
      <c r="M123" s="11" t="s">
        <v>1487</v>
      </c>
      <c r="N123" s="5" t="n">
        <f aca="false">LEN(L123)</f>
        <v>25</v>
      </c>
      <c r="O123" s="5" t="n">
        <f aca="false">LEN(M123)</f>
        <v>25</v>
      </c>
      <c r="P123" s="12" t="n">
        <f aca="false">IF(N123=0,"",(N123-LEN(SUBSTITUTE(SUBSTITUTE(L123,"G",""),"C","")))/N123)</f>
        <v>0.48</v>
      </c>
      <c r="Q123" s="12" t="n">
        <f aca="false">IF(O123=0,"",(O123-LEN(SUBSTITUTE(SUBSTITUTE(M123,"G",""),"C","")))/O123)</f>
        <v>0.44</v>
      </c>
      <c r="R123" s="5"/>
      <c r="S123" s="5" t="s">
        <v>382</v>
      </c>
      <c r="T123" s="5"/>
      <c r="U123" s="5" t="s">
        <v>383</v>
      </c>
      <c r="V123" s="5" t="s">
        <v>1424</v>
      </c>
      <c r="W123" s="5"/>
      <c r="X123" s="13" t="s">
        <v>385</v>
      </c>
      <c r="Y123" s="5"/>
    </row>
    <row r="124" customFormat="false" ht="15" hidden="false" customHeight="false" outlineLevel="0" collapsed="false">
      <c r="A124" s="5" t="s">
        <v>1488</v>
      </c>
      <c r="B124" s="5" t="s">
        <v>140</v>
      </c>
      <c r="C124" s="5" t="s">
        <v>141</v>
      </c>
      <c r="D124" s="6" t="s">
        <v>45</v>
      </c>
      <c r="E124" s="5" t="n">
        <v>1</v>
      </c>
      <c r="F124" s="5" t="s">
        <v>1489</v>
      </c>
      <c r="G124" s="11" t="s">
        <v>1490</v>
      </c>
      <c r="H124" s="5" t="s">
        <v>1491</v>
      </c>
      <c r="I124" s="11" t="s">
        <v>1492</v>
      </c>
      <c r="J124" s="5" t="s">
        <v>1493</v>
      </c>
      <c r="K124" s="5" t="s">
        <v>1494</v>
      </c>
      <c r="L124" s="11" t="s">
        <v>1495</v>
      </c>
      <c r="M124" s="11" t="s">
        <v>1496</v>
      </c>
      <c r="N124" s="5" t="n">
        <f aca="false">LEN(L124)</f>
        <v>25</v>
      </c>
      <c r="O124" s="5" t="n">
        <f aca="false">LEN(M124)</f>
        <v>25</v>
      </c>
      <c r="P124" s="12" t="n">
        <f aca="false">IF(N124=0,"",(N124-LEN(SUBSTITUTE(SUBSTITUTE(L124,"G",""),"C","")))/N124)</f>
        <v>0.56</v>
      </c>
      <c r="Q124" s="12" t="n">
        <f aca="false">IF(O124=0,"",(O124-LEN(SUBSTITUTE(SUBSTITUTE(M124,"G",""),"C","")))/O124)</f>
        <v>0.64</v>
      </c>
      <c r="R124" s="5"/>
      <c r="S124" s="5" t="s">
        <v>382</v>
      </c>
      <c r="T124" s="5"/>
      <c r="U124" s="5" t="s">
        <v>383</v>
      </c>
      <c r="V124" s="5" t="s">
        <v>1497</v>
      </c>
      <c r="W124" s="5"/>
      <c r="X124" s="13" t="s">
        <v>385</v>
      </c>
      <c r="Y124" s="5"/>
    </row>
    <row r="125" customFormat="false" ht="15" hidden="false" customHeight="false" outlineLevel="0" collapsed="false">
      <c r="A125" s="5" t="s">
        <v>1498</v>
      </c>
      <c r="B125" s="5" t="s">
        <v>140</v>
      </c>
      <c r="C125" s="5" t="s">
        <v>141</v>
      </c>
      <c r="D125" s="6" t="s">
        <v>45</v>
      </c>
      <c r="E125" s="5" t="n">
        <v>2</v>
      </c>
      <c r="F125" s="5" t="s">
        <v>1499</v>
      </c>
      <c r="G125" s="11" t="s">
        <v>1500</v>
      </c>
      <c r="H125" s="5" t="s">
        <v>1501</v>
      </c>
      <c r="I125" s="11" t="s">
        <v>1502</v>
      </c>
      <c r="J125" s="5" t="s">
        <v>1503</v>
      </c>
      <c r="K125" s="5" t="s">
        <v>1504</v>
      </c>
      <c r="L125" s="11" t="s">
        <v>1505</v>
      </c>
      <c r="M125" s="11" t="s">
        <v>1506</v>
      </c>
      <c r="N125" s="5" t="n">
        <f aca="false">LEN(L125)</f>
        <v>25</v>
      </c>
      <c r="O125" s="5" t="n">
        <f aca="false">LEN(M125)</f>
        <v>25</v>
      </c>
      <c r="P125" s="12" t="n">
        <f aca="false">IF(N125=0,"",(N125-LEN(SUBSTITUTE(SUBSTITUTE(L125,"G",""),"C","")))/N125)</f>
        <v>0.28</v>
      </c>
      <c r="Q125" s="12" t="n">
        <f aca="false">IF(O125=0,"",(O125-LEN(SUBSTITUTE(SUBSTITUTE(M125,"G",""),"C","")))/O125)</f>
        <v>0.52</v>
      </c>
      <c r="R125" s="5"/>
      <c r="S125" s="5" t="s">
        <v>382</v>
      </c>
      <c r="T125" s="5"/>
      <c r="U125" s="5" t="s">
        <v>383</v>
      </c>
      <c r="V125" s="5" t="s">
        <v>1497</v>
      </c>
      <c r="W125" s="5"/>
      <c r="X125" s="13" t="s">
        <v>385</v>
      </c>
      <c r="Y125" s="5"/>
    </row>
    <row r="126" customFormat="false" ht="15" hidden="false" customHeight="false" outlineLevel="0" collapsed="false">
      <c r="A126" s="5" t="s">
        <v>1507</v>
      </c>
      <c r="B126" s="5" t="s">
        <v>140</v>
      </c>
      <c r="C126" s="5" t="s">
        <v>141</v>
      </c>
      <c r="D126" s="6" t="s">
        <v>45</v>
      </c>
      <c r="E126" s="5" t="n">
        <v>3</v>
      </c>
      <c r="F126" s="5" t="s">
        <v>1508</v>
      </c>
      <c r="G126" s="11" t="s">
        <v>1509</v>
      </c>
      <c r="H126" s="5" t="s">
        <v>1510</v>
      </c>
      <c r="I126" s="11" t="s">
        <v>1511</v>
      </c>
      <c r="J126" s="5" t="s">
        <v>1512</v>
      </c>
      <c r="K126" s="5" t="s">
        <v>1513</v>
      </c>
      <c r="L126" s="11" t="s">
        <v>1514</v>
      </c>
      <c r="M126" s="11" t="s">
        <v>1515</v>
      </c>
      <c r="N126" s="5" t="n">
        <f aca="false">LEN(L126)</f>
        <v>25</v>
      </c>
      <c r="O126" s="5" t="n">
        <f aca="false">LEN(M126)</f>
        <v>25</v>
      </c>
      <c r="P126" s="12" t="n">
        <f aca="false">IF(N126=0,"",(N126-LEN(SUBSTITUTE(SUBSTITUTE(L126,"G",""),"C","")))/N126)</f>
        <v>0.52</v>
      </c>
      <c r="Q126" s="12" t="n">
        <f aca="false">IF(O126=0,"",(O126-LEN(SUBSTITUTE(SUBSTITUTE(M126,"G",""),"C","")))/O126)</f>
        <v>0.56</v>
      </c>
      <c r="R126" s="5"/>
      <c r="S126" s="5" t="s">
        <v>382</v>
      </c>
      <c r="T126" s="5"/>
      <c r="U126" s="5" t="s">
        <v>383</v>
      </c>
      <c r="V126" s="5" t="s">
        <v>1497</v>
      </c>
      <c r="W126" s="5"/>
      <c r="X126" s="13" t="s">
        <v>385</v>
      </c>
      <c r="Y126" s="5"/>
    </row>
    <row r="127" customFormat="false" ht="15" hidden="false" customHeight="false" outlineLevel="0" collapsed="false">
      <c r="A127" s="5" t="s">
        <v>1516</v>
      </c>
      <c r="B127" s="5" t="s">
        <v>140</v>
      </c>
      <c r="C127" s="5" t="s">
        <v>141</v>
      </c>
      <c r="D127" s="6" t="s">
        <v>45</v>
      </c>
      <c r="E127" s="5" t="n">
        <v>4</v>
      </c>
      <c r="F127" s="5" t="s">
        <v>1517</v>
      </c>
      <c r="G127" s="11" t="s">
        <v>1518</v>
      </c>
      <c r="H127" s="5" t="s">
        <v>1519</v>
      </c>
      <c r="I127" s="11" t="s">
        <v>1520</v>
      </c>
      <c r="J127" s="5" t="s">
        <v>1521</v>
      </c>
      <c r="K127" s="5" t="s">
        <v>1522</v>
      </c>
      <c r="L127" s="11" t="s">
        <v>1523</v>
      </c>
      <c r="M127" s="11" t="s">
        <v>1524</v>
      </c>
      <c r="N127" s="5" t="n">
        <f aca="false">LEN(L127)</f>
        <v>25</v>
      </c>
      <c r="O127" s="5" t="n">
        <f aca="false">LEN(M127)</f>
        <v>25</v>
      </c>
      <c r="P127" s="12" t="n">
        <f aca="false">IF(N127=0,"",(N127-LEN(SUBSTITUTE(SUBSTITUTE(L127,"G",""),"C","")))/N127)</f>
        <v>0.44</v>
      </c>
      <c r="Q127" s="12" t="n">
        <f aca="false">IF(O127=0,"",(O127-LEN(SUBSTITUTE(SUBSTITUTE(M127,"G",""),"C","")))/O127)</f>
        <v>0.24</v>
      </c>
      <c r="R127" s="5"/>
      <c r="S127" s="5" t="s">
        <v>382</v>
      </c>
      <c r="T127" s="5"/>
      <c r="U127" s="5" t="s">
        <v>383</v>
      </c>
      <c r="V127" s="5" t="s">
        <v>1497</v>
      </c>
      <c r="W127" s="5"/>
      <c r="X127" s="13" t="s">
        <v>385</v>
      </c>
      <c r="Y127" s="5"/>
    </row>
    <row r="128" customFormat="false" ht="15" hidden="false" customHeight="false" outlineLevel="0" collapsed="false">
      <c r="A128" s="5" t="s">
        <v>1525</v>
      </c>
      <c r="B128" s="5" t="s">
        <v>140</v>
      </c>
      <c r="C128" s="5" t="s">
        <v>141</v>
      </c>
      <c r="D128" s="6" t="s">
        <v>45</v>
      </c>
      <c r="E128" s="5" t="n">
        <v>5</v>
      </c>
      <c r="F128" s="5" t="s">
        <v>1526</v>
      </c>
      <c r="G128" s="11" t="s">
        <v>1527</v>
      </c>
      <c r="H128" s="5" t="s">
        <v>1528</v>
      </c>
      <c r="I128" s="11" t="s">
        <v>1529</v>
      </c>
      <c r="J128" s="5" t="s">
        <v>1530</v>
      </c>
      <c r="K128" s="5" t="s">
        <v>1531</v>
      </c>
      <c r="L128" s="11" t="s">
        <v>1532</v>
      </c>
      <c r="M128" s="11" t="s">
        <v>1533</v>
      </c>
      <c r="N128" s="5" t="n">
        <f aca="false">LEN(L128)</f>
        <v>25</v>
      </c>
      <c r="O128" s="5" t="n">
        <f aca="false">LEN(M128)</f>
        <v>25</v>
      </c>
      <c r="P128" s="12" t="n">
        <f aca="false">IF(N128=0,"",(N128-LEN(SUBSTITUTE(SUBSTITUTE(L128,"G",""),"C","")))/N128)</f>
        <v>0.4</v>
      </c>
      <c r="Q128" s="12" t="n">
        <f aca="false">IF(O128=0,"",(O128-LEN(SUBSTITUTE(SUBSTITUTE(M128,"G",""),"C","")))/O128)</f>
        <v>0.64</v>
      </c>
      <c r="R128" s="5"/>
      <c r="S128" s="5" t="s">
        <v>382</v>
      </c>
      <c r="T128" s="5"/>
      <c r="U128" s="5" t="s">
        <v>383</v>
      </c>
      <c r="V128" s="5" t="s">
        <v>1497</v>
      </c>
      <c r="W128" s="5"/>
      <c r="X128" s="13" t="s">
        <v>385</v>
      </c>
      <c r="Y128" s="5"/>
    </row>
    <row r="129" customFormat="false" ht="15" hidden="false" customHeight="false" outlineLevel="0" collapsed="false">
      <c r="A129" s="5" t="s">
        <v>1534</v>
      </c>
      <c r="B129" s="5" t="s">
        <v>140</v>
      </c>
      <c r="C129" s="5" t="s">
        <v>141</v>
      </c>
      <c r="D129" s="6" t="s">
        <v>45</v>
      </c>
      <c r="E129" s="5" t="n">
        <v>6</v>
      </c>
      <c r="F129" s="5" t="s">
        <v>1535</v>
      </c>
      <c r="G129" s="11" t="s">
        <v>1536</v>
      </c>
      <c r="H129" s="5" t="s">
        <v>1537</v>
      </c>
      <c r="I129" s="11" t="s">
        <v>1538</v>
      </c>
      <c r="J129" s="5" t="s">
        <v>1539</v>
      </c>
      <c r="K129" s="5" t="s">
        <v>1540</v>
      </c>
      <c r="L129" s="11" t="s">
        <v>1541</v>
      </c>
      <c r="M129" s="11" t="s">
        <v>1542</v>
      </c>
      <c r="N129" s="5" t="n">
        <f aca="false">LEN(L129)</f>
        <v>25</v>
      </c>
      <c r="O129" s="5" t="n">
        <f aca="false">LEN(M129)</f>
        <v>25</v>
      </c>
      <c r="P129" s="12" t="n">
        <f aca="false">IF(N129=0,"",(N129-LEN(SUBSTITUTE(SUBSTITUTE(L129,"G",""),"C","")))/N129)</f>
        <v>0.56</v>
      </c>
      <c r="Q129" s="12" t="n">
        <f aca="false">IF(O129=0,"",(O129-LEN(SUBSTITUTE(SUBSTITUTE(M129,"G",""),"C","")))/O129)</f>
        <v>0.36</v>
      </c>
      <c r="R129" s="5"/>
      <c r="S129" s="5" t="s">
        <v>382</v>
      </c>
      <c r="T129" s="5"/>
      <c r="U129" s="5" t="s">
        <v>383</v>
      </c>
      <c r="V129" s="5" t="s">
        <v>1497</v>
      </c>
      <c r="W129" s="5"/>
      <c r="X129" s="13" t="s">
        <v>385</v>
      </c>
      <c r="Y129" s="5"/>
    </row>
    <row r="130" customFormat="false" ht="15" hidden="false" customHeight="false" outlineLevel="0" collapsed="false">
      <c r="A130" s="5" t="s">
        <v>1543</v>
      </c>
      <c r="B130" s="5" t="s">
        <v>140</v>
      </c>
      <c r="C130" s="5" t="s">
        <v>141</v>
      </c>
      <c r="D130" s="6" t="s">
        <v>45</v>
      </c>
      <c r="E130" s="5" t="n">
        <v>7</v>
      </c>
      <c r="F130" s="5" t="s">
        <v>1544</v>
      </c>
      <c r="G130" s="11" t="s">
        <v>1545</v>
      </c>
      <c r="H130" s="5" t="s">
        <v>1546</v>
      </c>
      <c r="I130" s="11" t="s">
        <v>1547</v>
      </c>
      <c r="J130" s="5" t="s">
        <v>1548</v>
      </c>
      <c r="K130" s="5" t="s">
        <v>1549</v>
      </c>
      <c r="L130" s="11" t="s">
        <v>1550</v>
      </c>
      <c r="M130" s="11" t="s">
        <v>1551</v>
      </c>
      <c r="N130" s="5" t="n">
        <f aca="false">LEN(L130)</f>
        <v>25</v>
      </c>
      <c r="O130" s="5" t="n">
        <f aca="false">LEN(M130)</f>
        <v>25</v>
      </c>
      <c r="P130" s="12" t="n">
        <f aca="false">IF(N130=0,"",(N130-LEN(SUBSTITUTE(SUBSTITUTE(L130,"G",""),"C","")))/N130)</f>
        <v>0.4</v>
      </c>
      <c r="Q130" s="12" t="n">
        <f aca="false">IF(O130=0,"",(O130-LEN(SUBSTITUTE(SUBSTITUTE(M130,"G",""),"C","")))/O130)</f>
        <v>0.6</v>
      </c>
      <c r="R130" s="5"/>
      <c r="S130" s="5" t="s">
        <v>382</v>
      </c>
      <c r="T130" s="5"/>
      <c r="U130" s="5" t="s">
        <v>383</v>
      </c>
      <c r="V130" s="5" t="s">
        <v>1497</v>
      </c>
      <c r="W130" s="5"/>
      <c r="X130" s="13" t="s">
        <v>385</v>
      </c>
      <c r="Y130" s="5"/>
    </row>
    <row r="131" customFormat="false" ht="15" hidden="false" customHeight="false" outlineLevel="0" collapsed="false">
      <c r="A131" s="5" t="s">
        <v>1552</v>
      </c>
      <c r="B131" s="5" t="s">
        <v>140</v>
      </c>
      <c r="C131" s="5" t="s">
        <v>141</v>
      </c>
      <c r="D131" s="6" t="s">
        <v>45</v>
      </c>
      <c r="E131" s="5" t="n">
        <v>8</v>
      </c>
      <c r="F131" s="5" t="s">
        <v>1553</v>
      </c>
      <c r="G131" s="11" t="s">
        <v>1554</v>
      </c>
      <c r="H131" s="5" t="s">
        <v>1555</v>
      </c>
      <c r="I131" s="11" t="s">
        <v>1556</v>
      </c>
      <c r="J131" s="5" t="s">
        <v>1557</v>
      </c>
      <c r="K131" s="5" t="s">
        <v>1558</v>
      </c>
      <c r="L131" s="11" t="s">
        <v>1559</v>
      </c>
      <c r="M131" s="11" t="s">
        <v>1560</v>
      </c>
      <c r="N131" s="5" t="n">
        <f aca="false">LEN(L131)</f>
        <v>25</v>
      </c>
      <c r="O131" s="5" t="n">
        <f aca="false">LEN(M131)</f>
        <v>25</v>
      </c>
      <c r="P131" s="12" t="n">
        <f aca="false">IF(N131=0,"",(N131-LEN(SUBSTITUTE(SUBSTITUTE(L131,"G",""),"C","")))/N131)</f>
        <v>0.4</v>
      </c>
      <c r="Q131" s="12" t="n">
        <f aca="false">IF(O131=0,"",(O131-LEN(SUBSTITUTE(SUBSTITUTE(M131,"G",""),"C","")))/O131)</f>
        <v>0.6</v>
      </c>
      <c r="R131" s="5"/>
      <c r="S131" s="5" t="s">
        <v>382</v>
      </c>
      <c r="T131" s="5"/>
      <c r="U131" s="5" t="s">
        <v>383</v>
      </c>
      <c r="V131" s="5" t="s">
        <v>1497</v>
      </c>
      <c r="W131" s="5"/>
      <c r="X131" s="13" t="s">
        <v>385</v>
      </c>
      <c r="Y131" s="5"/>
    </row>
    <row r="132" customFormat="false" ht="15" hidden="false" customHeight="false" outlineLevel="0" collapsed="false">
      <c r="A132" s="5" t="s">
        <v>1561</v>
      </c>
      <c r="B132" s="5" t="s">
        <v>140</v>
      </c>
      <c r="C132" s="5" t="s">
        <v>141</v>
      </c>
      <c r="D132" s="6" t="s">
        <v>45</v>
      </c>
      <c r="E132" s="5" t="n">
        <v>9</v>
      </c>
      <c r="F132" s="5" t="s">
        <v>1562</v>
      </c>
      <c r="G132" s="11" t="s">
        <v>1563</v>
      </c>
      <c r="H132" s="5" t="s">
        <v>1564</v>
      </c>
      <c r="I132" s="11" t="s">
        <v>1565</v>
      </c>
      <c r="J132" s="5" t="s">
        <v>1566</v>
      </c>
      <c r="K132" s="5" t="s">
        <v>1567</v>
      </c>
      <c r="L132" s="11" t="s">
        <v>1568</v>
      </c>
      <c r="M132" s="11" t="s">
        <v>1569</v>
      </c>
      <c r="N132" s="5" t="n">
        <f aca="false">LEN(L132)</f>
        <v>25</v>
      </c>
      <c r="O132" s="5" t="n">
        <f aca="false">LEN(M132)</f>
        <v>25</v>
      </c>
      <c r="P132" s="12" t="n">
        <f aca="false">IF(N132=0,"",(N132-LEN(SUBSTITUTE(SUBSTITUTE(L132,"G",""),"C","")))/N132)</f>
        <v>0.32</v>
      </c>
      <c r="Q132" s="12" t="n">
        <f aca="false">IF(O132=0,"",(O132-LEN(SUBSTITUTE(SUBSTITUTE(M132,"G",""),"C","")))/O132)</f>
        <v>0.48</v>
      </c>
      <c r="R132" s="5"/>
      <c r="S132" s="5" t="s">
        <v>382</v>
      </c>
      <c r="T132" s="5"/>
      <c r="U132" s="5" t="s">
        <v>383</v>
      </c>
      <c r="V132" s="5" t="s">
        <v>1497</v>
      </c>
      <c r="W132" s="5"/>
      <c r="X132" s="13" t="s">
        <v>385</v>
      </c>
      <c r="Y132" s="5"/>
    </row>
    <row r="133" customFormat="false" ht="15" hidden="false" customHeight="false" outlineLevel="0" collapsed="false">
      <c r="A133" s="5" t="s">
        <v>1570</v>
      </c>
      <c r="B133" s="5" t="s">
        <v>140</v>
      </c>
      <c r="C133" s="5" t="s">
        <v>141</v>
      </c>
      <c r="D133" s="6" t="s">
        <v>45</v>
      </c>
      <c r="E133" s="5" t="n">
        <v>10</v>
      </c>
      <c r="F133" s="5" t="s">
        <v>1571</v>
      </c>
      <c r="G133" s="11" t="s">
        <v>1572</v>
      </c>
      <c r="H133" s="5" t="s">
        <v>1573</v>
      </c>
      <c r="I133" s="11" t="s">
        <v>1574</v>
      </c>
      <c r="J133" s="5" t="s">
        <v>1575</v>
      </c>
      <c r="K133" s="5" t="s">
        <v>1576</v>
      </c>
      <c r="L133" s="11" t="s">
        <v>1577</v>
      </c>
      <c r="M133" s="11" t="s">
        <v>1578</v>
      </c>
      <c r="N133" s="5" t="n">
        <f aca="false">LEN(L133)</f>
        <v>25</v>
      </c>
      <c r="O133" s="5" t="n">
        <f aca="false">LEN(M133)</f>
        <v>25</v>
      </c>
      <c r="P133" s="12" t="n">
        <f aca="false">IF(N133=0,"",(N133-LEN(SUBSTITUTE(SUBSTITUTE(L133,"G",""),"C","")))/N133)</f>
        <v>0.52</v>
      </c>
      <c r="Q133" s="12" t="n">
        <f aca="false">IF(O133=0,"",(O133-LEN(SUBSTITUTE(SUBSTITUTE(M133,"G",""),"C","")))/O133)</f>
        <v>0.56</v>
      </c>
      <c r="R133" s="5"/>
      <c r="S133" s="5" t="s">
        <v>382</v>
      </c>
      <c r="T133" s="5"/>
      <c r="U133" s="5" t="s">
        <v>383</v>
      </c>
      <c r="V133" s="5" t="s">
        <v>1497</v>
      </c>
      <c r="W133" s="5"/>
      <c r="X133" s="13" t="s">
        <v>385</v>
      </c>
      <c r="Y133" s="5"/>
    </row>
    <row r="134" customFormat="false" ht="15" hidden="false" customHeight="false" outlineLevel="0" collapsed="false">
      <c r="A134" s="5" t="s">
        <v>1579</v>
      </c>
      <c r="B134" s="5" t="s">
        <v>140</v>
      </c>
      <c r="C134" s="5" t="s">
        <v>141</v>
      </c>
      <c r="D134" s="6" t="s">
        <v>45</v>
      </c>
      <c r="E134" s="5" t="n">
        <v>11</v>
      </c>
      <c r="F134" s="5" t="s">
        <v>1580</v>
      </c>
      <c r="G134" s="11" t="s">
        <v>1581</v>
      </c>
      <c r="H134" s="5" t="s">
        <v>1582</v>
      </c>
      <c r="I134" s="11" t="s">
        <v>1583</v>
      </c>
      <c r="J134" s="5" t="s">
        <v>1584</v>
      </c>
      <c r="K134" s="5" t="s">
        <v>1585</v>
      </c>
      <c r="L134" s="11" t="s">
        <v>1586</v>
      </c>
      <c r="M134" s="11" t="s">
        <v>1587</v>
      </c>
      <c r="N134" s="5" t="n">
        <f aca="false">LEN(L134)</f>
        <v>25</v>
      </c>
      <c r="O134" s="5" t="n">
        <f aca="false">LEN(M134)</f>
        <v>25</v>
      </c>
      <c r="P134" s="12" t="n">
        <f aca="false">IF(N134=0,"",(N134-LEN(SUBSTITUTE(SUBSTITUTE(L134,"G",""),"C","")))/N134)</f>
        <v>0.44</v>
      </c>
      <c r="Q134" s="12" t="n">
        <f aca="false">IF(O134=0,"",(O134-LEN(SUBSTITUTE(SUBSTITUTE(M134,"G",""),"C","")))/O134)</f>
        <v>0.44</v>
      </c>
      <c r="R134" s="5"/>
      <c r="S134" s="5" t="s">
        <v>382</v>
      </c>
      <c r="T134" s="5"/>
      <c r="U134" s="5" t="s">
        <v>383</v>
      </c>
      <c r="V134" s="5" t="s">
        <v>1497</v>
      </c>
      <c r="W134" s="5"/>
      <c r="X134" s="13" t="s">
        <v>385</v>
      </c>
      <c r="Y134" s="5"/>
    </row>
    <row r="135" customFormat="false" ht="15" hidden="false" customHeight="false" outlineLevel="0" collapsed="false">
      <c r="A135" s="5" t="s">
        <v>1588</v>
      </c>
      <c r="B135" s="5" t="s">
        <v>140</v>
      </c>
      <c r="C135" s="5" t="s">
        <v>141</v>
      </c>
      <c r="D135" s="6" t="s">
        <v>45</v>
      </c>
      <c r="E135" s="5" t="n">
        <v>12</v>
      </c>
      <c r="F135" s="5" t="s">
        <v>1589</v>
      </c>
      <c r="G135" s="11" t="s">
        <v>1590</v>
      </c>
      <c r="H135" s="5" t="s">
        <v>1591</v>
      </c>
      <c r="I135" s="11" t="s">
        <v>1592</v>
      </c>
      <c r="J135" s="5" t="s">
        <v>1593</v>
      </c>
      <c r="K135" s="5" t="s">
        <v>1594</v>
      </c>
      <c r="L135" s="11" t="s">
        <v>1595</v>
      </c>
      <c r="M135" s="11" t="s">
        <v>1596</v>
      </c>
      <c r="N135" s="5" t="n">
        <f aca="false">LEN(L135)</f>
        <v>25</v>
      </c>
      <c r="O135" s="5" t="n">
        <f aca="false">LEN(M135)</f>
        <v>25</v>
      </c>
      <c r="P135" s="12" t="n">
        <f aca="false">IF(N135=0,"",(N135-LEN(SUBSTITUTE(SUBSTITUTE(L135,"G",""),"C","")))/N135)</f>
        <v>0.36</v>
      </c>
      <c r="Q135" s="12" t="n">
        <f aca="false">IF(O135=0,"",(O135-LEN(SUBSTITUTE(SUBSTITUTE(M135,"G",""),"C","")))/O135)</f>
        <v>0.48</v>
      </c>
      <c r="R135" s="5"/>
      <c r="S135" s="5" t="s">
        <v>382</v>
      </c>
      <c r="T135" s="5"/>
      <c r="U135" s="5" t="s">
        <v>383</v>
      </c>
      <c r="V135" s="5" t="s">
        <v>1497</v>
      </c>
      <c r="W135" s="5"/>
      <c r="X135" s="13" t="s">
        <v>385</v>
      </c>
      <c r="Y135" s="5"/>
    </row>
    <row r="136" customFormat="false" ht="15" hidden="false" customHeight="false" outlineLevel="0" collapsed="false">
      <c r="A136" s="5" t="s">
        <v>1597</v>
      </c>
      <c r="B136" s="5" t="s">
        <v>147</v>
      </c>
      <c r="C136" s="5" t="s">
        <v>148</v>
      </c>
      <c r="D136" s="6" t="s">
        <v>45</v>
      </c>
      <c r="E136" s="5" t="n">
        <v>1</v>
      </c>
      <c r="F136" s="5" t="s">
        <v>1598</v>
      </c>
      <c r="G136" s="11" t="s">
        <v>1599</v>
      </c>
      <c r="H136" s="5" t="s">
        <v>1600</v>
      </c>
      <c r="I136" s="11" t="s">
        <v>1601</v>
      </c>
      <c r="J136" s="5" t="s">
        <v>1602</v>
      </c>
      <c r="K136" s="5" t="s">
        <v>1603</v>
      </c>
      <c r="L136" s="11" t="s">
        <v>1604</v>
      </c>
      <c r="M136" s="11" t="s">
        <v>1605</v>
      </c>
      <c r="N136" s="5" t="n">
        <f aca="false">LEN(L136)</f>
        <v>25</v>
      </c>
      <c r="O136" s="5" t="n">
        <f aca="false">LEN(M136)</f>
        <v>25</v>
      </c>
      <c r="P136" s="12" t="n">
        <f aca="false">IF(N136=0,"",(N136-LEN(SUBSTITUTE(SUBSTITUTE(L136,"G",""),"C","")))/N136)</f>
        <v>0.64</v>
      </c>
      <c r="Q136" s="12" t="n">
        <f aca="false">IF(O136=0,"",(O136-LEN(SUBSTITUTE(SUBSTITUTE(M136,"G",""),"C","")))/O136)</f>
        <v>0.64</v>
      </c>
      <c r="R136" s="5"/>
      <c r="S136" s="5" t="s">
        <v>382</v>
      </c>
      <c r="T136" s="5"/>
      <c r="U136" s="5" t="s">
        <v>383</v>
      </c>
      <c r="V136" s="5" t="s">
        <v>1606</v>
      </c>
      <c r="W136" s="5"/>
      <c r="X136" s="13" t="s">
        <v>385</v>
      </c>
      <c r="Y136" s="5"/>
    </row>
    <row r="137" customFormat="false" ht="15" hidden="false" customHeight="false" outlineLevel="0" collapsed="false">
      <c r="A137" s="5" t="s">
        <v>1607</v>
      </c>
      <c r="B137" s="5" t="s">
        <v>147</v>
      </c>
      <c r="C137" s="5" t="s">
        <v>148</v>
      </c>
      <c r="D137" s="6" t="s">
        <v>45</v>
      </c>
      <c r="E137" s="5" t="n">
        <v>2</v>
      </c>
      <c r="F137" s="5" t="s">
        <v>1608</v>
      </c>
      <c r="G137" s="11" t="s">
        <v>1609</v>
      </c>
      <c r="H137" s="5" t="s">
        <v>1610</v>
      </c>
      <c r="I137" s="11" t="s">
        <v>1611</v>
      </c>
      <c r="J137" s="5" t="s">
        <v>1612</v>
      </c>
      <c r="K137" s="5" t="s">
        <v>1613</v>
      </c>
      <c r="L137" s="11" t="s">
        <v>1614</v>
      </c>
      <c r="M137" s="11" t="s">
        <v>1615</v>
      </c>
      <c r="N137" s="5" t="n">
        <f aca="false">LEN(L137)</f>
        <v>25</v>
      </c>
      <c r="O137" s="5" t="n">
        <f aca="false">LEN(M137)</f>
        <v>25</v>
      </c>
      <c r="P137" s="12" t="n">
        <f aca="false">IF(N137=0,"",(N137-LEN(SUBSTITUTE(SUBSTITUTE(L137,"G",""),"C","")))/N137)</f>
        <v>0.64</v>
      </c>
      <c r="Q137" s="12" t="n">
        <f aca="false">IF(O137=0,"",(O137-LEN(SUBSTITUTE(SUBSTITUTE(M137,"G",""),"C","")))/O137)</f>
        <v>0.6</v>
      </c>
      <c r="R137" s="5"/>
      <c r="S137" s="5" t="s">
        <v>382</v>
      </c>
      <c r="T137" s="5"/>
      <c r="U137" s="5" t="s">
        <v>383</v>
      </c>
      <c r="V137" s="5" t="s">
        <v>1606</v>
      </c>
      <c r="W137" s="5"/>
      <c r="X137" s="13" t="s">
        <v>385</v>
      </c>
      <c r="Y137" s="5"/>
    </row>
    <row r="138" customFormat="false" ht="15" hidden="false" customHeight="false" outlineLevel="0" collapsed="false">
      <c r="A138" s="5" t="s">
        <v>1616</v>
      </c>
      <c r="B138" s="5" t="s">
        <v>147</v>
      </c>
      <c r="C138" s="5" t="s">
        <v>148</v>
      </c>
      <c r="D138" s="6" t="s">
        <v>45</v>
      </c>
      <c r="E138" s="5" t="n">
        <v>3</v>
      </c>
      <c r="F138" s="5" t="s">
        <v>1617</v>
      </c>
      <c r="G138" s="11" t="s">
        <v>1618</v>
      </c>
      <c r="H138" s="5" t="s">
        <v>1619</v>
      </c>
      <c r="I138" s="11" t="s">
        <v>1620</v>
      </c>
      <c r="J138" s="5" t="s">
        <v>1621</v>
      </c>
      <c r="K138" s="5" t="s">
        <v>1622</v>
      </c>
      <c r="L138" s="11" t="s">
        <v>1623</v>
      </c>
      <c r="M138" s="11" t="s">
        <v>1624</v>
      </c>
      <c r="N138" s="5" t="n">
        <f aca="false">LEN(L138)</f>
        <v>25</v>
      </c>
      <c r="O138" s="5" t="n">
        <f aca="false">LEN(M138)</f>
        <v>25</v>
      </c>
      <c r="P138" s="12" t="n">
        <f aca="false">IF(N138=0,"",(N138-LEN(SUBSTITUTE(SUBSTITUTE(L138,"G",""),"C","")))/N138)</f>
        <v>0.84</v>
      </c>
      <c r="Q138" s="12" t="n">
        <f aca="false">IF(O138=0,"",(O138-LEN(SUBSTITUTE(SUBSTITUTE(M138,"G",""),"C","")))/O138)</f>
        <v>0.84</v>
      </c>
      <c r="R138" s="5"/>
      <c r="S138" s="5" t="s">
        <v>382</v>
      </c>
      <c r="T138" s="5"/>
      <c r="U138" s="5" t="s">
        <v>383</v>
      </c>
      <c r="V138" s="5" t="s">
        <v>1606</v>
      </c>
      <c r="W138" s="5"/>
      <c r="X138" s="13" t="s">
        <v>385</v>
      </c>
      <c r="Y138" s="5"/>
    </row>
    <row r="139" customFormat="false" ht="15" hidden="false" customHeight="false" outlineLevel="0" collapsed="false">
      <c r="A139" s="5" t="s">
        <v>1625</v>
      </c>
      <c r="B139" s="5" t="s">
        <v>147</v>
      </c>
      <c r="C139" s="5" t="s">
        <v>148</v>
      </c>
      <c r="D139" s="6" t="s">
        <v>45</v>
      </c>
      <c r="E139" s="5" t="n">
        <v>4</v>
      </c>
      <c r="F139" s="5" t="s">
        <v>1626</v>
      </c>
      <c r="G139" s="11" t="s">
        <v>1627</v>
      </c>
      <c r="H139" s="5" t="s">
        <v>1628</v>
      </c>
      <c r="I139" s="11" t="s">
        <v>1629</v>
      </c>
      <c r="J139" s="5" t="s">
        <v>1630</v>
      </c>
      <c r="K139" s="5" t="s">
        <v>1631</v>
      </c>
      <c r="L139" s="11" t="s">
        <v>1632</v>
      </c>
      <c r="M139" s="11" t="s">
        <v>1633</v>
      </c>
      <c r="N139" s="5" t="n">
        <f aca="false">LEN(L139)</f>
        <v>25</v>
      </c>
      <c r="O139" s="5" t="n">
        <f aca="false">LEN(M139)</f>
        <v>25</v>
      </c>
      <c r="P139" s="12" t="n">
        <f aca="false">IF(N139=0,"",(N139-LEN(SUBSTITUTE(SUBSTITUTE(L139,"G",""),"C","")))/N139)</f>
        <v>0.88</v>
      </c>
      <c r="Q139" s="12" t="n">
        <f aca="false">IF(O139=0,"",(O139-LEN(SUBSTITUTE(SUBSTITUTE(M139,"G",""),"C","")))/O139)</f>
        <v>0.8</v>
      </c>
      <c r="R139" s="5"/>
      <c r="S139" s="5" t="s">
        <v>382</v>
      </c>
      <c r="T139" s="5"/>
      <c r="U139" s="5" t="s">
        <v>383</v>
      </c>
      <c r="V139" s="5" t="s">
        <v>1606</v>
      </c>
      <c r="W139" s="5"/>
      <c r="X139" s="13" t="s">
        <v>385</v>
      </c>
      <c r="Y139" s="5"/>
    </row>
    <row r="140" customFormat="false" ht="15" hidden="false" customHeight="false" outlineLevel="0" collapsed="false">
      <c r="A140" s="5" t="s">
        <v>1634</v>
      </c>
      <c r="B140" s="5" t="s">
        <v>147</v>
      </c>
      <c r="C140" s="5" t="s">
        <v>148</v>
      </c>
      <c r="D140" s="6" t="s">
        <v>45</v>
      </c>
      <c r="E140" s="5" t="n">
        <v>5</v>
      </c>
      <c r="F140" s="5" t="s">
        <v>1635</v>
      </c>
      <c r="G140" s="11" t="s">
        <v>1636</v>
      </c>
      <c r="H140" s="5" t="s">
        <v>1637</v>
      </c>
      <c r="I140" s="11" t="s">
        <v>1638</v>
      </c>
      <c r="J140" s="5" t="s">
        <v>1639</v>
      </c>
      <c r="K140" s="5" t="s">
        <v>1640</v>
      </c>
      <c r="L140" s="11" t="s">
        <v>1641</v>
      </c>
      <c r="M140" s="11" t="s">
        <v>1642</v>
      </c>
      <c r="N140" s="5" t="n">
        <f aca="false">LEN(L140)</f>
        <v>25</v>
      </c>
      <c r="O140" s="5" t="n">
        <f aca="false">LEN(M140)</f>
        <v>25</v>
      </c>
      <c r="P140" s="12" t="n">
        <f aca="false">IF(N140=0,"",(N140-LEN(SUBSTITUTE(SUBSTITUTE(L140,"G",""),"C","")))/N140)</f>
        <v>0.68</v>
      </c>
      <c r="Q140" s="12" t="n">
        <f aca="false">IF(O140=0,"",(O140-LEN(SUBSTITUTE(SUBSTITUTE(M140,"G",""),"C","")))/O140)</f>
        <v>0.8</v>
      </c>
      <c r="R140" s="5"/>
      <c r="S140" s="5" t="s">
        <v>382</v>
      </c>
      <c r="T140" s="5"/>
      <c r="U140" s="5" t="s">
        <v>383</v>
      </c>
      <c r="V140" s="5" t="s">
        <v>1606</v>
      </c>
      <c r="W140" s="5"/>
      <c r="X140" s="13" t="s">
        <v>385</v>
      </c>
      <c r="Y140" s="5"/>
    </row>
    <row r="141" customFormat="false" ht="15" hidden="false" customHeight="false" outlineLevel="0" collapsed="false">
      <c r="A141" s="5" t="s">
        <v>1643</v>
      </c>
      <c r="B141" s="5" t="s">
        <v>147</v>
      </c>
      <c r="C141" s="5" t="s">
        <v>148</v>
      </c>
      <c r="D141" s="6" t="s">
        <v>45</v>
      </c>
      <c r="E141" s="5" t="n">
        <v>6</v>
      </c>
      <c r="F141" s="5" t="s">
        <v>1644</v>
      </c>
      <c r="G141" s="11" t="s">
        <v>1645</v>
      </c>
      <c r="H141" s="5" t="s">
        <v>1646</v>
      </c>
      <c r="I141" s="11" t="s">
        <v>1647</v>
      </c>
      <c r="J141" s="5" t="s">
        <v>1648</v>
      </c>
      <c r="K141" s="5" t="s">
        <v>1649</v>
      </c>
      <c r="L141" s="11" t="s">
        <v>1650</v>
      </c>
      <c r="M141" s="11" t="s">
        <v>1651</v>
      </c>
      <c r="N141" s="5" t="n">
        <f aca="false">LEN(L141)</f>
        <v>25</v>
      </c>
      <c r="O141" s="5" t="n">
        <f aca="false">LEN(M141)</f>
        <v>25</v>
      </c>
      <c r="P141" s="12" t="n">
        <f aca="false">IF(N141=0,"",(N141-LEN(SUBSTITUTE(SUBSTITUTE(L141,"G",""),"C","")))/N141)</f>
        <v>0.92</v>
      </c>
      <c r="Q141" s="12" t="n">
        <f aca="false">IF(O141=0,"",(O141-LEN(SUBSTITUTE(SUBSTITUTE(M141,"G",""),"C","")))/O141)</f>
        <v>0.68</v>
      </c>
      <c r="R141" s="5"/>
      <c r="S141" s="5" t="s">
        <v>382</v>
      </c>
      <c r="T141" s="5"/>
      <c r="U141" s="5" t="s">
        <v>383</v>
      </c>
      <c r="V141" s="5" t="s">
        <v>1606</v>
      </c>
      <c r="W141" s="5"/>
      <c r="X141" s="13" t="s">
        <v>385</v>
      </c>
      <c r="Y141" s="5"/>
    </row>
    <row r="142" customFormat="false" ht="15" hidden="false" customHeight="false" outlineLevel="0" collapsed="false">
      <c r="A142" s="5" t="s">
        <v>1652</v>
      </c>
      <c r="B142" s="5" t="s">
        <v>147</v>
      </c>
      <c r="C142" s="5" t="s">
        <v>148</v>
      </c>
      <c r="D142" s="6" t="s">
        <v>45</v>
      </c>
      <c r="E142" s="5" t="n">
        <v>7</v>
      </c>
      <c r="F142" s="5" t="s">
        <v>1653</v>
      </c>
      <c r="G142" s="11" t="s">
        <v>1654</v>
      </c>
      <c r="H142" s="5" t="s">
        <v>1655</v>
      </c>
      <c r="I142" s="11" t="s">
        <v>1656</v>
      </c>
      <c r="J142" s="5" t="s">
        <v>1657</v>
      </c>
      <c r="K142" s="5" t="s">
        <v>1658</v>
      </c>
      <c r="L142" s="11" t="s">
        <v>1659</v>
      </c>
      <c r="M142" s="11" t="s">
        <v>1660</v>
      </c>
      <c r="N142" s="5" t="n">
        <f aca="false">LEN(L142)</f>
        <v>25</v>
      </c>
      <c r="O142" s="5" t="n">
        <f aca="false">LEN(M142)</f>
        <v>25</v>
      </c>
      <c r="P142" s="12" t="n">
        <f aca="false">IF(N142=0,"",(N142-LEN(SUBSTITUTE(SUBSTITUTE(L142,"G",""),"C","")))/N142)</f>
        <v>0.8</v>
      </c>
      <c r="Q142" s="12" t="n">
        <f aca="false">IF(O142=0,"",(O142-LEN(SUBSTITUTE(SUBSTITUTE(M142,"G",""),"C","")))/O142)</f>
        <v>0.8</v>
      </c>
      <c r="R142" s="5"/>
      <c r="S142" s="5" t="s">
        <v>382</v>
      </c>
      <c r="T142" s="5"/>
      <c r="U142" s="5" t="s">
        <v>383</v>
      </c>
      <c r="V142" s="5" t="s">
        <v>1606</v>
      </c>
      <c r="W142" s="5"/>
      <c r="X142" s="13" t="s">
        <v>385</v>
      </c>
      <c r="Y142" s="5"/>
    </row>
    <row r="143" customFormat="false" ht="15" hidden="false" customHeight="false" outlineLevel="0" collapsed="false">
      <c r="A143" s="5" t="s">
        <v>1661</v>
      </c>
      <c r="B143" s="5" t="s">
        <v>147</v>
      </c>
      <c r="C143" s="5" t="s">
        <v>148</v>
      </c>
      <c r="D143" s="6" t="s">
        <v>45</v>
      </c>
      <c r="E143" s="5" t="n">
        <v>8</v>
      </c>
      <c r="F143" s="5" t="s">
        <v>1662</v>
      </c>
      <c r="G143" s="11" t="s">
        <v>1663</v>
      </c>
      <c r="H143" s="5" t="s">
        <v>1664</v>
      </c>
      <c r="I143" s="11" t="s">
        <v>1665</v>
      </c>
      <c r="J143" s="5" t="s">
        <v>1666</v>
      </c>
      <c r="K143" s="5" t="s">
        <v>1667</v>
      </c>
      <c r="L143" s="11" t="s">
        <v>1668</v>
      </c>
      <c r="M143" s="11" t="s">
        <v>1669</v>
      </c>
      <c r="N143" s="5" t="n">
        <f aca="false">LEN(L143)</f>
        <v>25</v>
      </c>
      <c r="O143" s="5" t="n">
        <f aca="false">LEN(M143)</f>
        <v>25</v>
      </c>
      <c r="P143" s="12" t="n">
        <f aca="false">IF(N143=0,"",(N143-LEN(SUBSTITUTE(SUBSTITUTE(L143,"G",""),"C","")))/N143)</f>
        <v>0.8</v>
      </c>
      <c r="Q143" s="12" t="n">
        <f aca="false">IF(O143=0,"",(O143-LEN(SUBSTITUTE(SUBSTITUTE(M143,"G",""),"C","")))/O143)</f>
        <v>0.72</v>
      </c>
      <c r="R143" s="5"/>
      <c r="S143" s="5" t="s">
        <v>382</v>
      </c>
      <c r="T143" s="5"/>
      <c r="U143" s="5" t="s">
        <v>383</v>
      </c>
      <c r="V143" s="5" t="s">
        <v>1606</v>
      </c>
      <c r="W143" s="5"/>
      <c r="X143" s="13" t="s">
        <v>385</v>
      </c>
      <c r="Y143" s="5"/>
    </row>
    <row r="144" customFormat="false" ht="15" hidden="false" customHeight="false" outlineLevel="0" collapsed="false">
      <c r="A144" s="5" t="s">
        <v>1670</v>
      </c>
      <c r="B144" s="5" t="s">
        <v>147</v>
      </c>
      <c r="C144" s="5" t="s">
        <v>148</v>
      </c>
      <c r="D144" s="6" t="s">
        <v>45</v>
      </c>
      <c r="E144" s="5" t="n">
        <v>9</v>
      </c>
      <c r="F144" s="5" t="s">
        <v>1671</v>
      </c>
      <c r="G144" s="11" t="s">
        <v>1672</v>
      </c>
      <c r="H144" s="5" t="s">
        <v>1673</v>
      </c>
      <c r="I144" s="11" t="s">
        <v>1674</v>
      </c>
      <c r="J144" s="5" t="s">
        <v>1675</v>
      </c>
      <c r="K144" s="5" t="s">
        <v>1676</v>
      </c>
      <c r="L144" s="11" t="s">
        <v>1677</v>
      </c>
      <c r="M144" s="11" t="s">
        <v>1678</v>
      </c>
      <c r="N144" s="5" t="n">
        <f aca="false">LEN(L144)</f>
        <v>25</v>
      </c>
      <c r="O144" s="5" t="n">
        <f aca="false">LEN(M144)</f>
        <v>25</v>
      </c>
      <c r="P144" s="12" t="n">
        <f aca="false">IF(N144=0,"",(N144-LEN(SUBSTITUTE(SUBSTITUTE(L144,"G",""),"C","")))/N144)</f>
        <v>0.6</v>
      </c>
      <c r="Q144" s="12" t="n">
        <f aca="false">IF(O144=0,"",(O144-LEN(SUBSTITUTE(SUBSTITUTE(M144,"G",""),"C","")))/O144)</f>
        <v>0.6</v>
      </c>
      <c r="R144" s="5"/>
      <c r="S144" s="5" t="s">
        <v>382</v>
      </c>
      <c r="T144" s="5"/>
      <c r="U144" s="5" t="s">
        <v>383</v>
      </c>
      <c r="V144" s="5" t="s">
        <v>1606</v>
      </c>
      <c r="W144" s="5"/>
      <c r="X144" s="13" t="s">
        <v>385</v>
      </c>
      <c r="Y144" s="5"/>
    </row>
    <row r="145" customFormat="false" ht="15" hidden="false" customHeight="false" outlineLevel="0" collapsed="false">
      <c r="A145" s="5" t="s">
        <v>1679</v>
      </c>
      <c r="B145" s="5" t="s">
        <v>147</v>
      </c>
      <c r="C145" s="5" t="s">
        <v>148</v>
      </c>
      <c r="D145" s="6" t="s">
        <v>45</v>
      </c>
      <c r="E145" s="5" t="n">
        <v>10</v>
      </c>
      <c r="F145" s="5" t="s">
        <v>1680</v>
      </c>
      <c r="G145" s="11" t="s">
        <v>1681</v>
      </c>
      <c r="H145" s="5" t="s">
        <v>1682</v>
      </c>
      <c r="I145" s="11" t="s">
        <v>1683</v>
      </c>
      <c r="J145" s="5" t="s">
        <v>1684</v>
      </c>
      <c r="K145" s="5" t="s">
        <v>1685</v>
      </c>
      <c r="L145" s="11" t="s">
        <v>1686</v>
      </c>
      <c r="M145" s="11" t="s">
        <v>1687</v>
      </c>
      <c r="N145" s="5" t="n">
        <f aca="false">LEN(L145)</f>
        <v>25</v>
      </c>
      <c r="O145" s="5" t="n">
        <f aca="false">LEN(M145)</f>
        <v>25</v>
      </c>
      <c r="P145" s="12" t="n">
        <f aca="false">IF(N145=0,"",(N145-LEN(SUBSTITUTE(SUBSTITUTE(L145,"G",""),"C","")))/N145)</f>
        <v>0.68</v>
      </c>
      <c r="Q145" s="12" t="n">
        <f aca="false">IF(O145=0,"",(O145-LEN(SUBSTITUTE(SUBSTITUTE(M145,"G",""),"C","")))/O145)</f>
        <v>0.8</v>
      </c>
      <c r="R145" s="5"/>
      <c r="S145" s="5" t="s">
        <v>382</v>
      </c>
      <c r="T145" s="5"/>
      <c r="U145" s="5" t="s">
        <v>383</v>
      </c>
      <c r="V145" s="5" t="s">
        <v>1606</v>
      </c>
      <c r="W145" s="5"/>
      <c r="X145" s="13" t="s">
        <v>385</v>
      </c>
      <c r="Y145" s="5"/>
    </row>
    <row r="146" customFormat="false" ht="15" hidden="false" customHeight="false" outlineLevel="0" collapsed="false">
      <c r="A146" s="5" t="s">
        <v>1688</v>
      </c>
      <c r="B146" s="5" t="s">
        <v>147</v>
      </c>
      <c r="C146" s="5" t="s">
        <v>148</v>
      </c>
      <c r="D146" s="6" t="s">
        <v>45</v>
      </c>
      <c r="E146" s="5" t="n">
        <v>11</v>
      </c>
      <c r="F146" s="5" t="s">
        <v>1689</v>
      </c>
      <c r="G146" s="11" t="s">
        <v>1690</v>
      </c>
      <c r="H146" s="5" t="s">
        <v>1691</v>
      </c>
      <c r="I146" s="11" t="s">
        <v>1692</v>
      </c>
      <c r="J146" s="5" t="s">
        <v>1693</v>
      </c>
      <c r="K146" s="5" t="s">
        <v>1694</v>
      </c>
      <c r="L146" s="11" t="s">
        <v>1695</v>
      </c>
      <c r="M146" s="11" t="s">
        <v>1696</v>
      </c>
      <c r="N146" s="5" t="n">
        <f aca="false">LEN(L146)</f>
        <v>25</v>
      </c>
      <c r="O146" s="5" t="n">
        <f aca="false">LEN(M146)</f>
        <v>25</v>
      </c>
      <c r="P146" s="12" t="n">
        <f aca="false">IF(N146=0,"",(N146-LEN(SUBSTITUTE(SUBSTITUTE(L146,"G",""),"C","")))/N146)</f>
        <v>0.68</v>
      </c>
      <c r="Q146" s="12" t="n">
        <f aca="false">IF(O146=0,"",(O146-LEN(SUBSTITUTE(SUBSTITUTE(M146,"G",""),"C","")))/O146)</f>
        <v>0.8</v>
      </c>
      <c r="R146" s="5"/>
      <c r="S146" s="5" t="s">
        <v>382</v>
      </c>
      <c r="T146" s="5"/>
      <c r="U146" s="5" t="s">
        <v>383</v>
      </c>
      <c r="V146" s="5" t="s">
        <v>1606</v>
      </c>
      <c r="W146" s="5"/>
      <c r="X146" s="13" t="s">
        <v>385</v>
      </c>
      <c r="Y146" s="5"/>
    </row>
    <row r="147" customFormat="false" ht="15" hidden="false" customHeight="false" outlineLevel="0" collapsed="false">
      <c r="A147" s="5" t="s">
        <v>1697</v>
      </c>
      <c r="B147" s="5" t="s">
        <v>147</v>
      </c>
      <c r="C147" s="5" t="s">
        <v>148</v>
      </c>
      <c r="D147" s="6" t="s">
        <v>45</v>
      </c>
      <c r="E147" s="5" t="n">
        <v>12</v>
      </c>
      <c r="F147" s="5" t="s">
        <v>1698</v>
      </c>
      <c r="G147" s="11" t="s">
        <v>1699</v>
      </c>
      <c r="H147" s="5" t="s">
        <v>1700</v>
      </c>
      <c r="I147" s="11" t="s">
        <v>1701</v>
      </c>
      <c r="J147" s="5" t="s">
        <v>1702</v>
      </c>
      <c r="K147" s="5" t="s">
        <v>1703</v>
      </c>
      <c r="L147" s="11" t="s">
        <v>1704</v>
      </c>
      <c r="M147" s="11" t="s">
        <v>1705</v>
      </c>
      <c r="N147" s="5" t="n">
        <f aca="false">LEN(L147)</f>
        <v>25</v>
      </c>
      <c r="O147" s="5" t="n">
        <f aca="false">LEN(M147)</f>
        <v>25</v>
      </c>
      <c r="P147" s="12" t="n">
        <f aca="false">IF(N147=0,"",(N147-LEN(SUBSTITUTE(SUBSTITUTE(L147,"G",""),"C","")))/N147)</f>
        <v>0.72</v>
      </c>
      <c r="Q147" s="12" t="n">
        <f aca="false">IF(O147=0,"",(O147-LEN(SUBSTITUTE(SUBSTITUTE(M147,"G",""),"C","")))/O147)</f>
        <v>0.8</v>
      </c>
      <c r="R147" s="5"/>
      <c r="S147" s="5" t="s">
        <v>382</v>
      </c>
      <c r="T147" s="5"/>
      <c r="U147" s="5" t="s">
        <v>383</v>
      </c>
      <c r="V147" s="5" t="s">
        <v>1606</v>
      </c>
      <c r="W147" s="5"/>
      <c r="X147" s="13" t="s">
        <v>385</v>
      </c>
      <c r="Y147" s="5"/>
    </row>
    <row r="148" customFormat="false" ht="15" hidden="false" customHeight="false" outlineLevel="0" collapsed="false">
      <c r="A148" s="5" t="s">
        <v>1706</v>
      </c>
      <c r="B148" s="5" t="s">
        <v>153</v>
      </c>
      <c r="C148" s="5" t="s">
        <v>154</v>
      </c>
      <c r="D148" s="6" t="s">
        <v>45</v>
      </c>
      <c r="E148" s="5" t="n">
        <v>1</v>
      </c>
      <c r="F148" s="5" t="s">
        <v>1707</v>
      </c>
      <c r="G148" s="11" t="s">
        <v>1708</v>
      </c>
      <c r="H148" s="5" t="s">
        <v>1709</v>
      </c>
      <c r="I148" s="11" t="s">
        <v>1710</v>
      </c>
      <c r="J148" s="5" t="s">
        <v>1711</v>
      </c>
      <c r="K148" s="5" t="s">
        <v>1712</v>
      </c>
      <c r="L148" s="11" t="s">
        <v>1713</v>
      </c>
      <c r="M148" s="11" t="s">
        <v>1714</v>
      </c>
      <c r="N148" s="5" t="n">
        <f aca="false">LEN(L148)</f>
        <v>25</v>
      </c>
      <c r="O148" s="5" t="n">
        <f aca="false">LEN(M148)</f>
        <v>25</v>
      </c>
      <c r="P148" s="12" t="n">
        <f aca="false">IF(N148=0,"",(N148-LEN(SUBSTITUTE(SUBSTITUTE(L148,"G",""),"C","")))/N148)</f>
        <v>0.64</v>
      </c>
      <c r="Q148" s="12" t="n">
        <f aca="false">IF(O148=0,"",(O148-LEN(SUBSTITUTE(SUBSTITUTE(M148,"G",""),"C","")))/O148)</f>
        <v>0.52</v>
      </c>
      <c r="R148" s="5"/>
      <c r="S148" s="5" t="s">
        <v>382</v>
      </c>
      <c r="T148" s="5"/>
      <c r="U148" s="5" t="s">
        <v>383</v>
      </c>
      <c r="V148" s="5" t="s">
        <v>1715</v>
      </c>
      <c r="W148" s="5"/>
      <c r="X148" s="13" t="s">
        <v>385</v>
      </c>
      <c r="Y148" s="5"/>
    </row>
    <row r="149" customFormat="false" ht="15" hidden="false" customHeight="false" outlineLevel="0" collapsed="false">
      <c r="A149" s="5" t="s">
        <v>1716</v>
      </c>
      <c r="B149" s="5" t="s">
        <v>153</v>
      </c>
      <c r="C149" s="5" t="s">
        <v>154</v>
      </c>
      <c r="D149" s="6" t="s">
        <v>45</v>
      </c>
      <c r="E149" s="5" t="n">
        <v>2</v>
      </c>
      <c r="F149" s="5" t="s">
        <v>1717</v>
      </c>
      <c r="G149" s="11" t="s">
        <v>1718</v>
      </c>
      <c r="H149" s="5" t="s">
        <v>1719</v>
      </c>
      <c r="I149" s="11" t="s">
        <v>1720</v>
      </c>
      <c r="J149" s="5" t="s">
        <v>1721</v>
      </c>
      <c r="K149" s="5" t="s">
        <v>1722</v>
      </c>
      <c r="L149" s="11" t="s">
        <v>1723</v>
      </c>
      <c r="M149" s="11" t="s">
        <v>1724</v>
      </c>
      <c r="N149" s="5" t="n">
        <f aca="false">LEN(L149)</f>
        <v>25</v>
      </c>
      <c r="O149" s="5" t="n">
        <f aca="false">LEN(M149)</f>
        <v>25</v>
      </c>
      <c r="P149" s="12" t="n">
        <f aca="false">IF(N149=0,"",(N149-LEN(SUBSTITUTE(SUBSTITUTE(L149,"G",""),"C","")))/N149)</f>
        <v>0.4</v>
      </c>
      <c r="Q149" s="12" t="n">
        <f aca="false">IF(O149=0,"",(O149-LEN(SUBSTITUTE(SUBSTITUTE(M149,"G",""),"C","")))/O149)</f>
        <v>0.36</v>
      </c>
      <c r="R149" s="5"/>
      <c r="S149" s="5" t="s">
        <v>382</v>
      </c>
      <c r="T149" s="5"/>
      <c r="U149" s="5" t="s">
        <v>383</v>
      </c>
      <c r="V149" s="5" t="s">
        <v>1715</v>
      </c>
      <c r="W149" s="5"/>
      <c r="X149" s="13" t="s">
        <v>385</v>
      </c>
      <c r="Y149" s="5"/>
    </row>
    <row r="150" customFormat="false" ht="15" hidden="false" customHeight="false" outlineLevel="0" collapsed="false">
      <c r="A150" s="5" t="s">
        <v>1725</v>
      </c>
      <c r="B150" s="5" t="s">
        <v>153</v>
      </c>
      <c r="C150" s="5" t="s">
        <v>154</v>
      </c>
      <c r="D150" s="6" t="s">
        <v>45</v>
      </c>
      <c r="E150" s="5" t="n">
        <v>3</v>
      </c>
      <c r="F150" s="5" t="s">
        <v>1726</v>
      </c>
      <c r="G150" s="11" t="s">
        <v>1727</v>
      </c>
      <c r="H150" s="5" t="s">
        <v>1728</v>
      </c>
      <c r="I150" s="11" t="s">
        <v>1729</v>
      </c>
      <c r="J150" s="5" t="s">
        <v>1730</v>
      </c>
      <c r="K150" s="5" t="s">
        <v>1731</v>
      </c>
      <c r="L150" s="11" t="s">
        <v>1732</v>
      </c>
      <c r="M150" s="11" t="s">
        <v>1733</v>
      </c>
      <c r="N150" s="5" t="n">
        <f aca="false">LEN(L150)</f>
        <v>25</v>
      </c>
      <c r="O150" s="5" t="n">
        <f aca="false">LEN(M150)</f>
        <v>25</v>
      </c>
      <c r="P150" s="12" t="n">
        <f aca="false">IF(N150=0,"",(N150-LEN(SUBSTITUTE(SUBSTITUTE(L150,"G",""),"C","")))/N150)</f>
        <v>0.48</v>
      </c>
      <c r="Q150" s="12" t="n">
        <f aca="false">IF(O150=0,"",(O150-LEN(SUBSTITUTE(SUBSTITUTE(M150,"G",""),"C","")))/O150)</f>
        <v>0.56</v>
      </c>
      <c r="R150" s="5"/>
      <c r="S150" s="5" t="s">
        <v>382</v>
      </c>
      <c r="T150" s="5"/>
      <c r="U150" s="5" t="s">
        <v>383</v>
      </c>
      <c r="V150" s="5" t="s">
        <v>1715</v>
      </c>
      <c r="W150" s="5"/>
      <c r="X150" s="13" t="s">
        <v>385</v>
      </c>
      <c r="Y150" s="5"/>
    </row>
    <row r="151" customFormat="false" ht="15" hidden="false" customHeight="false" outlineLevel="0" collapsed="false">
      <c r="A151" s="5" t="s">
        <v>1734</v>
      </c>
      <c r="B151" s="5" t="s">
        <v>153</v>
      </c>
      <c r="C151" s="5" t="s">
        <v>154</v>
      </c>
      <c r="D151" s="6" t="s">
        <v>45</v>
      </c>
      <c r="E151" s="5" t="n">
        <v>4</v>
      </c>
      <c r="F151" s="5" t="s">
        <v>1735</v>
      </c>
      <c r="G151" s="11" t="s">
        <v>1736</v>
      </c>
      <c r="H151" s="5" t="s">
        <v>1737</v>
      </c>
      <c r="I151" s="11" t="s">
        <v>1738</v>
      </c>
      <c r="J151" s="5" t="s">
        <v>1739</v>
      </c>
      <c r="K151" s="5" t="s">
        <v>1740</v>
      </c>
      <c r="L151" s="11" t="s">
        <v>1741</v>
      </c>
      <c r="M151" s="11" t="s">
        <v>1742</v>
      </c>
      <c r="N151" s="5" t="n">
        <f aca="false">LEN(L151)</f>
        <v>25</v>
      </c>
      <c r="O151" s="5" t="n">
        <f aca="false">LEN(M151)</f>
        <v>25</v>
      </c>
      <c r="P151" s="12" t="n">
        <f aca="false">IF(N151=0,"",(N151-LEN(SUBSTITUTE(SUBSTITUTE(L151,"G",""),"C","")))/N151)</f>
        <v>0.72</v>
      </c>
      <c r="Q151" s="12" t="n">
        <f aca="false">IF(O151=0,"",(O151-LEN(SUBSTITUTE(SUBSTITUTE(M151,"G",""),"C","")))/O151)</f>
        <v>0.56</v>
      </c>
      <c r="R151" s="5"/>
      <c r="S151" s="5" t="s">
        <v>382</v>
      </c>
      <c r="T151" s="5"/>
      <c r="U151" s="5" t="s">
        <v>383</v>
      </c>
      <c r="V151" s="5" t="s">
        <v>1715</v>
      </c>
      <c r="W151" s="5"/>
      <c r="X151" s="13" t="s">
        <v>385</v>
      </c>
      <c r="Y151" s="5"/>
    </row>
    <row r="152" customFormat="false" ht="15" hidden="false" customHeight="false" outlineLevel="0" collapsed="false">
      <c r="A152" s="5" t="s">
        <v>1743</v>
      </c>
      <c r="B152" s="5" t="s">
        <v>153</v>
      </c>
      <c r="C152" s="5" t="s">
        <v>154</v>
      </c>
      <c r="D152" s="6" t="s">
        <v>45</v>
      </c>
      <c r="E152" s="5" t="n">
        <v>5</v>
      </c>
      <c r="F152" s="5" t="s">
        <v>1744</v>
      </c>
      <c r="G152" s="11" t="s">
        <v>1745</v>
      </c>
      <c r="H152" s="5" t="s">
        <v>1746</v>
      </c>
      <c r="I152" s="11" t="s">
        <v>1747</v>
      </c>
      <c r="J152" s="5" t="s">
        <v>1748</v>
      </c>
      <c r="K152" s="5" t="s">
        <v>1749</v>
      </c>
      <c r="L152" s="11" t="s">
        <v>1750</v>
      </c>
      <c r="M152" s="11" t="s">
        <v>1751</v>
      </c>
      <c r="N152" s="5" t="n">
        <f aca="false">LEN(L152)</f>
        <v>25</v>
      </c>
      <c r="O152" s="5" t="n">
        <f aca="false">LEN(M152)</f>
        <v>25</v>
      </c>
      <c r="P152" s="12" t="n">
        <f aca="false">IF(N152=0,"",(N152-LEN(SUBSTITUTE(SUBSTITUTE(L152,"G",""),"C","")))/N152)</f>
        <v>0.96</v>
      </c>
      <c r="Q152" s="12" t="n">
        <f aca="false">IF(O152=0,"",(O152-LEN(SUBSTITUTE(SUBSTITUTE(M152,"G",""),"C","")))/O152)</f>
        <v>0.6</v>
      </c>
      <c r="R152" s="5"/>
      <c r="S152" s="5" t="s">
        <v>382</v>
      </c>
      <c r="T152" s="5"/>
      <c r="U152" s="5" t="s">
        <v>383</v>
      </c>
      <c r="V152" s="5" t="s">
        <v>1715</v>
      </c>
      <c r="W152" s="5"/>
      <c r="X152" s="13" t="s">
        <v>385</v>
      </c>
      <c r="Y152" s="5"/>
    </row>
    <row r="153" customFormat="false" ht="15" hidden="false" customHeight="false" outlineLevel="0" collapsed="false">
      <c r="A153" s="5" t="s">
        <v>1752</v>
      </c>
      <c r="B153" s="5" t="s">
        <v>153</v>
      </c>
      <c r="C153" s="5" t="s">
        <v>154</v>
      </c>
      <c r="D153" s="6" t="s">
        <v>45</v>
      </c>
      <c r="E153" s="5" t="n">
        <v>6</v>
      </c>
      <c r="F153" s="5" t="s">
        <v>1753</v>
      </c>
      <c r="G153" s="11" t="s">
        <v>1754</v>
      </c>
      <c r="H153" s="5" t="s">
        <v>1755</v>
      </c>
      <c r="I153" s="11" t="s">
        <v>1756</v>
      </c>
      <c r="J153" s="5" t="s">
        <v>1757</v>
      </c>
      <c r="K153" s="5" t="s">
        <v>1758</v>
      </c>
      <c r="L153" s="11" t="s">
        <v>1759</v>
      </c>
      <c r="M153" s="11" t="s">
        <v>1760</v>
      </c>
      <c r="N153" s="5" t="n">
        <f aca="false">LEN(L153)</f>
        <v>25</v>
      </c>
      <c r="O153" s="5" t="n">
        <f aca="false">LEN(M153)</f>
        <v>25</v>
      </c>
      <c r="P153" s="12" t="n">
        <f aca="false">IF(N153=0,"",(N153-LEN(SUBSTITUTE(SUBSTITUTE(L153,"G",""),"C","")))/N153)</f>
        <v>0.56</v>
      </c>
      <c r="Q153" s="12" t="n">
        <f aca="false">IF(O153=0,"",(O153-LEN(SUBSTITUTE(SUBSTITUTE(M153,"G",""),"C","")))/O153)</f>
        <v>0.6</v>
      </c>
      <c r="R153" s="5"/>
      <c r="S153" s="5" t="s">
        <v>382</v>
      </c>
      <c r="T153" s="5"/>
      <c r="U153" s="5" t="s">
        <v>383</v>
      </c>
      <c r="V153" s="5" t="s">
        <v>1715</v>
      </c>
      <c r="W153" s="5"/>
      <c r="X153" s="13" t="s">
        <v>385</v>
      </c>
      <c r="Y153" s="5"/>
    </row>
    <row r="154" customFormat="false" ht="15" hidden="false" customHeight="false" outlineLevel="0" collapsed="false">
      <c r="A154" s="5" t="s">
        <v>1761</v>
      </c>
      <c r="B154" s="5" t="s">
        <v>153</v>
      </c>
      <c r="C154" s="5" t="s">
        <v>154</v>
      </c>
      <c r="D154" s="6" t="s">
        <v>45</v>
      </c>
      <c r="E154" s="5" t="n">
        <v>7</v>
      </c>
      <c r="F154" s="5" t="s">
        <v>1762</v>
      </c>
      <c r="G154" s="11" t="s">
        <v>1763</v>
      </c>
      <c r="H154" s="5" t="s">
        <v>1764</v>
      </c>
      <c r="I154" s="11" t="s">
        <v>1765</v>
      </c>
      <c r="J154" s="5" t="s">
        <v>1766</v>
      </c>
      <c r="K154" s="5" t="s">
        <v>1767</v>
      </c>
      <c r="L154" s="11" t="s">
        <v>1768</v>
      </c>
      <c r="M154" s="11" t="s">
        <v>1769</v>
      </c>
      <c r="N154" s="5" t="n">
        <f aca="false">LEN(L154)</f>
        <v>25</v>
      </c>
      <c r="O154" s="5" t="n">
        <f aca="false">LEN(M154)</f>
        <v>25</v>
      </c>
      <c r="P154" s="12" t="n">
        <f aca="false">IF(N154=0,"",(N154-LEN(SUBSTITUTE(SUBSTITUTE(L154,"G",""),"C","")))/N154)</f>
        <v>0.52</v>
      </c>
      <c r="Q154" s="12" t="n">
        <f aca="false">IF(O154=0,"",(O154-LEN(SUBSTITUTE(SUBSTITUTE(M154,"G",""),"C","")))/O154)</f>
        <v>0.56</v>
      </c>
      <c r="R154" s="5"/>
      <c r="S154" s="5" t="s">
        <v>382</v>
      </c>
      <c r="T154" s="5"/>
      <c r="U154" s="5" t="s">
        <v>383</v>
      </c>
      <c r="V154" s="5" t="s">
        <v>1715</v>
      </c>
      <c r="W154" s="5"/>
      <c r="X154" s="13" t="s">
        <v>385</v>
      </c>
      <c r="Y154" s="5"/>
    </row>
    <row r="155" customFormat="false" ht="15" hidden="false" customHeight="false" outlineLevel="0" collapsed="false">
      <c r="A155" s="5" t="s">
        <v>1770</v>
      </c>
      <c r="B155" s="5" t="s">
        <v>153</v>
      </c>
      <c r="C155" s="5" t="s">
        <v>154</v>
      </c>
      <c r="D155" s="6" t="s">
        <v>45</v>
      </c>
      <c r="E155" s="5" t="n">
        <v>8</v>
      </c>
      <c r="F155" s="5" t="s">
        <v>1771</v>
      </c>
      <c r="G155" s="11" t="s">
        <v>1772</v>
      </c>
      <c r="H155" s="5" t="s">
        <v>1773</v>
      </c>
      <c r="I155" s="11" t="s">
        <v>1774</v>
      </c>
      <c r="J155" s="5" t="s">
        <v>1775</v>
      </c>
      <c r="K155" s="5" t="s">
        <v>1776</v>
      </c>
      <c r="L155" s="11" t="s">
        <v>1777</v>
      </c>
      <c r="M155" s="11" t="s">
        <v>1778</v>
      </c>
      <c r="N155" s="5" t="n">
        <f aca="false">LEN(L155)</f>
        <v>25</v>
      </c>
      <c r="O155" s="5" t="n">
        <f aca="false">LEN(M155)</f>
        <v>25</v>
      </c>
      <c r="P155" s="12" t="n">
        <f aca="false">IF(N155=0,"",(N155-LEN(SUBSTITUTE(SUBSTITUTE(L155,"G",""),"C","")))/N155)</f>
        <v>0.6</v>
      </c>
      <c r="Q155" s="12" t="n">
        <f aca="false">IF(O155=0,"",(O155-LEN(SUBSTITUTE(SUBSTITUTE(M155,"G",""),"C","")))/O155)</f>
        <v>0.64</v>
      </c>
      <c r="R155" s="5"/>
      <c r="S155" s="5" t="s">
        <v>382</v>
      </c>
      <c r="T155" s="5"/>
      <c r="U155" s="5" t="s">
        <v>383</v>
      </c>
      <c r="V155" s="5" t="s">
        <v>1715</v>
      </c>
      <c r="W155" s="5"/>
      <c r="X155" s="13" t="s">
        <v>385</v>
      </c>
      <c r="Y155" s="5"/>
    </row>
    <row r="156" customFormat="false" ht="15" hidden="false" customHeight="false" outlineLevel="0" collapsed="false">
      <c r="A156" s="5" t="s">
        <v>1779</v>
      </c>
      <c r="B156" s="5" t="s">
        <v>153</v>
      </c>
      <c r="C156" s="5" t="s">
        <v>154</v>
      </c>
      <c r="D156" s="6" t="s">
        <v>45</v>
      </c>
      <c r="E156" s="5" t="n">
        <v>9</v>
      </c>
      <c r="F156" s="5" t="s">
        <v>1780</v>
      </c>
      <c r="G156" s="11" t="s">
        <v>1781</v>
      </c>
      <c r="H156" s="5" t="s">
        <v>1782</v>
      </c>
      <c r="I156" s="11" t="s">
        <v>1783</v>
      </c>
      <c r="J156" s="5" t="s">
        <v>1784</v>
      </c>
      <c r="K156" s="5" t="s">
        <v>1785</v>
      </c>
      <c r="L156" s="11" t="s">
        <v>1786</v>
      </c>
      <c r="M156" s="11" t="s">
        <v>1787</v>
      </c>
      <c r="N156" s="5" t="n">
        <f aca="false">LEN(L156)</f>
        <v>25</v>
      </c>
      <c r="O156" s="5" t="n">
        <f aca="false">LEN(M156)</f>
        <v>25</v>
      </c>
      <c r="P156" s="12" t="n">
        <f aca="false">IF(N156=0,"",(N156-LEN(SUBSTITUTE(SUBSTITUTE(L156,"G",""),"C","")))/N156)</f>
        <v>0.64</v>
      </c>
      <c r="Q156" s="12" t="n">
        <f aca="false">IF(O156=0,"",(O156-LEN(SUBSTITUTE(SUBSTITUTE(M156,"G",""),"C","")))/O156)</f>
        <v>0.6</v>
      </c>
      <c r="R156" s="5"/>
      <c r="S156" s="5" t="s">
        <v>382</v>
      </c>
      <c r="T156" s="5"/>
      <c r="U156" s="5" t="s">
        <v>383</v>
      </c>
      <c r="V156" s="5" t="s">
        <v>1715</v>
      </c>
      <c r="W156" s="5"/>
      <c r="X156" s="13" t="s">
        <v>385</v>
      </c>
      <c r="Y156" s="5"/>
    </row>
    <row r="157" customFormat="false" ht="15" hidden="false" customHeight="false" outlineLevel="0" collapsed="false">
      <c r="A157" s="5" t="s">
        <v>1788</v>
      </c>
      <c r="B157" s="5" t="s">
        <v>153</v>
      </c>
      <c r="C157" s="5" t="s">
        <v>154</v>
      </c>
      <c r="D157" s="6" t="s">
        <v>45</v>
      </c>
      <c r="E157" s="5" t="n">
        <v>10</v>
      </c>
      <c r="F157" s="5" t="s">
        <v>1789</v>
      </c>
      <c r="G157" s="11" t="s">
        <v>1790</v>
      </c>
      <c r="H157" s="5" t="s">
        <v>1791</v>
      </c>
      <c r="I157" s="11" t="s">
        <v>1792</v>
      </c>
      <c r="J157" s="5" t="s">
        <v>1793</v>
      </c>
      <c r="K157" s="5" t="s">
        <v>1794</v>
      </c>
      <c r="L157" s="11" t="s">
        <v>1795</v>
      </c>
      <c r="M157" s="11" t="s">
        <v>1796</v>
      </c>
      <c r="N157" s="5" t="n">
        <f aca="false">LEN(L157)</f>
        <v>25</v>
      </c>
      <c r="O157" s="5" t="n">
        <f aca="false">LEN(M157)</f>
        <v>25</v>
      </c>
      <c r="P157" s="12" t="n">
        <f aca="false">IF(N157=0,"",(N157-LEN(SUBSTITUTE(SUBSTITUTE(L157,"G",""),"C","")))/N157)</f>
        <v>0.68</v>
      </c>
      <c r="Q157" s="12" t="n">
        <f aca="false">IF(O157=0,"",(O157-LEN(SUBSTITUTE(SUBSTITUTE(M157,"G",""),"C","")))/O157)</f>
        <v>0.72</v>
      </c>
      <c r="R157" s="5"/>
      <c r="S157" s="5" t="s">
        <v>382</v>
      </c>
      <c r="T157" s="5"/>
      <c r="U157" s="5" t="s">
        <v>383</v>
      </c>
      <c r="V157" s="5" t="s">
        <v>1715</v>
      </c>
      <c r="W157" s="5"/>
      <c r="X157" s="13" t="s">
        <v>385</v>
      </c>
      <c r="Y157" s="5"/>
    </row>
    <row r="158" customFormat="false" ht="15" hidden="false" customHeight="false" outlineLevel="0" collapsed="false">
      <c r="A158" s="5" t="s">
        <v>1797</v>
      </c>
      <c r="B158" s="5" t="s">
        <v>153</v>
      </c>
      <c r="C158" s="5" t="s">
        <v>154</v>
      </c>
      <c r="D158" s="6" t="s">
        <v>45</v>
      </c>
      <c r="E158" s="5" t="n">
        <v>11</v>
      </c>
      <c r="F158" s="5" t="s">
        <v>1798</v>
      </c>
      <c r="G158" s="11" t="s">
        <v>1799</v>
      </c>
      <c r="H158" s="5" t="s">
        <v>1800</v>
      </c>
      <c r="I158" s="11" t="s">
        <v>1801</v>
      </c>
      <c r="J158" s="5" t="s">
        <v>1802</v>
      </c>
      <c r="K158" s="5" t="s">
        <v>1803</v>
      </c>
      <c r="L158" s="11" t="s">
        <v>1804</v>
      </c>
      <c r="M158" s="11" t="s">
        <v>1805</v>
      </c>
      <c r="N158" s="5" t="n">
        <f aca="false">LEN(L158)</f>
        <v>25</v>
      </c>
      <c r="O158" s="5" t="n">
        <f aca="false">LEN(M158)</f>
        <v>25</v>
      </c>
      <c r="P158" s="12" t="n">
        <f aca="false">IF(N158=0,"",(N158-LEN(SUBSTITUTE(SUBSTITUTE(L158,"G",""),"C","")))/N158)</f>
        <v>0.6</v>
      </c>
      <c r="Q158" s="12" t="n">
        <f aca="false">IF(O158=0,"",(O158-LEN(SUBSTITUTE(SUBSTITUTE(M158,"G",""),"C","")))/O158)</f>
        <v>0.4</v>
      </c>
      <c r="R158" s="5"/>
      <c r="S158" s="5" t="s">
        <v>382</v>
      </c>
      <c r="T158" s="5"/>
      <c r="U158" s="5" t="s">
        <v>383</v>
      </c>
      <c r="V158" s="5" t="s">
        <v>1715</v>
      </c>
      <c r="W158" s="5"/>
      <c r="X158" s="13" t="s">
        <v>385</v>
      </c>
      <c r="Y158" s="5"/>
    </row>
    <row r="159" customFormat="false" ht="15" hidden="false" customHeight="false" outlineLevel="0" collapsed="false">
      <c r="A159" s="5" t="s">
        <v>1806</v>
      </c>
      <c r="B159" s="5" t="s">
        <v>153</v>
      </c>
      <c r="C159" s="5" t="s">
        <v>154</v>
      </c>
      <c r="D159" s="6" t="s">
        <v>45</v>
      </c>
      <c r="E159" s="5" t="n">
        <v>12</v>
      </c>
      <c r="F159" s="5" t="s">
        <v>1807</v>
      </c>
      <c r="G159" s="11" t="s">
        <v>1808</v>
      </c>
      <c r="H159" s="5" t="s">
        <v>1809</v>
      </c>
      <c r="I159" s="11" t="s">
        <v>1810</v>
      </c>
      <c r="J159" s="5" t="s">
        <v>1811</v>
      </c>
      <c r="K159" s="5" t="s">
        <v>1812</v>
      </c>
      <c r="L159" s="11" t="s">
        <v>1813</v>
      </c>
      <c r="M159" s="11" t="s">
        <v>1814</v>
      </c>
      <c r="N159" s="5" t="n">
        <f aca="false">LEN(L159)</f>
        <v>25</v>
      </c>
      <c r="O159" s="5" t="n">
        <f aca="false">LEN(M159)</f>
        <v>25</v>
      </c>
      <c r="P159" s="12" t="n">
        <f aca="false">IF(N159=0,"",(N159-LEN(SUBSTITUTE(SUBSTITUTE(L159,"G",""),"C","")))/N159)</f>
        <v>0.68</v>
      </c>
      <c r="Q159" s="12" t="n">
        <f aca="false">IF(O159=0,"",(O159-LEN(SUBSTITUTE(SUBSTITUTE(M159,"G",""),"C","")))/O159)</f>
        <v>0.64</v>
      </c>
      <c r="R159" s="5"/>
      <c r="S159" s="5" t="s">
        <v>382</v>
      </c>
      <c r="T159" s="5"/>
      <c r="U159" s="5" t="s">
        <v>383</v>
      </c>
      <c r="V159" s="5" t="s">
        <v>1715</v>
      </c>
      <c r="W159" s="5"/>
      <c r="X159" s="13" t="s">
        <v>385</v>
      </c>
      <c r="Y159" s="5"/>
    </row>
    <row r="160" customFormat="false" ht="15" hidden="false" customHeight="false" outlineLevel="0" collapsed="false">
      <c r="A160" s="5" t="s">
        <v>1815</v>
      </c>
      <c r="B160" s="5" t="s">
        <v>159</v>
      </c>
      <c r="C160" s="5" t="s">
        <v>160</v>
      </c>
      <c r="D160" s="9" t="s">
        <v>92</v>
      </c>
      <c r="E160" s="5" t="n">
        <v>1</v>
      </c>
      <c r="F160" s="5" t="s">
        <v>1816</v>
      </c>
      <c r="G160" s="11" t="s">
        <v>1817</v>
      </c>
      <c r="H160" s="5" t="s">
        <v>1818</v>
      </c>
      <c r="I160" s="11" t="s">
        <v>1819</v>
      </c>
      <c r="J160" s="5" t="s">
        <v>1820</v>
      </c>
      <c r="K160" s="5" t="s">
        <v>1821</v>
      </c>
      <c r="L160" s="11" t="s">
        <v>1822</v>
      </c>
      <c r="M160" s="11" t="s">
        <v>1823</v>
      </c>
      <c r="N160" s="5" t="n">
        <f aca="false">LEN(L160)</f>
        <v>25</v>
      </c>
      <c r="O160" s="5" t="n">
        <f aca="false">LEN(M160)</f>
        <v>25</v>
      </c>
      <c r="P160" s="12" t="n">
        <f aca="false">IF(N160=0,"",(N160-LEN(SUBSTITUTE(SUBSTITUTE(L160,"G",""),"C","")))/N160)</f>
        <v>0.32</v>
      </c>
      <c r="Q160" s="12" t="n">
        <f aca="false">IF(O160=0,"",(O160-LEN(SUBSTITUTE(SUBSTITUTE(M160,"G",""),"C","")))/O160)</f>
        <v>0.32</v>
      </c>
      <c r="R160" s="5"/>
      <c r="S160" s="5" t="s">
        <v>382</v>
      </c>
      <c r="T160" s="5"/>
      <c r="U160" s="5" t="s">
        <v>383</v>
      </c>
      <c r="V160" s="5" t="s">
        <v>1824</v>
      </c>
      <c r="W160" s="5"/>
      <c r="X160" s="13" t="s">
        <v>385</v>
      </c>
      <c r="Y160" s="5"/>
    </row>
    <row r="161" customFormat="false" ht="15" hidden="false" customHeight="false" outlineLevel="0" collapsed="false">
      <c r="A161" s="5" t="s">
        <v>1825</v>
      </c>
      <c r="B161" s="5" t="s">
        <v>159</v>
      </c>
      <c r="C161" s="5" t="s">
        <v>160</v>
      </c>
      <c r="D161" s="9" t="s">
        <v>92</v>
      </c>
      <c r="E161" s="5" t="n">
        <v>2</v>
      </c>
      <c r="F161" s="5" t="s">
        <v>1826</v>
      </c>
      <c r="G161" s="11" t="s">
        <v>1827</v>
      </c>
      <c r="H161" s="5" t="s">
        <v>1828</v>
      </c>
      <c r="I161" s="11" t="s">
        <v>1829</v>
      </c>
      <c r="J161" s="5" t="s">
        <v>1830</v>
      </c>
      <c r="K161" s="5" t="s">
        <v>1831</v>
      </c>
      <c r="L161" s="11" t="s">
        <v>1832</v>
      </c>
      <c r="M161" s="11" t="s">
        <v>1833</v>
      </c>
      <c r="N161" s="5" t="n">
        <f aca="false">LEN(L161)</f>
        <v>25</v>
      </c>
      <c r="O161" s="5" t="n">
        <f aca="false">LEN(M161)</f>
        <v>25</v>
      </c>
      <c r="P161" s="12" t="n">
        <f aca="false">IF(N161=0,"",(N161-LEN(SUBSTITUTE(SUBSTITUTE(L161,"G",""),"C","")))/N161)</f>
        <v>0.44</v>
      </c>
      <c r="Q161" s="12" t="n">
        <f aca="false">IF(O161=0,"",(O161-LEN(SUBSTITUTE(SUBSTITUTE(M161,"G",""),"C","")))/O161)</f>
        <v>0.4</v>
      </c>
      <c r="R161" s="5"/>
      <c r="S161" s="5" t="s">
        <v>382</v>
      </c>
      <c r="T161" s="5"/>
      <c r="U161" s="5" t="s">
        <v>383</v>
      </c>
      <c r="V161" s="5" t="s">
        <v>1824</v>
      </c>
      <c r="W161" s="5"/>
      <c r="X161" s="13" t="s">
        <v>385</v>
      </c>
      <c r="Y161" s="5"/>
    </row>
    <row r="162" customFormat="false" ht="15" hidden="false" customHeight="false" outlineLevel="0" collapsed="false">
      <c r="A162" s="5" t="s">
        <v>1834</v>
      </c>
      <c r="B162" s="5" t="s">
        <v>159</v>
      </c>
      <c r="C162" s="5" t="s">
        <v>160</v>
      </c>
      <c r="D162" s="9" t="s">
        <v>92</v>
      </c>
      <c r="E162" s="5" t="n">
        <v>3</v>
      </c>
      <c r="F162" s="5" t="s">
        <v>1835</v>
      </c>
      <c r="G162" s="11" t="s">
        <v>1836</v>
      </c>
      <c r="H162" s="5" t="s">
        <v>1837</v>
      </c>
      <c r="I162" s="11" t="s">
        <v>1838</v>
      </c>
      <c r="J162" s="5" t="s">
        <v>1839</v>
      </c>
      <c r="K162" s="5" t="s">
        <v>1840</v>
      </c>
      <c r="L162" s="11" t="s">
        <v>1841</v>
      </c>
      <c r="M162" s="11" t="s">
        <v>1842</v>
      </c>
      <c r="N162" s="5" t="n">
        <f aca="false">LEN(L162)</f>
        <v>25</v>
      </c>
      <c r="O162" s="5" t="n">
        <f aca="false">LEN(M162)</f>
        <v>25</v>
      </c>
      <c r="P162" s="12" t="n">
        <f aca="false">IF(N162=0,"",(N162-LEN(SUBSTITUTE(SUBSTITUTE(L162,"G",""),"C","")))/N162)</f>
        <v>0.36</v>
      </c>
      <c r="Q162" s="12" t="n">
        <f aca="false">IF(O162=0,"",(O162-LEN(SUBSTITUTE(SUBSTITUTE(M162,"G",""),"C","")))/O162)</f>
        <v>0.4</v>
      </c>
      <c r="R162" s="5"/>
      <c r="S162" s="5" t="s">
        <v>382</v>
      </c>
      <c r="T162" s="5"/>
      <c r="U162" s="5" t="s">
        <v>383</v>
      </c>
      <c r="V162" s="5" t="s">
        <v>1824</v>
      </c>
      <c r="W162" s="5"/>
      <c r="X162" s="13" t="s">
        <v>385</v>
      </c>
      <c r="Y162" s="5"/>
    </row>
    <row r="163" customFormat="false" ht="15" hidden="false" customHeight="false" outlineLevel="0" collapsed="false">
      <c r="A163" s="5" t="s">
        <v>1843</v>
      </c>
      <c r="B163" s="5" t="s">
        <v>159</v>
      </c>
      <c r="C163" s="5" t="s">
        <v>160</v>
      </c>
      <c r="D163" s="9" t="s">
        <v>92</v>
      </c>
      <c r="E163" s="5" t="n">
        <v>4</v>
      </c>
      <c r="F163" s="5" t="s">
        <v>1844</v>
      </c>
      <c r="G163" s="11" t="s">
        <v>1845</v>
      </c>
      <c r="H163" s="5" t="s">
        <v>1846</v>
      </c>
      <c r="I163" s="11" t="s">
        <v>1847</v>
      </c>
      <c r="J163" s="5" t="s">
        <v>1848</v>
      </c>
      <c r="K163" s="5" t="s">
        <v>1849</v>
      </c>
      <c r="L163" s="11" t="s">
        <v>1850</v>
      </c>
      <c r="M163" s="11" t="s">
        <v>1851</v>
      </c>
      <c r="N163" s="5" t="n">
        <f aca="false">LEN(L163)</f>
        <v>25</v>
      </c>
      <c r="O163" s="5" t="n">
        <f aca="false">LEN(M163)</f>
        <v>25</v>
      </c>
      <c r="P163" s="12" t="n">
        <f aca="false">IF(N163=0,"",(N163-LEN(SUBSTITUTE(SUBSTITUTE(L163,"G",""),"C","")))/N163)</f>
        <v>0.4</v>
      </c>
      <c r="Q163" s="12" t="n">
        <f aca="false">IF(O163=0,"",(O163-LEN(SUBSTITUTE(SUBSTITUTE(M163,"G",""),"C","")))/O163)</f>
        <v>0.44</v>
      </c>
      <c r="R163" s="5"/>
      <c r="S163" s="5" t="s">
        <v>382</v>
      </c>
      <c r="T163" s="5"/>
      <c r="U163" s="5" t="s">
        <v>383</v>
      </c>
      <c r="V163" s="5" t="s">
        <v>1824</v>
      </c>
      <c r="W163" s="5"/>
      <c r="X163" s="13" t="s">
        <v>385</v>
      </c>
      <c r="Y163" s="5"/>
    </row>
    <row r="164" customFormat="false" ht="15" hidden="false" customHeight="false" outlineLevel="0" collapsed="false">
      <c r="A164" s="5" t="s">
        <v>1852</v>
      </c>
      <c r="B164" s="5" t="s">
        <v>159</v>
      </c>
      <c r="C164" s="5" t="s">
        <v>160</v>
      </c>
      <c r="D164" s="9" t="s">
        <v>92</v>
      </c>
      <c r="E164" s="5" t="n">
        <v>5</v>
      </c>
      <c r="F164" s="5" t="s">
        <v>1853</v>
      </c>
      <c r="G164" s="11" t="s">
        <v>1854</v>
      </c>
      <c r="H164" s="5" t="s">
        <v>1855</v>
      </c>
      <c r="I164" s="11" t="s">
        <v>1856</v>
      </c>
      <c r="J164" s="5" t="s">
        <v>1857</v>
      </c>
      <c r="K164" s="5" t="s">
        <v>1858</v>
      </c>
      <c r="L164" s="11" t="s">
        <v>1859</v>
      </c>
      <c r="M164" s="11" t="s">
        <v>1860</v>
      </c>
      <c r="N164" s="5" t="n">
        <f aca="false">LEN(L164)</f>
        <v>25</v>
      </c>
      <c r="O164" s="5" t="n">
        <f aca="false">LEN(M164)</f>
        <v>25</v>
      </c>
      <c r="P164" s="12" t="n">
        <f aca="false">IF(N164=0,"",(N164-LEN(SUBSTITUTE(SUBSTITUTE(L164,"G",""),"C","")))/N164)</f>
        <v>0.24</v>
      </c>
      <c r="Q164" s="12" t="n">
        <f aca="false">IF(O164=0,"",(O164-LEN(SUBSTITUTE(SUBSTITUTE(M164,"G",""),"C","")))/O164)</f>
        <v>0.36</v>
      </c>
      <c r="R164" s="5"/>
      <c r="S164" s="5" t="s">
        <v>382</v>
      </c>
      <c r="T164" s="5"/>
      <c r="U164" s="5" t="s">
        <v>383</v>
      </c>
      <c r="V164" s="5" t="s">
        <v>1824</v>
      </c>
      <c r="W164" s="5"/>
      <c r="X164" s="13" t="s">
        <v>385</v>
      </c>
      <c r="Y164" s="5"/>
    </row>
    <row r="165" customFormat="false" ht="15" hidden="false" customHeight="false" outlineLevel="0" collapsed="false">
      <c r="A165" s="5" t="s">
        <v>1861</v>
      </c>
      <c r="B165" s="5" t="s">
        <v>159</v>
      </c>
      <c r="C165" s="5" t="s">
        <v>160</v>
      </c>
      <c r="D165" s="9" t="s">
        <v>92</v>
      </c>
      <c r="E165" s="5" t="n">
        <v>6</v>
      </c>
      <c r="F165" s="5" t="s">
        <v>1862</v>
      </c>
      <c r="G165" s="11" t="s">
        <v>1863</v>
      </c>
      <c r="H165" s="5" t="s">
        <v>1864</v>
      </c>
      <c r="I165" s="11" t="s">
        <v>1865</v>
      </c>
      <c r="J165" s="5" t="s">
        <v>1866</v>
      </c>
      <c r="K165" s="5" t="s">
        <v>1867</v>
      </c>
      <c r="L165" s="11" t="s">
        <v>1868</v>
      </c>
      <c r="M165" s="11" t="s">
        <v>1869</v>
      </c>
      <c r="N165" s="5" t="n">
        <f aca="false">LEN(L165)</f>
        <v>25</v>
      </c>
      <c r="O165" s="5" t="n">
        <f aca="false">LEN(M165)</f>
        <v>25</v>
      </c>
      <c r="P165" s="12" t="n">
        <f aca="false">IF(N165=0,"",(N165-LEN(SUBSTITUTE(SUBSTITUTE(L165,"G",""),"C","")))/N165)</f>
        <v>0.4</v>
      </c>
      <c r="Q165" s="12" t="n">
        <f aca="false">IF(O165=0,"",(O165-LEN(SUBSTITUTE(SUBSTITUTE(M165,"G",""),"C","")))/O165)</f>
        <v>0.16</v>
      </c>
      <c r="R165" s="5"/>
      <c r="S165" s="5" t="s">
        <v>382</v>
      </c>
      <c r="T165" s="5"/>
      <c r="U165" s="5" t="s">
        <v>383</v>
      </c>
      <c r="V165" s="5" t="s">
        <v>1824</v>
      </c>
      <c r="W165" s="5"/>
      <c r="X165" s="13" t="s">
        <v>385</v>
      </c>
      <c r="Y165" s="5"/>
    </row>
    <row r="166" customFormat="false" ht="15" hidden="false" customHeight="false" outlineLevel="0" collapsed="false">
      <c r="A166" s="5" t="s">
        <v>1870</v>
      </c>
      <c r="B166" s="5" t="s">
        <v>159</v>
      </c>
      <c r="C166" s="5" t="s">
        <v>160</v>
      </c>
      <c r="D166" s="9" t="s">
        <v>92</v>
      </c>
      <c r="E166" s="5" t="n">
        <v>7</v>
      </c>
      <c r="F166" s="5" t="s">
        <v>1871</v>
      </c>
      <c r="G166" s="11" t="s">
        <v>1872</v>
      </c>
      <c r="H166" s="5" t="s">
        <v>1873</v>
      </c>
      <c r="I166" s="11" t="s">
        <v>1874</v>
      </c>
      <c r="J166" s="5" t="s">
        <v>1875</v>
      </c>
      <c r="K166" s="5" t="s">
        <v>1876</v>
      </c>
      <c r="L166" s="11" t="s">
        <v>1877</v>
      </c>
      <c r="M166" s="11" t="s">
        <v>1878</v>
      </c>
      <c r="N166" s="5" t="n">
        <f aca="false">LEN(L166)</f>
        <v>25</v>
      </c>
      <c r="O166" s="5" t="n">
        <f aca="false">LEN(M166)</f>
        <v>25</v>
      </c>
      <c r="P166" s="12" t="n">
        <f aca="false">IF(N166=0,"",(N166-LEN(SUBSTITUTE(SUBSTITUTE(L166,"G",""),"C","")))/N166)</f>
        <v>0.48</v>
      </c>
      <c r="Q166" s="12" t="n">
        <f aca="false">IF(O166=0,"",(O166-LEN(SUBSTITUTE(SUBSTITUTE(M166,"G",""),"C","")))/O166)</f>
        <v>0.32</v>
      </c>
      <c r="R166" s="5"/>
      <c r="S166" s="5" t="s">
        <v>382</v>
      </c>
      <c r="T166" s="5"/>
      <c r="U166" s="5" t="s">
        <v>383</v>
      </c>
      <c r="V166" s="5" t="s">
        <v>1824</v>
      </c>
      <c r="W166" s="5"/>
      <c r="X166" s="13" t="s">
        <v>385</v>
      </c>
      <c r="Y166" s="5"/>
    </row>
    <row r="167" customFormat="false" ht="15" hidden="false" customHeight="false" outlineLevel="0" collapsed="false">
      <c r="A167" s="5" t="s">
        <v>1879</v>
      </c>
      <c r="B167" s="5" t="s">
        <v>159</v>
      </c>
      <c r="C167" s="5" t="s">
        <v>160</v>
      </c>
      <c r="D167" s="9" t="s">
        <v>92</v>
      </c>
      <c r="E167" s="5" t="n">
        <v>8</v>
      </c>
      <c r="F167" s="5" t="s">
        <v>1880</v>
      </c>
      <c r="G167" s="11" t="s">
        <v>1881</v>
      </c>
      <c r="H167" s="5" t="s">
        <v>1882</v>
      </c>
      <c r="I167" s="11" t="s">
        <v>1883</v>
      </c>
      <c r="J167" s="5" t="s">
        <v>1884</v>
      </c>
      <c r="K167" s="5" t="s">
        <v>1885</v>
      </c>
      <c r="L167" s="11" t="s">
        <v>1886</v>
      </c>
      <c r="M167" s="11" t="s">
        <v>1887</v>
      </c>
      <c r="N167" s="5" t="n">
        <f aca="false">LEN(L167)</f>
        <v>25</v>
      </c>
      <c r="O167" s="5" t="n">
        <f aca="false">LEN(M167)</f>
        <v>25</v>
      </c>
      <c r="P167" s="12" t="n">
        <f aca="false">IF(N167=0,"",(N167-LEN(SUBSTITUTE(SUBSTITUTE(L167,"G",""),"C","")))/N167)</f>
        <v>0.28</v>
      </c>
      <c r="Q167" s="12" t="n">
        <f aca="false">IF(O167=0,"",(O167-LEN(SUBSTITUTE(SUBSTITUTE(M167,"G",""),"C","")))/O167)</f>
        <v>0.28</v>
      </c>
      <c r="R167" s="5"/>
      <c r="S167" s="5" t="s">
        <v>382</v>
      </c>
      <c r="T167" s="5"/>
      <c r="U167" s="5" t="s">
        <v>383</v>
      </c>
      <c r="V167" s="5" t="s">
        <v>1824</v>
      </c>
      <c r="W167" s="5"/>
      <c r="X167" s="13" t="s">
        <v>385</v>
      </c>
      <c r="Y167" s="5"/>
    </row>
    <row r="168" customFormat="false" ht="15" hidden="false" customHeight="false" outlineLevel="0" collapsed="false">
      <c r="A168" s="5" t="s">
        <v>1888</v>
      </c>
      <c r="B168" s="5" t="s">
        <v>167</v>
      </c>
      <c r="C168" s="5" t="s">
        <v>168</v>
      </c>
      <c r="D168" s="9" t="s">
        <v>92</v>
      </c>
      <c r="E168" s="5" t="n">
        <v>1</v>
      </c>
      <c r="F168" s="5" t="s">
        <v>1889</v>
      </c>
      <c r="G168" s="11" t="s">
        <v>1890</v>
      </c>
      <c r="H168" s="5" t="s">
        <v>1891</v>
      </c>
      <c r="I168" s="11" t="s">
        <v>1892</v>
      </c>
      <c r="J168" s="5" t="s">
        <v>1893</v>
      </c>
      <c r="K168" s="5" t="s">
        <v>1894</v>
      </c>
      <c r="L168" s="11" t="s">
        <v>1895</v>
      </c>
      <c r="M168" s="11" t="s">
        <v>1896</v>
      </c>
      <c r="N168" s="5" t="n">
        <f aca="false">LEN(L168)</f>
        <v>25</v>
      </c>
      <c r="O168" s="5" t="n">
        <f aca="false">LEN(M168)</f>
        <v>25</v>
      </c>
      <c r="P168" s="12" t="n">
        <f aca="false">IF(N168=0,"",(N168-LEN(SUBSTITUTE(SUBSTITUTE(L168,"G",""),"C","")))/N168)</f>
        <v>0.56</v>
      </c>
      <c r="Q168" s="12" t="n">
        <f aca="false">IF(O168=0,"",(O168-LEN(SUBSTITUTE(SUBSTITUTE(M168,"G",""),"C","")))/O168)</f>
        <v>0.44</v>
      </c>
      <c r="R168" s="5"/>
      <c r="S168" s="5" t="s">
        <v>382</v>
      </c>
      <c r="T168" s="5"/>
      <c r="U168" s="5" t="s">
        <v>383</v>
      </c>
      <c r="V168" s="5" t="s">
        <v>1897</v>
      </c>
      <c r="W168" s="5"/>
      <c r="X168" s="13" t="s">
        <v>385</v>
      </c>
      <c r="Y168" s="5"/>
    </row>
    <row r="169" customFormat="false" ht="15" hidden="false" customHeight="false" outlineLevel="0" collapsed="false">
      <c r="A169" s="5" t="s">
        <v>1898</v>
      </c>
      <c r="B169" s="5" t="s">
        <v>167</v>
      </c>
      <c r="C169" s="5" t="s">
        <v>168</v>
      </c>
      <c r="D169" s="9" t="s">
        <v>92</v>
      </c>
      <c r="E169" s="5" t="n">
        <v>2</v>
      </c>
      <c r="F169" s="5" t="s">
        <v>1899</v>
      </c>
      <c r="G169" s="11" t="s">
        <v>1900</v>
      </c>
      <c r="H169" s="5" t="s">
        <v>1901</v>
      </c>
      <c r="I169" s="11" t="s">
        <v>1902</v>
      </c>
      <c r="J169" s="5" t="s">
        <v>1903</v>
      </c>
      <c r="K169" s="5" t="s">
        <v>1904</v>
      </c>
      <c r="L169" s="11" t="s">
        <v>1905</v>
      </c>
      <c r="M169" s="11" t="s">
        <v>1906</v>
      </c>
      <c r="N169" s="5" t="n">
        <f aca="false">LEN(L169)</f>
        <v>25</v>
      </c>
      <c r="O169" s="5" t="n">
        <f aca="false">LEN(M169)</f>
        <v>25</v>
      </c>
      <c r="P169" s="12" t="n">
        <f aca="false">IF(N169=0,"",(N169-LEN(SUBSTITUTE(SUBSTITUTE(L169,"G",""),"C","")))/N169)</f>
        <v>0.56</v>
      </c>
      <c r="Q169" s="12" t="n">
        <f aca="false">IF(O169=0,"",(O169-LEN(SUBSTITUTE(SUBSTITUTE(M169,"G",""),"C","")))/O169)</f>
        <v>0.64</v>
      </c>
      <c r="R169" s="5"/>
      <c r="S169" s="5" t="s">
        <v>382</v>
      </c>
      <c r="T169" s="5"/>
      <c r="U169" s="5" t="s">
        <v>383</v>
      </c>
      <c r="V169" s="5" t="s">
        <v>1897</v>
      </c>
      <c r="W169" s="5"/>
      <c r="X169" s="13" t="s">
        <v>385</v>
      </c>
      <c r="Y169" s="5"/>
    </row>
    <row r="170" customFormat="false" ht="15" hidden="false" customHeight="false" outlineLevel="0" collapsed="false">
      <c r="A170" s="5" t="s">
        <v>1907</v>
      </c>
      <c r="B170" s="5" t="s">
        <v>167</v>
      </c>
      <c r="C170" s="5" t="s">
        <v>168</v>
      </c>
      <c r="D170" s="9" t="s">
        <v>92</v>
      </c>
      <c r="E170" s="5" t="n">
        <v>3</v>
      </c>
      <c r="F170" s="5" t="s">
        <v>1908</v>
      </c>
      <c r="G170" s="11" t="s">
        <v>1909</v>
      </c>
      <c r="H170" s="5" t="s">
        <v>1910</v>
      </c>
      <c r="I170" s="11" t="s">
        <v>1911</v>
      </c>
      <c r="J170" s="5" t="s">
        <v>1912</v>
      </c>
      <c r="K170" s="5" t="s">
        <v>1913</v>
      </c>
      <c r="L170" s="11" t="s">
        <v>1914</v>
      </c>
      <c r="M170" s="11" t="s">
        <v>1915</v>
      </c>
      <c r="N170" s="5" t="n">
        <f aca="false">LEN(L170)</f>
        <v>25</v>
      </c>
      <c r="O170" s="5" t="n">
        <f aca="false">LEN(M170)</f>
        <v>25</v>
      </c>
      <c r="P170" s="12" t="n">
        <f aca="false">IF(N170=0,"",(N170-LEN(SUBSTITUTE(SUBSTITUTE(L170,"G",""),"C","")))/N170)</f>
        <v>0.84</v>
      </c>
      <c r="Q170" s="12" t="n">
        <f aca="false">IF(O170=0,"",(O170-LEN(SUBSTITUTE(SUBSTITUTE(M170,"G",""),"C","")))/O170)</f>
        <v>0.6</v>
      </c>
      <c r="R170" s="5"/>
      <c r="S170" s="5" t="s">
        <v>382</v>
      </c>
      <c r="T170" s="5"/>
      <c r="U170" s="5" t="s">
        <v>383</v>
      </c>
      <c r="V170" s="5" t="s">
        <v>1897</v>
      </c>
      <c r="W170" s="5"/>
      <c r="X170" s="13" t="s">
        <v>385</v>
      </c>
      <c r="Y170" s="5"/>
    </row>
    <row r="171" customFormat="false" ht="15" hidden="false" customHeight="false" outlineLevel="0" collapsed="false">
      <c r="A171" s="5" t="s">
        <v>1916</v>
      </c>
      <c r="B171" s="5" t="s">
        <v>167</v>
      </c>
      <c r="C171" s="5" t="s">
        <v>168</v>
      </c>
      <c r="D171" s="9" t="s">
        <v>92</v>
      </c>
      <c r="E171" s="5" t="n">
        <v>4</v>
      </c>
      <c r="F171" s="5" t="s">
        <v>1917</v>
      </c>
      <c r="G171" s="11" t="s">
        <v>1918</v>
      </c>
      <c r="H171" s="5" t="s">
        <v>1919</v>
      </c>
      <c r="I171" s="11" t="s">
        <v>1920</v>
      </c>
      <c r="J171" s="5" t="s">
        <v>1921</v>
      </c>
      <c r="K171" s="5" t="s">
        <v>1922</v>
      </c>
      <c r="L171" s="11" t="s">
        <v>1923</v>
      </c>
      <c r="M171" s="11" t="s">
        <v>1924</v>
      </c>
      <c r="N171" s="5" t="n">
        <f aca="false">LEN(L171)</f>
        <v>25</v>
      </c>
      <c r="O171" s="5" t="n">
        <f aca="false">LEN(M171)</f>
        <v>25</v>
      </c>
      <c r="P171" s="12" t="n">
        <f aca="false">IF(N171=0,"",(N171-LEN(SUBSTITUTE(SUBSTITUTE(L171,"G",""),"C","")))/N171)</f>
        <v>0.48</v>
      </c>
      <c r="Q171" s="12" t="n">
        <f aca="false">IF(O171=0,"",(O171-LEN(SUBSTITUTE(SUBSTITUTE(M171,"G",""),"C","")))/O171)</f>
        <v>0.68</v>
      </c>
      <c r="R171" s="5"/>
      <c r="S171" s="5" t="s">
        <v>382</v>
      </c>
      <c r="T171" s="5"/>
      <c r="U171" s="5" t="s">
        <v>383</v>
      </c>
      <c r="V171" s="5" t="s">
        <v>1897</v>
      </c>
      <c r="W171" s="5"/>
      <c r="X171" s="13" t="s">
        <v>385</v>
      </c>
      <c r="Y171" s="5"/>
    </row>
    <row r="172" customFormat="false" ht="15" hidden="false" customHeight="false" outlineLevel="0" collapsed="false">
      <c r="A172" s="5" t="s">
        <v>1925</v>
      </c>
      <c r="B172" s="5" t="s">
        <v>167</v>
      </c>
      <c r="C172" s="5" t="s">
        <v>168</v>
      </c>
      <c r="D172" s="9" t="s">
        <v>92</v>
      </c>
      <c r="E172" s="5" t="n">
        <v>5</v>
      </c>
      <c r="F172" s="5" t="s">
        <v>1926</v>
      </c>
      <c r="G172" s="11" t="s">
        <v>1927</v>
      </c>
      <c r="H172" s="5" t="s">
        <v>1928</v>
      </c>
      <c r="I172" s="11" t="s">
        <v>1929</v>
      </c>
      <c r="J172" s="5" t="s">
        <v>1930</v>
      </c>
      <c r="K172" s="5" t="s">
        <v>1931</v>
      </c>
      <c r="L172" s="11" t="s">
        <v>1932</v>
      </c>
      <c r="M172" s="11" t="s">
        <v>1933</v>
      </c>
      <c r="N172" s="5" t="n">
        <f aca="false">LEN(L172)</f>
        <v>25</v>
      </c>
      <c r="O172" s="5" t="n">
        <f aca="false">LEN(M172)</f>
        <v>25</v>
      </c>
      <c r="P172" s="12" t="n">
        <f aca="false">IF(N172=0,"",(N172-LEN(SUBSTITUTE(SUBSTITUTE(L172,"G",""),"C","")))/N172)</f>
        <v>0.6</v>
      </c>
      <c r="Q172" s="12" t="n">
        <f aca="false">IF(O172=0,"",(O172-LEN(SUBSTITUTE(SUBSTITUTE(M172,"G",""),"C","")))/O172)</f>
        <v>0.6</v>
      </c>
      <c r="R172" s="5"/>
      <c r="S172" s="5" t="s">
        <v>382</v>
      </c>
      <c r="T172" s="5"/>
      <c r="U172" s="5" t="s">
        <v>383</v>
      </c>
      <c r="V172" s="5" t="s">
        <v>1897</v>
      </c>
      <c r="W172" s="5"/>
      <c r="X172" s="13" t="s">
        <v>385</v>
      </c>
      <c r="Y172" s="5"/>
    </row>
    <row r="173" customFormat="false" ht="15" hidden="false" customHeight="false" outlineLevel="0" collapsed="false">
      <c r="A173" s="5" t="s">
        <v>1934</v>
      </c>
      <c r="B173" s="5" t="s">
        <v>167</v>
      </c>
      <c r="C173" s="5" t="s">
        <v>168</v>
      </c>
      <c r="D173" s="9" t="s">
        <v>92</v>
      </c>
      <c r="E173" s="5" t="n">
        <v>6</v>
      </c>
      <c r="F173" s="5" t="s">
        <v>1935</v>
      </c>
      <c r="G173" s="11" t="s">
        <v>1936</v>
      </c>
      <c r="H173" s="5" t="s">
        <v>1937</v>
      </c>
      <c r="I173" s="11" t="s">
        <v>1938</v>
      </c>
      <c r="J173" s="5" t="s">
        <v>1939</v>
      </c>
      <c r="K173" s="5" t="s">
        <v>1940</v>
      </c>
      <c r="L173" s="11" t="s">
        <v>1941</v>
      </c>
      <c r="M173" s="11" t="s">
        <v>1942</v>
      </c>
      <c r="N173" s="5" t="n">
        <f aca="false">LEN(L173)</f>
        <v>25</v>
      </c>
      <c r="O173" s="5" t="n">
        <f aca="false">LEN(M173)</f>
        <v>25</v>
      </c>
      <c r="P173" s="12" t="n">
        <f aca="false">IF(N173=0,"",(N173-LEN(SUBSTITUTE(SUBSTITUTE(L173,"G",""),"C","")))/N173)</f>
        <v>0.76</v>
      </c>
      <c r="Q173" s="12" t="n">
        <f aca="false">IF(O173=0,"",(O173-LEN(SUBSTITUTE(SUBSTITUTE(M173,"G",""),"C","")))/O173)</f>
        <v>0.48</v>
      </c>
      <c r="R173" s="5"/>
      <c r="S173" s="5" t="s">
        <v>382</v>
      </c>
      <c r="T173" s="5"/>
      <c r="U173" s="5" t="s">
        <v>383</v>
      </c>
      <c r="V173" s="5" t="s">
        <v>1897</v>
      </c>
      <c r="W173" s="5"/>
      <c r="X173" s="13" t="s">
        <v>385</v>
      </c>
      <c r="Y173" s="5"/>
    </row>
    <row r="174" customFormat="false" ht="15" hidden="false" customHeight="false" outlineLevel="0" collapsed="false">
      <c r="A174" s="5" t="s">
        <v>1943</v>
      </c>
      <c r="B174" s="5" t="s">
        <v>167</v>
      </c>
      <c r="C174" s="5" t="s">
        <v>168</v>
      </c>
      <c r="D174" s="9" t="s">
        <v>92</v>
      </c>
      <c r="E174" s="5" t="n">
        <v>7</v>
      </c>
      <c r="F174" s="5" t="s">
        <v>1944</v>
      </c>
      <c r="G174" s="11" t="s">
        <v>1945</v>
      </c>
      <c r="H174" s="5" t="s">
        <v>1946</v>
      </c>
      <c r="I174" s="11" t="s">
        <v>1947</v>
      </c>
      <c r="J174" s="5" t="s">
        <v>1948</v>
      </c>
      <c r="K174" s="5" t="s">
        <v>1949</v>
      </c>
      <c r="L174" s="11" t="s">
        <v>1950</v>
      </c>
      <c r="M174" s="11" t="s">
        <v>1951</v>
      </c>
      <c r="N174" s="5" t="n">
        <f aca="false">LEN(L174)</f>
        <v>25</v>
      </c>
      <c r="O174" s="5" t="n">
        <f aca="false">LEN(M174)</f>
        <v>25</v>
      </c>
      <c r="P174" s="12" t="n">
        <f aca="false">IF(N174=0,"",(N174-LEN(SUBSTITUTE(SUBSTITUTE(L174,"G",""),"C","")))/N174)</f>
        <v>0.68</v>
      </c>
      <c r="Q174" s="12" t="n">
        <f aca="false">IF(O174=0,"",(O174-LEN(SUBSTITUTE(SUBSTITUTE(M174,"G",""),"C","")))/O174)</f>
        <v>0.72</v>
      </c>
      <c r="R174" s="5"/>
      <c r="S174" s="5" t="s">
        <v>382</v>
      </c>
      <c r="T174" s="5"/>
      <c r="U174" s="5" t="s">
        <v>383</v>
      </c>
      <c r="V174" s="5" t="s">
        <v>1897</v>
      </c>
      <c r="W174" s="5"/>
      <c r="X174" s="13" t="s">
        <v>385</v>
      </c>
      <c r="Y174" s="5"/>
    </row>
    <row r="175" customFormat="false" ht="15" hidden="false" customHeight="false" outlineLevel="0" collapsed="false">
      <c r="A175" s="5" t="s">
        <v>1952</v>
      </c>
      <c r="B175" s="5" t="s">
        <v>167</v>
      </c>
      <c r="C175" s="5" t="s">
        <v>168</v>
      </c>
      <c r="D175" s="9" t="s">
        <v>92</v>
      </c>
      <c r="E175" s="5" t="n">
        <v>8</v>
      </c>
      <c r="F175" s="5" t="s">
        <v>1953</v>
      </c>
      <c r="G175" s="11" t="s">
        <v>1954</v>
      </c>
      <c r="H175" s="5" t="s">
        <v>1955</v>
      </c>
      <c r="I175" s="11" t="s">
        <v>1956</v>
      </c>
      <c r="J175" s="5" t="s">
        <v>1957</v>
      </c>
      <c r="K175" s="5" t="s">
        <v>1958</v>
      </c>
      <c r="L175" s="11" t="s">
        <v>1959</v>
      </c>
      <c r="M175" s="11" t="s">
        <v>1960</v>
      </c>
      <c r="N175" s="5" t="n">
        <f aca="false">LEN(L175)</f>
        <v>25</v>
      </c>
      <c r="O175" s="5" t="n">
        <f aca="false">LEN(M175)</f>
        <v>25</v>
      </c>
      <c r="P175" s="12" t="n">
        <f aca="false">IF(N175=0,"",(N175-LEN(SUBSTITUTE(SUBSTITUTE(L175,"G",""),"C","")))/N175)</f>
        <v>0.6</v>
      </c>
      <c r="Q175" s="12" t="n">
        <f aca="false">IF(O175=0,"",(O175-LEN(SUBSTITUTE(SUBSTITUTE(M175,"G",""),"C","")))/O175)</f>
        <v>0.6</v>
      </c>
      <c r="R175" s="5"/>
      <c r="S175" s="5" t="s">
        <v>382</v>
      </c>
      <c r="T175" s="5"/>
      <c r="U175" s="5" t="s">
        <v>383</v>
      </c>
      <c r="V175" s="5" t="s">
        <v>1897</v>
      </c>
      <c r="W175" s="5"/>
      <c r="X175" s="13" t="s">
        <v>385</v>
      </c>
      <c r="Y175" s="5"/>
    </row>
    <row r="176" customFormat="false" ht="15" hidden="false" customHeight="false" outlineLevel="0" collapsed="false">
      <c r="A176" s="5" t="s">
        <v>1961</v>
      </c>
      <c r="B176" s="5" t="s">
        <v>176</v>
      </c>
      <c r="C176" s="5" t="s">
        <v>177</v>
      </c>
      <c r="D176" s="9" t="s">
        <v>92</v>
      </c>
      <c r="E176" s="5" t="n">
        <v>1</v>
      </c>
      <c r="F176" s="5" t="s">
        <v>1962</v>
      </c>
      <c r="G176" s="11" t="s">
        <v>1963</v>
      </c>
      <c r="H176" s="5" t="s">
        <v>1964</v>
      </c>
      <c r="I176" s="11" t="s">
        <v>1965</v>
      </c>
      <c r="J176" s="5" t="s">
        <v>1966</v>
      </c>
      <c r="K176" s="5" t="s">
        <v>1967</v>
      </c>
      <c r="L176" s="11" t="s">
        <v>1968</v>
      </c>
      <c r="M176" s="11" t="s">
        <v>1969</v>
      </c>
      <c r="N176" s="5" t="n">
        <f aca="false">LEN(L176)</f>
        <v>25</v>
      </c>
      <c r="O176" s="5" t="n">
        <f aca="false">LEN(M176)</f>
        <v>25</v>
      </c>
      <c r="P176" s="12" t="n">
        <f aca="false">IF(N176=0,"",(N176-LEN(SUBSTITUTE(SUBSTITUTE(L176,"G",""),"C","")))/N176)</f>
        <v>0.56</v>
      </c>
      <c r="Q176" s="12" t="n">
        <f aca="false">IF(O176=0,"",(O176-LEN(SUBSTITUTE(SUBSTITUTE(M176,"G",""),"C","")))/O176)</f>
        <v>0.64</v>
      </c>
      <c r="R176" s="5"/>
      <c r="S176" s="5" t="s">
        <v>382</v>
      </c>
      <c r="T176" s="5"/>
      <c r="U176" s="5" t="s">
        <v>383</v>
      </c>
      <c r="V176" s="5" t="s">
        <v>1970</v>
      </c>
      <c r="W176" s="5"/>
      <c r="X176" s="13" t="s">
        <v>385</v>
      </c>
      <c r="Y176" s="5"/>
    </row>
    <row r="177" customFormat="false" ht="15" hidden="false" customHeight="false" outlineLevel="0" collapsed="false">
      <c r="A177" s="5" t="s">
        <v>1971</v>
      </c>
      <c r="B177" s="5" t="s">
        <v>176</v>
      </c>
      <c r="C177" s="5" t="s">
        <v>177</v>
      </c>
      <c r="D177" s="9" t="s">
        <v>92</v>
      </c>
      <c r="E177" s="5" t="n">
        <v>2</v>
      </c>
      <c r="F177" s="5" t="s">
        <v>1972</v>
      </c>
      <c r="G177" s="11" t="s">
        <v>1973</v>
      </c>
      <c r="H177" s="5" t="s">
        <v>1974</v>
      </c>
      <c r="I177" s="11" t="s">
        <v>1975</v>
      </c>
      <c r="J177" s="5" t="s">
        <v>1976</v>
      </c>
      <c r="K177" s="5" t="s">
        <v>1977</v>
      </c>
      <c r="L177" s="11" t="s">
        <v>1978</v>
      </c>
      <c r="M177" s="11" t="s">
        <v>1979</v>
      </c>
      <c r="N177" s="5" t="n">
        <f aca="false">LEN(L177)</f>
        <v>25</v>
      </c>
      <c r="O177" s="5" t="n">
        <f aca="false">LEN(M177)</f>
        <v>25</v>
      </c>
      <c r="P177" s="12" t="n">
        <f aca="false">IF(N177=0,"",(N177-LEN(SUBSTITUTE(SUBSTITUTE(L177,"G",""),"C","")))/N177)</f>
        <v>0.48</v>
      </c>
      <c r="Q177" s="12" t="n">
        <f aca="false">IF(O177=0,"",(O177-LEN(SUBSTITUTE(SUBSTITUTE(M177,"G",""),"C","")))/O177)</f>
        <v>0.4</v>
      </c>
      <c r="R177" s="5"/>
      <c r="S177" s="5" t="s">
        <v>382</v>
      </c>
      <c r="T177" s="5"/>
      <c r="U177" s="5" t="s">
        <v>383</v>
      </c>
      <c r="V177" s="5" t="s">
        <v>1970</v>
      </c>
      <c r="W177" s="5"/>
      <c r="X177" s="13" t="s">
        <v>385</v>
      </c>
      <c r="Y177" s="5"/>
    </row>
    <row r="178" customFormat="false" ht="15" hidden="false" customHeight="false" outlineLevel="0" collapsed="false">
      <c r="A178" s="5" t="s">
        <v>1980</v>
      </c>
      <c r="B178" s="5" t="s">
        <v>176</v>
      </c>
      <c r="C178" s="5" t="s">
        <v>177</v>
      </c>
      <c r="D178" s="9" t="s">
        <v>92</v>
      </c>
      <c r="E178" s="5" t="n">
        <v>3</v>
      </c>
      <c r="F178" s="5" t="s">
        <v>1981</v>
      </c>
      <c r="G178" s="11" t="s">
        <v>1982</v>
      </c>
      <c r="H178" s="5" t="s">
        <v>1983</v>
      </c>
      <c r="I178" s="11" t="s">
        <v>1984</v>
      </c>
      <c r="J178" s="5" t="s">
        <v>1985</v>
      </c>
      <c r="K178" s="5" t="s">
        <v>1986</v>
      </c>
      <c r="L178" s="11" t="s">
        <v>1987</v>
      </c>
      <c r="M178" s="11" t="s">
        <v>1988</v>
      </c>
      <c r="N178" s="5" t="n">
        <f aca="false">LEN(L178)</f>
        <v>25</v>
      </c>
      <c r="O178" s="5" t="n">
        <f aca="false">LEN(M178)</f>
        <v>25</v>
      </c>
      <c r="P178" s="12" t="n">
        <f aca="false">IF(N178=0,"",(N178-LEN(SUBSTITUTE(SUBSTITUTE(L178,"G",""),"C","")))/N178)</f>
        <v>0.44</v>
      </c>
      <c r="Q178" s="12" t="n">
        <f aca="false">IF(O178=0,"",(O178-LEN(SUBSTITUTE(SUBSTITUTE(M178,"G",""),"C","")))/O178)</f>
        <v>0.44</v>
      </c>
      <c r="R178" s="5"/>
      <c r="S178" s="5" t="s">
        <v>382</v>
      </c>
      <c r="T178" s="5"/>
      <c r="U178" s="5" t="s">
        <v>383</v>
      </c>
      <c r="V178" s="5" t="s">
        <v>1970</v>
      </c>
      <c r="W178" s="5"/>
      <c r="X178" s="13" t="s">
        <v>385</v>
      </c>
      <c r="Y178" s="5"/>
    </row>
    <row r="179" customFormat="false" ht="15" hidden="false" customHeight="false" outlineLevel="0" collapsed="false">
      <c r="A179" s="5" t="s">
        <v>1989</v>
      </c>
      <c r="B179" s="5" t="s">
        <v>176</v>
      </c>
      <c r="C179" s="5" t="s">
        <v>177</v>
      </c>
      <c r="D179" s="9" t="s">
        <v>92</v>
      </c>
      <c r="E179" s="5" t="n">
        <v>4</v>
      </c>
      <c r="F179" s="5" t="s">
        <v>1990</v>
      </c>
      <c r="G179" s="11" t="s">
        <v>1991</v>
      </c>
      <c r="H179" s="5" t="s">
        <v>1992</v>
      </c>
      <c r="I179" s="11" t="s">
        <v>1993</v>
      </c>
      <c r="J179" s="5" t="s">
        <v>1994</v>
      </c>
      <c r="K179" s="5" t="s">
        <v>1995</v>
      </c>
      <c r="L179" s="11" t="s">
        <v>1996</v>
      </c>
      <c r="M179" s="11" t="s">
        <v>1997</v>
      </c>
      <c r="N179" s="5" t="n">
        <f aca="false">LEN(L179)</f>
        <v>25</v>
      </c>
      <c r="O179" s="5" t="n">
        <f aca="false">LEN(M179)</f>
        <v>25</v>
      </c>
      <c r="P179" s="12" t="n">
        <f aca="false">IF(N179=0,"",(N179-LEN(SUBSTITUTE(SUBSTITUTE(L179,"G",""),"C","")))/N179)</f>
        <v>0.56</v>
      </c>
      <c r="Q179" s="12" t="n">
        <f aca="false">IF(O179=0,"",(O179-LEN(SUBSTITUTE(SUBSTITUTE(M179,"G",""),"C","")))/O179)</f>
        <v>0.52</v>
      </c>
      <c r="R179" s="5"/>
      <c r="S179" s="5" t="s">
        <v>382</v>
      </c>
      <c r="T179" s="5"/>
      <c r="U179" s="5" t="s">
        <v>383</v>
      </c>
      <c r="V179" s="5" t="s">
        <v>1970</v>
      </c>
      <c r="W179" s="5"/>
      <c r="X179" s="13" t="s">
        <v>385</v>
      </c>
      <c r="Y179" s="5"/>
    </row>
    <row r="180" customFormat="false" ht="15" hidden="false" customHeight="false" outlineLevel="0" collapsed="false">
      <c r="A180" s="5" t="s">
        <v>1998</v>
      </c>
      <c r="B180" s="5" t="s">
        <v>176</v>
      </c>
      <c r="C180" s="5" t="s">
        <v>177</v>
      </c>
      <c r="D180" s="9" t="s">
        <v>92</v>
      </c>
      <c r="E180" s="5" t="n">
        <v>5</v>
      </c>
      <c r="F180" s="5" t="s">
        <v>1999</v>
      </c>
      <c r="G180" s="11" t="s">
        <v>2000</v>
      </c>
      <c r="H180" s="5" t="s">
        <v>2001</v>
      </c>
      <c r="I180" s="11" t="s">
        <v>2002</v>
      </c>
      <c r="J180" s="5" t="s">
        <v>2003</v>
      </c>
      <c r="K180" s="5" t="s">
        <v>2004</v>
      </c>
      <c r="L180" s="11" t="s">
        <v>2005</v>
      </c>
      <c r="M180" s="11" t="s">
        <v>2006</v>
      </c>
      <c r="N180" s="5" t="n">
        <f aca="false">LEN(L180)</f>
        <v>25</v>
      </c>
      <c r="O180" s="5" t="n">
        <f aca="false">LEN(M180)</f>
        <v>25</v>
      </c>
      <c r="P180" s="12" t="n">
        <f aca="false">IF(N180=0,"",(N180-LEN(SUBSTITUTE(SUBSTITUTE(L180,"G",""),"C","")))/N180)</f>
        <v>0.44</v>
      </c>
      <c r="Q180" s="12" t="n">
        <f aca="false">IF(O180=0,"",(O180-LEN(SUBSTITUTE(SUBSTITUTE(M180,"G",""),"C","")))/O180)</f>
        <v>0.4</v>
      </c>
      <c r="R180" s="5"/>
      <c r="S180" s="5" t="s">
        <v>382</v>
      </c>
      <c r="T180" s="5"/>
      <c r="U180" s="5" t="s">
        <v>383</v>
      </c>
      <c r="V180" s="5" t="s">
        <v>1970</v>
      </c>
      <c r="W180" s="5"/>
      <c r="X180" s="13" t="s">
        <v>385</v>
      </c>
      <c r="Y180" s="5"/>
    </row>
    <row r="181" customFormat="false" ht="15" hidden="false" customHeight="false" outlineLevel="0" collapsed="false">
      <c r="A181" s="5" t="s">
        <v>2007</v>
      </c>
      <c r="B181" s="5" t="s">
        <v>176</v>
      </c>
      <c r="C181" s="5" t="s">
        <v>177</v>
      </c>
      <c r="D181" s="9" t="s">
        <v>92</v>
      </c>
      <c r="E181" s="5" t="n">
        <v>6</v>
      </c>
      <c r="F181" s="5" t="s">
        <v>2008</v>
      </c>
      <c r="G181" s="11" t="s">
        <v>2009</v>
      </c>
      <c r="H181" s="5" t="s">
        <v>2010</v>
      </c>
      <c r="I181" s="11" t="s">
        <v>2011</v>
      </c>
      <c r="J181" s="5" t="s">
        <v>2012</v>
      </c>
      <c r="K181" s="5" t="s">
        <v>2013</v>
      </c>
      <c r="L181" s="11" t="s">
        <v>2014</v>
      </c>
      <c r="M181" s="11" t="s">
        <v>2015</v>
      </c>
      <c r="N181" s="5" t="n">
        <f aca="false">LEN(L181)</f>
        <v>25</v>
      </c>
      <c r="O181" s="5" t="n">
        <f aca="false">LEN(M181)</f>
        <v>25</v>
      </c>
      <c r="P181" s="12" t="n">
        <f aca="false">IF(N181=0,"",(N181-LEN(SUBSTITUTE(SUBSTITUTE(L181,"G",""),"C","")))/N181)</f>
        <v>0.6</v>
      </c>
      <c r="Q181" s="12" t="n">
        <f aca="false">IF(O181=0,"",(O181-LEN(SUBSTITUTE(SUBSTITUTE(M181,"G",""),"C","")))/O181)</f>
        <v>0.6</v>
      </c>
      <c r="R181" s="5"/>
      <c r="S181" s="5" t="s">
        <v>382</v>
      </c>
      <c r="T181" s="5"/>
      <c r="U181" s="5" t="s">
        <v>383</v>
      </c>
      <c r="V181" s="5" t="s">
        <v>1970</v>
      </c>
      <c r="W181" s="5"/>
      <c r="X181" s="13" t="s">
        <v>385</v>
      </c>
      <c r="Y181" s="5"/>
    </row>
    <row r="182" customFormat="false" ht="15" hidden="false" customHeight="false" outlineLevel="0" collapsed="false">
      <c r="A182" s="5" t="s">
        <v>2016</v>
      </c>
      <c r="B182" s="5" t="s">
        <v>176</v>
      </c>
      <c r="C182" s="5" t="s">
        <v>177</v>
      </c>
      <c r="D182" s="9" t="s">
        <v>92</v>
      </c>
      <c r="E182" s="5" t="n">
        <v>7</v>
      </c>
      <c r="F182" s="5" t="s">
        <v>2017</v>
      </c>
      <c r="G182" s="11" t="s">
        <v>2018</v>
      </c>
      <c r="H182" s="5" t="s">
        <v>2019</v>
      </c>
      <c r="I182" s="11" t="s">
        <v>2020</v>
      </c>
      <c r="J182" s="5" t="s">
        <v>2021</v>
      </c>
      <c r="K182" s="5" t="s">
        <v>2022</v>
      </c>
      <c r="L182" s="11" t="s">
        <v>2023</v>
      </c>
      <c r="M182" s="11" t="s">
        <v>2024</v>
      </c>
      <c r="N182" s="5" t="n">
        <f aca="false">LEN(L182)</f>
        <v>25</v>
      </c>
      <c r="O182" s="5" t="n">
        <f aca="false">LEN(M182)</f>
        <v>25</v>
      </c>
      <c r="P182" s="12" t="n">
        <f aca="false">IF(N182=0,"",(N182-LEN(SUBSTITUTE(SUBSTITUTE(L182,"G",""),"C","")))/N182)</f>
        <v>0.72</v>
      </c>
      <c r="Q182" s="12" t="n">
        <f aca="false">IF(O182=0,"",(O182-LEN(SUBSTITUTE(SUBSTITUTE(M182,"G",""),"C","")))/O182)</f>
        <v>0.52</v>
      </c>
      <c r="R182" s="5"/>
      <c r="S182" s="5" t="s">
        <v>382</v>
      </c>
      <c r="T182" s="5"/>
      <c r="U182" s="5" t="s">
        <v>383</v>
      </c>
      <c r="V182" s="5" t="s">
        <v>1970</v>
      </c>
      <c r="W182" s="5"/>
      <c r="X182" s="13" t="s">
        <v>385</v>
      </c>
      <c r="Y182" s="5"/>
    </row>
    <row r="183" customFormat="false" ht="15" hidden="false" customHeight="false" outlineLevel="0" collapsed="false">
      <c r="A183" s="5" t="s">
        <v>2025</v>
      </c>
      <c r="B183" s="5" t="s">
        <v>176</v>
      </c>
      <c r="C183" s="5" t="s">
        <v>177</v>
      </c>
      <c r="D183" s="9" t="s">
        <v>92</v>
      </c>
      <c r="E183" s="5" t="n">
        <v>8</v>
      </c>
      <c r="F183" s="5" t="s">
        <v>2026</v>
      </c>
      <c r="G183" s="11" t="s">
        <v>2027</v>
      </c>
      <c r="H183" s="5" t="s">
        <v>2028</v>
      </c>
      <c r="I183" s="11" t="s">
        <v>2029</v>
      </c>
      <c r="J183" s="5" t="s">
        <v>2030</v>
      </c>
      <c r="K183" s="5" t="s">
        <v>2031</v>
      </c>
      <c r="L183" s="11" t="s">
        <v>2032</v>
      </c>
      <c r="M183" s="11" t="s">
        <v>2033</v>
      </c>
      <c r="N183" s="5" t="n">
        <f aca="false">LEN(L183)</f>
        <v>25</v>
      </c>
      <c r="O183" s="5" t="n">
        <f aca="false">LEN(M183)</f>
        <v>25</v>
      </c>
      <c r="P183" s="12" t="n">
        <f aca="false">IF(N183=0,"",(N183-LEN(SUBSTITUTE(SUBSTITUTE(L183,"G",""),"C","")))/N183)</f>
        <v>0.72</v>
      </c>
      <c r="Q183" s="12" t="n">
        <f aca="false">IF(O183=0,"",(O183-LEN(SUBSTITUTE(SUBSTITUTE(M183,"G",""),"C","")))/O183)</f>
        <v>0.4</v>
      </c>
      <c r="R183" s="5"/>
      <c r="S183" s="5" t="s">
        <v>382</v>
      </c>
      <c r="T183" s="5"/>
      <c r="U183" s="5" t="s">
        <v>383</v>
      </c>
      <c r="V183" s="5" t="s">
        <v>1970</v>
      </c>
      <c r="W183" s="5"/>
      <c r="X183" s="13" t="s">
        <v>385</v>
      </c>
      <c r="Y183" s="5"/>
    </row>
    <row r="184" customFormat="false" ht="15" hidden="false" customHeight="false" outlineLevel="0" collapsed="false">
      <c r="A184" s="5" t="s">
        <v>2034</v>
      </c>
      <c r="B184" s="5" t="s">
        <v>183</v>
      </c>
      <c r="C184" s="5" t="s">
        <v>184</v>
      </c>
      <c r="D184" s="9" t="s">
        <v>92</v>
      </c>
      <c r="E184" s="5" t="n">
        <v>1</v>
      </c>
      <c r="F184" s="5" t="s">
        <v>2035</v>
      </c>
      <c r="G184" s="11" t="s">
        <v>2036</v>
      </c>
      <c r="H184" s="5" t="s">
        <v>2037</v>
      </c>
      <c r="I184" s="11" t="s">
        <v>2038</v>
      </c>
      <c r="J184" s="5" t="s">
        <v>2039</v>
      </c>
      <c r="K184" s="5" t="s">
        <v>2040</v>
      </c>
      <c r="L184" s="11" t="s">
        <v>2041</v>
      </c>
      <c r="M184" s="11" t="s">
        <v>2042</v>
      </c>
      <c r="N184" s="5" t="n">
        <f aca="false">LEN(L184)</f>
        <v>25</v>
      </c>
      <c r="O184" s="5" t="n">
        <f aca="false">LEN(M184)</f>
        <v>25</v>
      </c>
      <c r="P184" s="12" t="n">
        <f aca="false">IF(N184=0,"",(N184-LEN(SUBSTITUTE(SUBSTITUTE(L184,"G",""),"C","")))/N184)</f>
        <v>0.72</v>
      </c>
      <c r="Q184" s="12" t="n">
        <f aca="false">IF(O184=0,"",(O184-LEN(SUBSTITUTE(SUBSTITUTE(M184,"G",""),"C","")))/O184)</f>
        <v>0.72</v>
      </c>
      <c r="R184" s="5"/>
      <c r="S184" s="5" t="s">
        <v>382</v>
      </c>
      <c r="T184" s="5"/>
      <c r="U184" s="5" t="s">
        <v>383</v>
      </c>
      <c r="V184" s="5" t="s">
        <v>2043</v>
      </c>
      <c r="W184" s="5"/>
      <c r="X184" s="13" t="s">
        <v>385</v>
      </c>
      <c r="Y184" s="5"/>
    </row>
    <row r="185" customFormat="false" ht="15" hidden="false" customHeight="false" outlineLevel="0" collapsed="false">
      <c r="A185" s="5" t="s">
        <v>2044</v>
      </c>
      <c r="B185" s="5" t="s">
        <v>183</v>
      </c>
      <c r="C185" s="5" t="s">
        <v>184</v>
      </c>
      <c r="D185" s="9" t="s">
        <v>92</v>
      </c>
      <c r="E185" s="5" t="n">
        <v>2</v>
      </c>
      <c r="F185" s="5" t="s">
        <v>2045</v>
      </c>
      <c r="G185" s="11" t="s">
        <v>2046</v>
      </c>
      <c r="H185" s="5" t="s">
        <v>2047</v>
      </c>
      <c r="I185" s="11" t="s">
        <v>2048</v>
      </c>
      <c r="J185" s="5" t="s">
        <v>2049</v>
      </c>
      <c r="K185" s="5" t="s">
        <v>2050</v>
      </c>
      <c r="L185" s="11" t="s">
        <v>2051</v>
      </c>
      <c r="M185" s="11" t="s">
        <v>2052</v>
      </c>
      <c r="N185" s="5" t="n">
        <f aca="false">LEN(L185)</f>
        <v>25</v>
      </c>
      <c r="O185" s="5" t="n">
        <f aca="false">LEN(M185)</f>
        <v>25</v>
      </c>
      <c r="P185" s="12" t="n">
        <f aca="false">IF(N185=0,"",(N185-LEN(SUBSTITUTE(SUBSTITUTE(L185,"G",""),"C","")))/N185)</f>
        <v>0.64</v>
      </c>
      <c r="Q185" s="12" t="n">
        <f aca="false">IF(O185=0,"",(O185-LEN(SUBSTITUTE(SUBSTITUTE(M185,"G",""),"C","")))/O185)</f>
        <v>0.6</v>
      </c>
      <c r="R185" s="5"/>
      <c r="S185" s="5" t="s">
        <v>382</v>
      </c>
      <c r="T185" s="5"/>
      <c r="U185" s="5" t="s">
        <v>383</v>
      </c>
      <c r="V185" s="5" t="s">
        <v>2043</v>
      </c>
      <c r="W185" s="5"/>
      <c r="X185" s="13" t="s">
        <v>385</v>
      </c>
      <c r="Y185" s="5"/>
    </row>
    <row r="186" customFormat="false" ht="15" hidden="false" customHeight="false" outlineLevel="0" collapsed="false">
      <c r="A186" s="5" t="s">
        <v>2053</v>
      </c>
      <c r="B186" s="5" t="s">
        <v>183</v>
      </c>
      <c r="C186" s="5" t="s">
        <v>184</v>
      </c>
      <c r="D186" s="9" t="s">
        <v>92</v>
      </c>
      <c r="E186" s="5" t="n">
        <v>3</v>
      </c>
      <c r="F186" s="5" t="s">
        <v>2054</v>
      </c>
      <c r="G186" s="11" t="s">
        <v>2055</v>
      </c>
      <c r="H186" s="5" t="s">
        <v>2056</v>
      </c>
      <c r="I186" s="11" t="s">
        <v>2057</v>
      </c>
      <c r="J186" s="5" t="s">
        <v>2058</v>
      </c>
      <c r="K186" s="5" t="s">
        <v>2059</v>
      </c>
      <c r="L186" s="11" t="s">
        <v>2060</v>
      </c>
      <c r="M186" s="11" t="s">
        <v>2061</v>
      </c>
      <c r="N186" s="5" t="n">
        <f aca="false">LEN(L186)</f>
        <v>25</v>
      </c>
      <c r="O186" s="5" t="n">
        <f aca="false">LEN(M186)</f>
        <v>25</v>
      </c>
      <c r="P186" s="12" t="n">
        <f aca="false">IF(N186=0,"",(N186-LEN(SUBSTITUTE(SUBSTITUTE(L186,"G",""),"C","")))/N186)</f>
        <v>0.84</v>
      </c>
      <c r="Q186" s="12" t="n">
        <f aca="false">IF(O186=0,"",(O186-LEN(SUBSTITUTE(SUBSTITUTE(M186,"G",""),"C","")))/O186)</f>
        <v>0.68</v>
      </c>
      <c r="R186" s="5"/>
      <c r="S186" s="5" t="s">
        <v>382</v>
      </c>
      <c r="T186" s="5"/>
      <c r="U186" s="5" t="s">
        <v>383</v>
      </c>
      <c r="V186" s="5" t="s">
        <v>2043</v>
      </c>
      <c r="W186" s="5"/>
      <c r="X186" s="13" t="s">
        <v>385</v>
      </c>
      <c r="Y186" s="5"/>
    </row>
    <row r="187" customFormat="false" ht="15" hidden="false" customHeight="false" outlineLevel="0" collapsed="false">
      <c r="A187" s="5" t="s">
        <v>2062</v>
      </c>
      <c r="B187" s="5" t="s">
        <v>183</v>
      </c>
      <c r="C187" s="5" t="s">
        <v>184</v>
      </c>
      <c r="D187" s="9" t="s">
        <v>92</v>
      </c>
      <c r="E187" s="5" t="n">
        <v>4</v>
      </c>
      <c r="F187" s="5" t="s">
        <v>2063</v>
      </c>
      <c r="G187" s="11" t="s">
        <v>2064</v>
      </c>
      <c r="H187" s="5" t="s">
        <v>2065</v>
      </c>
      <c r="I187" s="11" t="s">
        <v>2066</v>
      </c>
      <c r="J187" s="5" t="s">
        <v>2067</v>
      </c>
      <c r="K187" s="5" t="s">
        <v>2068</v>
      </c>
      <c r="L187" s="11" t="s">
        <v>2069</v>
      </c>
      <c r="M187" s="11" t="s">
        <v>2070</v>
      </c>
      <c r="N187" s="5" t="n">
        <f aca="false">LEN(L187)</f>
        <v>25</v>
      </c>
      <c r="O187" s="5" t="n">
        <f aca="false">LEN(M187)</f>
        <v>25</v>
      </c>
      <c r="P187" s="12" t="n">
        <f aca="false">IF(N187=0,"",(N187-LEN(SUBSTITUTE(SUBSTITUTE(L187,"G",""),"C","")))/N187)</f>
        <v>0.76</v>
      </c>
      <c r="Q187" s="12" t="n">
        <f aca="false">IF(O187=0,"",(O187-LEN(SUBSTITUTE(SUBSTITUTE(M187,"G",""),"C","")))/O187)</f>
        <v>0.64</v>
      </c>
      <c r="R187" s="5"/>
      <c r="S187" s="5" t="s">
        <v>382</v>
      </c>
      <c r="T187" s="5"/>
      <c r="U187" s="5" t="s">
        <v>383</v>
      </c>
      <c r="V187" s="5" t="s">
        <v>2043</v>
      </c>
      <c r="W187" s="5"/>
      <c r="X187" s="13" t="s">
        <v>385</v>
      </c>
      <c r="Y187" s="5"/>
    </row>
    <row r="188" customFormat="false" ht="15" hidden="false" customHeight="false" outlineLevel="0" collapsed="false">
      <c r="A188" s="5" t="s">
        <v>2071</v>
      </c>
      <c r="B188" s="5" t="s">
        <v>183</v>
      </c>
      <c r="C188" s="5" t="s">
        <v>184</v>
      </c>
      <c r="D188" s="9" t="s">
        <v>92</v>
      </c>
      <c r="E188" s="5" t="n">
        <v>5</v>
      </c>
      <c r="F188" s="5" t="s">
        <v>2072</v>
      </c>
      <c r="G188" s="11" t="s">
        <v>2073</v>
      </c>
      <c r="H188" s="5" t="s">
        <v>2074</v>
      </c>
      <c r="I188" s="11" t="s">
        <v>2075</v>
      </c>
      <c r="J188" s="5" t="s">
        <v>2076</v>
      </c>
      <c r="K188" s="5" t="s">
        <v>2077</v>
      </c>
      <c r="L188" s="11" t="s">
        <v>2078</v>
      </c>
      <c r="M188" s="11" t="s">
        <v>2079</v>
      </c>
      <c r="N188" s="5" t="n">
        <f aca="false">LEN(L188)</f>
        <v>25</v>
      </c>
      <c r="O188" s="5" t="n">
        <f aca="false">LEN(M188)</f>
        <v>25</v>
      </c>
      <c r="P188" s="12" t="n">
        <f aca="false">IF(N188=0,"",(N188-LEN(SUBSTITUTE(SUBSTITUTE(L188,"G",""),"C","")))/N188)</f>
        <v>0.48</v>
      </c>
      <c r="Q188" s="12" t="n">
        <f aca="false">IF(O188=0,"",(O188-LEN(SUBSTITUTE(SUBSTITUTE(M188,"G",""),"C","")))/O188)</f>
        <v>0.44</v>
      </c>
      <c r="R188" s="5"/>
      <c r="S188" s="5" t="s">
        <v>382</v>
      </c>
      <c r="T188" s="5"/>
      <c r="U188" s="5" t="s">
        <v>383</v>
      </c>
      <c r="V188" s="5" t="s">
        <v>2043</v>
      </c>
      <c r="W188" s="5"/>
      <c r="X188" s="13" t="s">
        <v>385</v>
      </c>
      <c r="Y188" s="5"/>
    </row>
    <row r="189" customFormat="false" ht="15" hidden="false" customHeight="false" outlineLevel="0" collapsed="false">
      <c r="A189" s="5" t="s">
        <v>2080</v>
      </c>
      <c r="B189" s="5" t="s">
        <v>183</v>
      </c>
      <c r="C189" s="5" t="s">
        <v>184</v>
      </c>
      <c r="D189" s="9" t="s">
        <v>92</v>
      </c>
      <c r="E189" s="5" t="n">
        <v>6</v>
      </c>
      <c r="F189" s="5" t="s">
        <v>2081</v>
      </c>
      <c r="G189" s="11" t="s">
        <v>2082</v>
      </c>
      <c r="H189" s="5" t="s">
        <v>2083</v>
      </c>
      <c r="I189" s="11" t="s">
        <v>2084</v>
      </c>
      <c r="J189" s="5" t="s">
        <v>2085</v>
      </c>
      <c r="K189" s="5" t="s">
        <v>2086</v>
      </c>
      <c r="L189" s="11" t="s">
        <v>2087</v>
      </c>
      <c r="M189" s="11" t="s">
        <v>2088</v>
      </c>
      <c r="N189" s="5" t="n">
        <f aca="false">LEN(L189)</f>
        <v>25</v>
      </c>
      <c r="O189" s="5" t="n">
        <f aca="false">LEN(M189)</f>
        <v>25</v>
      </c>
      <c r="P189" s="12" t="n">
        <f aca="false">IF(N189=0,"",(N189-LEN(SUBSTITUTE(SUBSTITUTE(L189,"G",""),"C","")))/N189)</f>
        <v>0.68</v>
      </c>
      <c r="Q189" s="12" t="n">
        <f aca="false">IF(O189=0,"",(O189-LEN(SUBSTITUTE(SUBSTITUTE(M189,"G",""),"C","")))/O189)</f>
        <v>0.56</v>
      </c>
      <c r="R189" s="5"/>
      <c r="S189" s="5" t="s">
        <v>382</v>
      </c>
      <c r="T189" s="5"/>
      <c r="U189" s="5" t="s">
        <v>383</v>
      </c>
      <c r="V189" s="5" t="s">
        <v>2043</v>
      </c>
      <c r="W189" s="5"/>
      <c r="X189" s="13" t="s">
        <v>385</v>
      </c>
      <c r="Y189" s="5"/>
    </row>
    <row r="190" customFormat="false" ht="15" hidden="false" customHeight="false" outlineLevel="0" collapsed="false">
      <c r="A190" s="5" t="s">
        <v>2089</v>
      </c>
      <c r="B190" s="5" t="s">
        <v>183</v>
      </c>
      <c r="C190" s="5" t="s">
        <v>184</v>
      </c>
      <c r="D190" s="9" t="s">
        <v>92</v>
      </c>
      <c r="E190" s="5" t="n">
        <v>7</v>
      </c>
      <c r="F190" s="5" t="s">
        <v>2090</v>
      </c>
      <c r="G190" s="11" t="s">
        <v>2091</v>
      </c>
      <c r="H190" s="5" t="s">
        <v>2092</v>
      </c>
      <c r="I190" s="11" t="s">
        <v>2093</v>
      </c>
      <c r="J190" s="5" t="s">
        <v>2094</v>
      </c>
      <c r="K190" s="5" t="s">
        <v>2095</v>
      </c>
      <c r="L190" s="11" t="s">
        <v>2096</v>
      </c>
      <c r="M190" s="11" t="s">
        <v>2097</v>
      </c>
      <c r="N190" s="5" t="n">
        <f aca="false">LEN(L190)</f>
        <v>25</v>
      </c>
      <c r="O190" s="5" t="n">
        <f aca="false">LEN(M190)</f>
        <v>25</v>
      </c>
      <c r="P190" s="12" t="n">
        <f aca="false">IF(N190=0,"",(N190-LEN(SUBSTITUTE(SUBSTITUTE(L190,"G",""),"C","")))/N190)</f>
        <v>0.64</v>
      </c>
      <c r="Q190" s="12" t="n">
        <f aca="false">IF(O190=0,"",(O190-LEN(SUBSTITUTE(SUBSTITUTE(M190,"G",""),"C","")))/O190)</f>
        <v>0.88</v>
      </c>
      <c r="R190" s="5"/>
      <c r="S190" s="5" t="s">
        <v>382</v>
      </c>
      <c r="T190" s="5"/>
      <c r="U190" s="5" t="s">
        <v>383</v>
      </c>
      <c r="V190" s="5" t="s">
        <v>2043</v>
      </c>
      <c r="W190" s="5"/>
      <c r="X190" s="13" t="s">
        <v>385</v>
      </c>
      <c r="Y190" s="5"/>
    </row>
    <row r="191" customFormat="false" ht="15" hidden="false" customHeight="false" outlineLevel="0" collapsed="false">
      <c r="A191" s="5" t="s">
        <v>2098</v>
      </c>
      <c r="B191" s="5" t="s">
        <v>183</v>
      </c>
      <c r="C191" s="5" t="s">
        <v>184</v>
      </c>
      <c r="D191" s="9" t="s">
        <v>92</v>
      </c>
      <c r="E191" s="5" t="n">
        <v>8</v>
      </c>
      <c r="F191" s="5" t="s">
        <v>2099</v>
      </c>
      <c r="G191" s="11" t="s">
        <v>2100</v>
      </c>
      <c r="H191" s="5" t="s">
        <v>2101</v>
      </c>
      <c r="I191" s="11" t="s">
        <v>2102</v>
      </c>
      <c r="J191" s="5" t="s">
        <v>2103</v>
      </c>
      <c r="K191" s="5" t="s">
        <v>2104</v>
      </c>
      <c r="L191" s="11" t="s">
        <v>2105</v>
      </c>
      <c r="M191" s="11" t="s">
        <v>2106</v>
      </c>
      <c r="N191" s="5" t="n">
        <f aca="false">LEN(L191)</f>
        <v>25</v>
      </c>
      <c r="O191" s="5" t="n">
        <f aca="false">LEN(M191)</f>
        <v>25</v>
      </c>
      <c r="P191" s="12" t="n">
        <f aca="false">IF(N191=0,"",(N191-LEN(SUBSTITUTE(SUBSTITUTE(L191,"G",""),"C","")))/N191)</f>
        <v>0.84</v>
      </c>
      <c r="Q191" s="12" t="n">
        <f aca="false">IF(O191=0,"",(O191-LEN(SUBSTITUTE(SUBSTITUTE(M191,"G",""),"C","")))/O191)</f>
        <v>0.8</v>
      </c>
      <c r="R191" s="5"/>
      <c r="S191" s="5" t="s">
        <v>382</v>
      </c>
      <c r="T191" s="5"/>
      <c r="U191" s="5" t="s">
        <v>383</v>
      </c>
      <c r="V191" s="5" t="s">
        <v>2043</v>
      </c>
      <c r="W191" s="5"/>
      <c r="X191" s="13" t="s">
        <v>385</v>
      </c>
      <c r="Y191" s="5"/>
    </row>
    <row r="192" customFormat="false" ht="15" hidden="false" customHeight="false" outlineLevel="0" collapsed="false">
      <c r="A192" s="5" t="s">
        <v>2107</v>
      </c>
      <c r="B192" s="5" t="s">
        <v>183</v>
      </c>
      <c r="C192" s="5" t="s">
        <v>184</v>
      </c>
      <c r="D192" s="9" t="s">
        <v>92</v>
      </c>
      <c r="E192" s="5" t="n">
        <v>9</v>
      </c>
      <c r="F192" s="5" t="s">
        <v>2108</v>
      </c>
      <c r="G192" s="11" t="s">
        <v>2109</v>
      </c>
      <c r="H192" s="5" t="s">
        <v>2110</v>
      </c>
      <c r="I192" s="11" t="s">
        <v>2111</v>
      </c>
      <c r="J192" s="5" t="s">
        <v>2112</v>
      </c>
      <c r="K192" s="5" t="s">
        <v>2113</v>
      </c>
      <c r="L192" s="11" t="s">
        <v>2114</v>
      </c>
      <c r="M192" s="11" t="s">
        <v>2115</v>
      </c>
      <c r="N192" s="5" t="n">
        <f aca="false">LEN(L192)</f>
        <v>25</v>
      </c>
      <c r="O192" s="5" t="n">
        <f aca="false">LEN(M192)</f>
        <v>25</v>
      </c>
      <c r="P192" s="12" t="n">
        <f aca="false">IF(N192=0,"",(N192-LEN(SUBSTITUTE(SUBSTITUTE(L192,"G",""),"C","")))/N192)</f>
        <v>0.8</v>
      </c>
      <c r="Q192" s="12" t="n">
        <f aca="false">IF(O192=0,"",(O192-LEN(SUBSTITUTE(SUBSTITUTE(M192,"G",""),"C","")))/O192)</f>
        <v>0.76</v>
      </c>
      <c r="R192" s="5"/>
      <c r="S192" s="5" t="s">
        <v>382</v>
      </c>
      <c r="T192" s="5"/>
      <c r="U192" s="5" t="s">
        <v>383</v>
      </c>
      <c r="V192" s="5" t="s">
        <v>2043</v>
      </c>
      <c r="W192" s="5"/>
      <c r="X192" s="13" t="s">
        <v>385</v>
      </c>
      <c r="Y192" s="5"/>
    </row>
    <row r="193" customFormat="false" ht="15" hidden="false" customHeight="false" outlineLevel="0" collapsed="false">
      <c r="A193" s="5" t="s">
        <v>2116</v>
      </c>
      <c r="B193" s="5" t="s">
        <v>190</v>
      </c>
      <c r="C193" s="5" t="s">
        <v>191</v>
      </c>
      <c r="D193" s="9" t="s">
        <v>92</v>
      </c>
      <c r="E193" s="5" t="n">
        <v>1</v>
      </c>
      <c r="F193" s="5" t="s">
        <v>2117</v>
      </c>
      <c r="G193" s="11" t="s">
        <v>2118</v>
      </c>
      <c r="H193" s="5" t="s">
        <v>2119</v>
      </c>
      <c r="I193" s="11" t="s">
        <v>2120</v>
      </c>
      <c r="J193" s="5" t="s">
        <v>2121</v>
      </c>
      <c r="K193" s="5" t="s">
        <v>2122</v>
      </c>
      <c r="L193" s="11" t="s">
        <v>2123</v>
      </c>
      <c r="M193" s="11" t="s">
        <v>2124</v>
      </c>
      <c r="N193" s="5" t="n">
        <f aca="false">LEN(L193)</f>
        <v>25</v>
      </c>
      <c r="O193" s="5" t="n">
        <f aca="false">LEN(M193)</f>
        <v>25</v>
      </c>
      <c r="P193" s="12" t="n">
        <f aca="false">IF(N193=0,"",(N193-LEN(SUBSTITUTE(SUBSTITUTE(L193,"G",""),"C","")))/N193)</f>
        <v>0.56</v>
      </c>
      <c r="Q193" s="12" t="n">
        <f aca="false">IF(O193=0,"",(O193-LEN(SUBSTITUTE(SUBSTITUTE(M193,"G",""),"C","")))/O193)</f>
        <v>0.64</v>
      </c>
      <c r="R193" s="5"/>
      <c r="S193" s="5" t="s">
        <v>382</v>
      </c>
      <c r="T193" s="5"/>
      <c r="U193" s="5" t="s">
        <v>383</v>
      </c>
      <c r="V193" s="5" t="s">
        <v>2125</v>
      </c>
      <c r="W193" s="5"/>
      <c r="X193" s="13" t="s">
        <v>385</v>
      </c>
      <c r="Y193" s="5"/>
    </row>
    <row r="194" customFormat="false" ht="15" hidden="false" customHeight="false" outlineLevel="0" collapsed="false">
      <c r="A194" s="5" t="s">
        <v>2126</v>
      </c>
      <c r="B194" s="5" t="s">
        <v>190</v>
      </c>
      <c r="C194" s="5" t="s">
        <v>191</v>
      </c>
      <c r="D194" s="9" t="s">
        <v>92</v>
      </c>
      <c r="E194" s="5" t="n">
        <v>2</v>
      </c>
      <c r="F194" s="5" t="s">
        <v>2127</v>
      </c>
      <c r="G194" s="11" t="s">
        <v>2128</v>
      </c>
      <c r="H194" s="5" t="s">
        <v>2129</v>
      </c>
      <c r="I194" s="11" t="s">
        <v>2130</v>
      </c>
      <c r="J194" s="5" t="s">
        <v>2131</v>
      </c>
      <c r="K194" s="5" t="s">
        <v>2132</v>
      </c>
      <c r="L194" s="11" t="s">
        <v>2133</v>
      </c>
      <c r="M194" s="11" t="s">
        <v>2134</v>
      </c>
      <c r="N194" s="5" t="n">
        <f aca="false">LEN(L194)</f>
        <v>25</v>
      </c>
      <c r="O194" s="5" t="n">
        <f aca="false">LEN(M194)</f>
        <v>25</v>
      </c>
      <c r="P194" s="12" t="n">
        <f aca="false">IF(N194=0,"",(N194-LEN(SUBSTITUTE(SUBSTITUTE(L194,"G",""),"C","")))/N194)</f>
        <v>0.6</v>
      </c>
      <c r="Q194" s="12" t="n">
        <f aca="false">IF(O194=0,"",(O194-LEN(SUBSTITUTE(SUBSTITUTE(M194,"G",""),"C","")))/O194)</f>
        <v>0.64</v>
      </c>
      <c r="R194" s="5"/>
      <c r="S194" s="5" t="s">
        <v>382</v>
      </c>
      <c r="T194" s="5"/>
      <c r="U194" s="5" t="s">
        <v>383</v>
      </c>
      <c r="V194" s="5" t="s">
        <v>2125</v>
      </c>
      <c r="W194" s="5"/>
      <c r="X194" s="13" t="s">
        <v>385</v>
      </c>
      <c r="Y194" s="5"/>
    </row>
    <row r="195" customFormat="false" ht="15" hidden="false" customHeight="false" outlineLevel="0" collapsed="false">
      <c r="A195" s="5" t="s">
        <v>2135</v>
      </c>
      <c r="B195" s="5" t="s">
        <v>190</v>
      </c>
      <c r="C195" s="5" t="s">
        <v>191</v>
      </c>
      <c r="D195" s="9" t="s">
        <v>92</v>
      </c>
      <c r="E195" s="5" t="n">
        <v>3</v>
      </c>
      <c r="F195" s="5" t="s">
        <v>2136</v>
      </c>
      <c r="G195" s="11" t="s">
        <v>2137</v>
      </c>
      <c r="H195" s="5" t="s">
        <v>2138</v>
      </c>
      <c r="I195" s="11" t="s">
        <v>2139</v>
      </c>
      <c r="J195" s="5" t="s">
        <v>2140</v>
      </c>
      <c r="K195" s="5" t="s">
        <v>2141</v>
      </c>
      <c r="L195" s="11" t="s">
        <v>2142</v>
      </c>
      <c r="M195" s="11" t="s">
        <v>2143</v>
      </c>
      <c r="N195" s="5" t="n">
        <f aca="false">LEN(L195)</f>
        <v>25</v>
      </c>
      <c r="O195" s="5" t="n">
        <f aca="false">LEN(M195)</f>
        <v>25</v>
      </c>
      <c r="P195" s="12" t="n">
        <f aca="false">IF(N195=0,"",(N195-LEN(SUBSTITUTE(SUBSTITUTE(L195,"G",""),"C","")))/N195)</f>
        <v>0.6</v>
      </c>
      <c r="Q195" s="12" t="n">
        <f aca="false">IF(O195=0,"",(O195-LEN(SUBSTITUTE(SUBSTITUTE(M195,"G",""),"C","")))/O195)</f>
        <v>0.76</v>
      </c>
      <c r="R195" s="5"/>
      <c r="S195" s="5" t="s">
        <v>382</v>
      </c>
      <c r="T195" s="5"/>
      <c r="U195" s="5" t="s">
        <v>383</v>
      </c>
      <c r="V195" s="5" t="s">
        <v>2125</v>
      </c>
      <c r="W195" s="5"/>
      <c r="X195" s="13" t="s">
        <v>385</v>
      </c>
      <c r="Y195" s="5"/>
    </row>
    <row r="196" customFormat="false" ht="15" hidden="false" customHeight="false" outlineLevel="0" collapsed="false">
      <c r="A196" s="5" t="s">
        <v>2144</v>
      </c>
      <c r="B196" s="5" t="s">
        <v>190</v>
      </c>
      <c r="C196" s="5" t="s">
        <v>191</v>
      </c>
      <c r="D196" s="9" t="s">
        <v>92</v>
      </c>
      <c r="E196" s="5" t="n">
        <v>4</v>
      </c>
      <c r="F196" s="5" t="s">
        <v>2145</v>
      </c>
      <c r="G196" s="11" t="s">
        <v>2146</v>
      </c>
      <c r="H196" s="5" t="s">
        <v>2147</v>
      </c>
      <c r="I196" s="11" t="s">
        <v>2148</v>
      </c>
      <c r="J196" s="5" t="s">
        <v>2149</v>
      </c>
      <c r="K196" s="5" t="s">
        <v>2150</v>
      </c>
      <c r="L196" s="11" t="s">
        <v>2151</v>
      </c>
      <c r="M196" s="11" t="s">
        <v>2152</v>
      </c>
      <c r="N196" s="5" t="n">
        <f aca="false">LEN(L196)</f>
        <v>25</v>
      </c>
      <c r="O196" s="5" t="n">
        <f aca="false">LEN(M196)</f>
        <v>25</v>
      </c>
      <c r="P196" s="12" t="n">
        <f aca="false">IF(N196=0,"",(N196-LEN(SUBSTITUTE(SUBSTITUTE(L196,"G",""),"C","")))/N196)</f>
        <v>0.84</v>
      </c>
      <c r="Q196" s="12" t="n">
        <f aca="false">IF(O196=0,"",(O196-LEN(SUBSTITUTE(SUBSTITUTE(M196,"G",""),"C","")))/O196)</f>
        <v>0.92</v>
      </c>
      <c r="R196" s="5"/>
      <c r="S196" s="5" t="s">
        <v>382</v>
      </c>
      <c r="T196" s="5"/>
      <c r="U196" s="5" t="s">
        <v>383</v>
      </c>
      <c r="V196" s="5" t="s">
        <v>2125</v>
      </c>
      <c r="W196" s="5"/>
      <c r="X196" s="13" t="s">
        <v>385</v>
      </c>
      <c r="Y196" s="5"/>
    </row>
    <row r="197" customFormat="false" ht="15" hidden="false" customHeight="false" outlineLevel="0" collapsed="false">
      <c r="A197" s="5" t="s">
        <v>2153</v>
      </c>
      <c r="B197" s="5" t="s">
        <v>190</v>
      </c>
      <c r="C197" s="5" t="s">
        <v>191</v>
      </c>
      <c r="D197" s="9" t="s">
        <v>92</v>
      </c>
      <c r="E197" s="5" t="n">
        <v>5</v>
      </c>
      <c r="F197" s="5" t="s">
        <v>2154</v>
      </c>
      <c r="G197" s="11" t="s">
        <v>2155</v>
      </c>
      <c r="H197" s="5" t="s">
        <v>2156</v>
      </c>
      <c r="I197" s="11" t="s">
        <v>2157</v>
      </c>
      <c r="J197" s="5" t="s">
        <v>2158</v>
      </c>
      <c r="K197" s="5" t="s">
        <v>2159</v>
      </c>
      <c r="L197" s="11" t="s">
        <v>2160</v>
      </c>
      <c r="M197" s="11" t="s">
        <v>2161</v>
      </c>
      <c r="N197" s="5" t="n">
        <f aca="false">LEN(L197)</f>
        <v>25</v>
      </c>
      <c r="O197" s="5" t="n">
        <f aca="false">LEN(M197)</f>
        <v>25</v>
      </c>
      <c r="P197" s="12" t="n">
        <f aca="false">IF(N197=0,"",(N197-LEN(SUBSTITUTE(SUBSTITUTE(L197,"G",""),"C","")))/N197)</f>
        <v>0.92</v>
      </c>
      <c r="Q197" s="12" t="n">
        <f aca="false">IF(O197=0,"",(O197-LEN(SUBSTITUTE(SUBSTITUTE(M197,"G",""),"C","")))/O197)</f>
        <v>0.84</v>
      </c>
      <c r="R197" s="5"/>
      <c r="S197" s="5" t="s">
        <v>382</v>
      </c>
      <c r="T197" s="5"/>
      <c r="U197" s="5" t="s">
        <v>383</v>
      </c>
      <c r="V197" s="5" t="s">
        <v>2125</v>
      </c>
      <c r="W197" s="5"/>
      <c r="X197" s="13" t="s">
        <v>385</v>
      </c>
      <c r="Y197" s="5"/>
    </row>
    <row r="198" customFormat="false" ht="15" hidden="false" customHeight="false" outlineLevel="0" collapsed="false">
      <c r="A198" s="5" t="s">
        <v>2162</v>
      </c>
      <c r="B198" s="5" t="s">
        <v>190</v>
      </c>
      <c r="C198" s="5" t="s">
        <v>191</v>
      </c>
      <c r="D198" s="9" t="s">
        <v>92</v>
      </c>
      <c r="E198" s="5" t="n">
        <v>6</v>
      </c>
      <c r="F198" s="5" t="s">
        <v>2163</v>
      </c>
      <c r="G198" s="11" t="s">
        <v>2164</v>
      </c>
      <c r="H198" s="5" t="s">
        <v>2165</v>
      </c>
      <c r="I198" s="11" t="s">
        <v>2166</v>
      </c>
      <c r="J198" s="5" t="s">
        <v>2167</v>
      </c>
      <c r="K198" s="5" t="s">
        <v>2168</v>
      </c>
      <c r="L198" s="11" t="s">
        <v>2169</v>
      </c>
      <c r="M198" s="11" t="s">
        <v>2170</v>
      </c>
      <c r="N198" s="5" t="n">
        <f aca="false">LEN(L198)</f>
        <v>25</v>
      </c>
      <c r="O198" s="5" t="n">
        <f aca="false">LEN(M198)</f>
        <v>25</v>
      </c>
      <c r="P198" s="12" t="n">
        <f aca="false">IF(N198=0,"",(N198-LEN(SUBSTITUTE(SUBSTITUTE(L198,"G",""),"C","")))/N198)</f>
        <v>0.72</v>
      </c>
      <c r="Q198" s="12" t="n">
        <f aca="false">IF(O198=0,"",(O198-LEN(SUBSTITUTE(SUBSTITUTE(M198,"G",""),"C","")))/O198)</f>
        <v>0.68</v>
      </c>
      <c r="R198" s="5"/>
      <c r="S198" s="5" t="s">
        <v>382</v>
      </c>
      <c r="T198" s="5"/>
      <c r="U198" s="5" t="s">
        <v>383</v>
      </c>
      <c r="V198" s="5" t="s">
        <v>2125</v>
      </c>
      <c r="W198" s="5"/>
      <c r="X198" s="13" t="s">
        <v>385</v>
      </c>
      <c r="Y198" s="5"/>
    </row>
    <row r="199" customFormat="false" ht="15" hidden="false" customHeight="false" outlineLevel="0" collapsed="false">
      <c r="A199" s="5" t="s">
        <v>2171</v>
      </c>
      <c r="B199" s="5" t="s">
        <v>190</v>
      </c>
      <c r="C199" s="5" t="s">
        <v>191</v>
      </c>
      <c r="D199" s="9" t="s">
        <v>92</v>
      </c>
      <c r="E199" s="5" t="n">
        <v>7</v>
      </c>
      <c r="F199" s="5" t="s">
        <v>2172</v>
      </c>
      <c r="G199" s="11" t="s">
        <v>2173</v>
      </c>
      <c r="H199" s="5" t="s">
        <v>2174</v>
      </c>
      <c r="I199" s="11" t="s">
        <v>2175</v>
      </c>
      <c r="J199" s="5" t="s">
        <v>2176</v>
      </c>
      <c r="K199" s="5" t="s">
        <v>2177</v>
      </c>
      <c r="L199" s="11" t="s">
        <v>2178</v>
      </c>
      <c r="M199" s="11" t="s">
        <v>2179</v>
      </c>
      <c r="N199" s="5" t="n">
        <f aca="false">LEN(L199)</f>
        <v>25</v>
      </c>
      <c r="O199" s="5" t="n">
        <f aca="false">LEN(M199)</f>
        <v>25</v>
      </c>
      <c r="P199" s="12" t="n">
        <f aca="false">IF(N199=0,"",(N199-LEN(SUBSTITUTE(SUBSTITUTE(L199,"G",""),"C","")))/N199)</f>
        <v>0.32</v>
      </c>
      <c r="Q199" s="12" t="n">
        <f aca="false">IF(O199=0,"",(O199-LEN(SUBSTITUTE(SUBSTITUTE(M199,"G",""),"C","")))/O199)</f>
        <v>0.6</v>
      </c>
      <c r="R199" s="5"/>
      <c r="S199" s="5" t="s">
        <v>382</v>
      </c>
      <c r="T199" s="5"/>
      <c r="U199" s="5" t="s">
        <v>383</v>
      </c>
      <c r="V199" s="5" t="s">
        <v>2125</v>
      </c>
      <c r="W199" s="5"/>
      <c r="X199" s="13" t="s">
        <v>385</v>
      </c>
      <c r="Y199" s="5"/>
    </row>
    <row r="200" customFormat="false" ht="15" hidden="false" customHeight="false" outlineLevel="0" collapsed="false">
      <c r="A200" s="5" t="s">
        <v>2180</v>
      </c>
      <c r="B200" s="5" t="s">
        <v>190</v>
      </c>
      <c r="C200" s="5" t="s">
        <v>191</v>
      </c>
      <c r="D200" s="9" t="s">
        <v>92</v>
      </c>
      <c r="E200" s="5" t="n">
        <v>8</v>
      </c>
      <c r="F200" s="5" t="s">
        <v>2181</v>
      </c>
      <c r="G200" s="11" t="s">
        <v>2182</v>
      </c>
      <c r="H200" s="5" t="s">
        <v>2183</v>
      </c>
      <c r="I200" s="11" t="s">
        <v>2184</v>
      </c>
      <c r="J200" s="5" t="s">
        <v>2185</v>
      </c>
      <c r="K200" s="5" t="s">
        <v>2186</v>
      </c>
      <c r="L200" s="11" t="s">
        <v>2187</v>
      </c>
      <c r="M200" s="11" t="s">
        <v>2188</v>
      </c>
      <c r="N200" s="5" t="n">
        <f aca="false">LEN(L200)</f>
        <v>25</v>
      </c>
      <c r="O200" s="5" t="n">
        <f aca="false">LEN(M200)</f>
        <v>25</v>
      </c>
      <c r="P200" s="12" t="n">
        <f aca="false">IF(N200=0,"",(N200-LEN(SUBSTITUTE(SUBSTITUTE(L200,"G",""),"C","")))/N200)</f>
        <v>0.56</v>
      </c>
      <c r="Q200" s="12" t="n">
        <f aca="false">IF(O200=0,"",(O200-LEN(SUBSTITUTE(SUBSTITUTE(M200,"G",""),"C","")))/O200)</f>
        <v>0.56</v>
      </c>
      <c r="R200" s="5"/>
      <c r="S200" s="5" t="s">
        <v>382</v>
      </c>
      <c r="T200" s="5"/>
      <c r="U200" s="5" t="s">
        <v>383</v>
      </c>
      <c r="V200" s="5" t="s">
        <v>2125</v>
      </c>
      <c r="W200" s="5"/>
      <c r="X200" s="13" t="s">
        <v>385</v>
      </c>
      <c r="Y200" s="5"/>
    </row>
    <row r="201" customFormat="false" ht="15" hidden="false" customHeight="false" outlineLevel="0" collapsed="false">
      <c r="A201" s="5" t="s">
        <v>2189</v>
      </c>
      <c r="B201" s="5" t="s">
        <v>197</v>
      </c>
      <c r="C201" s="5" t="s">
        <v>198</v>
      </c>
      <c r="D201" s="9" t="s">
        <v>92</v>
      </c>
      <c r="E201" s="5" t="n">
        <v>1</v>
      </c>
      <c r="F201" s="5" t="s">
        <v>2190</v>
      </c>
      <c r="G201" s="11" t="s">
        <v>2191</v>
      </c>
      <c r="H201" s="5" t="s">
        <v>2192</v>
      </c>
      <c r="I201" s="11" t="s">
        <v>2193</v>
      </c>
      <c r="J201" s="5" t="s">
        <v>2194</v>
      </c>
      <c r="K201" s="5" t="s">
        <v>2195</v>
      </c>
      <c r="L201" s="11" t="s">
        <v>2196</v>
      </c>
      <c r="M201" s="11" t="s">
        <v>2197</v>
      </c>
      <c r="N201" s="5" t="n">
        <f aca="false">LEN(L201)</f>
        <v>25</v>
      </c>
      <c r="O201" s="5" t="n">
        <f aca="false">LEN(M201)</f>
        <v>25</v>
      </c>
      <c r="P201" s="12" t="n">
        <f aca="false">IF(N201=0,"",(N201-LEN(SUBSTITUTE(SUBSTITUTE(L201,"G",""),"C","")))/N201)</f>
        <v>0.4</v>
      </c>
      <c r="Q201" s="12" t="n">
        <f aca="false">IF(O201=0,"",(O201-LEN(SUBSTITUTE(SUBSTITUTE(M201,"G",""),"C","")))/O201)</f>
        <v>0.64</v>
      </c>
      <c r="R201" s="5"/>
      <c r="S201" s="5" t="s">
        <v>382</v>
      </c>
      <c r="T201" s="5"/>
      <c r="U201" s="5" t="s">
        <v>383</v>
      </c>
      <c r="V201" s="5" t="s">
        <v>2198</v>
      </c>
      <c r="W201" s="5"/>
      <c r="X201" s="13" t="s">
        <v>385</v>
      </c>
      <c r="Y201" s="5"/>
    </row>
    <row r="202" customFormat="false" ht="15" hidden="false" customHeight="false" outlineLevel="0" collapsed="false">
      <c r="A202" s="5" t="s">
        <v>2199</v>
      </c>
      <c r="B202" s="5" t="s">
        <v>197</v>
      </c>
      <c r="C202" s="5" t="s">
        <v>198</v>
      </c>
      <c r="D202" s="9" t="s">
        <v>92</v>
      </c>
      <c r="E202" s="5" t="n">
        <v>2</v>
      </c>
      <c r="F202" s="5" t="s">
        <v>2200</v>
      </c>
      <c r="G202" s="11" t="s">
        <v>2201</v>
      </c>
      <c r="H202" s="5" t="s">
        <v>2202</v>
      </c>
      <c r="I202" s="11" t="s">
        <v>2203</v>
      </c>
      <c r="J202" s="5" t="s">
        <v>2204</v>
      </c>
      <c r="K202" s="5" t="s">
        <v>2205</v>
      </c>
      <c r="L202" s="11" t="s">
        <v>2206</v>
      </c>
      <c r="M202" s="11" t="s">
        <v>2207</v>
      </c>
      <c r="N202" s="5" t="n">
        <f aca="false">LEN(L202)</f>
        <v>25</v>
      </c>
      <c r="O202" s="5" t="n">
        <f aca="false">LEN(M202)</f>
        <v>25</v>
      </c>
      <c r="P202" s="12" t="n">
        <f aca="false">IF(N202=0,"",(N202-LEN(SUBSTITUTE(SUBSTITUTE(L202,"G",""),"C","")))/N202)</f>
        <v>0.48</v>
      </c>
      <c r="Q202" s="12" t="n">
        <f aca="false">IF(O202=0,"",(O202-LEN(SUBSTITUTE(SUBSTITUTE(M202,"G",""),"C","")))/O202)</f>
        <v>0.64</v>
      </c>
      <c r="R202" s="5"/>
      <c r="S202" s="5" t="s">
        <v>382</v>
      </c>
      <c r="T202" s="5"/>
      <c r="U202" s="5" t="s">
        <v>383</v>
      </c>
      <c r="V202" s="5" t="s">
        <v>2198</v>
      </c>
      <c r="W202" s="5"/>
      <c r="X202" s="13" t="s">
        <v>385</v>
      </c>
      <c r="Y202" s="5"/>
    </row>
    <row r="203" customFormat="false" ht="15" hidden="false" customHeight="false" outlineLevel="0" collapsed="false">
      <c r="A203" s="5" t="s">
        <v>2208</v>
      </c>
      <c r="B203" s="5" t="s">
        <v>197</v>
      </c>
      <c r="C203" s="5" t="s">
        <v>198</v>
      </c>
      <c r="D203" s="9" t="s">
        <v>92</v>
      </c>
      <c r="E203" s="5" t="n">
        <v>3</v>
      </c>
      <c r="F203" s="5" t="s">
        <v>2209</v>
      </c>
      <c r="G203" s="11" t="s">
        <v>2210</v>
      </c>
      <c r="H203" s="5" t="s">
        <v>2211</v>
      </c>
      <c r="I203" s="11" t="s">
        <v>2212</v>
      </c>
      <c r="J203" s="5" t="s">
        <v>2213</v>
      </c>
      <c r="K203" s="5" t="s">
        <v>2214</v>
      </c>
      <c r="L203" s="11" t="s">
        <v>2215</v>
      </c>
      <c r="M203" s="11" t="s">
        <v>2216</v>
      </c>
      <c r="N203" s="5" t="n">
        <f aca="false">LEN(L203)</f>
        <v>25</v>
      </c>
      <c r="O203" s="5" t="n">
        <f aca="false">LEN(M203)</f>
        <v>25</v>
      </c>
      <c r="P203" s="12" t="n">
        <f aca="false">IF(N203=0,"",(N203-LEN(SUBSTITUTE(SUBSTITUTE(L203,"G",""),"C","")))/N203)</f>
        <v>0.52</v>
      </c>
      <c r="Q203" s="12" t="n">
        <f aca="false">IF(O203=0,"",(O203-LEN(SUBSTITUTE(SUBSTITUTE(M203,"G",""),"C","")))/O203)</f>
        <v>0.48</v>
      </c>
      <c r="R203" s="5"/>
      <c r="S203" s="5" t="s">
        <v>382</v>
      </c>
      <c r="T203" s="5"/>
      <c r="U203" s="5" t="s">
        <v>383</v>
      </c>
      <c r="V203" s="5" t="s">
        <v>2198</v>
      </c>
      <c r="W203" s="5"/>
      <c r="X203" s="13" t="s">
        <v>385</v>
      </c>
      <c r="Y203" s="5"/>
    </row>
    <row r="204" customFormat="false" ht="15" hidden="false" customHeight="false" outlineLevel="0" collapsed="false">
      <c r="A204" s="5" t="s">
        <v>2217</v>
      </c>
      <c r="B204" s="5" t="s">
        <v>197</v>
      </c>
      <c r="C204" s="5" t="s">
        <v>198</v>
      </c>
      <c r="D204" s="9" t="s">
        <v>92</v>
      </c>
      <c r="E204" s="5" t="n">
        <v>4</v>
      </c>
      <c r="F204" s="5" t="s">
        <v>2218</v>
      </c>
      <c r="G204" s="11" t="s">
        <v>2219</v>
      </c>
      <c r="H204" s="5" t="s">
        <v>2220</v>
      </c>
      <c r="I204" s="11" t="s">
        <v>2221</v>
      </c>
      <c r="J204" s="5" t="s">
        <v>2222</v>
      </c>
      <c r="K204" s="5" t="s">
        <v>2223</v>
      </c>
      <c r="L204" s="11" t="s">
        <v>2224</v>
      </c>
      <c r="M204" s="11" t="s">
        <v>2225</v>
      </c>
      <c r="N204" s="5" t="n">
        <f aca="false">LEN(L204)</f>
        <v>25</v>
      </c>
      <c r="O204" s="5" t="n">
        <f aca="false">LEN(M204)</f>
        <v>25</v>
      </c>
      <c r="P204" s="12" t="n">
        <f aca="false">IF(N204=0,"",(N204-LEN(SUBSTITUTE(SUBSTITUTE(L204,"G",""),"C","")))/N204)</f>
        <v>0.28</v>
      </c>
      <c r="Q204" s="12" t="n">
        <f aca="false">IF(O204=0,"",(O204-LEN(SUBSTITUTE(SUBSTITUTE(M204,"G",""),"C","")))/O204)</f>
        <v>0.6</v>
      </c>
      <c r="R204" s="5"/>
      <c r="S204" s="5" t="s">
        <v>382</v>
      </c>
      <c r="T204" s="5"/>
      <c r="U204" s="5" t="s">
        <v>383</v>
      </c>
      <c r="V204" s="5" t="s">
        <v>2198</v>
      </c>
      <c r="W204" s="5"/>
      <c r="X204" s="13" t="s">
        <v>385</v>
      </c>
      <c r="Y204" s="5"/>
    </row>
    <row r="205" customFormat="false" ht="15" hidden="false" customHeight="false" outlineLevel="0" collapsed="false">
      <c r="A205" s="5" t="s">
        <v>2226</v>
      </c>
      <c r="B205" s="5" t="s">
        <v>197</v>
      </c>
      <c r="C205" s="5" t="s">
        <v>198</v>
      </c>
      <c r="D205" s="9" t="s">
        <v>92</v>
      </c>
      <c r="E205" s="5" t="n">
        <v>5</v>
      </c>
      <c r="F205" s="5" t="s">
        <v>2227</v>
      </c>
      <c r="G205" s="11" t="s">
        <v>2228</v>
      </c>
      <c r="H205" s="5" t="s">
        <v>2229</v>
      </c>
      <c r="I205" s="11" t="s">
        <v>2230</v>
      </c>
      <c r="J205" s="5" t="s">
        <v>2231</v>
      </c>
      <c r="K205" s="5" t="s">
        <v>2232</v>
      </c>
      <c r="L205" s="11" t="s">
        <v>2233</v>
      </c>
      <c r="M205" s="11" t="s">
        <v>2234</v>
      </c>
      <c r="N205" s="5" t="n">
        <f aca="false">LEN(L205)</f>
        <v>25</v>
      </c>
      <c r="O205" s="5" t="n">
        <f aca="false">LEN(M205)</f>
        <v>25</v>
      </c>
      <c r="P205" s="12" t="n">
        <f aca="false">IF(N205=0,"",(N205-LEN(SUBSTITUTE(SUBSTITUTE(L205,"G",""),"C","")))/N205)</f>
        <v>0.6</v>
      </c>
      <c r="Q205" s="12" t="n">
        <f aca="false">IF(O205=0,"",(O205-LEN(SUBSTITUTE(SUBSTITUTE(M205,"G",""),"C","")))/O205)</f>
        <v>0.4</v>
      </c>
      <c r="R205" s="5"/>
      <c r="S205" s="5" t="s">
        <v>382</v>
      </c>
      <c r="T205" s="5"/>
      <c r="U205" s="5" t="s">
        <v>383</v>
      </c>
      <c r="V205" s="5" t="s">
        <v>2198</v>
      </c>
      <c r="W205" s="5"/>
      <c r="X205" s="13" t="s">
        <v>385</v>
      </c>
      <c r="Y205" s="5"/>
    </row>
    <row r="206" customFormat="false" ht="15" hidden="false" customHeight="false" outlineLevel="0" collapsed="false">
      <c r="A206" s="5" t="s">
        <v>2235</v>
      </c>
      <c r="B206" s="5" t="s">
        <v>197</v>
      </c>
      <c r="C206" s="5" t="s">
        <v>198</v>
      </c>
      <c r="D206" s="9" t="s">
        <v>92</v>
      </c>
      <c r="E206" s="5" t="n">
        <v>6</v>
      </c>
      <c r="F206" s="5" t="s">
        <v>2236</v>
      </c>
      <c r="G206" s="11" t="s">
        <v>2237</v>
      </c>
      <c r="H206" s="5" t="s">
        <v>2238</v>
      </c>
      <c r="I206" s="11" t="s">
        <v>2239</v>
      </c>
      <c r="J206" s="5" t="s">
        <v>2240</v>
      </c>
      <c r="K206" s="5" t="s">
        <v>2241</v>
      </c>
      <c r="L206" s="11" t="s">
        <v>2242</v>
      </c>
      <c r="M206" s="11" t="s">
        <v>2243</v>
      </c>
      <c r="N206" s="5" t="n">
        <f aca="false">LEN(L206)</f>
        <v>25</v>
      </c>
      <c r="O206" s="5" t="n">
        <f aca="false">LEN(M206)</f>
        <v>25</v>
      </c>
      <c r="P206" s="12" t="n">
        <f aca="false">IF(N206=0,"",(N206-LEN(SUBSTITUTE(SUBSTITUTE(L206,"G",""),"C","")))/N206)</f>
        <v>0.48</v>
      </c>
      <c r="Q206" s="12" t="n">
        <f aca="false">IF(O206=0,"",(O206-LEN(SUBSTITUTE(SUBSTITUTE(M206,"G",""),"C","")))/O206)</f>
        <v>0.48</v>
      </c>
      <c r="R206" s="5"/>
      <c r="S206" s="5" t="s">
        <v>382</v>
      </c>
      <c r="T206" s="5"/>
      <c r="U206" s="5" t="s">
        <v>383</v>
      </c>
      <c r="V206" s="5" t="s">
        <v>2198</v>
      </c>
      <c r="W206" s="5"/>
      <c r="X206" s="13" t="s">
        <v>385</v>
      </c>
      <c r="Y206" s="5"/>
    </row>
    <row r="207" customFormat="false" ht="15" hidden="false" customHeight="false" outlineLevel="0" collapsed="false">
      <c r="A207" s="5" t="s">
        <v>2244</v>
      </c>
      <c r="B207" s="5" t="s">
        <v>197</v>
      </c>
      <c r="C207" s="5" t="s">
        <v>198</v>
      </c>
      <c r="D207" s="9" t="s">
        <v>92</v>
      </c>
      <c r="E207" s="5" t="n">
        <v>7</v>
      </c>
      <c r="F207" s="5" t="s">
        <v>2245</v>
      </c>
      <c r="G207" s="11" t="s">
        <v>2246</v>
      </c>
      <c r="H207" s="5" t="s">
        <v>2247</v>
      </c>
      <c r="I207" s="11" t="s">
        <v>2248</v>
      </c>
      <c r="J207" s="5" t="s">
        <v>2249</v>
      </c>
      <c r="K207" s="5" t="s">
        <v>2250</v>
      </c>
      <c r="L207" s="11" t="s">
        <v>2251</v>
      </c>
      <c r="M207" s="11" t="s">
        <v>2252</v>
      </c>
      <c r="N207" s="5" t="n">
        <f aca="false">LEN(L207)</f>
        <v>25</v>
      </c>
      <c r="O207" s="5" t="n">
        <f aca="false">LEN(M207)</f>
        <v>25</v>
      </c>
      <c r="P207" s="12" t="n">
        <f aca="false">IF(N207=0,"",(N207-LEN(SUBSTITUTE(SUBSTITUTE(L207,"G",""),"C","")))/N207)</f>
        <v>0.56</v>
      </c>
      <c r="Q207" s="12" t="n">
        <f aca="false">IF(O207=0,"",(O207-LEN(SUBSTITUTE(SUBSTITUTE(M207,"G",""),"C","")))/O207)</f>
        <v>0.64</v>
      </c>
      <c r="R207" s="5"/>
      <c r="S207" s="5" t="s">
        <v>382</v>
      </c>
      <c r="T207" s="5"/>
      <c r="U207" s="5" t="s">
        <v>383</v>
      </c>
      <c r="V207" s="5" t="s">
        <v>2198</v>
      </c>
      <c r="W207" s="5"/>
      <c r="X207" s="13" t="s">
        <v>385</v>
      </c>
      <c r="Y207" s="5"/>
    </row>
    <row r="208" customFormat="false" ht="15" hidden="false" customHeight="false" outlineLevel="0" collapsed="false">
      <c r="A208" s="5" t="s">
        <v>2253</v>
      </c>
      <c r="B208" s="5" t="s">
        <v>197</v>
      </c>
      <c r="C208" s="5" t="s">
        <v>198</v>
      </c>
      <c r="D208" s="9" t="s">
        <v>92</v>
      </c>
      <c r="E208" s="5" t="n">
        <v>8</v>
      </c>
      <c r="F208" s="5" t="s">
        <v>2254</v>
      </c>
      <c r="G208" s="11" t="s">
        <v>2255</v>
      </c>
      <c r="H208" s="5" t="s">
        <v>2256</v>
      </c>
      <c r="I208" s="11" t="s">
        <v>2257</v>
      </c>
      <c r="J208" s="5" t="s">
        <v>2258</v>
      </c>
      <c r="K208" s="5" t="s">
        <v>2259</v>
      </c>
      <c r="L208" s="11" t="s">
        <v>2260</v>
      </c>
      <c r="M208" s="11" t="s">
        <v>2261</v>
      </c>
      <c r="N208" s="5" t="n">
        <f aca="false">LEN(L208)</f>
        <v>25</v>
      </c>
      <c r="O208" s="5" t="n">
        <f aca="false">LEN(M208)</f>
        <v>25</v>
      </c>
      <c r="P208" s="12" t="n">
        <f aca="false">IF(N208=0,"",(N208-LEN(SUBSTITUTE(SUBSTITUTE(L208,"G",""),"C","")))/N208)</f>
        <v>0.4</v>
      </c>
      <c r="Q208" s="12" t="n">
        <f aca="false">IF(O208=0,"",(O208-LEN(SUBSTITUTE(SUBSTITUTE(M208,"G",""),"C","")))/O208)</f>
        <v>0.44</v>
      </c>
      <c r="R208" s="5"/>
      <c r="S208" s="5" t="s">
        <v>382</v>
      </c>
      <c r="T208" s="5"/>
      <c r="U208" s="5" t="s">
        <v>383</v>
      </c>
      <c r="V208" s="5" t="s">
        <v>2198</v>
      </c>
      <c r="W208" s="5"/>
      <c r="X208" s="13" t="s">
        <v>385</v>
      </c>
      <c r="Y208" s="5"/>
    </row>
    <row r="209" customFormat="false" ht="15" hidden="false" customHeight="false" outlineLevel="0" collapsed="false">
      <c r="A209" s="5" t="s">
        <v>2262</v>
      </c>
      <c r="B209" s="5" t="s">
        <v>197</v>
      </c>
      <c r="C209" s="5" t="s">
        <v>198</v>
      </c>
      <c r="D209" s="9" t="s">
        <v>92</v>
      </c>
      <c r="E209" s="5" t="n">
        <v>9</v>
      </c>
      <c r="F209" s="5" t="s">
        <v>2263</v>
      </c>
      <c r="G209" s="11" t="s">
        <v>2264</v>
      </c>
      <c r="H209" s="5" t="s">
        <v>2265</v>
      </c>
      <c r="I209" s="11" t="s">
        <v>2266</v>
      </c>
      <c r="J209" s="5" t="s">
        <v>2267</v>
      </c>
      <c r="K209" s="5" t="s">
        <v>2268</v>
      </c>
      <c r="L209" s="11" t="s">
        <v>2269</v>
      </c>
      <c r="M209" s="11" t="s">
        <v>2270</v>
      </c>
      <c r="N209" s="5" t="n">
        <f aca="false">LEN(L209)</f>
        <v>25</v>
      </c>
      <c r="O209" s="5" t="n">
        <f aca="false">LEN(M209)</f>
        <v>25</v>
      </c>
      <c r="P209" s="12" t="n">
        <f aca="false">IF(N209=0,"",(N209-LEN(SUBSTITUTE(SUBSTITUTE(L209,"G",""),"C","")))/N209)</f>
        <v>0.52</v>
      </c>
      <c r="Q209" s="12" t="n">
        <f aca="false">IF(O209=0,"",(O209-LEN(SUBSTITUTE(SUBSTITUTE(M209,"G",""),"C","")))/O209)</f>
        <v>0.4</v>
      </c>
      <c r="R209" s="5"/>
      <c r="S209" s="5" t="s">
        <v>382</v>
      </c>
      <c r="T209" s="5"/>
      <c r="U209" s="5" t="s">
        <v>383</v>
      </c>
      <c r="V209" s="5" t="s">
        <v>2198</v>
      </c>
      <c r="W209" s="5"/>
      <c r="X209" s="13" t="s">
        <v>385</v>
      </c>
      <c r="Y209" s="5"/>
    </row>
    <row r="210" customFormat="false" ht="15" hidden="false" customHeight="false" outlineLevel="0" collapsed="false">
      <c r="A210" s="5" t="s">
        <v>2271</v>
      </c>
      <c r="B210" s="5" t="s">
        <v>197</v>
      </c>
      <c r="C210" s="5" t="s">
        <v>198</v>
      </c>
      <c r="D210" s="9" t="s">
        <v>92</v>
      </c>
      <c r="E210" s="5" t="n">
        <v>10</v>
      </c>
      <c r="F210" s="5" t="s">
        <v>2272</v>
      </c>
      <c r="G210" s="11" t="s">
        <v>2273</v>
      </c>
      <c r="H210" s="5" t="s">
        <v>2274</v>
      </c>
      <c r="I210" s="11" t="s">
        <v>2275</v>
      </c>
      <c r="J210" s="5" t="s">
        <v>2276</v>
      </c>
      <c r="K210" s="5" t="s">
        <v>2277</v>
      </c>
      <c r="L210" s="11" t="s">
        <v>2278</v>
      </c>
      <c r="M210" s="11" t="s">
        <v>2279</v>
      </c>
      <c r="N210" s="5" t="n">
        <f aca="false">LEN(L210)</f>
        <v>25</v>
      </c>
      <c r="O210" s="5" t="n">
        <f aca="false">LEN(M210)</f>
        <v>25</v>
      </c>
      <c r="P210" s="12" t="n">
        <f aca="false">IF(N210=0,"",(N210-LEN(SUBSTITUTE(SUBSTITUTE(L210,"G",""),"C","")))/N210)</f>
        <v>0.52</v>
      </c>
      <c r="Q210" s="12" t="n">
        <f aca="false">IF(O210=0,"",(O210-LEN(SUBSTITUTE(SUBSTITUTE(M210,"G",""),"C","")))/O210)</f>
        <v>0.4</v>
      </c>
      <c r="R210" s="5"/>
      <c r="S210" s="5" t="s">
        <v>382</v>
      </c>
      <c r="T210" s="5"/>
      <c r="U210" s="5" t="s">
        <v>383</v>
      </c>
      <c r="V210" s="5" t="s">
        <v>2198</v>
      </c>
      <c r="W210" s="5"/>
      <c r="X210" s="13" t="s">
        <v>385</v>
      </c>
      <c r="Y210" s="5"/>
    </row>
    <row r="211" customFormat="false" ht="15" hidden="false" customHeight="false" outlineLevel="0" collapsed="false">
      <c r="A211" s="5" t="s">
        <v>2280</v>
      </c>
      <c r="B211" s="5" t="s">
        <v>203</v>
      </c>
      <c r="C211" s="5" t="s">
        <v>204</v>
      </c>
      <c r="D211" s="9" t="s">
        <v>92</v>
      </c>
      <c r="E211" s="5" t="n">
        <v>1</v>
      </c>
      <c r="F211" s="5" t="s">
        <v>2281</v>
      </c>
      <c r="G211" s="11" t="s">
        <v>2282</v>
      </c>
      <c r="H211" s="5" t="s">
        <v>2283</v>
      </c>
      <c r="I211" s="11" t="s">
        <v>2284</v>
      </c>
      <c r="J211" s="5" t="s">
        <v>2285</v>
      </c>
      <c r="K211" s="5" t="s">
        <v>2286</v>
      </c>
      <c r="L211" s="11" t="s">
        <v>2287</v>
      </c>
      <c r="M211" s="11" t="s">
        <v>2288</v>
      </c>
      <c r="N211" s="5" t="n">
        <f aca="false">LEN(L211)</f>
        <v>25</v>
      </c>
      <c r="O211" s="5" t="n">
        <f aca="false">LEN(M211)</f>
        <v>25</v>
      </c>
      <c r="P211" s="12" t="n">
        <f aca="false">IF(N211=0,"",(N211-LEN(SUBSTITUTE(SUBSTITUTE(L211,"G",""),"C","")))/N211)</f>
        <v>0.6</v>
      </c>
      <c r="Q211" s="12" t="n">
        <f aca="false">IF(O211=0,"",(O211-LEN(SUBSTITUTE(SUBSTITUTE(M211,"G",""),"C","")))/O211)</f>
        <v>0.64</v>
      </c>
      <c r="R211" s="5"/>
      <c r="S211" s="5" t="s">
        <v>382</v>
      </c>
      <c r="T211" s="5"/>
      <c r="U211" s="5" t="s">
        <v>383</v>
      </c>
      <c r="V211" s="5" t="s">
        <v>2289</v>
      </c>
      <c r="W211" s="5"/>
      <c r="X211" s="13" t="s">
        <v>385</v>
      </c>
      <c r="Y211" s="5"/>
    </row>
    <row r="212" customFormat="false" ht="15" hidden="false" customHeight="false" outlineLevel="0" collapsed="false">
      <c r="A212" s="5" t="s">
        <v>2290</v>
      </c>
      <c r="B212" s="5" t="s">
        <v>203</v>
      </c>
      <c r="C212" s="5" t="s">
        <v>204</v>
      </c>
      <c r="D212" s="9" t="s">
        <v>92</v>
      </c>
      <c r="E212" s="5" t="n">
        <v>2</v>
      </c>
      <c r="F212" s="5" t="s">
        <v>2291</v>
      </c>
      <c r="G212" s="11" t="s">
        <v>2292</v>
      </c>
      <c r="H212" s="5" t="s">
        <v>2293</v>
      </c>
      <c r="I212" s="11" t="s">
        <v>2294</v>
      </c>
      <c r="J212" s="5" t="s">
        <v>2295</v>
      </c>
      <c r="K212" s="5" t="s">
        <v>2296</v>
      </c>
      <c r="L212" s="11" t="s">
        <v>2297</v>
      </c>
      <c r="M212" s="11" t="s">
        <v>2298</v>
      </c>
      <c r="N212" s="5" t="n">
        <f aca="false">LEN(L212)</f>
        <v>25</v>
      </c>
      <c r="O212" s="5" t="n">
        <f aca="false">LEN(M212)</f>
        <v>25</v>
      </c>
      <c r="P212" s="12" t="n">
        <f aca="false">IF(N212=0,"",(N212-LEN(SUBSTITUTE(SUBSTITUTE(L212,"G",""),"C","")))/N212)</f>
        <v>0.6</v>
      </c>
      <c r="Q212" s="12" t="n">
        <f aca="false">IF(O212=0,"",(O212-LEN(SUBSTITUTE(SUBSTITUTE(M212,"G",""),"C","")))/O212)</f>
        <v>0.48</v>
      </c>
      <c r="R212" s="5"/>
      <c r="S212" s="5" t="s">
        <v>382</v>
      </c>
      <c r="T212" s="5"/>
      <c r="U212" s="5" t="s">
        <v>383</v>
      </c>
      <c r="V212" s="5" t="s">
        <v>2289</v>
      </c>
      <c r="W212" s="5"/>
      <c r="X212" s="13" t="s">
        <v>385</v>
      </c>
      <c r="Y212" s="5"/>
    </row>
    <row r="213" customFormat="false" ht="15" hidden="false" customHeight="false" outlineLevel="0" collapsed="false">
      <c r="A213" s="5" t="s">
        <v>2299</v>
      </c>
      <c r="B213" s="5" t="s">
        <v>203</v>
      </c>
      <c r="C213" s="5" t="s">
        <v>204</v>
      </c>
      <c r="D213" s="9" t="s">
        <v>92</v>
      </c>
      <c r="E213" s="5" t="n">
        <v>3</v>
      </c>
      <c r="F213" s="5" t="s">
        <v>2300</v>
      </c>
      <c r="G213" s="11" t="s">
        <v>2301</v>
      </c>
      <c r="H213" s="5" t="s">
        <v>2302</v>
      </c>
      <c r="I213" s="11" t="s">
        <v>2303</v>
      </c>
      <c r="J213" s="5" t="s">
        <v>2304</v>
      </c>
      <c r="K213" s="5" t="s">
        <v>2305</v>
      </c>
      <c r="L213" s="11" t="s">
        <v>2306</v>
      </c>
      <c r="M213" s="11" t="s">
        <v>2307</v>
      </c>
      <c r="N213" s="5" t="n">
        <f aca="false">LEN(L213)</f>
        <v>25</v>
      </c>
      <c r="O213" s="5" t="n">
        <f aca="false">LEN(M213)</f>
        <v>25</v>
      </c>
      <c r="P213" s="12" t="n">
        <f aca="false">IF(N213=0,"",(N213-LEN(SUBSTITUTE(SUBSTITUTE(L213,"G",""),"C","")))/N213)</f>
        <v>0.6</v>
      </c>
      <c r="Q213" s="12" t="n">
        <f aca="false">IF(O213=0,"",(O213-LEN(SUBSTITUTE(SUBSTITUTE(M213,"G",""),"C","")))/O213)</f>
        <v>0.6</v>
      </c>
      <c r="R213" s="5"/>
      <c r="S213" s="5" t="s">
        <v>382</v>
      </c>
      <c r="T213" s="5"/>
      <c r="U213" s="5" t="s">
        <v>383</v>
      </c>
      <c r="V213" s="5" t="s">
        <v>2289</v>
      </c>
      <c r="W213" s="5"/>
      <c r="X213" s="13" t="s">
        <v>385</v>
      </c>
      <c r="Y213" s="5"/>
    </row>
    <row r="214" customFormat="false" ht="15" hidden="false" customHeight="false" outlineLevel="0" collapsed="false">
      <c r="A214" s="5" t="s">
        <v>2308</v>
      </c>
      <c r="B214" s="5" t="s">
        <v>203</v>
      </c>
      <c r="C214" s="5" t="s">
        <v>204</v>
      </c>
      <c r="D214" s="9" t="s">
        <v>92</v>
      </c>
      <c r="E214" s="5" t="n">
        <v>4</v>
      </c>
      <c r="F214" s="5" t="s">
        <v>2309</v>
      </c>
      <c r="G214" s="11" t="s">
        <v>2310</v>
      </c>
      <c r="H214" s="5" t="s">
        <v>2311</v>
      </c>
      <c r="I214" s="11" t="s">
        <v>2312</v>
      </c>
      <c r="J214" s="5" t="s">
        <v>2313</v>
      </c>
      <c r="K214" s="5" t="s">
        <v>2314</v>
      </c>
      <c r="L214" s="11" t="s">
        <v>2315</v>
      </c>
      <c r="M214" s="11" t="s">
        <v>2316</v>
      </c>
      <c r="N214" s="5" t="n">
        <f aca="false">LEN(L214)</f>
        <v>25</v>
      </c>
      <c r="O214" s="5" t="n">
        <f aca="false">LEN(M214)</f>
        <v>25</v>
      </c>
      <c r="P214" s="12" t="n">
        <f aca="false">IF(N214=0,"",(N214-LEN(SUBSTITUTE(SUBSTITUTE(L214,"G",""),"C","")))/N214)</f>
        <v>0.48</v>
      </c>
      <c r="Q214" s="12" t="n">
        <f aca="false">IF(O214=0,"",(O214-LEN(SUBSTITUTE(SUBSTITUTE(M214,"G",""),"C","")))/O214)</f>
        <v>0.48</v>
      </c>
      <c r="R214" s="5"/>
      <c r="S214" s="5" t="s">
        <v>382</v>
      </c>
      <c r="T214" s="5"/>
      <c r="U214" s="5" t="s">
        <v>383</v>
      </c>
      <c r="V214" s="5" t="s">
        <v>2289</v>
      </c>
      <c r="W214" s="5"/>
      <c r="X214" s="13" t="s">
        <v>385</v>
      </c>
      <c r="Y214" s="5"/>
    </row>
    <row r="215" customFormat="false" ht="15" hidden="false" customHeight="false" outlineLevel="0" collapsed="false">
      <c r="A215" s="5" t="s">
        <v>2317</v>
      </c>
      <c r="B215" s="5" t="s">
        <v>203</v>
      </c>
      <c r="C215" s="5" t="s">
        <v>204</v>
      </c>
      <c r="D215" s="9" t="s">
        <v>92</v>
      </c>
      <c r="E215" s="5" t="n">
        <v>5</v>
      </c>
      <c r="F215" s="5" t="s">
        <v>2318</v>
      </c>
      <c r="G215" s="11" t="s">
        <v>2319</v>
      </c>
      <c r="H215" s="5" t="s">
        <v>2320</v>
      </c>
      <c r="I215" s="11" t="s">
        <v>2321</v>
      </c>
      <c r="J215" s="5" t="s">
        <v>2322</v>
      </c>
      <c r="K215" s="5" t="s">
        <v>2323</v>
      </c>
      <c r="L215" s="11" t="s">
        <v>2324</v>
      </c>
      <c r="M215" s="11" t="s">
        <v>2325</v>
      </c>
      <c r="N215" s="5" t="n">
        <f aca="false">LEN(L215)</f>
        <v>25</v>
      </c>
      <c r="O215" s="5" t="n">
        <f aca="false">LEN(M215)</f>
        <v>25</v>
      </c>
      <c r="P215" s="12" t="n">
        <f aca="false">IF(N215=0,"",(N215-LEN(SUBSTITUTE(SUBSTITUTE(L215,"G",""),"C","")))/N215)</f>
        <v>0.36</v>
      </c>
      <c r="Q215" s="12" t="n">
        <f aca="false">IF(O215=0,"",(O215-LEN(SUBSTITUTE(SUBSTITUTE(M215,"G",""),"C","")))/O215)</f>
        <v>0.56</v>
      </c>
      <c r="R215" s="5"/>
      <c r="S215" s="5" t="s">
        <v>382</v>
      </c>
      <c r="T215" s="5"/>
      <c r="U215" s="5" t="s">
        <v>383</v>
      </c>
      <c r="V215" s="5" t="s">
        <v>2289</v>
      </c>
      <c r="W215" s="5"/>
      <c r="X215" s="13" t="s">
        <v>385</v>
      </c>
      <c r="Y215" s="5"/>
    </row>
    <row r="216" customFormat="false" ht="15" hidden="false" customHeight="false" outlineLevel="0" collapsed="false">
      <c r="A216" s="5" t="s">
        <v>2326</v>
      </c>
      <c r="B216" s="5" t="s">
        <v>203</v>
      </c>
      <c r="C216" s="5" t="s">
        <v>204</v>
      </c>
      <c r="D216" s="9" t="s">
        <v>92</v>
      </c>
      <c r="E216" s="5" t="n">
        <v>6</v>
      </c>
      <c r="F216" s="5" t="s">
        <v>2327</v>
      </c>
      <c r="G216" s="11" t="s">
        <v>2328</v>
      </c>
      <c r="H216" s="5" t="s">
        <v>2329</v>
      </c>
      <c r="I216" s="11" t="s">
        <v>2330</v>
      </c>
      <c r="J216" s="5" t="s">
        <v>2331</v>
      </c>
      <c r="K216" s="5" t="s">
        <v>2332</v>
      </c>
      <c r="L216" s="11" t="s">
        <v>2333</v>
      </c>
      <c r="M216" s="11" t="s">
        <v>2334</v>
      </c>
      <c r="N216" s="5" t="n">
        <f aca="false">LEN(L216)</f>
        <v>25</v>
      </c>
      <c r="O216" s="5" t="n">
        <f aca="false">LEN(M216)</f>
        <v>25</v>
      </c>
      <c r="P216" s="12" t="n">
        <f aca="false">IF(N216=0,"",(N216-LEN(SUBSTITUTE(SUBSTITUTE(L216,"G",""),"C","")))/N216)</f>
        <v>0.52</v>
      </c>
      <c r="Q216" s="12" t="n">
        <f aca="false">IF(O216=0,"",(O216-LEN(SUBSTITUTE(SUBSTITUTE(M216,"G",""),"C","")))/O216)</f>
        <v>0.52</v>
      </c>
      <c r="R216" s="5"/>
      <c r="S216" s="5" t="s">
        <v>382</v>
      </c>
      <c r="T216" s="5"/>
      <c r="U216" s="5" t="s">
        <v>383</v>
      </c>
      <c r="V216" s="5" t="s">
        <v>2289</v>
      </c>
      <c r="W216" s="5"/>
      <c r="X216" s="13" t="s">
        <v>385</v>
      </c>
      <c r="Y216" s="5"/>
    </row>
    <row r="217" customFormat="false" ht="15" hidden="false" customHeight="false" outlineLevel="0" collapsed="false">
      <c r="A217" s="5" t="s">
        <v>2335</v>
      </c>
      <c r="B217" s="5" t="s">
        <v>203</v>
      </c>
      <c r="C217" s="5" t="s">
        <v>204</v>
      </c>
      <c r="D217" s="9" t="s">
        <v>92</v>
      </c>
      <c r="E217" s="5" t="n">
        <v>7</v>
      </c>
      <c r="F217" s="5" t="s">
        <v>2336</v>
      </c>
      <c r="G217" s="11" t="s">
        <v>2337</v>
      </c>
      <c r="H217" s="5" t="s">
        <v>2338</v>
      </c>
      <c r="I217" s="11" t="s">
        <v>2339</v>
      </c>
      <c r="J217" s="5" t="s">
        <v>2340</v>
      </c>
      <c r="K217" s="5" t="s">
        <v>2341</v>
      </c>
      <c r="L217" s="11" t="s">
        <v>2342</v>
      </c>
      <c r="M217" s="11" t="s">
        <v>2343</v>
      </c>
      <c r="N217" s="5" t="n">
        <f aca="false">LEN(L217)</f>
        <v>25</v>
      </c>
      <c r="O217" s="5" t="n">
        <f aca="false">LEN(M217)</f>
        <v>25</v>
      </c>
      <c r="P217" s="12" t="n">
        <f aca="false">IF(N217=0,"",(N217-LEN(SUBSTITUTE(SUBSTITUTE(L217,"G",""),"C","")))/N217)</f>
        <v>0.6</v>
      </c>
      <c r="Q217" s="12" t="n">
        <f aca="false">IF(O217=0,"",(O217-LEN(SUBSTITUTE(SUBSTITUTE(M217,"G",""),"C","")))/O217)</f>
        <v>0.6</v>
      </c>
      <c r="R217" s="5"/>
      <c r="S217" s="5" t="s">
        <v>382</v>
      </c>
      <c r="T217" s="5"/>
      <c r="U217" s="5" t="s">
        <v>383</v>
      </c>
      <c r="V217" s="5" t="s">
        <v>2289</v>
      </c>
      <c r="W217" s="5"/>
      <c r="X217" s="13" t="s">
        <v>385</v>
      </c>
      <c r="Y217" s="5"/>
    </row>
    <row r="218" customFormat="false" ht="15" hidden="false" customHeight="false" outlineLevel="0" collapsed="false">
      <c r="A218" s="5" t="s">
        <v>2344</v>
      </c>
      <c r="B218" s="5" t="s">
        <v>203</v>
      </c>
      <c r="C218" s="5" t="s">
        <v>204</v>
      </c>
      <c r="D218" s="9" t="s">
        <v>92</v>
      </c>
      <c r="E218" s="5" t="n">
        <v>8</v>
      </c>
      <c r="F218" s="5" t="s">
        <v>2345</v>
      </c>
      <c r="G218" s="11" t="s">
        <v>2346</v>
      </c>
      <c r="H218" s="5" t="s">
        <v>2347</v>
      </c>
      <c r="I218" s="11" t="s">
        <v>2348</v>
      </c>
      <c r="J218" s="5" t="s">
        <v>2349</v>
      </c>
      <c r="K218" s="5" t="s">
        <v>2350</v>
      </c>
      <c r="L218" s="11" t="s">
        <v>2351</v>
      </c>
      <c r="M218" s="11" t="s">
        <v>2352</v>
      </c>
      <c r="N218" s="5" t="n">
        <f aca="false">LEN(L218)</f>
        <v>25</v>
      </c>
      <c r="O218" s="5" t="n">
        <f aca="false">LEN(M218)</f>
        <v>25</v>
      </c>
      <c r="P218" s="12" t="n">
        <f aca="false">IF(N218=0,"",(N218-LEN(SUBSTITUTE(SUBSTITUTE(L218,"G",""),"C","")))/N218)</f>
        <v>0.48</v>
      </c>
      <c r="Q218" s="12" t="n">
        <f aca="false">IF(O218=0,"",(O218-LEN(SUBSTITUTE(SUBSTITUTE(M218,"G",""),"C","")))/O218)</f>
        <v>0.32</v>
      </c>
      <c r="R218" s="5"/>
      <c r="S218" s="5" t="s">
        <v>382</v>
      </c>
      <c r="T218" s="5"/>
      <c r="U218" s="5" t="s">
        <v>383</v>
      </c>
      <c r="V218" s="5" t="s">
        <v>2289</v>
      </c>
      <c r="W218" s="5"/>
      <c r="X218" s="13" t="s">
        <v>385</v>
      </c>
      <c r="Y218" s="5"/>
    </row>
    <row r="219" customFormat="false" ht="15" hidden="false" customHeight="false" outlineLevel="0" collapsed="false">
      <c r="A219" s="5" t="s">
        <v>2353</v>
      </c>
      <c r="B219" s="5" t="s">
        <v>203</v>
      </c>
      <c r="C219" s="5" t="s">
        <v>204</v>
      </c>
      <c r="D219" s="9" t="s">
        <v>92</v>
      </c>
      <c r="E219" s="5" t="n">
        <v>9</v>
      </c>
      <c r="F219" s="5" t="s">
        <v>2354</v>
      </c>
      <c r="G219" s="11" t="s">
        <v>2355</v>
      </c>
      <c r="H219" s="5" t="s">
        <v>2356</v>
      </c>
      <c r="I219" s="11" t="s">
        <v>2357</v>
      </c>
      <c r="J219" s="5" t="s">
        <v>2358</v>
      </c>
      <c r="K219" s="5" t="s">
        <v>2359</v>
      </c>
      <c r="L219" s="11" t="s">
        <v>2360</v>
      </c>
      <c r="M219" s="11" t="s">
        <v>2361</v>
      </c>
      <c r="N219" s="5" t="n">
        <f aca="false">LEN(L219)</f>
        <v>25</v>
      </c>
      <c r="O219" s="5" t="n">
        <f aca="false">LEN(M219)</f>
        <v>25</v>
      </c>
      <c r="P219" s="12" t="n">
        <f aca="false">IF(N219=0,"",(N219-LEN(SUBSTITUTE(SUBSTITUTE(L219,"G",""),"C","")))/N219)</f>
        <v>0.36</v>
      </c>
      <c r="Q219" s="12" t="n">
        <f aca="false">IF(O219=0,"",(O219-LEN(SUBSTITUTE(SUBSTITUTE(M219,"G",""),"C","")))/O219)</f>
        <v>0.52</v>
      </c>
      <c r="R219" s="5"/>
      <c r="S219" s="5" t="s">
        <v>382</v>
      </c>
      <c r="T219" s="5"/>
      <c r="U219" s="5" t="s">
        <v>383</v>
      </c>
      <c r="V219" s="5" t="s">
        <v>2289</v>
      </c>
      <c r="W219" s="5"/>
      <c r="X219" s="13" t="s">
        <v>385</v>
      </c>
      <c r="Y219" s="5"/>
    </row>
    <row r="220" customFormat="false" ht="15" hidden="false" customHeight="false" outlineLevel="0" collapsed="false">
      <c r="A220" s="5" t="s">
        <v>2362</v>
      </c>
      <c r="B220" s="5" t="s">
        <v>203</v>
      </c>
      <c r="C220" s="5" t="s">
        <v>204</v>
      </c>
      <c r="D220" s="9" t="s">
        <v>92</v>
      </c>
      <c r="E220" s="5" t="n">
        <v>10</v>
      </c>
      <c r="F220" s="5" t="s">
        <v>2363</v>
      </c>
      <c r="G220" s="11" t="s">
        <v>2364</v>
      </c>
      <c r="H220" s="5" t="s">
        <v>2365</v>
      </c>
      <c r="I220" s="11" t="s">
        <v>2366</v>
      </c>
      <c r="J220" s="5" t="s">
        <v>2367</v>
      </c>
      <c r="K220" s="5" t="s">
        <v>2368</v>
      </c>
      <c r="L220" s="11" t="s">
        <v>2369</v>
      </c>
      <c r="M220" s="11" t="s">
        <v>2370</v>
      </c>
      <c r="N220" s="5" t="n">
        <f aca="false">LEN(L220)</f>
        <v>25</v>
      </c>
      <c r="O220" s="5" t="n">
        <f aca="false">LEN(M220)</f>
        <v>25</v>
      </c>
      <c r="P220" s="12" t="n">
        <f aca="false">IF(N220=0,"",(N220-LEN(SUBSTITUTE(SUBSTITUTE(L220,"G",""),"C","")))/N220)</f>
        <v>0.6</v>
      </c>
      <c r="Q220" s="12" t="n">
        <f aca="false">IF(O220=0,"",(O220-LEN(SUBSTITUTE(SUBSTITUTE(M220,"G",""),"C","")))/O220)</f>
        <v>0.52</v>
      </c>
      <c r="R220" s="5"/>
      <c r="S220" s="5" t="s">
        <v>382</v>
      </c>
      <c r="T220" s="5"/>
      <c r="U220" s="5" t="s">
        <v>383</v>
      </c>
      <c r="V220" s="5" t="s">
        <v>2289</v>
      </c>
      <c r="W220" s="5"/>
      <c r="X220" s="13" t="s">
        <v>385</v>
      </c>
      <c r="Y220" s="5"/>
    </row>
    <row r="221" customFormat="false" ht="15" hidden="false" customHeight="false" outlineLevel="0" collapsed="false">
      <c r="A221" s="5" t="s">
        <v>2371</v>
      </c>
      <c r="B221" s="5" t="s">
        <v>203</v>
      </c>
      <c r="C221" s="5" t="s">
        <v>204</v>
      </c>
      <c r="D221" s="9" t="s">
        <v>92</v>
      </c>
      <c r="E221" s="5" t="n">
        <v>11</v>
      </c>
      <c r="F221" s="5" t="s">
        <v>2372</v>
      </c>
      <c r="G221" s="11" t="s">
        <v>2373</v>
      </c>
      <c r="H221" s="5" t="s">
        <v>2374</v>
      </c>
      <c r="I221" s="11" t="s">
        <v>2375</v>
      </c>
      <c r="J221" s="5" t="s">
        <v>2376</v>
      </c>
      <c r="K221" s="5" t="s">
        <v>2377</v>
      </c>
      <c r="L221" s="11" t="s">
        <v>2378</v>
      </c>
      <c r="M221" s="11" t="s">
        <v>2379</v>
      </c>
      <c r="N221" s="5" t="n">
        <f aca="false">LEN(L221)</f>
        <v>25</v>
      </c>
      <c r="O221" s="5" t="n">
        <f aca="false">LEN(M221)</f>
        <v>25</v>
      </c>
      <c r="P221" s="12" t="n">
        <f aca="false">IF(N221=0,"",(N221-LEN(SUBSTITUTE(SUBSTITUTE(L221,"G",""),"C","")))/N221)</f>
        <v>0.44</v>
      </c>
      <c r="Q221" s="12" t="n">
        <f aca="false">IF(O221=0,"",(O221-LEN(SUBSTITUTE(SUBSTITUTE(M221,"G",""),"C","")))/O221)</f>
        <v>0.64</v>
      </c>
      <c r="R221" s="5"/>
      <c r="S221" s="5" t="s">
        <v>382</v>
      </c>
      <c r="T221" s="5"/>
      <c r="U221" s="5" t="s">
        <v>383</v>
      </c>
      <c r="V221" s="5" t="s">
        <v>2289</v>
      </c>
      <c r="W221" s="5"/>
      <c r="X221" s="13" t="s">
        <v>385</v>
      </c>
      <c r="Y221" s="5"/>
    </row>
    <row r="222" customFormat="false" ht="15" hidden="false" customHeight="false" outlineLevel="0" collapsed="false">
      <c r="A222" s="5" t="s">
        <v>2380</v>
      </c>
      <c r="B222" s="5" t="s">
        <v>203</v>
      </c>
      <c r="C222" s="5" t="s">
        <v>204</v>
      </c>
      <c r="D222" s="9" t="s">
        <v>92</v>
      </c>
      <c r="E222" s="5" t="n">
        <v>12</v>
      </c>
      <c r="F222" s="5" t="s">
        <v>2381</v>
      </c>
      <c r="G222" s="11" t="s">
        <v>2382</v>
      </c>
      <c r="H222" s="5" t="s">
        <v>2383</v>
      </c>
      <c r="I222" s="11" t="s">
        <v>2384</v>
      </c>
      <c r="J222" s="5" t="s">
        <v>2385</v>
      </c>
      <c r="K222" s="5" t="s">
        <v>2386</v>
      </c>
      <c r="L222" s="11" t="s">
        <v>2387</v>
      </c>
      <c r="M222" s="11" t="s">
        <v>2388</v>
      </c>
      <c r="N222" s="5" t="n">
        <f aca="false">LEN(L222)</f>
        <v>25</v>
      </c>
      <c r="O222" s="5" t="n">
        <f aca="false">LEN(M222)</f>
        <v>25</v>
      </c>
      <c r="P222" s="12" t="n">
        <f aca="false">IF(N222=0,"",(N222-LEN(SUBSTITUTE(SUBSTITUTE(L222,"G",""),"C","")))/N222)</f>
        <v>0.52</v>
      </c>
      <c r="Q222" s="12" t="n">
        <f aca="false">IF(O222=0,"",(O222-LEN(SUBSTITUTE(SUBSTITUTE(M222,"G",""),"C","")))/O222)</f>
        <v>0.64</v>
      </c>
      <c r="R222" s="5"/>
      <c r="S222" s="5" t="s">
        <v>382</v>
      </c>
      <c r="T222" s="5"/>
      <c r="U222" s="5" t="s">
        <v>383</v>
      </c>
      <c r="V222" s="5" t="s">
        <v>2289</v>
      </c>
      <c r="W222" s="5"/>
      <c r="X222" s="13" t="s">
        <v>385</v>
      </c>
      <c r="Y222" s="5"/>
    </row>
    <row r="223" customFormat="false" ht="15" hidden="false" customHeight="false" outlineLevel="0" collapsed="false">
      <c r="A223" s="5" t="s">
        <v>2389</v>
      </c>
      <c r="B223" s="5" t="s">
        <v>210</v>
      </c>
      <c r="C223" s="5" t="s">
        <v>211</v>
      </c>
      <c r="D223" s="9" t="s">
        <v>92</v>
      </c>
      <c r="E223" s="5" t="n">
        <v>1</v>
      </c>
      <c r="F223" s="5" t="s">
        <v>2390</v>
      </c>
      <c r="G223" s="11" t="s">
        <v>2391</v>
      </c>
      <c r="H223" s="5" t="s">
        <v>2392</v>
      </c>
      <c r="I223" s="11" t="s">
        <v>2393</v>
      </c>
      <c r="J223" s="5" t="s">
        <v>2394</v>
      </c>
      <c r="K223" s="5" t="s">
        <v>2395</v>
      </c>
      <c r="L223" s="11" t="s">
        <v>2396</v>
      </c>
      <c r="M223" s="11" t="s">
        <v>2397</v>
      </c>
      <c r="N223" s="5" t="n">
        <f aca="false">LEN(L223)</f>
        <v>25</v>
      </c>
      <c r="O223" s="5" t="n">
        <f aca="false">LEN(M223)</f>
        <v>25</v>
      </c>
      <c r="P223" s="12" t="n">
        <f aca="false">IF(N223=0,"",(N223-LEN(SUBSTITUTE(SUBSTITUTE(L223,"G",""),"C","")))/N223)</f>
        <v>0.76</v>
      </c>
      <c r="Q223" s="12" t="n">
        <f aca="false">IF(O223=0,"",(O223-LEN(SUBSTITUTE(SUBSTITUTE(M223,"G",""),"C","")))/O223)</f>
        <v>0.8</v>
      </c>
      <c r="R223" s="5"/>
      <c r="S223" s="5" t="s">
        <v>382</v>
      </c>
      <c r="T223" s="5"/>
      <c r="U223" s="5" t="s">
        <v>383</v>
      </c>
      <c r="V223" s="5" t="s">
        <v>2398</v>
      </c>
      <c r="W223" s="5"/>
      <c r="X223" s="13" t="s">
        <v>385</v>
      </c>
      <c r="Y223" s="5"/>
    </row>
    <row r="224" customFormat="false" ht="15" hidden="false" customHeight="false" outlineLevel="0" collapsed="false">
      <c r="A224" s="5" t="s">
        <v>2399</v>
      </c>
      <c r="B224" s="5" t="s">
        <v>210</v>
      </c>
      <c r="C224" s="5" t="s">
        <v>211</v>
      </c>
      <c r="D224" s="9" t="s">
        <v>92</v>
      </c>
      <c r="E224" s="5" t="n">
        <v>2</v>
      </c>
      <c r="F224" s="5" t="s">
        <v>2400</v>
      </c>
      <c r="G224" s="11" t="s">
        <v>2401</v>
      </c>
      <c r="H224" s="5" t="s">
        <v>2402</v>
      </c>
      <c r="I224" s="11" t="s">
        <v>2403</v>
      </c>
      <c r="J224" s="5" t="s">
        <v>2404</v>
      </c>
      <c r="K224" s="5" t="s">
        <v>2405</v>
      </c>
      <c r="L224" s="11" t="s">
        <v>2406</v>
      </c>
      <c r="M224" s="11" t="s">
        <v>2407</v>
      </c>
      <c r="N224" s="5" t="n">
        <f aca="false">LEN(L224)</f>
        <v>25</v>
      </c>
      <c r="O224" s="5" t="n">
        <f aca="false">LEN(M224)</f>
        <v>25</v>
      </c>
      <c r="P224" s="12" t="n">
        <f aca="false">IF(N224=0,"",(N224-LEN(SUBSTITUTE(SUBSTITUTE(L224,"G",""),"C","")))/N224)</f>
        <v>0.6</v>
      </c>
      <c r="Q224" s="12" t="n">
        <f aca="false">IF(O224=0,"",(O224-LEN(SUBSTITUTE(SUBSTITUTE(M224,"G",""),"C","")))/O224)</f>
        <v>0.84</v>
      </c>
      <c r="R224" s="5"/>
      <c r="S224" s="5" t="s">
        <v>382</v>
      </c>
      <c r="T224" s="5"/>
      <c r="U224" s="5" t="s">
        <v>383</v>
      </c>
      <c r="V224" s="5" t="s">
        <v>2398</v>
      </c>
      <c r="W224" s="5"/>
      <c r="X224" s="13" t="s">
        <v>385</v>
      </c>
      <c r="Y224" s="5"/>
    </row>
    <row r="225" customFormat="false" ht="15" hidden="false" customHeight="false" outlineLevel="0" collapsed="false">
      <c r="A225" s="5" t="s">
        <v>2408</v>
      </c>
      <c r="B225" s="5" t="s">
        <v>210</v>
      </c>
      <c r="C225" s="5" t="s">
        <v>211</v>
      </c>
      <c r="D225" s="9" t="s">
        <v>92</v>
      </c>
      <c r="E225" s="5" t="n">
        <v>3</v>
      </c>
      <c r="F225" s="5" t="s">
        <v>2409</v>
      </c>
      <c r="G225" s="11" t="s">
        <v>2410</v>
      </c>
      <c r="H225" s="5" t="s">
        <v>2411</v>
      </c>
      <c r="I225" s="11" t="s">
        <v>2412</v>
      </c>
      <c r="J225" s="5" t="s">
        <v>2413</v>
      </c>
      <c r="K225" s="5" t="s">
        <v>2414</v>
      </c>
      <c r="L225" s="11" t="s">
        <v>2415</v>
      </c>
      <c r="M225" s="11" t="s">
        <v>2416</v>
      </c>
      <c r="N225" s="5" t="n">
        <f aca="false">LEN(L225)</f>
        <v>25</v>
      </c>
      <c r="O225" s="5" t="n">
        <f aca="false">LEN(M225)</f>
        <v>25</v>
      </c>
      <c r="P225" s="12" t="n">
        <f aca="false">IF(N225=0,"",(N225-LEN(SUBSTITUTE(SUBSTITUTE(L225,"G",""),"C","")))/N225)</f>
        <v>0.64</v>
      </c>
      <c r="Q225" s="12" t="n">
        <f aca="false">IF(O225=0,"",(O225-LEN(SUBSTITUTE(SUBSTITUTE(M225,"G",""),"C","")))/O225)</f>
        <v>0.68</v>
      </c>
      <c r="R225" s="5"/>
      <c r="S225" s="5" t="s">
        <v>382</v>
      </c>
      <c r="T225" s="5"/>
      <c r="U225" s="5" t="s">
        <v>383</v>
      </c>
      <c r="V225" s="5" t="s">
        <v>2398</v>
      </c>
      <c r="W225" s="5"/>
      <c r="X225" s="13" t="s">
        <v>385</v>
      </c>
      <c r="Y225" s="5"/>
    </row>
    <row r="226" customFormat="false" ht="15" hidden="false" customHeight="false" outlineLevel="0" collapsed="false">
      <c r="A226" s="5" t="s">
        <v>2417</v>
      </c>
      <c r="B226" s="5" t="s">
        <v>210</v>
      </c>
      <c r="C226" s="5" t="s">
        <v>211</v>
      </c>
      <c r="D226" s="9" t="s">
        <v>92</v>
      </c>
      <c r="E226" s="5" t="n">
        <v>4</v>
      </c>
      <c r="F226" s="5" t="s">
        <v>2418</v>
      </c>
      <c r="G226" s="11" t="s">
        <v>2419</v>
      </c>
      <c r="H226" s="5" t="s">
        <v>2420</v>
      </c>
      <c r="I226" s="11" t="s">
        <v>2421</v>
      </c>
      <c r="J226" s="5" t="s">
        <v>2422</v>
      </c>
      <c r="K226" s="5" t="s">
        <v>2423</v>
      </c>
      <c r="L226" s="11" t="s">
        <v>2424</v>
      </c>
      <c r="M226" s="11" t="s">
        <v>2425</v>
      </c>
      <c r="N226" s="5" t="n">
        <f aca="false">LEN(L226)</f>
        <v>25</v>
      </c>
      <c r="O226" s="5" t="n">
        <f aca="false">LEN(M226)</f>
        <v>25</v>
      </c>
      <c r="P226" s="12" t="n">
        <f aca="false">IF(N226=0,"",(N226-LEN(SUBSTITUTE(SUBSTITUTE(L226,"G",""),"C","")))/N226)</f>
        <v>0.72</v>
      </c>
      <c r="Q226" s="12" t="n">
        <f aca="false">IF(O226=0,"",(O226-LEN(SUBSTITUTE(SUBSTITUTE(M226,"G",""),"C","")))/O226)</f>
        <v>0.8</v>
      </c>
      <c r="R226" s="5"/>
      <c r="S226" s="5" t="s">
        <v>382</v>
      </c>
      <c r="T226" s="5"/>
      <c r="U226" s="5" t="s">
        <v>383</v>
      </c>
      <c r="V226" s="5" t="s">
        <v>2398</v>
      </c>
      <c r="W226" s="5"/>
      <c r="X226" s="13" t="s">
        <v>385</v>
      </c>
      <c r="Y226" s="5"/>
    </row>
    <row r="227" customFormat="false" ht="15" hidden="false" customHeight="false" outlineLevel="0" collapsed="false">
      <c r="A227" s="5" t="s">
        <v>2426</v>
      </c>
      <c r="B227" s="5" t="s">
        <v>210</v>
      </c>
      <c r="C227" s="5" t="s">
        <v>211</v>
      </c>
      <c r="D227" s="9" t="s">
        <v>92</v>
      </c>
      <c r="E227" s="5" t="n">
        <v>5</v>
      </c>
      <c r="F227" s="5" t="s">
        <v>2427</v>
      </c>
      <c r="G227" s="11" t="s">
        <v>2428</v>
      </c>
      <c r="H227" s="5" t="s">
        <v>2429</v>
      </c>
      <c r="I227" s="11" t="s">
        <v>2430</v>
      </c>
      <c r="J227" s="5" t="s">
        <v>2431</v>
      </c>
      <c r="K227" s="5" t="s">
        <v>2432</v>
      </c>
      <c r="L227" s="11" t="s">
        <v>2433</v>
      </c>
      <c r="M227" s="11" t="s">
        <v>2434</v>
      </c>
      <c r="N227" s="5" t="n">
        <f aca="false">LEN(L227)</f>
        <v>25</v>
      </c>
      <c r="O227" s="5" t="n">
        <f aca="false">LEN(M227)</f>
        <v>25</v>
      </c>
      <c r="P227" s="12" t="n">
        <f aca="false">IF(N227=0,"",(N227-LEN(SUBSTITUTE(SUBSTITUTE(L227,"G",""),"C","")))/N227)</f>
        <v>0.72</v>
      </c>
      <c r="Q227" s="12" t="n">
        <f aca="false">IF(O227=0,"",(O227-LEN(SUBSTITUTE(SUBSTITUTE(M227,"G",""),"C","")))/O227)</f>
        <v>0.4</v>
      </c>
      <c r="R227" s="5"/>
      <c r="S227" s="5" t="s">
        <v>382</v>
      </c>
      <c r="T227" s="5"/>
      <c r="U227" s="5" t="s">
        <v>383</v>
      </c>
      <c r="V227" s="5" t="s">
        <v>2398</v>
      </c>
      <c r="W227" s="5"/>
      <c r="X227" s="13" t="s">
        <v>385</v>
      </c>
      <c r="Y227" s="5"/>
    </row>
    <row r="228" customFormat="false" ht="15" hidden="false" customHeight="false" outlineLevel="0" collapsed="false">
      <c r="A228" s="5" t="s">
        <v>2435</v>
      </c>
      <c r="B228" s="5" t="s">
        <v>210</v>
      </c>
      <c r="C228" s="5" t="s">
        <v>211</v>
      </c>
      <c r="D228" s="9" t="s">
        <v>92</v>
      </c>
      <c r="E228" s="5" t="n">
        <v>6</v>
      </c>
      <c r="F228" s="5" t="s">
        <v>2436</v>
      </c>
      <c r="G228" s="11" t="s">
        <v>2437</v>
      </c>
      <c r="H228" s="5" t="s">
        <v>2438</v>
      </c>
      <c r="I228" s="11" t="s">
        <v>2439</v>
      </c>
      <c r="J228" s="5" t="s">
        <v>2440</v>
      </c>
      <c r="K228" s="5" t="s">
        <v>2441</v>
      </c>
      <c r="L228" s="11" t="s">
        <v>2442</v>
      </c>
      <c r="M228" s="11" t="s">
        <v>2443</v>
      </c>
      <c r="N228" s="5" t="n">
        <f aca="false">LEN(L228)</f>
        <v>25</v>
      </c>
      <c r="O228" s="5" t="n">
        <f aca="false">LEN(M228)</f>
        <v>25</v>
      </c>
      <c r="P228" s="12" t="n">
        <f aca="false">IF(N228=0,"",(N228-LEN(SUBSTITUTE(SUBSTITUTE(L228,"G",""),"C","")))/N228)</f>
        <v>0.72</v>
      </c>
      <c r="Q228" s="12" t="n">
        <f aca="false">IF(O228=0,"",(O228-LEN(SUBSTITUTE(SUBSTITUTE(M228,"G",""),"C","")))/O228)</f>
        <v>0.72</v>
      </c>
      <c r="R228" s="5"/>
      <c r="S228" s="5" t="s">
        <v>382</v>
      </c>
      <c r="T228" s="5"/>
      <c r="U228" s="5" t="s">
        <v>383</v>
      </c>
      <c r="V228" s="5" t="s">
        <v>2398</v>
      </c>
      <c r="W228" s="5"/>
      <c r="X228" s="13" t="s">
        <v>385</v>
      </c>
      <c r="Y228" s="5"/>
    </row>
    <row r="229" customFormat="false" ht="15" hidden="false" customHeight="false" outlineLevel="0" collapsed="false">
      <c r="A229" s="5" t="s">
        <v>2444</v>
      </c>
      <c r="B229" s="5" t="s">
        <v>210</v>
      </c>
      <c r="C229" s="5" t="s">
        <v>211</v>
      </c>
      <c r="D229" s="9" t="s">
        <v>92</v>
      </c>
      <c r="E229" s="5" t="n">
        <v>7</v>
      </c>
      <c r="F229" s="5" t="s">
        <v>2445</v>
      </c>
      <c r="G229" s="11" t="s">
        <v>2446</v>
      </c>
      <c r="H229" s="5" t="s">
        <v>2447</v>
      </c>
      <c r="I229" s="11" t="s">
        <v>2448</v>
      </c>
      <c r="J229" s="5" t="s">
        <v>2449</v>
      </c>
      <c r="K229" s="5" t="s">
        <v>2450</v>
      </c>
      <c r="L229" s="11" t="s">
        <v>2451</v>
      </c>
      <c r="M229" s="11" t="s">
        <v>2452</v>
      </c>
      <c r="N229" s="5" t="n">
        <f aca="false">LEN(L229)</f>
        <v>25</v>
      </c>
      <c r="O229" s="5" t="n">
        <f aca="false">LEN(M229)</f>
        <v>25</v>
      </c>
      <c r="P229" s="12" t="n">
        <f aca="false">IF(N229=0,"",(N229-LEN(SUBSTITUTE(SUBSTITUTE(L229,"G",""),"C","")))/N229)</f>
        <v>0.8</v>
      </c>
      <c r="Q229" s="12" t="n">
        <f aca="false">IF(O229=0,"",(O229-LEN(SUBSTITUTE(SUBSTITUTE(M229,"G",""),"C","")))/O229)</f>
        <v>0.6</v>
      </c>
      <c r="R229" s="5"/>
      <c r="S229" s="5" t="s">
        <v>382</v>
      </c>
      <c r="T229" s="5"/>
      <c r="U229" s="5" t="s">
        <v>383</v>
      </c>
      <c r="V229" s="5" t="s">
        <v>2398</v>
      </c>
      <c r="W229" s="5"/>
      <c r="X229" s="13" t="s">
        <v>385</v>
      </c>
      <c r="Y229" s="5"/>
    </row>
    <row r="230" customFormat="false" ht="15" hidden="false" customHeight="false" outlineLevel="0" collapsed="false">
      <c r="A230" s="5" t="s">
        <v>2453</v>
      </c>
      <c r="B230" s="5" t="s">
        <v>210</v>
      </c>
      <c r="C230" s="5" t="s">
        <v>211</v>
      </c>
      <c r="D230" s="9" t="s">
        <v>92</v>
      </c>
      <c r="E230" s="5" t="n">
        <v>8</v>
      </c>
      <c r="F230" s="5" t="s">
        <v>2454</v>
      </c>
      <c r="G230" s="11" t="s">
        <v>2455</v>
      </c>
      <c r="H230" s="5" t="s">
        <v>2456</v>
      </c>
      <c r="I230" s="11" t="s">
        <v>2457</v>
      </c>
      <c r="J230" s="5" t="s">
        <v>2458</v>
      </c>
      <c r="K230" s="5" t="s">
        <v>2459</v>
      </c>
      <c r="L230" s="11" t="s">
        <v>2460</v>
      </c>
      <c r="M230" s="11" t="s">
        <v>2461</v>
      </c>
      <c r="N230" s="5" t="n">
        <f aca="false">LEN(L230)</f>
        <v>25</v>
      </c>
      <c r="O230" s="5" t="n">
        <f aca="false">LEN(M230)</f>
        <v>25</v>
      </c>
      <c r="P230" s="12" t="n">
        <f aca="false">IF(N230=0,"",(N230-LEN(SUBSTITUTE(SUBSTITUTE(L230,"G",""),"C","")))/N230)</f>
        <v>0.72</v>
      </c>
      <c r="Q230" s="12" t="n">
        <f aca="false">IF(O230=0,"",(O230-LEN(SUBSTITUTE(SUBSTITUTE(M230,"G",""),"C","")))/O230)</f>
        <v>0.88</v>
      </c>
      <c r="R230" s="5"/>
      <c r="S230" s="5" t="s">
        <v>382</v>
      </c>
      <c r="T230" s="5"/>
      <c r="U230" s="5" t="s">
        <v>383</v>
      </c>
      <c r="V230" s="5" t="s">
        <v>2398</v>
      </c>
      <c r="W230" s="5"/>
      <c r="X230" s="13" t="s">
        <v>385</v>
      </c>
      <c r="Y230" s="5"/>
    </row>
    <row r="231" customFormat="false" ht="15" hidden="false" customHeight="false" outlineLevel="0" collapsed="false">
      <c r="A231" s="5" t="s">
        <v>2462</v>
      </c>
      <c r="B231" s="5" t="s">
        <v>215</v>
      </c>
      <c r="C231" s="5" t="s">
        <v>81</v>
      </c>
      <c r="D231" s="9" t="s">
        <v>92</v>
      </c>
      <c r="E231" s="5" t="n">
        <v>1</v>
      </c>
      <c r="F231" s="5" t="s">
        <v>2463</v>
      </c>
      <c r="G231" s="11" t="s">
        <v>2464</v>
      </c>
      <c r="H231" s="5" t="s">
        <v>2465</v>
      </c>
      <c r="I231" s="11" t="s">
        <v>2466</v>
      </c>
      <c r="J231" s="5" t="s">
        <v>2467</v>
      </c>
      <c r="K231" s="5" t="s">
        <v>2468</v>
      </c>
      <c r="L231" s="11" t="s">
        <v>2469</v>
      </c>
      <c r="M231" s="11" t="s">
        <v>2470</v>
      </c>
      <c r="N231" s="5" t="n">
        <f aca="false">LEN(L231)</f>
        <v>25</v>
      </c>
      <c r="O231" s="5" t="n">
        <f aca="false">LEN(M231)</f>
        <v>25</v>
      </c>
      <c r="P231" s="12" t="n">
        <f aca="false">IF(N231=0,"",(N231-LEN(SUBSTITUTE(SUBSTITUTE(L231,"G",""),"C","")))/N231)</f>
        <v>0.56</v>
      </c>
      <c r="Q231" s="12" t="n">
        <f aca="false">IF(O231=0,"",(O231-LEN(SUBSTITUTE(SUBSTITUTE(M231,"G",""),"C","")))/O231)</f>
        <v>0.6</v>
      </c>
      <c r="R231" s="5"/>
      <c r="S231" s="5" t="s">
        <v>382</v>
      </c>
      <c r="T231" s="5"/>
      <c r="U231" s="5" t="s">
        <v>383</v>
      </c>
      <c r="V231" s="5" t="s">
        <v>821</v>
      </c>
      <c r="W231" s="5"/>
      <c r="X231" s="13" t="s">
        <v>385</v>
      </c>
      <c r="Y231" s="5"/>
    </row>
    <row r="232" customFormat="false" ht="15" hidden="false" customHeight="false" outlineLevel="0" collapsed="false">
      <c r="A232" s="5" t="s">
        <v>2471</v>
      </c>
      <c r="B232" s="5" t="s">
        <v>215</v>
      </c>
      <c r="C232" s="5" t="s">
        <v>81</v>
      </c>
      <c r="D232" s="9" t="s">
        <v>92</v>
      </c>
      <c r="E232" s="5" t="n">
        <v>2</v>
      </c>
      <c r="F232" s="5" t="s">
        <v>2472</v>
      </c>
      <c r="G232" s="11" t="s">
        <v>2473</v>
      </c>
      <c r="H232" s="5" t="s">
        <v>2474</v>
      </c>
      <c r="I232" s="11" t="s">
        <v>2475</v>
      </c>
      <c r="J232" s="5" t="s">
        <v>2476</v>
      </c>
      <c r="K232" s="5" t="s">
        <v>2477</v>
      </c>
      <c r="L232" s="11" t="s">
        <v>2478</v>
      </c>
      <c r="M232" s="11" t="s">
        <v>2479</v>
      </c>
      <c r="N232" s="5" t="n">
        <f aca="false">LEN(L232)</f>
        <v>25</v>
      </c>
      <c r="O232" s="5" t="n">
        <f aca="false">LEN(M232)</f>
        <v>25</v>
      </c>
      <c r="P232" s="12" t="n">
        <f aca="false">IF(N232=0,"",(N232-LEN(SUBSTITUTE(SUBSTITUTE(L232,"G",""),"C","")))/N232)</f>
        <v>0.52</v>
      </c>
      <c r="Q232" s="12" t="n">
        <f aca="false">IF(O232=0,"",(O232-LEN(SUBSTITUTE(SUBSTITUTE(M232,"G",""),"C","")))/O232)</f>
        <v>0.44</v>
      </c>
      <c r="R232" s="5"/>
      <c r="S232" s="5" t="s">
        <v>382</v>
      </c>
      <c r="T232" s="5"/>
      <c r="U232" s="5" t="s">
        <v>383</v>
      </c>
      <c r="V232" s="5" t="s">
        <v>821</v>
      </c>
      <c r="W232" s="5"/>
      <c r="X232" s="13" t="s">
        <v>385</v>
      </c>
      <c r="Y232" s="5"/>
    </row>
    <row r="233" customFormat="false" ht="15" hidden="false" customHeight="false" outlineLevel="0" collapsed="false">
      <c r="A233" s="5" t="s">
        <v>2480</v>
      </c>
      <c r="B233" s="5" t="s">
        <v>215</v>
      </c>
      <c r="C233" s="5" t="s">
        <v>81</v>
      </c>
      <c r="D233" s="9" t="s">
        <v>92</v>
      </c>
      <c r="E233" s="5" t="n">
        <v>3</v>
      </c>
      <c r="F233" s="5" t="s">
        <v>2481</v>
      </c>
      <c r="G233" s="11" t="s">
        <v>2482</v>
      </c>
      <c r="H233" s="5" t="s">
        <v>2483</v>
      </c>
      <c r="I233" s="11" t="s">
        <v>2484</v>
      </c>
      <c r="J233" s="5" t="s">
        <v>2485</v>
      </c>
      <c r="K233" s="5" t="s">
        <v>2486</v>
      </c>
      <c r="L233" s="11" t="s">
        <v>2487</v>
      </c>
      <c r="M233" s="11" t="s">
        <v>2488</v>
      </c>
      <c r="N233" s="5" t="n">
        <f aca="false">LEN(L233)</f>
        <v>25</v>
      </c>
      <c r="O233" s="5" t="n">
        <f aca="false">LEN(M233)</f>
        <v>25</v>
      </c>
      <c r="P233" s="12" t="n">
        <f aca="false">IF(N233=0,"",(N233-LEN(SUBSTITUTE(SUBSTITUTE(L233,"G",""),"C","")))/N233)</f>
        <v>0.68</v>
      </c>
      <c r="Q233" s="12" t="n">
        <f aca="false">IF(O233=0,"",(O233-LEN(SUBSTITUTE(SUBSTITUTE(M233,"G",""),"C","")))/O233)</f>
        <v>0.48</v>
      </c>
      <c r="R233" s="5"/>
      <c r="S233" s="5" t="s">
        <v>382</v>
      </c>
      <c r="T233" s="5"/>
      <c r="U233" s="5" t="s">
        <v>383</v>
      </c>
      <c r="V233" s="5" t="s">
        <v>821</v>
      </c>
      <c r="W233" s="5"/>
      <c r="X233" s="13" t="s">
        <v>385</v>
      </c>
      <c r="Y233" s="5"/>
    </row>
    <row r="234" customFormat="false" ht="15" hidden="false" customHeight="false" outlineLevel="0" collapsed="false">
      <c r="A234" s="5" t="s">
        <v>2489</v>
      </c>
      <c r="B234" s="5" t="s">
        <v>217</v>
      </c>
      <c r="C234" s="5" t="s">
        <v>89</v>
      </c>
      <c r="D234" s="9" t="s">
        <v>92</v>
      </c>
      <c r="E234" s="5" t="n">
        <v>1</v>
      </c>
      <c r="F234" s="5" t="s">
        <v>2490</v>
      </c>
      <c r="G234" s="11" t="s">
        <v>2491</v>
      </c>
      <c r="H234" s="5" t="s">
        <v>2492</v>
      </c>
      <c r="I234" s="11" t="s">
        <v>2493</v>
      </c>
      <c r="J234" s="5" t="s">
        <v>2494</v>
      </c>
      <c r="K234" s="5" t="s">
        <v>2495</v>
      </c>
      <c r="L234" s="11" t="s">
        <v>2496</v>
      </c>
      <c r="M234" s="11" t="s">
        <v>2497</v>
      </c>
      <c r="N234" s="5" t="n">
        <f aca="false">LEN(L234)</f>
        <v>25</v>
      </c>
      <c r="O234" s="5" t="n">
        <f aca="false">LEN(M234)</f>
        <v>25</v>
      </c>
      <c r="P234" s="12" t="n">
        <f aca="false">IF(N234=0,"",(N234-LEN(SUBSTITUTE(SUBSTITUTE(L234,"G",""),"C","")))/N234)</f>
        <v>0.52</v>
      </c>
      <c r="Q234" s="12" t="n">
        <f aca="false">IF(O234=0,"",(O234-LEN(SUBSTITUTE(SUBSTITUTE(M234,"G",""),"C","")))/O234)</f>
        <v>0.32</v>
      </c>
      <c r="R234" s="5"/>
      <c r="S234" s="5" t="s">
        <v>382</v>
      </c>
      <c r="T234" s="5"/>
      <c r="U234" s="5" t="s">
        <v>383</v>
      </c>
      <c r="V234" s="5" t="s">
        <v>876</v>
      </c>
      <c r="W234" s="5"/>
      <c r="X234" s="13" t="s">
        <v>385</v>
      </c>
      <c r="Y234" s="5"/>
    </row>
    <row r="235" customFormat="false" ht="15" hidden="false" customHeight="false" outlineLevel="0" collapsed="false">
      <c r="A235" s="5" t="s">
        <v>2498</v>
      </c>
      <c r="B235" s="5" t="s">
        <v>217</v>
      </c>
      <c r="C235" s="5" t="s">
        <v>89</v>
      </c>
      <c r="D235" s="9" t="s">
        <v>92</v>
      </c>
      <c r="E235" s="5" t="n">
        <v>2</v>
      </c>
      <c r="F235" s="5" t="s">
        <v>2499</v>
      </c>
      <c r="G235" s="11" t="s">
        <v>2500</v>
      </c>
      <c r="H235" s="5" t="s">
        <v>2501</v>
      </c>
      <c r="I235" s="11" t="s">
        <v>2502</v>
      </c>
      <c r="J235" s="5" t="s">
        <v>2503</v>
      </c>
      <c r="K235" s="5" t="s">
        <v>2504</v>
      </c>
      <c r="L235" s="11" t="s">
        <v>874</v>
      </c>
      <c r="M235" s="11" t="s">
        <v>875</v>
      </c>
      <c r="N235" s="5" t="n">
        <f aca="false">LEN(L235)</f>
        <v>25</v>
      </c>
      <c r="O235" s="5" t="n">
        <f aca="false">LEN(M235)</f>
        <v>25</v>
      </c>
      <c r="P235" s="12" t="n">
        <f aca="false">IF(N235=0,"",(N235-LEN(SUBSTITUTE(SUBSTITUTE(L235,"G",""),"C","")))/N235)</f>
        <v>0.72</v>
      </c>
      <c r="Q235" s="12" t="n">
        <f aca="false">IF(O235=0,"",(O235-LEN(SUBSTITUTE(SUBSTITUTE(M235,"G",""),"C","")))/O235)</f>
        <v>0.48</v>
      </c>
      <c r="R235" s="5"/>
      <c r="S235" s="5" t="s">
        <v>382</v>
      </c>
      <c r="T235" s="5"/>
      <c r="U235" s="5" t="s">
        <v>383</v>
      </c>
      <c r="V235" s="5" t="s">
        <v>876</v>
      </c>
      <c r="W235" s="5"/>
      <c r="X235" s="13" t="s">
        <v>385</v>
      </c>
      <c r="Y235" s="5"/>
    </row>
    <row r="236" customFormat="false" ht="15" hidden="false" customHeight="false" outlineLevel="0" collapsed="false">
      <c r="A236" s="5" t="s">
        <v>2505</v>
      </c>
      <c r="B236" s="5" t="s">
        <v>217</v>
      </c>
      <c r="C236" s="5" t="s">
        <v>89</v>
      </c>
      <c r="D236" s="9" t="s">
        <v>92</v>
      </c>
      <c r="E236" s="5" t="n">
        <v>3</v>
      </c>
      <c r="F236" s="5" t="s">
        <v>2506</v>
      </c>
      <c r="G236" s="11" t="s">
        <v>2507</v>
      </c>
      <c r="H236" s="5" t="s">
        <v>2508</v>
      </c>
      <c r="I236" s="11" t="s">
        <v>2509</v>
      </c>
      <c r="J236" s="5" t="s">
        <v>2510</v>
      </c>
      <c r="K236" s="5" t="s">
        <v>2511</v>
      </c>
      <c r="L236" s="11" t="s">
        <v>884</v>
      </c>
      <c r="M236" s="11" t="s">
        <v>885</v>
      </c>
      <c r="N236" s="5" t="n">
        <f aca="false">LEN(L236)</f>
        <v>25</v>
      </c>
      <c r="O236" s="5" t="n">
        <f aca="false">LEN(M236)</f>
        <v>25</v>
      </c>
      <c r="P236" s="12" t="n">
        <f aca="false">IF(N236=0,"",(N236-LEN(SUBSTITUTE(SUBSTITUTE(L236,"G",""),"C","")))/N236)</f>
        <v>0.72</v>
      </c>
      <c r="Q236" s="12" t="n">
        <f aca="false">IF(O236=0,"",(O236-LEN(SUBSTITUTE(SUBSTITUTE(M236,"G",""),"C","")))/O236)</f>
        <v>0.68</v>
      </c>
      <c r="R236" s="5"/>
      <c r="S236" s="5" t="s">
        <v>382</v>
      </c>
      <c r="T236" s="5"/>
      <c r="U236" s="5" t="s">
        <v>383</v>
      </c>
      <c r="V236" s="5" t="s">
        <v>876</v>
      </c>
      <c r="W236" s="5"/>
      <c r="X236" s="13" t="s">
        <v>385</v>
      </c>
      <c r="Y236" s="5"/>
    </row>
    <row r="237" customFormat="false" ht="15" hidden="false" customHeight="false" outlineLevel="0" collapsed="false">
      <c r="A237" s="5" t="s">
        <v>2512</v>
      </c>
      <c r="B237" s="5" t="s">
        <v>217</v>
      </c>
      <c r="C237" s="5" t="s">
        <v>89</v>
      </c>
      <c r="D237" s="9" t="s">
        <v>92</v>
      </c>
      <c r="E237" s="5" t="n">
        <v>4</v>
      </c>
      <c r="F237" s="5" t="s">
        <v>2513</v>
      </c>
      <c r="G237" s="11" t="s">
        <v>2514</v>
      </c>
      <c r="H237" s="5" t="s">
        <v>2515</v>
      </c>
      <c r="I237" s="11" t="s">
        <v>2516</v>
      </c>
      <c r="J237" s="5" t="s">
        <v>2517</v>
      </c>
      <c r="K237" s="5" t="s">
        <v>2518</v>
      </c>
      <c r="L237" s="11" t="s">
        <v>893</v>
      </c>
      <c r="M237" s="11" t="s">
        <v>894</v>
      </c>
      <c r="N237" s="5" t="n">
        <f aca="false">LEN(L237)</f>
        <v>25</v>
      </c>
      <c r="O237" s="5" t="n">
        <f aca="false">LEN(M237)</f>
        <v>25</v>
      </c>
      <c r="P237" s="12" t="n">
        <f aca="false">IF(N237=0,"",(N237-LEN(SUBSTITUTE(SUBSTITUTE(L237,"G",""),"C","")))/N237)</f>
        <v>0.64</v>
      </c>
      <c r="Q237" s="12" t="n">
        <f aca="false">IF(O237=0,"",(O237-LEN(SUBSTITUTE(SUBSTITUTE(M237,"G",""),"C","")))/O237)</f>
        <v>0.6</v>
      </c>
      <c r="R237" s="5"/>
      <c r="S237" s="5" t="s">
        <v>382</v>
      </c>
      <c r="T237" s="5"/>
      <c r="U237" s="5" t="s">
        <v>383</v>
      </c>
      <c r="V237" s="5" t="s">
        <v>876</v>
      </c>
      <c r="W237" s="5"/>
      <c r="X237" s="13" t="s">
        <v>385</v>
      </c>
      <c r="Y237" s="5"/>
    </row>
    <row r="238" customFormat="false" ht="15" hidden="false" customHeight="false" outlineLevel="0" collapsed="false">
      <c r="A238" s="5" t="s">
        <v>2519</v>
      </c>
      <c r="B238" s="5" t="s">
        <v>217</v>
      </c>
      <c r="C238" s="5" t="s">
        <v>89</v>
      </c>
      <c r="D238" s="9" t="s">
        <v>92</v>
      </c>
      <c r="E238" s="5" t="n">
        <v>5</v>
      </c>
      <c r="F238" s="5" t="s">
        <v>2520</v>
      </c>
      <c r="G238" s="11" t="s">
        <v>2521</v>
      </c>
      <c r="H238" s="5" t="s">
        <v>2522</v>
      </c>
      <c r="I238" s="11" t="s">
        <v>2523</v>
      </c>
      <c r="J238" s="5" t="s">
        <v>2524</v>
      </c>
      <c r="K238" s="5" t="s">
        <v>2525</v>
      </c>
      <c r="L238" s="11" t="s">
        <v>902</v>
      </c>
      <c r="M238" s="11" t="s">
        <v>903</v>
      </c>
      <c r="N238" s="5" t="n">
        <f aca="false">LEN(L238)</f>
        <v>25</v>
      </c>
      <c r="O238" s="5" t="n">
        <f aca="false">LEN(M238)</f>
        <v>25</v>
      </c>
      <c r="P238" s="12" t="n">
        <f aca="false">IF(N238=0,"",(N238-LEN(SUBSTITUTE(SUBSTITUTE(L238,"G",""),"C","")))/N238)</f>
        <v>0.6</v>
      </c>
      <c r="Q238" s="12" t="n">
        <f aca="false">IF(O238=0,"",(O238-LEN(SUBSTITUTE(SUBSTITUTE(M238,"G",""),"C","")))/O238)</f>
        <v>0.6</v>
      </c>
      <c r="R238" s="5"/>
      <c r="S238" s="5" t="s">
        <v>382</v>
      </c>
      <c r="T238" s="5"/>
      <c r="U238" s="5" t="s">
        <v>383</v>
      </c>
      <c r="V238" s="5" t="s">
        <v>876</v>
      </c>
      <c r="W238" s="5"/>
      <c r="X238" s="13" t="s">
        <v>385</v>
      </c>
      <c r="Y238" s="5"/>
    </row>
    <row r="239" customFormat="false" ht="15" hidden="false" customHeight="false" outlineLevel="0" collapsed="false">
      <c r="A239" s="5" t="s">
        <v>2526</v>
      </c>
      <c r="B239" s="5" t="s">
        <v>217</v>
      </c>
      <c r="C239" s="5" t="s">
        <v>89</v>
      </c>
      <c r="D239" s="9" t="s">
        <v>92</v>
      </c>
      <c r="E239" s="5" t="n">
        <v>6</v>
      </c>
      <c r="F239" s="5" t="s">
        <v>2527</v>
      </c>
      <c r="G239" s="11" t="s">
        <v>2528</v>
      </c>
      <c r="H239" s="5" t="s">
        <v>2529</v>
      </c>
      <c r="I239" s="11" t="s">
        <v>2530</v>
      </c>
      <c r="J239" s="5" t="s">
        <v>2531</v>
      </c>
      <c r="K239" s="5" t="s">
        <v>2532</v>
      </c>
      <c r="L239" s="11" t="s">
        <v>911</v>
      </c>
      <c r="M239" s="11" t="s">
        <v>912</v>
      </c>
      <c r="N239" s="5" t="n">
        <f aca="false">LEN(L239)</f>
        <v>25</v>
      </c>
      <c r="O239" s="5" t="n">
        <f aca="false">LEN(M239)</f>
        <v>25</v>
      </c>
      <c r="P239" s="12" t="n">
        <f aca="false">IF(N239=0,"",(N239-LEN(SUBSTITUTE(SUBSTITUTE(L239,"G",""),"C","")))/N239)</f>
        <v>0.52</v>
      </c>
      <c r="Q239" s="12" t="n">
        <f aca="false">IF(O239=0,"",(O239-LEN(SUBSTITUTE(SUBSTITUTE(M239,"G",""),"C","")))/O239)</f>
        <v>0.32</v>
      </c>
      <c r="R239" s="5"/>
      <c r="S239" s="5" t="s">
        <v>382</v>
      </c>
      <c r="T239" s="5"/>
      <c r="U239" s="5" t="s">
        <v>383</v>
      </c>
      <c r="V239" s="5" t="s">
        <v>876</v>
      </c>
      <c r="W239" s="5"/>
      <c r="X239" s="13" t="s">
        <v>385</v>
      </c>
      <c r="Y239" s="5"/>
    </row>
    <row r="240" customFormat="false" ht="15" hidden="false" customHeight="false" outlineLevel="0" collapsed="false">
      <c r="A240" s="5" t="s">
        <v>2533</v>
      </c>
      <c r="B240" s="5" t="s">
        <v>217</v>
      </c>
      <c r="C240" s="5" t="s">
        <v>89</v>
      </c>
      <c r="D240" s="9" t="s">
        <v>92</v>
      </c>
      <c r="E240" s="5" t="n">
        <v>7</v>
      </c>
      <c r="F240" s="5" t="s">
        <v>2534</v>
      </c>
      <c r="G240" s="11" t="s">
        <v>2535</v>
      </c>
      <c r="H240" s="5" t="s">
        <v>2536</v>
      </c>
      <c r="I240" s="11" t="s">
        <v>2537</v>
      </c>
      <c r="J240" s="5" t="s">
        <v>2538</v>
      </c>
      <c r="K240" s="5" t="s">
        <v>2539</v>
      </c>
      <c r="L240" s="11" t="s">
        <v>920</v>
      </c>
      <c r="M240" s="11" t="s">
        <v>921</v>
      </c>
      <c r="N240" s="5" t="n">
        <f aca="false">LEN(L240)</f>
        <v>25</v>
      </c>
      <c r="O240" s="5" t="n">
        <f aca="false">LEN(M240)</f>
        <v>25</v>
      </c>
      <c r="P240" s="12" t="n">
        <f aca="false">IF(N240=0,"",(N240-LEN(SUBSTITUTE(SUBSTITUTE(L240,"G",""),"C","")))/N240)</f>
        <v>0.52</v>
      </c>
      <c r="Q240" s="12" t="n">
        <f aca="false">IF(O240=0,"",(O240-LEN(SUBSTITUTE(SUBSTITUTE(M240,"G",""),"C","")))/O240)</f>
        <v>0.64</v>
      </c>
      <c r="R240" s="5"/>
      <c r="S240" s="5" t="s">
        <v>382</v>
      </c>
      <c r="T240" s="5"/>
      <c r="U240" s="5" t="s">
        <v>383</v>
      </c>
      <c r="V240" s="5" t="s">
        <v>876</v>
      </c>
      <c r="W240" s="5"/>
      <c r="X240" s="13" t="s">
        <v>385</v>
      </c>
      <c r="Y240" s="5"/>
    </row>
    <row r="241" customFormat="false" ht="15" hidden="false" customHeight="false" outlineLevel="0" collapsed="false">
      <c r="A241" s="5" t="s">
        <v>2540</v>
      </c>
      <c r="B241" s="5" t="s">
        <v>217</v>
      </c>
      <c r="C241" s="5" t="s">
        <v>89</v>
      </c>
      <c r="D241" s="9" t="s">
        <v>92</v>
      </c>
      <c r="E241" s="5" t="n">
        <v>8</v>
      </c>
      <c r="F241" s="5" t="s">
        <v>2541</v>
      </c>
      <c r="G241" s="11" t="s">
        <v>2542</v>
      </c>
      <c r="H241" s="5" t="s">
        <v>2543</v>
      </c>
      <c r="I241" s="11" t="s">
        <v>2544</v>
      </c>
      <c r="J241" s="5" t="s">
        <v>2545</v>
      </c>
      <c r="K241" s="5" t="s">
        <v>2546</v>
      </c>
      <c r="L241" s="11" t="s">
        <v>2547</v>
      </c>
      <c r="M241" s="11" t="s">
        <v>2548</v>
      </c>
      <c r="N241" s="5" t="n">
        <f aca="false">LEN(L241)</f>
        <v>25</v>
      </c>
      <c r="O241" s="5" t="n">
        <f aca="false">LEN(M241)</f>
        <v>25</v>
      </c>
      <c r="P241" s="12" t="n">
        <f aca="false">IF(N241=0,"",(N241-LEN(SUBSTITUTE(SUBSTITUTE(L241,"G",""),"C","")))/N241)</f>
        <v>0.56</v>
      </c>
      <c r="Q241" s="12" t="n">
        <f aca="false">IF(O241=0,"",(O241-LEN(SUBSTITUTE(SUBSTITUTE(M241,"G",""),"C","")))/O241)</f>
        <v>0.48</v>
      </c>
      <c r="R241" s="5"/>
      <c r="S241" s="5" t="s">
        <v>382</v>
      </c>
      <c r="T241" s="5"/>
      <c r="U241" s="5" t="s">
        <v>383</v>
      </c>
      <c r="V241" s="5" t="s">
        <v>876</v>
      </c>
      <c r="W241" s="5"/>
      <c r="X241" s="13" t="s">
        <v>385</v>
      </c>
      <c r="Y241" s="5"/>
    </row>
    <row r="242" customFormat="false" ht="15" hidden="false" customHeight="false" outlineLevel="0" collapsed="false">
      <c r="A242" s="5" t="s">
        <v>2549</v>
      </c>
      <c r="B242" s="5" t="s">
        <v>219</v>
      </c>
      <c r="C242" s="5" t="s">
        <v>96</v>
      </c>
      <c r="D242" s="9" t="s">
        <v>92</v>
      </c>
      <c r="E242" s="5" t="n">
        <v>1</v>
      </c>
      <c r="F242" s="5" t="s">
        <v>2550</v>
      </c>
      <c r="G242" s="11" t="s">
        <v>2551</v>
      </c>
      <c r="H242" s="5" t="s">
        <v>2552</v>
      </c>
      <c r="I242" s="11" t="s">
        <v>2553</v>
      </c>
      <c r="J242" s="5" t="s">
        <v>2554</v>
      </c>
      <c r="K242" s="5" t="s">
        <v>2555</v>
      </c>
      <c r="L242" s="11" t="s">
        <v>929</v>
      </c>
      <c r="M242" s="11" t="s">
        <v>930</v>
      </c>
      <c r="N242" s="5" t="n">
        <f aca="false">LEN(L242)</f>
        <v>25</v>
      </c>
      <c r="O242" s="5" t="n">
        <f aca="false">LEN(M242)</f>
        <v>25</v>
      </c>
      <c r="P242" s="12" t="n">
        <f aca="false">IF(N242=0,"",(N242-LEN(SUBSTITUTE(SUBSTITUTE(L242,"G",""),"C","")))/N242)</f>
        <v>0.32</v>
      </c>
      <c r="Q242" s="12" t="n">
        <f aca="false">IF(O242=0,"",(O242-LEN(SUBSTITUTE(SUBSTITUTE(M242,"G",""),"C","")))/O242)</f>
        <v>0.28</v>
      </c>
      <c r="R242" s="5"/>
      <c r="S242" s="5" t="s">
        <v>382</v>
      </c>
      <c r="T242" s="5"/>
      <c r="U242" s="5" t="s">
        <v>383</v>
      </c>
      <c r="V242" s="5" t="s">
        <v>931</v>
      </c>
      <c r="W242" s="5"/>
      <c r="X242" s="13" t="s">
        <v>385</v>
      </c>
      <c r="Y242" s="5"/>
    </row>
    <row r="243" customFormat="false" ht="15" hidden="false" customHeight="false" outlineLevel="0" collapsed="false">
      <c r="A243" s="5" t="s">
        <v>2556</v>
      </c>
      <c r="B243" s="5" t="s">
        <v>219</v>
      </c>
      <c r="C243" s="5" t="s">
        <v>96</v>
      </c>
      <c r="D243" s="9" t="s">
        <v>92</v>
      </c>
      <c r="E243" s="5" t="n">
        <v>2</v>
      </c>
      <c r="F243" s="5" t="s">
        <v>2557</v>
      </c>
      <c r="G243" s="11" t="s">
        <v>2558</v>
      </c>
      <c r="H243" s="5" t="s">
        <v>2559</v>
      </c>
      <c r="I243" s="11" t="s">
        <v>2560</v>
      </c>
      <c r="J243" s="5" t="s">
        <v>2561</v>
      </c>
      <c r="K243" s="5" t="s">
        <v>2562</v>
      </c>
      <c r="L243" s="11" t="s">
        <v>939</v>
      </c>
      <c r="M243" s="11" t="s">
        <v>940</v>
      </c>
      <c r="N243" s="5" t="n">
        <f aca="false">LEN(L243)</f>
        <v>25</v>
      </c>
      <c r="O243" s="5" t="n">
        <f aca="false">LEN(M243)</f>
        <v>25</v>
      </c>
      <c r="P243" s="12" t="n">
        <f aca="false">IF(N243=0,"",(N243-LEN(SUBSTITUTE(SUBSTITUTE(L243,"G",""),"C","")))/N243)</f>
        <v>0.4</v>
      </c>
      <c r="Q243" s="12" t="n">
        <f aca="false">IF(O243=0,"",(O243-LEN(SUBSTITUTE(SUBSTITUTE(M243,"G",""),"C","")))/O243)</f>
        <v>0.32</v>
      </c>
      <c r="R243" s="5"/>
      <c r="S243" s="5" t="s">
        <v>382</v>
      </c>
      <c r="T243" s="5"/>
      <c r="U243" s="5" t="s">
        <v>383</v>
      </c>
      <c r="V243" s="5" t="s">
        <v>931</v>
      </c>
      <c r="W243" s="5"/>
      <c r="X243" s="13" t="s">
        <v>385</v>
      </c>
      <c r="Y243" s="5"/>
    </row>
    <row r="244" customFormat="false" ht="15" hidden="false" customHeight="false" outlineLevel="0" collapsed="false">
      <c r="A244" s="5" t="s">
        <v>2563</v>
      </c>
      <c r="B244" s="5" t="s">
        <v>219</v>
      </c>
      <c r="C244" s="5" t="s">
        <v>96</v>
      </c>
      <c r="D244" s="9" t="s">
        <v>92</v>
      </c>
      <c r="E244" s="5" t="n">
        <v>3</v>
      </c>
      <c r="F244" s="5" t="s">
        <v>2564</v>
      </c>
      <c r="G244" s="11" t="s">
        <v>2565</v>
      </c>
      <c r="H244" s="5" t="s">
        <v>2566</v>
      </c>
      <c r="I244" s="11" t="s">
        <v>2567</v>
      </c>
      <c r="J244" s="5" t="s">
        <v>2568</v>
      </c>
      <c r="K244" s="5" t="s">
        <v>2569</v>
      </c>
      <c r="L244" s="11" t="s">
        <v>948</v>
      </c>
      <c r="M244" s="11" t="s">
        <v>949</v>
      </c>
      <c r="N244" s="5" t="n">
        <f aca="false">LEN(L244)</f>
        <v>25</v>
      </c>
      <c r="O244" s="5" t="n">
        <f aca="false">LEN(M244)</f>
        <v>25</v>
      </c>
      <c r="P244" s="12" t="n">
        <f aca="false">IF(N244=0,"",(N244-LEN(SUBSTITUTE(SUBSTITUTE(L244,"G",""),"C","")))/N244)</f>
        <v>0.52</v>
      </c>
      <c r="Q244" s="12" t="n">
        <f aca="false">IF(O244=0,"",(O244-LEN(SUBSTITUTE(SUBSTITUTE(M244,"G",""),"C","")))/O244)</f>
        <v>0.4</v>
      </c>
      <c r="R244" s="5"/>
      <c r="S244" s="5" t="s">
        <v>382</v>
      </c>
      <c r="T244" s="5"/>
      <c r="U244" s="5" t="s">
        <v>383</v>
      </c>
      <c r="V244" s="5" t="s">
        <v>931</v>
      </c>
      <c r="W244" s="5"/>
      <c r="X244" s="13" t="s">
        <v>385</v>
      </c>
      <c r="Y244" s="5"/>
    </row>
    <row r="245" customFormat="false" ht="15" hidden="false" customHeight="false" outlineLevel="0" collapsed="false">
      <c r="A245" s="5" t="s">
        <v>2570</v>
      </c>
      <c r="B245" s="5" t="s">
        <v>219</v>
      </c>
      <c r="C245" s="5" t="s">
        <v>96</v>
      </c>
      <c r="D245" s="9" t="s">
        <v>92</v>
      </c>
      <c r="E245" s="5" t="n">
        <v>4</v>
      </c>
      <c r="F245" s="5" t="s">
        <v>2571</v>
      </c>
      <c r="G245" s="11" t="s">
        <v>2572</v>
      </c>
      <c r="H245" s="5" t="s">
        <v>2573</v>
      </c>
      <c r="I245" s="11" t="s">
        <v>2574</v>
      </c>
      <c r="J245" s="5" t="s">
        <v>2575</v>
      </c>
      <c r="K245" s="5" t="s">
        <v>2576</v>
      </c>
      <c r="L245" s="11" t="s">
        <v>957</v>
      </c>
      <c r="M245" s="11" t="s">
        <v>958</v>
      </c>
      <c r="N245" s="5" t="n">
        <f aca="false">LEN(L245)</f>
        <v>25</v>
      </c>
      <c r="O245" s="5" t="n">
        <f aca="false">LEN(M245)</f>
        <v>25</v>
      </c>
      <c r="P245" s="12" t="n">
        <f aca="false">IF(N245=0,"",(N245-LEN(SUBSTITUTE(SUBSTITUTE(L245,"G",""),"C","")))/N245)</f>
        <v>0.56</v>
      </c>
      <c r="Q245" s="12" t="n">
        <f aca="false">IF(O245=0,"",(O245-LEN(SUBSTITUTE(SUBSTITUTE(M245,"G",""),"C","")))/O245)</f>
        <v>0.44</v>
      </c>
      <c r="R245" s="5"/>
      <c r="S245" s="5" t="s">
        <v>382</v>
      </c>
      <c r="T245" s="5"/>
      <c r="U245" s="5" t="s">
        <v>383</v>
      </c>
      <c r="V245" s="5" t="s">
        <v>931</v>
      </c>
      <c r="W245" s="5"/>
      <c r="X245" s="13" t="s">
        <v>385</v>
      </c>
      <c r="Y245" s="5"/>
    </row>
    <row r="246" customFormat="false" ht="15" hidden="false" customHeight="false" outlineLevel="0" collapsed="false">
      <c r="A246" s="5" t="s">
        <v>2577</v>
      </c>
      <c r="B246" s="5" t="s">
        <v>219</v>
      </c>
      <c r="C246" s="5" t="s">
        <v>96</v>
      </c>
      <c r="D246" s="9" t="s">
        <v>92</v>
      </c>
      <c r="E246" s="5" t="n">
        <v>5</v>
      </c>
      <c r="F246" s="5" t="s">
        <v>2578</v>
      </c>
      <c r="G246" s="11" t="s">
        <v>2579</v>
      </c>
      <c r="H246" s="5" t="s">
        <v>2580</v>
      </c>
      <c r="I246" s="11" t="s">
        <v>2581</v>
      </c>
      <c r="J246" s="5" t="s">
        <v>2582</v>
      </c>
      <c r="K246" s="5" t="s">
        <v>2583</v>
      </c>
      <c r="L246" s="11" t="s">
        <v>966</v>
      </c>
      <c r="M246" s="11" t="s">
        <v>967</v>
      </c>
      <c r="N246" s="5" t="n">
        <f aca="false">LEN(L246)</f>
        <v>25</v>
      </c>
      <c r="O246" s="5" t="n">
        <f aca="false">LEN(M246)</f>
        <v>25</v>
      </c>
      <c r="P246" s="12" t="n">
        <f aca="false">IF(N246=0,"",(N246-LEN(SUBSTITUTE(SUBSTITUTE(L246,"G",""),"C","")))/N246)</f>
        <v>0.4</v>
      </c>
      <c r="Q246" s="12" t="n">
        <f aca="false">IF(O246=0,"",(O246-LEN(SUBSTITUTE(SUBSTITUTE(M246,"G",""),"C","")))/O246)</f>
        <v>0.48</v>
      </c>
      <c r="R246" s="5"/>
      <c r="S246" s="5" t="s">
        <v>382</v>
      </c>
      <c r="T246" s="5"/>
      <c r="U246" s="5" t="s">
        <v>383</v>
      </c>
      <c r="V246" s="5" t="s">
        <v>931</v>
      </c>
      <c r="W246" s="5"/>
      <c r="X246" s="13" t="s">
        <v>385</v>
      </c>
      <c r="Y246" s="5"/>
    </row>
    <row r="247" customFormat="false" ht="15" hidden="false" customHeight="false" outlineLevel="0" collapsed="false">
      <c r="A247" s="5" t="s">
        <v>2584</v>
      </c>
      <c r="B247" s="5" t="s">
        <v>219</v>
      </c>
      <c r="C247" s="5" t="s">
        <v>96</v>
      </c>
      <c r="D247" s="9" t="s">
        <v>92</v>
      </c>
      <c r="E247" s="5" t="n">
        <v>6</v>
      </c>
      <c r="F247" s="5" t="s">
        <v>2585</v>
      </c>
      <c r="G247" s="11" t="s">
        <v>2586</v>
      </c>
      <c r="H247" s="5" t="s">
        <v>2587</v>
      </c>
      <c r="I247" s="11" t="s">
        <v>2588</v>
      </c>
      <c r="J247" s="5" t="s">
        <v>2589</v>
      </c>
      <c r="K247" s="5" t="s">
        <v>2590</v>
      </c>
      <c r="L247" s="11" t="s">
        <v>975</v>
      </c>
      <c r="M247" s="11" t="s">
        <v>976</v>
      </c>
      <c r="N247" s="5" t="n">
        <f aca="false">LEN(L247)</f>
        <v>25</v>
      </c>
      <c r="O247" s="5" t="n">
        <f aca="false">LEN(M247)</f>
        <v>25</v>
      </c>
      <c r="P247" s="12" t="n">
        <f aca="false">IF(N247=0,"",(N247-LEN(SUBSTITUTE(SUBSTITUTE(L247,"G",""),"C","")))/N247)</f>
        <v>0.36</v>
      </c>
      <c r="Q247" s="12" t="n">
        <f aca="false">IF(O247=0,"",(O247-LEN(SUBSTITUTE(SUBSTITUTE(M247,"G",""),"C","")))/O247)</f>
        <v>0.44</v>
      </c>
      <c r="R247" s="5"/>
      <c r="S247" s="5" t="s">
        <v>382</v>
      </c>
      <c r="T247" s="5"/>
      <c r="U247" s="5" t="s">
        <v>383</v>
      </c>
      <c r="V247" s="5" t="s">
        <v>931</v>
      </c>
      <c r="W247" s="5"/>
      <c r="X247" s="13" t="s">
        <v>385</v>
      </c>
      <c r="Y247" s="5"/>
    </row>
    <row r="248" customFormat="false" ht="15" hidden="false" customHeight="false" outlineLevel="0" collapsed="false">
      <c r="A248" s="5" t="s">
        <v>2591</v>
      </c>
      <c r="B248" s="5" t="s">
        <v>219</v>
      </c>
      <c r="C248" s="5" t="s">
        <v>96</v>
      </c>
      <c r="D248" s="9" t="s">
        <v>92</v>
      </c>
      <c r="E248" s="5" t="n">
        <v>7</v>
      </c>
      <c r="F248" s="5" t="s">
        <v>2592</v>
      </c>
      <c r="G248" s="11" t="s">
        <v>2593</v>
      </c>
      <c r="H248" s="5" t="s">
        <v>2594</v>
      </c>
      <c r="I248" s="11" t="s">
        <v>2595</v>
      </c>
      <c r="J248" s="5" t="s">
        <v>2596</v>
      </c>
      <c r="K248" s="5" t="s">
        <v>2597</v>
      </c>
      <c r="L248" s="11" t="s">
        <v>984</v>
      </c>
      <c r="M248" s="11" t="s">
        <v>985</v>
      </c>
      <c r="N248" s="5" t="n">
        <f aca="false">LEN(L248)</f>
        <v>25</v>
      </c>
      <c r="O248" s="5" t="n">
        <f aca="false">LEN(M248)</f>
        <v>25</v>
      </c>
      <c r="P248" s="12" t="n">
        <f aca="false">IF(N248=0,"",(N248-LEN(SUBSTITUTE(SUBSTITUTE(L248,"G",""),"C","")))/N248)</f>
        <v>0.4</v>
      </c>
      <c r="Q248" s="12" t="n">
        <f aca="false">IF(O248=0,"",(O248-LEN(SUBSTITUTE(SUBSTITUTE(M248,"G",""),"C","")))/O248)</f>
        <v>0.64</v>
      </c>
      <c r="R248" s="5"/>
      <c r="S248" s="5" t="s">
        <v>382</v>
      </c>
      <c r="T248" s="5"/>
      <c r="U248" s="5" t="s">
        <v>383</v>
      </c>
      <c r="V248" s="5" t="s">
        <v>931</v>
      </c>
      <c r="W248" s="5"/>
      <c r="X248" s="13" t="s">
        <v>385</v>
      </c>
      <c r="Y248" s="5"/>
    </row>
    <row r="249" customFormat="false" ht="15" hidden="false" customHeight="false" outlineLevel="0" collapsed="false">
      <c r="A249" s="5" t="s">
        <v>2598</v>
      </c>
      <c r="B249" s="5" t="s">
        <v>219</v>
      </c>
      <c r="C249" s="5" t="s">
        <v>96</v>
      </c>
      <c r="D249" s="9" t="s">
        <v>92</v>
      </c>
      <c r="E249" s="5" t="n">
        <v>8</v>
      </c>
      <c r="F249" s="5" t="s">
        <v>2599</v>
      </c>
      <c r="G249" s="11" t="s">
        <v>2600</v>
      </c>
      <c r="H249" s="5" t="s">
        <v>2601</v>
      </c>
      <c r="I249" s="11" t="s">
        <v>2602</v>
      </c>
      <c r="J249" s="5" t="s">
        <v>2603</v>
      </c>
      <c r="K249" s="5" t="s">
        <v>2604</v>
      </c>
      <c r="L249" s="11" t="s">
        <v>993</v>
      </c>
      <c r="M249" s="11" t="s">
        <v>994</v>
      </c>
      <c r="N249" s="5" t="n">
        <f aca="false">LEN(L249)</f>
        <v>25</v>
      </c>
      <c r="O249" s="5" t="n">
        <f aca="false">LEN(M249)</f>
        <v>25</v>
      </c>
      <c r="P249" s="12" t="n">
        <f aca="false">IF(N249=0,"",(N249-LEN(SUBSTITUTE(SUBSTITUTE(L249,"G",""),"C","")))/N249)</f>
        <v>0.28</v>
      </c>
      <c r="Q249" s="12" t="n">
        <f aca="false">IF(O249=0,"",(O249-LEN(SUBSTITUTE(SUBSTITUTE(M249,"G",""),"C","")))/O249)</f>
        <v>0.44</v>
      </c>
      <c r="R249" s="5"/>
      <c r="S249" s="5" t="s">
        <v>382</v>
      </c>
      <c r="T249" s="5"/>
      <c r="U249" s="5" t="s">
        <v>383</v>
      </c>
      <c r="V249" s="5" t="s">
        <v>931</v>
      </c>
      <c r="W249" s="5"/>
      <c r="X249" s="13" t="s">
        <v>385</v>
      </c>
      <c r="Y249" s="5"/>
    </row>
    <row r="250" customFormat="false" ht="15" hidden="false" customHeight="false" outlineLevel="0" collapsed="false">
      <c r="A250" s="5" t="s">
        <v>2605</v>
      </c>
      <c r="B250" s="5" t="s">
        <v>219</v>
      </c>
      <c r="C250" s="5" t="s">
        <v>96</v>
      </c>
      <c r="D250" s="9" t="s">
        <v>92</v>
      </c>
      <c r="E250" s="5" t="n">
        <v>9</v>
      </c>
      <c r="F250" s="5" t="s">
        <v>2606</v>
      </c>
      <c r="G250" s="11" t="s">
        <v>2607</v>
      </c>
      <c r="H250" s="5" t="s">
        <v>2608</v>
      </c>
      <c r="I250" s="11" t="s">
        <v>2609</v>
      </c>
      <c r="J250" s="5" t="s">
        <v>2610</v>
      </c>
      <c r="K250" s="5" t="s">
        <v>2611</v>
      </c>
      <c r="L250" s="11" t="s">
        <v>1002</v>
      </c>
      <c r="M250" s="11" t="s">
        <v>1003</v>
      </c>
      <c r="N250" s="5" t="n">
        <f aca="false">LEN(L250)</f>
        <v>25</v>
      </c>
      <c r="O250" s="5" t="n">
        <f aca="false">LEN(M250)</f>
        <v>25</v>
      </c>
      <c r="P250" s="12" t="n">
        <f aca="false">IF(N250=0,"",(N250-LEN(SUBSTITUTE(SUBSTITUTE(L250,"G",""),"C","")))/N250)</f>
        <v>0.4</v>
      </c>
      <c r="Q250" s="12" t="n">
        <f aca="false">IF(O250=0,"",(O250-LEN(SUBSTITUTE(SUBSTITUTE(M250,"G",""),"C","")))/O250)</f>
        <v>0.28</v>
      </c>
      <c r="R250" s="5"/>
      <c r="S250" s="5" t="s">
        <v>382</v>
      </c>
      <c r="T250" s="5"/>
      <c r="U250" s="5" t="s">
        <v>383</v>
      </c>
      <c r="V250" s="5" t="s">
        <v>931</v>
      </c>
      <c r="W250" s="5"/>
      <c r="X250" s="13" t="s">
        <v>385</v>
      </c>
      <c r="Y250" s="5"/>
    </row>
    <row r="251" customFormat="false" ht="15" hidden="false" customHeight="false" outlineLevel="0" collapsed="false">
      <c r="A251" s="5" t="s">
        <v>2612</v>
      </c>
      <c r="B251" s="5" t="s">
        <v>219</v>
      </c>
      <c r="C251" s="5" t="s">
        <v>96</v>
      </c>
      <c r="D251" s="9" t="s">
        <v>92</v>
      </c>
      <c r="E251" s="5" t="n">
        <v>10</v>
      </c>
      <c r="F251" s="5" t="s">
        <v>2613</v>
      </c>
      <c r="G251" s="11" t="s">
        <v>2614</v>
      </c>
      <c r="H251" s="5" t="s">
        <v>2615</v>
      </c>
      <c r="I251" s="11" t="s">
        <v>2616</v>
      </c>
      <c r="J251" s="5" t="s">
        <v>2617</v>
      </c>
      <c r="K251" s="5" t="s">
        <v>2618</v>
      </c>
      <c r="L251" s="11" t="s">
        <v>1011</v>
      </c>
      <c r="M251" s="11" t="s">
        <v>1012</v>
      </c>
      <c r="N251" s="5" t="n">
        <f aca="false">LEN(L251)</f>
        <v>25</v>
      </c>
      <c r="O251" s="5" t="n">
        <f aca="false">LEN(M251)</f>
        <v>25</v>
      </c>
      <c r="P251" s="12" t="n">
        <f aca="false">IF(N251=0,"",(N251-LEN(SUBSTITUTE(SUBSTITUTE(L251,"G",""),"C","")))/N251)</f>
        <v>0.32</v>
      </c>
      <c r="Q251" s="12" t="n">
        <f aca="false">IF(O251=0,"",(O251-LEN(SUBSTITUTE(SUBSTITUTE(M251,"G",""),"C","")))/O251)</f>
        <v>0.4</v>
      </c>
      <c r="R251" s="5"/>
      <c r="S251" s="5" t="s">
        <v>382</v>
      </c>
      <c r="T251" s="5"/>
      <c r="U251" s="5" t="s">
        <v>383</v>
      </c>
      <c r="V251" s="5" t="s">
        <v>931</v>
      </c>
      <c r="W251" s="5"/>
      <c r="X251" s="13" t="s">
        <v>385</v>
      </c>
      <c r="Y251" s="5"/>
    </row>
    <row r="252" customFormat="false" ht="15" hidden="false" customHeight="false" outlineLevel="0" collapsed="false">
      <c r="A252" s="5" t="s">
        <v>2619</v>
      </c>
      <c r="B252" s="5" t="s">
        <v>220</v>
      </c>
      <c r="C252" s="5" t="s">
        <v>221</v>
      </c>
      <c r="D252" s="9" t="s">
        <v>92</v>
      </c>
      <c r="E252" s="5" t="n">
        <v>1</v>
      </c>
      <c r="F252" s="5" t="s">
        <v>2620</v>
      </c>
      <c r="G252" s="11" t="s">
        <v>2621</v>
      </c>
      <c r="H252" s="5" t="s">
        <v>2622</v>
      </c>
      <c r="I252" s="11" t="s">
        <v>2623</v>
      </c>
      <c r="J252" s="5" t="s">
        <v>2624</v>
      </c>
      <c r="K252" s="5" t="s">
        <v>2625</v>
      </c>
      <c r="L252" s="11" t="s">
        <v>2626</v>
      </c>
      <c r="M252" s="11" t="s">
        <v>2627</v>
      </c>
      <c r="N252" s="5" t="n">
        <f aca="false">LEN(L252)</f>
        <v>25</v>
      </c>
      <c r="O252" s="5" t="n">
        <f aca="false">LEN(M252)</f>
        <v>25</v>
      </c>
      <c r="P252" s="12" t="n">
        <f aca="false">IF(N252=0,"",(N252-LEN(SUBSTITUTE(SUBSTITUTE(L252,"G",""),"C","")))/N252)</f>
        <v>0.56</v>
      </c>
      <c r="Q252" s="12" t="n">
        <f aca="false">IF(O252=0,"",(O252-LEN(SUBSTITUTE(SUBSTITUTE(M252,"G",""),"C","")))/O252)</f>
        <v>0.4</v>
      </c>
      <c r="R252" s="5"/>
      <c r="S252" s="5" t="s">
        <v>382</v>
      </c>
      <c r="T252" s="5"/>
      <c r="U252" s="5" t="s">
        <v>383</v>
      </c>
      <c r="V252" s="5" t="s">
        <v>2628</v>
      </c>
      <c r="W252" s="5"/>
      <c r="X252" s="13" t="s">
        <v>385</v>
      </c>
      <c r="Y252" s="5"/>
    </row>
    <row r="253" customFormat="false" ht="15" hidden="false" customHeight="false" outlineLevel="0" collapsed="false">
      <c r="A253" s="5" t="s">
        <v>2629</v>
      </c>
      <c r="B253" s="5" t="s">
        <v>220</v>
      </c>
      <c r="C253" s="5" t="s">
        <v>221</v>
      </c>
      <c r="D253" s="9" t="s">
        <v>92</v>
      </c>
      <c r="E253" s="5" t="n">
        <v>2</v>
      </c>
      <c r="F253" s="5" t="s">
        <v>2630</v>
      </c>
      <c r="G253" s="11" t="s">
        <v>2631</v>
      </c>
      <c r="H253" s="5" t="s">
        <v>2632</v>
      </c>
      <c r="I253" s="11" t="s">
        <v>2633</v>
      </c>
      <c r="J253" s="5" t="s">
        <v>2634</v>
      </c>
      <c r="K253" s="5" t="s">
        <v>2635</v>
      </c>
      <c r="L253" s="11" t="s">
        <v>2636</v>
      </c>
      <c r="M253" s="11" t="s">
        <v>2637</v>
      </c>
      <c r="N253" s="5" t="n">
        <f aca="false">LEN(L253)</f>
        <v>25</v>
      </c>
      <c r="O253" s="5" t="n">
        <f aca="false">LEN(M253)</f>
        <v>25</v>
      </c>
      <c r="P253" s="12" t="n">
        <f aca="false">IF(N253=0,"",(N253-LEN(SUBSTITUTE(SUBSTITUTE(L253,"G",""),"C","")))/N253)</f>
        <v>0.48</v>
      </c>
      <c r="Q253" s="12" t="n">
        <f aca="false">IF(O253=0,"",(O253-LEN(SUBSTITUTE(SUBSTITUTE(M253,"G",""),"C","")))/O253)</f>
        <v>0.56</v>
      </c>
      <c r="R253" s="5"/>
      <c r="S253" s="5" t="s">
        <v>382</v>
      </c>
      <c r="T253" s="5"/>
      <c r="U253" s="5" t="s">
        <v>383</v>
      </c>
      <c r="V253" s="5" t="s">
        <v>2628</v>
      </c>
      <c r="W253" s="5"/>
      <c r="X253" s="13" t="s">
        <v>385</v>
      </c>
      <c r="Y253" s="5"/>
    </row>
    <row r="254" customFormat="false" ht="15" hidden="false" customHeight="false" outlineLevel="0" collapsed="false">
      <c r="A254" s="5" t="s">
        <v>2638</v>
      </c>
      <c r="B254" s="5" t="s">
        <v>220</v>
      </c>
      <c r="C254" s="5" t="s">
        <v>221</v>
      </c>
      <c r="D254" s="9" t="s">
        <v>92</v>
      </c>
      <c r="E254" s="5" t="n">
        <v>3</v>
      </c>
      <c r="F254" s="5" t="s">
        <v>2639</v>
      </c>
      <c r="G254" s="11" t="s">
        <v>2640</v>
      </c>
      <c r="H254" s="5" t="s">
        <v>2641</v>
      </c>
      <c r="I254" s="11" t="s">
        <v>2642</v>
      </c>
      <c r="J254" s="5" t="s">
        <v>2643</v>
      </c>
      <c r="K254" s="5" t="s">
        <v>2644</v>
      </c>
      <c r="L254" s="11" t="s">
        <v>2645</v>
      </c>
      <c r="M254" s="11" t="s">
        <v>2646</v>
      </c>
      <c r="N254" s="5" t="n">
        <f aca="false">LEN(L254)</f>
        <v>25</v>
      </c>
      <c r="O254" s="5" t="n">
        <f aca="false">LEN(M254)</f>
        <v>25</v>
      </c>
      <c r="P254" s="12" t="n">
        <f aca="false">IF(N254=0,"",(N254-LEN(SUBSTITUTE(SUBSTITUTE(L254,"G",""),"C","")))/N254)</f>
        <v>0.24</v>
      </c>
      <c r="Q254" s="12" t="n">
        <f aca="false">IF(O254=0,"",(O254-LEN(SUBSTITUTE(SUBSTITUTE(M254,"G",""),"C","")))/O254)</f>
        <v>0.6</v>
      </c>
      <c r="R254" s="5"/>
      <c r="S254" s="5" t="s">
        <v>382</v>
      </c>
      <c r="T254" s="5"/>
      <c r="U254" s="5" t="s">
        <v>383</v>
      </c>
      <c r="V254" s="5" t="s">
        <v>2628</v>
      </c>
      <c r="W254" s="5"/>
      <c r="X254" s="13" t="s">
        <v>385</v>
      </c>
      <c r="Y254" s="5"/>
    </row>
    <row r="255" customFormat="false" ht="15" hidden="false" customHeight="false" outlineLevel="0" collapsed="false">
      <c r="A255" s="5" t="s">
        <v>2647</v>
      </c>
      <c r="B255" s="5" t="s">
        <v>220</v>
      </c>
      <c r="C255" s="5" t="s">
        <v>221</v>
      </c>
      <c r="D255" s="9" t="s">
        <v>92</v>
      </c>
      <c r="E255" s="5" t="n">
        <v>4</v>
      </c>
      <c r="F255" s="5" t="s">
        <v>2648</v>
      </c>
      <c r="G255" s="11" t="s">
        <v>2649</v>
      </c>
      <c r="H255" s="5" t="s">
        <v>2650</v>
      </c>
      <c r="I255" s="11" t="s">
        <v>2651</v>
      </c>
      <c r="J255" s="5" t="s">
        <v>2652</v>
      </c>
      <c r="K255" s="5" t="s">
        <v>2653</v>
      </c>
      <c r="L255" s="11" t="s">
        <v>2654</v>
      </c>
      <c r="M255" s="11" t="s">
        <v>2655</v>
      </c>
      <c r="N255" s="5" t="n">
        <f aca="false">LEN(L255)</f>
        <v>25</v>
      </c>
      <c r="O255" s="5" t="n">
        <f aca="false">LEN(M255)</f>
        <v>25</v>
      </c>
      <c r="P255" s="12" t="n">
        <f aca="false">IF(N255=0,"",(N255-LEN(SUBSTITUTE(SUBSTITUTE(L255,"G",""),"C","")))/N255)</f>
        <v>0.52</v>
      </c>
      <c r="Q255" s="12" t="n">
        <f aca="false">IF(O255=0,"",(O255-LEN(SUBSTITUTE(SUBSTITUTE(M255,"G",""),"C","")))/O255)</f>
        <v>0.52</v>
      </c>
      <c r="R255" s="5"/>
      <c r="S255" s="5" t="s">
        <v>382</v>
      </c>
      <c r="T255" s="5"/>
      <c r="U255" s="5" t="s">
        <v>383</v>
      </c>
      <c r="V255" s="5" t="s">
        <v>2628</v>
      </c>
      <c r="W255" s="5"/>
      <c r="X255" s="13" t="s">
        <v>385</v>
      </c>
      <c r="Y255" s="5"/>
    </row>
    <row r="256" customFormat="false" ht="15" hidden="false" customHeight="false" outlineLevel="0" collapsed="false">
      <c r="A256" s="5" t="s">
        <v>2656</v>
      </c>
      <c r="B256" s="5" t="s">
        <v>220</v>
      </c>
      <c r="C256" s="5" t="s">
        <v>221</v>
      </c>
      <c r="D256" s="9" t="s">
        <v>92</v>
      </c>
      <c r="E256" s="5" t="n">
        <v>5</v>
      </c>
      <c r="F256" s="5" t="s">
        <v>2657</v>
      </c>
      <c r="G256" s="11" t="s">
        <v>2658</v>
      </c>
      <c r="H256" s="5" t="s">
        <v>2659</v>
      </c>
      <c r="I256" s="11" t="s">
        <v>2660</v>
      </c>
      <c r="J256" s="5" t="s">
        <v>2661</v>
      </c>
      <c r="K256" s="5" t="s">
        <v>2662</v>
      </c>
      <c r="L256" s="11" t="s">
        <v>2663</v>
      </c>
      <c r="M256" s="11" t="s">
        <v>2664</v>
      </c>
      <c r="N256" s="5" t="n">
        <f aca="false">LEN(L256)</f>
        <v>25</v>
      </c>
      <c r="O256" s="5" t="n">
        <f aca="false">LEN(M256)</f>
        <v>25</v>
      </c>
      <c r="P256" s="12" t="n">
        <f aca="false">IF(N256=0,"",(N256-LEN(SUBSTITUTE(SUBSTITUTE(L256,"G",""),"C","")))/N256)</f>
        <v>0.6</v>
      </c>
      <c r="Q256" s="12" t="n">
        <f aca="false">IF(O256=0,"",(O256-LEN(SUBSTITUTE(SUBSTITUTE(M256,"G",""),"C","")))/O256)</f>
        <v>0.48</v>
      </c>
      <c r="R256" s="5"/>
      <c r="S256" s="5" t="s">
        <v>382</v>
      </c>
      <c r="T256" s="5"/>
      <c r="U256" s="5" t="s">
        <v>383</v>
      </c>
      <c r="V256" s="5" t="s">
        <v>2628</v>
      </c>
      <c r="W256" s="5"/>
      <c r="X256" s="13" t="s">
        <v>385</v>
      </c>
      <c r="Y256" s="5"/>
    </row>
    <row r="257" customFormat="false" ht="15" hidden="false" customHeight="false" outlineLevel="0" collapsed="false">
      <c r="A257" s="5" t="s">
        <v>2665</v>
      </c>
      <c r="B257" s="5" t="s">
        <v>220</v>
      </c>
      <c r="C257" s="5" t="s">
        <v>221</v>
      </c>
      <c r="D257" s="9" t="s">
        <v>92</v>
      </c>
      <c r="E257" s="5" t="n">
        <v>6</v>
      </c>
      <c r="F257" s="5" t="s">
        <v>2666</v>
      </c>
      <c r="G257" s="11" t="s">
        <v>2667</v>
      </c>
      <c r="H257" s="5" t="s">
        <v>2668</v>
      </c>
      <c r="I257" s="11" t="s">
        <v>2669</v>
      </c>
      <c r="J257" s="5" t="s">
        <v>2670</v>
      </c>
      <c r="K257" s="5" t="s">
        <v>2671</v>
      </c>
      <c r="L257" s="11" t="s">
        <v>2672</v>
      </c>
      <c r="M257" s="11" t="s">
        <v>2673</v>
      </c>
      <c r="N257" s="5" t="n">
        <f aca="false">LEN(L257)</f>
        <v>25</v>
      </c>
      <c r="O257" s="5" t="n">
        <f aca="false">LEN(M257)</f>
        <v>25</v>
      </c>
      <c r="P257" s="12" t="n">
        <f aca="false">IF(N257=0,"",(N257-LEN(SUBSTITUTE(SUBSTITUTE(L257,"G",""),"C","")))/N257)</f>
        <v>0.6</v>
      </c>
      <c r="Q257" s="12" t="n">
        <f aca="false">IF(O257=0,"",(O257-LEN(SUBSTITUTE(SUBSTITUTE(M257,"G",""),"C","")))/O257)</f>
        <v>0.6</v>
      </c>
      <c r="R257" s="5"/>
      <c r="S257" s="5" t="s">
        <v>382</v>
      </c>
      <c r="T257" s="5"/>
      <c r="U257" s="5" t="s">
        <v>383</v>
      </c>
      <c r="V257" s="5" t="s">
        <v>2628</v>
      </c>
      <c r="W257" s="5"/>
      <c r="X257" s="13" t="s">
        <v>385</v>
      </c>
      <c r="Y257" s="5"/>
    </row>
    <row r="258" customFormat="false" ht="15" hidden="false" customHeight="false" outlineLevel="0" collapsed="false">
      <c r="A258" s="5" t="s">
        <v>2674</v>
      </c>
      <c r="B258" s="5" t="s">
        <v>220</v>
      </c>
      <c r="C258" s="5" t="s">
        <v>221</v>
      </c>
      <c r="D258" s="9" t="s">
        <v>92</v>
      </c>
      <c r="E258" s="5" t="n">
        <v>7</v>
      </c>
      <c r="F258" s="5" t="s">
        <v>2675</v>
      </c>
      <c r="G258" s="11" t="s">
        <v>2676</v>
      </c>
      <c r="H258" s="5" t="s">
        <v>2677</v>
      </c>
      <c r="I258" s="11" t="s">
        <v>2678</v>
      </c>
      <c r="J258" s="5" t="s">
        <v>2679</v>
      </c>
      <c r="K258" s="5" t="s">
        <v>2680</v>
      </c>
      <c r="L258" s="11" t="s">
        <v>2681</v>
      </c>
      <c r="M258" s="11" t="s">
        <v>2682</v>
      </c>
      <c r="N258" s="5" t="n">
        <f aca="false">LEN(L258)</f>
        <v>25</v>
      </c>
      <c r="O258" s="5" t="n">
        <f aca="false">LEN(M258)</f>
        <v>25</v>
      </c>
      <c r="P258" s="12" t="n">
        <f aca="false">IF(N258=0,"",(N258-LEN(SUBSTITUTE(SUBSTITUTE(L258,"G",""),"C","")))/N258)</f>
        <v>0.56</v>
      </c>
      <c r="Q258" s="12" t="n">
        <f aca="false">IF(O258=0,"",(O258-LEN(SUBSTITUTE(SUBSTITUTE(M258,"G",""),"C","")))/O258)</f>
        <v>0.56</v>
      </c>
      <c r="R258" s="5"/>
      <c r="S258" s="5" t="s">
        <v>382</v>
      </c>
      <c r="T258" s="5"/>
      <c r="U258" s="5" t="s">
        <v>383</v>
      </c>
      <c r="V258" s="5" t="s">
        <v>2628</v>
      </c>
      <c r="W258" s="5"/>
      <c r="X258" s="13" t="s">
        <v>385</v>
      </c>
      <c r="Y258" s="5"/>
    </row>
    <row r="259" customFormat="false" ht="15" hidden="false" customHeight="false" outlineLevel="0" collapsed="false">
      <c r="A259" s="5" t="s">
        <v>2683</v>
      </c>
      <c r="B259" s="5" t="s">
        <v>220</v>
      </c>
      <c r="C259" s="5" t="s">
        <v>221</v>
      </c>
      <c r="D259" s="9" t="s">
        <v>92</v>
      </c>
      <c r="E259" s="5" t="n">
        <v>8</v>
      </c>
      <c r="F259" s="5" t="s">
        <v>2684</v>
      </c>
      <c r="G259" s="11" t="s">
        <v>2685</v>
      </c>
      <c r="H259" s="5" t="s">
        <v>2686</v>
      </c>
      <c r="I259" s="11" t="s">
        <v>2687</v>
      </c>
      <c r="J259" s="5" t="s">
        <v>2688</v>
      </c>
      <c r="K259" s="5" t="s">
        <v>2689</v>
      </c>
      <c r="L259" s="11" t="s">
        <v>2690</v>
      </c>
      <c r="M259" s="11" t="s">
        <v>2691</v>
      </c>
      <c r="N259" s="5" t="n">
        <f aca="false">LEN(L259)</f>
        <v>25</v>
      </c>
      <c r="O259" s="5" t="n">
        <f aca="false">LEN(M259)</f>
        <v>25</v>
      </c>
      <c r="P259" s="12" t="n">
        <f aca="false">IF(N259=0,"",(N259-LEN(SUBSTITUTE(SUBSTITUTE(L259,"G",""),"C","")))/N259)</f>
        <v>0.48</v>
      </c>
      <c r="Q259" s="12" t="n">
        <f aca="false">IF(O259=0,"",(O259-LEN(SUBSTITUTE(SUBSTITUTE(M259,"G",""),"C","")))/O259)</f>
        <v>0.56</v>
      </c>
      <c r="R259" s="5"/>
      <c r="S259" s="5" t="s">
        <v>382</v>
      </c>
      <c r="T259" s="5"/>
      <c r="U259" s="5" t="s">
        <v>383</v>
      </c>
      <c r="V259" s="5" t="s">
        <v>2628</v>
      </c>
      <c r="W259" s="5"/>
      <c r="X259" s="13" t="s">
        <v>385</v>
      </c>
      <c r="Y259" s="5"/>
    </row>
    <row r="260" customFormat="false" ht="15" hidden="false" customHeight="false" outlineLevel="0" collapsed="false">
      <c r="A260" s="5" t="s">
        <v>2692</v>
      </c>
      <c r="B260" s="5" t="s">
        <v>227</v>
      </c>
      <c r="C260" s="5" t="s">
        <v>228</v>
      </c>
      <c r="D260" s="9" t="s">
        <v>92</v>
      </c>
      <c r="E260" s="5" t="n">
        <v>1</v>
      </c>
      <c r="F260" s="5" t="s">
        <v>2693</v>
      </c>
      <c r="G260" s="11" t="s">
        <v>2694</v>
      </c>
      <c r="H260" s="5" t="s">
        <v>2695</v>
      </c>
      <c r="I260" s="11" t="s">
        <v>2696</v>
      </c>
      <c r="J260" s="5" t="s">
        <v>2697</v>
      </c>
      <c r="K260" s="5" t="s">
        <v>2698</v>
      </c>
      <c r="L260" s="11" t="s">
        <v>2699</v>
      </c>
      <c r="M260" s="11" t="s">
        <v>2700</v>
      </c>
      <c r="N260" s="5" t="n">
        <f aca="false">LEN(L260)</f>
        <v>25</v>
      </c>
      <c r="O260" s="5" t="n">
        <f aca="false">LEN(M260)</f>
        <v>25</v>
      </c>
      <c r="P260" s="12" t="n">
        <f aca="false">IF(N260=0,"",(N260-LEN(SUBSTITUTE(SUBSTITUTE(L260,"G",""),"C","")))/N260)</f>
        <v>0.4</v>
      </c>
      <c r="Q260" s="12" t="n">
        <f aca="false">IF(O260=0,"",(O260-LEN(SUBSTITUTE(SUBSTITUTE(M260,"G",""),"C","")))/O260)</f>
        <v>0.52</v>
      </c>
      <c r="R260" s="5"/>
      <c r="S260" s="5" t="s">
        <v>382</v>
      </c>
      <c r="T260" s="5"/>
      <c r="U260" s="5" t="s">
        <v>383</v>
      </c>
      <c r="V260" s="5" t="s">
        <v>2701</v>
      </c>
      <c r="W260" s="5"/>
      <c r="X260" s="13" t="s">
        <v>385</v>
      </c>
      <c r="Y260" s="5"/>
    </row>
    <row r="261" customFormat="false" ht="15" hidden="false" customHeight="false" outlineLevel="0" collapsed="false">
      <c r="A261" s="5" t="s">
        <v>2702</v>
      </c>
      <c r="B261" s="5" t="s">
        <v>227</v>
      </c>
      <c r="C261" s="5" t="s">
        <v>228</v>
      </c>
      <c r="D261" s="9" t="s">
        <v>92</v>
      </c>
      <c r="E261" s="5" t="n">
        <v>2</v>
      </c>
      <c r="F261" s="5" t="s">
        <v>2703</v>
      </c>
      <c r="G261" s="11" t="s">
        <v>2704</v>
      </c>
      <c r="H261" s="5" t="s">
        <v>2705</v>
      </c>
      <c r="I261" s="11" t="s">
        <v>2706</v>
      </c>
      <c r="J261" s="5" t="s">
        <v>2707</v>
      </c>
      <c r="K261" s="5" t="s">
        <v>2708</v>
      </c>
      <c r="L261" s="11" t="s">
        <v>2709</v>
      </c>
      <c r="M261" s="11" t="s">
        <v>2710</v>
      </c>
      <c r="N261" s="5" t="n">
        <f aca="false">LEN(L261)</f>
        <v>25</v>
      </c>
      <c r="O261" s="5" t="n">
        <f aca="false">LEN(M261)</f>
        <v>25</v>
      </c>
      <c r="P261" s="12" t="n">
        <f aca="false">IF(N261=0,"",(N261-LEN(SUBSTITUTE(SUBSTITUTE(L261,"G",""),"C","")))/N261)</f>
        <v>0.76</v>
      </c>
      <c r="Q261" s="12" t="n">
        <f aca="false">IF(O261=0,"",(O261-LEN(SUBSTITUTE(SUBSTITUTE(M261,"G",""),"C","")))/O261)</f>
        <v>0.6</v>
      </c>
      <c r="R261" s="5"/>
      <c r="S261" s="5" t="s">
        <v>382</v>
      </c>
      <c r="T261" s="5"/>
      <c r="U261" s="5" t="s">
        <v>383</v>
      </c>
      <c r="V261" s="5" t="s">
        <v>2701</v>
      </c>
      <c r="W261" s="5"/>
      <c r="X261" s="13" t="s">
        <v>385</v>
      </c>
      <c r="Y261" s="5"/>
    </row>
    <row r="262" customFormat="false" ht="15" hidden="false" customHeight="false" outlineLevel="0" collapsed="false">
      <c r="A262" s="5" t="s">
        <v>2711</v>
      </c>
      <c r="B262" s="5" t="s">
        <v>227</v>
      </c>
      <c r="C262" s="5" t="s">
        <v>228</v>
      </c>
      <c r="D262" s="9" t="s">
        <v>92</v>
      </c>
      <c r="E262" s="5" t="n">
        <v>3</v>
      </c>
      <c r="F262" s="5" t="s">
        <v>2712</v>
      </c>
      <c r="G262" s="11" t="s">
        <v>2713</v>
      </c>
      <c r="H262" s="5" t="s">
        <v>2714</v>
      </c>
      <c r="I262" s="11" t="s">
        <v>2715</v>
      </c>
      <c r="J262" s="5" t="s">
        <v>2716</v>
      </c>
      <c r="K262" s="5" t="s">
        <v>2717</v>
      </c>
      <c r="L262" s="11" t="s">
        <v>2718</v>
      </c>
      <c r="M262" s="11" t="s">
        <v>2719</v>
      </c>
      <c r="N262" s="5" t="n">
        <f aca="false">LEN(L262)</f>
        <v>25</v>
      </c>
      <c r="O262" s="5" t="n">
        <f aca="false">LEN(M262)</f>
        <v>25</v>
      </c>
      <c r="P262" s="12" t="n">
        <f aca="false">IF(N262=0,"",(N262-LEN(SUBSTITUTE(SUBSTITUTE(L262,"G",""),"C","")))/N262)</f>
        <v>0.44</v>
      </c>
      <c r="Q262" s="12" t="n">
        <f aca="false">IF(O262=0,"",(O262-LEN(SUBSTITUTE(SUBSTITUTE(M262,"G",""),"C","")))/O262)</f>
        <v>0.68</v>
      </c>
      <c r="R262" s="5"/>
      <c r="S262" s="5" t="s">
        <v>382</v>
      </c>
      <c r="T262" s="5"/>
      <c r="U262" s="5" t="s">
        <v>383</v>
      </c>
      <c r="V262" s="5" t="s">
        <v>2701</v>
      </c>
      <c r="W262" s="5"/>
      <c r="X262" s="13" t="s">
        <v>385</v>
      </c>
      <c r="Y262" s="5"/>
    </row>
    <row r="263" customFormat="false" ht="15" hidden="false" customHeight="false" outlineLevel="0" collapsed="false">
      <c r="A263" s="5" t="s">
        <v>2720</v>
      </c>
      <c r="B263" s="5" t="s">
        <v>227</v>
      </c>
      <c r="C263" s="5" t="s">
        <v>228</v>
      </c>
      <c r="D263" s="9" t="s">
        <v>92</v>
      </c>
      <c r="E263" s="5" t="n">
        <v>4</v>
      </c>
      <c r="F263" s="5" t="s">
        <v>2721</v>
      </c>
      <c r="G263" s="11" t="s">
        <v>2722</v>
      </c>
      <c r="H263" s="5" t="s">
        <v>2723</v>
      </c>
      <c r="I263" s="11" t="s">
        <v>2724</v>
      </c>
      <c r="J263" s="5" t="s">
        <v>2725</v>
      </c>
      <c r="K263" s="5" t="s">
        <v>2726</v>
      </c>
      <c r="L263" s="11" t="s">
        <v>2727</v>
      </c>
      <c r="M263" s="11" t="s">
        <v>2728</v>
      </c>
      <c r="N263" s="5" t="n">
        <f aca="false">LEN(L263)</f>
        <v>25</v>
      </c>
      <c r="O263" s="5" t="n">
        <f aca="false">LEN(M263)</f>
        <v>25</v>
      </c>
      <c r="P263" s="12" t="n">
        <f aca="false">IF(N263=0,"",(N263-LEN(SUBSTITUTE(SUBSTITUTE(L263,"G",""),"C","")))/N263)</f>
        <v>0.56</v>
      </c>
      <c r="Q263" s="12" t="n">
        <f aca="false">IF(O263=0,"",(O263-LEN(SUBSTITUTE(SUBSTITUTE(M263,"G",""),"C","")))/O263)</f>
        <v>0.72</v>
      </c>
      <c r="R263" s="5"/>
      <c r="S263" s="5" t="s">
        <v>382</v>
      </c>
      <c r="T263" s="5"/>
      <c r="U263" s="5" t="s">
        <v>383</v>
      </c>
      <c r="V263" s="5" t="s">
        <v>2701</v>
      </c>
      <c r="W263" s="5"/>
      <c r="X263" s="13" t="s">
        <v>385</v>
      </c>
      <c r="Y263" s="5"/>
    </row>
    <row r="264" customFormat="false" ht="15" hidden="false" customHeight="false" outlineLevel="0" collapsed="false">
      <c r="A264" s="5" t="s">
        <v>2729</v>
      </c>
      <c r="B264" s="5" t="s">
        <v>227</v>
      </c>
      <c r="C264" s="5" t="s">
        <v>228</v>
      </c>
      <c r="D264" s="9" t="s">
        <v>92</v>
      </c>
      <c r="E264" s="5" t="n">
        <v>5</v>
      </c>
      <c r="F264" s="5" t="s">
        <v>2730</v>
      </c>
      <c r="G264" s="11" t="s">
        <v>2731</v>
      </c>
      <c r="H264" s="5" t="s">
        <v>2732</v>
      </c>
      <c r="I264" s="11" t="s">
        <v>2733</v>
      </c>
      <c r="J264" s="5" t="s">
        <v>2734</v>
      </c>
      <c r="K264" s="5" t="s">
        <v>2735</v>
      </c>
      <c r="L264" s="11" t="s">
        <v>2736</v>
      </c>
      <c r="M264" s="11" t="s">
        <v>2737</v>
      </c>
      <c r="N264" s="5" t="n">
        <f aca="false">LEN(L264)</f>
        <v>25</v>
      </c>
      <c r="O264" s="5" t="n">
        <f aca="false">LEN(M264)</f>
        <v>25</v>
      </c>
      <c r="P264" s="12" t="n">
        <f aca="false">IF(N264=0,"",(N264-LEN(SUBSTITUTE(SUBSTITUTE(L264,"G",""),"C","")))/N264)</f>
        <v>0.68</v>
      </c>
      <c r="Q264" s="12" t="n">
        <f aca="false">IF(O264=0,"",(O264-LEN(SUBSTITUTE(SUBSTITUTE(M264,"G",""),"C","")))/O264)</f>
        <v>0.76</v>
      </c>
      <c r="R264" s="5"/>
      <c r="S264" s="5" t="s">
        <v>382</v>
      </c>
      <c r="T264" s="5"/>
      <c r="U264" s="5" t="s">
        <v>383</v>
      </c>
      <c r="V264" s="5" t="s">
        <v>2701</v>
      </c>
      <c r="W264" s="5"/>
      <c r="X264" s="13" t="s">
        <v>385</v>
      </c>
      <c r="Y264" s="5"/>
    </row>
    <row r="265" customFormat="false" ht="15" hidden="false" customHeight="false" outlineLevel="0" collapsed="false">
      <c r="A265" s="5" t="s">
        <v>2738</v>
      </c>
      <c r="B265" s="5" t="s">
        <v>227</v>
      </c>
      <c r="C265" s="5" t="s">
        <v>228</v>
      </c>
      <c r="D265" s="9" t="s">
        <v>92</v>
      </c>
      <c r="E265" s="5" t="n">
        <v>6</v>
      </c>
      <c r="F265" s="5" t="s">
        <v>2739</v>
      </c>
      <c r="G265" s="11" t="s">
        <v>2740</v>
      </c>
      <c r="H265" s="5" t="s">
        <v>2741</v>
      </c>
      <c r="I265" s="11" t="s">
        <v>2742</v>
      </c>
      <c r="J265" s="5" t="s">
        <v>2743</v>
      </c>
      <c r="K265" s="5" t="s">
        <v>2744</v>
      </c>
      <c r="L265" s="11" t="s">
        <v>2745</v>
      </c>
      <c r="M265" s="11" t="s">
        <v>2746</v>
      </c>
      <c r="N265" s="5" t="n">
        <f aca="false">LEN(L265)</f>
        <v>25</v>
      </c>
      <c r="O265" s="5" t="n">
        <f aca="false">LEN(M265)</f>
        <v>25</v>
      </c>
      <c r="P265" s="12" t="n">
        <f aca="false">IF(N265=0,"",(N265-LEN(SUBSTITUTE(SUBSTITUTE(L265,"G",""),"C","")))/N265)</f>
        <v>0.6</v>
      </c>
      <c r="Q265" s="12" t="n">
        <f aca="false">IF(O265=0,"",(O265-LEN(SUBSTITUTE(SUBSTITUTE(M265,"G",""),"C","")))/O265)</f>
        <v>0.68</v>
      </c>
      <c r="R265" s="5"/>
      <c r="S265" s="5" t="s">
        <v>382</v>
      </c>
      <c r="T265" s="5"/>
      <c r="U265" s="5" t="s">
        <v>383</v>
      </c>
      <c r="V265" s="5" t="s">
        <v>2701</v>
      </c>
      <c r="W265" s="5"/>
      <c r="X265" s="13" t="s">
        <v>385</v>
      </c>
      <c r="Y265" s="5"/>
    </row>
    <row r="266" customFormat="false" ht="15" hidden="false" customHeight="false" outlineLevel="0" collapsed="false">
      <c r="A266" s="5" t="s">
        <v>2747</v>
      </c>
      <c r="B266" s="5" t="s">
        <v>227</v>
      </c>
      <c r="C266" s="5" t="s">
        <v>228</v>
      </c>
      <c r="D266" s="9" t="s">
        <v>92</v>
      </c>
      <c r="E266" s="5" t="n">
        <v>7</v>
      </c>
      <c r="F266" s="5" t="s">
        <v>2748</v>
      </c>
      <c r="G266" s="11" t="s">
        <v>2749</v>
      </c>
      <c r="H266" s="5" t="s">
        <v>2750</v>
      </c>
      <c r="I266" s="11" t="s">
        <v>2751</v>
      </c>
      <c r="J266" s="5" t="s">
        <v>2752</v>
      </c>
      <c r="K266" s="5" t="s">
        <v>2753</v>
      </c>
      <c r="L266" s="11" t="s">
        <v>2754</v>
      </c>
      <c r="M266" s="11" t="s">
        <v>2755</v>
      </c>
      <c r="N266" s="5" t="n">
        <f aca="false">LEN(L266)</f>
        <v>25</v>
      </c>
      <c r="O266" s="5" t="n">
        <f aca="false">LEN(M266)</f>
        <v>25</v>
      </c>
      <c r="P266" s="12" t="n">
        <f aca="false">IF(N266=0,"",(N266-LEN(SUBSTITUTE(SUBSTITUTE(L266,"G",""),"C","")))/N266)</f>
        <v>0.44</v>
      </c>
      <c r="Q266" s="12" t="n">
        <f aca="false">IF(O266=0,"",(O266-LEN(SUBSTITUTE(SUBSTITUTE(M266,"G",""),"C","")))/O266)</f>
        <v>0.68</v>
      </c>
      <c r="R266" s="5"/>
      <c r="S266" s="5" t="s">
        <v>382</v>
      </c>
      <c r="T266" s="5"/>
      <c r="U266" s="5" t="s">
        <v>383</v>
      </c>
      <c r="V266" s="5" t="s">
        <v>2701</v>
      </c>
      <c r="W266" s="5"/>
      <c r="X266" s="13" t="s">
        <v>385</v>
      </c>
      <c r="Y266" s="5"/>
    </row>
    <row r="267" customFormat="false" ht="15" hidden="false" customHeight="false" outlineLevel="0" collapsed="false">
      <c r="A267" s="5" t="s">
        <v>2756</v>
      </c>
      <c r="B267" s="5" t="s">
        <v>227</v>
      </c>
      <c r="C267" s="5" t="s">
        <v>228</v>
      </c>
      <c r="D267" s="9" t="s">
        <v>92</v>
      </c>
      <c r="E267" s="5" t="n">
        <v>8</v>
      </c>
      <c r="F267" s="5" t="s">
        <v>2757</v>
      </c>
      <c r="G267" s="11" t="s">
        <v>2758</v>
      </c>
      <c r="H267" s="5" t="s">
        <v>2759</v>
      </c>
      <c r="I267" s="11" t="s">
        <v>2760</v>
      </c>
      <c r="J267" s="5" t="s">
        <v>2761</v>
      </c>
      <c r="K267" s="5" t="s">
        <v>2762</v>
      </c>
      <c r="L267" s="11" t="s">
        <v>2763</v>
      </c>
      <c r="M267" s="11" t="s">
        <v>2764</v>
      </c>
      <c r="N267" s="5" t="n">
        <f aca="false">LEN(L267)</f>
        <v>25</v>
      </c>
      <c r="O267" s="5" t="n">
        <f aca="false">LEN(M267)</f>
        <v>25</v>
      </c>
      <c r="P267" s="12" t="n">
        <f aca="false">IF(N267=0,"",(N267-LEN(SUBSTITUTE(SUBSTITUTE(L267,"G",""),"C","")))/N267)</f>
        <v>0.52</v>
      </c>
      <c r="Q267" s="12" t="n">
        <f aca="false">IF(O267=0,"",(O267-LEN(SUBSTITUTE(SUBSTITUTE(M267,"G",""),"C","")))/O267)</f>
        <v>0.44</v>
      </c>
      <c r="R267" s="5"/>
      <c r="S267" s="5" t="s">
        <v>382</v>
      </c>
      <c r="T267" s="5"/>
      <c r="U267" s="5" t="s">
        <v>383</v>
      </c>
      <c r="V267" s="5" t="s">
        <v>2701</v>
      </c>
      <c r="W267" s="5"/>
      <c r="X267" s="13" t="s">
        <v>385</v>
      </c>
      <c r="Y267" s="5"/>
    </row>
    <row r="268" customFormat="false" ht="15" hidden="false" customHeight="false" outlineLevel="0" collapsed="false">
      <c r="A268" s="5" t="s">
        <v>2765</v>
      </c>
      <c r="B268" s="5" t="s">
        <v>233</v>
      </c>
      <c r="C268" s="5" t="s">
        <v>234</v>
      </c>
      <c r="D268" s="9" t="s">
        <v>92</v>
      </c>
      <c r="E268" s="5" t="n">
        <v>1</v>
      </c>
      <c r="F268" s="5" t="s">
        <v>2766</v>
      </c>
      <c r="G268" s="11" t="s">
        <v>2767</v>
      </c>
      <c r="H268" s="5" t="s">
        <v>2768</v>
      </c>
      <c r="I268" s="11" t="s">
        <v>2769</v>
      </c>
      <c r="J268" s="5" t="s">
        <v>2770</v>
      </c>
      <c r="K268" s="5" t="s">
        <v>2771</v>
      </c>
      <c r="L268" s="11" t="s">
        <v>2772</v>
      </c>
      <c r="M268" s="11" t="s">
        <v>2773</v>
      </c>
      <c r="N268" s="5" t="n">
        <f aca="false">LEN(L268)</f>
        <v>25</v>
      </c>
      <c r="O268" s="5" t="n">
        <f aca="false">LEN(M268)</f>
        <v>25</v>
      </c>
      <c r="P268" s="12" t="n">
        <f aca="false">IF(N268=0,"",(N268-LEN(SUBSTITUTE(SUBSTITUTE(L268,"G",""),"C","")))/N268)</f>
        <v>0.64</v>
      </c>
      <c r="Q268" s="12" t="n">
        <f aca="false">IF(O268=0,"",(O268-LEN(SUBSTITUTE(SUBSTITUTE(M268,"G",""),"C","")))/O268)</f>
        <v>0.64</v>
      </c>
      <c r="R268" s="5"/>
      <c r="S268" s="5" t="s">
        <v>382</v>
      </c>
      <c r="T268" s="5"/>
      <c r="U268" s="5" t="s">
        <v>383</v>
      </c>
      <c r="V268" s="5" t="s">
        <v>2774</v>
      </c>
      <c r="W268" s="5"/>
      <c r="X268" s="13" t="s">
        <v>385</v>
      </c>
      <c r="Y268" s="5"/>
    </row>
    <row r="269" customFormat="false" ht="15" hidden="false" customHeight="false" outlineLevel="0" collapsed="false">
      <c r="A269" s="5" t="s">
        <v>2775</v>
      </c>
      <c r="B269" s="5" t="s">
        <v>233</v>
      </c>
      <c r="C269" s="5" t="s">
        <v>234</v>
      </c>
      <c r="D269" s="9" t="s">
        <v>92</v>
      </c>
      <c r="E269" s="5" t="n">
        <v>2</v>
      </c>
      <c r="F269" s="5" t="s">
        <v>2776</v>
      </c>
      <c r="G269" s="11" t="s">
        <v>2777</v>
      </c>
      <c r="H269" s="5" t="s">
        <v>2778</v>
      </c>
      <c r="I269" s="11" t="s">
        <v>2779</v>
      </c>
      <c r="J269" s="5" t="s">
        <v>2780</v>
      </c>
      <c r="K269" s="5" t="s">
        <v>2781</v>
      </c>
      <c r="L269" s="11" t="s">
        <v>2782</v>
      </c>
      <c r="M269" s="11" t="s">
        <v>2783</v>
      </c>
      <c r="N269" s="5" t="n">
        <f aca="false">LEN(L269)</f>
        <v>25</v>
      </c>
      <c r="O269" s="5" t="n">
        <f aca="false">LEN(M269)</f>
        <v>25</v>
      </c>
      <c r="P269" s="12" t="n">
        <f aca="false">IF(N269=0,"",(N269-LEN(SUBSTITUTE(SUBSTITUTE(L269,"G",""),"C","")))/N269)</f>
        <v>0.64</v>
      </c>
      <c r="Q269" s="12" t="n">
        <f aca="false">IF(O269=0,"",(O269-LEN(SUBSTITUTE(SUBSTITUTE(M269,"G",""),"C","")))/O269)</f>
        <v>0.6</v>
      </c>
      <c r="R269" s="5"/>
      <c r="S269" s="5" t="s">
        <v>382</v>
      </c>
      <c r="T269" s="5"/>
      <c r="U269" s="5" t="s">
        <v>383</v>
      </c>
      <c r="V269" s="5" t="s">
        <v>2774</v>
      </c>
      <c r="W269" s="5"/>
      <c r="X269" s="13" t="s">
        <v>385</v>
      </c>
      <c r="Y269" s="5"/>
    </row>
    <row r="270" customFormat="false" ht="15" hidden="false" customHeight="false" outlineLevel="0" collapsed="false">
      <c r="A270" s="5" t="s">
        <v>2784</v>
      </c>
      <c r="B270" s="5" t="s">
        <v>233</v>
      </c>
      <c r="C270" s="5" t="s">
        <v>234</v>
      </c>
      <c r="D270" s="9" t="s">
        <v>92</v>
      </c>
      <c r="E270" s="5" t="n">
        <v>3</v>
      </c>
      <c r="F270" s="5" t="s">
        <v>2785</v>
      </c>
      <c r="G270" s="11" t="s">
        <v>2786</v>
      </c>
      <c r="H270" s="5" t="s">
        <v>2787</v>
      </c>
      <c r="I270" s="11" t="s">
        <v>2788</v>
      </c>
      <c r="J270" s="5" t="s">
        <v>2789</v>
      </c>
      <c r="K270" s="5" t="s">
        <v>2790</v>
      </c>
      <c r="L270" s="11" t="s">
        <v>2791</v>
      </c>
      <c r="M270" s="11" t="s">
        <v>2792</v>
      </c>
      <c r="N270" s="5" t="n">
        <f aca="false">LEN(L270)</f>
        <v>25</v>
      </c>
      <c r="O270" s="5" t="n">
        <f aca="false">LEN(M270)</f>
        <v>25</v>
      </c>
      <c r="P270" s="12" t="n">
        <f aca="false">IF(N270=0,"",(N270-LEN(SUBSTITUTE(SUBSTITUTE(L270,"G",""),"C","")))/N270)</f>
        <v>0.4</v>
      </c>
      <c r="Q270" s="12" t="n">
        <f aca="false">IF(O270=0,"",(O270-LEN(SUBSTITUTE(SUBSTITUTE(M270,"G",""),"C","")))/O270)</f>
        <v>0.56</v>
      </c>
      <c r="R270" s="5"/>
      <c r="S270" s="5" t="s">
        <v>382</v>
      </c>
      <c r="T270" s="5"/>
      <c r="U270" s="5" t="s">
        <v>383</v>
      </c>
      <c r="V270" s="5" t="s">
        <v>2774</v>
      </c>
      <c r="W270" s="5"/>
      <c r="X270" s="13" t="s">
        <v>385</v>
      </c>
      <c r="Y270" s="5"/>
    </row>
    <row r="271" customFormat="false" ht="15" hidden="false" customHeight="false" outlineLevel="0" collapsed="false">
      <c r="A271" s="5" t="s">
        <v>2793</v>
      </c>
      <c r="B271" s="5" t="s">
        <v>233</v>
      </c>
      <c r="C271" s="5" t="s">
        <v>234</v>
      </c>
      <c r="D271" s="9" t="s">
        <v>92</v>
      </c>
      <c r="E271" s="5" t="n">
        <v>4</v>
      </c>
      <c r="F271" s="5" t="s">
        <v>2794</v>
      </c>
      <c r="G271" s="11" t="s">
        <v>2795</v>
      </c>
      <c r="H271" s="5" t="s">
        <v>2796</v>
      </c>
      <c r="I271" s="11" t="s">
        <v>2797</v>
      </c>
      <c r="J271" s="5" t="s">
        <v>2798</v>
      </c>
      <c r="K271" s="5" t="s">
        <v>2799</v>
      </c>
      <c r="L271" s="11" t="s">
        <v>2800</v>
      </c>
      <c r="M271" s="11" t="s">
        <v>2801</v>
      </c>
      <c r="N271" s="5" t="n">
        <f aca="false">LEN(L271)</f>
        <v>25</v>
      </c>
      <c r="O271" s="5" t="n">
        <f aca="false">LEN(M271)</f>
        <v>25</v>
      </c>
      <c r="P271" s="12" t="n">
        <f aca="false">IF(N271=0,"",(N271-LEN(SUBSTITUTE(SUBSTITUTE(L271,"G",""),"C","")))/N271)</f>
        <v>0.88</v>
      </c>
      <c r="Q271" s="12" t="n">
        <f aca="false">IF(O271=0,"",(O271-LEN(SUBSTITUTE(SUBSTITUTE(M271,"G",""),"C","")))/O271)</f>
        <v>0.72</v>
      </c>
      <c r="R271" s="5"/>
      <c r="S271" s="5" t="s">
        <v>382</v>
      </c>
      <c r="T271" s="5"/>
      <c r="U271" s="5" t="s">
        <v>383</v>
      </c>
      <c r="V271" s="5" t="s">
        <v>2774</v>
      </c>
      <c r="W271" s="5"/>
      <c r="X271" s="13" t="s">
        <v>385</v>
      </c>
      <c r="Y271" s="5"/>
    </row>
    <row r="272" customFormat="false" ht="15" hidden="false" customHeight="false" outlineLevel="0" collapsed="false">
      <c r="A272" s="5" t="s">
        <v>2802</v>
      </c>
      <c r="B272" s="5" t="s">
        <v>233</v>
      </c>
      <c r="C272" s="5" t="s">
        <v>234</v>
      </c>
      <c r="D272" s="9" t="s">
        <v>92</v>
      </c>
      <c r="E272" s="5" t="n">
        <v>5</v>
      </c>
      <c r="F272" s="5" t="s">
        <v>2803</v>
      </c>
      <c r="G272" s="11" t="s">
        <v>2804</v>
      </c>
      <c r="H272" s="5" t="s">
        <v>2805</v>
      </c>
      <c r="I272" s="11" t="s">
        <v>2806</v>
      </c>
      <c r="J272" s="5" t="s">
        <v>2807</v>
      </c>
      <c r="K272" s="5" t="s">
        <v>2808</v>
      </c>
      <c r="L272" s="11" t="s">
        <v>2809</v>
      </c>
      <c r="M272" s="11" t="s">
        <v>2810</v>
      </c>
      <c r="N272" s="5" t="n">
        <f aca="false">LEN(L272)</f>
        <v>25</v>
      </c>
      <c r="O272" s="5" t="n">
        <f aca="false">LEN(M272)</f>
        <v>25</v>
      </c>
      <c r="P272" s="12" t="n">
        <f aca="false">IF(N272=0,"",(N272-LEN(SUBSTITUTE(SUBSTITUTE(L272,"G",""),"C","")))/N272)</f>
        <v>0.92</v>
      </c>
      <c r="Q272" s="12" t="n">
        <f aca="false">IF(O272=0,"",(O272-LEN(SUBSTITUTE(SUBSTITUTE(M272,"G",""),"C","")))/O272)</f>
        <v>0.8</v>
      </c>
      <c r="R272" s="5"/>
      <c r="S272" s="5" t="s">
        <v>382</v>
      </c>
      <c r="T272" s="5"/>
      <c r="U272" s="5" t="s">
        <v>383</v>
      </c>
      <c r="V272" s="5" t="s">
        <v>2774</v>
      </c>
      <c r="W272" s="5"/>
      <c r="X272" s="13" t="s">
        <v>385</v>
      </c>
      <c r="Y272" s="5"/>
    </row>
    <row r="273" customFormat="false" ht="15" hidden="false" customHeight="false" outlineLevel="0" collapsed="false">
      <c r="A273" s="5" t="s">
        <v>2811</v>
      </c>
      <c r="B273" s="5" t="s">
        <v>233</v>
      </c>
      <c r="C273" s="5" t="s">
        <v>234</v>
      </c>
      <c r="D273" s="9" t="s">
        <v>92</v>
      </c>
      <c r="E273" s="5" t="n">
        <v>6</v>
      </c>
      <c r="F273" s="5" t="s">
        <v>2812</v>
      </c>
      <c r="G273" s="11" t="s">
        <v>2813</v>
      </c>
      <c r="H273" s="5" t="s">
        <v>2814</v>
      </c>
      <c r="I273" s="11" t="s">
        <v>2815</v>
      </c>
      <c r="J273" s="5" t="s">
        <v>2816</v>
      </c>
      <c r="K273" s="5" t="s">
        <v>2817</v>
      </c>
      <c r="L273" s="11" t="s">
        <v>2818</v>
      </c>
      <c r="M273" s="11" t="s">
        <v>2819</v>
      </c>
      <c r="N273" s="5" t="n">
        <f aca="false">LEN(L273)</f>
        <v>25</v>
      </c>
      <c r="O273" s="5" t="n">
        <f aca="false">LEN(M273)</f>
        <v>25</v>
      </c>
      <c r="P273" s="12" t="n">
        <f aca="false">IF(N273=0,"",(N273-LEN(SUBSTITUTE(SUBSTITUTE(L273,"G",""),"C","")))/N273)</f>
        <v>0.64</v>
      </c>
      <c r="Q273" s="12" t="n">
        <f aca="false">IF(O273=0,"",(O273-LEN(SUBSTITUTE(SUBSTITUTE(M273,"G",""),"C","")))/O273)</f>
        <v>0.56</v>
      </c>
      <c r="R273" s="5"/>
      <c r="S273" s="5" t="s">
        <v>382</v>
      </c>
      <c r="T273" s="5"/>
      <c r="U273" s="5" t="s">
        <v>383</v>
      </c>
      <c r="V273" s="5" t="s">
        <v>2774</v>
      </c>
      <c r="W273" s="5"/>
      <c r="X273" s="13" t="s">
        <v>385</v>
      </c>
      <c r="Y273" s="5"/>
    </row>
    <row r="274" customFormat="false" ht="15" hidden="false" customHeight="false" outlineLevel="0" collapsed="false">
      <c r="A274" s="5" t="s">
        <v>2820</v>
      </c>
      <c r="B274" s="5" t="s">
        <v>233</v>
      </c>
      <c r="C274" s="5" t="s">
        <v>234</v>
      </c>
      <c r="D274" s="9" t="s">
        <v>92</v>
      </c>
      <c r="E274" s="5" t="n">
        <v>7</v>
      </c>
      <c r="F274" s="5" t="s">
        <v>2821</v>
      </c>
      <c r="G274" s="11" t="s">
        <v>2822</v>
      </c>
      <c r="H274" s="5" t="s">
        <v>2823</v>
      </c>
      <c r="I274" s="11" t="s">
        <v>2824</v>
      </c>
      <c r="J274" s="5" t="s">
        <v>2825</v>
      </c>
      <c r="K274" s="5" t="s">
        <v>2826</v>
      </c>
      <c r="L274" s="11" t="s">
        <v>2827</v>
      </c>
      <c r="M274" s="11" t="s">
        <v>2828</v>
      </c>
      <c r="N274" s="5" t="n">
        <f aca="false">LEN(L274)</f>
        <v>25</v>
      </c>
      <c r="O274" s="5" t="n">
        <f aca="false">LEN(M274)</f>
        <v>25</v>
      </c>
      <c r="P274" s="12" t="n">
        <f aca="false">IF(N274=0,"",(N274-LEN(SUBSTITUTE(SUBSTITUTE(L274,"G",""),"C","")))/N274)</f>
        <v>0.6</v>
      </c>
      <c r="Q274" s="12" t="n">
        <f aca="false">IF(O274=0,"",(O274-LEN(SUBSTITUTE(SUBSTITUTE(M274,"G",""),"C","")))/O274)</f>
        <v>0.8</v>
      </c>
      <c r="R274" s="5"/>
      <c r="S274" s="5" t="s">
        <v>382</v>
      </c>
      <c r="T274" s="5"/>
      <c r="U274" s="5" t="s">
        <v>383</v>
      </c>
      <c r="V274" s="5" t="s">
        <v>2774</v>
      </c>
      <c r="W274" s="5"/>
      <c r="X274" s="13" t="s">
        <v>385</v>
      </c>
      <c r="Y274" s="5"/>
    </row>
    <row r="275" customFormat="false" ht="15" hidden="false" customHeight="false" outlineLevel="0" collapsed="false">
      <c r="A275" s="5" t="s">
        <v>2829</v>
      </c>
      <c r="B275" s="5" t="s">
        <v>233</v>
      </c>
      <c r="C275" s="5" t="s">
        <v>234</v>
      </c>
      <c r="D275" s="9" t="s">
        <v>92</v>
      </c>
      <c r="E275" s="5" t="n">
        <v>8</v>
      </c>
      <c r="F275" s="5" t="s">
        <v>2830</v>
      </c>
      <c r="G275" s="11" t="s">
        <v>2831</v>
      </c>
      <c r="H275" s="5" t="s">
        <v>2832</v>
      </c>
      <c r="I275" s="11" t="s">
        <v>2833</v>
      </c>
      <c r="J275" s="5" t="s">
        <v>2834</v>
      </c>
      <c r="K275" s="5" t="s">
        <v>2835</v>
      </c>
      <c r="L275" s="11" t="s">
        <v>2836</v>
      </c>
      <c r="M275" s="11" t="s">
        <v>2837</v>
      </c>
      <c r="N275" s="5" t="n">
        <f aca="false">LEN(L275)</f>
        <v>25</v>
      </c>
      <c r="O275" s="5" t="n">
        <f aca="false">LEN(M275)</f>
        <v>25</v>
      </c>
      <c r="P275" s="12" t="n">
        <f aca="false">IF(N275=0,"",(N275-LEN(SUBSTITUTE(SUBSTITUTE(L275,"G",""),"C","")))/N275)</f>
        <v>0.84</v>
      </c>
      <c r="Q275" s="12" t="n">
        <f aca="false">IF(O275=0,"",(O275-LEN(SUBSTITUTE(SUBSTITUTE(M275,"G",""),"C","")))/O275)</f>
        <v>0.68</v>
      </c>
      <c r="R275" s="5"/>
      <c r="S275" s="5" t="s">
        <v>382</v>
      </c>
      <c r="T275" s="5"/>
      <c r="U275" s="5" t="s">
        <v>383</v>
      </c>
      <c r="V275" s="5" t="s">
        <v>2774</v>
      </c>
      <c r="W275" s="5"/>
      <c r="X275" s="13" t="s">
        <v>385</v>
      </c>
      <c r="Y275" s="5"/>
    </row>
    <row r="276" customFormat="false" ht="15" hidden="false" customHeight="false" outlineLevel="0" collapsed="false">
      <c r="A276" s="5" t="s">
        <v>2838</v>
      </c>
      <c r="B276" s="5" t="s">
        <v>239</v>
      </c>
      <c r="C276" s="5" t="s">
        <v>240</v>
      </c>
      <c r="D276" s="9" t="s">
        <v>92</v>
      </c>
      <c r="E276" s="5" t="n">
        <v>1</v>
      </c>
      <c r="F276" s="5" t="s">
        <v>2839</v>
      </c>
      <c r="G276" s="11" t="s">
        <v>2840</v>
      </c>
      <c r="H276" s="5" t="s">
        <v>2841</v>
      </c>
      <c r="I276" s="11" t="s">
        <v>2842</v>
      </c>
      <c r="J276" s="5" t="s">
        <v>2843</v>
      </c>
      <c r="K276" s="5" t="s">
        <v>2844</v>
      </c>
      <c r="L276" s="11" t="s">
        <v>2845</v>
      </c>
      <c r="M276" s="11" t="s">
        <v>2846</v>
      </c>
      <c r="N276" s="5" t="n">
        <f aca="false">LEN(L276)</f>
        <v>25</v>
      </c>
      <c r="O276" s="5" t="n">
        <f aca="false">LEN(M276)</f>
        <v>25</v>
      </c>
      <c r="P276" s="12" t="n">
        <f aca="false">IF(N276=0,"",(N276-LEN(SUBSTITUTE(SUBSTITUTE(L276,"G",""),"C","")))/N276)</f>
        <v>0.6</v>
      </c>
      <c r="Q276" s="12" t="n">
        <f aca="false">IF(O276=0,"",(O276-LEN(SUBSTITUTE(SUBSTITUTE(M276,"G",""),"C","")))/O276)</f>
        <v>0.52</v>
      </c>
      <c r="R276" s="5"/>
      <c r="S276" s="5" t="s">
        <v>382</v>
      </c>
      <c r="T276" s="5"/>
      <c r="U276" s="5" t="s">
        <v>383</v>
      </c>
      <c r="V276" s="5" t="s">
        <v>2847</v>
      </c>
      <c r="W276" s="5"/>
      <c r="X276" s="13" t="s">
        <v>385</v>
      </c>
      <c r="Y276" s="5"/>
    </row>
    <row r="277" customFormat="false" ht="15" hidden="false" customHeight="false" outlineLevel="0" collapsed="false">
      <c r="A277" s="5" t="s">
        <v>2848</v>
      </c>
      <c r="B277" s="5" t="s">
        <v>239</v>
      </c>
      <c r="C277" s="5" t="s">
        <v>240</v>
      </c>
      <c r="D277" s="9" t="s">
        <v>92</v>
      </c>
      <c r="E277" s="5" t="n">
        <v>2</v>
      </c>
      <c r="F277" s="5" t="s">
        <v>2849</v>
      </c>
      <c r="G277" s="11" t="s">
        <v>2850</v>
      </c>
      <c r="H277" s="5" t="s">
        <v>2851</v>
      </c>
      <c r="I277" s="11" t="s">
        <v>2852</v>
      </c>
      <c r="J277" s="5" t="s">
        <v>2853</v>
      </c>
      <c r="K277" s="5" t="s">
        <v>2854</v>
      </c>
      <c r="L277" s="11" t="s">
        <v>2855</v>
      </c>
      <c r="M277" s="11" t="s">
        <v>2856</v>
      </c>
      <c r="N277" s="5" t="n">
        <f aca="false">LEN(L277)</f>
        <v>25</v>
      </c>
      <c r="O277" s="5" t="n">
        <f aca="false">LEN(M277)</f>
        <v>25</v>
      </c>
      <c r="P277" s="12" t="n">
        <f aca="false">IF(N277=0,"",(N277-LEN(SUBSTITUTE(SUBSTITUTE(L277,"G",""),"C","")))/N277)</f>
        <v>0.56</v>
      </c>
      <c r="Q277" s="12" t="n">
        <f aca="false">IF(O277=0,"",(O277-LEN(SUBSTITUTE(SUBSTITUTE(M277,"G",""),"C","")))/O277)</f>
        <v>0.56</v>
      </c>
      <c r="R277" s="5"/>
      <c r="S277" s="5" t="s">
        <v>382</v>
      </c>
      <c r="T277" s="5"/>
      <c r="U277" s="5" t="s">
        <v>383</v>
      </c>
      <c r="V277" s="5" t="s">
        <v>2847</v>
      </c>
      <c r="W277" s="5"/>
      <c r="X277" s="13" t="s">
        <v>385</v>
      </c>
      <c r="Y277" s="5"/>
    </row>
    <row r="278" customFormat="false" ht="15" hidden="false" customHeight="false" outlineLevel="0" collapsed="false">
      <c r="A278" s="5" t="s">
        <v>2857</v>
      </c>
      <c r="B278" s="5" t="s">
        <v>239</v>
      </c>
      <c r="C278" s="5" t="s">
        <v>240</v>
      </c>
      <c r="D278" s="9" t="s">
        <v>92</v>
      </c>
      <c r="E278" s="5" t="n">
        <v>3</v>
      </c>
      <c r="F278" s="5" t="s">
        <v>2858</v>
      </c>
      <c r="G278" s="11" t="s">
        <v>2859</v>
      </c>
      <c r="H278" s="5" t="s">
        <v>2860</v>
      </c>
      <c r="I278" s="11" t="s">
        <v>2861</v>
      </c>
      <c r="J278" s="5" t="s">
        <v>2862</v>
      </c>
      <c r="K278" s="5" t="s">
        <v>2863</v>
      </c>
      <c r="L278" s="11" t="s">
        <v>2864</v>
      </c>
      <c r="M278" s="11" t="s">
        <v>2865</v>
      </c>
      <c r="N278" s="5" t="n">
        <f aca="false">LEN(L278)</f>
        <v>25</v>
      </c>
      <c r="O278" s="5" t="n">
        <f aca="false">LEN(M278)</f>
        <v>25</v>
      </c>
      <c r="P278" s="12" t="n">
        <f aca="false">IF(N278=0,"",(N278-LEN(SUBSTITUTE(SUBSTITUTE(L278,"G",""),"C","")))/N278)</f>
        <v>0.56</v>
      </c>
      <c r="Q278" s="12" t="n">
        <f aca="false">IF(O278=0,"",(O278-LEN(SUBSTITUTE(SUBSTITUTE(M278,"G",""),"C","")))/O278)</f>
        <v>0.32</v>
      </c>
      <c r="R278" s="5"/>
      <c r="S278" s="5" t="s">
        <v>382</v>
      </c>
      <c r="T278" s="5"/>
      <c r="U278" s="5" t="s">
        <v>383</v>
      </c>
      <c r="V278" s="5" t="s">
        <v>2847</v>
      </c>
      <c r="W278" s="5"/>
      <c r="X278" s="13" t="s">
        <v>385</v>
      </c>
      <c r="Y278" s="5"/>
    </row>
    <row r="279" customFormat="false" ht="15" hidden="false" customHeight="false" outlineLevel="0" collapsed="false">
      <c r="A279" s="5" t="s">
        <v>2866</v>
      </c>
      <c r="B279" s="5" t="s">
        <v>239</v>
      </c>
      <c r="C279" s="5" t="s">
        <v>240</v>
      </c>
      <c r="D279" s="9" t="s">
        <v>92</v>
      </c>
      <c r="E279" s="5" t="n">
        <v>4</v>
      </c>
      <c r="F279" s="5" t="s">
        <v>2867</v>
      </c>
      <c r="G279" s="11" t="s">
        <v>2868</v>
      </c>
      <c r="H279" s="5" t="s">
        <v>2869</v>
      </c>
      <c r="I279" s="11" t="s">
        <v>2870</v>
      </c>
      <c r="J279" s="5" t="s">
        <v>2871</v>
      </c>
      <c r="K279" s="5" t="s">
        <v>2872</v>
      </c>
      <c r="L279" s="11" t="s">
        <v>2873</v>
      </c>
      <c r="M279" s="11" t="s">
        <v>2874</v>
      </c>
      <c r="N279" s="5" t="n">
        <f aca="false">LEN(L279)</f>
        <v>25</v>
      </c>
      <c r="O279" s="5" t="n">
        <f aca="false">LEN(M279)</f>
        <v>25</v>
      </c>
      <c r="P279" s="12" t="n">
        <f aca="false">IF(N279=0,"",(N279-LEN(SUBSTITUTE(SUBSTITUTE(L279,"G",""),"C","")))/N279)</f>
        <v>0.44</v>
      </c>
      <c r="Q279" s="12" t="n">
        <f aca="false">IF(O279=0,"",(O279-LEN(SUBSTITUTE(SUBSTITUTE(M279,"G",""),"C","")))/O279)</f>
        <v>0.4</v>
      </c>
      <c r="R279" s="5"/>
      <c r="S279" s="5" t="s">
        <v>382</v>
      </c>
      <c r="T279" s="5"/>
      <c r="U279" s="5" t="s">
        <v>383</v>
      </c>
      <c r="V279" s="5" t="s">
        <v>2847</v>
      </c>
      <c r="W279" s="5"/>
      <c r="X279" s="13" t="s">
        <v>385</v>
      </c>
      <c r="Y279" s="5"/>
    </row>
    <row r="280" customFormat="false" ht="15" hidden="false" customHeight="false" outlineLevel="0" collapsed="false">
      <c r="A280" s="5" t="s">
        <v>2875</v>
      </c>
      <c r="B280" s="5" t="s">
        <v>239</v>
      </c>
      <c r="C280" s="5" t="s">
        <v>240</v>
      </c>
      <c r="D280" s="9" t="s">
        <v>92</v>
      </c>
      <c r="E280" s="5" t="n">
        <v>5</v>
      </c>
      <c r="F280" s="5" t="s">
        <v>2876</v>
      </c>
      <c r="G280" s="11" t="s">
        <v>2877</v>
      </c>
      <c r="H280" s="5" t="s">
        <v>2878</v>
      </c>
      <c r="I280" s="11" t="s">
        <v>2879</v>
      </c>
      <c r="J280" s="5" t="s">
        <v>2880</v>
      </c>
      <c r="K280" s="5" t="s">
        <v>2881</v>
      </c>
      <c r="L280" s="11" t="s">
        <v>2882</v>
      </c>
      <c r="M280" s="11" t="s">
        <v>2883</v>
      </c>
      <c r="N280" s="5" t="n">
        <f aca="false">LEN(L280)</f>
        <v>25</v>
      </c>
      <c r="O280" s="5" t="n">
        <f aca="false">LEN(M280)</f>
        <v>25</v>
      </c>
      <c r="P280" s="12" t="n">
        <f aca="false">IF(N280=0,"",(N280-LEN(SUBSTITUTE(SUBSTITUTE(L280,"G",""),"C","")))/N280)</f>
        <v>0.64</v>
      </c>
      <c r="Q280" s="12" t="n">
        <f aca="false">IF(O280=0,"",(O280-LEN(SUBSTITUTE(SUBSTITUTE(M280,"G",""),"C","")))/O280)</f>
        <v>0.64</v>
      </c>
      <c r="R280" s="5"/>
      <c r="S280" s="5" t="s">
        <v>382</v>
      </c>
      <c r="T280" s="5"/>
      <c r="U280" s="5" t="s">
        <v>383</v>
      </c>
      <c r="V280" s="5" t="s">
        <v>2847</v>
      </c>
      <c r="W280" s="5"/>
      <c r="X280" s="13" t="s">
        <v>385</v>
      </c>
      <c r="Y280" s="5"/>
    </row>
    <row r="281" customFormat="false" ht="15" hidden="false" customHeight="false" outlineLevel="0" collapsed="false">
      <c r="A281" s="5" t="s">
        <v>2884</v>
      </c>
      <c r="B281" s="5" t="s">
        <v>239</v>
      </c>
      <c r="C281" s="5" t="s">
        <v>240</v>
      </c>
      <c r="D281" s="9" t="s">
        <v>92</v>
      </c>
      <c r="E281" s="5" t="n">
        <v>6</v>
      </c>
      <c r="F281" s="5" t="s">
        <v>2885</v>
      </c>
      <c r="G281" s="11" t="s">
        <v>2886</v>
      </c>
      <c r="H281" s="5" t="s">
        <v>2887</v>
      </c>
      <c r="I281" s="11" t="s">
        <v>2888</v>
      </c>
      <c r="J281" s="5" t="s">
        <v>2889</v>
      </c>
      <c r="K281" s="5" t="s">
        <v>2890</v>
      </c>
      <c r="L281" s="11" t="s">
        <v>2891</v>
      </c>
      <c r="M281" s="11" t="s">
        <v>2892</v>
      </c>
      <c r="N281" s="5" t="n">
        <f aca="false">LEN(L281)</f>
        <v>25</v>
      </c>
      <c r="O281" s="5" t="n">
        <f aca="false">LEN(M281)</f>
        <v>25</v>
      </c>
      <c r="P281" s="12" t="n">
        <f aca="false">IF(N281=0,"",(N281-LEN(SUBSTITUTE(SUBSTITUTE(L281,"G",""),"C","")))/N281)</f>
        <v>0.8</v>
      </c>
      <c r="Q281" s="12" t="n">
        <f aca="false">IF(O281=0,"",(O281-LEN(SUBSTITUTE(SUBSTITUTE(M281,"G",""),"C","")))/O281)</f>
        <v>0.48</v>
      </c>
      <c r="R281" s="5"/>
      <c r="S281" s="5" t="s">
        <v>382</v>
      </c>
      <c r="T281" s="5"/>
      <c r="U281" s="5" t="s">
        <v>383</v>
      </c>
      <c r="V281" s="5" t="s">
        <v>2847</v>
      </c>
      <c r="W281" s="5"/>
      <c r="X281" s="13" t="s">
        <v>385</v>
      </c>
      <c r="Y281" s="5"/>
    </row>
    <row r="282" customFormat="false" ht="15" hidden="false" customHeight="false" outlineLevel="0" collapsed="false">
      <c r="A282" s="5" t="s">
        <v>2893</v>
      </c>
      <c r="B282" s="5" t="s">
        <v>239</v>
      </c>
      <c r="C282" s="5" t="s">
        <v>240</v>
      </c>
      <c r="D282" s="9" t="s">
        <v>92</v>
      </c>
      <c r="E282" s="5" t="n">
        <v>7</v>
      </c>
      <c r="F282" s="5" t="s">
        <v>2894</v>
      </c>
      <c r="G282" s="11" t="s">
        <v>2895</v>
      </c>
      <c r="H282" s="5" t="s">
        <v>2896</v>
      </c>
      <c r="I282" s="11" t="s">
        <v>2897</v>
      </c>
      <c r="J282" s="5" t="s">
        <v>2898</v>
      </c>
      <c r="K282" s="5" t="s">
        <v>2899</v>
      </c>
      <c r="L282" s="11" t="s">
        <v>2900</v>
      </c>
      <c r="M282" s="11" t="s">
        <v>2901</v>
      </c>
      <c r="N282" s="5" t="n">
        <f aca="false">LEN(L282)</f>
        <v>25</v>
      </c>
      <c r="O282" s="5" t="n">
        <f aca="false">LEN(M282)</f>
        <v>25</v>
      </c>
      <c r="P282" s="12" t="n">
        <f aca="false">IF(N282=0,"",(N282-LEN(SUBSTITUTE(SUBSTITUTE(L282,"G",""),"C","")))/N282)</f>
        <v>0.64</v>
      </c>
      <c r="Q282" s="12" t="n">
        <f aca="false">IF(O282=0,"",(O282-LEN(SUBSTITUTE(SUBSTITUTE(M282,"G",""),"C","")))/O282)</f>
        <v>0.84</v>
      </c>
      <c r="R282" s="5"/>
      <c r="S282" s="5" t="s">
        <v>382</v>
      </c>
      <c r="T282" s="5"/>
      <c r="U282" s="5" t="s">
        <v>383</v>
      </c>
      <c r="V282" s="5" t="s">
        <v>2847</v>
      </c>
      <c r="W282" s="5"/>
      <c r="X282" s="13" t="s">
        <v>385</v>
      </c>
      <c r="Y282" s="5"/>
    </row>
    <row r="283" customFormat="false" ht="15" hidden="false" customHeight="false" outlineLevel="0" collapsed="false">
      <c r="A283" s="5" t="s">
        <v>2902</v>
      </c>
      <c r="B283" s="5" t="s">
        <v>239</v>
      </c>
      <c r="C283" s="5" t="s">
        <v>240</v>
      </c>
      <c r="D283" s="9" t="s">
        <v>92</v>
      </c>
      <c r="E283" s="5" t="n">
        <v>8</v>
      </c>
      <c r="F283" s="5" t="s">
        <v>2903</v>
      </c>
      <c r="G283" s="11" t="s">
        <v>2904</v>
      </c>
      <c r="H283" s="5" t="s">
        <v>2905</v>
      </c>
      <c r="I283" s="11" t="s">
        <v>2906</v>
      </c>
      <c r="J283" s="5" t="s">
        <v>2907</v>
      </c>
      <c r="K283" s="5" t="s">
        <v>2908</v>
      </c>
      <c r="L283" s="11" t="s">
        <v>2909</v>
      </c>
      <c r="M283" s="11" t="s">
        <v>2910</v>
      </c>
      <c r="N283" s="5" t="n">
        <f aca="false">LEN(L283)</f>
        <v>25</v>
      </c>
      <c r="O283" s="5" t="n">
        <f aca="false">LEN(M283)</f>
        <v>25</v>
      </c>
      <c r="P283" s="12" t="n">
        <f aca="false">IF(N283=0,"",(N283-LEN(SUBSTITUTE(SUBSTITUTE(L283,"G",""),"C","")))/N283)</f>
        <v>0.32</v>
      </c>
      <c r="Q283" s="12" t="n">
        <f aca="false">IF(O283=0,"",(O283-LEN(SUBSTITUTE(SUBSTITUTE(M283,"G",""),"C","")))/O283)</f>
        <v>0.52</v>
      </c>
      <c r="R283" s="5"/>
      <c r="S283" s="5" t="s">
        <v>382</v>
      </c>
      <c r="T283" s="5"/>
      <c r="U283" s="5" t="s">
        <v>383</v>
      </c>
      <c r="V283" s="5" t="s">
        <v>2847</v>
      </c>
      <c r="W283" s="5"/>
      <c r="X283" s="13" t="s">
        <v>385</v>
      </c>
      <c r="Y283" s="5"/>
    </row>
    <row r="284" customFormat="false" ht="15" hidden="false" customHeight="false" outlineLevel="0" collapsed="false">
      <c r="A284" s="5" t="s">
        <v>2911</v>
      </c>
      <c r="B284" s="5" t="s">
        <v>247</v>
      </c>
      <c r="C284" s="5" t="s">
        <v>248</v>
      </c>
      <c r="D284" s="9" t="s">
        <v>92</v>
      </c>
      <c r="E284" s="5" t="n">
        <v>1</v>
      </c>
      <c r="F284" s="5" t="s">
        <v>2912</v>
      </c>
      <c r="G284" s="11" t="s">
        <v>2913</v>
      </c>
      <c r="H284" s="5" t="s">
        <v>2914</v>
      </c>
      <c r="I284" s="11" t="s">
        <v>2915</v>
      </c>
      <c r="J284" s="5" t="s">
        <v>2916</v>
      </c>
      <c r="K284" s="5" t="s">
        <v>2917</v>
      </c>
      <c r="L284" s="11" t="s">
        <v>2918</v>
      </c>
      <c r="M284" s="11" t="s">
        <v>2919</v>
      </c>
      <c r="N284" s="5" t="n">
        <f aca="false">LEN(L284)</f>
        <v>25</v>
      </c>
      <c r="O284" s="5" t="n">
        <f aca="false">LEN(M284)</f>
        <v>25</v>
      </c>
      <c r="P284" s="12" t="n">
        <f aca="false">IF(N284=0,"",(N284-LEN(SUBSTITUTE(SUBSTITUTE(L284,"G",""),"C","")))/N284)</f>
        <v>0.48</v>
      </c>
      <c r="Q284" s="12" t="n">
        <f aca="false">IF(O284=0,"",(O284-LEN(SUBSTITUTE(SUBSTITUTE(M284,"G",""),"C","")))/O284)</f>
        <v>0.68</v>
      </c>
      <c r="R284" s="5"/>
      <c r="S284" s="5" t="s">
        <v>382</v>
      </c>
      <c r="T284" s="5"/>
      <c r="U284" s="5" t="s">
        <v>383</v>
      </c>
      <c r="V284" s="5" t="s">
        <v>2920</v>
      </c>
      <c r="W284" s="5"/>
      <c r="X284" s="13" t="s">
        <v>385</v>
      </c>
      <c r="Y284" s="5"/>
    </row>
    <row r="285" customFormat="false" ht="15" hidden="false" customHeight="false" outlineLevel="0" collapsed="false">
      <c r="A285" s="5" t="s">
        <v>2921</v>
      </c>
      <c r="B285" s="5" t="s">
        <v>247</v>
      </c>
      <c r="C285" s="5" t="s">
        <v>248</v>
      </c>
      <c r="D285" s="9" t="s">
        <v>92</v>
      </c>
      <c r="E285" s="5" t="n">
        <v>2</v>
      </c>
      <c r="F285" s="5" t="s">
        <v>2922</v>
      </c>
      <c r="G285" s="11" t="s">
        <v>2923</v>
      </c>
      <c r="H285" s="5" t="s">
        <v>2924</v>
      </c>
      <c r="I285" s="11" t="s">
        <v>2925</v>
      </c>
      <c r="J285" s="5" t="s">
        <v>2926</v>
      </c>
      <c r="K285" s="5" t="s">
        <v>2927</v>
      </c>
      <c r="L285" s="11" t="s">
        <v>2928</v>
      </c>
      <c r="M285" s="11" t="s">
        <v>2929</v>
      </c>
      <c r="N285" s="5" t="n">
        <f aca="false">LEN(L285)</f>
        <v>25</v>
      </c>
      <c r="O285" s="5" t="n">
        <f aca="false">LEN(M285)</f>
        <v>25</v>
      </c>
      <c r="P285" s="12" t="n">
        <f aca="false">IF(N285=0,"",(N285-LEN(SUBSTITUTE(SUBSTITUTE(L285,"G",""),"C","")))/N285)</f>
        <v>0.48</v>
      </c>
      <c r="Q285" s="12" t="n">
        <f aca="false">IF(O285=0,"",(O285-LEN(SUBSTITUTE(SUBSTITUTE(M285,"G",""),"C","")))/O285)</f>
        <v>0.52</v>
      </c>
      <c r="R285" s="5"/>
      <c r="S285" s="5" t="s">
        <v>382</v>
      </c>
      <c r="T285" s="5"/>
      <c r="U285" s="5" t="s">
        <v>383</v>
      </c>
      <c r="V285" s="5" t="s">
        <v>2920</v>
      </c>
      <c r="W285" s="5"/>
      <c r="X285" s="13" t="s">
        <v>385</v>
      </c>
      <c r="Y285" s="5"/>
    </row>
    <row r="286" customFormat="false" ht="15" hidden="false" customHeight="false" outlineLevel="0" collapsed="false">
      <c r="A286" s="5" t="s">
        <v>2930</v>
      </c>
      <c r="B286" s="5" t="s">
        <v>247</v>
      </c>
      <c r="C286" s="5" t="s">
        <v>248</v>
      </c>
      <c r="D286" s="9" t="s">
        <v>92</v>
      </c>
      <c r="E286" s="5" t="n">
        <v>3</v>
      </c>
      <c r="F286" s="5" t="s">
        <v>2931</v>
      </c>
      <c r="G286" s="11" t="s">
        <v>2932</v>
      </c>
      <c r="H286" s="5" t="s">
        <v>2933</v>
      </c>
      <c r="I286" s="11" t="s">
        <v>2934</v>
      </c>
      <c r="J286" s="5" t="s">
        <v>2935</v>
      </c>
      <c r="K286" s="5" t="s">
        <v>2936</v>
      </c>
      <c r="L286" s="11" t="s">
        <v>2937</v>
      </c>
      <c r="M286" s="11" t="s">
        <v>2938</v>
      </c>
      <c r="N286" s="5" t="n">
        <f aca="false">LEN(L286)</f>
        <v>25</v>
      </c>
      <c r="O286" s="5" t="n">
        <f aca="false">LEN(M286)</f>
        <v>25</v>
      </c>
      <c r="P286" s="12" t="n">
        <f aca="false">IF(N286=0,"",(N286-LEN(SUBSTITUTE(SUBSTITUTE(L286,"G",""),"C","")))/N286)</f>
        <v>0.64</v>
      </c>
      <c r="Q286" s="12" t="n">
        <f aca="false">IF(O286=0,"",(O286-LEN(SUBSTITUTE(SUBSTITUTE(M286,"G",""),"C","")))/O286)</f>
        <v>0.84</v>
      </c>
      <c r="R286" s="5"/>
      <c r="S286" s="5" t="s">
        <v>382</v>
      </c>
      <c r="T286" s="5"/>
      <c r="U286" s="5" t="s">
        <v>383</v>
      </c>
      <c r="V286" s="5" t="s">
        <v>2920</v>
      </c>
      <c r="W286" s="5"/>
      <c r="X286" s="13" t="s">
        <v>385</v>
      </c>
      <c r="Y286" s="5"/>
    </row>
    <row r="287" customFormat="false" ht="15" hidden="false" customHeight="false" outlineLevel="0" collapsed="false">
      <c r="A287" s="5" t="s">
        <v>2939</v>
      </c>
      <c r="B287" s="5" t="s">
        <v>247</v>
      </c>
      <c r="C287" s="5" t="s">
        <v>248</v>
      </c>
      <c r="D287" s="9" t="s">
        <v>92</v>
      </c>
      <c r="E287" s="5" t="n">
        <v>4</v>
      </c>
      <c r="F287" s="5" t="s">
        <v>2940</v>
      </c>
      <c r="G287" s="11" t="s">
        <v>2941</v>
      </c>
      <c r="H287" s="5" t="s">
        <v>2942</v>
      </c>
      <c r="I287" s="11" t="s">
        <v>2943</v>
      </c>
      <c r="J287" s="5" t="s">
        <v>2944</v>
      </c>
      <c r="K287" s="5" t="s">
        <v>2945</v>
      </c>
      <c r="L287" s="11" t="s">
        <v>2946</v>
      </c>
      <c r="M287" s="11" t="s">
        <v>2947</v>
      </c>
      <c r="N287" s="5" t="n">
        <f aca="false">LEN(L287)</f>
        <v>25</v>
      </c>
      <c r="O287" s="5" t="n">
        <f aca="false">LEN(M287)</f>
        <v>25</v>
      </c>
      <c r="P287" s="12" t="n">
        <f aca="false">IF(N287=0,"",(N287-LEN(SUBSTITUTE(SUBSTITUTE(L287,"G",""),"C","")))/N287)</f>
        <v>0.68</v>
      </c>
      <c r="Q287" s="12" t="n">
        <f aca="false">IF(O287=0,"",(O287-LEN(SUBSTITUTE(SUBSTITUTE(M287,"G",""),"C","")))/O287)</f>
        <v>0.64</v>
      </c>
      <c r="R287" s="5"/>
      <c r="S287" s="5" t="s">
        <v>382</v>
      </c>
      <c r="T287" s="5"/>
      <c r="U287" s="5" t="s">
        <v>383</v>
      </c>
      <c r="V287" s="5" t="s">
        <v>2920</v>
      </c>
      <c r="W287" s="5"/>
      <c r="X287" s="13" t="s">
        <v>385</v>
      </c>
      <c r="Y287" s="5"/>
    </row>
    <row r="288" customFormat="false" ht="15" hidden="false" customHeight="false" outlineLevel="0" collapsed="false">
      <c r="A288" s="5" t="s">
        <v>2948</v>
      </c>
      <c r="B288" s="5" t="s">
        <v>247</v>
      </c>
      <c r="C288" s="5" t="s">
        <v>248</v>
      </c>
      <c r="D288" s="9" t="s">
        <v>92</v>
      </c>
      <c r="E288" s="5" t="n">
        <v>5</v>
      </c>
      <c r="F288" s="5" t="s">
        <v>2949</v>
      </c>
      <c r="G288" s="11" t="s">
        <v>2950</v>
      </c>
      <c r="H288" s="5" t="s">
        <v>2951</v>
      </c>
      <c r="I288" s="11" t="s">
        <v>2952</v>
      </c>
      <c r="J288" s="5" t="s">
        <v>2953</v>
      </c>
      <c r="K288" s="5" t="s">
        <v>2954</v>
      </c>
      <c r="L288" s="11" t="s">
        <v>2955</v>
      </c>
      <c r="M288" s="11" t="s">
        <v>2956</v>
      </c>
      <c r="N288" s="5" t="n">
        <f aca="false">LEN(L288)</f>
        <v>25</v>
      </c>
      <c r="O288" s="5" t="n">
        <f aca="false">LEN(M288)</f>
        <v>25</v>
      </c>
      <c r="P288" s="12" t="n">
        <f aca="false">IF(N288=0,"",(N288-LEN(SUBSTITUTE(SUBSTITUTE(L288,"G",""),"C","")))/N288)</f>
        <v>0.52</v>
      </c>
      <c r="Q288" s="12" t="n">
        <f aca="false">IF(O288=0,"",(O288-LEN(SUBSTITUTE(SUBSTITUTE(M288,"G",""),"C","")))/O288)</f>
        <v>0.4</v>
      </c>
      <c r="R288" s="5"/>
      <c r="S288" s="5" t="s">
        <v>382</v>
      </c>
      <c r="T288" s="5"/>
      <c r="U288" s="5" t="s">
        <v>383</v>
      </c>
      <c r="V288" s="5" t="s">
        <v>2920</v>
      </c>
      <c r="W288" s="5"/>
      <c r="X288" s="13" t="s">
        <v>385</v>
      </c>
      <c r="Y288" s="5"/>
    </row>
    <row r="289" customFormat="false" ht="15" hidden="false" customHeight="false" outlineLevel="0" collapsed="false">
      <c r="A289" s="5" t="s">
        <v>2957</v>
      </c>
      <c r="B289" s="5" t="s">
        <v>247</v>
      </c>
      <c r="C289" s="5" t="s">
        <v>248</v>
      </c>
      <c r="D289" s="9" t="s">
        <v>92</v>
      </c>
      <c r="E289" s="5" t="n">
        <v>6</v>
      </c>
      <c r="F289" s="5" t="s">
        <v>2958</v>
      </c>
      <c r="G289" s="11" t="s">
        <v>2959</v>
      </c>
      <c r="H289" s="5" t="s">
        <v>2960</v>
      </c>
      <c r="I289" s="11" t="s">
        <v>2961</v>
      </c>
      <c r="J289" s="5" t="s">
        <v>2962</v>
      </c>
      <c r="K289" s="5" t="s">
        <v>2963</v>
      </c>
      <c r="L289" s="11" t="s">
        <v>2964</v>
      </c>
      <c r="M289" s="11" t="s">
        <v>2965</v>
      </c>
      <c r="N289" s="5" t="n">
        <f aca="false">LEN(L289)</f>
        <v>25</v>
      </c>
      <c r="O289" s="5" t="n">
        <f aca="false">LEN(M289)</f>
        <v>25</v>
      </c>
      <c r="P289" s="12" t="n">
        <f aca="false">IF(N289=0,"",(N289-LEN(SUBSTITUTE(SUBSTITUTE(L289,"G",""),"C","")))/N289)</f>
        <v>0.4</v>
      </c>
      <c r="Q289" s="12" t="n">
        <f aca="false">IF(O289=0,"",(O289-LEN(SUBSTITUTE(SUBSTITUTE(M289,"G",""),"C","")))/O289)</f>
        <v>0.4</v>
      </c>
      <c r="R289" s="5"/>
      <c r="S289" s="5" t="s">
        <v>382</v>
      </c>
      <c r="T289" s="5"/>
      <c r="U289" s="5" t="s">
        <v>383</v>
      </c>
      <c r="V289" s="5" t="s">
        <v>2920</v>
      </c>
      <c r="W289" s="5"/>
      <c r="X289" s="13" t="s">
        <v>385</v>
      </c>
      <c r="Y289" s="5"/>
    </row>
    <row r="290" customFormat="false" ht="15" hidden="false" customHeight="false" outlineLevel="0" collapsed="false">
      <c r="A290" s="5" t="s">
        <v>2966</v>
      </c>
      <c r="B290" s="5" t="s">
        <v>255</v>
      </c>
      <c r="C290" s="5" t="s">
        <v>256</v>
      </c>
      <c r="D290" s="9" t="s">
        <v>92</v>
      </c>
      <c r="E290" s="5" t="n">
        <v>1</v>
      </c>
      <c r="F290" s="5" t="s">
        <v>2967</v>
      </c>
      <c r="G290" s="11" t="s">
        <v>2968</v>
      </c>
      <c r="H290" s="5" t="s">
        <v>2969</v>
      </c>
      <c r="I290" s="11" t="s">
        <v>2970</v>
      </c>
      <c r="J290" s="5" t="s">
        <v>2971</v>
      </c>
      <c r="K290" s="5" t="s">
        <v>2972</v>
      </c>
      <c r="L290" s="11" t="s">
        <v>2973</v>
      </c>
      <c r="M290" s="11" t="s">
        <v>2974</v>
      </c>
      <c r="N290" s="5" t="n">
        <f aca="false">LEN(L290)</f>
        <v>25</v>
      </c>
      <c r="O290" s="5" t="n">
        <f aca="false">LEN(M290)</f>
        <v>25</v>
      </c>
      <c r="P290" s="12" t="n">
        <f aca="false">IF(N290=0,"",(N290-LEN(SUBSTITUTE(SUBSTITUTE(L290,"G",""),"C","")))/N290)</f>
        <v>0.48</v>
      </c>
      <c r="Q290" s="12" t="n">
        <f aca="false">IF(O290=0,"",(O290-LEN(SUBSTITUTE(SUBSTITUTE(M290,"G",""),"C","")))/O290)</f>
        <v>0.36</v>
      </c>
      <c r="R290" s="5"/>
      <c r="S290" s="5" t="s">
        <v>382</v>
      </c>
      <c r="T290" s="5"/>
      <c r="U290" s="5" t="s">
        <v>383</v>
      </c>
      <c r="V290" s="5" t="s">
        <v>2975</v>
      </c>
      <c r="W290" s="5"/>
      <c r="X290" s="13" t="s">
        <v>385</v>
      </c>
      <c r="Y290" s="5"/>
    </row>
    <row r="291" customFormat="false" ht="15" hidden="false" customHeight="false" outlineLevel="0" collapsed="false">
      <c r="A291" s="5" t="s">
        <v>2976</v>
      </c>
      <c r="B291" s="5" t="s">
        <v>255</v>
      </c>
      <c r="C291" s="5" t="s">
        <v>256</v>
      </c>
      <c r="D291" s="9" t="s">
        <v>92</v>
      </c>
      <c r="E291" s="5" t="n">
        <v>2</v>
      </c>
      <c r="F291" s="5" t="s">
        <v>2977</v>
      </c>
      <c r="G291" s="11" t="s">
        <v>2978</v>
      </c>
      <c r="H291" s="5" t="s">
        <v>2979</v>
      </c>
      <c r="I291" s="11" t="s">
        <v>2980</v>
      </c>
      <c r="J291" s="5" t="s">
        <v>2981</v>
      </c>
      <c r="K291" s="5" t="s">
        <v>2982</v>
      </c>
      <c r="L291" s="11" t="s">
        <v>2983</v>
      </c>
      <c r="M291" s="11" t="s">
        <v>2984</v>
      </c>
      <c r="N291" s="5" t="n">
        <f aca="false">LEN(L291)</f>
        <v>25</v>
      </c>
      <c r="O291" s="5" t="n">
        <f aca="false">LEN(M291)</f>
        <v>25</v>
      </c>
      <c r="P291" s="12" t="n">
        <f aca="false">IF(N291=0,"",(N291-LEN(SUBSTITUTE(SUBSTITUTE(L291,"G",""),"C","")))/N291)</f>
        <v>0.48</v>
      </c>
      <c r="Q291" s="12" t="n">
        <f aca="false">IF(O291=0,"",(O291-LEN(SUBSTITUTE(SUBSTITUTE(M291,"G",""),"C","")))/O291)</f>
        <v>0.6</v>
      </c>
      <c r="R291" s="5"/>
      <c r="S291" s="5" t="s">
        <v>382</v>
      </c>
      <c r="T291" s="5"/>
      <c r="U291" s="5" t="s">
        <v>383</v>
      </c>
      <c r="V291" s="5" t="s">
        <v>2975</v>
      </c>
      <c r="W291" s="5"/>
      <c r="X291" s="13" t="s">
        <v>385</v>
      </c>
      <c r="Y291" s="5"/>
    </row>
    <row r="292" customFormat="false" ht="15" hidden="false" customHeight="false" outlineLevel="0" collapsed="false">
      <c r="A292" s="5" t="s">
        <v>2985</v>
      </c>
      <c r="B292" s="5" t="s">
        <v>255</v>
      </c>
      <c r="C292" s="5" t="s">
        <v>256</v>
      </c>
      <c r="D292" s="9" t="s">
        <v>92</v>
      </c>
      <c r="E292" s="5" t="n">
        <v>3</v>
      </c>
      <c r="F292" s="5" t="s">
        <v>2986</v>
      </c>
      <c r="G292" s="11" t="s">
        <v>2987</v>
      </c>
      <c r="H292" s="5" t="s">
        <v>2988</v>
      </c>
      <c r="I292" s="11" t="s">
        <v>2989</v>
      </c>
      <c r="J292" s="5" t="s">
        <v>2990</v>
      </c>
      <c r="K292" s="5" t="s">
        <v>2991</v>
      </c>
      <c r="L292" s="11" t="s">
        <v>2992</v>
      </c>
      <c r="M292" s="11" t="s">
        <v>2993</v>
      </c>
      <c r="N292" s="5" t="n">
        <f aca="false">LEN(L292)</f>
        <v>25</v>
      </c>
      <c r="O292" s="5" t="n">
        <f aca="false">LEN(M292)</f>
        <v>25</v>
      </c>
      <c r="P292" s="12" t="n">
        <f aca="false">IF(N292=0,"",(N292-LEN(SUBSTITUTE(SUBSTITUTE(L292,"G",""),"C","")))/N292)</f>
        <v>0.52</v>
      </c>
      <c r="Q292" s="12" t="n">
        <f aca="false">IF(O292=0,"",(O292-LEN(SUBSTITUTE(SUBSTITUTE(M292,"G",""),"C","")))/O292)</f>
        <v>0.48</v>
      </c>
      <c r="R292" s="5"/>
      <c r="S292" s="5" t="s">
        <v>382</v>
      </c>
      <c r="T292" s="5"/>
      <c r="U292" s="5" t="s">
        <v>383</v>
      </c>
      <c r="V292" s="5" t="s">
        <v>2975</v>
      </c>
      <c r="W292" s="5"/>
      <c r="X292" s="13" t="s">
        <v>385</v>
      </c>
      <c r="Y292" s="5"/>
    </row>
    <row r="293" customFormat="false" ht="15" hidden="false" customHeight="false" outlineLevel="0" collapsed="false">
      <c r="A293" s="5" t="s">
        <v>2994</v>
      </c>
      <c r="B293" s="5" t="s">
        <v>255</v>
      </c>
      <c r="C293" s="5" t="s">
        <v>256</v>
      </c>
      <c r="D293" s="9" t="s">
        <v>92</v>
      </c>
      <c r="E293" s="5" t="n">
        <v>4</v>
      </c>
      <c r="F293" s="5" t="s">
        <v>2995</v>
      </c>
      <c r="G293" s="11" t="s">
        <v>2996</v>
      </c>
      <c r="H293" s="5" t="s">
        <v>2997</v>
      </c>
      <c r="I293" s="11" t="s">
        <v>2998</v>
      </c>
      <c r="J293" s="5" t="s">
        <v>2999</v>
      </c>
      <c r="K293" s="5" t="s">
        <v>3000</v>
      </c>
      <c r="L293" s="11" t="s">
        <v>3001</v>
      </c>
      <c r="M293" s="11" t="s">
        <v>3002</v>
      </c>
      <c r="N293" s="5" t="n">
        <f aca="false">LEN(L293)</f>
        <v>25</v>
      </c>
      <c r="O293" s="5" t="n">
        <f aca="false">LEN(M293)</f>
        <v>25</v>
      </c>
      <c r="P293" s="12" t="n">
        <f aca="false">IF(N293=0,"",(N293-LEN(SUBSTITUTE(SUBSTITUTE(L293,"G",""),"C","")))/N293)</f>
        <v>0.56</v>
      </c>
      <c r="Q293" s="12" t="n">
        <f aca="false">IF(O293=0,"",(O293-LEN(SUBSTITUTE(SUBSTITUTE(M293,"G",""),"C","")))/O293)</f>
        <v>0.64</v>
      </c>
      <c r="R293" s="5"/>
      <c r="S293" s="5" t="s">
        <v>382</v>
      </c>
      <c r="T293" s="5"/>
      <c r="U293" s="5" t="s">
        <v>383</v>
      </c>
      <c r="V293" s="5" t="s">
        <v>2975</v>
      </c>
      <c r="W293" s="5"/>
      <c r="X293" s="13" t="s">
        <v>385</v>
      </c>
      <c r="Y293" s="5"/>
    </row>
    <row r="294" customFormat="false" ht="15" hidden="false" customHeight="false" outlineLevel="0" collapsed="false">
      <c r="A294" s="5" t="s">
        <v>3003</v>
      </c>
      <c r="B294" s="5" t="s">
        <v>255</v>
      </c>
      <c r="C294" s="5" t="s">
        <v>256</v>
      </c>
      <c r="D294" s="9" t="s">
        <v>92</v>
      </c>
      <c r="E294" s="5" t="n">
        <v>5</v>
      </c>
      <c r="F294" s="5" t="s">
        <v>3004</v>
      </c>
      <c r="G294" s="11" t="s">
        <v>3005</v>
      </c>
      <c r="H294" s="5" t="s">
        <v>3006</v>
      </c>
      <c r="I294" s="11" t="s">
        <v>3007</v>
      </c>
      <c r="J294" s="5" t="s">
        <v>3008</v>
      </c>
      <c r="K294" s="5" t="s">
        <v>3009</v>
      </c>
      <c r="L294" s="11" t="s">
        <v>3010</v>
      </c>
      <c r="M294" s="11" t="s">
        <v>3011</v>
      </c>
      <c r="N294" s="5" t="n">
        <f aca="false">LEN(L294)</f>
        <v>25</v>
      </c>
      <c r="O294" s="5" t="n">
        <f aca="false">LEN(M294)</f>
        <v>25</v>
      </c>
      <c r="P294" s="12" t="n">
        <f aca="false">IF(N294=0,"",(N294-LEN(SUBSTITUTE(SUBSTITUTE(L294,"G",""),"C","")))/N294)</f>
        <v>0.48</v>
      </c>
      <c r="Q294" s="12" t="n">
        <f aca="false">IF(O294=0,"",(O294-LEN(SUBSTITUTE(SUBSTITUTE(M294,"G",""),"C","")))/O294)</f>
        <v>0.52</v>
      </c>
      <c r="R294" s="5"/>
      <c r="S294" s="5" t="s">
        <v>382</v>
      </c>
      <c r="T294" s="5"/>
      <c r="U294" s="5" t="s">
        <v>383</v>
      </c>
      <c r="V294" s="5" t="s">
        <v>2975</v>
      </c>
      <c r="W294" s="5"/>
      <c r="X294" s="13" t="s">
        <v>385</v>
      </c>
      <c r="Y294" s="5"/>
    </row>
    <row r="295" customFormat="false" ht="15" hidden="false" customHeight="false" outlineLevel="0" collapsed="false">
      <c r="A295" s="5" t="s">
        <v>3012</v>
      </c>
      <c r="B295" s="5" t="s">
        <v>255</v>
      </c>
      <c r="C295" s="5" t="s">
        <v>256</v>
      </c>
      <c r="D295" s="9" t="s">
        <v>92</v>
      </c>
      <c r="E295" s="5" t="n">
        <v>6</v>
      </c>
      <c r="F295" s="5" t="s">
        <v>3013</v>
      </c>
      <c r="G295" s="11" t="s">
        <v>3014</v>
      </c>
      <c r="H295" s="5" t="s">
        <v>3015</v>
      </c>
      <c r="I295" s="11" t="s">
        <v>3016</v>
      </c>
      <c r="J295" s="5" t="s">
        <v>3017</v>
      </c>
      <c r="K295" s="5" t="s">
        <v>3018</v>
      </c>
      <c r="L295" s="11" t="s">
        <v>3019</v>
      </c>
      <c r="M295" s="11" t="s">
        <v>3020</v>
      </c>
      <c r="N295" s="5" t="n">
        <f aca="false">LEN(L295)</f>
        <v>25</v>
      </c>
      <c r="O295" s="5" t="n">
        <f aca="false">LEN(M295)</f>
        <v>25</v>
      </c>
      <c r="P295" s="12" t="n">
        <f aca="false">IF(N295=0,"",(N295-LEN(SUBSTITUTE(SUBSTITUTE(L295,"G",""),"C","")))/N295)</f>
        <v>0.56</v>
      </c>
      <c r="Q295" s="12" t="n">
        <f aca="false">IF(O295=0,"",(O295-LEN(SUBSTITUTE(SUBSTITUTE(M295,"G",""),"C","")))/O295)</f>
        <v>0.48</v>
      </c>
      <c r="R295" s="5"/>
      <c r="S295" s="5" t="s">
        <v>382</v>
      </c>
      <c r="T295" s="5"/>
      <c r="U295" s="5" t="s">
        <v>383</v>
      </c>
      <c r="V295" s="5" t="s">
        <v>2975</v>
      </c>
      <c r="W295" s="5"/>
      <c r="X295" s="13" t="s">
        <v>385</v>
      </c>
      <c r="Y295" s="5"/>
    </row>
    <row r="296" customFormat="false" ht="15" hidden="false" customHeight="false" outlineLevel="0" collapsed="false">
      <c r="A296" s="5" t="s">
        <v>3021</v>
      </c>
      <c r="B296" s="5" t="s">
        <v>255</v>
      </c>
      <c r="C296" s="5" t="s">
        <v>256</v>
      </c>
      <c r="D296" s="9" t="s">
        <v>92</v>
      </c>
      <c r="E296" s="5" t="n">
        <v>7</v>
      </c>
      <c r="F296" s="5" t="s">
        <v>3022</v>
      </c>
      <c r="G296" s="11" t="s">
        <v>3023</v>
      </c>
      <c r="H296" s="5" t="s">
        <v>3024</v>
      </c>
      <c r="I296" s="11" t="s">
        <v>3025</v>
      </c>
      <c r="J296" s="5" t="s">
        <v>3026</v>
      </c>
      <c r="K296" s="5" t="s">
        <v>3027</v>
      </c>
      <c r="L296" s="11" t="s">
        <v>3028</v>
      </c>
      <c r="M296" s="11" t="s">
        <v>3029</v>
      </c>
      <c r="N296" s="5" t="n">
        <f aca="false">LEN(L296)</f>
        <v>25</v>
      </c>
      <c r="O296" s="5" t="n">
        <f aca="false">LEN(M296)</f>
        <v>25</v>
      </c>
      <c r="P296" s="12" t="n">
        <f aca="false">IF(N296=0,"",(N296-LEN(SUBSTITUTE(SUBSTITUTE(L296,"G",""),"C","")))/N296)</f>
        <v>0.52</v>
      </c>
      <c r="Q296" s="12" t="n">
        <f aca="false">IF(O296=0,"",(O296-LEN(SUBSTITUTE(SUBSTITUTE(M296,"G",""),"C","")))/O296)</f>
        <v>0.64</v>
      </c>
      <c r="R296" s="5"/>
      <c r="S296" s="5" t="s">
        <v>382</v>
      </c>
      <c r="T296" s="5"/>
      <c r="U296" s="5" t="s">
        <v>383</v>
      </c>
      <c r="V296" s="5" t="s">
        <v>2975</v>
      </c>
      <c r="W296" s="5"/>
      <c r="X296" s="13" t="s">
        <v>385</v>
      </c>
      <c r="Y296" s="5"/>
    </row>
    <row r="297" customFormat="false" ht="15" hidden="false" customHeight="false" outlineLevel="0" collapsed="false">
      <c r="A297" s="5" t="s">
        <v>3030</v>
      </c>
      <c r="B297" s="5" t="s">
        <v>255</v>
      </c>
      <c r="C297" s="5" t="s">
        <v>256</v>
      </c>
      <c r="D297" s="9" t="s">
        <v>92</v>
      </c>
      <c r="E297" s="5" t="n">
        <v>8</v>
      </c>
      <c r="F297" s="5" t="s">
        <v>3031</v>
      </c>
      <c r="G297" s="11" t="s">
        <v>3032</v>
      </c>
      <c r="H297" s="5" t="s">
        <v>3033</v>
      </c>
      <c r="I297" s="11" t="s">
        <v>3034</v>
      </c>
      <c r="J297" s="5" t="s">
        <v>3035</v>
      </c>
      <c r="K297" s="5" t="s">
        <v>3036</v>
      </c>
      <c r="L297" s="11" t="s">
        <v>3037</v>
      </c>
      <c r="M297" s="11" t="s">
        <v>3038</v>
      </c>
      <c r="N297" s="5" t="n">
        <f aca="false">LEN(L297)</f>
        <v>25</v>
      </c>
      <c r="O297" s="5" t="n">
        <f aca="false">LEN(M297)</f>
        <v>25</v>
      </c>
      <c r="P297" s="12" t="n">
        <f aca="false">IF(N297=0,"",(N297-LEN(SUBSTITUTE(SUBSTITUTE(L297,"G",""),"C","")))/N297)</f>
        <v>0.4</v>
      </c>
      <c r="Q297" s="12" t="n">
        <f aca="false">IF(O297=0,"",(O297-LEN(SUBSTITUTE(SUBSTITUTE(M297,"G",""),"C","")))/O297)</f>
        <v>0.52</v>
      </c>
      <c r="R297" s="5"/>
      <c r="S297" s="5" t="s">
        <v>382</v>
      </c>
      <c r="T297" s="5"/>
      <c r="U297" s="5" t="s">
        <v>383</v>
      </c>
      <c r="V297" s="5" t="s">
        <v>2975</v>
      </c>
      <c r="W297" s="5"/>
      <c r="X297" s="13" t="s">
        <v>385</v>
      </c>
      <c r="Y297" s="5"/>
    </row>
    <row r="298" customFormat="false" ht="15" hidden="false" customHeight="false" outlineLevel="0" collapsed="false">
      <c r="A298" s="5" t="s">
        <v>3039</v>
      </c>
      <c r="B298" s="5" t="s">
        <v>255</v>
      </c>
      <c r="C298" s="5" t="s">
        <v>256</v>
      </c>
      <c r="D298" s="9" t="s">
        <v>92</v>
      </c>
      <c r="E298" s="5" t="n">
        <v>9</v>
      </c>
      <c r="F298" s="5" t="s">
        <v>3040</v>
      </c>
      <c r="G298" s="11" t="s">
        <v>3041</v>
      </c>
      <c r="H298" s="5" t="s">
        <v>3042</v>
      </c>
      <c r="I298" s="11" t="s">
        <v>3043</v>
      </c>
      <c r="J298" s="5" t="s">
        <v>3044</v>
      </c>
      <c r="K298" s="5" t="s">
        <v>3045</v>
      </c>
      <c r="L298" s="11" t="s">
        <v>3046</v>
      </c>
      <c r="M298" s="11" t="s">
        <v>3047</v>
      </c>
      <c r="N298" s="5" t="n">
        <f aca="false">LEN(L298)</f>
        <v>25</v>
      </c>
      <c r="O298" s="5" t="n">
        <f aca="false">LEN(M298)</f>
        <v>25</v>
      </c>
      <c r="P298" s="12" t="n">
        <f aca="false">IF(N298=0,"",(N298-LEN(SUBSTITUTE(SUBSTITUTE(L298,"G",""),"C","")))/N298)</f>
        <v>0.48</v>
      </c>
      <c r="Q298" s="12" t="n">
        <f aca="false">IF(O298=0,"",(O298-LEN(SUBSTITUTE(SUBSTITUTE(M298,"G",""),"C","")))/O298)</f>
        <v>0.44</v>
      </c>
      <c r="R298" s="5"/>
      <c r="S298" s="5" t="s">
        <v>382</v>
      </c>
      <c r="T298" s="5"/>
      <c r="U298" s="5" t="s">
        <v>383</v>
      </c>
      <c r="V298" s="5" t="s">
        <v>2975</v>
      </c>
      <c r="W298" s="5"/>
      <c r="X298" s="13" t="s">
        <v>385</v>
      </c>
      <c r="Y298" s="5"/>
    </row>
    <row r="299" customFormat="false" ht="15" hidden="false" customHeight="false" outlineLevel="0" collapsed="false">
      <c r="A299" s="5" t="s">
        <v>3048</v>
      </c>
      <c r="B299" s="5" t="s">
        <v>255</v>
      </c>
      <c r="C299" s="5" t="s">
        <v>256</v>
      </c>
      <c r="D299" s="9" t="s">
        <v>92</v>
      </c>
      <c r="E299" s="5" t="n">
        <v>10</v>
      </c>
      <c r="F299" s="5" t="s">
        <v>3049</v>
      </c>
      <c r="G299" s="11" t="s">
        <v>3050</v>
      </c>
      <c r="H299" s="5" t="s">
        <v>3051</v>
      </c>
      <c r="I299" s="11" t="s">
        <v>3052</v>
      </c>
      <c r="J299" s="5" t="s">
        <v>3053</v>
      </c>
      <c r="K299" s="5" t="s">
        <v>3054</v>
      </c>
      <c r="L299" s="11" t="s">
        <v>3055</v>
      </c>
      <c r="M299" s="11" t="s">
        <v>3056</v>
      </c>
      <c r="N299" s="5" t="n">
        <f aca="false">LEN(L299)</f>
        <v>25</v>
      </c>
      <c r="O299" s="5" t="n">
        <f aca="false">LEN(M299)</f>
        <v>25</v>
      </c>
      <c r="P299" s="12" t="n">
        <f aca="false">IF(N299=0,"",(N299-LEN(SUBSTITUTE(SUBSTITUTE(L299,"G",""),"C","")))/N299)</f>
        <v>0.64</v>
      </c>
      <c r="Q299" s="12" t="n">
        <f aca="false">IF(O299=0,"",(O299-LEN(SUBSTITUTE(SUBSTITUTE(M299,"G",""),"C","")))/O299)</f>
        <v>0.48</v>
      </c>
      <c r="R299" s="5"/>
      <c r="S299" s="5" t="s">
        <v>382</v>
      </c>
      <c r="T299" s="5"/>
      <c r="U299" s="5" t="s">
        <v>383</v>
      </c>
      <c r="V299" s="5" t="s">
        <v>2975</v>
      </c>
      <c r="W299" s="5"/>
      <c r="X299" s="13" t="s">
        <v>385</v>
      </c>
      <c r="Y299" s="5"/>
    </row>
    <row r="300" customFormat="false" ht="15" hidden="false" customHeight="false" outlineLevel="0" collapsed="false">
      <c r="A300" s="5" t="s">
        <v>3057</v>
      </c>
      <c r="B300" s="5" t="s">
        <v>261</v>
      </c>
      <c r="C300" s="5" t="s">
        <v>262</v>
      </c>
      <c r="D300" s="9" t="s">
        <v>92</v>
      </c>
      <c r="E300" s="5" t="n">
        <v>1</v>
      </c>
      <c r="F300" s="5" t="s">
        <v>3058</v>
      </c>
      <c r="G300" s="11" t="s">
        <v>3059</v>
      </c>
      <c r="H300" s="5" t="s">
        <v>3060</v>
      </c>
      <c r="I300" s="11" t="s">
        <v>3061</v>
      </c>
      <c r="J300" s="5" t="s">
        <v>3062</v>
      </c>
      <c r="K300" s="5" t="s">
        <v>3063</v>
      </c>
      <c r="L300" s="11" t="s">
        <v>3064</v>
      </c>
      <c r="M300" s="11" t="s">
        <v>3065</v>
      </c>
      <c r="N300" s="5" t="n">
        <f aca="false">LEN(L300)</f>
        <v>25</v>
      </c>
      <c r="O300" s="5" t="n">
        <f aca="false">LEN(M300)</f>
        <v>25</v>
      </c>
      <c r="P300" s="12" t="n">
        <f aca="false">IF(N300=0,"",(N300-LEN(SUBSTITUTE(SUBSTITUTE(L300,"G",""),"C","")))/N300)</f>
        <v>0.56</v>
      </c>
      <c r="Q300" s="12" t="n">
        <f aca="false">IF(O300=0,"",(O300-LEN(SUBSTITUTE(SUBSTITUTE(M300,"G",""),"C","")))/O300)</f>
        <v>0.6</v>
      </c>
      <c r="R300" s="5"/>
      <c r="S300" s="5" t="s">
        <v>382</v>
      </c>
      <c r="T300" s="5"/>
      <c r="U300" s="5" t="s">
        <v>383</v>
      </c>
      <c r="V300" s="5" t="s">
        <v>3066</v>
      </c>
      <c r="W300" s="5"/>
      <c r="X300" s="13" t="s">
        <v>385</v>
      </c>
      <c r="Y300" s="5"/>
    </row>
    <row r="301" customFormat="false" ht="15" hidden="false" customHeight="false" outlineLevel="0" collapsed="false">
      <c r="A301" s="5" t="s">
        <v>3067</v>
      </c>
      <c r="B301" s="5" t="s">
        <v>261</v>
      </c>
      <c r="C301" s="5" t="s">
        <v>262</v>
      </c>
      <c r="D301" s="9" t="s">
        <v>92</v>
      </c>
      <c r="E301" s="5" t="n">
        <v>2</v>
      </c>
      <c r="F301" s="5" t="s">
        <v>3068</v>
      </c>
      <c r="G301" s="11" t="s">
        <v>3069</v>
      </c>
      <c r="H301" s="5" t="s">
        <v>3070</v>
      </c>
      <c r="I301" s="11" t="s">
        <v>3071</v>
      </c>
      <c r="J301" s="5" t="s">
        <v>3072</v>
      </c>
      <c r="K301" s="5" t="s">
        <v>3073</v>
      </c>
      <c r="L301" s="11" t="s">
        <v>3074</v>
      </c>
      <c r="M301" s="11" t="s">
        <v>3075</v>
      </c>
      <c r="N301" s="5" t="n">
        <f aca="false">LEN(L301)</f>
        <v>25</v>
      </c>
      <c r="O301" s="5" t="n">
        <f aca="false">LEN(M301)</f>
        <v>25</v>
      </c>
      <c r="P301" s="12" t="n">
        <f aca="false">IF(N301=0,"",(N301-LEN(SUBSTITUTE(SUBSTITUTE(L301,"G",""),"C","")))/N301)</f>
        <v>0.72</v>
      </c>
      <c r="Q301" s="12" t="n">
        <f aca="false">IF(O301=0,"",(O301-LEN(SUBSTITUTE(SUBSTITUTE(M301,"G",""),"C","")))/O301)</f>
        <v>0.6</v>
      </c>
      <c r="R301" s="5"/>
      <c r="S301" s="5" t="s">
        <v>382</v>
      </c>
      <c r="T301" s="5"/>
      <c r="U301" s="5" t="s">
        <v>383</v>
      </c>
      <c r="V301" s="5" t="s">
        <v>3066</v>
      </c>
      <c r="W301" s="5"/>
      <c r="X301" s="13" t="s">
        <v>385</v>
      </c>
      <c r="Y301" s="5"/>
    </row>
    <row r="302" customFormat="false" ht="15" hidden="false" customHeight="false" outlineLevel="0" collapsed="false">
      <c r="A302" s="5" t="s">
        <v>3076</v>
      </c>
      <c r="B302" s="5" t="s">
        <v>261</v>
      </c>
      <c r="C302" s="5" t="s">
        <v>262</v>
      </c>
      <c r="D302" s="9" t="s">
        <v>92</v>
      </c>
      <c r="E302" s="5" t="n">
        <v>3</v>
      </c>
      <c r="F302" s="5" t="s">
        <v>3077</v>
      </c>
      <c r="G302" s="11" t="s">
        <v>3078</v>
      </c>
      <c r="H302" s="5" t="s">
        <v>3079</v>
      </c>
      <c r="I302" s="11" t="s">
        <v>3080</v>
      </c>
      <c r="J302" s="5" t="s">
        <v>3081</v>
      </c>
      <c r="K302" s="5" t="s">
        <v>3082</v>
      </c>
      <c r="L302" s="11" t="s">
        <v>3083</v>
      </c>
      <c r="M302" s="11" t="s">
        <v>3084</v>
      </c>
      <c r="N302" s="5" t="n">
        <f aca="false">LEN(L302)</f>
        <v>25</v>
      </c>
      <c r="O302" s="5" t="n">
        <f aca="false">LEN(M302)</f>
        <v>25</v>
      </c>
      <c r="P302" s="12" t="n">
        <f aca="false">IF(N302=0,"",(N302-LEN(SUBSTITUTE(SUBSTITUTE(L302,"G",""),"C","")))/N302)</f>
        <v>0.64</v>
      </c>
      <c r="Q302" s="12" t="n">
        <f aca="false">IF(O302=0,"",(O302-LEN(SUBSTITUTE(SUBSTITUTE(M302,"G",""),"C","")))/O302)</f>
        <v>0.68</v>
      </c>
      <c r="R302" s="5"/>
      <c r="S302" s="5" t="s">
        <v>382</v>
      </c>
      <c r="T302" s="5"/>
      <c r="U302" s="5" t="s">
        <v>383</v>
      </c>
      <c r="V302" s="5" t="s">
        <v>3066</v>
      </c>
      <c r="W302" s="5"/>
      <c r="X302" s="13" t="s">
        <v>385</v>
      </c>
      <c r="Y302" s="5"/>
    </row>
    <row r="303" customFormat="false" ht="15" hidden="false" customHeight="false" outlineLevel="0" collapsed="false">
      <c r="A303" s="5" t="s">
        <v>3085</v>
      </c>
      <c r="B303" s="5" t="s">
        <v>261</v>
      </c>
      <c r="C303" s="5" t="s">
        <v>262</v>
      </c>
      <c r="D303" s="9" t="s">
        <v>92</v>
      </c>
      <c r="E303" s="5" t="n">
        <v>4</v>
      </c>
      <c r="F303" s="5" t="s">
        <v>3086</v>
      </c>
      <c r="G303" s="11" t="s">
        <v>3087</v>
      </c>
      <c r="H303" s="5" t="s">
        <v>3088</v>
      </c>
      <c r="I303" s="11" t="s">
        <v>3089</v>
      </c>
      <c r="J303" s="5" t="s">
        <v>3090</v>
      </c>
      <c r="K303" s="5" t="s">
        <v>3091</v>
      </c>
      <c r="L303" s="11" t="s">
        <v>3092</v>
      </c>
      <c r="M303" s="11" t="s">
        <v>3093</v>
      </c>
      <c r="N303" s="5" t="n">
        <f aca="false">LEN(L303)</f>
        <v>25</v>
      </c>
      <c r="O303" s="5" t="n">
        <f aca="false">LEN(M303)</f>
        <v>25</v>
      </c>
      <c r="P303" s="12" t="n">
        <f aca="false">IF(N303=0,"",(N303-LEN(SUBSTITUTE(SUBSTITUTE(L303,"G",""),"C","")))/N303)</f>
        <v>0.8</v>
      </c>
      <c r="Q303" s="12" t="n">
        <f aca="false">IF(O303=0,"",(O303-LEN(SUBSTITUTE(SUBSTITUTE(M303,"G",""),"C","")))/O303)</f>
        <v>0.68</v>
      </c>
      <c r="R303" s="5"/>
      <c r="S303" s="5" t="s">
        <v>382</v>
      </c>
      <c r="T303" s="5"/>
      <c r="U303" s="5" t="s">
        <v>383</v>
      </c>
      <c r="V303" s="5" t="s">
        <v>3066</v>
      </c>
      <c r="W303" s="5"/>
      <c r="X303" s="13" t="s">
        <v>385</v>
      </c>
      <c r="Y303" s="5"/>
    </row>
    <row r="304" customFormat="false" ht="15" hidden="false" customHeight="false" outlineLevel="0" collapsed="false">
      <c r="A304" s="5" t="s">
        <v>3094</v>
      </c>
      <c r="B304" s="5" t="s">
        <v>261</v>
      </c>
      <c r="C304" s="5" t="s">
        <v>262</v>
      </c>
      <c r="D304" s="9" t="s">
        <v>92</v>
      </c>
      <c r="E304" s="5" t="n">
        <v>5</v>
      </c>
      <c r="F304" s="5" t="s">
        <v>3095</v>
      </c>
      <c r="G304" s="11" t="s">
        <v>3096</v>
      </c>
      <c r="H304" s="5" t="s">
        <v>3097</v>
      </c>
      <c r="I304" s="11" t="s">
        <v>3098</v>
      </c>
      <c r="J304" s="5" t="s">
        <v>3099</v>
      </c>
      <c r="K304" s="5" t="s">
        <v>3100</v>
      </c>
      <c r="L304" s="11" t="s">
        <v>3101</v>
      </c>
      <c r="M304" s="11" t="s">
        <v>3102</v>
      </c>
      <c r="N304" s="5" t="n">
        <f aca="false">LEN(L304)</f>
        <v>25</v>
      </c>
      <c r="O304" s="5" t="n">
        <f aca="false">LEN(M304)</f>
        <v>25</v>
      </c>
      <c r="P304" s="12" t="n">
        <f aca="false">IF(N304=0,"",(N304-LEN(SUBSTITUTE(SUBSTITUTE(L304,"G",""),"C","")))/N304)</f>
        <v>0.64</v>
      </c>
      <c r="Q304" s="12" t="n">
        <f aca="false">IF(O304=0,"",(O304-LEN(SUBSTITUTE(SUBSTITUTE(M304,"G",""),"C","")))/O304)</f>
        <v>0.88</v>
      </c>
      <c r="R304" s="5"/>
      <c r="S304" s="5" t="s">
        <v>382</v>
      </c>
      <c r="T304" s="5"/>
      <c r="U304" s="5" t="s">
        <v>383</v>
      </c>
      <c r="V304" s="5" t="s">
        <v>3066</v>
      </c>
      <c r="W304" s="5"/>
      <c r="X304" s="13" t="s">
        <v>385</v>
      </c>
      <c r="Y304" s="5"/>
    </row>
    <row r="305" customFormat="false" ht="15" hidden="false" customHeight="false" outlineLevel="0" collapsed="false">
      <c r="A305" s="5" t="s">
        <v>3103</v>
      </c>
      <c r="B305" s="5" t="s">
        <v>261</v>
      </c>
      <c r="C305" s="5" t="s">
        <v>262</v>
      </c>
      <c r="D305" s="9" t="s">
        <v>92</v>
      </c>
      <c r="E305" s="5" t="n">
        <v>6</v>
      </c>
      <c r="F305" s="5" t="s">
        <v>3104</v>
      </c>
      <c r="G305" s="11" t="s">
        <v>3105</v>
      </c>
      <c r="H305" s="5" t="s">
        <v>3106</v>
      </c>
      <c r="I305" s="11" t="s">
        <v>3107</v>
      </c>
      <c r="J305" s="5" t="s">
        <v>3108</v>
      </c>
      <c r="K305" s="5" t="s">
        <v>3109</v>
      </c>
      <c r="L305" s="11" t="s">
        <v>3110</v>
      </c>
      <c r="M305" s="11" t="s">
        <v>3111</v>
      </c>
      <c r="N305" s="5" t="n">
        <f aca="false">LEN(L305)</f>
        <v>25</v>
      </c>
      <c r="O305" s="5" t="n">
        <f aca="false">LEN(M305)</f>
        <v>25</v>
      </c>
      <c r="P305" s="12" t="n">
        <f aca="false">IF(N305=0,"",(N305-LEN(SUBSTITUTE(SUBSTITUTE(L305,"G",""),"C","")))/N305)</f>
        <v>0.6</v>
      </c>
      <c r="Q305" s="12" t="n">
        <f aca="false">IF(O305=0,"",(O305-LEN(SUBSTITUTE(SUBSTITUTE(M305,"G",""),"C","")))/O305)</f>
        <v>0.6</v>
      </c>
      <c r="R305" s="5"/>
      <c r="S305" s="5" t="s">
        <v>382</v>
      </c>
      <c r="T305" s="5"/>
      <c r="U305" s="5" t="s">
        <v>383</v>
      </c>
      <c r="V305" s="5" t="s">
        <v>3066</v>
      </c>
      <c r="W305" s="5"/>
      <c r="X305" s="13" t="s">
        <v>385</v>
      </c>
      <c r="Y305" s="5"/>
    </row>
    <row r="306" customFormat="false" ht="15" hidden="false" customHeight="false" outlineLevel="0" collapsed="false">
      <c r="A306" s="5" t="s">
        <v>3112</v>
      </c>
      <c r="B306" s="5" t="s">
        <v>261</v>
      </c>
      <c r="C306" s="5" t="s">
        <v>262</v>
      </c>
      <c r="D306" s="9" t="s">
        <v>92</v>
      </c>
      <c r="E306" s="5" t="n">
        <v>7</v>
      </c>
      <c r="F306" s="5" t="s">
        <v>3113</v>
      </c>
      <c r="G306" s="11" t="s">
        <v>3114</v>
      </c>
      <c r="H306" s="5" t="s">
        <v>3115</v>
      </c>
      <c r="I306" s="11" t="s">
        <v>3116</v>
      </c>
      <c r="J306" s="5" t="s">
        <v>3117</v>
      </c>
      <c r="K306" s="5" t="s">
        <v>3118</v>
      </c>
      <c r="L306" s="11" t="s">
        <v>3119</v>
      </c>
      <c r="M306" s="11" t="s">
        <v>3120</v>
      </c>
      <c r="N306" s="5" t="n">
        <f aca="false">LEN(L306)</f>
        <v>25</v>
      </c>
      <c r="O306" s="5" t="n">
        <f aca="false">LEN(M306)</f>
        <v>25</v>
      </c>
      <c r="P306" s="12" t="n">
        <f aca="false">IF(N306=0,"",(N306-LEN(SUBSTITUTE(SUBSTITUTE(L306,"G",""),"C","")))/N306)</f>
        <v>0.36</v>
      </c>
      <c r="Q306" s="12" t="n">
        <f aca="false">IF(O306=0,"",(O306-LEN(SUBSTITUTE(SUBSTITUTE(M306,"G",""),"C","")))/O306)</f>
        <v>0.44</v>
      </c>
      <c r="R306" s="5"/>
      <c r="S306" s="5" t="s">
        <v>382</v>
      </c>
      <c r="T306" s="5"/>
      <c r="U306" s="5" t="s">
        <v>383</v>
      </c>
      <c r="V306" s="5" t="s">
        <v>3066</v>
      </c>
      <c r="W306" s="5"/>
      <c r="X306" s="13" t="s">
        <v>385</v>
      </c>
      <c r="Y306" s="5"/>
    </row>
    <row r="307" customFormat="false" ht="15" hidden="false" customHeight="false" outlineLevel="0" collapsed="false">
      <c r="A307" s="5" t="s">
        <v>3121</v>
      </c>
      <c r="B307" s="5" t="s">
        <v>261</v>
      </c>
      <c r="C307" s="5" t="s">
        <v>262</v>
      </c>
      <c r="D307" s="9" t="s">
        <v>92</v>
      </c>
      <c r="E307" s="5" t="n">
        <v>8</v>
      </c>
      <c r="F307" s="5" t="s">
        <v>3122</v>
      </c>
      <c r="G307" s="11" t="s">
        <v>3123</v>
      </c>
      <c r="H307" s="5" t="s">
        <v>3124</v>
      </c>
      <c r="I307" s="11" t="s">
        <v>3125</v>
      </c>
      <c r="J307" s="5" t="s">
        <v>3126</v>
      </c>
      <c r="K307" s="5" t="s">
        <v>3127</v>
      </c>
      <c r="L307" s="11" t="s">
        <v>3128</v>
      </c>
      <c r="M307" s="11" t="s">
        <v>3129</v>
      </c>
      <c r="N307" s="5" t="n">
        <f aca="false">LEN(L307)</f>
        <v>25</v>
      </c>
      <c r="O307" s="5" t="n">
        <f aca="false">LEN(M307)</f>
        <v>25</v>
      </c>
      <c r="P307" s="12" t="n">
        <f aca="false">IF(N307=0,"",(N307-LEN(SUBSTITUTE(SUBSTITUTE(L307,"G",""),"C","")))/N307)</f>
        <v>0.56</v>
      </c>
      <c r="Q307" s="12" t="n">
        <f aca="false">IF(O307=0,"",(O307-LEN(SUBSTITUTE(SUBSTITUTE(M307,"G",""),"C","")))/O307)</f>
        <v>0.32</v>
      </c>
      <c r="R307" s="5"/>
      <c r="S307" s="5" t="s">
        <v>382</v>
      </c>
      <c r="T307" s="5"/>
      <c r="U307" s="5" t="s">
        <v>383</v>
      </c>
      <c r="V307" s="5" t="s">
        <v>3066</v>
      </c>
      <c r="W307" s="5"/>
      <c r="X307" s="13" t="s">
        <v>385</v>
      </c>
      <c r="Y307" s="5"/>
    </row>
    <row r="308" customFormat="false" ht="15" hidden="false" customHeight="false" outlineLevel="0" collapsed="false">
      <c r="A308" s="5" t="s">
        <v>3130</v>
      </c>
      <c r="B308" s="5" t="s">
        <v>261</v>
      </c>
      <c r="C308" s="5" t="s">
        <v>262</v>
      </c>
      <c r="D308" s="9" t="s">
        <v>92</v>
      </c>
      <c r="E308" s="5" t="n">
        <v>9</v>
      </c>
      <c r="F308" s="5" t="s">
        <v>3131</v>
      </c>
      <c r="G308" s="11" t="s">
        <v>3132</v>
      </c>
      <c r="H308" s="5" t="s">
        <v>3133</v>
      </c>
      <c r="I308" s="11" t="s">
        <v>3134</v>
      </c>
      <c r="J308" s="5" t="s">
        <v>3135</v>
      </c>
      <c r="K308" s="5" t="s">
        <v>3136</v>
      </c>
      <c r="L308" s="11" t="s">
        <v>3137</v>
      </c>
      <c r="M308" s="11" t="s">
        <v>3138</v>
      </c>
      <c r="N308" s="5" t="n">
        <f aca="false">LEN(L308)</f>
        <v>25</v>
      </c>
      <c r="O308" s="5" t="n">
        <f aca="false">LEN(M308)</f>
        <v>25</v>
      </c>
      <c r="P308" s="12" t="n">
        <f aca="false">IF(N308=0,"",(N308-LEN(SUBSTITUTE(SUBSTITUTE(L308,"G",""),"C","")))/N308)</f>
        <v>0.28</v>
      </c>
      <c r="Q308" s="12" t="n">
        <f aca="false">IF(O308=0,"",(O308-LEN(SUBSTITUTE(SUBSTITUTE(M308,"G",""),"C","")))/O308)</f>
        <v>0.48</v>
      </c>
      <c r="R308" s="5"/>
      <c r="S308" s="5" t="s">
        <v>382</v>
      </c>
      <c r="T308" s="5"/>
      <c r="U308" s="5" t="s">
        <v>383</v>
      </c>
      <c r="V308" s="5" t="s">
        <v>3066</v>
      </c>
      <c r="W308" s="5"/>
      <c r="X308" s="13" t="s">
        <v>385</v>
      </c>
      <c r="Y308" s="5"/>
    </row>
    <row r="309" customFormat="false" ht="15" hidden="false" customHeight="false" outlineLevel="0" collapsed="false">
      <c r="A309" s="5" t="s">
        <v>3139</v>
      </c>
      <c r="B309" s="5" t="s">
        <v>266</v>
      </c>
      <c r="C309" s="5" t="s">
        <v>267</v>
      </c>
      <c r="D309" s="9" t="s">
        <v>92</v>
      </c>
      <c r="E309" s="5" t="n">
        <v>1</v>
      </c>
      <c r="F309" s="5" t="s">
        <v>3140</v>
      </c>
      <c r="G309" s="11" t="s">
        <v>3141</v>
      </c>
      <c r="H309" s="5" t="s">
        <v>3142</v>
      </c>
      <c r="I309" s="11" t="s">
        <v>3143</v>
      </c>
      <c r="J309" s="5" t="s">
        <v>3144</v>
      </c>
      <c r="K309" s="5" t="s">
        <v>3145</v>
      </c>
      <c r="L309" s="11" t="s">
        <v>3146</v>
      </c>
      <c r="M309" s="11" t="s">
        <v>3147</v>
      </c>
      <c r="N309" s="5" t="n">
        <f aca="false">LEN(L309)</f>
        <v>25</v>
      </c>
      <c r="O309" s="5" t="n">
        <f aca="false">LEN(M309)</f>
        <v>25</v>
      </c>
      <c r="P309" s="12" t="n">
        <f aca="false">IF(N309=0,"",(N309-LEN(SUBSTITUTE(SUBSTITUTE(L309,"G",""),"C","")))/N309)</f>
        <v>0.76</v>
      </c>
      <c r="Q309" s="12" t="n">
        <f aca="false">IF(O309=0,"",(O309-LEN(SUBSTITUTE(SUBSTITUTE(M309,"G",""),"C","")))/O309)</f>
        <v>0.8</v>
      </c>
      <c r="R309" s="5"/>
      <c r="S309" s="5" t="s">
        <v>382</v>
      </c>
      <c r="T309" s="5"/>
      <c r="U309" s="5" t="s">
        <v>383</v>
      </c>
      <c r="V309" s="5" t="s">
        <v>3148</v>
      </c>
      <c r="W309" s="5"/>
      <c r="X309" s="13" t="s">
        <v>385</v>
      </c>
      <c r="Y309" s="5"/>
    </row>
    <row r="310" customFormat="false" ht="15" hidden="false" customHeight="false" outlineLevel="0" collapsed="false">
      <c r="A310" s="5" t="s">
        <v>3149</v>
      </c>
      <c r="B310" s="5" t="s">
        <v>266</v>
      </c>
      <c r="C310" s="5" t="s">
        <v>267</v>
      </c>
      <c r="D310" s="9" t="s">
        <v>92</v>
      </c>
      <c r="E310" s="5" t="n">
        <v>2</v>
      </c>
      <c r="F310" s="5" t="s">
        <v>3150</v>
      </c>
      <c r="G310" s="11" t="s">
        <v>3151</v>
      </c>
      <c r="H310" s="5" t="s">
        <v>3152</v>
      </c>
      <c r="I310" s="11" t="s">
        <v>3153</v>
      </c>
      <c r="J310" s="5" t="s">
        <v>3154</v>
      </c>
      <c r="K310" s="5" t="s">
        <v>3155</v>
      </c>
      <c r="L310" s="11" t="s">
        <v>3156</v>
      </c>
      <c r="M310" s="11" t="s">
        <v>3157</v>
      </c>
      <c r="N310" s="5" t="n">
        <f aca="false">LEN(L310)</f>
        <v>25</v>
      </c>
      <c r="O310" s="5" t="n">
        <f aca="false">LEN(M310)</f>
        <v>25</v>
      </c>
      <c r="P310" s="12" t="n">
        <f aca="false">IF(N310=0,"",(N310-LEN(SUBSTITUTE(SUBSTITUTE(L310,"G",""),"C","")))/N310)</f>
        <v>0.76</v>
      </c>
      <c r="Q310" s="12" t="n">
        <f aca="false">IF(O310=0,"",(O310-LEN(SUBSTITUTE(SUBSTITUTE(M310,"G",""),"C","")))/O310)</f>
        <v>0.52</v>
      </c>
      <c r="R310" s="5"/>
      <c r="S310" s="5" t="s">
        <v>382</v>
      </c>
      <c r="T310" s="5"/>
      <c r="U310" s="5" t="s">
        <v>383</v>
      </c>
      <c r="V310" s="5" t="s">
        <v>3148</v>
      </c>
      <c r="W310" s="5"/>
      <c r="X310" s="13" t="s">
        <v>385</v>
      </c>
      <c r="Y310" s="5"/>
    </row>
    <row r="311" customFormat="false" ht="15" hidden="false" customHeight="false" outlineLevel="0" collapsed="false">
      <c r="A311" s="5" t="s">
        <v>3158</v>
      </c>
      <c r="B311" s="5" t="s">
        <v>266</v>
      </c>
      <c r="C311" s="5" t="s">
        <v>267</v>
      </c>
      <c r="D311" s="9" t="s">
        <v>92</v>
      </c>
      <c r="E311" s="5" t="n">
        <v>3</v>
      </c>
      <c r="F311" s="5" t="s">
        <v>3159</v>
      </c>
      <c r="G311" s="11" t="s">
        <v>3160</v>
      </c>
      <c r="H311" s="5" t="s">
        <v>3161</v>
      </c>
      <c r="I311" s="11" t="s">
        <v>3162</v>
      </c>
      <c r="J311" s="5" t="s">
        <v>3163</v>
      </c>
      <c r="K311" s="5" t="s">
        <v>3164</v>
      </c>
      <c r="L311" s="11" t="s">
        <v>3165</v>
      </c>
      <c r="M311" s="11" t="s">
        <v>3166</v>
      </c>
      <c r="N311" s="5" t="n">
        <f aca="false">LEN(L311)</f>
        <v>25</v>
      </c>
      <c r="O311" s="5" t="n">
        <f aca="false">LEN(M311)</f>
        <v>25</v>
      </c>
      <c r="P311" s="12" t="n">
        <f aca="false">IF(N311=0,"",(N311-LEN(SUBSTITUTE(SUBSTITUTE(L311,"G",""),"C","")))/N311)</f>
        <v>0.68</v>
      </c>
      <c r="Q311" s="12" t="n">
        <f aca="false">IF(O311=0,"",(O311-LEN(SUBSTITUTE(SUBSTITUTE(M311,"G",""),"C","")))/O311)</f>
        <v>0.64</v>
      </c>
      <c r="R311" s="5"/>
      <c r="S311" s="5" t="s">
        <v>382</v>
      </c>
      <c r="T311" s="5"/>
      <c r="U311" s="5" t="s">
        <v>383</v>
      </c>
      <c r="V311" s="5" t="s">
        <v>3148</v>
      </c>
      <c r="W311" s="5"/>
      <c r="X311" s="13" t="s">
        <v>385</v>
      </c>
      <c r="Y311" s="5"/>
    </row>
    <row r="312" customFormat="false" ht="15" hidden="false" customHeight="false" outlineLevel="0" collapsed="false">
      <c r="A312" s="5" t="s">
        <v>3167</v>
      </c>
      <c r="B312" s="5" t="s">
        <v>266</v>
      </c>
      <c r="C312" s="5" t="s">
        <v>267</v>
      </c>
      <c r="D312" s="9" t="s">
        <v>92</v>
      </c>
      <c r="E312" s="5" t="n">
        <v>4</v>
      </c>
      <c r="F312" s="5" t="s">
        <v>3168</v>
      </c>
      <c r="G312" s="11" t="s">
        <v>3169</v>
      </c>
      <c r="H312" s="5" t="s">
        <v>3170</v>
      </c>
      <c r="I312" s="11" t="s">
        <v>3171</v>
      </c>
      <c r="J312" s="5" t="s">
        <v>3172</v>
      </c>
      <c r="K312" s="5" t="s">
        <v>3173</v>
      </c>
      <c r="L312" s="11" t="s">
        <v>3174</v>
      </c>
      <c r="M312" s="11" t="s">
        <v>3175</v>
      </c>
      <c r="N312" s="5" t="n">
        <f aca="false">LEN(L312)</f>
        <v>25</v>
      </c>
      <c r="O312" s="5" t="n">
        <f aca="false">LEN(M312)</f>
        <v>25</v>
      </c>
      <c r="P312" s="12" t="n">
        <f aca="false">IF(N312=0,"",(N312-LEN(SUBSTITUTE(SUBSTITUTE(L312,"G",""),"C","")))/N312)</f>
        <v>0.76</v>
      </c>
      <c r="Q312" s="12" t="n">
        <f aca="false">IF(O312=0,"",(O312-LEN(SUBSTITUTE(SUBSTITUTE(M312,"G",""),"C","")))/O312)</f>
        <v>0.48</v>
      </c>
      <c r="R312" s="5"/>
      <c r="S312" s="5" t="s">
        <v>382</v>
      </c>
      <c r="T312" s="5"/>
      <c r="U312" s="5" t="s">
        <v>383</v>
      </c>
      <c r="V312" s="5" t="s">
        <v>3148</v>
      </c>
      <c r="W312" s="5"/>
      <c r="X312" s="13" t="s">
        <v>385</v>
      </c>
      <c r="Y312" s="5"/>
    </row>
    <row r="313" customFormat="false" ht="15" hidden="false" customHeight="false" outlineLevel="0" collapsed="false">
      <c r="A313" s="5" t="s">
        <v>3176</v>
      </c>
      <c r="B313" s="5" t="s">
        <v>266</v>
      </c>
      <c r="C313" s="5" t="s">
        <v>267</v>
      </c>
      <c r="D313" s="9" t="s">
        <v>92</v>
      </c>
      <c r="E313" s="5" t="n">
        <v>5</v>
      </c>
      <c r="F313" s="5" t="s">
        <v>3177</v>
      </c>
      <c r="G313" s="11" t="s">
        <v>3178</v>
      </c>
      <c r="H313" s="5" t="s">
        <v>3179</v>
      </c>
      <c r="I313" s="11" t="s">
        <v>3180</v>
      </c>
      <c r="J313" s="5" t="s">
        <v>3181</v>
      </c>
      <c r="K313" s="5" t="s">
        <v>3182</v>
      </c>
      <c r="L313" s="11" t="s">
        <v>3183</v>
      </c>
      <c r="M313" s="11" t="s">
        <v>3184</v>
      </c>
      <c r="N313" s="5" t="n">
        <f aca="false">LEN(L313)</f>
        <v>25</v>
      </c>
      <c r="O313" s="5" t="n">
        <f aca="false">LEN(M313)</f>
        <v>25</v>
      </c>
      <c r="P313" s="12" t="n">
        <f aca="false">IF(N313=0,"",(N313-LEN(SUBSTITUTE(SUBSTITUTE(L313,"G",""),"C","")))/N313)</f>
        <v>0.52</v>
      </c>
      <c r="Q313" s="12" t="n">
        <f aca="false">IF(O313=0,"",(O313-LEN(SUBSTITUTE(SUBSTITUTE(M313,"G",""),"C","")))/O313)</f>
        <v>0.48</v>
      </c>
      <c r="R313" s="5"/>
      <c r="S313" s="5" t="s">
        <v>382</v>
      </c>
      <c r="T313" s="5"/>
      <c r="U313" s="5" t="s">
        <v>383</v>
      </c>
      <c r="V313" s="5" t="s">
        <v>3148</v>
      </c>
      <c r="W313" s="5"/>
      <c r="X313" s="13" t="s">
        <v>385</v>
      </c>
      <c r="Y313" s="5"/>
    </row>
    <row r="314" customFormat="false" ht="15" hidden="false" customHeight="false" outlineLevel="0" collapsed="false">
      <c r="A314" s="5" t="s">
        <v>3185</v>
      </c>
      <c r="B314" s="5" t="s">
        <v>266</v>
      </c>
      <c r="C314" s="5" t="s">
        <v>267</v>
      </c>
      <c r="D314" s="9" t="s">
        <v>92</v>
      </c>
      <c r="E314" s="5" t="n">
        <v>6</v>
      </c>
      <c r="F314" s="5" t="s">
        <v>3186</v>
      </c>
      <c r="G314" s="11" t="s">
        <v>3187</v>
      </c>
      <c r="H314" s="5" t="s">
        <v>3188</v>
      </c>
      <c r="I314" s="11" t="s">
        <v>3189</v>
      </c>
      <c r="J314" s="5" t="s">
        <v>3190</v>
      </c>
      <c r="K314" s="5" t="s">
        <v>3191</v>
      </c>
      <c r="L314" s="11" t="s">
        <v>3192</v>
      </c>
      <c r="M314" s="11" t="s">
        <v>3193</v>
      </c>
      <c r="N314" s="5" t="n">
        <f aca="false">LEN(L314)</f>
        <v>25</v>
      </c>
      <c r="O314" s="5" t="n">
        <f aca="false">LEN(M314)</f>
        <v>25</v>
      </c>
      <c r="P314" s="12" t="n">
        <f aca="false">IF(N314=0,"",(N314-LEN(SUBSTITUTE(SUBSTITUTE(L314,"G",""),"C","")))/N314)</f>
        <v>0.56</v>
      </c>
      <c r="Q314" s="12" t="n">
        <f aca="false">IF(O314=0,"",(O314-LEN(SUBSTITUTE(SUBSTITUTE(M314,"G",""),"C","")))/O314)</f>
        <v>0.6</v>
      </c>
      <c r="R314" s="5"/>
      <c r="S314" s="5" t="s">
        <v>382</v>
      </c>
      <c r="T314" s="5"/>
      <c r="U314" s="5" t="s">
        <v>383</v>
      </c>
      <c r="V314" s="5" t="s">
        <v>3148</v>
      </c>
      <c r="W314" s="5"/>
      <c r="X314" s="13" t="s">
        <v>385</v>
      </c>
      <c r="Y314" s="5"/>
    </row>
    <row r="315" customFormat="false" ht="15" hidden="false" customHeight="false" outlineLevel="0" collapsed="false">
      <c r="A315" s="5" t="s">
        <v>3194</v>
      </c>
      <c r="B315" s="5" t="s">
        <v>266</v>
      </c>
      <c r="C315" s="5" t="s">
        <v>267</v>
      </c>
      <c r="D315" s="9" t="s">
        <v>92</v>
      </c>
      <c r="E315" s="5" t="n">
        <v>7</v>
      </c>
      <c r="F315" s="5" t="s">
        <v>3195</v>
      </c>
      <c r="G315" s="11" t="s">
        <v>3196</v>
      </c>
      <c r="H315" s="5" t="s">
        <v>3197</v>
      </c>
      <c r="I315" s="11" t="s">
        <v>3198</v>
      </c>
      <c r="J315" s="5" t="s">
        <v>3199</v>
      </c>
      <c r="K315" s="5" t="s">
        <v>3200</v>
      </c>
      <c r="L315" s="11" t="s">
        <v>3201</v>
      </c>
      <c r="M315" s="11" t="s">
        <v>3202</v>
      </c>
      <c r="N315" s="5" t="n">
        <f aca="false">LEN(L315)</f>
        <v>25</v>
      </c>
      <c r="O315" s="5" t="n">
        <f aca="false">LEN(M315)</f>
        <v>25</v>
      </c>
      <c r="P315" s="12" t="n">
        <f aca="false">IF(N315=0,"",(N315-LEN(SUBSTITUTE(SUBSTITUTE(L315,"G",""),"C","")))/N315)</f>
        <v>0.48</v>
      </c>
      <c r="Q315" s="12" t="n">
        <f aca="false">IF(O315=0,"",(O315-LEN(SUBSTITUTE(SUBSTITUTE(M315,"G",""),"C","")))/O315)</f>
        <v>0.68</v>
      </c>
      <c r="R315" s="5"/>
      <c r="S315" s="5" t="s">
        <v>382</v>
      </c>
      <c r="T315" s="5"/>
      <c r="U315" s="5" t="s">
        <v>383</v>
      </c>
      <c r="V315" s="5" t="s">
        <v>3148</v>
      </c>
      <c r="W315" s="5"/>
      <c r="X315" s="13" t="s">
        <v>385</v>
      </c>
      <c r="Y315" s="5"/>
    </row>
    <row r="316" customFormat="false" ht="15" hidden="false" customHeight="false" outlineLevel="0" collapsed="false">
      <c r="A316" s="5" t="s">
        <v>3203</v>
      </c>
      <c r="B316" s="5" t="s">
        <v>266</v>
      </c>
      <c r="C316" s="5" t="s">
        <v>267</v>
      </c>
      <c r="D316" s="9" t="s">
        <v>92</v>
      </c>
      <c r="E316" s="5" t="n">
        <v>8</v>
      </c>
      <c r="F316" s="5" t="s">
        <v>3204</v>
      </c>
      <c r="G316" s="11" t="s">
        <v>3205</v>
      </c>
      <c r="H316" s="5" t="s">
        <v>3206</v>
      </c>
      <c r="I316" s="11" t="s">
        <v>3207</v>
      </c>
      <c r="J316" s="5" t="s">
        <v>3208</v>
      </c>
      <c r="K316" s="5" t="s">
        <v>3209</v>
      </c>
      <c r="L316" s="11" t="s">
        <v>3210</v>
      </c>
      <c r="M316" s="11" t="s">
        <v>3211</v>
      </c>
      <c r="N316" s="5" t="n">
        <f aca="false">LEN(L316)</f>
        <v>25</v>
      </c>
      <c r="O316" s="5" t="n">
        <f aca="false">LEN(M316)</f>
        <v>25</v>
      </c>
      <c r="P316" s="12" t="n">
        <f aca="false">IF(N316=0,"",(N316-LEN(SUBSTITUTE(SUBSTITUTE(L316,"G",""),"C","")))/N316)</f>
        <v>0.76</v>
      </c>
      <c r="Q316" s="12" t="n">
        <f aca="false">IF(O316=0,"",(O316-LEN(SUBSTITUTE(SUBSTITUTE(M316,"G",""),"C","")))/O316)</f>
        <v>0.8</v>
      </c>
      <c r="R316" s="5"/>
      <c r="S316" s="5" t="s">
        <v>382</v>
      </c>
      <c r="T316" s="5"/>
      <c r="U316" s="5" t="s">
        <v>383</v>
      </c>
      <c r="V316" s="5" t="s">
        <v>3148</v>
      </c>
      <c r="W316" s="5"/>
      <c r="X316" s="13" t="s">
        <v>385</v>
      </c>
      <c r="Y316" s="5"/>
    </row>
    <row r="317" customFormat="false" ht="15" hidden="false" customHeight="false" outlineLevel="0" collapsed="false">
      <c r="A317" s="5" t="s">
        <v>3212</v>
      </c>
      <c r="B317" s="5" t="s">
        <v>274</v>
      </c>
      <c r="C317" s="5" t="s">
        <v>148</v>
      </c>
      <c r="D317" s="9" t="s">
        <v>92</v>
      </c>
      <c r="E317" s="5" t="n">
        <v>1</v>
      </c>
      <c r="F317" s="5" t="s">
        <v>3213</v>
      </c>
      <c r="G317" s="11" t="s">
        <v>3214</v>
      </c>
      <c r="H317" s="5" t="s">
        <v>3215</v>
      </c>
      <c r="I317" s="11" t="s">
        <v>3216</v>
      </c>
      <c r="J317" s="5" t="s">
        <v>3217</v>
      </c>
      <c r="K317" s="5" t="s">
        <v>3218</v>
      </c>
      <c r="L317" s="11" t="s">
        <v>3219</v>
      </c>
      <c r="M317" s="11" t="s">
        <v>3220</v>
      </c>
      <c r="N317" s="5" t="n">
        <f aca="false">LEN(L317)</f>
        <v>25</v>
      </c>
      <c r="O317" s="5" t="n">
        <f aca="false">LEN(M317)</f>
        <v>25</v>
      </c>
      <c r="P317" s="12" t="n">
        <f aca="false">IF(N317=0,"",(N317-LEN(SUBSTITUTE(SUBSTITUTE(L317,"G",""),"C","")))/N317)</f>
        <v>0.76</v>
      </c>
      <c r="Q317" s="12" t="n">
        <f aca="false">IF(O317=0,"",(O317-LEN(SUBSTITUTE(SUBSTITUTE(M317,"G",""),"C","")))/O317)</f>
        <v>0.8</v>
      </c>
      <c r="R317" s="5"/>
      <c r="S317" s="5" t="s">
        <v>382</v>
      </c>
      <c r="T317" s="5"/>
      <c r="U317" s="5" t="s">
        <v>383</v>
      </c>
      <c r="V317" s="5" t="s">
        <v>1606</v>
      </c>
      <c r="W317" s="5"/>
      <c r="X317" s="13" t="s">
        <v>385</v>
      </c>
      <c r="Y317" s="5"/>
    </row>
    <row r="318" customFormat="false" ht="15" hidden="false" customHeight="false" outlineLevel="0" collapsed="false">
      <c r="A318" s="5" t="s">
        <v>3221</v>
      </c>
      <c r="B318" s="5" t="s">
        <v>274</v>
      </c>
      <c r="C318" s="5" t="s">
        <v>148</v>
      </c>
      <c r="D318" s="9" t="s">
        <v>92</v>
      </c>
      <c r="E318" s="5" t="n">
        <v>2</v>
      </c>
      <c r="F318" s="5" t="s">
        <v>3222</v>
      </c>
      <c r="G318" s="11" t="s">
        <v>3223</v>
      </c>
      <c r="H318" s="5" t="s">
        <v>3224</v>
      </c>
      <c r="I318" s="11" t="s">
        <v>3225</v>
      </c>
      <c r="J318" s="5" t="s">
        <v>3226</v>
      </c>
      <c r="K318" s="5" t="s">
        <v>3227</v>
      </c>
      <c r="L318" s="11" t="s">
        <v>3228</v>
      </c>
      <c r="M318" s="11" t="s">
        <v>3229</v>
      </c>
      <c r="N318" s="5" t="n">
        <f aca="false">LEN(L318)</f>
        <v>25</v>
      </c>
      <c r="O318" s="5" t="n">
        <f aca="false">LEN(M318)</f>
        <v>25</v>
      </c>
      <c r="P318" s="12" t="n">
        <f aca="false">IF(N318=0,"",(N318-LEN(SUBSTITUTE(SUBSTITUTE(L318,"G",""),"C","")))/N318)</f>
        <v>0.88</v>
      </c>
      <c r="Q318" s="12" t="n">
        <f aca="false">IF(O318=0,"",(O318-LEN(SUBSTITUTE(SUBSTITUTE(M318,"G",""),"C","")))/O318)</f>
        <v>0.84</v>
      </c>
      <c r="R318" s="5"/>
      <c r="S318" s="5" t="s">
        <v>382</v>
      </c>
      <c r="T318" s="5"/>
      <c r="U318" s="5" t="s">
        <v>383</v>
      </c>
      <c r="V318" s="5" t="s">
        <v>1606</v>
      </c>
      <c r="W318" s="5"/>
      <c r="X318" s="13" t="s">
        <v>385</v>
      </c>
      <c r="Y318" s="5"/>
    </row>
    <row r="319" customFormat="false" ht="15" hidden="false" customHeight="false" outlineLevel="0" collapsed="false">
      <c r="A319" s="5" t="s">
        <v>3230</v>
      </c>
      <c r="B319" s="5" t="s">
        <v>274</v>
      </c>
      <c r="C319" s="5" t="s">
        <v>148</v>
      </c>
      <c r="D319" s="9" t="s">
        <v>92</v>
      </c>
      <c r="E319" s="5" t="n">
        <v>3</v>
      </c>
      <c r="F319" s="5" t="s">
        <v>3231</v>
      </c>
      <c r="G319" s="11" t="s">
        <v>3232</v>
      </c>
      <c r="H319" s="5" t="s">
        <v>3233</v>
      </c>
      <c r="I319" s="11" t="s">
        <v>3234</v>
      </c>
      <c r="J319" s="5" t="s">
        <v>3235</v>
      </c>
      <c r="K319" s="5" t="s">
        <v>3236</v>
      </c>
      <c r="L319" s="11" t="s">
        <v>3237</v>
      </c>
      <c r="M319" s="11" t="s">
        <v>3238</v>
      </c>
      <c r="N319" s="5" t="n">
        <f aca="false">LEN(L319)</f>
        <v>25</v>
      </c>
      <c r="O319" s="5" t="n">
        <f aca="false">LEN(M319)</f>
        <v>25</v>
      </c>
      <c r="P319" s="12" t="n">
        <f aca="false">IF(N319=0,"",(N319-LEN(SUBSTITUTE(SUBSTITUTE(L319,"G",""),"C","")))/N319)</f>
        <v>0.84</v>
      </c>
      <c r="Q319" s="12" t="n">
        <f aca="false">IF(O319=0,"",(O319-LEN(SUBSTITUTE(SUBSTITUTE(M319,"G",""),"C","")))/O319)</f>
        <v>0.72</v>
      </c>
      <c r="R319" s="5"/>
      <c r="S319" s="5" t="s">
        <v>382</v>
      </c>
      <c r="T319" s="5"/>
      <c r="U319" s="5" t="s">
        <v>383</v>
      </c>
      <c r="V319" s="5" t="s">
        <v>1606</v>
      </c>
      <c r="W319" s="5"/>
      <c r="X319" s="13" t="s">
        <v>385</v>
      </c>
      <c r="Y319" s="5"/>
    </row>
    <row r="320" customFormat="false" ht="15" hidden="false" customHeight="false" outlineLevel="0" collapsed="false">
      <c r="A320" s="5" t="s">
        <v>3239</v>
      </c>
      <c r="B320" s="5" t="s">
        <v>274</v>
      </c>
      <c r="C320" s="5" t="s">
        <v>148</v>
      </c>
      <c r="D320" s="9" t="s">
        <v>92</v>
      </c>
      <c r="E320" s="5" t="n">
        <v>4</v>
      </c>
      <c r="F320" s="5" t="s">
        <v>3240</v>
      </c>
      <c r="G320" s="11" t="s">
        <v>3241</v>
      </c>
      <c r="H320" s="5" t="s">
        <v>3242</v>
      </c>
      <c r="I320" s="11" t="s">
        <v>3243</v>
      </c>
      <c r="J320" s="5" t="s">
        <v>3244</v>
      </c>
      <c r="K320" s="5" t="s">
        <v>3245</v>
      </c>
      <c r="L320" s="11" t="s">
        <v>3246</v>
      </c>
      <c r="M320" s="11" t="s">
        <v>3247</v>
      </c>
      <c r="N320" s="5" t="n">
        <f aca="false">LEN(L320)</f>
        <v>25</v>
      </c>
      <c r="O320" s="5" t="n">
        <f aca="false">LEN(M320)</f>
        <v>25</v>
      </c>
      <c r="P320" s="12" t="n">
        <f aca="false">IF(N320=0,"",(N320-LEN(SUBSTITUTE(SUBSTITUTE(L320,"G",""),"C","")))/N320)</f>
        <v>0.76</v>
      </c>
      <c r="Q320" s="12" t="n">
        <f aca="false">IF(O320=0,"",(O320-LEN(SUBSTITUTE(SUBSTITUTE(M320,"G",""),"C","")))/O320)</f>
        <v>0.92</v>
      </c>
      <c r="R320" s="5"/>
      <c r="S320" s="5" t="s">
        <v>382</v>
      </c>
      <c r="T320" s="5"/>
      <c r="U320" s="5" t="s">
        <v>383</v>
      </c>
      <c r="V320" s="5" t="s">
        <v>1606</v>
      </c>
      <c r="W320" s="5"/>
      <c r="X320" s="13" t="s">
        <v>385</v>
      </c>
      <c r="Y320" s="5"/>
    </row>
    <row r="321" customFormat="false" ht="15" hidden="false" customHeight="false" outlineLevel="0" collapsed="false">
      <c r="A321" s="5" t="s">
        <v>3248</v>
      </c>
      <c r="B321" s="5" t="s">
        <v>274</v>
      </c>
      <c r="C321" s="5" t="s">
        <v>148</v>
      </c>
      <c r="D321" s="9" t="s">
        <v>92</v>
      </c>
      <c r="E321" s="5" t="n">
        <v>5</v>
      </c>
      <c r="F321" s="5" t="s">
        <v>3249</v>
      </c>
      <c r="G321" s="11" t="s">
        <v>3250</v>
      </c>
      <c r="H321" s="5" t="s">
        <v>3251</v>
      </c>
      <c r="I321" s="11" t="s">
        <v>3252</v>
      </c>
      <c r="J321" s="5" t="s">
        <v>3253</v>
      </c>
      <c r="K321" s="5" t="s">
        <v>3254</v>
      </c>
      <c r="L321" s="11" t="s">
        <v>3255</v>
      </c>
      <c r="M321" s="11" t="s">
        <v>3256</v>
      </c>
      <c r="N321" s="5" t="n">
        <f aca="false">LEN(L321)</f>
        <v>25</v>
      </c>
      <c r="O321" s="5" t="n">
        <f aca="false">LEN(M321)</f>
        <v>25</v>
      </c>
      <c r="P321" s="12" t="n">
        <f aca="false">IF(N321=0,"",(N321-LEN(SUBSTITUTE(SUBSTITUTE(L321,"G",""),"C","")))/N321)</f>
        <v>0.6</v>
      </c>
      <c r="Q321" s="12" t="n">
        <f aca="false">IF(O321=0,"",(O321-LEN(SUBSTITUTE(SUBSTITUTE(M321,"G",""),"C","")))/O321)</f>
        <v>0.72</v>
      </c>
      <c r="R321" s="5"/>
      <c r="S321" s="5" t="s">
        <v>382</v>
      </c>
      <c r="T321" s="5"/>
      <c r="U321" s="5" t="s">
        <v>383</v>
      </c>
      <c r="V321" s="5" t="s">
        <v>1606</v>
      </c>
      <c r="W321" s="5"/>
      <c r="X321" s="13" t="s">
        <v>385</v>
      </c>
      <c r="Y321" s="5"/>
    </row>
    <row r="322" customFormat="false" ht="15" hidden="false" customHeight="false" outlineLevel="0" collapsed="false">
      <c r="A322" s="5" t="s">
        <v>3257</v>
      </c>
      <c r="B322" s="5" t="s">
        <v>274</v>
      </c>
      <c r="C322" s="5" t="s">
        <v>148</v>
      </c>
      <c r="D322" s="9" t="s">
        <v>92</v>
      </c>
      <c r="E322" s="5" t="n">
        <v>6</v>
      </c>
      <c r="F322" s="5" t="s">
        <v>3258</v>
      </c>
      <c r="G322" s="11" t="s">
        <v>3259</v>
      </c>
      <c r="H322" s="5" t="s">
        <v>3260</v>
      </c>
      <c r="I322" s="11" t="s">
        <v>3261</v>
      </c>
      <c r="J322" s="5" t="s">
        <v>3262</v>
      </c>
      <c r="K322" s="5" t="s">
        <v>3263</v>
      </c>
      <c r="L322" s="11" t="s">
        <v>3264</v>
      </c>
      <c r="M322" s="11" t="s">
        <v>3265</v>
      </c>
      <c r="N322" s="5" t="n">
        <f aca="false">LEN(L322)</f>
        <v>25</v>
      </c>
      <c r="O322" s="5" t="n">
        <f aca="false">LEN(M322)</f>
        <v>25</v>
      </c>
      <c r="P322" s="12" t="n">
        <f aca="false">IF(N322=0,"",(N322-LEN(SUBSTITUTE(SUBSTITUTE(L322,"G",""),"C","")))/N322)</f>
        <v>0.76</v>
      </c>
      <c r="Q322" s="12" t="n">
        <f aca="false">IF(O322=0,"",(O322-LEN(SUBSTITUTE(SUBSTITUTE(M322,"G",""),"C","")))/O322)</f>
        <v>0.68</v>
      </c>
      <c r="R322" s="5"/>
      <c r="S322" s="5" t="s">
        <v>382</v>
      </c>
      <c r="T322" s="5"/>
      <c r="U322" s="5" t="s">
        <v>383</v>
      </c>
      <c r="V322" s="5" t="s">
        <v>1606</v>
      </c>
      <c r="W322" s="5"/>
      <c r="X322" s="13" t="s">
        <v>385</v>
      </c>
      <c r="Y322" s="5"/>
    </row>
    <row r="323" customFormat="false" ht="15" hidden="false" customHeight="false" outlineLevel="0" collapsed="false">
      <c r="A323" s="5" t="s">
        <v>3266</v>
      </c>
      <c r="B323" s="5" t="s">
        <v>275</v>
      </c>
      <c r="C323" s="5" t="s">
        <v>160</v>
      </c>
      <c r="D323" s="10" t="s">
        <v>56</v>
      </c>
      <c r="E323" s="5" t="n">
        <v>1</v>
      </c>
      <c r="F323" s="5" t="s">
        <v>3267</v>
      </c>
      <c r="G323" s="11" t="s">
        <v>3268</v>
      </c>
      <c r="H323" s="5" t="s">
        <v>3269</v>
      </c>
      <c r="I323" s="11" t="s">
        <v>3270</v>
      </c>
      <c r="J323" s="5" t="s">
        <v>3271</v>
      </c>
      <c r="K323" s="5" t="s">
        <v>3272</v>
      </c>
      <c r="L323" s="11" t="s">
        <v>1822</v>
      </c>
      <c r="M323" s="11" t="s">
        <v>1823</v>
      </c>
      <c r="N323" s="5" t="n">
        <f aca="false">LEN(L323)</f>
        <v>25</v>
      </c>
      <c r="O323" s="5" t="n">
        <f aca="false">LEN(M323)</f>
        <v>25</v>
      </c>
      <c r="P323" s="12" t="n">
        <f aca="false">IF(N323=0,"",(N323-LEN(SUBSTITUTE(SUBSTITUTE(L323,"G",""),"C","")))/N323)</f>
        <v>0.32</v>
      </c>
      <c r="Q323" s="12" t="n">
        <f aca="false">IF(O323=0,"",(O323-LEN(SUBSTITUTE(SUBSTITUTE(M323,"G",""),"C","")))/O323)</f>
        <v>0.32</v>
      </c>
      <c r="R323" s="5"/>
      <c r="S323" s="5" t="s">
        <v>382</v>
      </c>
      <c r="T323" s="5"/>
      <c r="U323" s="5" t="s">
        <v>383</v>
      </c>
      <c r="V323" s="5" t="s">
        <v>1824</v>
      </c>
      <c r="W323" s="5"/>
      <c r="X323" s="13" t="s">
        <v>385</v>
      </c>
      <c r="Y323" s="5"/>
    </row>
    <row r="324" customFormat="false" ht="15" hidden="false" customHeight="false" outlineLevel="0" collapsed="false">
      <c r="A324" s="5" t="s">
        <v>3273</v>
      </c>
      <c r="B324" s="5" t="s">
        <v>275</v>
      </c>
      <c r="C324" s="5" t="s">
        <v>160</v>
      </c>
      <c r="D324" s="10" t="s">
        <v>56</v>
      </c>
      <c r="E324" s="5" t="n">
        <v>2</v>
      </c>
      <c r="F324" s="5" t="s">
        <v>3274</v>
      </c>
      <c r="G324" s="11" t="s">
        <v>3275</v>
      </c>
      <c r="H324" s="5" t="s">
        <v>3276</v>
      </c>
      <c r="I324" s="11" t="s">
        <v>3277</v>
      </c>
      <c r="J324" s="5" t="s">
        <v>3278</v>
      </c>
      <c r="K324" s="5" t="s">
        <v>3279</v>
      </c>
      <c r="L324" s="11" t="s">
        <v>1832</v>
      </c>
      <c r="M324" s="11" t="s">
        <v>1833</v>
      </c>
      <c r="N324" s="5" t="n">
        <f aca="false">LEN(L324)</f>
        <v>25</v>
      </c>
      <c r="O324" s="5" t="n">
        <f aca="false">LEN(M324)</f>
        <v>25</v>
      </c>
      <c r="P324" s="12" t="n">
        <f aca="false">IF(N324=0,"",(N324-LEN(SUBSTITUTE(SUBSTITUTE(L324,"G",""),"C","")))/N324)</f>
        <v>0.44</v>
      </c>
      <c r="Q324" s="12" t="n">
        <f aca="false">IF(O324=0,"",(O324-LEN(SUBSTITUTE(SUBSTITUTE(M324,"G",""),"C","")))/O324)</f>
        <v>0.4</v>
      </c>
      <c r="R324" s="5"/>
      <c r="S324" s="5" t="s">
        <v>382</v>
      </c>
      <c r="T324" s="5"/>
      <c r="U324" s="5" t="s">
        <v>383</v>
      </c>
      <c r="V324" s="5" t="s">
        <v>1824</v>
      </c>
      <c r="W324" s="5"/>
      <c r="X324" s="13" t="s">
        <v>385</v>
      </c>
      <c r="Y324" s="5"/>
    </row>
    <row r="325" customFormat="false" ht="15" hidden="false" customHeight="false" outlineLevel="0" collapsed="false">
      <c r="A325" s="5" t="s">
        <v>3280</v>
      </c>
      <c r="B325" s="5" t="s">
        <v>275</v>
      </c>
      <c r="C325" s="5" t="s">
        <v>160</v>
      </c>
      <c r="D325" s="10" t="s">
        <v>56</v>
      </c>
      <c r="E325" s="5" t="n">
        <v>3</v>
      </c>
      <c r="F325" s="5" t="s">
        <v>3281</v>
      </c>
      <c r="G325" s="11" t="s">
        <v>3282</v>
      </c>
      <c r="H325" s="5" t="s">
        <v>3283</v>
      </c>
      <c r="I325" s="11" t="s">
        <v>3284</v>
      </c>
      <c r="J325" s="5" t="s">
        <v>3285</v>
      </c>
      <c r="K325" s="5" t="s">
        <v>3286</v>
      </c>
      <c r="L325" s="11" t="s">
        <v>1841</v>
      </c>
      <c r="M325" s="11" t="s">
        <v>1842</v>
      </c>
      <c r="N325" s="5" t="n">
        <f aca="false">LEN(L325)</f>
        <v>25</v>
      </c>
      <c r="O325" s="5" t="n">
        <f aca="false">LEN(M325)</f>
        <v>25</v>
      </c>
      <c r="P325" s="12" t="n">
        <f aca="false">IF(N325=0,"",(N325-LEN(SUBSTITUTE(SUBSTITUTE(L325,"G",""),"C","")))/N325)</f>
        <v>0.36</v>
      </c>
      <c r="Q325" s="12" t="n">
        <f aca="false">IF(O325=0,"",(O325-LEN(SUBSTITUTE(SUBSTITUTE(M325,"G",""),"C","")))/O325)</f>
        <v>0.4</v>
      </c>
      <c r="R325" s="5"/>
      <c r="S325" s="5" t="s">
        <v>382</v>
      </c>
      <c r="T325" s="5"/>
      <c r="U325" s="5" t="s">
        <v>383</v>
      </c>
      <c r="V325" s="5" t="s">
        <v>1824</v>
      </c>
      <c r="W325" s="5"/>
      <c r="X325" s="13" t="s">
        <v>385</v>
      </c>
      <c r="Y325" s="5"/>
    </row>
    <row r="326" customFormat="false" ht="15" hidden="false" customHeight="false" outlineLevel="0" collapsed="false">
      <c r="A326" s="5" t="s">
        <v>3287</v>
      </c>
      <c r="B326" s="5" t="s">
        <v>275</v>
      </c>
      <c r="C326" s="5" t="s">
        <v>160</v>
      </c>
      <c r="D326" s="10" t="s">
        <v>56</v>
      </c>
      <c r="E326" s="5" t="n">
        <v>4</v>
      </c>
      <c r="F326" s="5" t="s">
        <v>3288</v>
      </c>
      <c r="G326" s="11" t="s">
        <v>3289</v>
      </c>
      <c r="H326" s="5" t="s">
        <v>3290</v>
      </c>
      <c r="I326" s="11" t="s">
        <v>3291</v>
      </c>
      <c r="J326" s="5" t="s">
        <v>3292</v>
      </c>
      <c r="K326" s="5" t="s">
        <v>3293</v>
      </c>
      <c r="L326" s="11" t="s">
        <v>1850</v>
      </c>
      <c r="M326" s="11" t="s">
        <v>1851</v>
      </c>
      <c r="N326" s="5" t="n">
        <f aca="false">LEN(L326)</f>
        <v>25</v>
      </c>
      <c r="O326" s="5" t="n">
        <f aca="false">LEN(M326)</f>
        <v>25</v>
      </c>
      <c r="P326" s="12" t="n">
        <f aca="false">IF(N326=0,"",(N326-LEN(SUBSTITUTE(SUBSTITUTE(L326,"G",""),"C","")))/N326)</f>
        <v>0.4</v>
      </c>
      <c r="Q326" s="12" t="n">
        <f aca="false">IF(O326=0,"",(O326-LEN(SUBSTITUTE(SUBSTITUTE(M326,"G",""),"C","")))/O326)</f>
        <v>0.44</v>
      </c>
      <c r="R326" s="5"/>
      <c r="S326" s="5" t="s">
        <v>382</v>
      </c>
      <c r="T326" s="5"/>
      <c r="U326" s="5" t="s">
        <v>383</v>
      </c>
      <c r="V326" s="5" t="s">
        <v>1824</v>
      </c>
      <c r="W326" s="5"/>
      <c r="X326" s="13" t="s">
        <v>385</v>
      </c>
      <c r="Y326" s="5"/>
    </row>
    <row r="327" customFormat="false" ht="15" hidden="false" customHeight="false" outlineLevel="0" collapsed="false">
      <c r="A327" s="5" t="s">
        <v>3294</v>
      </c>
      <c r="B327" s="5" t="s">
        <v>275</v>
      </c>
      <c r="C327" s="5" t="s">
        <v>160</v>
      </c>
      <c r="D327" s="10" t="s">
        <v>56</v>
      </c>
      <c r="E327" s="5" t="n">
        <v>5</v>
      </c>
      <c r="F327" s="5" t="s">
        <v>3295</v>
      </c>
      <c r="G327" s="11" t="s">
        <v>3296</v>
      </c>
      <c r="H327" s="5" t="s">
        <v>3297</v>
      </c>
      <c r="I327" s="11" t="s">
        <v>3298</v>
      </c>
      <c r="J327" s="5" t="s">
        <v>3299</v>
      </c>
      <c r="K327" s="5" t="s">
        <v>3300</v>
      </c>
      <c r="L327" s="11" t="s">
        <v>1859</v>
      </c>
      <c r="M327" s="11" t="s">
        <v>1860</v>
      </c>
      <c r="N327" s="5" t="n">
        <f aca="false">LEN(L327)</f>
        <v>25</v>
      </c>
      <c r="O327" s="5" t="n">
        <f aca="false">LEN(M327)</f>
        <v>25</v>
      </c>
      <c r="P327" s="12" t="n">
        <f aca="false">IF(N327=0,"",(N327-LEN(SUBSTITUTE(SUBSTITUTE(L327,"G",""),"C","")))/N327)</f>
        <v>0.24</v>
      </c>
      <c r="Q327" s="12" t="n">
        <f aca="false">IF(O327=0,"",(O327-LEN(SUBSTITUTE(SUBSTITUTE(M327,"G",""),"C","")))/O327)</f>
        <v>0.36</v>
      </c>
      <c r="R327" s="5"/>
      <c r="S327" s="5" t="s">
        <v>382</v>
      </c>
      <c r="T327" s="5"/>
      <c r="U327" s="5" t="s">
        <v>383</v>
      </c>
      <c r="V327" s="5" t="s">
        <v>1824</v>
      </c>
      <c r="W327" s="5"/>
      <c r="X327" s="13" t="s">
        <v>385</v>
      </c>
      <c r="Y327" s="5"/>
    </row>
    <row r="328" customFormat="false" ht="15" hidden="false" customHeight="false" outlineLevel="0" collapsed="false">
      <c r="A328" s="5" t="s">
        <v>3301</v>
      </c>
      <c r="B328" s="5" t="s">
        <v>275</v>
      </c>
      <c r="C328" s="5" t="s">
        <v>160</v>
      </c>
      <c r="D328" s="10" t="s">
        <v>56</v>
      </c>
      <c r="E328" s="5" t="n">
        <v>6</v>
      </c>
      <c r="F328" s="5" t="s">
        <v>3302</v>
      </c>
      <c r="G328" s="11" t="s">
        <v>3303</v>
      </c>
      <c r="H328" s="5" t="s">
        <v>3304</v>
      </c>
      <c r="I328" s="11" t="s">
        <v>3305</v>
      </c>
      <c r="J328" s="5" t="s">
        <v>3306</v>
      </c>
      <c r="K328" s="5" t="s">
        <v>3307</v>
      </c>
      <c r="L328" s="11" t="s">
        <v>1868</v>
      </c>
      <c r="M328" s="11" t="s">
        <v>1869</v>
      </c>
      <c r="N328" s="5" t="n">
        <f aca="false">LEN(L328)</f>
        <v>25</v>
      </c>
      <c r="O328" s="5" t="n">
        <f aca="false">LEN(M328)</f>
        <v>25</v>
      </c>
      <c r="P328" s="12" t="n">
        <f aca="false">IF(N328=0,"",(N328-LEN(SUBSTITUTE(SUBSTITUTE(L328,"G",""),"C","")))/N328)</f>
        <v>0.4</v>
      </c>
      <c r="Q328" s="12" t="n">
        <f aca="false">IF(O328=0,"",(O328-LEN(SUBSTITUTE(SUBSTITUTE(M328,"G",""),"C","")))/O328)</f>
        <v>0.16</v>
      </c>
      <c r="R328" s="5"/>
      <c r="S328" s="5" t="s">
        <v>382</v>
      </c>
      <c r="T328" s="5"/>
      <c r="U328" s="5" t="s">
        <v>383</v>
      </c>
      <c r="V328" s="5" t="s">
        <v>1824</v>
      </c>
      <c r="W328" s="5"/>
      <c r="X328" s="13" t="s">
        <v>385</v>
      </c>
      <c r="Y328" s="5"/>
    </row>
    <row r="329" customFormat="false" ht="15" hidden="false" customHeight="false" outlineLevel="0" collapsed="false">
      <c r="A329" s="5" t="s">
        <v>3308</v>
      </c>
      <c r="B329" s="5" t="s">
        <v>275</v>
      </c>
      <c r="C329" s="5" t="s">
        <v>160</v>
      </c>
      <c r="D329" s="10" t="s">
        <v>56</v>
      </c>
      <c r="E329" s="5" t="n">
        <v>7</v>
      </c>
      <c r="F329" s="5" t="s">
        <v>3309</v>
      </c>
      <c r="G329" s="11" t="s">
        <v>3310</v>
      </c>
      <c r="H329" s="5" t="s">
        <v>3311</v>
      </c>
      <c r="I329" s="11" t="s">
        <v>3312</v>
      </c>
      <c r="J329" s="5" t="s">
        <v>3313</v>
      </c>
      <c r="K329" s="5" t="s">
        <v>3314</v>
      </c>
      <c r="L329" s="11" t="s">
        <v>1877</v>
      </c>
      <c r="M329" s="11" t="s">
        <v>1878</v>
      </c>
      <c r="N329" s="5" t="n">
        <f aca="false">LEN(L329)</f>
        <v>25</v>
      </c>
      <c r="O329" s="5" t="n">
        <f aca="false">LEN(M329)</f>
        <v>25</v>
      </c>
      <c r="P329" s="12" t="n">
        <f aca="false">IF(N329=0,"",(N329-LEN(SUBSTITUTE(SUBSTITUTE(L329,"G",""),"C","")))/N329)</f>
        <v>0.48</v>
      </c>
      <c r="Q329" s="12" t="n">
        <f aca="false">IF(O329=0,"",(O329-LEN(SUBSTITUTE(SUBSTITUTE(M329,"G",""),"C","")))/O329)</f>
        <v>0.32</v>
      </c>
      <c r="R329" s="5"/>
      <c r="S329" s="5" t="s">
        <v>382</v>
      </c>
      <c r="T329" s="5"/>
      <c r="U329" s="5" t="s">
        <v>383</v>
      </c>
      <c r="V329" s="5" t="s">
        <v>1824</v>
      </c>
      <c r="W329" s="5"/>
      <c r="X329" s="13" t="s">
        <v>385</v>
      </c>
      <c r="Y329" s="5"/>
    </row>
    <row r="330" customFormat="false" ht="15" hidden="false" customHeight="false" outlineLevel="0" collapsed="false">
      <c r="A330" s="5" t="s">
        <v>3315</v>
      </c>
      <c r="B330" s="5" t="s">
        <v>275</v>
      </c>
      <c r="C330" s="5" t="s">
        <v>160</v>
      </c>
      <c r="D330" s="10" t="s">
        <v>56</v>
      </c>
      <c r="E330" s="5" t="n">
        <v>8</v>
      </c>
      <c r="F330" s="5" t="s">
        <v>3316</v>
      </c>
      <c r="G330" s="11" t="s">
        <v>3317</v>
      </c>
      <c r="H330" s="5" t="s">
        <v>3318</v>
      </c>
      <c r="I330" s="11" t="s">
        <v>3319</v>
      </c>
      <c r="J330" s="5" t="s">
        <v>3320</v>
      </c>
      <c r="K330" s="5" t="s">
        <v>3321</v>
      </c>
      <c r="L330" s="11" t="s">
        <v>1886</v>
      </c>
      <c r="M330" s="11" t="s">
        <v>1887</v>
      </c>
      <c r="N330" s="5" t="n">
        <f aca="false">LEN(L330)</f>
        <v>25</v>
      </c>
      <c r="O330" s="5" t="n">
        <f aca="false">LEN(M330)</f>
        <v>25</v>
      </c>
      <c r="P330" s="12" t="n">
        <f aca="false">IF(N330=0,"",(N330-LEN(SUBSTITUTE(SUBSTITUTE(L330,"G",""),"C","")))/N330)</f>
        <v>0.28</v>
      </c>
      <c r="Q330" s="12" t="n">
        <f aca="false">IF(O330=0,"",(O330-LEN(SUBSTITUTE(SUBSTITUTE(M330,"G",""),"C","")))/O330)</f>
        <v>0.28</v>
      </c>
      <c r="R330" s="5"/>
      <c r="S330" s="5" t="s">
        <v>382</v>
      </c>
      <c r="T330" s="5"/>
      <c r="U330" s="5" t="s">
        <v>383</v>
      </c>
      <c r="V330" s="5" t="s">
        <v>1824</v>
      </c>
      <c r="W330" s="5"/>
      <c r="X330" s="13" t="s">
        <v>385</v>
      </c>
      <c r="Y330" s="5"/>
    </row>
    <row r="331" customFormat="false" ht="15" hidden="false" customHeight="false" outlineLevel="0" collapsed="false">
      <c r="A331" s="5" t="s">
        <v>3322</v>
      </c>
      <c r="B331" s="5" t="s">
        <v>277</v>
      </c>
      <c r="C331" s="5" t="s">
        <v>168</v>
      </c>
      <c r="D331" s="10" t="s">
        <v>56</v>
      </c>
      <c r="E331" s="5" t="n">
        <v>1</v>
      </c>
      <c r="F331" s="5" t="s">
        <v>3323</v>
      </c>
      <c r="G331" s="11" t="s">
        <v>3324</v>
      </c>
      <c r="H331" s="5" t="s">
        <v>3325</v>
      </c>
      <c r="I331" s="11" t="s">
        <v>3326</v>
      </c>
      <c r="J331" s="5" t="s">
        <v>3327</v>
      </c>
      <c r="K331" s="5" t="s">
        <v>3328</v>
      </c>
      <c r="L331" s="11" t="s">
        <v>1895</v>
      </c>
      <c r="M331" s="11" t="s">
        <v>1896</v>
      </c>
      <c r="N331" s="5" t="n">
        <f aca="false">LEN(L331)</f>
        <v>25</v>
      </c>
      <c r="O331" s="5" t="n">
        <f aca="false">LEN(M331)</f>
        <v>25</v>
      </c>
      <c r="P331" s="12" t="n">
        <f aca="false">IF(N331=0,"",(N331-LEN(SUBSTITUTE(SUBSTITUTE(L331,"G",""),"C","")))/N331)</f>
        <v>0.56</v>
      </c>
      <c r="Q331" s="12" t="n">
        <f aca="false">IF(O331=0,"",(O331-LEN(SUBSTITUTE(SUBSTITUTE(M331,"G",""),"C","")))/O331)</f>
        <v>0.44</v>
      </c>
      <c r="R331" s="5"/>
      <c r="S331" s="5" t="s">
        <v>382</v>
      </c>
      <c r="T331" s="5"/>
      <c r="U331" s="5" t="s">
        <v>383</v>
      </c>
      <c r="V331" s="5" t="s">
        <v>1897</v>
      </c>
      <c r="W331" s="5"/>
      <c r="X331" s="13" t="s">
        <v>385</v>
      </c>
      <c r="Y331" s="5"/>
    </row>
    <row r="332" customFormat="false" ht="15" hidden="false" customHeight="false" outlineLevel="0" collapsed="false">
      <c r="A332" s="5" t="s">
        <v>3329</v>
      </c>
      <c r="B332" s="5" t="s">
        <v>277</v>
      </c>
      <c r="C332" s="5" t="s">
        <v>168</v>
      </c>
      <c r="D332" s="10" t="s">
        <v>56</v>
      </c>
      <c r="E332" s="5" t="n">
        <v>2</v>
      </c>
      <c r="F332" s="5" t="s">
        <v>3330</v>
      </c>
      <c r="G332" s="11" t="s">
        <v>3331</v>
      </c>
      <c r="H332" s="5" t="s">
        <v>3332</v>
      </c>
      <c r="I332" s="11" t="s">
        <v>3333</v>
      </c>
      <c r="J332" s="5" t="s">
        <v>3334</v>
      </c>
      <c r="K332" s="5" t="s">
        <v>3335</v>
      </c>
      <c r="L332" s="11" t="s">
        <v>1905</v>
      </c>
      <c r="M332" s="11" t="s">
        <v>1906</v>
      </c>
      <c r="N332" s="5" t="n">
        <f aca="false">LEN(L332)</f>
        <v>25</v>
      </c>
      <c r="O332" s="5" t="n">
        <f aca="false">LEN(M332)</f>
        <v>25</v>
      </c>
      <c r="P332" s="12" t="n">
        <f aca="false">IF(N332=0,"",(N332-LEN(SUBSTITUTE(SUBSTITUTE(L332,"G",""),"C","")))/N332)</f>
        <v>0.56</v>
      </c>
      <c r="Q332" s="12" t="n">
        <f aca="false">IF(O332=0,"",(O332-LEN(SUBSTITUTE(SUBSTITUTE(M332,"G",""),"C","")))/O332)</f>
        <v>0.64</v>
      </c>
      <c r="R332" s="5"/>
      <c r="S332" s="5" t="s">
        <v>382</v>
      </c>
      <c r="T332" s="5"/>
      <c r="U332" s="5" t="s">
        <v>383</v>
      </c>
      <c r="V332" s="5" t="s">
        <v>1897</v>
      </c>
      <c r="W332" s="5"/>
      <c r="X332" s="13" t="s">
        <v>385</v>
      </c>
      <c r="Y332" s="5"/>
    </row>
    <row r="333" customFormat="false" ht="15" hidden="false" customHeight="false" outlineLevel="0" collapsed="false">
      <c r="A333" s="5" t="s">
        <v>3336</v>
      </c>
      <c r="B333" s="5" t="s">
        <v>277</v>
      </c>
      <c r="C333" s="5" t="s">
        <v>168</v>
      </c>
      <c r="D333" s="10" t="s">
        <v>56</v>
      </c>
      <c r="E333" s="5" t="n">
        <v>3</v>
      </c>
      <c r="F333" s="5" t="s">
        <v>3337</v>
      </c>
      <c r="G333" s="11" t="s">
        <v>3338</v>
      </c>
      <c r="H333" s="5" t="s">
        <v>3339</v>
      </c>
      <c r="I333" s="11" t="s">
        <v>3340</v>
      </c>
      <c r="J333" s="5" t="s">
        <v>3341</v>
      </c>
      <c r="K333" s="5" t="s">
        <v>3342</v>
      </c>
      <c r="L333" s="11" t="s">
        <v>1914</v>
      </c>
      <c r="M333" s="11" t="s">
        <v>1915</v>
      </c>
      <c r="N333" s="5" t="n">
        <f aca="false">LEN(L333)</f>
        <v>25</v>
      </c>
      <c r="O333" s="5" t="n">
        <f aca="false">LEN(M333)</f>
        <v>25</v>
      </c>
      <c r="P333" s="12" t="n">
        <f aca="false">IF(N333=0,"",(N333-LEN(SUBSTITUTE(SUBSTITUTE(L333,"G",""),"C","")))/N333)</f>
        <v>0.84</v>
      </c>
      <c r="Q333" s="12" t="n">
        <f aca="false">IF(O333=0,"",(O333-LEN(SUBSTITUTE(SUBSTITUTE(M333,"G",""),"C","")))/O333)</f>
        <v>0.6</v>
      </c>
      <c r="R333" s="5"/>
      <c r="S333" s="5" t="s">
        <v>382</v>
      </c>
      <c r="T333" s="5"/>
      <c r="U333" s="5" t="s">
        <v>383</v>
      </c>
      <c r="V333" s="5" t="s">
        <v>1897</v>
      </c>
      <c r="W333" s="5"/>
      <c r="X333" s="13" t="s">
        <v>385</v>
      </c>
      <c r="Y333" s="5"/>
    </row>
    <row r="334" customFormat="false" ht="15" hidden="false" customHeight="false" outlineLevel="0" collapsed="false">
      <c r="A334" s="5" t="s">
        <v>3343</v>
      </c>
      <c r="B334" s="5" t="s">
        <v>277</v>
      </c>
      <c r="C334" s="5" t="s">
        <v>168</v>
      </c>
      <c r="D334" s="10" t="s">
        <v>56</v>
      </c>
      <c r="E334" s="5" t="n">
        <v>4</v>
      </c>
      <c r="F334" s="5" t="s">
        <v>3344</v>
      </c>
      <c r="G334" s="11" t="s">
        <v>3345</v>
      </c>
      <c r="H334" s="5" t="s">
        <v>3346</v>
      </c>
      <c r="I334" s="11" t="s">
        <v>3347</v>
      </c>
      <c r="J334" s="5" t="s">
        <v>3348</v>
      </c>
      <c r="K334" s="5" t="s">
        <v>3349</v>
      </c>
      <c r="L334" s="11" t="s">
        <v>1923</v>
      </c>
      <c r="M334" s="11" t="s">
        <v>1924</v>
      </c>
      <c r="N334" s="5" t="n">
        <f aca="false">LEN(L334)</f>
        <v>25</v>
      </c>
      <c r="O334" s="5" t="n">
        <f aca="false">LEN(M334)</f>
        <v>25</v>
      </c>
      <c r="P334" s="12" t="n">
        <f aca="false">IF(N334=0,"",(N334-LEN(SUBSTITUTE(SUBSTITUTE(L334,"G",""),"C","")))/N334)</f>
        <v>0.48</v>
      </c>
      <c r="Q334" s="12" t="n">
        <f aca="false">IF(O334=0,"",(O334-LEN(SUBSTITUTE(SUBSTITUTE(M334,"G",""),"C","")))/O334)</f>
        <v>0.68</v>
      </c>
      <c r="R334" s="5"/>
      <c r="S334" s="5" t="s">
        <v>382</v>
      </c>
      <c r="T334" s="5"/>
      <c r="U334" s="5" t="s">
        <v>383</v>
      </c>
      <c r="V334" s="5" t="s">
        <v>1897</v>
      </c>
      <c r="W334" s="5"/>
      <c r="X334" s="13" t="s">
        <v>385</v>
      </c>
      <c r="Y334" s="5"/>
    </row>
    <row r="335" customFormat="false" ht="15" hidden="false" customHeight="false" outlineLevel="0" collapsed="false">
      <c r="A335" s="5" t="s">
        <v>3350</v>
      </c>
      <c r="B335" s="5" t="s">
        <v>277</v>
      </c>
      <c r="C335" s="5" t="s">
        <v>168</v>
      </c>
      <c r="D335" s="10" t="s">
        <v>56</v>
      </c>
      <c r="E335" s="5" t="n">
        <v>5</v>
      </c>
      <c r="F335" s="5" t="s">
        <v>3351</v>
      </c>
      <c r="G335" s="11" t="s">
        <v>3352</v>
      </c>
      <c r="H335" s="5" t="s">
        <v>3353</v>
      </c>
      <c r="I335" s="11" t="s">
        <v>3354</v>
      </c>
      <c r="J335" s="5" t="s">
        <v>3355</v>
      </c>
      <c r="K335" s="5" t="s">
        <v>3356</v>
      </c>
      <c r="L335" s="11" t="s">
        <v>1932</v>
      </c>
      <c r="M335" s="11" t="s">
        <v>1933</v>
      </c>
      <c r="N335" s="5" t="n">
        <f aca="false">LEN(L335)</f>
        <v>25</v>
      </c>
      <c r="O335" s="5" t="n">
        <f aca="false">LEN(M335)</f>
        <v>25</v>
      </c>
      <c r="P335" s="12" t="n">
        <f aca="false">IF(N335=0,"",(N335-LEN(SUBSTITUTE(SUBSTITUTE(L335,"G",""),"C","")))/N335)</f>
        <v>0.6</v>
      </c>
      <c r="Q335" s="12" t="n">
        <f aca="false">IF(O335=0,"",(O335-LEN(SUBSTITUTE(SUBSTITUTE(M335,"G",""),"C","")))/O335)</f>
        <v>0.6</v>
      </c>
      <c r="R335" s="5"/>
      <c r="S335" s="5" t="s">
        <v>382</v>
      </c>
      <c r="T335" s="5"/>
      <c r="U335" s="5" t="s">
        <v>383</v>
      </c>
      <c r="V335" s="5" t="s">
        <v>1897</v>
      </c>
      <c r="W335" s="5"/>
      <c r="X335" s="13" t="s">
        <v>385</v>
      </c>
      <c r="Y335" s="5"/>
    </row>
    <row r="336" customFormat="false" ht="15" hidden="false" customHeight="false" outlineLevel="0" collapsed="false">
      <c r="A336" s="5" t="s">
        <v>3357</v>
      </c>
      <c r="B336" s="5" t="s">
        <v>277</v>
      </c>
      <c r="C336" s="5" t="s">
        <v>168</v>
      </c>
      <c r="D336" s="10" t="s">
        <v>56</v>
      </c>
      <c r="E336" s="5" t="n">
        <v>6</v>
      </c>
      <c r="F336" s="5" t="s">
        <v>3358</v>
      </c>
      <c r="G336" s="11" t="s">
        <v>3359</v>
      </c>
      <c r="H336" s="5" t="s">
        <v>3360</v>
      </c>
      <c r="I336" s="11" t="s">
        <v>3361</v>
      </c>
      <c r="J336" s="5" t="s">
        <v>3362</v>
      </c>
      <c r="K336" s="5" t="s">
        <v>3363</v>
      </c>
      <c r="L336" s="11" t="s">
        <v>1941</v>
      </c>
      <c r="M336" s="11" t="s">
        <v>1942</v>
      </c>
      <c r="N336" s="5" t="n">
        <f aca="false">LEN(L336)</f>
        <v>25</v>
      </c>
      <c r="O336" s="5" t="n">
        <f aca="false">LEN(M336)</f>
        <v>25</v>
      </c>
      <c r="P336" s="12" t="n">
        <f aca="false">IF(N336=0,"",(N336-LEN(SUBSTITUTE(SUBSTITUTE(L336,"G",""),"C","")))/N336)</f>
        <v>0.76</v>
      </c>
      <c r="Q336" s="12" t="n">
        <f aca="false">IF(O336=0,"",(O336-LEN(SUBSTITUTE(SUBSTITUTE(M336,"G",""),"C","")))/O336)</f>
        <v>0.48</v>
      </c>
      <c r="R336" s="5"/>
      <c r="S336" s="5" t="s">
        <v>382</v>
      </c>
      <c r="T336" s="5"/>
      <c r="U336" s="5" t="s">
        <v>383</v>
      </c>
      <c r="V336" s="5" t="s">
        <v>1897</v>
      </c>
      <c r="W336" s="5"/>
      <c r="X336" s="13" t="s">
        <v>385</v>
      </c>
      <c r="Y336" s="5"/>
    </row>
    <row r="337" customFormat="false" ht="15" hidden="false" customHeight="false" outlineLevel="0" collapsed="false">
      <c r="A337" s="5" t="s">
        <v>3364</v>
      </c>
      <c r="B337" s="5" t="s">
        <v>277</v>
      </c>
      <c r="C337" s="5" t="s">
        <v>168</v>
      </c>
      <c r="D337" s="10" t="s">
        <v>56</v>
      </c>
      <c r="E337" s="5" t="n">
        <v>7</v>
      </c>
      <c r="F337" s="5" t="s">
        <v>3365</v>
      </c>
      <c r="G337" s="11" t="s">
        <v>3366</v>
      </c>
      <c r="H337" s="5" t="s">
        <v>3367</v>
      </c>
      <c r="I337" s="11" t="s">
        <v>3368</v>
      </c>
      <c r="J337" s="5" t="s">
        <v>3369</v>
      </c>
      <c r="K337" s="5" t="s">
        <v>3370</v>
      </c>
      <c r="L337" s="11" t="s">
        <v>1950</v>
      </c>
      <c r="M337" s="11" t="s">
        <v>1951</v>
      </c>
      <c r="N337" s="5" t="n">
        <f aca="false">LEN(L337)</f>
        <v>25</v>
      </c>
      <c r="O337" s="5" t="n">
        <f aca="false">LEN(M337)</f>
        <v>25</v>
      </c>
      <c r="P337" s="12" t="n">
        <f aca="false">IF(N337=0,"",(N337-LEN(SUBSTITUTE(SUBSTITUTE(L337,"G",""),"C","")))/N337)</f>
        <v>0.68</v>
      </c>
      <c r="Q337" s="12" t="n">
        <f aca="false">IF(O337=0,"",(O337-LEN(SUBSTITUTE(SUBSTITUTE(M337,"G",""),"C","")))/O337)</f>
        <v>0.72</v>
      </c>
      <c r="R337" s="5"/>
      <c r="S337" s="5" t="s">
        <v>382</v>
      </c>
      <c r="T337" s="5"/>
      <c r="U337" s="5" t="s">
        <v>383</v>
      </c>
      <c r="V337" s="5" t="s">
        <v>1897</v>
      </c>
      <c r="W337" s="5"/>
      <c r="X337" s="13" t="s">
        <v>385</v>
      </c>
      <c r="Y337" s="5"/>
    </row>
    <row r="338" customFormat="false" ht="15" hidden="false" customHeight="false" outlineLevel="0" collapsed="false">
      <c r="A338" s="5" t="s">
        <v>3371</v>
      </c>
      <c r="B338" s="5" t="s">
        <v>277</v>
      </c>
      <c r="C338" s="5" t="s">
        <v>168</v>
      </c>
      <c r="D338" s="10" t="s">
        <v>56</v>
      </c>
      <c r="E338" s="5" t="n">
        <v>8</v>
      </c>
      <c r="F338" s="5" t="s">
        <v>3372</v>
      </c>
      <c r="G338" s="11" t="s">
        <v>3373</v>
      </c>
      <c r="H338" s="5" t="s">
        <v>3374</v>
      </c>
      <c r="I338" s="11" t="s">
        <v>3375</v>
      </c>
      <c r="J338" s="5" t="s">
        <v>3376</v>
      </c>
      <c r="K338" s="5" t="s">
        <v>3377</v>
      </c>
      <c r="L338" s="11" t="s">
        <v>1959</v>
      </c>
      <c r="M338" s="11" t="s">
        <v>1960</v>
      </c>
      <c r="N338" s="5" t="n">
        <f aca="false">LEN(L338)</f>
        <v>25</v>
      </c>
      <c r="O338" s="5" t="n">
        <f aca="false">LEN(M338)</f>
        <v>25</v>
      </c>
      <c r="P338" s="12" t="n">
        <f aca="false">IF(N338=0,"",(N338-LEN(SUBSTITUTE(SUBSTITUTE(L338,"G",""),"C","")))/N338)</f>
        <v>0.6</v>
      </c>
      <c r="Q338" s="12" t="n">
        <f aca="false">IF(O338=0,"",(O338-LEN(SUBSTITUTE(SUBSTITUTE(M338,"G",""),"C","")))/O338)</f>
        <v>0.6</v>
      </c>
      <c r="R338" s="5"/>
      <c r="S338" s="5" t="s">
        <v>382</v>
      </c>
      <c r="T338" s="5"/>
      <c r="U338" s="5" t="s">
        <v>383</v>
      </c>
      <c r="V338" s="5" t="s">
        <v>1897</v>
      </c>
      <c r="W338" s="5"/>
      <c r="X338" s="13" t="s">
        <v>385</v>
      </c>
      <c r="Y338" s="5"/>
    </row>
    <row r="339" customFormat="false" ht="15" hidden="false" customHeight="false" outlineLevel="0" collapsed="false">
      <c r="A339" s="5" t="s">
        <v>3378</v>
      </c>
      <c r="B339" s="5" t="s">
        <v>278</v>
      </c>
      <c r="C339" s="5" t="s">
        <v>279</v>
      </c>
      <c r="D339" s="10" t="s">
        <v>56</v>
      </c>
      <c r="E339" s="5" t="n">
        <v>1</v>
      </c>
      <c r="F339" s="5" t="s">
        <v>3379</v>
      </c>
      <c r="G339" s="11" t="s">
        <v>3380</v>
      </c>
      <c r="H339" s="5" t="s">
        <v>3381</v>
      </c>
      <c r="I339" s="11" t="s">
        <v>3382</v>
      </c>
      <c r="J339" s="5" t="s">
        <v>3383</v>
      </c>
      <c r="K339" s="5" t="s">
        <v>3384</v>
      </c>
      <c r="L339" s="11" t="s">
        <v>3385</v>
      </c>
      <c r="M339" s="11" t="s">
        <v>3386</v>
      </c>
      <c r="N339" s="5" t="n">
        <f aca="false">LEN(L339)</f>
        <v>25</v>
      </c>
      <c r="O339" s="5" t="n">
        <f aca="false">LEN(M339)</f>
        <v>25</v>
      </c>
      <c r="P339" s="12" t="n">
        <f aca="false">IF(N339=0,"",(N339-LEN(SUBSTITUTE(SUBSTITUTE(L339,"G",""),"C","")))/N339)</f>
        <v>0.56</v>
      </c>
      <c r="Q339" s="12" t="n">
        <f aca="false">IF(O339=0,"",(O339-LEN(SUBSTITUTE(SUBSTITUTE(M339,"G",""),"C","")))/O339)</f>
        <v>0.52</v>
      </c>
      <c r="R339" s="5"/>
      <c r="S339" s="5" t="s">
        <v>382</v>
      </c>
      <c r="T339" s="5"/>
      <c r="U339" s="5" t="s">
        <v>383</v>
      </c>
      <c r="V339" s="5" t="s">
        <v>3387</v>
      </c>
      <c r="W339" s="5"/>
      <c r="X339" s="13" t="s">
        <v>385</v>
      </c>
      <c r="Y339" s="5"/>
    </row>
    <row r="340" customFormat="false" ht="15" hidden="false" customHeight="false" outlineLevel="0" collapsed="false">
      <c r="A340" s="5" t="s">
        <v>3388</v>
      </c>
      <c r="B340" s="5" t="s">
        <v>278</v>
      </c>
      <c r="C340" s="5" t="s">
        <v>279</v>
      </c>
      <c r="D340" s="10" t="s">
        <v>56</v>
      </c>
      <c r="E340" s="5" t="n">
        <v>2</v>
      </c>
      <c r="F340" s="5" t="s">
        <v>3389</v>
      </c>
      <c r="G340" s="11" t="s">
        <v>3390</v>
      </c>
      <c r="H340" s="5" t="s">
        <v>3391</v>
      </c>
      <c r="I340" s="11" t="s">
        <v>3392</v>
      </c>
      <c r="J340" s="5" t="s">
        <v>3393</v>
      </c>
      <c r="K340" s="5" t="s">
        <v>3394</v>
      </c>
      <c r="L340" s="11" t="s">
        <v>3395</v>
      </c>
      <c r="M340" s="11" t="s">
        <v>3396</v>
      </c>
      <c r="N340" s="5" t="n">
        <f aca="false">LEN(L340)</f>
        <v>25</v>
      </c>
      <c r="O340" s="5" t="n">
        <f aca="false">LEN(M340)</f>
        <v>25</v>
      </c>
      <c r="P340" s="12" t="n">
        <f aca="false">IF(N340=0,"",(N340-LEN(SUBSTITUTE(SUBSTITUTE(L340,"G",""),"C","")))/N340)</f>
        <v>0.52</v>
      </c>
      <c r="Q340" s="12" t="n">
        <f aca="false">IF(O340=0,"",(O340-LEN(SUBSTITUTE(SUBSTITUTE(M340,"G",""),"C","")))/O340)</f>
        <v>0.44</v>
      </c>
      <c r="R340" s="5"/>
      <c r="S340" s="5" t="s">
        <v>382</v>
      </c>
      <c r="T340" s="5"/>
      <c r="U340" s="5" t="s">
        <v>383</v>
      </c>
      <c r="V340" s="5" t="s">
        <v>3387</v>
      </c>
      <c r="W340" s="5"/>
      <c r="X340" s="13" t="s">
        <v>385</v>
      </c>
      <c r="Y340" s="5"/>
    </row>
    <row r="341" customFormat="false" ht="15" hidden="false" customHeight="false" outlineLevel="0" collapsed="false">
      <c r="A341" s="5" t="s">
        <v>3397</v>
      </c>
      <c r="B341" s="5" t="s">
        <v>278</v>
      </c>
      <c r="C341" s="5" t="s">
        <v>279</v>
      </c>
      <c r="D341" s="10" t="s">
        <v>56</v>
      </c>
      <c r="E341" s="5" t="n">
        <v>3</v>
      </c>
      <c r="F341" s="5" t="s">
        <v>3398</v>
      </c>
      <c r="G341" s="11" t="s">
        <v>3399</v>
      </c>
      <c r="H341" s="5" t="s">
        <v>3400</v>
      </c>
      <c r="I341" s="11" t="s">
        <v>3401</v>
      </c>
      <c r="J341" s="5" t="s">
        <v>3402</v>
      </c>
      <c r="K341" s="5" t="s">
        <v>3403</v>
      </c>
      <c r="L341" s="11" t="s">
        <v>3404</v>
      </c>
      <c r="M341" s="11" t="s">
        <v>3405</v>
      </c>
      <c r="N341" s="5" t="n">
        <f aca="false">LEN(L341)</f>
        <v>25</v>
      </c>
      <c r="O341" s="5" t="n">
        <f aca="false">LEN(M341)</f>
        <v>25</v>
      </c>
      <c r="P341" s="12" t="n">
        <f aca="false">IF(N341=0,"",(N341-LEN(SUBSTITUTE(SUBSTITUTE(L341,"G",""),"C","")))/N341)</f>
        <v>0.36</v>
      </c>
      <c r="Q341" s="12" t="n">
        <f aca="false">IF(O341=0,"",(O341-LEN(SUBSTITUTE(SUBSTITUTE(M341,"G",""),"C","")))/O341)</f>
        <v>0.48</v>
      </c>
      <c r="R341" s="5"/>
      <c r="S341" s="5" t="s">
        <v>382</v>
      </c>
      <c r="T341" s="5"/>
      <c r="U341" s="5" t="s">
        <v>383</v>
      </c>
      <c r="V341" s="5" t="s">
        <v>3387</v>
      </c>
      <c r="W341" s="5"/>
      <c r="X341" s="13" t="s">
        <v>385</v>
      </c>
      <c r="Y341" s="5"/>
    </row>
    <row r="342" customFormat="false" ht="15" hidden="false" customHeight="false" outlineLevel="0" collapsed="false">
      <c r="A342" s="5" t="s">
        <v>3406</v>
      </c>
      <c r="B342" s="5" t="s">
        <v>278</v>
      </c>
      <c r="C342" s="5" t="s">
        <v>279</v>
      </c>
      <c r="D342" s="10" t="s">
        <v>56</v>
      </c>
      <c r="E342" s="5" t="n">
        <v>4</v>
      </c>
      <c r="F342" s="5" t="s">
        <v>3407</v>
      </c>
      <c r="G342" s="11" t="s">
        <v>3408</v>
      </c>
      <c r="H342" s="5" t="s">
        <v>3409</v>
      </c>
      <c r="I342" s="11" t="s">
        <v>3410</v>
      </c>
      <c r="J342" s="5" t="s">
        <v>3411</v>
      </c>
      <c r="K342" s="5" t="s">
        <v>3412</v>
      </c>
      <c r="L342" s="11" t="s">
        <v>3413</v>
      </c>
      <c r="M342" s="11" t="s">
        <v>3414</v>
      </c>
      <c r="N342" s="5" t="n">
        <f aca="false">LEN(L342)</f>
        <v>25</v>
      </c>
      <c r="O342" s="5" t="n">
        <f aca="false">LEN(M342)</f>
        <v>25</v>
      </c>
      <c r="P342" s="12" t="n">
        <f aca="false">IF(N342=0,"",(N342-LEN(SUBSTITUTE(SUBSTITUTE(L342,"G",""),"C","")))/N342)</f>
        <v>0.68</v>
      </c>
      <c r="Q342" s="12" t="n">
        <f aca="false">IF(O342=0,"",(O342-LEN(SUBSTITUTE(SUBSTITUTE(M342,"G",""),"C","")))/O342)</f>
        <v>0.52</v>
      </c>
      <c r="R342" s="5"/>
      <c r="S342" s="5" t="s">
        <v>382</v>
      </c>
      <c r="T342" s="5"/>
      <c r="U342" s="5" t="s">
        <v>383</v>
      </c>
      <c r="V342" s="5" t="s">
        <v>3387</v>
      </c>
      <c r="W342" s="5"/>
      <c r="X342" s="13" t="s">
        <v>385</v>
      </c>
      <c r="Y342" s="5"/>
    </row>
    <row r="343" customFormat="false" ht="15" hidden="false" customHeight="false" outlineLevel="0" collapsed="false">
      <c r="A343" s="5" t="s">
        <v>3415</v>
      </c>
      <c r="B343" s="5" t="s">
        <v>278</v>
      </c>
      <c r="C343" s="5" t="s">
        <v>279</v>
      </c>
      <c r="D343" s="10" t="s">
        <v>56</v>
      </c>
      <c r="E343" s="5" t="n">
        <v>5</v>
      </c>
      <c r="F343" s="5" t="s">
        <v>3416</v>
      </c>
      <c r="G343" s="11" t="s">
        <v>3417</v>
      </c>
      <c r="H343" s="5" t="s">
        <v>3418</v>
      </c>
      <c r="I343" s="11" t="s">
        <v>3419</v>
      </c>
      <c r="J343" s="5" t="s">
        <v>3420</v>
      </c>
      <c r="K343" s="5" t="s">
        <v>3421</v>
      </c>
      <c r="L343" s="11" t="s">
        <v>3422</v>
      </c>
      <c r="M343" s="11" t="s">
        <v>3423</v>
      </c>
      <c r="N343" s="5" t="n">
        <f aca="false">LEN(L343)</f>
        <v>25</v>
      </c>
      <c r="O343" s="5" t="n">
        <f aca="false">LEN(M343)</f>
        <v>25</v>
      </c>
      <c r="P343" s="12" t="n">
        <f aca="false">IF(N343=0,"",(N343-LEN(SUBSTITUTE(SUBSTITUTE(L343,"G",""),"C","")))/N343)</f>
        <v>0.52</v>
      </c>
      <c r="Q343" s="12" t="n">
        <f aca="false">IF(O343=0,"",(O343-LEN(SUBSTITUTE(SUBSTITUTE(M343,"G",""),"C","")))/O343)</f>
        <v>0.48</v>
      </c>
      <c r="R343" s="5"/>
      <c r="S343" s="5" t="s">
        <v>382</v>
      </c>
      <c r="T343" s="5"/>
      <c r="U343" s="5" t="s">
        <v>383</v>
      </c>
      <c r="V343" s="5" t="s">
        <v>3387</v>
      </c>
      <c r="W343" s="5"/>
      <c r="X343" s="13" t="s">
        <v>385</v>
      </c>
      <c r="Y343" s="5"/>
    </row>
    <row r="344" customFormat="false" ht="15" hidden="false" customHeight="false" outlineLevel="0" collapsed="false">
      <c r="A344" s="5" t="s">
        <v>3424</v>
      </c>
      <c r="B344" s="5" t="s">
        <v>278</v>
      </c>
      <c r="C344" s="5" t="s">
        <v>279</v>
      </c>
      <c r="D344" s="10" t="s">
        <v>56</v>
      </c>
      <c r="E344" s="5" t="n">
        <v>6</v>
      </c>
      <c r="F344" s="5" t="s">
        <v>3425</v>
      </c>
      <c r="G344" s="11" t="s">
        <v>3426</v>
      </c>
      <c r="H344" s="5" t="s">
        <v>3427</v>
      </c>
      <c r="I344" s="11" t="s">
        <v>3428</v>
      </c>
      <c r="J344" s="5" t="s">
        <v>3429</v>
      </c>
      <c r="K344" s="5" t="s">
        <v>3430</v>
      </c>
      <c r="L344" s="11" t="s">
        <v>3431</v>
      </c>
      <c r="M344" s="11" t="s">
        <v>3432</v>
      </c>
      <c r="N344" s="5" t="n">
        <f aca="false">LEN(L344)</f>
        <v>25</v>
      </c>
      <c r="O344" s="5" t="n">
        <f aca="false">LEN(M344)</f>
        <v>25</v>
      </c>
      <c r="P344" s="12" t="n">
        <f aca="false">IF(N344=0,"",(N344-LEN(SUBSTITUTE(SUBSTITUTE(L344,"G",""),"C","")))/N344)</f>
        <v>0.52</v>
      </c>
      <c r="Q344" s="12" t="n">
        <f aca="false">IF(O344=0,"",(O344-LEN(SUBSTITUTE(SUBSTITUTE(M344,"G",""),"C","")))/O344)</f>
        <v>0.52</v>
      </c>
      <c r="R344" s="5"/>
      <c r="S344" s="5" t="s">
        <v>382</v>
      </c>
      <c r="T344" s="5"/>
      <c r="U344" s="5" t="s">
        <v>383</v>
      </c>
      <c r="V344" s="5" t="s">
        <v>3387</v>
      </c>
      <c r="W344" s="5"/>
      <c r="X344" s="13" t="s">
        <v>385</v>
      </c>
      <c r="Y344" s="5"/>
    </row>
    <row r="345" customFormat="false" ht="15" hidden="false" customHeight="false" outlineLevel="0" collapsed="false">
      <c r="A345" s="5" t="s">
        <v>3433</v>
      </c>
      <c r="B345" s="5" t="s">
        <v>278</v>
      </c>
      <c r="C345" s="5" t="s">
        <v>279</v>
      </c>
      <c r="D345" s="10" t="s">
        <v>56</v>
      </c>
      <c r="E345" s="5" t="n">
        <v>7</v>
      </c>
      <c r="F345" s="5" t="s">
        <v>3434</v>
      </c>
      <c r="G345" s="11" t="s">
        <v>3435</v>
      </c>
      <c r="H345" s="5" t="s">
        <v>3436</v>
      </c>
      <c r="I345" s="11" t="s">
        <v>3437</v>
      </c>
      <c r="J345" s="5" t="s">
        <v>3438</v>
      </c>
      <c r="K345" s="5" t="s">
        <v>3439</v>
      </c>
      <c r="L345" s="11" t="s">
        <v>3440</v>
      </c>
      <c r="M345" s="11" t="s">
        <v>3441</v>
      </c>
      <c r="N345" s="5" t="n">
        <f aca="false">LEN(L345)</f>
        <v>25</v>
      </c>
      <c r="O345" s="5" t="n">
        <f aca="false">LEN(M345)</f>
        <v>25</v>
      </c>
      <c r="P345" s="12" t="n">
        <f aca="false">IF(N345=0,"",(N345-LEN(SUBSTITUTE(SUBSTITUTE(L345,"G",""),"C","")))/N345)</f>
        <v>0.56</v>
      </c>
      <c r="Q345" s="12" t="n">
        <f aca="false">IF(O345=0,"",(O345-LEN(SUBSTITUTE(SUBSTITUTE(M345,"G",""),"C","")))/O345)</f>
        <v>0.56</v>
      </c>
      <c r="R345" s="5"/>
      <c r="S345" s="5" t="s">
        <v>382</v>
      </c>
      <c r="T345" s="5"/>
      <c r="U345" s="5" t="s">
        <v>383</v>
      </c>
      <c r="V345" s="5" t="s">
        <v>3387</v>
      </c>
      <c r="W345" s="5"/>
      <c r="X345" s="13" t="s">
        <v>385</v>
      </c>
      <c r="Y345" s="5"/>
    </row>
    <row r="346" customFormat="false" ht="15" hidden="false" customHeight="false" outlineLevel="0" collapsed="false">
      <c r="A346" s="5" t="s">
        <v>3442</v>
      </c>
      <c r="B346" s="5" t="s">
        <v>278</v>
      </c>
      <c r="C346" s="5" t="s">
        <v>279</v>
      </c>
      <c r="D346" s="10" t="s">
        <v>56</v>
      </c>
      <c r="E346" s="5" t="n">
        <v>8</v>
      </c>
      <c r="F346" s="5" t="s">
        <v>3443</v>
      </c>
      <c r="G346" s="11" t="s">
        <v>3444</v>
      </c>
      <c r="H346" s="5" t="s">
        <v>3445</v>
      </c>
      <c r="I346" s="11" t="s">
        <v>3446</v>
      </c>
      <c r="J346" s="5" t="s">
        <v>3447</v>
      </c>
      <c r="K346" s="5" t="s">
        <v>3448</v>
      </c>
      <c r="L346" s="11" t="s">
        <v>3449</v>
      </c>
      <c r="M346" s="11" t="s">
        <v>3450</v>
      </c>
      <c r="N346" s="5" t="n">
        <f aca="false">LEN(L346)</f>
        <v>25</v>
      </c>
      <c r="O346" s="5" t="n">
        <f aca="false">LEN(M346)</f>
        <v>25</v>
      </c>
      <c r="P346" s="12" t="n">
        <f aca="false">IF(N346=0,"",(N346-LEN(SUBSTITUTE(SUBSTITUTE(L346,"G",""),"C","")))/N346)</f>
        <v>0.52</v>
      </c>
      <c r="Q346" s="12" t="n">
        <f aca="false">IF(O346=0,"",(O346-LEN(SUBSTITUTE(SUBSTITUTE(M346,"G",""),"C","")))/O346)</f>
        <v>0.44</v>
      </c>
      <c r="R346" s="5"/>
      <c r="S346" s="5" t="s">
        <v>382</v>
      </c>
      <c r="T346" s="5"/>
      <c r="U346" s="5" t="s">
        <v>383</v>
      </c>
      <c r="V346" s="5" t="s">
        <v>3387</v>
      </c>
      <c r="W346" s="5"/>
      <c r="X346" s="13" t="s">
        <v>385</v>
      </c>
      <c r="Y346" s="5"/>
    </row>
    <row r="347" customFormat="false" ht="15" hidden="false" customHeight="false" outlineLevel="0" collapsed="false">
      <c r="A347" s="5" t="s">
        <v>3451</v>
      </c>
      <c r="B347" s="5" t="s">
        <v>278</v>
      </c>
      <c r="C347" s="5" t="s">
        <v>279</v>
      </c>
      <c r="D347" s="10" t="s">
        <v>56</v>
      </c>
      <c r="E347" s="5" t="n">
        <v>9</v>
      </c>
      <c r="F347" s="5" t="s">
        <v>3452</v>
      </c>
      <c r="G347" s="11" t="s">
        <v>3453</v>
      </c>
      <c r="H347" s="5" t="s">
        <v>3454</v>
      </c>
      <c r="I347" s="11" t="s">
        <v>3455</v>
      </c>
      <c r="J347" s="5" t="s">
        <v>3456</v>
      </c>
      <c r="K347" s="5" t="s">
        <v>3457</v>
      </c>
      <c r="L347" s="11" t="s">
        <v>3458</v>
      </c>
      <c r="M347" s="11" t="s">
        <v>3459</v>
      </c>
      <c r="N347" s="5" t="n">
        <f aca="false">LEN(L347)</f>
        <v>25</v>
      </c>
      <c r="O347" s="5" t="n">
        <f aca="false">LEN(M347)</f>
        <v>25</v>
      </c>
      <c r="P347" s="12" t="n">
        <f aca="false">IF(N347=0,"",(N347-LEN(SUBSTITUTE(SUBSTITUTE(L347,"G",""),"C","")))/N347)</f>
        <v>0.52</v>
      </c>
      <c r="Q347" s="12" t="n">
        <f aca="false">IF(O347=0,"",(O347-LEN(SUBSTITUTE(SUBSTITUTE(M347,"G",""),"C","")))/O347)</f>
        <v>0.52</v>
      </c>
      <c r="R347" s="5"/>
      <c r="S347" s="5" t="s">
        <v>382</v>
      </c>
      <c r="T347" s="5"/>
      <c r="U347" s="5" t="s">
        <v>383</v>
      </c>
      <c r="V347" s="5" t="s">
        <v>3387</v>
      </c>
      <c r="W347" s="5"/>
      <c r="X347" s="13" t="s">
        <v>385</v>
      </c>
      <c r="Y347" s="5"/>
    </row>
    <row r="348" customFormat="false" ht="15" hidden="false" customHeight="false" outlineLevel="0" collapsed="false">
      <c r="A348" s="5" t="s">
        <v>3460</v>
      </c>
      <c r="B348" s="5" t="s">
        <v>278</v>
      </c>
      <c r="C348" s="5" t="s">
        <v>279</v>
      </c>
      <c r="D348" s="10" t="s">
        <v>56</v>
      </c>
      <c r="E348" s="5" t="n">
        <v>10</v>
      </c>
      <c r="F348" s="5" t="s">
        <v>3461</v>
      </c>
      <c r="G348" s="11" t="s">
        <v>3462</v>
      </c>
      <c r="H348" s="5" t="s">
        <v>3463</v>
      </c>
      <c r="I348" s="11" t="s">
        <v>3464</v>
      </c>
      <c r="J348" s="5" t="s">
        <v>3465</v>
      </c>
      <c r="K348" s="5" t="s">
        <v>3466</v>
      </c>
      <c r="L348" s="11" t="s">
        <v>3467</v>
      </c>
      <c r="M348" s="11" t="s">
        <v>3468</v>
      </c>
      <c r="N348" s="5" t="n">
        <f aca="false">LEN(L348)</f>
        <v>25</v>
      </c>
      <c r="O348" s="5" t="n">
        <f aca="false">LEN(M348)</f>
        <v>25</v>
      </c>
      <c r="P348" s="12" t="n">
        <f aca="false">IF(N348=0,"",(N348-LEN(SUBSTITUTE(SUBSTITUTE(L348,"G",""),"C","")))/N348)</f>
        <v>0.4</v>
      </c>
      <c r="Q348" s="12" t="n">
        <f aca="false">IF(O348=0,"",(O348-LEN(SUBSTITUTE(SUBSTITUTE(M348,"G",""),"C","")))/O348)</f>
        <v>0.36</v>
      </c>
      <c r="R348" s="5"/>
      <c r="S348" s="5" t="s">
        <v>382</v>
      </c>
      <c r="T348" s="5"/>
      <c r="U348" s="5" t="s">
        <v>383</v>
      </c>
      <c r="V348" s="5" t="s">
        <v>3387</v>
      </c>
      <c r="W348" s="5"/>
      <c r="X348" s="13" t="s">
        <v>385</v>
      </c>
      <c r="Y348" s="5"/>
    </row>
    <row r="349" customFormat="false" ht="15" hidden="false" customHeight="false" outlineLevel="0" collapsed="false">
      <c r="A349" s="5" t="s">
        <v>3469</v>
      </c>
      <c r="B349" s="5" t="s">
        <v>283</v>
      </c>
      <c r="C349" s="5" t="s">
        <v>284</v>
      </c>
      <c r="D349" s="10" t="s">
        <v>56</v>
      </c>
      <c r="E349" s="5" t="n">
        <v>1</v>
      </c>
      <c r="F349" s="5" t="s">
        <v>3470</v>
      </c>
      <c r="G349" s="11" t="s">
        <v>3471</v>
      </c>
      <c r="H349" s="5" t="s">
        <v>3472</v>
      </c>
      <c r="I349" s="11" t="s">
        <v>3473</v>
      </c>
      <c r="J349" s="5" t="s">
        <v>3474</v>
      </c>
      <c r="K349" s="5" t="s">
        <v>3475</v>
      </c>
      <c r="L349" s="11" t="s">
        <v>3476</v>
      </c>
      <c r="M349" s="11" t="s">
        <v>3477</v>
      </c>
      <c r="N349" s="5" t="n">
        <f aca="false">LEN(L349)</f>
        <v>25</v>
      </c>
      <c r="O349" s="5" t="n">
        <f aca="false">LEN(M349)</f>
        <v>25</v>
      </c>
      <c r="P349" s="12" t="n">
        <f aca="false">IF(N349=0,"",(N349-LEN(SUBSTITUTE(SUBSTITUTE(L349,"G",""),"C","")))/N349)</f>
        <v>0.56</v>
      </c>
      <c r="Q349" s="12" t="n">
        <f aca="false">IF(O349=0,"",(O349-LEN(SUBSTITUTE(SUBSTITUTE(M349,"G",""),"C","")))/O349)</f>
        <v>0.4</v>
      </c>
      <c r="R349" s="5"/>
      <c r="S349" s="5" t="s">
        <v>382</v>
      </c>
      <c r="T349" s="5"/>
      <c r="U349" s="5" t="s">
        <v>383</v>
      </c>
      <c r="V349" s="5" t="s">
        <v>3478</v>
      </c>
      <c r="W349" s="5"/>
      <c r="X349" s="13" t="s">
        <v>385</v>
      </c>
      <c r="Y349" s="5"/>
    </row>
    <row r="350" customFormat="false" ht="15" hidden="false" customHeight="false" outlineLevel="0" collapsed="false">
      <c r="A350" s="5" t="s">
        <v>3479</v>
      </c>
      <c r="B350" s="5" t="s">
        <v>283</v>
      </c>
      <c r="C350" s="5" t="s">
        <v>284</v>
      </c>
      <c r="D350" s="10" t="s">
        <v>56</v>
      </c>
      <c r="E350" s="5" t="n">
        <v>2</v>
      </c>
      <c r="F350" s="5" t="s">
        <v>3480</v>
      </c>
      <c r="G350" s="11" t="s">
        <v>3481</v>
      </c>
      <c r="H350" s="5" t="s">
        <v>3482</v>
      </c>
      <c r="I350" s="11" t="s">
        <v>3483</v>
      </c>
      <c r="J350" s="5" t="s">
        <v>3484</v>
      </c>
      <c r="K350" s="5" t="s">
        <v>3485</v>
      </c>
      <c r="L350" s="11" t="s">
        <v>3486</v>
      </c>
      <c r="M350" s="11" t="s">
        <v>3487</v>
      </c>
      <c r="N350" s="5" t="n">
        <f aca="false">LEN(L350)</f>
        <v>25</v>
      </c>
      <c r="O350" s="5" t="n">
        <f aca="false">LEN(M350)</f>
        <v>25</v>
      </c>
      <c r="P350" s="12" t="n">
        <f aca="false">IF(N350=0,"",(N350-LEN(SUBSTITUTE(SUBSTITUTE(L350,"G",""),"C","")))/N350)</f>
        <v>0.36</v>
      </c>
      <c r="Q350" s="12" t="n">
        <f aca="false">IF(O350=0,"",(O350-LEN(SUBSTITUTE(SUBSTITUTE(M350,"G",""),"C","")))/O350)</f>
        <v>0.6</v>
      </c>
      <c r="R350" s="5"/>
      <c r="S350" s="5" t="s">
        <v>382</v>
      </c>
      <c r="T350" s="5"/>
      <c r="U350" s="5" t="s">
        <v>383</v>
      </c>
      <c r="V350" s="5" t="s">
        <v>3478</v>
      </c>
      <c r="W350" s="5"/>
      <c r="X350" s="13" t="s">
        <v>385</v>
      </c>
      <c r="Y350" s="5"/>
    </row>
    <row r="351" customFormat="false" ht="15" hidden="false" customHeight="false" outlineLevel="0" collapsed="false">
      <c r="A351" s="5" t="s">
        <v>3488</v>
      </c>
      <c r="B351" s="5" t="s">
        <v>283</v>
      </c>
      <c r="C351" s="5" t="s">
        <v>284</v>
      </c>
      <c r="D351" s="10" t="s">
        <v>56</v>
      </c>
      <c r="E351" s="5" t="n">
        <v>3</v>
      </c>
      <c r="F351" s="5" t="s">
        <v>3489</v>
      </c>
      <c r="G351" s="11" t="s">
        <v>3490</v>
      </c>
      <c r="H351" s="5" t="s">
        <v>3491</v>
      </c>
      <c r="I351" s="11" t="s">
        <v>3492</v>
      </c>
      <c r="J351" s="5" t="s">
        <v>3493</v>
      </c>
      <c r="K351" s="5" t="s">
        <v>3494</v>
      </c>
      <c r="L351" s="11" t="s">
        <v>3495</v>
      </c>
      <c r="M351" s="11" t="s">
        <v>3496</v>
      </c>
      <c r="N351" s="5" t="n">
        <f aca="false">LEN(L351)</f>
        <v>25</v>
      </c>
      <c r="O351" s="5" t="n">
        <f aca="false">LEN(M351)</f>
        <v>25</v>
      </c>
      <c r="P351" s="12" t="n">
        <f aca="false">IF(N351=0,"",(N351-LEN(SUBSTITUTE(SUBSTITUTE(L351,"G",""),"C","")))/N351)</f>
        <v>0.6</v>
      </c>
      <c r="Q351" s="12" t="n">
        <f aca="false">IF(O351=0,"",(O351-LEN(SUBSTITUTE(SUBSTITUTE(M351,"G",""),"C","")))/O351)</f>
        <v>0.56</v>
      </c>
      <c r="R351" s="5"/>
      <c r="S351" s="5" t="s">
        <v>382</v>
      </c>
      <c r="T351" s="5"/>
      <c r="U351" s="5" t="s">
        <v>383</v>
      </c>
      <c r="V351" s="5" t="s">
        <v>3478</v>
      </c>
      <c r="W351" s="5"/>
      <c r="X351" s="13" t="s">
        <v>385</v>
      </c>
      <c r="Y351" s="5"/>
    </row>
    <row r="352" customFormat="false" ht="15" hidden="false" customHeight="false" outlineLevel="0" collapsed="false">
      <c r="A352" s="5" t="s">
        <v>3497</v>
      </c>
      <c r="B352" s="5" t="s">
        <v>283</v>
      </c>
      <c r="C352" s="5" t="s">
        <v>284</v>
      </c>
      <c r="D352" s="10" t="s">
        <v>56</v>
      </c>
      <c r="E352" s="5" t="n">
        <v>4</v>
      </c>
      <c r="F352" s="5" t="s">
        <v>3498</v>
      </c>
      <c r="G352" s="11" t="s">
        <v>3499</v>
      </c>
      <c r="H352" s="5" t="s">
        <v>3500</v>
      </c>
      <c r="I352" s="11" t="s">
        <v>3501</v>
      </c>
      <c r="J352" s="5" t="s">
        <v>3502</v>
      </c>
      <c r="K352" s="5" t="s">
        <v>3503</v>
      </c>
      <c r="L352" s="11" t="s">
        <v>3504</v>
      </c>
      <c r="M352" s="11" t="s">
        <v>3505</v>
      </c>
      <c r="N352" s="5" t="n">
        <f aca="false">LEN(L352)</f>
        <v>25</v>
      </c>
      <c r="O352" s="5" t="n">
        <f aca="false">LEN(M352)</f>
        <v>25</v>
      </c>
      <c r="P352" s="12" t="n">
        <f aca="false">IF(N352=0,"",(N352-LEN(SUBSTITUTE(SUBSTITUTE(L352,"G",""),"C","")))/N352)</f>
        <v>0.44</v>
      </c>
      <c r="Q352" s="12" t="n">
        <f aca="false">IF(O352=0,"",(O352-LEN(SUBSTITUTE(SUBSTITUTE(M352,"G",""),"C","")))/O352)</f>
        <v>0.44</v>
      </c>
      <c r="R352" s="5"/>
      <c r="S352" s="5" t="s">
        <v>382</v>
      </c>
      <c r="T352" s="5"/>
      <c r="U352" s="5" t="s">
        <v>383</v>
      </c>
      <c r="V352" s="5" t="s">
        <v>3478</v>
      </c>
      <c r="W352" s="5"/>
      <c r="X352" s="13" t="s">
        <v>385</v>
      </c>
      <c r="Y352" s="5"/>
    </row>
    <row r="353" customFormat="false" ht="15" hidden="false" customHeight="false" outlineLevel="0" collapsed="false">
      <c r="A353" s="5" t="s">
        <v>3506</v>
      </c>
      <c r="B353" s="5" t="s">
        <v>283</v>
      </c>
      <c r="C353" s="5" t="s">
        <v>284</v>
      </c>
      <c r="D353" s="10" t="s">
        <v>56</v>
      </c>
      <c r="E353" s="5" t="n">
        <v>5</v>
      </c>
      <c r="F353" s="5" t="s">
        <v>3507</v>
      </c>
      <c r="G353" s="11" t="s">
        <v>3508</v>
      </c>
      <c r="H353" s="5" t="s">
        <v>3509</v>
      </c>
      <c r="I353" s="11" t="s">
        <v>3510</v>
      </c>
      <c r="J353" s="5" t="s">
        <v>3511</v>
      </c>
      <c r="K353" s="5" t="s">
        <v>3512</v>
      </c>
      <c r="L353" s="11" t="s">
        <v>3513</v>
      </c>
      <c r="M353" s="11" t="s">
        <v>3514</v>
      </c>
      <c r="N353" s="5" t="n">
        <f aca="false">LEN(L353)</f>
        <v>25</v>
      </c>
      <c r="O353" s="5" t="n">
        <f aca="false">LEN(M353)</f>
        <v>25</v>
      </c>
      <c r="P353" s="12" t="n">
        <f aca="false">IF(N353=0,"",(N353-LEN(SUBSTITUTE(SUBSTITUTE(L353,"G",""),"C","")))/N353)</f>
        <v>0.4</v>
      </c>
      <c r="Q353" s="12" t="n">
        <f aca="false">IF(O353=0,"",(O353-LEN(SUBSTITUTE(SUBSTITUTE(M353,"G",""),"C","")))/O353)</f>
        <v>0.52</v>
      </c>
      <c r="R353" s="5"/>
      <c r="S353" s="5" t="s">
        <v>382</v>
      </c>
      <c r="T353" s="5"/>
      <c r="U353" s="5" t="s">
        <v>383</v>
      </c>
      <c r="V353" s="5" t="s">
        <v>3478</v>
      </c>
      <c r="W353" s="5"/>
      <c r="X353" s="13" t="s">
        <v>385</v>
      </c>
      <c r="Y353" s="5"/>
    </row>
    <row r="354" customFormat="false" ht="15" hidden="false" customHeight="false" outlineLevel="0" collapsed="false">
      <c r="A354" s="5" t="s">
        <v>3515</v>
      </c>
      <c r="B354" s="5" t="s">
        <v>283</v>
      </c>
      <c r="C354" s="5" t="s">
        <v>284</v>
      </c>
      <c r="D354" s="10" t="s">
        <v>56</v>
      </c>
      <c r="E354" s="5" t="n">
        <v>6</v>
      </c>
      <c r="F354" s="5" t="s">
        <v>3516</v>
      </c>
      <c r="G354" s="11" t="s">
        <v>3517</v>
      </c>
      <c r="H354" s="5" t="s">
        <v>3518</v>
      </c>
      <c r="I354" s="11" t="s">
        <v>3519</v>
      </c>
      <c r="J354" s="5" t="s">
        <v>3520</v>
      </c>
      <c r="K354" s="5" t="s">
        <v>3521</v>
      </c>
      <c r="L354" s="11" t="s">
        <v>3522</v>
      </c>
      <c r="M354" s="11" t="s">
        <v>3523</v>
      </c>
      <c r="N354" s="5" t="n">
        <f aca="false">LEN(L354)</f>
        <v>25</v>
      </c>
      <c r="O354" s="5" t="n">
        <f aca="false">LEN(M354)</f>
        <v>25</v>
      </c>
      <c r="P354" s="12" t="n">
        <f aca="false">IF(N354=0,"",(N354-LEN(SUBSTITUTE(SUBSTITUTE(L354,"G",""),"C","")))/N354)</f>
        <v>0.52</v>
      </c>
      <c r="Q354" s="12" t="n">
        <f aca="false">IF(O354=0,"",(O354-LEN(SUBSTITUTE(SUBSTITUTE(M354,"G",""),"C","")))/O354)</f>
        <v>0.44</v>
      </c>
      <c r="R354" s="5"/>
      <c r="S354" s="5" t="s">
        <v>382</v>
      </c>
      <c r="T354" s="5"/>
      <c r="U354" s="5" t="s">
        <v>383</v>
      </c>
      <c r="V354" s="5" t="s">
        <v>3478</v>
      </c>
      <c r="W354" s="5"/>
      <c r="X354" s="13" t="s">
        <v>385</v>
      </c>
      <c r="Y354" s="5"/>
    </row>
    <row r="355" customFormat="false" ht="15" hidden="false" customHeight="false" outlineLevel="0" collapsed="false">
      <c r="A355" s="5" t="s">
        <v>3524</v>
      </c>
      <c r="B355" s="5" t="s">
        <v>283</v>
      </c>
      <c r="C355" s="5" t="s">
        <v>284</v>
      </c>
      <c r="D355" s="10" t="s">
        <v>56</v>
      </c>
      <c r="E355" s="5" t="n">
        <v>7</v>
      </c>
      <c r="F355" s="5" t="s">
        <v>3525</v>
      </c>
      <c r="G355" s="11" t="s">
        <v>3526</v>
      </c>
      <c r="H355" s="5" t="s">
        <v>3527</v>
      </c>
      <c r="I355" s="11" t="s">
        <v>3528</v>
      </c>
      <c r="J355" s="5" t="s">
        <v>3529</v>
      </c>
      <c r="K355" s="5" t="s">
        <v>3530</v>
      </c>
      <c r="L355" s="11" t="s">
        <v>3531</v>
      </c>
      <c r="M355" s="11" t="s">
        <v>3532</v>
      </c>
      <c r="N355" s="5" t="n">
        <f aca="false">LEN(L355)</f>
        <v>25</v>
      </c>
      <c r="O355" s="5" t="n">
        <f aca="false">LEN(M355)</f>
        <v>25</v>
      </c>
      <c r="P355" s="12" t="n">
        <f aca="false">IF(N355=0,"",(N355-LEN(SUBSTITUTE(SUBSTITUTE(L355,"G",""),"C","")))/N355)</f>
        <v>0.36</v>
      </c>
      <c r="Q355" s="12" t="n">
        <f aca="false">IF(O355=0,"",(O355-LEN(SUBSTITUTE(SUBSTITUTE(M355,"G",""),"C","")))/O355)</f>
        <v>0.4</v>
      </c>
      <c r="R355" s="5"/>
      <c r="S355" s="5" t="s">
        <v>382</v>
      </c>
      <c r="T355" s="5"/>
      <c r="U355" s="5" t="s">
        <v>383</v>
      </c>
      <c r="V355" s="5" t="s">
        <v>3478</v>
      </c>
      <c r="W355" s="5"/>
      <c r="X355" s="13" t="s">
        <v>385</v>
      </c>
      <c r="Y355" s="5"/>
    </row>
    <row r="356" customFormat="false" ht="15" hidden="false" customHeight="false" outlineLevel="0" collapsed="false">
      <c r="A356" s="5" t="s">
        <v>3533</v>
      </c>
      <c r="B356" s="5" t="s">
        <v>283</v>
      </c>
      <c r="C356" s="5" t="s">
        <v>284</v>
      </c>
      <c r="D356" s="10" t="s">
        <v>56</v>
      </c>
      <c r="E356" s="5" t="n">
        <v>8</v>
      </c>
      <c r="F356" s="5" t="s">
        <v>3534</v>
      </c>
      <c r="G356" s="11" t="s">
        <v>3535</v>
      </c>
      <c r="H356" s="5" t="s">
        <v>3536</v>
      </c>
      <c r="I356" s="11" t="s">
        <v>3537</v>
      </c>
      <c r="J356" s="5" t="s">
        <v>3538</v>
      </c>
      <c r="K356" s="5" t="s">
        <v>3539</v>
      </c>
      <c r="L356" s="11" t="s">
        <v>3540</v>
      </c>
      <c r="M356" s="11" t="s">
        <v>3541</v>
      </c>
      <c r="N356" s="5" t="n">
        <f aca="false">LEN(L356)</f>
        <v>25</v>
      </c>
      <c r="O356" s="5" t="n">
        <f aca="false">LEN(M356)</f>
        <v>25</v>
      </c>
      <c r="P356" s="12" t="n">
        <f aca="false">IF(N356=0,"",(N356-LEN(SUBSTITUTE(SUBSTITUTE(L356,"G",""),"C","")))/N356)</f>
        <v>0.52</v>
      </c>
      <c r="Q356" s="12" t="n">
        <f aca="false">IF(O356=0,"",(O356-LEN(SUBSTITUTE(SUBSTITUTE(M356,"G",""),"C","")))/O356)</f>
        <v>0.56</v>
      </c>
      <c r="R356" s="5"/>
      <c r="S356" s="5" t="s">
        <v>382</v>
      </c>
      <c r="T356" s="5"/>
      <c r="U356" s="5" t="s">
        <v>383</v>
      </c>
      <c r="V356" s="5" t="s">
        <v>3478</v>
      </c>
      <c r="W356" s="5"/>
      <c r="X356" s="13" t="s">
        <v>385</v>
      </c>
      <c r="Y356" s="5"/>
    </row>
    <row r="357" customFormat="false" ht="15" hidden="false" customHeight="false" outlineLevel="0" collapsed="false">
      <c r="A357" s="5" t="s">
        <v>3542</v>
      </c>
      <c r="B357" s="5" t="s">
        <v>283</v>
      </c>
      <c r="C357" s="5" t="s">
        <v>284</v>
      </c>
      <c r="D357" s="10" t="s">
        <v>56</v>
      </c>
      <c r="E357" s="5" t="n">
        <v>9</v>
      </c>
      <c r="F357" s="5" t="s">
        <v>3543</v>
      </c>
      <c r="G357" s="11" t="s">
        <v>3544</v>
      </c>
      <c r="H357" s="5" t="s">
        <v>3545</v>
      </c>
      <c r="I357" s="11" t="s">
        <v>3546</v>
      </c>
      <c r="J357" s="5" t="s">
        <v>3547</v>
      </c>
      <c r="K357" s="5" t="s">
        <v>3548</v>
      </c>
      <c r="L357" s="11" t="s">
        <v>3549</v>
      </c>
      <c r="M357" s="11" t="s">
        <v>3550</v>
      </c>
      <c r="N357" s="5" t="n">
        <f aca="false">LEN(L357)</f>
        <v>25</v>
      </c>
      <c r="O357" s="5" t="n">
        <f aca="false">LEN(M357)</f>
        <v>25</v>
      </c>
      <c r="P357" s="12" t="n">
        <f aca="false">IF(N357=0,"",(N357-LEN(SUBSTITUTE(SUBSTITUTE(L357,"G",""),"C","")))/N357)</f>
        <v>0.44</v>
      </c>
      <c r="Q357" s="12" t="n">
        <f aca="false">IF(O357=0,"",(O357-LEN(SUBSTITUTE(SUBSTITUTE(M357,"G",""),"C","")))/O357)</f>
        <v>0.52</v>
      </c>
      <c r="R357" s="5"/>
      <c r="S357" s="5" t="s">
        <v>382</v>
      </c>
      <c r="T357" s="5"/>
      <c r="U357" s="5" t="s">
        <v>383</v>
      </c>
      <c r="V357" s="5" t="s">
        <v>3478</v>
      </c>
      <c r="W357" s="5"/>
      <c r="X357" s="13" t="s">
        <v>385</v>
      </c>
      <c r="Y357" s="5"/>
    </row>
    <row r="358" customFormat="false" ht="15" hidden="false" customHeight="false" outlineLevel="0" collapsed="false">
      <c r="A358" s="5" t="s">
        <v>3551</v>
      </c>
      <c r="B358" s="5" t="s">
        <v>283</v>
      </c>
      <c r="C358" s="5" t="s">
        <v>284</v>
      </c>
      <c r="D358" s="10" t="s">
        <v>56</v>
      </c>
      <c r="E358" s="5" t="n">
        <v>10</v>
      </c>
      <c r="F358" s="5" t="s">
        <v>3552</v>
      </c>
      <c r="G358" s="11" t="s">
        <v>3553</v>
      </c>
      <c r="H358" s="5" t="s">
        <v>3554</v>
      </c>
      <c r="I358" s="11" t="s">
        <v>3555</v>
      </c>
      <c r="J358" s="5" t="s">
        <v>3556</v>
      </c>
      <c r="K358" s="5" t="s">
        <v>3557</v>
      </c>
      <c r="L358" s="11" t="s">
        <v>3558</v>
      </c>
      <c r="M358" s="11" t="s">
        <v>3559</v>
      </c>
      <c r="N358" s="5" t="n">
        <f aca="false">LEN(L358)</f>
        <v>25</v>
      </c>
      <c r="O358" s="5" t="n">
        <f aca="false">LEN(M358)</f>
        <v>25</v>
      </c>
      <c r="P358" s="12" t="n">
        <f aca="false">IF(N358=0,"",(N358-LEN(SUBSTITUTE(SUBSTITUTE(L358,"G",""),"C","")))/N358)</f>
        <v>0.44</v>
      </c>
      <c r="Q358" s="12" t="n">
        <f aca="false">IF(O358=0,"",(O358-LEN(SUBSTITUTE(SUBSTITUTE(M358,"G",""),"C","")))/O358)</f>
        <v>0.44</v>
      </c>
      <c r="R358" s="5"/>
      <c r="S358" s="5" t="s">
        <v>382</v>
      </c>
      <c r="T358" s="5"/>
      <c r="U358" s="5" t="s">
        <v>383</v>
      </c>
      <c r="V358" s="5" t="s">
        <v>3478</v>
      </c>
      <c r="W358" s="5"/>
      <c r="X358" s="13" t="s">
        <v>385</v>
      </c>
      <c r="Y358" s="5"/>
    </row>
    <row r="359" customFormat="false" ht="15" hidden="false" customHeight="false" outlineLevel="0" collapsed="false">
      <c r="A359" s="5" t="s">
        <v>3560</v>
      </c>
      <c r="B359" s="5" t="s">
        <v>283</v>
      </c>
      <c r="C359" s="5" t="s">
        <v>284</v>
      </c>
      <c r="D359" s="10" t="s">
        <v>56</v>
      </c>
      <c r="E359" s="5" t="n">
        <v>11</v>
      </c>
      <c r="F359" s="5" t="s">
        <v>3561</v>
      </c>
      <c r="G359" s="11" t="s">
        <v>3562</v>
      </c>
      <c r="H359" s="5" t="s">
        <v>3563</v>
      </c>
      <c r="I359" s="11" t="s">
        <v>3564</v>
      </c>
      <c r="J359" s="5" t="s">
        <v>3565</v>
      </c>
      <c r="K359" s="5" t="s">
        <v>3566</v>
      </c>
      <c r="L359" s="11" t="s">
        <v>3567</v>
      </c>
      <c r="M359" s="11" t="s">
        <v>3568</v>
      </c>
      <c r="N359" s="5" t="n">
        <f aca="false">LEN(L359)</f>
        <v>25</v>
      </c>
      <c r="O359" s="5" t="n">
        <f aca="false">LEN(M359)</f>
        <v>25</v>
      </c>
      <c r="P359" s="12" t="n">
        <f aca="false">IF(N359=0,"",(N359-LEN(SUBSTITUTE(SUBSTITUTE(L359,"G",""),"C","")))/N359)</f>
        <v>0.36</v>
      </c>
      <c r="Q359" s="12" t="n">
        <f aca="false">IF(O359=0,"",(O359-LEN(SUBSTITUTE(SUBSTITUTE(M359,"G",""),"C","")))/O359)</f>
        <v>0.52</v>
      </c>
      <c r="R359" s="5"/>
      <c r="S359" s="5" t="s">
        <v>382</v>
      </c>
      <c r="T359" s="5"/>
      <c r="U359" s="5" t="s">
        <v>383</v>
      </c>
      <c r="V359" s="5" t="s">
        <v>3478</v>
      </c>
      <c r="W359" s="5"/>
      <c r="X359" s="13" t="s">
        <v>385</v>
      </c>
      <c r="Y359" s="5"/>
    </row>
    <row r="360" customFormat="false" ht="15" hidden="false" customHeight="false" outlineLevel="0" collapsed="false">
      <c r="A360" s="5" t="s">
        <v>3569</v>
      </c>
      <c r="B360" s="5" t="s">
        <v>283</v>
      </c>
      <c r="C360" s="5" t="s">
        <v>284</v>
      </c>
      <c r="D360" s="10" t="s">
        <v>56</v>
      </c>
      <c r="E360" s="5" t="n">
        <v>12</v>
      </c>
      <c r="F360" s="5" t="s">
        <v>3570</v>
      </c>
      <c r="G360" s="11" t="s">
        <v>3571</v>
      </c>
      <c r="H360" s="5" t="s">
        <v>3572</v>
      </c>
      <c r="I360" s="11" t="s">
        <v>3573</v>
      </c>
      <c r="J360" s="5" t="s">
        <v>3574</v>
      </c>
      <c r="K360" s="5" t="s">
        <v>3575</v>
      </c>
      <c r="L360" s="11" t="s">
        <v>3576</v>
      </c>
      <c r="M360" s="11" t="s">
        <v>3577</v>
      </c>
      <c r="N360" s="5" t="n">
        <f aca="false">LEN(L360)</f>
        <v>25</v>
      </c>
      <c r="O360" s="5" t="n">
        <f aca="false">LEN(M360)</f>
        <v>25</v>
      </c>
      <c r="P360" s="12" t="n">
        <f aca="false">IF(N360=0,"",(N360-LEN(SUBSTITUTE(SUBSTITUTE(L360,"G",""),"C","")))/N360)</f>
        <v>0.52</v>
      </c>
      <c r="Q360" s="12" t="n">
        <f aca="false">IF(O360=0,"",(O360-LEN(SUBSTITUTE(SUBSTITUTE(M360,"G",""),"C","")))/O360)</f>
        <v>0.76</v>
      </c>
      <c r="R360" s="5"/>
      <c r="S360" s="5" t="s">
        <v>382</v>
      </c>
      <c r="T360" s="5"/>
      <c r="U360" s="5" t="s">
        <v>383</v>
      </c>
      <c r="V360" s="5" t="s">
        <v>3478</v>
      </c>
      <c r="W360" s="5"/>
      <c r="X360" s="13" t="s">
        <v>385</v>
      </c>
      <c r="Y360" s="5"/>
    </row>
    <row r="361" customFormat="false" ht="15" hidden="false" customHeight="false" outlineLevel="0" collapsed="false">
      <c r="A361" s="5" t="s">
        <v>3578</v>
      </c>
      <c r="B361" s="5" t="s">
        <v>290</v>
      </c>
      <c r="C361" s="5" t="s">
        <v>53</v>
      </c>
      <c r="D361" s="10" t="s">
        <v>56</v>
      </c>
      <c r="E361" s="5" t="n">
        <v>1</v>
      </c>
      <c r="F361" s="5" t="s">
        <v>3579</v>
      </c>
      <c r="G361" s="11" t="s">
        <v>3580</v>
      </c>
      <c r="H361" s="5" t="s">
        <v>3581</v>
      </c>
      <c r="I361" s="11" t="s">
        <v>3582</v>
      </c>
      <c r="J361" s="5" t="s">
        <v>3583</v>
      </c>
      <c r="K361" s="5" t="s">
        <v>3584</v>
      </c>
      <c r="L361" s="11" t="s">
        <v>3585</v>
      </c>
      <c r="M361" s="11" t="s">
        <v>3586</v>
      </c>
      <c r="N361" s="5" t="n">
        <f aca="false">LEN(L361)</f>
        <v>25</v>
      </c>
      <c r="O361" s="5" t="n">
        <f aca="false">LEN(M361)</f>
        <v>25</v>
      </c>
      <c r="P361" s="12" t="n">
        <f aca="false">IF(N361=0,"",(N361-LEN(SUBSTITUTE(SUBSTITUTE(L361,"G",""),"C","")))/N361)</f>
        <v>0.64</v>
      </c>
      <c r="Q361" s="12" t="n">
        <f aca="false">IF(O361=0,"",(O361-LEN(SUBSTITUTE(SUBSTITUTE(M361,"G",""),"C","")))/O361)</f>
        <v>0.56</v>
      </c>
      <c r="R361" s="5"/>
      <c r="S361" s="5" t="s">
        <v>382</v>
      </c>
      <c r="T361" s="5"/>
      <c r="U361" s="5" t="s">
        <v>383</v>
      </c>
      <c r="V361" s="5" t="s">
        <v>466</v>
      </c>
      <c r="W361" s="5"/>
      <c r="X361" s="13" t="s">
        <v>385</v>
      </c>
      <c r="Y361" s="5"/>
    </row>
    <row r="362" customFormat="false" ht="15" hidden="false" customHeight="false" outlineLevel="0" collapsed="false">
      <c r="A362" s="5" t="s">
        <v>3587</v>
      </c>
      <c r="B362" s="5" t="s">
        <v>290</v>
      </c>
      <c r="C362" s="5" t="s">
        <v>53</v>
      </c>
      <c r="D362" s="10" t="s">
        <v>56</v>
      </c>
      <c r="E362" s="5" t="n">
        <v>2</v>
      </c>
      <c r="F362" s="5" t="s">
        <v>3588</v>
      </c>
      <c r="G362" s="11" t="s">
        <v>3589</v>
      </c>
      <c r="H362" s="5" t="s">
        <v>3590</v>
      </c>
      <c r="I362" s="11" t="s">
        <v>3591</v>
      </c>
      <c r="J362" s="5" t="s">
        <v>3592</v>
      </c>
      <c r="K362" s="5" t="s">
        <v>3593</v>
      </c>
      <c r="L362" s="11" t="s">
        <v>3594</v>
      </c>
      <c r="M362" s="11" t="s">
        <v>3595</v>
      </c>
      <c r="N362" s="5" t="n">
        <f aca="false">LEN(L362)</f>
        <v>25</v>
      </c>
      <c r="O362" s="5" t="n">
        <f aca="false">LEN(M362)</f>
        <v>25</v>
      </c>
      <c r="P362" s="12" t="n">
        <f aca="false">IF(N362=0,"",(N362-LEN(SUBSTITUTE(SUBSTITUTE(L362,"G",""),"C","")))/N362)</f>
        <v>0.48</v>
      </c>
      <c r="Q362" s="12" t="n">
        <f aca="false">IF(O362=0,"",(O362-LEN(SUBSTITUTE(SUBSTITUTE(M362,"G",""),"C","")))/O362)</f>
        <v>0.56</v>
      </c>
      <c r="R362" s="5"/>
      <c r="S362" s="5" t="s">
        <v>382</v>
      </c>
      <c r="T362" s="5"/>
      <c r="U362" s="5" t="s">
        <v>383</v>
      </c>
      <c r="V362" s="5" t="s">
        <v>466</v>
      </c>
      <c r="W362" s="5"/>
      <c r="X362" s="13" t="s">
        <v>385</v>
      </c>
      <c r="Y362" s="5"/>
    </row>
    <row r="363" customFormat="false" ht="15" hidden="false" customHeight="false" outlineLevel="0" collapsed="false">
      <c r="A363" s="5" t="s">
        <v>3596</v>
      </c>
      <c r="B363" s="5" t="s">
        <v>290</v>
      </c>
      <c r="C363" s="5" t="s">
        <v>53</v>
      </c>
      <c r="D363" s="10" t="s">
        <v>56</v>
      </c>
      <c r="E363" s="5" t="n">
        <v>3</v>
      </c>
      <c r="F363" s="5" t="s">
        <v>3597</v>
      </c>
      <c r="G363" s="11" t="s">
        <v>3598</v>
      </c>
      <c r="H363" s="5" t="s">
        <v>3599</v>
      </c>
      <c r="I363" s="11" t="s">
        <v>3600</v>
      </c>
      <c r="J363" s="5" t="s">
        <v>3601</v>
      </c>
      <c r="K363" s="5" t="s">
        <v>3602</v>
      </c>
      <c r="L363" s="11" t="s">
        <v>3603</v>
      </c>
      <c r="M363" s="11" t="s">
        <v>3604</v>
      </c>
      <c r="N363" s="5" t="n">
        <f aca="false">LEN(L363)</f>
        <v>25</v>
      </c>
      <c r="O363" s="5" t="n">
        <f aca="false">LEN(M363)</f>
        <v>25</v>
      </c>
      <c r="P363" s="12" t="n">
        <f aca="false">IF(N363=0,"",(N363-LEN(SUBSTITUTE(SUBSTITUTE(L363,"G",""),"C","")))/N363)</f>
        <v>0.4</v>
      </c>
      <c r="Q363" s="12" t="n">
        <f aca="false">IF(O363=0,"",(O363-LEN(SUBSTITUTE(SUBSTITUTE(M363,"G",""),"C","")))/O363)</f>
        <v>0.6</v>
      </c>
      <c r="R363" s="5"/>
      <c r="S363" s="5" t="s">
        <v>382</v>
      </c>
      <c r="T363" s="5"/>
      <c r="U363" s="5" t="s">
        <v>383</v>
      </c>
      <c r="V363" s="5" t="s">
        <v>466</v>
      </c>
      <c r="W363" s="5"/>
      <c r="X363" s="13" t="s">
        <v>385</v>
      </c>
      <c r="Y363" s="5"/>
    </row>
    <row r="364" customFormat="false" ht="15" hidden="false" customHeight="false" outlineLevel="0" collapsed="false">
      <c r="A364" s="5" t="s">
        <v>3605</v>
      </c>
      <c r="B364" s="5" t="s">
        <v>290</v>
      </c>
      <c r="C364" s="5" t="s">
        <v>53</v>
      </c>
      <c r="D364" s="10" t="s">
        <v>56</v>
      </c>
      <c r="E364" s="5" t="n">
        <v>4</v>
      </c>
      <c r="F364" s="5" t="s">
        <v>3606</v>
      </c>
      <c r="G364" s="11" t="s">
        <v>3607</v>
      </c>
      <c r="H364" s="5" t="s">
        <v>3608</v>
      </c>
      <c r="I364" s="11" t="s">
        <v>3609</v>
      </c>
      <c r="J364" s="5" t="s">
        <v>3610</v>
      </c>
      <c r="K364" s="5" t="s">
        <v>3611</v>
      </c>
      <c r="L364" s="11" t="s">
        <v>3612</v>
      </c>
      <c r="M364" s="11" t="s">
        <v>3613</v>
      </c>
      <c r="N364" s="5" t="n">
        <f aca="false">LEN(L364)</f>
        <v>25</v>
      </c>
      <c r="O364" s="5" t="n">
        <f aca="false">LEN(M364)</f>
        <v>25</v>
      </c>
      <c r="P364" s="12" t="n">
        <f aca="false">IF(N364=0,"",(N364-LEN(SUBSTITUTE(SUBSTITUTE(L364,"G",""),"C","")))/N364)</f>
        <v>0.52</v>
      </c>
      <c r="Q364" s="12" t="n">
        <f aca="false">IF(O364=0,"",(O364-LEN(SUBSTITUTE(SUBSTITUTE(M364,"G",""),"C","")))/O364)</f>
        <v>0.36</v>
      </c>
      <c r="R364" s="5"/>
      <c r="S364" s="5" t="s">
        <v>382</v>
      </c>
      <c r="T364" s="5"/>
      <c r="U364" s="5" t="s">
        <v>383</v>
      </c>
      <c r="V364" s="5" t="s">
        <v>466</v>
      </c>
      <c r="W364" s="5"/>
      <c r="X364" s="13" t="s">
        <v>385</v>
      </c>
      <c r="Y364" s="5"/>
    </row>
    <row r="365" customFormat="false" ht="15" hidden="false" customHeight="false" outlineLevel="0" collapsed="false">
      <c r="A365" s="5" t="s">
        <v>3614</v>
      </c>
      <c r="B365" s="5" t="s">
        <v>290</v>
      </c>
      <c r="C365" s="5" t="s">
        <v>53</v>
      </c>
      <c r="D365" s="10" t="s">
        <v>56</v>
      </c>
      <c r="E365" s="5" t="n">
        <v>5</v>
      </c>
      <c r="F365" s="5" t="s">
        <v>3615</v>
      </c>
      <c r="G365" s="11" t="s">
        <v>3616</v>
      </c>
      <c r="H365" s="5" t="s">
        <v>3617</v>
      </c>
      <c r="I365" s="11" t="s">
        <v>3618</v>
      </c>
      <c r="J365" s="5" t="s">
        <v>3619</v>
      </c>
      <c r="K365" s="5" t="s">
        <v>3620</v>
      </c>
      <c r="L365" s="11" t="s">
        <v>3621</v>
      </c>
      <c r="M365" s="11" t="s">
        <v>3622</v>
      </c>
      <c r="N365" s="5" t="n">
        <f aca="false">LEN(L365)</f>
        <v>25</v>
      </c>
      <c r="O365" s="5" t="n">
        <f aca="false">LEN(M365)</f>
        <v>25</v>
      </c>
      <c r="P365" s="12" t="n">
        <f aca="false">IF(N365=0,"",(N365-LEN(SUBSTITUTE(SUBSTITUTE(L365,"G",""),"C","")))/N365)</f>
        <v>0.44</v>
      </c>
      <c r="Q365" s="12" t="n">
        <f aca="false">IF(O365=0,"",(O365-LEN(SUBSTITUTE(SUBSTITUTE(M365,"G",""),"C","")))/O365)</f>
        <v>0.32</v>
      </c>
      <c r="R365" s="5"/>
      <c r="S365" s="5" t="s">
        <v>382</v>
      </c>
      <c r="T365" s="5"/>
      <c r="U365" s="5" t="s">
        <v>383</v>
      </c>
      <c r="V365" s="5" t="s">
        <v>466</v>
      </c>
      <c r="W365" s="5"/>
      <c r="X365" s="13" t="s">
        <v>385</v>
      </c>
      <c r="Y365" s="5"/>
    </row>
    <row r="366" customFormat="false" ht="15" hidden="false" customHeight="false" outlineLevel="0" collapsed="false">
      <c r="A366" s="5" t="s">
        <v>3623</v>
      </c>
      <c r="B366" s="5" t="s">
        <v>290</v>
      </c>
      <c r="C366" s="5" t="s">
        <v>53</v>
      </c>
      <c r="D366" s="10" t="s">
        <v>56</v>
      </c>
      <c r="E366" s="5" t="n">
        <v>6</v>
      </c>
      <c r="F366" s="5" t="s">
        <v>3624</v>
      </c>
      <c r="G366" s="11" t="s">
        <v>3625</v>
      </c>
      <c r="H366" s="5" t="s">
        <v>3626</v>
      </c>
      <c r="I366" s="11" t="s">
        <v>3627</v>
      </c>
      <c r="J366" s="5" t="s">
        <v>3628</v>
      </c>
      <c r="K366" s="5" t="s">
        <v>3629</v>
      </c>
      <c r="L366" s="11" t="s">
        <v>3630</v>
      </c>
      <c r="M366" s="11" t="s">
        <v>3631</v>
      </c>
      <c r="N366" s="5" t="n">
        <f aca="false">LEN(L366)</f>
        <v>25</v>
      </c>
      <c r="O366" s="5" t="n">
        <f aca="false">LEN(M366)</f>
        <v>25</v>
      </c>
      <c r="P366" s="12" t="n">
        <f aca="false">IF(N366=0,"",(N366-LEN(SUBSTITUTE(SUBSTITUTE(L366,"G",""),"C","")))/N366)</f>
        <v>0.36</v>
      </c>
      <c r="Q366" s="12" t="n">
        <f aca="false">IF(O366=0,"",(O366-LEN(SUBSTITUTE(SUBSTITUTE(M366,"G",""),"C","")))/O366)</f>
        <v>0.28</v>
      </c>
      <c r="R366" s="5"/>
      <c r="S366" s="5" t="s">
        <v>382</v>
      </c>
      <c r="T366" s="5"/>
      <c r="U366" s="5" t="s">
        <v>383</v>
      </c>
      <c r="V366" s="5" t="s">
        <v>466</v>
      </c>
      <c r="W366" s="5"/>
      <c r="X366" s="13" t="s">
        <v>385</v>
      </c>
      <c r="Y366" s="5"/>
    </row>
    <row r="367" customFormat="false" ht="15" hidden="false" customHeight="false" outlineLevel="0" collapsed="false">
      <c r="A367" s="5" t="s">
        <v>3632</v>
      </c>
      <c r="B367" s="5" t="s">
        <v>291</v>
      </c>
      <c r="C367" s="5" t="s">
        <v>292</v>
      </c>
      <c r="D367" s="10" t="s">
        <v>56</v>
      </c>
      <c r="E367" s="5" t="n">
        <v>1</v>
      </c>
      <c r="F367" s="5" t="s">
        <v>3633</v>
      </c>
      <c r="G367" s="11" t="s">
        <v>3634</v>
      </c>
      <c r="H367" s="5" t="s">
        <v>3635</v>
      </c>
      <c r="I367" s="11" t="s">
        <v>3636</v>
      </c>
      <c r="J367" s="5" t="s">
        <v>3637</v>
      </c>
      <c r="K367" s="5" t="s">
        <v>3638</v>
      </c>
      <c r="L367" s="11" t="s">
        <v>3639</v>
      </c>
      <c r="M367" s="11" t="s">
        <v>3640</v>
      </c>
      <c r="N367" s="5" t="n">
        <f aca="false">LEN(L367)</f>
        <v>25</v>
      </c>
      <c r="O367" s="5" t="n">
        <f aca="false">LEN(M367)</f>
        <v>25</v>
      </c>
      <c r="P367" s="12" t="n">
        <f aca="false">IF(N367=0,"",(N367-LEN(SUBSTITUTE(SUBSTITUTE(L367,"G",""),"C","")))/N367)</f>
        <v>0.68</v>
      </c>
      <c r="Q367" s="12" t="n">
        <f aca="false">IF(O367=0,"",(O367-LEN(SUBSTITUTE(SUBSTITUTE(M367,"G",""),"C","")))/O367)</f>
        <v>0.64</v>
      </c>
      <c r="R367" s="5"/>
      <c r="S367" s="5" t="s">
        <v>382</v>
      </c>
      <c r="T367" s="5"/>
      <c r="U367" s="5" t="s">
        <v>383</v>
      </c>
      <c r="V367" s="5" t="s">
        <v>3641</v>
      </c>
      <c r="W367" s="5"/>
      <c r="X367" s="13" t="s">
        <v>385</v>
      </c>
      <c r="Y367" s="5"/>
    </row>
    <row r="368" customFormat="false" ht="15" hidden="false" customHeight="false" outlineLevel="0" collapsed="false">
      <c r="A368" s="5" t="s">
        <v>3642</v>
      </c>
      <c r="B368" s="5" t="s">
        <v>291</v>
      </c>
      <c r="C368" s="5" t="s">
        <v>292</v>
      </c>
      <c r="D368" s="10" t="s">
        <v>56</v>
      </c>
      <c r="E368" s="5" t="n">
        <v>2</v>
      </c>
      <c r="F368" s="5" t="s">
        <v>3643</v>
      </c>
      <c r="G368" s="11" t="s">
        <v>3644</v>
      </c>
      <c r="H368" s="5" t="s">
        <v>3645</v>
      </c>
      <c r="I368" s="11" t="s">
        <v>3646</v>
      </c>
      <c r="J368" s="5" t="s">
        <v>3647</v>
      </c>
      <c r="K368" s="5" t="s">
        <v>3648</v>
      </c>
      <c r="L368" s="11" t="s">
        <v>3649</v>
      </c>
      <c r="M368" s="11" t="s">
        <v>3650</v>
      </c>
      <c r="N368" s="5" t="n">
        <f aca="false">LEN(L368)</f>
        <v>25</v>
      </c>
      <c r="O368" s="5" t="n">
        <f aca="false">LEN(M368)</f>
        <v>25</v>
      </c>
      <c r="P368" s="12" t="n">
        <f aca="false">IF(N368=0,"",(N368-LEN(SUBSTITUTE(SUBSTITUTE(L368,"G",""),"C","")))/N368)</f>
        <v>0.6</v>
      </c>
      <c r="Q368" s="12" t="n">
        <f aca="false">IF(O368=0,"",(O368-LEN(SUBSTITUTE(SUBSTITUTE(M368,"G",""),"C","")))/O368)</f>
        <v>0.48</v>
      </c>
      <c r="R368" s="5"/>
      <c r="S368" s="5" t="s">
        <v>382</v>
      </c>
      <c r="T368" s="5"/>
      <c r="U368" s="5" t="s">
        <v>383</v>
      </c>
      <c r="V368" s="5" t="s">
        <v>3641</v>
      </c>
      <c r="W368" s="5"/>
      <c r="X368" s="13" t="s">
        <v>385</v>
      </c>
      <c r="Y368" s="5"/>
    </row>
    <row r="369" customFormat="false" ht="15" hidden="false" customHeight="false" outlineLevel="0" collapsed="false">
      <c r="A369" s="5" t="s">
        <v>3651</v>
      </c>
      <c r="B369" s="5" t="s">
        <v>291</v>
      </c>
      <c r="C369" s="5" t="s">
        <v>292</v>
      </c>
      <c r="D369" s="10" t="s">
        <v>56</v>
      </c>
      <c r="E369" s="5" t="n">
        <v>3</v>
      </c>
      <c r="F369" s="5" t="s">
        <v>3652</v>
      </c>
      <c r="G369" s="11" t="s">
        <v>3653</v>
      </c>
      <c r="H369" s="5" t="s">
        <v>3654</v>
      </c>
      <c r="I369" s="11" t="s">
        <v>3655</v>
      </c>
      <c r="J369" s="5" t="s">
        <v>3656</v>
      </c>
      <c r="K369" s="5" t="s">
        <v>3657</v>
      </c>
      <c r="L369" s="11" t="s">
        <v>3658</v>
      </c>
      <c r="M369" s="11" t="s">
        <v>3659</v>
      </c>
      <c r="N369" s="5" t="n">
        <f aca="false">LEN(L369)</f>
        <v>25</v>
      </c>
      <c r="O369" s="5" t="n">
        <f aca="false">LEN(M369)</f>
        <v>25</v>
      </c>
      <c r="P369" s="12" t="n">
        <f aca="false">IF(N369=0,"",(N369-LEN(SUBSTITUTE(SUBSTITUTE(L369,"G",""),"C","")))/N369)</f>
        <v>0.44</v>
      </c>
      <c r="Q369" s="12" t="n">
        <f aca="false">IF(O369=0,"",(O369-LEN(SUBSTITUTE(SUBSTITUTE(M369,"G",""),"C","")))/O369)</f>
        <v>0.44</v>
      </c>
      <c r="R369" s="5"/>
      <c r="S369" s="5" t="s">
        <v>382</v>
      </c>
      <c r="T369" s="5"/>
      <c r="U369" s="5" t="s">
        <v>383</v>
      </c>
      <c r="V369" s="5" t="s">
        <v>3641</v>
      </c>
      <c r="W369" s="5"/>
      <c r="X369" s="13" t="s">
        <v>385</v>
      </c>
      <c r="Y369" s="5"/>
    </row>
    <row r="370" customFormat="false" ht="15" hidden="false" customHeight="false" outlineLevel="0" collapsed="false">
      <c r="A370" s="5" t="s">
        <v>3660</v>
      </c>
      <c r="B370" s="5" t="s">
        <v>291</v>
      </c>
      <c r="C370" s="5" t="s">
        <v>292</v>
      </c>
      <c r="D370" s="10" t="s">
        <v>56</v>
      </c>
      <c r="E370" s="5" t="n">
        <v>4</v>
      </c>
      <c r="F370" s="5" t="s">
        <v>3661</v>
      </c>
      <c r="G370" s="11" t="s">
        <v>3662</v>
      </c>
      <c r="H370" s="5" t="s">
        <v>3663</v>
      </c>
      <c r="I370" s="11" t="s">
        <v>3664</v>
      </c>
      <c r="J370" s="5" t="s">
        <v>3665</v>
      </c>
      <c r="K370" s="5" t="s">
        <v>3666</v>
      </c>
      <c r="L370" s="11" t="s">
        <v>3667</v>
      </c>
      <c r="M370" s="11" t="s">
        <v>3668</v>
      </c>
      <c r="N370" s="5" t="n">
        <f aca="false">LEN(L370)</f>
        <v>25</v>
      </c>
      <c r="O370" s="5" t="n">
        <f aca="false">LEN(M370)</f>
        <v>25</v>
      </c>
      <c r="P370" s="12" t="n">
        <f aca="false">IF(N370=0,"",(N370-LEN(SUBSTITUTE(SUBSTITUTE(L370,"G",""),"C","")))/N370)</f>
        <v>0.4</v>
      </c>
      <c r="Q370" s="12" t="n">
        <f aca="false">IF(O370=0,"",(O370-LEN(SUBSTITUTE(SUBSTITUTE(M370,"G",""),"C","")))/O370)</f>
        <v>0.56</v>
      </c>
      <c r="R370" s="5"/>
      <c r="S370" s="5" t="s">
        <v>382</v>
      </c>
      <c r="T370" s="5"/>
      <c r="U370" s="5" t="s">
        <v>383</v>
      </c>
      <c r="V370" s="5" t="s">
        <v>3641</v>
      </c>
      <c r="W370" s="5"/>
      <c r="X370" s="13" t="s">
        <v>385</v>
      </c>
      <c r="Y370" s="5"/>
    </row>
    <row r="371" customFormat="false" ht="15" hidden="false" customHeight="false" outlineLevel="0" collapsed="false">
      <c r="A371" s="5" t="s">
        <v>3669</v>
      </c>
      <c r="B371" s="5" t="s">
        <v>291</v>
      </c>
      <c r="C371" s="5" t="s">
        <v>292</v>
      </c>
      <c r="D371" s="10" t="s">
        <v>56</v>
      </c>
      <c r="E371" s="5" t="n">
        <v>5</v>
      </c>
      <c r="F371" s="5" t="s">
        <v>3670</v>
      </c>
      <c r="G371" s="11" t="s">
        <v>3671</v>
      </c>
      <c r="H371" s="5" t="s">
        <v>3672</v>
      </c>
      <c r="I371" s="11" t="s">
        <v>3673</v>
      </c>
      <c r="J371" s="5" t="s">
        <v>3674</v>
      </c>
      <c r="K371" s="5" t="s">
        <v>3675</v>
      </c>
      <c r="L371" s="11" t="s">
        <v>3676</v>
      </c>
      <c r="M371" s="11" t="s">
        <v>3677</v>
      </c>
      <c r="N371" s="5" t="n">
        <f aca="false">LEN(L371)</f>
        <v>25</v>
      </c>
      <c r="O371" s="5" t="n">
        <f aca="false">LEN(M371)</f>
        <v>25</v>
      </c>
      <c r="P371" s="12" t="n">
        <f aca="false">IF(N371=0,"",(N371-LEN(SUBSTITUTE(SUBSTITUTE(L371,"G",""),"C","")))/N371)</f>
        <v>0.52</v>
      </c>
      <c r="Q371" s="12" t="n">
        <f aca="false">IF(O371=0,"",(O371-LEN(SUBSTITUTE(SUBSTITUTE(M371,"G",""),"C","")))/O371)</f>
        <v>0.8</v>
      </c>
      <c r="R371" s="5"/>
      <c r="S371" s="5" t="s">
        <v>382</v>
      </c>
      <c r="T371" s="5"/>
      <c r="U371" s="5" t="s">
        <v>383</v>
      </c>
      <c r="V371" s="5" t="s">
        <v>3641</v>
      </c>
      <c r="W371" s="5"/>
      <c r="X371" s="13" t="s">
        <v>385</v>
      </c>
      <c r="Y371" s="5"/>
    </row>
    <row r="372" customFormat="false" ht="15" hidden="false" customHeight="false" outlineLevel="0" collapsed="false">
      <c r="A372" s="5" t="s">
        <v>3678</v>
      </c>
      <c r="B372" s="5" t="s">
        <v>291</v>
      </c>
      <c r="C372" s="5" t="s">
        <v>292</v>
      </c>
      <c r="D372" s="10" t="s">
        <v>56</v>
      </c>
      <c r="E372" s="5" t="n">
        <v>6</v>
      </c>
      <c r="F372" s="5" t="s">
        <v>3679</v>
      </c>
      <c r="G372" s="11" t="s">
        <v>3680</v>
      </c>
      <c r="H372" s="5" t="s">
        <v>3681</v>
      </c>
      <c r="I372" s="11" t="s">
        <v>3682</v>
      </c>
      <c r="J372" s="5" t="s">
        <v>3683</v>
      </c>
      <c r="K372" s="5" t="s">
        <v>3684</v>
      </c>
      <c r="L372" s="11" t="s">
        <v>3685</v>
      </c>
      <c r="M372" s="11" t="s">
        <v>3686</v>
      </c>
      <c r="N372" s="5" t="n">
        <f aca="false">LEN(L372)</f>
        <v>25</v>
      </c>
      <c r="O372" s="5" t="n">
        <f aca="false">LEN(M372)</f>
        <v>25</v>
      </c>
      <c r="P372" s="12" t="n">
        <f aca="false">IF(N372=0,"",(N372-LEN(SUBSTITUTE(SUBSTITUTE(L372,"G",""),"C","")))/N372)</f>
        <v>0.84</v>
      </c>
      <c r="Q372" s="12" t="n">
        <f aca="false">IF(O372=0,"",(O372-LEN(SUBSTITUTE(SUBSTITUTE(M372,"G",""),"C","")))/O372)</f>
        <v>0.88</v>
      </c>
      <c r="R372" s="5"/>
      <c r="S372" s="5" t="s">
        <v>382</v>
      </c>
      <c r="T372" s="5"/>
      <c r="U372" s="5" t="s">
        <v>383</v>
      </c>
      <c r="V372" s="5" t="s">
        <v>3641</v>
      </c>
      <c r="W372" s="5"/>
      <c r="X372" s="13" t="s">
        <v>385</v>
      </c>
      <c r="Y372" s="5"/>
    </row>
    <row r="373" customFormat="false" ht="15" hidden="false" customHeight="false" outlineLevel="0" collapsed="false">
      <c r="A373" s="5" t="s">
        <v>3687</v>
      </c>
      <c r="B373" s="5" t="s">
        <v>291</v>
      </c>
      <c r="C373" s="5" t="s">
        <v>292</v>
      </c>
      <c r="D373" s="10" t="s">
        <v>56</v>
      </c>
      <c r="E373" s="5" t="n">
        <v>7</v>
      </c>
      <c r="F373" s="5" t="s">
        <v>3688</v>
      </c>
      <c r="G373" s="11" t="s">
        <v>3689</v>
      </c>
      <c r="H373" s="5" t="s">
        <v>3690</v>
      </c>
      <c r="I373" s="11" t="s">
        <v>3691</v>
      </c>
      <c r="J373" s="5" t="s">
        <v>3692</v>
      </c>
      <c r="K373" s="5" t="s">
        <v>3693</v>
      </c>
      <c r="L373" s="11" t="s">
        <v>3694</v>
      </c>
      <c r="M373" s="11" t="s">
        <v>3695</v>
      </c>
      <c r="N373" s="5" t="n">
        <f aca="false">LEN(L373)</f>
        <v>25</v>
      </c>
      <c r="O373" s="5" t="n">
        <f aca="false">LEN(M373)</f>
        <v>25</v>
      </c>
      <c r="P373" s="12" t="n">
        <f aca="false">IF(N373=0,"",(N373-LEN(SUBSTITUTE(SUBSTITUTE(L373,"G",""),"C","")))/N373)</f>
        <v>0.48</v>
      </c>
      <c r="Q373" s="12" t="n">
        <f aca="false">IF(O373=0,"",(O373-LEN(SUBSTITUTE(SUBSTITUTE(M373,"G",""),"C","")))/O373)</f>
        <v>0.56</v>
      </c>
      <c r="R373" s="5"/>
      <c r="S373" s="5" t="s">
        <v>382</v>
      </c>
      <c r="T373" s="5"/>
      <c r="U373" s="5" t="s">
        <v>383</v>
      </c>
      <c r="V373" s="5" t="s">
        <v>3641</v>
      </c>
      <c r="W373" s="5"/>
      <c r="X373" s="13" t="s">
        <v>385</v>
      </c>
      <c r="Y373" s="5"/>
    </row>
    <row r="374" customFormat="false" ht="15" hidden="false" customHeight="false" outlineLevel="0" collapsed="false">
      <c r="A374" s="5" t="s">
        <v>3696</v>
      </c>
      <c r="B374" s="5" t="s">
        <v>291</v>
      </c>
      <c r="C374" s="5" t="s">
        <v>292</v>
      </c>
      <c r="D374" s="10" t="s">
        <v>56</v>
      </c>
      <c r="E374" s="5" t="n">
        <v>8</v>
      </c>
      <c r="F374" s="5" t="s">
        <v>3697</v>
      </c>
      <c r="G374" s="11" t="s">
        <v>3698</v>
      </c>
      <c r="H374" s="5" t="s">
        <v>3699</v>
      </c>
      <c r="I374" s="11" t="s">
        <v>3700</v>
      </c>
      <c r="J374" s="5" t="s">
        <v>3701</v>
      </c>
      <c r="K374" s="5" t="s">
        <v>3702</v>
      </c>
      <c r="L374" s="11" t="s">
        <v>3703</v>
      </c>
      <c r="M374" s="11" t="s">
        <v>3704</v>
      </c>
      <c r="N374" s="5" t="n">
        <f aca="false">LEN(L374)</f>
        <v>25</v>
      </c>
      <c r="O374" s="5" t="n">
        <f aca="false">LEN(M374)</f>
        <v>25</v>
      </c>
      <c r="P374" s="12" t="n">
        <f aca="false">IF(N374=0,"",(N374-LEN(SUBSTITUTE(SUBSTITUTE(L374,"G",""),"C","")))/N374)</f>
        <v>0.68</v>
      </c>
      <c r="Q374" s="12" t="n">
        <f aca="false">IF(O374=0,"",(O374-LEN(SUBSTITUTE(SUBSTITUTE(M374,"G",""),"C","")))/O374)</f>
        <v>0.52</v>
      </c>
      <c r="R374" s="5"/>
      <c r="S374" s="5" t="s">
        <v>382</v>
      </c>
      <c r="T374" s="5"/>
      <c r="U374" s="5" t="s">
        <v>383</v>
      </c>
      <c r="V374" s="5" t="s">
        <v>3641</v>
      </c>
      <c r="W374" s="5"/>
      <c r="X374" s="13" t="s">
        <v>385</v>
      </c>
      <c r="Y374" s="5"/>
    </row>
    <row r="375" customFormat="false" ht="15" hidden="false" customHeight="false" outlineLevel="0" collapsed="false">
      <c r="A375" s="5" t="s">
        <v>3705</v>
      </c>
      <c r="B375" s="5" t="s">
        <v>291</v>
      </c>
      <c r="C375" s="5" t="s">
        <v>292</v>
      </c>
      <c r="D375" s="10" t="s">
        <v>56</v>
      </c>
      <c r="E375" s="5" t="n">
        <v>9</v>
      </c>
      <c r="F375" s="5" t="s">
        <v>3706</v>
      </c>
      <c r="G375" s="11" t="s">
        <v>3707</v>
      </c>
      <c r="H375" s="5" t="s">
        <v>3708</v>
      </c>
      <c r="I375" s="11" t="s">
        <v>3709</v>
      </c>
      <c r="J375" s="5" t="s">
        <v>3710</v>
      </c>
      <c r="K375" s="5" t="s">
        <v>3711</v>
      </c>
      <c r="L375" s="11" t="s">
        <v>3712</v>
      </c>
      <c r="M375" s="11" t="s">
        <v>3713</v>
      </c>
      <c r="N375" s="5" t="n">
        <f aca="false">LEN(L375)</f>
        <v>25</v>
      </c>
      <c r="O375" s="5" t="n">
        <f aca="false">LEN(M375)</f>
        <v>25</v>
      </c>
      <c r="P375" s="12" t="n">
        <f aca="false">IF(N375=0,"",(N375-LEN(SUBSTITUTE(SUBSTITUTE(L375,"G",""),"C","")))/N375)</f>
        <v>0.44</v>
      </c>
      <c r="Q375" s="12" t="n">
        <f aca="false">IF(O375=0,"",(O375-LEN(SUBSTITUTE(SUBSTITUTE(M375,"G",""),"C","")))/O375)</f>
        <v>0.4</v>
      </c>
      <c r="R375" s="5"/>
      <c r="S375" s="5" t="s">
        <v>382</v>
      </c>
      <c r="T375" s="5"/>
      <c r="U375" s="5" t="s">
        <v>383</v>
      </c>
      <c r="V375" s="5" t="s">
        <v>3641</v>
      </c>
      <c r="W375" s="5"/>
      <c r="X375" s="13" t="s">
        <v>385</v>
      </c>
      <c r="Y375" s="5"/>
    </row>
    <row r="376" customFormat="false" ht="15" hidden="false" customHeight="false" outlineLevel="0" collapsed="false">
      <c r="A376" s="5" t="s">
        <v>3714</v>
      </c>
      <c r="B376" s="5" t="s">
        <v>291</v>
      </c>
      <c r="C376" s="5" t="s">
        <v>292</v>
      </c>
      <c r="D376" s="10" t="s">
        <v>56</v>
      </c>
      <c r="E376" s="5" t="n">
        <v>10</v>
      </c>
      <c r="F376" s="5" t="s">
        <v>3715</v>
      </c>
      <c r="G376" s="11" t="s">
        <v>3716</v>
      </c>
      <c r="H376" s="5" t="s">
        <v>3717</v>
      </c>
      <c r="I376" s="11" t="s">
        <v>3718</v>
      </c>
      <c r="J376" s="5" t="s">
        <v>3719</v>
      </c>
      <c r="K376" s="5" t="s">
        <v>3720</v>
      </c>
      <c r="L376" s="11" t="s">
        <v>3721</v>
      </c>
      <c r="M376" s="11" t="s">
        <v>3722</v>
      </c>
      <c r="N376" s="5" t="n">
        <f aca="false">LEN(L376)</f>
        <v>25</v>
      </c>
      <c r="O376" s="5" t="n">
        <f aca="false">LEN(M376)</f>
        <v>25</v>
      </c>
      <c r="P376" s="12" t="n">
        <f aca="false">IF(N376=0,"",(N376-LEN(SUBSTITUTE(SUBSTITUTE(L376,"G",""),"C","")))/N376)</f>
        <v>0.4</v>
      </c>
      <c r="Q376" s="12" t="n">
        <f aca="false">IF(O376=0,"",(O376-LEN(SUBSTITUTE(SUBSTITUTE(M376,"G",""),"C","")))/O376)</f>
        <v>0.28</v>
      </c>
      <c r="R376" s="5"/>
      <c r="S376" s="5" t="s">
        <v>382</v>
      </c>
      <c r="T376" s="5"/>
      <c r="U376" s="5" t="s">
        <v>383</v>
      </c>
      <c r="V376" s="5" t="s">
        <v>3641</v>
      </c>
      <c r="W376" s="5"/>
      <c r="X376" s="13" t="s">
        <v>385</v>
      </c>
      <c r="Y376" s="5"/>
    </row>
    <row r="377" customFormat="false" ht="15" hidden="false" customHeight="false" outlineLevel="0" collapsed="false">
      <c r="A377" s="5" t="s">
        <v>3723</v>
      </c>
      <c r="B377" s="5" t="s">
        <v>291</v>
      </c>
      <c r="C377" s="5" t="s">
        <v>292</v>
      </c>
      <c r="D377" s="10" t="s">
        <v>56</v>
      </c>
      <c r="E377" s="5" t="n">
        <v>11</v>
      </c>
      <c r="F377" s="5" t="s">
        <v>3724</v>
      </c>
      <c r="G377" s="11" t="s">
        <v>3725</v>
      </c>
      <c r="H377" s="5" t="s">
        <v>3726</v>
      </c>
      <c r="I377" s="11" t="s">
        <v>3727</v>
      </c>
      <c r="J377" s="5" t="s">
        <v>3728</v>
      </c>
      <c r="K377" s="5" t="s">
        <v>3729</v>
      </c>
      <c r="L377" s="11" t="s">
        <v>3730</v>
      </c>
      <c r="M377" s="11" t="s">
        <v>3731</v>
      </c>
      <c r="N377" s="5" t="n">
        <f aca="false">LEN(L377)</f>
        <v>25</v>
      </c>
      <c r="O377" s="5" t="n">
        <f aca="false">LEN(M377)</f>
        <v>25</v>
      </c>
      <c r="P377" s="12" t="n">
        <f aca="false">IF(N377=0,"",(N377-LEN(SUBSTITUTE(SUBSTITUTE(L377,"G",""),"C","")))/N377)</f>
        <v>0.36</v>
      </c>
      <c r="Q377" s="12" t="n">
        <f aca="false">IF(O377=0,"",(O377-LEN(SUBSTITUTE(SUBSTITUTE(M377,"G",""),"C","")))/O377)</f>
        <v>0.28</v>
      </c>
      <c r="R377" s="5"/>
      <c r="S377" s="5" t="s">
        <v>382</v>
      </c>
      <c r="T377" s="5"/>
      <c r="U377" s="5" t="s">
        <v>383</v>
      </c>
      <c r="V377" s="5" t="s">
        <v>3641</v>
      </c>
      <c r="W377" s="5"/>
      <c r="X377" s="13" t="s">
        <v>385</v>
      </c>
      <c r="Y377" s="5"/>
    </row>
    <row r="378" customFormat="false" ht="15" hidden="false" customHeight="false" outlineLevel="0" collapsed="false">
      <c r="A378" s="5" t="s">
        <v>3732</v>
      </c>
      <c r="B378" s="5" t="s">
        <v>291</v>
      </c>
      <c r="C378" s="5" t="s">
        <v>292</v>
      </c>
      <c r="D378" s="10" t="s">
        <v>56</v>
      </c>
      <c r="E378" s="5" t="n">
        <v>12</v>
      </c>
      <c r="F378" s="5" t="s">
        <v>3733</v>
      </c>
      <c r="G378" s="11" t="s">
        <v>3734</v>
      </c>
      <c r="H378" s="5" t="s">
        <v>3735</v>
      </c>
      <c r="I378" s="11" t="s">
        <v>3736</v>
      </c>
      <c r="J378" s="5" t="s">
        <v>3737</v>
      </c>
      <c r="K378" s="5" t="s">
        <v>3738</v>
      </c>
      <c r="L378" s="11" t="s">
        <v>3739</v>
      </c>
      <c r="M378" s="11" t="s">
        <v>3740</v>
      </c>
      <c r="N378" s="5" t="n">
        <f aca="false">LEN(L378)</f>
        <v>25</v>
      </c>
      <c r="O378" s="5" t="n">
        <f aca="false">LEN(M378)</f>
        <v>25</v>
      </c>
      <c r="P378" s="12" t="n">
        <f aca="false">IF(N378=0,"",(N378-LEN(SUBSTITUTE(SUBSTITUTE(L378,"G",""),"C","")))/N378)</f>
        <v>0.56</v>
      </c>
      <c r="Q378" s="12" t="n">
        <f aca="false">IF(O378=0,"",(O378-LEN(SUBSTITUTE(SUBSTITUTE(M378,"G",""),"C","")))/O378)</f>
        <v>0.36</v>
      </c>
      <c r="R378" s="5"/>
      <c r="S378" s="5" t="s">
        <v>382</v>
      </c>
      <c r="T378" s="5"/>
      <c r="U378" s="5" t="s">
        <v>383</v>
      </c>
      <c r="V378" s="5" t="s">
        <v>3641</v>
      </c>
      <c r="W378" s="5"/>
      <c r="X378" s="13" t="s">
        <v>385</v>
      </c>
      <c r="Y378" s="5"/>
    </row>
    <row r="379" customFormat="false" ht="15" hidden="false" customHeight="false" outlineLevel="0" collapsed="false">
      <c r="A379" s="5" t="s">
        <v>3741</v>
      </c>
      <c r="B379" s="5" t="s">
        <v>291</v>
      </c>
      <c r="C379" s="5" t="s">
        <v>292</v>
      </c>
      <c r="D379" s="10" t="s">
        <v>56</v>
      </c>
      <c r="E379" s="5" t="n">
        <v>13</v>
      </c>
      <c r="F379" s="5" t="s">
        <v>3742</v>
      </c>
      <c r="G379" s="11" t="s">
        <v>3743</v>
      </c>
      <c r="H379" s="5" t="s">
        <v>3744</v>
      </c>
      <c r="I379" s="11" t="s">
        <v>3745</v>
      </c>
      <c r="J379" s="5" t="s">
        <v>3746</v>
      </c>
      <c r="K379" s="5" t="s">
        <v>3747</v>
      </c>
      <c r="L379" s="11" t="s">
        <v>3748</v>
      </c>
      <c r="M379" s="11" t="s">
        <v>3749</v>
      </c>
      <c r="N379" s="5" t="n">
        <f aca="false">LEN(L379)</f>
        <v>25</v>
      </c>
      <c r="O379" s="5" t="n">
        <f aca="false">LEN(M379)</f>
        <v>25</v>
      </c>
      <c r="P379" s="12" t="n">
        <f aca="false">IF(N379=0,"",(N379-LEN(SUBSTITUTE(SUBSTITUTE(L379,"G",""),"C","")))/N379)</f>
        <v>0.48</v>
      </c>
      <c r="Q379" s="12" t="n">
        <f aca="false">IF(O379=0,"",(O379-LEN(SUBSTITUTE(SUBSTITUTE(M379,"G",""),"C","")))/O379)</f>
        <v>0.52</v>
      </c>
      <c r="R379" s="5"/>
      <c r="S379" s="5" t="s">
        <v>382</v>
      </c>
      <c r="T379" s="5"/>
      <c r="U379" s="5" t="s">
        <v>383</v>
      </c>
      <c r="V379" s="5" t="s">
        <v>3641</v>
      </c>
      <c r="W379" s="5"/>
      <c r="X379" s="13" t="s">
        <v>385</v>
      </c>
      <c r="Y379" s="5"/>
    </row>
    <row r="380" customFormat="false" ht="15" hidden="false" customHeight="false" outlineLevel="0" collapsed="false">
      <c r="A380" s="5" t="s">
        <v>3750</v>
      </c>
      <c r="B380" s="5" t="s">
        <v>297</v>
      </c>
      <c r="C380" s="5" t="s">
        <v>298</v>
      </c>
      <c r="D380" s="10" t="s">
        <v>56</v>
      </c>
      <c r="E380" s="5" t="n">
        <v>1</v>
      </c>
      <c r="F380" s="5" t="s">
        <v>3751</v>
      </c>
      <c r="G380" s="11" t="s">
        <v>3752</v>
      </c>
      <c r="H380" s="5" t="s">
        <v>3753</v>
      </c>
      <c r="I380" s="11" t="s">
        <v>3754</v>
      </c>
      <c r="J380" s="5" t="s">
        <v>3755</v>
      </c>
      <c r="K380" s="5" t="s">
        <v>3756</v>
      </c>
      <c r="L380" s="11" t="s">
        <v>3757</v>
      </c>
      <c r="M380" s="11" t="s">
        <v>3758</v>
      </c>
      <c r="N380" s="5" t="n">
        <f aca="false">LEN(L380)</f>
        <v>25</v>
      </c>
      <c r="O380" s="5" t="n">
        <f aca="false">LEN(M380)</f>
        <v>25</v>
      </c>
      <c r="P380" s="12" t="n">
        <f aca="false">IF(N380=0,"",(N380-LEN(SUBSTITUTE(SUBSTITUTE(L380,"G",""),"C","")))/N380)</f>
        <v>0.44</v>
      </c>
      <c r="Q380" s="12" t="n">
        <f aca="false">IF(O380=0,"",(O380-LEN(SUBSTITUTE(SUBSTITUTE(M380,"G",""),"C","")))/O380)</f>
        <v>0.48</v>
      </c>
      <c r="R380" s="5"/>
      <c r="S380" s="5" t="s">
        <v>382</v>
      </c>
      <c r="T380" s="5"/>
      <c r="U380" s="5" t="s">
        <v>383</v>
      </c>
      <c r="V380" s="5" t="s">
        <v>3759</v>
      </c>
      <c r="W380" s="5"/>
      <c r="X380" s="13" t="s">
        <v>385</v>
      </c>
      <c r="Y380" s="5"/>
    </row>
    <row r="381" customFormat="false" ht="15" hidden="false" customHeight="false" outlineLevel="0" collapsed="false">
      <c r="A381" s="5" t="s">
        <v>3760</v>
      </c>
      <c r="B381" s="5" t="s">
        <v>297</v>
      </c>
      <c r="C381" s="5" t="s">
        <v>298</v>
      </c>
      <c r="D381" s="10" t="s">
        <v>56</v>
      </c>
      <c r="E381" s="5" t="n">
        <v>2</v>
      </c>
      <c r="F381" s="5" t="s">
        <v>3761</v>
      </c>
      <c r="G381" s="11" t="s">
        <v>3762</v>
      </c>
      <c r="H381" s="5" t="s">
        <v>3763</v>
      </c>
      <c r="I381" s="11" t="s">
        <v>3764</v>
      </c>
      <c r="J381" s="5" t="s">
        <v>3765</v>
      </c>
      <c r="K381" s="5" t="s">
        <v>3766</v>
      </c>
      <c r="L381" s="11" t="s">
        <v>3767</v>
      </c>
      <c r="M381" s="11" t="s">
        <v>3768</v>
      </c>
      <c r="N381" s="5" t="n">
        <f aca="false">LEN(L381)</f>
        <v>25</v>
      </c>
      <c r="O381" s="5" t="n">
        <f aca="false">LEN(M381)</f>
        <v>25</v>
      </c>
      <c r="P381" s="12" t="n">
        <f aca="false">IF(N381=0,"",(N381-LEN(SUBSTITUTE(SUBSTITUTE(L381,"G",""),"C","")))/N381)</f>
        <v>0.52</v>
      </c>
      <c r="Q381" s="12" t="n">
        <f aca="false">IF(O381=0,"",(O381-LEN(SUBSTITUTE(SUBSTITUTE(M381,"G",""),"C","")))/O381)</f>
        <v>0.4</v>
      </c>
      <c r="R381" s="5"/>
      <c r="S381" s="5" t="s">
        <v>382</v>
      </c>
      <c r="T381" s="5"/>
      <c r="U381" s="5" t="s">
        <v>383</v>
      </c>
      <c r="V381" s="5" t="s">
        <v>3759</v>
      </c>
      <c r="W381" s="5"/>
      <c r="X381" s="13" t="s">
        <v>385</v>
      </c>
      <c r="Y381" s="5"/>
    </row>
    <row r="382" customFormat="false" ht="15" hidden="false" customHeight="false" outlineLevel="0" collapsed="false">
      <c r="A382" s="5" t="s">
        <v>3769</v>
      </c>
      <c r="B382" s="5" t="s">
        <v>297</v>
      </c>
      <c r="C382" s="5" t="s">
        <v>298</v>
      </c>
      <c r="D382" s="10" t="s">
        <v>56</v>
      </c>
      <c r="E382" s="5" t="n">
        <v>3</v>
      </c>
      <c r="F382" s="5" t="s">
        <v>3770</v>
      </c>
      <c r="G382" s="11" t="s">
        <v>3771</v>
      </c>
      <c r="H382" s="5" t="s">
        <v>3772</v>
      </c>
      <c r="I382" s="11" t="s">
        <v>3773</v>
      </c>
      <c r="J382" s="5" t="s">
        <v>3774</v>
      </c>
      <c r="K382" s="5" t="s">
        <v>3775</v>
      </c>
      <c r="L382" s="11" t="s">
        <v>3776</v>
      </c>
      <c r="M382" s="11" t="s">
        <v>3777</v>
      </c>
      <c r="N382" s="5" t="n">
        <f aca="false">LEN(L382)</f>
        <v>25</v>
      </c>
      <c r="O382" s="5" t="n">
        <f aca="false">LEN(M382)</f>
        <v>25</v>
      </c>
      <c r="P382" s="12" t="n">
        <f aca="false">IF(N382=0,"",(N382-LEN(SUBSTITUTE(SUBSTITUTE(L382,"G",""),"C","")))/N382)</f>
        <v>0.52</v>
      </c>
      <c r="Q382" s="12" t="n">
        <f aca="false">IF(O382=0,"",(O382-LEN(SUBSTITUTE(SUBSTITUTE(M382,"G",""),"C","")))/O382)</f>
        <v>0.72</v>
      </c>
      <c r="R382" s="5"/>
      <c r="S382" s="5" t="s">
        <v>382</v>
      </c>
      <c r="T382" s="5"/>
      <c r="U382" s="5" t="s">
        <v>383</v>
      </c>
      <c r="V382" s="5" t="s">
        <v>3759</v>
      </c>
      <c r="W382" s="5"/>
      <c r="X382" s="13" t="s">
        <v>385</v>
      </c>
      <c r="Y382" s="5"/>
    </row>
    <row r="383" customFormat="false" ht="15" hidden="false" customHeight="false" outlineLevel="0" collapsed="false">
      <c r="A383" s="5" t="s">
        <v>3778</v>
      </c>
      <c r="B383" s="5" t="s">
        <v>297</v>
      </c>
      <c r="C383" s="5" t="s">
        <v>298</v>
      </c>
      <c r="D383" s="10" t="s">
        <v>56</v>
      </c>
      <c r="E383" s="5" t="n">
        <v>4</v>
      </c>
      <c r="F383" s="5" t="s">
        <v>3779</v>
      </c>
      <c r="G383" s="11" t="s">
        <v>3780</v>
      </c>
      <c r="H383" s="5" t="s">
        <v>3781</v>
      </c>
      <c r="I383" s="11" t="s">
        <v>3782</v>
      </c>
      <c r="J383" s="5" t="s">
        <v>3783</v>
      </c>
      <c r="K383" s="5" t="s">
        <v>3784</v>
      </c>
      <c r="L383" s="11" t="s">
        <v>3785</v>
      </c>
      <c r="M383" s="11" t="s">
        <v>3786</v>
      </c>
      <c r="N383" s="5" t="n">
        <f aca="false">LEN(L383)</f>
        <v>25</v>
      </c>
      <c r="O383" s="5" t="n">
        <f aca="false">LEN(M383)</f>
        <v>25</v>
      </c>
      <c r="P383" s="12" t="n">
        <f aca="false">IF(N383=0,"",(N383-LEN(SUBSTITUTE(SUBSTITUTE(L383,"G",""),"C","")))/N383)</f>
        <v>0.56</v>
      </c>
      <c r="Q383" s="12" t="n">
        <f aca="false">IF(O383=0,"",(O383-LEN(SUBSTITUTE(SUBSTITUTE(M383,"G",""),"C","")))/O383)</f>
        <v>0.56</v>
      </c>
      <c r="R383" s="5"/>
      <c r="S383" s="5" t="s">
        <v>382</v>
      </c>
      <c r="T383" s="5"/>
      <c r="U383" s="5" t="s">
        <v>383</v>
      </c>
      <c r="V383" s="5" t="s">
        <v>3759</v>
      </c>
      <c r="W383" s="5"/>
      <c r="X383" s="13" t="s">
        <v>385</v>
      </c>
      <c r="Y383" s="5"/>
    </row>
    <row r="384" customFormat="false" ht="15" hidden="false" customHeight="false" outlineLevel="0" collapsed="false">
      <c r="A384" s="5" t="s">
        <v>3787</v>
      </c>
      <c r="B384" s="5" t="s">
        <v>297</v>
      </c>
      <c r="C384" s="5" t="s">
        <v>298</v>
      </c>
      <c r="D384" s="10" t="s">
        <v>56</v>
      </c>
      <c r="E384" s="5" t="n">
        <v>5</v>
      </c>
      <c r="F384" s="5" t="s">
        <v>3788</v>
      </c>
      <c r="G384" s="11" t="s">
        <v>3789</v>
      </c>
      <c r="H384" s="5" t="s">
        <v>3790</v>
      </c>
      <c r="I384" s="11" t="s">
        <v>3791</v>
      </c>
      <c r="J384" s="5" t="s">
        <v>3792</v>
      </c>
      <c r="K384" s="5" t="s">
        <v>3793</v>
      </c>
      <c r="L384" s="11" t="s">
        <v>3794</v>
      </c>
      <c r="M384" s="11" t="s">
        <v>3795</v>
      </c>
      <c r="N384" s="5" t="n">
        <f aca="false">LEN(L384)</f>
        <v>25</v>
      </c>
      <c r="O384" s="5" t="n">
        <f aca="false">LEN(M384)</f>
        <v>25</v>
      </c>
      <c r="P384" s="12" t="n">
        <f aca="false">IF(N384=0,"",(N384-LEN(SUBSTITUTE(SUBSTITUTE(L384,"G",""),"C","")))/N384)</f>
        <v>0.64</v>
      </c>
      <c r="Q384" s="12" t="n">
        <f aca="false">IF(O384=0,"",(O384-LEN(SUBSTITUTE(SUBSTITUTE(M384,"G",""),"C","")))/O384)</f>
        <v>0.48</v>
      </c>
      <c r="R384" s="5"/>
      <c r="S384" s="5" t="s">
        <v>382</v>
      </c>
      <c r="T384" s="5"/>
      <c r="U384" s="5" t="s">
        <v>383</v>
      </c>
      <c r="V384" s="5" t="s">
        <v>3759</v>
      </c>
      <c r="W384" s="5"/>
      <c r="X384" s="13" t="s">
        <v>385</v>
      </c>
      <c r="Y384" s="5"/>
    </row>
    <row r="385" customFormat="false" ht="15" hidden="false" customHeight="false" outlineLevel="0" collapsed="false">
      <c r="A385" s="5" t="s">
        <v>3796</v>
      </c>
      <c r="B385" s="5" t="s">
        <v>297</v>
      </c>
      <c r="C385" s="5" t="s">
        <v>298</v>
      </c>
      <c r="D385" s="10" t="s">
        <v>56</v>
      </c>
      <c r="E385" s="5" t="n">
        <v>6</v>
      </c>
      <c r="F385" s="5" t="s">
        <v>3797</v>
      </c>
      <c r="G385" s="11" t="s">
        <v>3798</v>
      </c>
      <c r="H385" s="5" t="s">
        <v>3799</v>
      </c>
      <c r="I385" s="11" t="s">
        <v>3800</v>
      </c>
      <c r="J385" s="5" t="s">
        <v>3801</v>
      </c>
      <c r="K385" s="5" t="s">
        <v>3802</v>
      </c>
      <c r="L385" s="11" t="s">
        <v>3803</v>
      </c>
      <c r="M385" s="11" t="s">
        <v>3804</v>
      </c>
      <c r="N385" s="5" t="n">
        <f aca="false">LEN(L385)</f>
        <v>25</v>
      </c>
      <c r="O385" s="5" t="n">
        <f aca="false">LEN(M385)</f>
        <v>25</v>
      </c>
      <c r="P385" s="12" t="n">
        <f aca="false">IF(N385=0,"",(N385-LEN(SUBSTITUTE(SUBSTITUTE(L385,"G",""),"C","")))/N385)</f>
        <v>0.64</v>
      </c>
      <c r="Q385" s="12" t="n">
        <f aca="false">IF(O385=0,"",(O385-LEN(SUBSTITUTE(SUBSTITUTE(M385,"G",""),"C","")))/O385)</f>
        <v>0.68</v>
      </c>
      <c r="R385" s="5"/>
      <c r="S385" s="5" t="s">
        <v>382</v>
      </c>
      <c r="T385" s="5"/>
      <c r="U385" s="5" t="s">
        <v>383</v>
      </c>
      <c r="V385" s="5" t="s">
        <v>3759</v>
      </c>
      <c r="W385" s="5"/>
      <c r="X385" s="13" t="s">
        <v>385</v>
      </c>
      <c r="Y385" s="5"/>
    </row>
    <row r="386" customFormat="false" ht="15" hidden="false" customHeight="false" outlineLevel="0" collapsed="false">
      <c r="A386" s="5" t="s">
        <v>3805</v>
      </c>
      <c r="B386" s="5" t="s">
        <v>297</v>
      </c>
      <c r="C386" s="5" t="s">
        <v>298</v>
      </c>
      <c r="D386" s="10" t="s">
        <v>56</v>
      </c>
      <c r="E386" s="5" t="n">
        <v>7</v>
      </c>
      <c r="F386" s="5" t="s">
        <v>3806</v>
      </c>
      <c r="G386" s="11" t="s">
        <v>3807</v>
      </c>
      <c r="H386" s="5" t="s">
        <v>3808</v>
      </c>
      <c r="I386" s="11" t="s">
        <v>3809</v>
      </c>
      <c r="J386" s="5" t="s">
        <v>3810</v>
      </c>
      <c r="K386" s="5" t="s">
        <v>3811</v>
      </c>
      <c r="L386" s="11" t="s">
        <v>3812</v>
      </c>
      <c r="M386" s="11" t="s">
        <v>3813</v>
      </c>
      <c r="N386" s="5" t="n">
        <f aca="false">LEN(L386)</f>
        <v>25</v>
      </c>
      <c r="O386" s="5" t="n">
        <f aca="false">LEN(M386)</f>
        <v>25</v>
      </c>
      <c r="P386" s="12" t="n">
        <f aca="false">IF(N386=0,"",(N386-LEN(SUBSTITUTE(SUBSTITUTE(L386,"G",""),"C","")))/N386)</f>
        <v>0.56</v>
      </c>
      <c r="Q386" s="12" t="n">
        <f aca="false">IF(O386=0,"",(O386-LEN(SUBSTITUTE(SUBSTITUTE(M386,"G",""),"C","")))/O386)</f>
        <v>0.72</v>
      </c>
      <c r="R386" s="5"/>
      <c r="S386" s="5" t="s">
        <v>382</v>
      </c>
      <c r="T386" s="5"/>
      <c r="U386" s="5" t="s">
        <v>383</v>
      </c>
      <c r="V386" s="5" t="s">
        <v>3759</v>
      </c>
      <c r="W386" s="5"/>
      <c r="X386" s="13" t="s">
        <v>385</v>
      </c>
      <c r="Y386" s="5"/>
    </row>
    <row r="387" customFormat="false" ht="15" hidden="false" customHeight="false" outlineLevel="0" collapsed="false">
      <c r="A387" s="5" t="s">
        <v>3814</v>
      </c>
      <c r="B387" s="5" t="s">
        <v>297</v>
      </c>
      <c r="C387" s="5" t="s">
        <v>298</v>
      </c>
      <c r="D387" s="10" t="s">
        <v>56</v>
      </c>
      <c r="E387" s="5" t="n">
        <v>8</v>
      </c>
      <c r="F387" s="5" t="s">
        <v>3815</v>
      </c>
      <c r="G387" s="11" t="s">
        <v>3816</v>
      </c>
      <c r="H387" s="5" t="s">
        <v>3817</v>
      </c>
      <c r="I387" s="11" t="s">
        <v>3818</v>
      </c>
      <c r="J387" s="5" t="s">
        <v>3819</v>
      </c>
      <c r="K387" s="5" t="s">
        <v>3820</v>
      </c>
      <c r="L387" s="11" t="s">
        <v>3821</v>
      </c>
      <c r="M387" s="11" t="s">
        <v>3822</v>
      </c>
      <c r="N387" s="5" t="n">
        <f aca="false">LEN(L387)</f>
        <v>25</v>
      </c>
      <c r="O387" s="5" t="n">
        <f aca="false">LEN(M387)</f>
        <v>25</v>
      </c>
      <c r="P387" s="12" t="n">
        <f aca="false">IF(N387=0,"",(N387-LEN(SUBSTITUTE(SUBSTITUTE(L387,"G",""),"C","")))/N387)</f>
        <v>0.76</v>
      </c>
      <c r="Q387" s="12" t="n">
        <f aca="false">IF(O387=0,"",(O387-LEN(SUBSTITUTE(SUBSTITUTE(M387,"G",""),"C","")))/O387)</f>
        <v>0.64</v>
      </c>
      <c r="R387" s="5"/>
      <c r="S387" s="5" t="s">
        <v>382</v>
      </c>
      <c r="T387" s="5"/>
      <c r="U387" s="5" t="s">
        <v>383</v>
      </c>
      <c r="V387" s="5" t="s">
        <v>3759</v>
      </c>
      <c r="W387" s="5"/>
      <c r="X387" s="13" t="s">
        <v>385</v>
      </c>
      <c r="Y387" s="5"/>
    </row>
    <row r="388" customFormat="false" ht="15" hidden="false" customHeight="false" outlineLevel="0" collapsed="false">
      <c r="A388" s="5" t="s">
        <v>3823</v>
      </c>
      <c r="B388" s="5" t="s">
        <v>303</v>
      </c>
      <c r="C388" s="5" t="s">
        <v>81</v>
      </c>
      <c r="D388" s="10" t="s">
        <v>56</v>
      </c>
      <c r="E388" s="5" t="n">
        <v>1</v>
      </c>
      <c r="F388" s="5" t="s">
        <v>3824</v>
      </c>
      <c r="G388" s="11" t="s">
        <v>3825</v>
      </c>
      <c r="H388" s="5" t="s">
        <v>3826</v>
      </c>
      <c r="I388" s="11" t="s">
        <v>3827</v>
      </c>
      <c r="J388" s="5" t="s">
        <v>3828</v>
      </c>
      <c r="K388" s="5" t="s">
        <v>3829</v>
      </c>
      <c r="L388" s="11" t="s">
        <v>2469</v>
      </c>
      <c r="M388" s="11" t="s">
        <v>2470</v>
      </c>
      <c r="N388" s="5" t="n">
        <f aca="false">LEN(L388)</f>
        <v>25</v>
      </c>
      <c r="O388" s="5" t="n">
        <f aca="false">LEN(M388)</f>
        <v>25</v>
      </c>
      <c r="P388" s="12" t="n">
        <f aca="false">IF(N388=0,"",(N388-LEN(SUBSTITUTE(SUBSTITUTE(L388,"G",""),"C","")))/N388)</f>
        <v>0.56</v>
      </c>
      <c r="Q388" s="12" t="n">
        <f aca="false">IF(O388=0,"",(O388-LEN(SUBSTITUTE(SUBSTITUTE(M388,"G",""),"C","")))/O388)</f>
        <v>0.6</v>
      </c>
      <c r="R388" s="5"/>
      <c r="S388" s="5" t="s">
        <v>382</v>
      </c>
      <c r="T388" s="5"/>
      <c r="U388" s="5" t="s">
        <v>383</v>
      </c>
      <c r="V388" s="5" t="s">
        <v>821</v>
      </c>
      <c r="W388" s="5"/>
      <c r="X388" s="13" t="s">
        <v>385</v>
      </c>
      <c r="Y388" s="5"/>
    </row>
    <row r="389" customFormat="false" ht="15" hidden="false" customHeight="false" outlineLevel="0" collapsed="false">
      <c r="A389" s="5" t="s">
        <v>3830</v>
      </c>
      <c r="B389" s="5" t="s">
        <v>303</v>
      </c>
      <c r="C389" s="5" t="s">
        <v>81</v>
      </c>
      <c r="D389" s="10" t="s">
        <v>56</v>
      </c>
      <c r="E389" s="5" t="n">
        <v>2</v>
      </c>
      <c r="F389" s="5" t="s">
        <v>3831</v>
      </c>
      <c r="G389" s="11" t="s">
        <v>3832</v>
      </c>
      <c r="H389" s="5" t="s">
        <v>3833</v>
      </c>
      <c r="I389" s="11" t="s">
        <v>3834</v>
      </c>
      <c r="J389" s="5" t="s">
        <v>3835</v>
      </c>
      <c r="K389" s="5" t="s">
        <v>3836</v>
      </c>
      <c r="L389" s="11" t="s">
        <v>2478</v>
      </c>
      <c r="M389" s="11" t="s">
        <v>2479</v>
      </c>
      <c r="N389" s="5" t="n">
        <f aca="false">LEN(L389)</f>
        <v>25</v>
      </c>
      <c r="O389" s="5" t="n">
        <f aca="false">LEN(M389)</f>
        <v>25</v>
      </c>
      <c r="P389" s="12" t="n">
        <f aca="false">IF(N389=0,"",(N389-LEN(SUBSTITUTE(SUBSTITUTE(L389,"G",""),"C","")))/N389)</f>
        <v>0.52</v>
      </c>
      <c r="Q389" s="12" t="n">
        <f aca="false">IF(O389=0,"",(O389-LEN(SUBSTITUTE(SUBSTITUTE(M389,"G",""),"C","")))/O389)</f>
        <v>0.44</v>
      </c>
      <c r="R389" s="5"/>
      <c r="S389" s="5" t="s">
        <v>382</v>
      </c>
      <c r="T389" s="5"/>
      <c r="U389" s="5" t="s">
        <v>383</v>
      </c>
      <c r="V389" s="5" t="s">
        <v>821</v>
      </c>
      <c r="W389" s="5"/>
      <c r="X389" s="13" t="s">
        <v>385</v>
      </c>
      <c r="Y389" s="5"/>
    </row>
    <row r="390" customFormat="false" ht="15" hidden="false" customHeight="false" outlineLevel="0" collapsed="false">
      <c r="A390" s="5" t="s">
        <v>3837</v>
      </c>
      <c r="B390" s="5" t="s">
        <v>303</v>
      </c>
      <c r="C390" s="5" t="s">
        <v>81</v>
      </c>
      <c r="D390" s="10" t="s">
        <v>56</v>
      </c>
      <c r="E390" s="5" t="n">
        <v>3</v>
      </c>
      <c r="F390" s="5" t="s">
        <v>3838</v>
      </c>
      <c r="G390" s="11" t="s">
        <v>3839</v>
      </c>
      <c r="H390" s="5" t="s">
        <v>3840</v>
      </c>
      <c r="I390" s="11" t="s">
        <v>3841</v>
      </c>
      <c r="J390" s="5" t="s">
        <v>3842</v>
      </c>
      <c r="K390" s="5" t="s">
        <v>3843</v>
      </c>
      <c r="L390" s="11" t="s">
        <v>2487</v>
      </c>
      <c r="M390" s="11" t="s">
        <v>2488</v>
      </c>
      <c r="N390" s="5" t="n">
        <f aca="false">LEN(L390)</f>
        <v>25</v>
      </c>
      <c r="O390" s="5" t="n">
        <f aca="false">LEN(M390)</f>
        <v>25</v>
      </c>
      <c r="P390" s="12" t="n">
        <f aca="false">IF(N390=0,"",(N390-LEN(SUBSTITUTE(SUBSTITUTE(L390,"G",""),"C","")))/N390)</f>
        <v>0.68</v>
      </c>
      <c r="Q390" s="12" t="n">
        <f aca="false">IF(O390=0,"",(O390-LEN(SUBSTITUTE(SUBSTITUTE(M390,"G",""),"C","")))/O390)</f>
        <v>0.48</v>
      </c>
      <c r="R390" s="5"/>
      <c r="S390" s="5" t="s">
        <v>382</v>
      </c>
      <c r="T390" s="5"/>
      <c r="U390" s="5" t="s">
        <v>383</v>
      </c>
      <c r="V390" s="5" t="s">
        <v>821</v>
      </c>
      <c r="W390" s="5"/>
      <c r="X390" s="13" t="s">
        <v>385</v>
      </c>
      <c r="Y390" s="5"/>
    </row>
    <row r="391" customFormat="false" ht="15" hidden="false" customHeight="false" outlineLevel="0" collapsed="false">
      <c r="A391" s="5" t="s">
        <v>3844</v>
      </c>
      <c r="B391" s="5" t="s">
        <v>305</v>
      </c>
      <c r="C391" s="5" t="s">
        <v>306</v>
      </c>
      <c r="D391" s="10" t="s">
        <v>56</v>
      </c>
      <c r="E391" s="5" t="n">
        <v>1</v>
      </c>
      <c r="F391" s="5" t="s">
        <v>3845</v>
      </c>
      <c r="G391" s="11" t="s">
        <v>3846</v>
      </c>
      <c r="H391" s="5" t="s">
        <v>3847</v>
      </c>
      <c r="I391" s="11" t="s">
        <v>3848</v>
      </c>
      <c r="J391" s="5" t="s">
        <v>3849</v>
      </c>
      <c r="K391" s="5" t="s">
        <v>3850</v>
      </c>
      <c r="L391" s="11" t="s">
        <v>3851</v>
      </c>
      <c r="M391" s="11" t="s">
        <v>3852</v>
      </c>
      <c r="N391" s="5" t="n">
        <f aca="false">LEN(L391)</f>
        <v>25</v>
      </c>
      <c r="O391" s="5" t="n">
        <f aca="false">LEN(M391)</f>
        <v>25</v>
      </c>
      <c r="P391" s="12" t="n">
        <f aca="false">IF(N391=0,"",(N391-LEN(SUBSTITUTE(SUBSTITUTE(L391,"G",""),"C","")))/N391)</f>
        <v>0.64</v>
      </c>
      <c r="Q391" s="12" t="n">
        <f aca="false">IF(O391=0,"",(O391-LEN(SUBSTITUTE(SUBSTITUTE(M391,"G",""),"C","")))/O391)</f>
        <v>0.72</v>
      </c>
      <c r="R391" s="5"/>
      <c r="S391" s="5" t="s">
        <v>382</v>
      </c>
      <c r="T391" s="5"/>
      <c r="U391" s="5" t="s">
        <v>383</v>
      </c>
      <c r="V391" s="5" t="s">
        <v>3853</v>
      </c>
      <c r="W391" s="5"/>
      <c r="X391" s="13" t="s">
        <v>385</v>
      </c>
      <c r="Y391" s="5"/>
    </row>
    <row r="392" customFormat="false" ht="15" hidden="false" customHeight="false" outlineLevel="0" collapsed="false">
      <c r="A392" s="5" t="s">
        <v>3854</v>
      </c>
      <c r="B392" s="5" t="s">
        <v>305</v>
      </c>
      <c r="C392" s="5" t="s">
        <v>306</v>
      </c>
      <c r="D392" s="10" t="s">
        <v>56</v>
      </c>
      <c r="E392" s="5" t="n">
        <v>2</v>
      </c>
      <c r="F392" s="5" t="s">
        <v>3855</v>
      </c>
      <c r="G392" s="11" t="s">
        <v>3856</v>
      </c>
      <c r="H392" s="5" t="s">
        <v>3857</v>
      </c>
      <c r="I392" s="11" t="s">
        <v>3858</v>
      </c>
      <c r="J392" s="5" t="s">
        <v>3859</v>
      </c>
      <c r="K392" s="5" t="s">
        <v>3860</v>
      </c>
      <c r="L392" s="11" t="s">
        <v>3861</v>
      </c>
      <c r="M392" s="11" t="s">
        <v>3862</v>
      </c>
      <c r="N392" s="5" t="n">
        <f aca="false">LEN(L392)</f>
        <v>25</v>
      </c>
      <c r="O392" s="5" t="n">
        <f aca="false">LEN(M392)</f>
        <v>25</v>
      </c>
      <c r="P392" s="12" t="n">
        <f aca="false">IF(N392=0,"",(N392-LEN(SUBSTITUTE(SUBSTITUTE(L392,"G",""),"C","")))/N392)</f>
        <v>0.8</v>
      </c>
      <c r="Q392" s="12" t="n">
        <f aca="false">IF(O392=0,"",(O392-LEN(SUBSTITUTE(SUBSTITUTE(M392,"G",""),"C","")))/O392)</f>
        <v>0.56</v>
      </c>
      <c r="R392" s="5"/>
      <c r="S392" s="5" t="s">
        <v>382</v>
      </c>
      <c r="T392" s="5"/>
      <c r="U392" s="5" t="s">
        <v>383</v>
      </c>
      <c r="V392" s="5" t="s">
        <v>3853</v>
      </c>
      <c r="W392" s="5"/>
      <c r="X392" s="13" t="s">
        <v>385</v>
      </c>
      <c r="Y392" s="5"/>
    </row>
    <row r="393" customFormat="false" ht="15" hidden="false" customHeight="false" outlineLevel="0" collapsed="false">
      <c r="A393" s="5" t="s">
        <v>3863</v>
      </c>
      <c r="B393" s="5" t="s">
        <v>305</v>
      </c>
      <c r="C393" s="5" t="s">
        <v>306</v>
      </c>
      <c r="D393" s="10" t="s">
        <v>56</v>
      </c>
      <c r="E393" s="5" t="n">
        <v>3</v>
      </c>
      <c r="F393" s="5" t="s">
        <v>3864</v>
      </c>
      <c r="G393" s="11" t="s">
        <v>3865</v>
      </c>
      <c r="H393" s="5" t="s">
        <v>3866</v>
      </c>
      <c r="I393" s="11" t="s">
        <v>3867</v>
      </c>
      <c r="J393" s="5" t="s">
        <v>3868</v>
      </c>
      <c r="K393" s="5" t="s">
        <v>3869</v>
      </c>
      <c r="L393" s="11" t="s">
        <v>3870</v>
      </c>
      <c r="M393" s="11" t="s">
        <v>3871</v>
      </c>
      <c r="N393" s="5" t="n">
        <f aca="false">LEN(L393)</f>
        <v>25</v>
      </c>
      <c r="O393" s="5" t="n">
        <f aca="false">LEN(M393)</f>
        <v>25</v>
      </c>
      <c r="P393" s="12" t="n">
        <f aca="false">IF(N393=0,"",(N393-LEN(SUBSTITUTE(SUBSTITUTE(L393,"G",""),"C","")))/N393)</f>
        <v>0.8</v>
      </c>
      <c r="Q393" s="12" t="n">
        <f aca="false">IF(O393=0,"",(O393-LEN(SUBSTITUTE(SUBSTITUTE(M393,"G",""),"C","")))/O393)</f>
        <v>0.76</v>
      </c>
      <c r="R393" s="5"/>
      <c r="S393" s="5" t="s">
        <v>382</v>
      </c>
      <c r="T393" s="5"/>
      <c r="U393" s="5" t="s">
        <v>383</v>
      </c>
      <c r="V393" s="5" t="s">
        <v>3853</v>
      </c>
      <c r="W393" s="5"/>
      <c r="X393" s="13" t="s">
        <v>385</v>
      </c>
      <c r="Y393" s="5"/>
    </row>
    <row r="394" customFormat="false" ht="15" hidden="false" customHeight="false" outlineLevel="0" collapsed="false">
      <c r="A394" s="5" t="s">
        <v>3872</v>
      </c>
      <c r="B394" s="5" t="s">
        <v>305</v>
      </c>
      <c r="C394" s="5" t="s">
        <v>306</v>
      </c>
      <c r="D394" s="10" t="s">
        <v>56</v>
      </c>
      <c r="E394" s="5" t="n">
        <v>4</v>
      </c>
      <c r="F394" s="5" t="s">
        <v>3873</v>
      </c>
      <c r="G394" s="11" t="s">
        <v>3874</v>
      </c>
      <c r="H394" s="5" t="s">
        <v>3875</v>
      </c>
      <c r="I394" s="11" t="s">
        <v>3876</v>
      </c>
      <c r="J394" s="5" t="s">
        <v>3877</v>
      </c>
      <c r="K394" s="5" t="s">
        <v>3878</v>
      </c>
      <c r="L394" s="11" t="s">
        <v>3879</v>
      </c>
      <c r="M394" s="11" t="s">
        <v>3880</v>
      </c>
      <c r="N394" s="5" t="n">
        <f aca="false">LEN(L394)</f>
        <v>25</v>
      </c>
      <c r="O394" s="5" t="n">
        <f aca="false">LEN(M394)</f>
        <v>25</v>
      </c>
      <c r="P394" s="12" t="n">
        <f aca="false">IF(N394=0,"",(N394-LEN(SUBSTITUTE(SUBSTITUTE(L394,"G",""),"C","")))/N394)</f>
        <v>0.68</v>
      </c>
      <c r="Q394" s="12" t="n">
        <f aca="false">IF(O394=0,"",(O394-LEN(SUBSTITUTE(SUBSTITUTE(M394,"G",""),"C","")))/O394)</f>
        <v>0.6</v>
      </c>
      <c r="R394" s="5"/>
      <c r="S394" s="5" t="s">
        <v>382</v>
      </c>
      <c r="T394" s="5"/>
      <c r="U394" s="5" t="s">
        <v>383</v>
      </c>
      <c r="V394" s="5" t="s">
        <v>3853</v>
      </c>
      <c r="W394" s="5"/>
      <c r="X394" s="13" t="s">
        <v>385</v>
      </c>
      <c r="Y394" s="5"/>
    </row>
    <row r="395" customFormat="false" ht="15" hidden="false" customHeight="false" outlineLevel="0" collapsed="false">
      <c r="A395" s="5" t="s">
        <v>3881</v>
      </c>
      <c r="B395" s="5" t="s">
        <v>305</v>
      </c>
      <c r="C395" s="5" t="s">
        <v>306</v>
      </c>
      <c r="D395" s="10" t="s">
        <v>56</v>
      </c>
      <c r="E395" s="5" t="n">
        <v>5</v>
      </c>
      <c r="F395" s="5" t="s">
        <v>3882</v>
      </c>
      <c r="G395" s="11" t="s">
        <v>3883</v>
      </c>
      <c r="H395" s="5" t="s">
        <v>3884</v>
      </c>
      <c r="I395" s="11" t="s">
        <v>3885</v>
      </c>
      <c r="J395" s="5" t="s">
        <v>3886</v>
      </c>
      <c r="K395" s="5" t="s">
        <v>3887</v>
      </c>
      <c r="L395" s="11" t="s">
        <v>3888</v>
      </c>
      <c r="M395" s="11" t="s">
        <v>3889</v>
      </c>
      <c r="N395" s="5" t="n">
        <f aca="false">LEN(L395)</f>
        <v>25</v>
      </c>
      <c r="O395" s="5" t="n">
        <f aca="false">LEN(M395)</f>
        <v>25</v>
      </c>
      <c r="P395" s="12" t="n">
        <f aca="false">IF(N395=0,"",(N395-LEN(SUBSTITUTE(SUBSTITUTE(L395,"G",""),"C","")))/N395)</f>
        <v>0.56</v>
      </c>
      <c r="Q395" s="12" t="n">
        <f aca="false">IF(O395=0,"",(O395-LEN(SUBSTITUTE(SUBSTITUTE(M395,"G",""),"C","")))/O395)</f>
        <v>0.72</v>
      </c>
      <c r="R395" s="5"/>
      <c r="S395" s="5" t="s">
        <v>382</v>
      </c>
      <c r="T395" s="5"/>
      <c r="U395" s="5" t="s">
        <v>383</v>
      </c>
      <c r="V395" s="5" t="s">
        <v>3853</v>
      </c>
      <c r="W395" s="5"/>
      <c r="X395" s="13" t="s">
        <v>385</v>
      </c>
      <c r="Y395" s="5"/>
    </row>
    <row r="396" customFormat="false" ht="15" hidden="false" customHeight="false" outlineLevel="0" collapsed="false">
      <c r="A396" s="5" t="s">
        <v>3890</v>
      </c>
      <c r="B396" s="5" t="s">
        <v>305</v>
      </c>
      <c r="C396" s="5" t="s">
        <v>306</v>
      </c>
      <c r="D396" s="10" t="s">
        <v>56</v>
      </c>
      <c r="E396" s="5" t="n">
        <v>6</v>
      </c>
      <c r="F396" s="5" t="s">
        <v>3891</v>
      </c>
      <c r="G396" s="11" t="s">
        <v>3892</v>
      </c>
      <c r="H396" s="5" t="s">
        <v>3893</v>
      </c>
      <c r="I396" s="11" t="s">
        <v>3894</v>
      </c>
      <c r="J396" s="5" t="s">
        <v>3895</v>
      </c>
      <c r="K396" s="5" t="s">
        <v>3896</v>
      </c>
      <c r="L396" s="11" t="s">
        <v>3897</v>
      </c>
      <c r="M396" s="11" t="s">
        <v>3898</v>
      </c>
      <c r="N396" s="5" t="n">
        <f aca="false">LEN(L396)</f>
        <v>25</v>
      </c>
      <c r="O396" s="5" t="n">
        <f aca="false">LEN(M396)</f>
        <v>25</v>
      </c>
      <c r="P396" s="12" t="n">
        <f aca="false">IF(N396=0,"",(N396-LEN(SUBSTITUTE(SUBSTITUTE(L396,"G",""),"C","")))/N396)</f>
        <v>0.48</v>
      </c>
      <c r="Q396" s="12" t="n">
        <f aca="false">IF(O396=0,"",(O396-LEN(SUBSTITUTE(SUBSTITUTE(M396,"G",""),"C","")))/O396)</f>
        <v>0.72</v>
      </c>
      <c r="R396" s="5"/>
      <c r="S396" s="5" t="s">
        <v>382</v>
      </c>
      <c r="T396" s="5"/>
      <c r="U396" s="5" t="s">
        <v>383</v>
      </c>
      <c r="V396" s="5" t="s">
        <v>3853</v>
      </c>
      <c r="W396" s="5"/>
      <c r="X396" s="13" t="s">
        <v>385</v>
      </c>
      <c r="Y396" s="5"/>
    </row>
    <row r="397" customFormat="false" ht="15" hidden="false" customHeight="false" outlineLevel="0" collapsed="false">
      <c r="A397" s="5" t="s">
        <v>3899</v>
      </c>
      <c r="B397" s="5" t="s">
        <v>311</v>
      </c>
      <c r="C397" s="5" t="s">
        <v>96</v>
      </c>
      <c r="D397" s="10" t="s">
        <v>56</v>
      </c>
      <c r="E397" s="5" t="n">
        <v>1</v>
      </c>
      <c r="F397" s="5" t="s">
        <v>3900</v>
      </c>
      <c r="G397" s="11" t="s">
        <v>3901</v>
      </c>
      <c r="H397" s="5" t="s">
        <v>3902</v>
      </c>
      <c r="I397" s="11" t="s">
        <v>3903</v>
      </c>
      <c r="J397" s="5" t="s">
        <v>3904</v>
      </c>
      <c r="K397" s="5" t="s">
        <v>3905</v>
      </c>
      <c r="L397" s="11" t="s">
        <v>3906</v>
      </c>
      <c r="M397" s="11" t="s">
        <v>3907</v>
      </c>
      <c r="N397" s="5" t="n">
        <f aca="false">LEN(L397)</f>
        <v>25</v>
      </c>
      <c r="O397" s="5" t="n">
        <f aca="false">LEN(M397)</f>
        <v>25</v>
      </c>
      <c r="P397" s="12" t="n">
        <f aca="false">IF(N397=0,"",(N397-LEN(SUBSTITUTE(SUBSTITUTE(L397,"G",""),"C","")))/N397)</f>
        <v>0.28</v>
      </c>
      <c r="Q397" s="12" t="n">
        <f aca="false">IF(O397=0,"",(O397-LEN(SUBSTITUTE(SUBSTITUTE(M397,"G",""),"C","")))/O397)</f>
        <v>0.4</v>
      </c>
      <c r="R397" s="5"/>
      <c r="S397" s="5" t="s">
        <v>382</v>
      </c>
      <c r="T397" s="5"/>
      <c r="U397" s="5" t="s">
        <v>383</v>
      </c>
      <c r="V397" s="5" t="s">
        <v>931</v>
      </c>
      <c r="W397" s="5"/>
      <c r="X397" s="13" t="s">
        <v>385</v>
      </c>
      <c r="Y397" s="5"/>
    </row>
    <row r="398" customFormat="false" ht="15" hidden="false" customHeight="false" outlineLevel="0" collapsed="false">
      <c r="A398" s="5" t="s">
        <v>3908</v>
      </c>
      <c r="B398" s="5" t="s">
        <v>311</v>
      </c>
      <c r="C398" s="5" t="s">
        <v>96</v>
      </c>
      <c r="D398" s="10" t="s">
        <v>56</v>
      </c>
      <c r="E398" s="5" t="n">
        <v>2</v>
      </c>
      <c r="F398" s="5" t="s">
        <v>3909</v>
      </c>
      <c r="G398" s="11" t="s">
        <v>3910</v>
      </c>
      <c r="H398" s="5" t="s">
        <v>3911</v>
      </c>
      <c r="I398" s="11" t="s">
        <v>3912</v>
      </c>
      <c r="J398" s="5" t="s">
        <v>3913</v>
      </c>
      <c r="K398" s="5" t="s">
        <v>3914</v>
      </c>
      <c r="L398" s="11" t="s">
        <v>3915</v>
      </c>
      <c r="M398" s="11" t="s">
        <v>3916</v>
      </c>
      <c r="N398" s="5" t="n">
        <f aca="false">LEN(L398)</f>
        <v>25</v>
      </c>
      <c r="O398" s="5" t="n">
        <f aca="false">LEN(M398)</f>
        <v>25</v>
      </c>
      <c r="P398" s="12" t="n">
        <f aca="false">IF(N398=0,"",(N398-LEN(SUBSTITUTE(SUBSTITUTE(L398,"G",""),"C","")))/N398)</f>
        <v>0.4</v>
      </c>
      <c r="Q398" s="12" t="n">
        <f aca="false">IF(O398=0,"",(O398-LEN(SUBSTITUTE(SUBSTITUTE(M398,"G",""),"C","")))/O398)</f>
        <v>0.48</v>
      </c>
      <c r="R398" s="5"/>
      <c r="S398" s="5" t="s">
        <v>382</v>
      </c>
      <c r="T398" s="5"/>
      <c r="U398" s="5" t="s">
        <v>383</v>
      </c>
      <c r="V398" s="5" t="s">
        <v>931</v>
      </c>
      <c r="W398" s="5"/>
      <c r="X398" s="13" t="s">
        <v>385</v>
      </c>
      <c r="Y398" s="5"/>
    </row>
    <row r="399" customFormat="false" ht="15" hidden="false" customHeight="false" outlineLevel="0" collapsed="false">
      <c r="A399" s="5" t="s">
        <v>3917</v>
      </c>
      <c r="B399" s="5" t="s">
        <v>311</v>
      </c>
      <c r="C399" s="5" t="s">
        <v>96</v>
      </c>
      <c r="D399" s="10" t="s">
        <v>56</v>
      </c>
      <c r="E399" s="5" t="n">
        <v>3</v>
      </c>
      <c r="F399" s="5" t="s">
        <v>3918</v>
      </c>
      <c r="G399" s="11" t="s">
        <v>3919</v>
      </c>
      <c r="H399" s="5" t="s">
        <v>3920</v>
      </c>
      <c r="I399" s="11" t="s">
        <v>3921</v>
      </c>
      <c r="J399" s="5" t="s">
        <v>3922</v>
      </c>
      <c r="K399" s="5" t="s">
        <v>3923</v>
      </c>
      <c r="L399" s="11" t="s">
        <v>3924</v>
      </c>
      <c r="M399" s="11" t="s">
        <v>3925</v>
      </c>
      <c r="N399" s="5" t="n">
        <f aca="false">LEN(L399)</f>
        <v>25</v>
      </c>
      <c r="O399" s="5" t="n">
        <f aca="false">LEN(M399)</f>
        <v>25</v>
      </c>
      <c r="P399" s="12" t="n">
        <f aca="false">IF(N399=0,"",(N399-LEN(SUBSTITUTE(SUBSTITUTE(L399,"G",""),"C","")))/N399)</f>
        <v>0.56</v>
      </c>
      <c r="Q399" s="12" t="n">
        <f aca="false">IF(O399=0,"",(O399-LEN(SUBSTITUTE(SUBSTITUTE(M399,"G",""),"C","")))/O399)</f>
        <v>0.4</v>
      </c>
      <c r="R399" s="5"/>
      <c r="S399" s="5" t="s">
        <v>382</v>
      </c>
      <c r="T399" s="5"/>
      <c r="U399" s="5" t="s">
        <v>383</v>
      </c>
      <c r="V399" s="5" t="s">
        <v>931</v>
      </c>
      <c r="W399" s="5"/>
      <c r="X399" s="13" t="s">
        <v>385</v>
      </c>
      <c r="Y399" s="5"/>
    </row>
    <row r="400" customFormat="false" ht="15" hidden="false" customHeight="false" outlineLevel="0" collapsed="false">
      <c r="A400" s="5" t="s">
        <v>3926</v>
      </c>
      <c r="B400" s="5" t="s">
        <v>311</v>
      </c>
      <c r="C400" s="5" t="s">
        <v>96</v>
      </c>
      <c r="D400" s="10" t="s">
        <v>56</v>
      </c>
      <c r="E400" s="5" t="n">
        <v>4</v>
      </c>
      <c r="F400" s="5" t="s">
        <v>3927</v>
      </c>
      <c r="G400" s="11" t="s">
        <v>3928</v>
      </c>
      <c r="H400" s="5" t="s">
        <v>3929</v>
      </c>
      <c r="I400" s="11" t="s">
        <v>3930</v>
      </c>
      <c r="J400" s="5" t="s">
        <v>3931</v>
      </c>
      <c r="K400" s="5" t="s">
        <v>3932</v>
      </c>
      <c r="L400" s="11" t="s">
        <v>3933</v>
      </c>
      <c r="M400" s="11" t="s">
        <v>3934</v>
      </c>
      <c r="N400" s="5" t="n">
        <f aca="false">LEN(L400)</f>
        <v>25</v>
      </c>
      <c r="O400" s="5" t="n">
        <f aca="false">LEN(M400)</f>
        <v>25</v>
      </c>
      <c r="P400" s="12" t="n">
        <f aca="false">IF(N400=0,"",(N400-LEN(SUBSTITUTE(SUBSTITUTE(L400,"G",""),"C","")))/N400)</f>
        <v>0.44</v>
      </c>
      <c r="Q400" s="12" t="n">
        <f aca="false">IF(O400=0,"",(O400-LEN(SUBSTITUTE(SUBSTITUTE(M400,"G",""),"C","")))/O400)</f>
        <v>0.48</v>
      </c>
      <c r="R400" s="5"/>
      <c r="S400" s="5" t="s">
        <v>382</v>
      </c>
      <c r="T400" s="5"/>
      <c r="U400" s="5" t="s">
        <v>383</v>
      </c>
      <c r="V400" s="5" t="s">
        <v>931</v>
      </c>
      <c r="W400" s="5"/>
      <c r="X400" s="13" t="s">
        <v>385</v>
      </c>
      <c r="Y400" s="5"/>
    </row>
    <row r="401" customFormat="false" ht="15" hidden="false" customHeight="false" outlineLevel="0" collapsed="false">
      <c r="A401" s="5" t="s">
        <v>3935</v>
      </c>
      <c r="B401" s="5" t="s">
        <v>311</v>
      </c>
      <c r="C401" s="5" t="s">
        <v>96</v>
      </c>
      <c r="D401" s="10" t="s">
        <v>56</v>
      </c>
      <c r="E401" s="5" t="n">
        <v>5</v>
      </c>
      <c r="F401" s="5" t="s">
        <v>3936</v>
      </c>
      <c r="G401" s="11" t="s">
        <v>3937</v>
      </c>
      <c r="H401" s="5" t="s">
        <v>3938</v>
      </c>
      <c r="I401" s="11" t="s">
        <v>3939</v>
      </c>
      <c r="J401" s="5" t="s">
        <v>3940</v>
      </c>
      <c r="K401" s="5" t="s">
        <v>3941</v>
      </c>
      <c r="L401" s="11" t="s">
        <v>3942</v>
      </c>
      <c r="M401" s="11" t="s">
        <v>3943</v>
      </c>
      <c r="N401" s="5" t="n">
        <f aca="false">LEN(L401)</f>
        <v>25</v>
      </c>
      <c r="O401" s="5" t="n">
        <f aca="false">LEN(M401)</f>
        <v>25</v>
      </c>
      <c r="P401" s="12" t="n">
        <f aca="false">IF(N401=0,"",(N401-LEN(SUBSTITUTE(SUBSTITUTE(L401,"G",""),"C","")))/N401)</f>
        <v>0.52</v>
      </c>
      <c r="Q401" s="12" t="n">
        <f aca="false">IF(O401=0,"",(O401-LEN(SUBSTITUTE(SUBSTITUTE(M401,"G",""),"C","")))/O401)</f>
        <v>0.44</v>
      </c>
      <c r="R401" s="5"/>
      <c r="S401" s="5" t="s">
        <v>382</v>
      </c>
      <c r="T401" s="5"/>
      <c r="U401" s="5" t="s">
        <v>383</v>
      </c>
      <c r="V401" s="5" t="s">
        <v>931</v>
      </c>
      <c r="W401" s="5"/>
      <c r="X401" s="13" t="s">
        <v>385</v>
      </c>
      <c r="Y401" s="5"/>
    </row>
    <row r="402" customFormat="false" ht="15" hidden="false" customHeight="false" outlineLevel="0" collapsed="false">
      <c r="A402" s="5" t="s">
        <v>3944</v>
      </c>
      <c r="B402" s="5" t="s">
        <v>311</v>
      </c>
      <c r="C402" s="5" t="s">
        <v>96</v>
      </c>
      <c r="D402" s="10" t="s">
        <v>56</v>
      </c>
      <c r="E402" s="5" t="n">
        <v>6</v>
      </c>
      <c r="F402" s="5" t="s">
        <v>3945</v>
      </c>
      <c r="G402" s="11" t="s">
        <v>3946</v>
      </c>
      <c r="H402" s="5" t="s">
        <v>3947</v>
      </c>
      <c r="I402" s="11" t="s">
        <v>3948</v>
      </c>
      <c r="J402" s="5" t="s">
        <v>3949</v>
      </c>
      <c r="K402" s="5" t="s">
        <v>3950</v>
      </c>
      <c r="L402" s="11" t="s">
        <v>3951</v>
      </c>
      <c r="M402" s="11" t="s">
        <v>3952</v>
      </c>
      <c r="N402" s="5" t="n">
        <f aca="false">LEN(L402)</f>
        <v>25</v>
      </c>
      <c r="O402" s="5" t="n">
        <f aca="false">LEN(M402)</f>
        <v>25</v>
      </c>
      <c r="P402" s="12" t="n">
        <f aca="false">IF(N402=0,"",(N402-LEN(SUBSTITUTE(SUBSTITUTE(L402,"G",""),"C","")))/N402)</f>
        <v>0.4</v>
      </c>
      <c r="Q402" s="12" t="n">
        <f aca="false">IF(O402=0,"",(O402-LEN(SUBSTITUTE(SUBSTITUTE(M402,"G",""),"C","")))/O402)</f>
        <v>0.32</v>
      </c>
      <c r="R402" s="5"/>
      <c r="S402" s="5" t="s">
        <v>382</v>
      </c>
      <c r="T402" s="5"/>
      <c r="U402" s="5" t="s">
        <v>383</v>
      </c>
      <c r="V402" s="5" t="s">
        <v>931</v>
      </c>
      <c r="W402" s="5"/>
      <c r="X402" s="13" t="s">
        <v>385</v>
      </c>
      <c r="Y402" s="5"/>
    </row>
    <row r="403" customFormat="false" ht="15" hidden="false" customHeight="false" outlineLevel="0" collapsed="false">
      <c r="A403" s="5" t="s">
        <v>3953</v>
      </c>
      <c r="B403" s="5" t="s">
        <v>312</v>
      </c>
      <c r="C403" s="5" t="s">
        <v>313</v>
      </c>
      <c r="D403" s="10" t="s">
        <v>56</v>
      </c>
      <c r="E403" s="5" t="n">
        <v>1</v>
      </c>
      <c r="F403" s="5" t="s">
        <v>3954</v>
      </c>
      <c r="G403" s="11" t="s">
        <v>3955</v>
      </c>
      <c r="H403" s="5" t="s">
        <v>3956</v>
      </c>
      <c r="I403" s="11" t="s">
        <v>3957</v>
      </c>
      <c r="J403" s="5" t="s">
        <v>3958</v>
      </c>
      <c r="K403" s="5" t="s">
        <v>3959</v>
      </c>
      <c r="L403" s="11" t="s">
        <v>3960</v>
      </c>
      <c r="M403" s="11" t="s">
        <v>3961</v>
      </c>
      <c r="N403" s="5" t="n">
        <f aca="false">LEN(L403)</f>
        <v>25</v>
      </c>
      <c r="O403" s="5" t="n">
        <f aca="false">LEN(M403)</f>
        <v>25</v>
      </c>
      <c r="P403" s="12" t="n">
        <f aca="false">IF(N403=0,"",(N403-LEN(SUBSTITUTE(SUBSTITUTE(L403,"G",""),"C","")))/N403)</f>
        <v>0.4</v>
      </c>
      <c r="Q403" s="12" t="n">
        <f aca="false">IF(O403=0,"",(O403-LEN(SUBSTITUTE(SUBSTITUTE(M403,"G",""),"C","")))/O403)</f>
        <v>0.8</v>
      </c>
      <c r="R403" s="5"/>
      <c r="S403" s="5" t="s">
        <v>382</v>
      </c>
      <c r="T403" s="5"/>
      <c r="U403" s="5" t="s">
        <v>383</v>
      </c>
      <c r="V403" s="5" t="s">
        <v>3962</v>
      </c>
      <c r="W403" s="5"/>
      <c r="X403" s="13" t="s">
        <v>385</v>
      </c>
      <c r="Y403" s="7" t="s">
        <v>3963</v>
      </c>
    </row>
    <row r="404" customFormat="false" ht="15" hidden="false" customHeight="false" outlineLevel="0" collapsed="false">
      <c r="A404" s="5" t="s">
        <v>3964</v>
      </c>
      <c r="B404" s="5" t="s">
        <v>312</v>
      </c>
      <c r="C404" s="5" t="s">
        <v>313</v>
      </c>
      <c r="D404" s="10" t="s">
        <v>56</v>
      </c>
      <c r="E404" s="5" t="n">
        <v>2</v>
      </c>
      <c r="F404" s="5" t="s">
        <v>3965</v>
      </c>
      <c r="G404" s="11" t="s">
        <v>3966</v>
      </c>
      <c r="H404" s="5" t="s">
        <v>3967</v>
      </c>
      <c r="I404" s="11" t="s">
        <v>3968</v>
      </c>
      <c r="J404" s="5" t="s">
        <v>3969</v>
      </c>
      <c r="K404" s="5" t="s">
        <v>3970</v>
      </c>
      <c r="L404" s="11" t="s">
        <v>3971</v>
      </c>
      <c r="M404" s="11" t="s">
        <v>3972</v>
      </c>
      <c r="N404" s="5" t="n">
        <f aca="false">LEN(L404)</f>
        <v>25</v>
      </c>
      <c r="O404" s="5" t="n">
        <f aca="false">LEN(M404)</f>
        <v>25</v>
      </c>
      <c r="P404" s="12" t="n">
        <f aca="false">IF(N404=0,"",(N404-LEN(SUBSTITUTE(SUBSTITUTE(L404,"G",""),"C","")))/N404)</f>
        <v>0.52</v>
      </c>
      <c r="Q404" s="12" t="n">
        <f aca="false">IF(O404=0,"",(O404-LEN(SUBSTITUTE(SUBSTITUTE(M404,"G",""),"C","")))/O404)</f>
        <v>0.64</v>
      </c>
      <c r="R404" s="5"/>
      <c r="S404" s="5" t="s">
        <v>382</v>
      </c>
      <c r="T404" s="5"/>
      <c r="U404" s="5" t="s">
        <v>383</v>
      </c>
      <c r="V404" s="5" t="s">
        <v>3962</v>
      </c>
      <c r="W404" s="5"/>
      <c r="X404" s="13" t="s">
        <v>385</v>
      </c>
      <c r="Y404" s="7" t="s">
        <v>3963</v>
      </c>
    </row>
    <row r="405" customFormat="false" ht="15" hidden="false" customHeight="false" outlineLevel="0" collapsed="false">
      <c r="A405" s="5" t="s">
        <v>3973</v>
      </c>
      <c r="B405" s="5" t="s">
        <v>312</v>
      </c>
      <c r="C405" s="5" t="s">
        <v>313</v>
      </c>
      <c r="D405" s="10" t="s">
        <v>56</v>
      </c>
      <c r="E405" s="5" t="n">
        <v>3</v>
      </c>
      <c r="F405" s="5" t="s">
        <v>3974</v>
      </c>
      <c r="G405" s="11" t="s">
        <v>3975</v>
      </c>
      <c r="H405" s="5" t="s">
        <v>3976</v>
      </c>
      <c r="I405" s="11" t="s">
        <v>3977</v>
      </c>
      <c r="J405" s="5" t="s">
        <v>3978</v>
      </c>
      <c r="K405" s="5" t="s">
        <v>3979</v>
      </c>
      <c r="L405" s="11" t="s">
        <v>3980</v>
      </c>
      <c r="M405" s="11" t="s">
        <v>3981</v>
      </c>
      <c r="N405" s="5" t="n">
        <f aca="false">LEN(L405)</f>
        <v>25</v>
      </c>
      <c r="O405" s="5" t="n">
        <f aca="false">LEN(M405)</f>
        <v>25</v>
      </c>
      <c r="P405" s="12" t="n">
        <f aca="false">IF(N405=0,"",(N405-LEN(SUBSTITUTE(SUBSTITUTE(L405,"G",""),"C","")))/N405)</f>
        <v>0.64</v>
      </c>
      <c r="Q405" s="12" t="n">
        <f aca="false">IF(O405=0,"",(O405-LEN(SUBSTITUTE(SUBSTITUTE(M405,"G",""),"C","")))/O405)</f>
        <v>0.52</v>
      </c>
      <c r="R405" s="5"/>
      <c r="S405" s="5" t="s">
        <v>382</v>
      </c>
      <c r="T405" s="5"/>
      <c r="U405" s="5" t="s">
        <v>383</v>
      </c>
      <c r="V405" s="5" t="s">
        <v>3962</v>
      </c>
      <c r="W405" s="5"/>
      <c r="X405" s="13" t="s">
        <v>385</v>
      </c>
      <c r="Y405" s="7" t="s">
        <v>3963</v>
      </c>
    </row>
    <row r="406" customFormat="false" ht="15" hidden="false" customHeight="false" outlineLevel="0" collapsed="false">
      <c r="A406" s="5" t="s">
        <v>3982</v>
      </c>
      <c r="B406" s="5" t="s">
        <v>312</v>
      </c>
      <c r="C406" s="5" t="s">
        <v>313</v>
      </c>
      <c r="D406" s="10" t="s">
        <v>56</v>
      </c>
      <c r="E406" s="5" t="n">
        <v>4</v>
      </c>
      <c r="F406" s="5" t="s">
        <v>3983</v>
      </c>
      <c r="G406" s="11" t="s">
        <v>3984</v>
      </c>
      <c r="H406" s="5" t="s">
        <v>3985</v>
      </c>
      <c r="I406" s="11" t="s">
        <v>3986</v>
      </c>
      <c r="J406" s="5" t="s">
        <v>3987</v>
      </c>
      <c r="K406" s="5" t="s">
        <v>3988</v>
      </c>
      <c r="L406" s="11" t="s">
        <v>3989</v>
      </c>
      <c r="M406" s="11" t="s">
        <v>3990</v>
      </c>
      <c r="N406" s="5" t="n">
        <f aca="false">LEN(L406)</f>
        <v>25</v>
      </c>
      <c r="O406" s="5" t="n">
        <f aca="false">LEN(M406)</f>
        <v>25</v>
      </c>
      <c r="P406" s="12" t="n">
        <f aca="false">IF(N406=0,"",(N406-LEN(SUBSTITUTE(SUBSTITUTE(L406,"G",""),"C","")))/N406)</f>
        <v>0.68</v>
      </c>
      <c r="Q406" s="12" t="n">
        <f aca="false">IF(O406=0,"",(O406-LEN(SUBSTITUTE(SUBSTITUTE(M406,"G",""),"C","")))/O406)</f>
        <v>0.68</v>
      </c>
      <c r="R406" s="5"/>
      <c r="S406" s="5" t="s">
        <v>382</v>
      </c>
      <c r="T406" s="5"/>
      <c r="U406" s="5" t="s">
        <v>383</v>
      </c>
      <c r="V406" s="5" t="s">
        <v>3962</v>
      </c>
      <c r="W406" s="5"/>
      <c r="X406" s="13" t="s">
        <v>385</v>
      </c>
      <c r="Y406" s="7" t="s">
        <v>3963</v>
      </c>
    </row>
    <row r="407" customFormat="false" ht="15" hidden="false" customHeight="false" outlineLevel="0" collapsed="false">
      <c r="A407" s="5" t="s">
        <v>3991</v>
      </c>
      <c r="B407" s="5" t="s">
        <v>312</v>
      </c>
      <c r="C407" s="5" t="s">
        <v>313</v>
      </c>
      <c r="D407" s="10" t="s">
        <v>56</v>
      </c>
      <c r="E407" s="5" t="n">
        <v>5</v>
      </c>
      <c r="F407" s="5" t="s">
        <v>3992</v>
      </c>
      <c r="G407" s="11" t="s">
        <v>3993</v>
      </c>
      <c r="H407" s="5" t="s">
        <v>3994</v>
      </c>
      <c r="I407" s="11" t="s">
        <v>3995</v>
      </c>
      <c r="J407" s="5" t="s">
        <v>3996</v>
      </c>
      <c r="K407" s="5" t="s">
        <v>3997</v>
      </c>
      <c r="L407" s="11" t="s">
        <v>3998</v>
      </c>
      <c r="M407" s="11" t="s">
        <v>3999</v>
      </c>
      <c r="N407" s="5" t="n">
        <f aca="false">LEN(L407)</f>
        <v>25</v>
      </c>
      <c r="O407" s="5" t="n">
        <f aca="false">LEN(M407)</f>
        <v>25</v>
      </c>
      <c r="P407" s="12" t="n">
        <f aca="false">IF(N407=0,"",(N407-LEN(SUBSTITUTE(SUBSTITUTE(L407,"G",""),"C","")))/N407)</f>
        <v>0.52</v>
      </c>
      <c r="Q407" s="12" t="n">
        <f aca="false">IF(O407=0,"",(O407-LEN(SUBSTITUTE(SUBSTITUTE(M407,"G",""),"C","")))/O407)</f>
        <v>0.36</v>
      </c>
      <c r="R407" s="5"/>
      <c r="S407" s="5" t="s">
        <v>382</v>
      </c>
      <c r="T407" s="5"/>
      <c r="U407" s="5" t="s">
        <v>383</v>
      </c>
      <c r="V407" s="5" t="s">
        <v>3962</v>
      </c>
      <c r="W407" s="5"/>
      <c r="X407" s="13" t="s">
        <v>385</v>
      </c>
      <c r="Y407" s="7" t="s">
        <v>3963</v>
      </c>
    </row>
    <row r="408" customFormat="false" ht="15" hidden="false" customHeight="false" outlineLevel="0" collapsed="false">
      <c r="A408" s="5" t="s">
        <v>4000</v>
      </c>
      <c r="B408" s="5" t="s">
        <v>312</v>
      </c>
      <c r="C408" s="5" t="s">
        <v>313</v>
      </c>
      <c r="D408" s="10" t="s">
        <v>56</v>
      </c>
      <c r="E408" s="5" t="n">
        <v>6</v>
      </c>
      <c r="F408" s="5" t="s">
        <v>4001</v>
      </c>
      <c r="G408" s="11" t="s">
        <v>4002</v>
      </c>
      <c r="H408" s="5" t="s">
        <v>4003</v>
      </c>
      <c r="I408" s="11" t="s">
        <v>4004</v>
      </c>
      <c r="J408" s="5" t="s">
        <v>4005</v>
      </c>
      <c r="K408" s="5" t="s">
        <v>4006</v>
      </c>
      <c r="L408" s="11" t="s">
        <v>4007</v>
      </c>
      <c r="M408" s="11" t="s">
        <v>4008</v>
      </c>
      <c r="N408" s="5" t="n">
        <f aca="false">LEN(L408)</f>
        <v>25</v>
      </c>
      <c r="O408" s="5" t="n">
        <f aca="false">LEN(M408)</f>
        <v>25</v>
      </c>
      <c r="P408" s="12" t="n">
        <f aca="false">IF(N408=0,"",(N408-LEN(SUBSTITUTE(SUBSTITUTE(L408,"G",""),"C","")))/N408)</f>
        <v>0.44</v>
      </c>
      <c r="Q408" s="12" t="n">
        <f aca="false">IF(O408=0,"",(O408-LEN(SUBSTITUTE(SUBSTITUTE(M408,"G",""),"C","")))/O408)</f>
        <v>0.56</v>
      </c>
      <c r="R408" s="5"/>
      <c r="S408" s="5" t="s">
        <v>382</v>
      </c>
      <c r="T408" s="5"/>
      <c r="U408" s="5" t="s">
        <v>383</v>
      </c>
      <c r="V408" s="5" t="s">
        <v>3962</v>
      </c>
      <c r="W408" s="5"/>
      <c r="X408" s="13" t="s">
        <v>385</v>
      </c>
      <c r="Y408" s="7" t="s">
        <v>3963</v>
      </c>
    </row>
    <row r="409" customFormat="false" ht="15" hidden="false" customHeight="false" outlineLevel="0" collapsed="false">
      <c r="A409" s="5" t="s">
        <v>4009</v>
      </c>
      <c r="B409" s="5" t="s">
        <v>312</v>
      </c>
      <c r="C409" s="5" t="s">
        <v>313</v>
      </c>
      <c r="D409" s="10" t="s">
        <v>56</v>
      </c>
      <c r="E409" s="5" t="n">
        <v>7</v>
      </c>
      <c r="F409" s="5" t="s">
        <v>4010</v>
      </c>
      <c r="G409" s="11" t="s">
        <v>4011</v>
      </c>
      <c r="H409" s="5" t="s">
        <v>4012</v>
      </c>
      <c r="I409" s="11" t="s">
        <v>4013</v>
      </c>
      <c r="J409" s="5" t="s">
        <v>4014</v>
      </c>
      <c r="K409" s="5" t="s">
        <v>4015</v>
      </c>
      <c r="L409" s="11" t="s">
        <v>4016</v>
      </c>
      <c r="M409" s="11" t="s">
        <v>4017</v>
      </c>
      <c r="N409" s="5" t="n">
        <f aca="false">LEN(L409)</f>
        <v>25</v>
      </c>
      <c r="O409" s="5" t="n">
        <f aca="false">LEN(M409)</f>
        <v>25</v>
      </c>
      <c r="P409" s="12" t="n">
        <f aca="false">IF(N409=0,"",(N409-LEN(SUBSTITUTE(SUBSTITUTE(L409,"G",""),"C","")))/N409)</f>
        <v>0.56</v>
      </c>
      <c r="Q409" s="12" t="n">
        <f aca="false">IF(O409=0,"",(O409-LEN(SUBSTITUTE(SUBSTITUTE(M409,"G",""),"C","")))/O409)</f>
        <v>0.44</v>
      </c>
      <c r="R409" s="5"/>
      <c r="S409" s="5" t="s">
        <v>382</v>
      </c>
      <c r="T409" s="5"/>
      <c r="U409" s="5" t="s">
        <v>383</v>
      </c>
      <c r="V409" s="5" t="s">
        <v>3962</v>
      </c>
      <c r="W409" s="5"/>
      <c r="X409" s="13" t="s">
        <v>385</v>
      </c>
      <c r="Y409" s="5"/>
    </row>
    <row r="410" customFormat="false" ht="15" hidden="false" customHeight="false" outlineLevel="0" collapsed="false">
      <c r="A410" s="5" t="s">
        <v>4018</v>
      </c>
      <c r="B410" s="5" t="s">
        <v>312</v>
      </c>
      <c r="C410" s="5" t="s">
        <v>313</v>
      </c>
      <c r="D410" s="10" t="s">
        <v>56</v>
      </c>
      <c r="E410" s="5" t="n">
        <v>8</v>
      </c>
      <c r="F410" s="5" t="s">
        <v>4019</v>
      </c>
      <c r="G410" s="11" t="s">
        <v>4020</v>
      </c>
      <c r="H410" s="5" t="s">
        <v>4021</v>
      </c>
      <c r="I410" s="11" t="s">
        <v>4022</v>
      </c>
      <c r="J410" s="5" t="s">
        <v>4023</v>
      </c>
      <c r="K410" s="5" t="s">
        <v>4024</v>
      </c>
      <c r="L410" s="11" t="s">
        <v>4025</v>
      </c>
      <c r="M410" s="11" t="s">
        <v>4026</v>
      </c>
      <c r="N410" s="5" t="n">
        <f aca="false">LEN(L410)</f>
        <v>25</v>
      </c>
      <c r="O410" s="5" t="n">
        <f aca="false">LEN(M410)</f>
        <v>25</v>
      </c>
      <c r="P410" s="12" t="n">
        <f aca="false">IF(N410=0,"",(N410-LEN(SUBSTITUTE(SUBSTITUTE(L410,"G",""),"C","")))/N410)</f>
        <v>0.6</v>
      </c>
      <c r="Q410" s="12" t="n">
        <f aca="false">IF(O410=0,"",(O410-LEN(SUBSTITUTE(SUBSTITUTE(M410,"G",""),"C","")))/O410)</f>
        <v>0.56</v>
      </c>
      <c r="R410" s="5"/>
      <c r="S410" s="5" t="s">
        <v>382</v>
      </c>
      <c r="T410" s="5"/>
      <c r="U410" s="5" t="s">
        <v>383</v>
      </c>
      <c r="V410" s="5" t="s">
        <v>3962</v>
      </c>
      <c r="W410" s="5"/>
      <c r="X410" s="13" t="s">
        <v>385</v>
      </c>
      <c r="Y410" s="5"/>
    </row>
    <row r="411" customFormat="false" ht="15" hidden="false" customHeight="false" outlineLevel="0" collapsed="false">
      <c r="A411" s="5" t="s">
        <v>4027</v>
      </c>
      <c r="B411" s="5" t="s">
        <v>312</v>
      </c>
      <c r="C411" s="5" t="s">
        <v>313</v>
      </c>
      <c r="D411" s="10" t="s">
        <v>56</v>
      </c>
      <c r="E411" s="5" t="n">
        <v>9</v>
      </c>
      <c r="F411" s="5" t="s">
        <v>4028</v>
      </c>
      <c r="G411" s="11" t="s">
        <v>4029</v>
      </c>
      <c r="H411" s="5" t="s">
        <v>4030</v>
      </c>
      <c r="I411" s="11" t="s">
        <v>4031</v>
      </c>
      <c r="J411" s="5" t="s">
        <v>4032</v>
      </c>
      <c r="K411" s="5" t="s">
        <v>4033</v>
      </c>
      <c r="L411" s="11" t="s">
        <v>4034</v>
      </c>
      <c r="M411" s="11" t="s">
        <v>4035</v>
      </c>
      <c r="N411" s="5" t="n">
        <f aca="false">LEN(L411)</f>
        <v>25</v>
      </c>
      <c r="O411" s="5" t="n">
        <f aca="false">LEN(M411)</f>
        <v>25</v>
      </c>
      <c r="P411" s="12" t="n">
        <f aca="false">IF(N411=0,"",(N411-LEN(SUBSTITUTE(SUBSTITUTE(L411,"G",""),"C","")))/N411)</f>
        <v>0.6</v>
      </c>
      <c r="Q411" s="12" t="n">
        <f aca="false">IF(O411=0,"",(O411-LEN(SUBSTITUTE(SUBSTITUTE(M411,"G",""),"C","")))/O411)</f>
        <v>0.68</v>
      </c>
      <c r="R411" s="5"/>
      <c r="S411" s="5" t="s">
        <v>382</v>
      </c>
      <c r="T411" s="5"/>
      <c r="U411" s="5" t="s">
        <v>383</v>
      </c>
      <c r="V411" s="5" t="s">
        <v>3962</v>
      </c>
      <c r="W411" s="5"/>
      <c r="X411" s="13" t="s">
        <v>385</v>
      </c>
      <c r="Y411" s="5"/>
    </row>
    <row r="412" customFormat="false" ht="15" hidden="false" customHeight="false" outlineLevel="0" collapsed="false">
      <c r="A412" s="5" t="s">
        <v>4036</v>
      </c>
      <c r="B412" s="5" t="s">
        <v>312</v>
      </c>
      <c r="C412" s="5" t="s">
        <v>313</v>
      </c>
      <c r="D412" s="10" t="s">
        <v>56</v>
      </c>
      <c r="E412" s="5" t="n">
        <v>10</v>
      </c>
      <c r="F412" s="5" t="s">
        <v>4037</v>
      </c>
      <c r="G412" s="11" t="s">
        <v>4038</v>
      </c>
      <c r="H412" s="5" t="s">
        <v>4039</v>
      </c>
      <c r="I412" s="11" t="s">
        <v>4040</v>
      </c>
      <c r="J412" s="5" t="s">
        <v>4041</v>
      </c>
      <c r="K412" s="5" t="s">
        <v>4042</v>
      </c>
      <c r="L412" s="11" t="s">
        <v>4043</v>
      </c>
      <c r="M412" s="11" t="s">
        <v>4044</v>
      </c>
      <c r="N412" s="5" t="n">
        <f aca="false">LEN(L412)</f>
        <v>25</v>
      </c>
      <c r="O412" s="5" t="n">
        <f aca="false">LEN(M412)</f>
        <v>25</v>
      </c>
      <c r="P412" s="12" t="n">
        <f aca="false">IF(N412=0,"",(N412-LEN(SUBSTITUTE(SUBSTITUTE(L412,"G",""),"C","")))/N412)</f>
        <v>0.72</v>
      </c>
      <c r="Q412" s="12" t="n">
        <f aca="false">IF(O412=0,"",(O412-LEN(SUBSTITUTE(SUBSTITUTE(M412,"G",""),"C","")))/O412)</f>
        <v>0.6</v>
      </c>
      <c r="R412" s="5"/>
      <c r="S412" s="5" t="s">
        <v>382</v>
      </c>
      <c r="T412" s="5"/>
      <c r="U412" s="5" t="s">
        <v>383</v>
      </c>
      <c r="V412" s="5" t="s">
        <v>3962</v>
      </c>
      <c r="W412" s="5"/>
      <c r="X412" s="13" t="s">
        <v>385</v>
      </c>
      <c r="Y412" s="5"/>
    </row>
    <row r="413" customFormat="false" ht="15" hidden="false" customHeight="false" outlineLevel="0" collapsed="false">
      <c r="A413" s="5" t="s">
        <v>4045</v>
      </c>
      <c r="B413" s="5" t="s">
        <v>312</v>
      </c>
      <c r="C413" s="5" t="s">
        <v>313</v>
      </c>
      <c r="D413" s="10" t="s">
        <v>56</v>
      </c>
      <c r="E413" s="5" t="n">
        <v>11</v>
      </c>
      <c r="F413" s="5" t="s">
        <v>4046</v>
      </c>
      <c r="G413" s="11" t="s">
        <v>4047</v>
      </c>
      <c r="H413" s="5" t="s">
        <v>4048</v>
      </c>
      <c r="I413" s="11" t="s">
        <v>4049</v>
      </c>
      <c r="J413" s="5" t="s">
        <v>4050</v>
      </c>
      <c r="K413" s="5" t="s">
        <v>4051</v>
      </c>
      <c r="L413" s="11" t="s">
        <v>4052</v>
      </c>
      <c r="M413" s="11" t="s">
        <v>4053</v>
      </c>
      <c r="N413" s="5" t="n">
        <f aca="false">LEN(L413)</f>
        <v>25</v>
      </c>
      <c r="O413" s="5" t="n">
        <f aca="false">LEN(M413)</f>
        <v>25</v>
      </c>
      <c r="P413" s="12" t="n">
        <f aca="false">IF(N413=0,"",(N413-LEN(SUBSTITUTE(SUBSTITUTE(L413,"G",""),"C","")))/N413)</f>
        <v>0.52</v>
      </c>
      <c r="Q413" s="12" t="n">
        <f aca="false">IF(O413=0,"",(O413-LEN(SUBSTITUTE(SUBSTITUTE(M413,"G",""),"C","")))/O413)</f>
        <v>0.48</v>
      </c>
      <c r="R413" s="5"/>
      <c r="S413" s="5" t="s">
        <v>382</v>
      </c>
      <c r="T413" s="5"/>
      <c r="U413" s="5" t="s">
        <v>383</v>
      </c>
      <c r="V413" s="5" t="s">
        <v>3962</v>
      </c>
      <c r="W413" s="5"/>
      <c r="X413" s="13" t="s">
        <v>385</v>
      </c>
      <c r="Y413" s="5"/>
    </row>
    <row r="414" customFormat="false" ht="15" hidden="false" customHeight="false" outlineLevel="0" collapsed="false">
      <c r="A414" s="5" t="s">
        <v>4054</v>
      </c>
      <c r="B414" s="5" t="s">
        <v>312</v>
      </c>
      <c r="C414" s="5" t="s">
        <v>313</v>
      </c>
      <c r="D414" s="10" t="s">
        <v>56</v>
      </c>
      <c r="E414" s="5" t="n">
        <v>12</v>
      </c>
      <c r="F414" s="5" t="s">
        <v>4055</v>
      </c>
      <c r="G414" s="11" t="s">
        <v>4056</v>
      </c>
      <c r="H414" s="5" t="s">
        <v>4057</v>
      </c>
      <c r="I414" s="11" t="s">
        <v>4058</v>
      </c>
      <c r="J414" s="5" t="s">
        <v>4059</v>
      </c>
      <c r="K414" s="5" t="s">
        <v>4060</v>
      </c>
      <c r="L414" s="11" t="s">
        <v>4061</v>
      </c>
      <c r="M414" s="11" t="s">
        <v>4062</v>
      </c>
      <c r="N414" s="5" t="n">
        <f aca="false">LEN(L414)</f>
        <v>25</v>
      </c>
      <c r="O414" s="5" t="n">
        <f aca="false">LEN(M414)</f>
        <v>25</v>
      </c>
      <c r="P414" s="12" t="n">
        <f aca="false">IF(N414=0,"",(N414-LEN(SUBSTITUTE(SUBSTITUTE(L414,"G",""),"C","")))/N414)</f>
        <v>0.6</v>
      </c>
      <c r="Q414" s="12" t="n">
        <f aca="false">IF(O414=0,"",(O414-LEN(SUBSTITUTE(SUBSTITUTE(M414,"G",""),"C","")))/O414)</f>
        <v>0.68</v>
      </c>
      <c r="R414" s="5"/>
      <c r="S414" s="5" t="s">
        <v>382</v>
      </c>
      <c r="T414" s="5"/>
      <c r="U414" s="5" t="s">
        <v>383</v>
      </c>
      <c r="V414" s="5" t="s">
        <v>3962</v>
      </c>
      <c r="W414" s="5"/>
      <c r="X414" s="13" t="s">
        <v>385</v>
      </c>
      <c r="Y414" s="5"/>
    </row>
    <row r="415" customFormat="false" ht="15" hidden="false" customHeight="false" outlineLevel="0" collapsed="false">
      <c r="A415" s="5" t="s">
        <v>4063</v>
      </c>
      <c r="B415" s="5" t="s">
        <v>319</v>
      </c>
      <c r="C415" s="5" t="s">
        <v>320</v>
      </c>
      <c r="D415" s="10" t="s">
        <v>56</v>
      </c>
      <c r="E415" s="5" t="n">
        <v>1</v>
      </c>
      <c r="F415" s="5" t="s">
        <v>4064</v>
      </c>
      <c r="G415" s="11" t="s">
        <v>4065</v>
      </c>
      <c r="H415" s="5" t="s">
        <v>4066</v>
      </c>
      <c r="I415" s="11" t="s">
        <v>4067</v>
      </c>
      <c r="J415" s="5" t="s">
        <v>4068</v>
      </c>
      <c r="K415" s="5" t="s">
        <v>4069</v>
      </c>
      <c r="L415" s="11" t="s">
        <v>4070</v>
      </c>
      <c r="M415" s="11" t="s">
        <v>4071</v>
      </c>
      <c r="N415" s="5" t="n">
        <f aca="false">LEN(L415)</f>
        <v>25</v>
      </c>
      <c r="O415" s="5" t="n">
        <f aca="false">LEN(M415)</f>
        <v>25</v>
      </c>
      <c r="P415" s="12" t="n">
        <f aca="false">IF(N415=0,"",(N415-LEN(SUBSTITUTE(SUBSTITUTE(L415,"G",""),"C","")))/N415)</f>
        <v>0.64</v>
      </c>
      <c r="Q415" s="12" t="n">
        <f aca="false">IF(O415=0,"",(O415-LEN(SUBSTITUTE(SUBSTITUTE(M415,"G",""),"C","")))/O415)</f>
        <v>0.6</v>
      </c>
      <c r="R415" s="5"/>
      <c r="S415" s="5" t="s">
        <v>382</v>
      </c>
      <c r="T415" s="5"/>
      <c r="U415" s="5" t="s">
        <v>383</v>
      </c>
      <c r="V415" s="5" t="s">
        <v>4072</v>
      </c>
      <c r="W415" s="5"/>
      <c r="X415" s="13" t="s">
        <v>385</v>
      </c>
      <c r="Y415" s="5"/>
    </row>
    <row r="416" customFormat="false" ht="15" hidden="false" customHeight="false" outlineLevel="0" collapsed="false">
      <c r="A416" s="5" t="s">
        <v>4073</v>
      </c>
      <c r="B416" s="5" t="s">
        <v>319</v>
      </c>
      <c r="C416" s="5" t="s">
        <v>320</v>
      </c>
      <c r="D416" s="10" t="s">
        <v>56</v>
      </c>
      <c r="E416" s="5" t="n">
        <v>2</v>
      </c>
      <c r="F416" s="5" t="s">
        <v>4074</v>
      </c>
      <c r="G416" s="11" t="s">
        <v>4075</v>
      </c>
      <c r="H416" s="5" t="s">
        <v>4076</v>
      </c>
      <c r="I416" s="11" t="s">
        <v>4077</v>
      </c>
      <c r="J416" s="5" t="s">
        <v>4078</v>
      </c>
      <c r="K416" s="5" t="s">
        <v>4079</v>
      </c>
      <c r="L416" s="11" t="s">
        <v>4080</v>
      </c>
      <c r="M416" s="11" t="s">
        <v>4081</v>
      </c>
      <c r="N416" s="5" t="n">
        <f aca="false">LEN(L416)</f>
        <v>25</v>
      </c>
      <c r="O416" s="5" t="n">
        <f aca="false">LEN(M416)</f>
        <v>25</v>
      </c>
      <c r="P416" s="12" t="n">
        <f aca="false">IF(N416=0,"",(N416-LEN(SUBSTITUTE(SUBSTITUTE(L416,"G",""),"C","")))/N416)</f>
        <v>0.36</v>
      </c>
      <c r="Q416" s="12" t="n">
        <f aca="false">IF(O416=0,"",(O416-LEN(SUBSTITUTE(SUBSTITUTE(M416,"G",""),"C","")))/O416)</f>
        <v>0.48</v>
      </c>
      <c r="R416" s="5"/>
      <c r="S416" s="5" t="s">
        <v>382</v>
      </c>
      <c r="T416" s="5"/>
      <c r="U416" s="5" t="s">
        <v>383</v>
      </c>
      <c r="V416" s="5" t="s">
        <v>4072</v>
      </c>
      <c r="W416" s="5"/>
      <c r="X416" s="13" t="s">
        <v>385</v>
      </c>
      <c r="Y416" s="5"/>
    </row>
    <row r="417" customFormat="false" ht="15" hidden="false" customHeight="false" outlineLevel="0" collapsed="false">
      <c r="A417" s="5" t="s">
        <v>4082</v>
      </c>
      <c r="B417" s="5" t="s">
        <v>319</v>
      </c>
      <c r="C417" s="5" t="s">
        <v>320</v>
      </c>
      <c r="D417" s="10" t="s">
        <v>56</v>
      </c>
      <c r="E417" s="5" t="n">
        <v>3</v>
      </c>
      <c r="F417" s="5" t="s">
        <v>4083</v>
      </c>
      <c r="G417" s="11" t="s">
        <v>4084</v>
      </c>
      <c r="H417" s="5" t="s">
        <v>4085</v>
      </c>
      <c r="I417" s="11" t="s">
        <v>4086</v>
      </c>
      <c r="J417" s="5" t="s">
        <v>4087</v>
      </c>
      <c r="K417" s="5" t="s">
        <v>4088</v>
      </c>
      <c r="L417" s="11" t="s">
        <v>4089</v>
      </c>
      <c r="M417" s="11" t="s">
        <v>4090</v>
      </c>
      <c r="N417" s="5" t="n">
        <f aca="false">LEN(L417)</f>
        <v>25</v>
      </c>
      <c r="O417" s="5" t="n">
        <f aca="false">LEN(M417)</f>
        <v>25</v>
      </c>
      <c r="P417" s="12" t="n">
        <f aca="false">IF(N417=0,"",(N417-LEN(SUBSTITUTE(SUBSTITUTE(L417,"G",""),"C","")))/N417)</f>
        <v>0.6</v>
      </c>
      <c r="Q417" s="12" t="n">
        <f aca="false">IF(O417=0,"",(O417-LEN(SUBSTITUTE(SUBSTITUTE(M417,"G",""),"C","")))/O417)</f>
        <v>0.64</v>
      </c>
      <c r="R417" s="5"/>
      <c r="S417" s="5" t="s">
        <v>382</v>
      </c>
      <c r="T417" s="5"/>
      <c r="U417" s="5" t="s">
        <v>383</v>
      </c>
      <c r="V417" s="5" t="s">
        <v>4072</v>
      </c>
      <c r="W417" s="5"/>
      <c r="X417" s="13" t="s">
        <v>385</v>
      </c>
      <c r="Y417" s="5"/>
    </row>
    <row r="418" customFormat="false" ht="15" hidden="false" customHeight="false" outlineLevel="0" collapsed="false">
      <c r="A418" s="5" t="s">
        <v>4091</v>
      </c>
      <c r="B418" s="5" t="s">
        <v>319</v>
      </c>
      <c r="C418" s="5" t="s">
        <v>320</v>
      </c>
      <c r="D418" s="10" t="s">
        <v>56</v>
      </c>
      <c r="E418" s="5" t="n">
        <v>4</v>
      </c>
      <c r="F418" s="5" t="s">
        <v>4092</v>
      </c>
      <c r="G418" s="11" t="s">
        <v>4093</v>
      </c>
      <c r="H418" s="5" t="s">
        <v>4094</v>
      </c>
      <c r="I418" s="11" t="s">
        <v>4095</v>
      </c>
      <c r="J418" s="5" t="s">
        <v>4096</v>
      </c>
      <c r="K418" s="5" t="s">
        <v>4097</v>
      </c>
      <c r="L418" s="11" t="s">
        <v>4098</v>
      </c>
      <c r="M418" s="11" t="s">
        <v>4099</v>
      </c>
      <c r="N418" s="5" t="n">
        <f aca="false">LEN(L418)</f>
        <v>25</v>
      </c>
      <c r="O418" s="5" t="n">
        <f aca="false">LEN(M418)</f>
        <v>25</v>
      </c>
      <c r="P418" s="12" t="n">
        <f aca="false">IF(N418=0,"",(N418-LEN(SUBSTITUTE(SUBSTITUTE(L418,"G",""),"C","")))/N418)</f>
        <v>0.84</v>
      </c>
      <c r="Q418" s="12" t="n">
        <f aca="false">IF(O418=0,"",(O418-LEN(SUBSTITUTE(SUBSTITUTE(M418,"G",""),"C","")))/O418)</f>
        <v>0.76</v>
      </c>
      <c r="R418" s="5"/>
      <c r="S418" s="5" t="s">
        <v>382</v>
      </c>
      <c r="T418" s="5"/>
      <c r="U418" s="5" t="s">
        <v>383</v>
      </c>
      <c r="V418" s="5" t="s">
        <v>4072</v>
      </c>
      <c r="W418" s="5"/>
      <c r="X418" s="13" t="s">
        <v>385</v>
      </c>
      <c r="Y418" s="5"/>
    </row>
    <row r="419" customFormat="false" ht="15" hidden="false" customHeight="false" outlineLevel="0" collapsed="false">
      <c r="A419" s="5" t="s">
        <v>4100</v>
      </c>
      <c r="B419" s="5" t="s">
        <v>319</v>
      </c>
      <c r="C419" s="5" t="s">
        <v>320</v>
      </c>
      <c r="D419" s="10" t="s">
        <v>56</v>
      </c>
      <c r="E419" s="5" t="n">
        <v>5</v>
      </c>
      <c r="F419" s="5" t="s">
        <v>4101</v>
      </c>
      <c r="G419" s="11" t="s">
        <v>4102</v>
      </c>
      <c r="H419" s="5" t="s">
        <v>4103</v>
      </c>
      <c r="I419" s="11" t="s">
        <v>4104</v>
      </c>
      <c r="J419" s="5" t="s">
        <v>4105</v>
      </c>
      <c r="K419" s="5" t="s">
        <v>4106</v>
      </c>
      <c r="L419" s="11" t="s">
        <v>4107</v>
      </c>
      <c r="M419" s="11" t="s">
        <v>4108</v>
      </c>
      <c r="N419" s="5" t="n">
        <f aca="false">LEN(L419)</f>
        <v>25</v>
      </c>
      <c r="O419" s="5" t="n">
        <f aca="false">LEN(M419)</f>
        <v>25</v>
      </c>
      <c r="P419" s="12" t="n">
        <f aca="false">IF(N419=0,"",(N419-LEN(SUBSTITUTE(SUBSTITUTE(L419,"G",""),"C","")))/N419)</f>
        <v>0.52</v>
      </c>
      <c r="Q419" s="12" t="n">
        <f aca="false">IF(O419=0,"",(O419-LEN(SUBSTITUTE(SUBSTITUTE(M419,"G",""),"C","")))/O419)</f>
        <v>0.6</v>
      </c>
      <c r="R419" s="5"/>
      <c r="S419" s="5" t="s">
        <v>382</v>
      </c>
      <c r="T419" s="5"/>
      <c r="U419" s="5" t="s">
        <v>383</v>
      </c>
      <c r="V419" s="5" t="s">
        <v>4072</v>
      </c>
      <c r="W419" s="5"/>
      <c r="X419" s="13" t="s">
        <v>385</v>
      </c>
      <c r="Y419" s="5"/>
    </row>
    <row r="420" customFormat="false" ht="15" hidden="false" customHeight="false" outlineLevel="0" collapsed="false">
      <c r="A420" s="5" t="s">
        <v>4109</v>
      </c>
      <c r="B420" s="5" t="s">
        <v>319</v>
      </c>
      <c r="C420" s="5" t="s">
        <v>320</v>
      </c>
      <c r="D420" s="10" t="s">
        <v>56</v>
      </c>
      <c r="E420" s="5" t="n">
        <v>6</v>
      </c>
      <c r="F420" s="5" t="s">
        <v>4110</v>
      </c>
      <c r="G420" s="11" t="s">
        <v>4111</v>
      </c>
      <c r="H420" s="5" t="s">
        <v>4112</v>
      </c>
      <c r="I420" s="11" t="s">
        <v>4113</v>
      </c>
      <c r="J420" s="5" t="s">
        <v>4114</v>
      </c>
      <c r="K420" s="5" t="s">
        <v>4115</v>
      </c>
      <c r="L420" s="11" t="s">
        <v>4116</v>
      </c>
      <c r="M420" s="11" t="s">
        <v>4117</v>
      </c>
      <c r="N420" s="5" t="n">
        <f aca="false">LEN(L420)</f>
        <v>25</v>
      </c>
      <c r="O420" s="5" t="n">
        <f aca="false">LEN(M420)</f>
        <v>25</v>
      </c>
      <c r="P420" s="12" t="n">
        <f aca="false">IF(N420=0,"",(N420-LEN(SUBSTITUTE(SUBSTITUTE(L420,"G",""),"C","")))/N420)</f>
        <v>0.44</v>
      </c>
      <c r="Q420" s="12" t="n">
        <f aca="false">IF(O420=0,"",(O420-LEN(SUBSTITUTE(SUBSTITUTE(M420,"G",""),"C","")))/O420)</f>
        <v>0.36</v>
      </c>
      <c r="R420" s="5"/>
      <c r="S420" s="5" t="s">
        <v>382</v>
      </c>
      <c r="T420" s="5"/>
      <c r="U420" s="5" t="s">
        <v>795</v>
      </c>
      <c r="V420" s="5" t="s">
        <v>4072</v>
      </c>
      <c r="W420" s="5"/>
      <c r="X420" s="7" t="s">
        <v>804</v>
      </c>
      <c r="Y420" s="5"/>
    </row>
    <row r="421" customFormat="false" ht="15" hidden="false" customHeight="false" outlineLevel="0" collapsed="false">
      <c r="A421" s="5" t="s">
        <v>4118</v>
      </c>
      <c r="B421" s="5" t="s">
        <v>326</v>
      </c>
      <c r="C421" s="5" t="s">
        <v>327</v>
      </c>
      <c r="D421" s="10" t="s">
        <v>56</v>
      </c>
      <c r="E421" s="5" t="n">
        <v>1</v>
      </c>
      <c r="F421" s="5" t="s">
        <v>4119</v>
      </c>
      <c r="G421" s="11" t="s">
        <v>4120</v>
      </c>
      <c r="H421" s="5" t="s">
        <v>4121</v>
      </c>
      <c r="I421" s="11" t="s">
        <v>4122</v>
      </c>
      <c r="J421" s="5" t="s">
        <v>4123</v>
      </c>
      <c r="K421" s="5" t="s">
        <v>4124</v>
      </c>
      <c r="L421" s="11" t="s">
        <v>4125</v>
      </c>
      <c r="M421" s="11" t="s">
        <v>4126</v>
      </c>
      <c r="N421" s="5" t="n">
        <f aca="false">LEN(L421)</f>
        <v>25</v>
      </c>
      <c r="O421" s="5" t="n">
        <f aca="false">LEN(M421)</f>
        <v>25</v>
      </c>
      <c r="P421" s="12" t="n">
        <f aca="false">IF(N421=0,"",(N421-LEN(SUBSTITUTE(SUBSTITUTE(L421,"G",""),"C","")))/N421)</f>
        <v>0.56</v>
      </c>
      <c r="Q421" s="12" t="n">
        <f aca="false">IF(O421=0,"",(O421-LEN(SUBSTITUTE(SUBSTITUTE(M421,"G",""),"C","")))/O421)</f>
        <v>0.56</v>
      </c>
      <c r="R421" s="5"/>
      <c r="S421" s="5" t="s">
        <v>382</v>
      </c>
      <c r="T421" s="5"/>
      <c r="U421" s="5" t="s">
        <v>383</v>
      </c>
      <c r="V421" s="5" t="s">
        <v>4127</v>
      </c>
      <c r="W421" s="5"/>
      <c r="X421" s="13" t="s">
        <v>385</v>
      </c>
      <c r="Y421" s="5"/>
    </row>
    <row r="422" customFormat="false" ht="15" hidden="false" customHeight="false" outlineLevel="0" collapsed="false">
      <c r="A422" s="5" t="s">
        <v>4128</v>
      </c>
      <c r="B422" s="5" t="s">
        <v>326</v>
      </c>
      <c r="C422" s="5" t="s">
        <v>327</v>
      </c>
      <c r="D422" s="10" t="s">
        <v>56</v>
      </c>
      <c r="E422" s="5" t="n">
        <v>2</v>
      </c>
      <c r="F422" s="5" t="s">
        <v>4129</v>
      </c>
      <c r="G422" s="11" t="s">
        <v>4130</v>
      </c>
      <c r="H422" s="5" t="s">
        <v>4131</v>
      </c>
      <c r="I422" s="11" t="s">
        <v>4132</v>
      </c>
      <c r="J422" s="5" t="s">
        <v>4133</v>
      </c>
      <c r="K422" s="5" t="s">
        <v>4134</v>
      </c>
      <c r="L422" s="11" t="s">
        <v>4135</v>
      </c>
      <c r="M422" s="11" t="s">
        <v>4136</v>
      </c>
      <c r="N422" s="5" t="n">
        <f aca="false">LEN(L422)</f>
        <v>25</v>
      </c>
      <c r="O422" s="5" t="n">
        <f aca="false">LEN(M422)</f>
        <v>25</v>
      </c>
      <c r="P422" s="12" t="n">
        <f aca="false">IF(N422=0,"",(N422-LEN(SUBSTITUTE(SUBSTITUTE(L422,"G",""),"C","")))/N422)</f>
        <v>0.6</v>
      </c>
      <c r="Q422" s="12" t="n">
        <f aca="false">IF(O422=0,"",(O422-LEN(SUBSTITUTE(SUBSTITUTE(M422,"G",""),"C","")))/O422)</f>
        <v>0.44</v>
      </c>
      <c r="R422" s="5"/>
      <c r="S422" s="5" t="s">
        <v>382</v>
      </c>
      <c r="T422" s="5"/>
      <c r="U422" s="5" t="s">
        <v>383</v>
      </c>
      <c r="V422" s="5" t="s">
        <v>4127</v>
      </c>
      <c r="W422" s="5"/>
      <c r="X422" s="13" t="s">
        <v>385</v>
      </c>
      <c r="Y422" s="5"/>
    </row>
    <row r="423" customFormat="false" ht="15" hidden="false" customHeight="false" outlineLevel="0" collapsed="false">
      <c r="A423" s="5" t="s">
        <v>4137</v>
      </c>
      <c r="B423" s="5" t="s">
        <v>326</v>
      </c>
      <c r="C423" s="5" t="s">
        <v>327</v>
      </c>
      <c r="D423" s="10" t="s">
        <v>56</v>
      </c>
      <c r="E423" s="5" t="n">
        <v>3</v>
      </c>
      <c r="F423" s="5" t="s">
        <v>4138</v>
      </c>
      <c r="G423" s="11" t="s">
        <v>4139</v>
      </c>
      <c r="H423" s="5" t="s">
        <v>4140</v>
      </c>
      <c r="I423" s="11" t="s">
        <v>4141</v>
      </c>
      <c r="J423" s="5" t="s">
        <v>4142</v>
      </c>
      <c r="K423" s="5" t="s">
        <v>4143</v>
      </c>
      <c r="L423" s="11" t="s">
        <v>4144</v>
      </c>
      <c r="M423" s="11" t="s">
        <v>4145</v>
      </c>
      <c r="N423" s="5" t="n">
        <f aca="false">LEN(L423)</f>
        <v>25</v>
      </c>
      <c r="O423" s="5" t="n">
        <f aca="false">LEN(M423)</f>
        <v>25</v>
      </c>
      <c r="P423" s="12" t="n">
        <f aca="false">IF(N423=0,"",(N423-LEN(SUBSTITUTE(SUBSTITUTE(L423,"G",""),"C","")))/N423)</f>
        <v>0.68</v>
      </c>
      <c r="Q423" s="12" t="n">
        <f aca="false">IF(O423=0,"",(O423-LEN(SUBSTITUTE(SUBSTITUTE(M423,"G",""),"C","")))/O423)</f>
        <v>0.72</v>
      </c>
      <c r="R423" s="5"/>
      <c r="S423" s="5" t="s">
        <v>382</v>
      </c>
      <c r="T423" s="5"/>
      <c r="U423" s="5" t="s">
        <v>383</v>
      </c>
      <c r="V423" s="5" t="s">
        <v>4127</v>
      </c>
      <c r="W423" s="5"/>
      <c r="X423" s="13" t="s">
        <v>385</v>
      </c>
      <c r="Y423" s="5"/>
    </row>
    <row r="424" customFormat="false" ht="15" hidden="false" customHeight="false" outlineLevel="0" collapsed="false">
      <c r="A424" s="5" t="s">
        <v>4146</v>
      </c>
      <c r="B424" s="5" t="s">
        <v>326</v>
      </c>
      <c r="C424" s="5" t="s">
        <v>327</v>
      </c>
      <c r="D424" s="10" t="s">
        <v>56</v>
      </c>
      <c r="E424" s="5" t="n">
        <v>4</v>
      </c>
      <c r="F424" s="5" t="s">
        <v>4147</v>
      </c>
      <c r="G424" s="11" t="s">
        <v>4148</v>
      </c>
      <c r="H424" s="5" t="s">
        <v>4149</v>
      </c>
      <c r="I424" s="11" t="s">
        <v>4150</v>
      </c>
      <c r="J424" s="5" t="s">
        <v>4151</v>
      </c>
      <c r="K424" s="5" t="s">
        <v>4152</v>
      </c>
      <c r="L424" s="11" t="s">
        <v>4153</v>
      </c>
      <c r="M424" s="11" t="s">
        <v>4154</v>
      </c>
      <c r="N424" s="5" t="n">
        <f aca="false">LEN(L424)</f>
        <v>25</v>
      </c>
      <c r="O424" s="5" t="n">
        <f aca="false">LEN(M424)</f>
        <v>25</v>
      </c>
      <c r="P424" s="12" t="n">
        <f aca="false">IF(N424=0,"",(N424-LEN(SUBSTITUTE(SUBSTITUTE(L424,"G",""),"C","")))/N424)</f>
        <v>0.56</v>
      </c>
      <c r="Q424" s="12" t="n">
        <f aca="false">IF(O424=0,"",(O424-LEN(SUBSTITUTE(SUBSTITUTE(M424,"G",""),"C","")))/O424)</f>
        <v>0.6</v>
      </c>
      <c r="R424" s="5"/>
      <c r="S424" s="5" t="s">
        <v>382</v>
      </c>
      <c r="T424" s="5"/>
      <c r="U424" s="5" t="s">
        <v>383</v>
      </c>
      <c r="V424" s="5" t="s">
        <v>4127</v>
      </c>
      <c r="W424" s="5"/>
      <c r="X424" s="13" t="s">
        <v>385</v>
      </c>
      <c r="Y424" s="5"/>
    </row>
    <row r="425" customFormat="false" ht="15" hidden="false" customHeight="false" outlineLevel="0" collapsed="false">
      <c r="A425" s="5" t="s">
        <v>4155</v>
      </c>
      <c r="B425" s="5" t="s">
        <v>326</v>
      </c>
      <c r="C425" s="5" t="s">
        <v>327</v>
      </c>
      <c r="D425" s="10" t="s">
        <v>56</v>
      </c>
      <c r="E425" s="5" t="n">
        <v>5</v>
      </c>
      <c r="F425" s="5" t="s">
        <v>4156</v>
      </c>
      <c r="G425" s="11" t="s">
        <v>4157</v>
      </c>
      <c r="H425" s="5" t="s">
        <v>4158</v>
      </c>
      <c r="I425" s="11" t="s">
        <v>4159</v>
      </c>
      <c r="J425" s="5" t="s">
        <v>4160</v>
      </c>
      <c r="K425" s="5" t="s">
        <v>4161</v>
      </c>
      <c r="L425" s="11" t="s">
        <v>4162</v>
      </c>
      <c r="M425" s="11" t="s">
        <v>4163</v>
      </c>
      <c r="N425" s="5" t="n">
        <f aca="false">LEN(L425)</f>
        <v>25</v>
      </c>
      <c r="O425" s="5" t="n">
        <f aca="false">LEN(M425)</f>
        <v>25</v>
      </c>
      <c r="P425" s="12" t="n">
        <f aca="false">IF(N425=0,"",(N425-LEN(SUBSTITUTE(SUBSTITUTE(L425,"G",""),"C","")))/N425)</f>
        <v>0.52</v>
      </c>
      <c r="Q425" s="12" t="n">
        <f aca="false">IF(O425=0,"",(O425-LEN(SUBSTITUTE(SUBSTITUTE(M425,"G",""),"C","")))/O425)</f>
        <v>0.6</v>
      </c>
      <c r="R425" s="5"/>
      <c r="S425" s="5" t="s">
        <v>382</v>
      </c>
      <c r="T425" s="5"/>
      <c r="U425" s="5" t="s">
        <v>383</v>
      </c>
      <c r="V425" s="5" t="s">
        <v>4127</v>
      </c>
      <c r="W425" s="5"/>
      <c r="X425" s="13" t="s">
        <v>385</v>
      </c>
      <c r="Y425" s="5"/>
    </row>
    <row r="426" customFormat="false" ht="15" hidden="false" customHeight="false" outlineLevel="0" collapsed="false">
      <c r="A426" s="5" t="s">
        <v>4164</v>
      </c>
      <c r="B426" s="5" t="s">
        <v>326</v>
      </c>
      <c r="C426" s="5" t="s">
        <v>327</v>
      </c>
      <c r="D426" s="10" t="s">
        <v>56</v>
      </c>
      <c r="E426" s="5" t="n">
        <v>6</v>
      </c>
      <c r="F426" s="5" t="s">
        <v>4165</v>
      </c>
      <c r="G426" s="11" t="s">
        <v>4166</v>
      </c>
      <c r="H426" s="5" t="s">
        <v>4167</v>
      </c>
      <c r="I426" s="11" t="s">
        <v>4168</v>
      </c>
      <c r="J426" s="5" t="s">
        <v>4169</v>
      </c>
      <c r="K426" s="5" t="s">
        <v>4170</v>
      </c>
      <c r="L426" s="11" t="s">
        <v>4171</v>
      </c>
      <c r="M426" s="11" t="s">
        <v>4172</v>
      </c>
      <c r="N426" s="5" t="n">
        <f aca="false">LEN(L426)</f>
        <v>25</v>
      </c>
      <c r="O426" s="5" t="n">
        <f aca="false">LEN(M426)</f>
        <v>25</v>
      </c>
      <c r="P426" s="12" t="n">
        <f aca="false">IF(N426=0,"",(N426-LEN(SUBSTITUTE(SUBSTITUTE(L426,"G",""),"C","")))/N426)</f>
        <v>0.64</v>
      </c>
      <c r="Q426" s="12" t="n">
        <f aca="false">IF(O426=0,"",(O426-LEN(SUBSTITUTE(SUBSTITUTE(M426,"G",""),"C","")))/O426)</f>
        <v>0.44</v>
      </c>
      <c r="R426" s="5"/>
      <c r="S426" s="5" t="s">
        <v>382</v>
      </c>
      <c r="T426" s="5"/>
      <c r="U426" s="5" t="s">
        <v>383</v>
      </c>
      <c r="V426" s="5" t="s">
        <v>4127</v>
      </c>
      <c r="W426" s="5"/>
      <c r="X426" s="13" t="s">
        <v>385</v>
      </c>
      <c r="Y426" s="5"/>
    </row>
    <row r="427" customFormat="false" ht="15" hidden="false" customHeight="false" outlineLevel="0" collapsed="false">
      <c r="A427" s="5" t="s">
        <v>4173</v>
      </c>
      <c r="B427" s="5" t="s">
        <v>333</v>
      </c>
      <c r="C427" s="5" t="s">
        <v>334</v>
      </c>
      <c r="D427" s="10" t="s">
        <v>56</v>
      </c>
      <c r="E427" s="5" t="n">
        <v>1</v>
      </c>
      <c r="F427" s="5" t="s">
        <v>4174</v>
      </c>
      <c r="G427" s="11" t="s">
        <v>4175</v>
      </c>
      <c r="H427" s="5" t="s">
        <v>4176</v>
      </c>
      <c r="I427" s="11" t="s">
        <v>4177</v>
      </c>
      <c r="J427" s="5" t="s">
        <v>4178</v>
      </c>
      <c r="K427" s="5" t="s">
        <v>4179</v>
      </c>
      <c r="L427" s="11" t="s">
        <v>4180</v>
      </c>
      <c r="M427" s="11" t="s">
        <v>4181</v>
      </c>
      <c r="N427" s="5" t="n">
        <f aca="false">LEN(L427)</f>
        <v>25</v>
      </c>
      <c r="O427" s="5" t="n">
        <f aca="false">LEN(M427)</f>
        <v>25</v>
      </c>
      <c r="P427" s="12" t="n">
        <f aca="false">IF(N427=0,"",(N427-LEN(SUBSTITUTE(SUBSTITUTE(L427,"G",""),"C","")))/N427)</f>
        <v>0.72</v>
      </c>
      <c r="Q427" s="12" t="n">
        <f aca="false">IF(O427=0,"",(O427-LEN(SUBSTITUTE(SUBSTITUTE(M427,"G",""),"C","")))/O427)</f>
        <v>0.64</v>
      </c>
      <c r="R427" s="5"/>
      <c r="S427" s="5" t="s">
        <v>382</v>
      </c>
      <c r="T427" s="5"/>
      <c r="U427" s="5" t="s">
        <v>383</v>
      </c>
      <c r="V427" s="5" t="s">
        <v>4182</v>
      </c>
      <c r="W427" s="5"/>
      <c r="X427" s="13" t="s">
        <v>385</v>
      </c>
      <c r="Y427" s="5"/>
    </row>
    <row r="428" customFormat="false" ht="15" hidden="false" customHeight="false" outlineLevel="0" collapsed="false">
      <c r="A428" s="5" t="s">
        <v>4183</v>
      </c>
      <c r="B428" s="5" t="s">
        <v>333</v>
      </c>
      <c r="C428" s="5" t="s">
        <v>334</v>
      </c>
      <c r="D428" s="10" t="s">
        <v>56</v>
      </c>
      <c r="E428" s="5" t="n">
        <v>2</v>
      </c>
      <c r="F428" s="5" t="s">
        <v>4184</v>
      </c>
      <c r="G428" s="11" t="s">
        <v>4185</v>
      </c>
      <c r="H428" s="5" t="s">
        <v>4186</v>
      </c>
      <c r="I428" s="11" t="s">
        <v>4187</v>
      </c>
      <c r="J428" s="5" t="s">
        <v>4188</v>
      </c>
      <c r="K428" s="5" t="s">
        <v>4189</v>
      </c>
      <c r="L428" s="11" t="s">
        <v>4190</v>
      </c>
      <c r="M428" s="11" t="s">
        <v>4191</v>
      </c>
      <c r="N428" s="5" t="n">
        <f aca="false">LEN(L428)</f>
        <v>25</v>
      </c>
      <c r="O428" s="5" t="n">
        <f aca="false">LEN(M428)</f>
        <v>25</v>
      </c>
      <c r="P428" s="12" t="n">
        <f aca="false">IF(N428=0,"",(N428-LEN(SUBSTITUTE(SUBSTITUTE(L428,"G",""),"C","")))/N428)</f>
        <v>0.48</v>
      </c>
      <c r="Q428" s="12" t="n">
        <f aca="false">IF(O428=0,"",(O428-LEN(SUBSTITUTE(SUBSTITUTE(M428,"G",""),"C","")))/O428)</f>
        <v>0.4</v>
      </c>
      <c r="R428" s="5"/>
      <c r="S428" s="5" t="s">
        <v>382</v>
      </c>
      <c r="T428" s="5"/>
      <c r="U428" s="5" t="s">
        <v>383</v>
      </c>
      <c r="V428" s="5" t="s">
        <v>4182</v>
      </c>
      <c r="W428" s="5"/>
      <c r="X428" s="13" t="s">
        <v>385</v>
      </c>
      <c r="Y428" s="5"/>
    </row>
    <row r="429" customFormat="false" ht="15" hidden="false" customHeight="false" outlineLevel="0" collapsed="false">
      <c r="A429" s="5" t="s">
        <v>4192</v>
      </c>
      <c r="B429" s="5" t="s">
        <v>333</v>
      </c>
      <c r="C429" s="5" t="s">
        <v>334</v>
      </c>
      <c r="D429" s="10" t="s">
        <v>56</v>
      </c>
      <c r="E429" s="5" t="n">
        <v>3</v>
      </c>
      <c r="F429" s="5" t="s">
        <v>4193</v>
      </c>
      <c r="G429" s="11" t="s">
        <v>4194</v>
      </c>
      <c r="H429" s="5" t="s">
        <v>4195</v>
      </c>
      <c r="I429" s="11" t="s">
        <v>4196</v>
      </c>
      <c r="J429" s="5" t="s">
        <v>4197</v>
      </c>
      <c r="K429" s="5" t="s">
        <v>4198</v>
      </c>
      <c r="L429" s="11" t="s">
        <v>4199</v>
      </c>
      <c r="M429" s="11" t="s">
        <v>4200</v>
      </c>
      <c r="N429" s="5" t="n">
        <f aca="false">LEN(L429)</f>
        <v>25</v>
      </c>
      <c r="O429" s="5" t="n">
        <f aca="false">LEN(M429)</f>
        <v>25</v>
      </c>
      <c r="P429" s="12" t="n">
        <f aca="false">IF(N429=0,"",(N429-LEN(SUBSTITUTE(SUBSTITUTE(L429,"G",""),"C","")))/N429)</f>
        <v>0.24</v>
      </c>
      <c r="Q429" s="12" t="n">
        <f aca="false">IF(O429=0,"",(O429-LEN(SUBSTITUTE(SUBSTITUTE(M429,"G",""),"C","")))/O429)</f>
        <v>0.52</v>
      </c>
      <c r="R429" s="5"/>
      <c r="S429" s="5" t="s">
        <v>382</v>
      </c>
      <c r="T429" s="5"/>
      <c r="U429" s="5" t="s">
        <v>383</v>
      </c>
      <c r="V429" s="5" t="s">
        <v>4182</v>
      </c>
      <c r="W429" s="5"/>
      <c r="X429" s="13" t="s">
        <v>385</v>
      </c>
      <c r="Y429" s="5"/>
    </row>
    <row r="430" customFormat="false" ht="15" hidden="false" customHeight="false" outlineLevel="0" collapsed="false">
      <c r="A430" s="5" t="s">
        <v>4201</v>
      </c>
      <c r="B430" s="5" t="s">
        <v>333</v>
      </c>
      <c r="C430" s="5" t="s">
        <v>334</v>
      </c>
      <c r="D430" s="10" t="s">
        <v>56</v>
      </c>
      <c r="E430" s="5" t="n">
        <v>4</v>
      </c>
      <c r="F430" s="5" t="s">
        <v>4202</v>
      </c>
      <c r="G430" s="11" t="s">
        <v>4203</v>
      </c>
      <c r="H430" s="5" t="s">
        <v>4204</v>
      </c>
      <c r="I430" s="11" t="s">
        <v>4205</v>
      </c>
      <c r="J430" s="5" t="s">
        <v>4206</v>
      </c>
      <c r="K430" s="5" t="s">
        <v>4207</v>
      </c>
      <c r="L430" s="11" t="s">
        <v>4208</v>
      </c>
      <c r="M430" s="11" t="s">
        <v>4209</v>
      </c>
      <c r="N430" s="5" t="n">
        <f aca="false">LEN(L430)</f>
        <v>25</v>
      </c>
      <c r="O430" s="5" t="n">
        <f aca="false">LEN(M430)</f>
        <v>25</v>
      </c>
      <c r="P430" s="12" t="n">
        <f aca="false">IF(N430=0,"",(N430-LEN(SUBSTITUTE(SUBSTITUTE(L430,"G",""),"C","")))/N430)</f>
        <v>0.6</v>
      </c>
      <c r="Q430" s="12" t="n">
        <f aca="false">IF(O430=0,"",(O430-LEN(SUBSTITUTE(SUBSTITUTE(M430,"G",""),"C","")))/O430)</f>
        <v>0.52</v>
      </c>
      <c r="R430" s="5"/>
      <c r="S430" s="5" t="s">
        <v>382</v>
      </c>
      <c r="T430" s="5"/>
      <c r="U430" s="5" t="s">
        <v>383</v>
      </c>
      <c r="V430" s="5" t="s">
        <v>4182</v>
      </c>
      <c r="W430" s="5"/>
      <c r="X430" s="13" t="s">
        <v>385</v>
      </c>
      <c r="Y430" s="5"/>
    </row>
    <row r="431" customFormat="false" ht="15" hidden="false" customHeight="false" outlineLevel="0" collapsed="false">
      <c r="A431" s="5" t="s">
        <v>4210</v>
      </c>
      <c r="B431" s="5" t="s">
        <v>333</v>
      </c>
      <c r="C431" s="5" t="s">
        <v>334</v>
      </c>
      <c r="D431" s="10" t="s">
        <v>56</v>
      </c>
      <c r="E431" s="5" t="n">
        <v>5</v>
      </c>
      <c r="F431" s="5" t="s">
        <v>4211</v>
      </c>
      <c r="G431" s="11" t="s">
        <v>4212</v>
      </c>
      <c r="H431" s="5" t="s">
        <v>4213</v>
      </c>
      <c r="I431" s="11" t="s">
        <v>4214</v>
      </c>
      <c r="J431" s="5" t="s">
        <v>4215</v>
      </c>
      <c r="K431" s="5" t="s">
        <v>4216</v>
      </c>
      <c r="L431" s="11" t="s">
        <v>4217</v>
      </c>
      <c r="M431" s="11" t="s">
        <v>4218</v>
      </c>
      <c r="N431" s="5" t="n">
        <f aca="false">LEN(L431)</f>
        <v>25</v>
      </c>
      <c r="O431" s="5" t="n">
        <f aca="false">LEN(M431)</f>
        <v>25</v>
      </c>
      <c r="P431" s="12" t="n">
        <f aca="false">IF(N431=0,"",(N431-LEN(SUBSTITUTE(SUBSTITUTE(L431,"G",""),"C","")))/N431)</f>
        <v>0.72</v>
      </c>
      <c r="Q431" s="12" t="n">
        <f aca="false">IF(O431=0,"",(O431-LEN(SUBSTITUTE(SUBSTITUTE(M431,"G",""),"C","")))/O431)</f>
        <v>0.68</v>
      </c>
      <c r="R431" s="5"/>
      <c r="S431" s="5" t="s">
        <v>382</v>
      </c>
      <c r="T431" s="5"/>
      <c r="U431" s="5" t="s">
        <v>383</v>
      </c>
      <c r="V431" s="5" t="s">
        <v>4182</v>
      </c>
      <c r="W431" s="5"/>
      <c r="X431" s="13" t="s">
        <v>385</v>
      </c>
      <c r="Y431" s="5"/>
    </row>
    <row r="432" customFormat="false" ht="15" hidden="false" customHeight="false" outlineLevel="0" collapsed="false">
      <c r="A432" s="5" t="s">
        <v>4219</v>
      </c>
      <c r="B432" s="5" t="s">
        <v>333</v>
      </c>
      <c r="C432" s="5" t="s">
        <v>334</v>
      </c>
      <c r="D432" s="10" t="s">
        <v>56</v>
      </c>
      <c r="E432" s="5" t="n">
        <v>6</v>
      </c>
      <c r="F432" s="5" t="s">
        <v>4220</v>
      </c>
      <c r="G432" s="11" t="s">
        <v>4221</v>
      </c>
      <c r="H432" s="5" t="s">
        <v>4222</v>
      </c>
      <c r="I432" s="11" t="s">
        <v>4223</v>
      </c>
      <c r="J432" s="5" t="s">
        <v>4224</v>
      </c>
      <c r="K432" s="5" t="s">
        <v>4225</v>
      </c>
      <c r="L432" s="11" t="s">
        <v>4226</v>
      </c>
      <c r="M432" s="11" t="s">
        <v>4227</v>
      </c>
      <c r="N432" s="5" t="n">
        <f aca="false">LEN(L432)</f>
        <v>25</v>
      </c>
      <c r="O432" s="5" t="n">
        <f aca="false">LEN(M432)</f>
        <v>25</v>
      </c>
      <c r="P432" s="12" t="n">
        <f aca="false">IF(N432=0,"",(N432-LEN(SUBSTITUTE(SUBSTITUTE(L432,"G",""),"C","")))/N432)</f>
        <v>0.52</v>
      </c>
      <c r="Q432" s="12" t="n">
        <f aca="false">IF(O432=0,"",(O432-LEN(SUBSTITUTE(SUBSTITUTE(M432,"G",""),"C","")))/O432)</f>
        <v>0.68</v>
      </c>
      <c r="R432" s="5"/>
      <c r="S432" s="5" t="s">
        <v>382</v>
      </c>
      <c r="T432" s="5"/>
      <c r="U432" s="5" t="s">
        <v>383</v>
      </c>
      <c r="V432" s="5" t="s">
        <v>4182</v>
      </c>
      <c r="W432" s="5"/>
      <c r="X432" s="13" t="s">
        <v>385</v>
      </c>
      <c r="Y432" s="5"/>
    </row>
    <row r="433" customFormat="false" ht="15" hidden="false" customHeight="false" outlineLevel="0" collapsed="false">
      <c r="A433" s="5" t="s">
        <v>4228</v>
      </c>
      <c r="B433" s="5" t="s">
        <v>333</v>
      </c>
      <c r="C433" s="5" t="s">
        <v>334</v>
      </c>
      <c r="D433" s="10" t="s">
        <v>56</v>
      </c>
      <c r="E433" s="5" t="n">
        <v>7</v>
      </c>
      <c r="F433" s="5" t="s">
        <v>4229</v>
      </c>
      <c r="G433" s="11" t="s">
        <v>4230</v>
      </c>
      <c r="H433" s="5" t="s">
        <v>4231</v>
      </c>
      <c r="I433" s="11" t="s">
        <v>4232</v>
      </c>
      <c r="J433" s="5" t="s">
        <v>4233</v>
      </c>
      <c r="K433" s="5" t="s">
        <v>4234</v>
      </c>
      <c r="L433" s="11" t="s">
        <v>4235</v>
      </c>
      <c r="M433" s="11" t="s">
        <v>4236</v>
      </c>
      <c r="N433" s="5" t="n">
        <f aca="false">LEN(L433)</f>
        <v>25</v>
      </c>
      <c r="O433" s="5" t="n">
        <f aca="false">LEN(M433)</f>
        <v>25</v>
      </c>
      <c r="P433" s="12" t="n">
        <f aca="false">IF(N433=0,"",(N433-LEN(SUBSTITUTE(SUBSTITUTE(L433,"G",""),"C","")))/N433)</f>
        <v>0.52</v>
      </c>
      <c r="Q433" s="12" t="n">
        <f aca="false">IF(O433=0,"",(O433-LEN(SUBSTITUTE(SUBSTITUTE(M433,"G",""),"C","")))/O433)</f>
        <v>0.4</v>
      </c>
      <c r="R433" s="5"/>
      <c r="S433" s="5" t="s">
        <v>382</v>
      </c>
      <c r="T433" s="5"/>
      <c r="U433" s="5" t="s">
        <v>383</v>
      </c>
      <c r="V433" s="5" t="s">
        <v>4182</v>
      </c>
      <c r="W433" s="5"/>
      <c r="X433" s="13" t="s">
        <v>385</v>
      </c>
      <c r="Y433" s="5"/>
    </row>
    <row r="434" customFormat="false" ht="15" hidden="false" customHeight="false" outlineLevel="0" collapsed="false">
      <c r="A434" s="5" t="s">
        <v>4237</v>
      </c>
      <c r="B434" s="5" t="s">
        <v>333</v>
      </c>
      <c r="C434" s="5" t="s">
        <v>334</v>
      </c>
      <c r="D434" s="10" t="s">
        <v>56</v>
      </c>
      <c r="E434" s="5" t="n">
        <v>8</v>
      </c>
      <c r="F434" s="5" t="s">
        <v>4238</v>
      </c>
      <c r="G434" s="11" t="s">
        <v>4239</v>
      </c>
      <c r="H434" s="5" t="s">
        <v>4240</v>
      </c>
      <c r="I434" s="11" t="s">
        <v>4241</v>
      </c>
      <c r="J434" s="5" t="s">
        <v>4242</v>
      </c>
      <c r="K434" s="5" t="s">
        <v>4243</v>
      </c>
      <c r="L434" s="11" t="s">
        <v>4244</v>
      </c>
      <c r="M434" s="11" t="s">
        <v>4245</v>
      </c>
      <c r="N434" s="5" t="n">
        <f aca="false">LEN(L434)</f>
        <v>25</v>
      </c>
      <c r="O434" s="5" t="n">
        <f aca="false">LEN(M434)</f>
        <v>25</v>
      </c>
      <c r="P434" s="12" t="n">
        <f aca="false">IF(N434=0,"",(N434-LEN(SUBSTITUTE(SUBSTITUTE(L434,"G",""),"C","")))/N434)</f>
        <v>0.44</v>
      </c>
      <c r="Q434" s="12" t="n">
        <f aca="false">IF(O434=0,"",(O434-LEN(SUBSTITUTE(SUBSTITUTE(M434,"G",""),"C","")))/O434)</f>
        <v>0.44</v>
      </c>
      <c r="R434" s="5"/>
      <c r="S434" s="5" t="s">
        <v>382</v>
      </c>
      <c r="T434" s="5"/>
      <c r="U434" s="5" t="s">
        <v>383</v>
      </c>
      <c r="V434" s="5" t="s">
        <v>4182</v>
      </c>
      <c r="W434" s="5"/>
      <c r="X434" s="13" t="s">
        <v>385</v>
      </c>
      <c r="Y434" s="5"/>
    </row>
    <row r="435" customFormat="false" ht="15" hidden="false" customHeight="false" outlineLevel="0" collapsed="false">
      <c r="A435" s="5" t="s">
        <v>4246</v>
      </c>
      <c r="B435" s="5" t="s">
        <v>340</v>
      </c>
      <c r="C435" s="5" t="s">
        <v>125</v>
      </c>
      <c r="D435" s="10" t="s">
        <v>56</v>
      </c>
      <c r="E435" s="5" t="n">
        <v>1</v>
      </c>
      <c r="F435" s="5" t="s">
        <v>4247</v>
      </c>
      <c r="G435" s="11" t="s">
        <v>4248</v>
      </c>
      <c r="H435" s="5" t="s">
        <v>4249</v>
      </c>
      <c r="I435" s="11" t="s">
        <v>4250</v>
      </c>
      <c r="J435" s="5" t="s">
        <v>4251</v>
      </c>
      <c r="K435" s="5" t="s">
        <v>4252</v>
      </c>
      <c r="L435" s="11" t="s">
        <v>4253</v>
      </c>
      <c r="M435" s="11" t="s">
        <v>4254</v>
      </c>
      <c r="N435" s="5" t="n">
        <f aca="false">LEN(L435)</f>
        <v>25</v>
      </c>
      <c r="O435" s="5" t="n">
        <f aca="false">LEN(M435)</f>
        <v>25</v>
      </c>
      <c r="P435" s="12" t="n">
        <f aca="false">IF(N435=0,"",(N435-LEN(SUBSTITUTE(SUBSTITUTE(L435,"G",""),"C","")))/N435)</f>
        <v>0.52</v>
      </c>
      <c r="Q435" s="12" t="n">
        <f aca="false">IF(O435=0,"",(O435-LEN(SUBSTITUTE(SUBSTITUTE(M435,"G",""),"C","")))/O435)</f>
        <v>0.32</v>
      </c>
      <c r="R435" s="5"/>
      <c r="S435" s="5" t="s">
        <v>382</v>
      </c>
      <c r="T435" s="5"/>
      <c r="U435" s="5" t="s">
        <v>383</v>
      </c>
      <c r="V435" s="5" t="s">
        <v>1287</v>
      </c>
      <c r="W435" s="5"/>
      <c r="X435" s="13" t="s">
        <v>385</v>
      </c>
      <c r="Y435" s="5"/>
    </row>
    <row r="436" customFormat="false" ht="15" hidden="false" customHeight="false" outlineLevel="0" collapsed="false">
      <c r="A436" s="5" t="s">
        <v>4255</v>
      </c>
      <c r="B436" s="5" t="s">
        <v>340</v>
      </c>
      <c r="C436" s="5" t="s">
        <v>125</v>
      </c>
      <c r="D436" s="10" t="s">
        <v>56</v>
      </c>
      <c r="E436" s="5" t="n">
        <v>2</v>
      </c>
      <c r="F436" s="5" t="s">
        <v>4256</v>
      </c>
      <c r="G436" s="11" t="s">
        <v>4257</v>
      </c>
      <c r="H436" s="5" t="s">
        <v>4258</v>
      </c>
      <c r="I436" s="11" t="s">
        <v>4259</v>
      </c>
      <c r="J436" s="5" t="s">
        <v>4260</v>
      </c>
      <c r="K436" s="5" t="s">
        <v>4261</v>
      </c>
      <c r="L436" s="11" t="s">
        <v>4262</v>
      </c>
      <c r="M436" s="11" t="s">
        <v>4263</v>
      </c>
      <c r="N436" s="5" t="n">
        <f aca="false">LEN(L436)</f>
        <v>25</v>
      </c>
      <c r="O436" s="5" t="n">
        <f aca="false">LEN(M436)</f>
        <v>25</v>
      </c>
      <c r="P436" s="12" t="n">
        <f aca="false">IF(N436=0,"",(N436-LEN(SUBSTITUTE(SUBSTITUTE(L436,"G",""),"C","")))/N436)</f>
        <v>0.4</v>
      </c>
      <c r="Q436" s="12" t="n">
        <f aca="false">IF(O436=0,"",(O436-LEN(SUBSTITUTE(SUBSTITUTE(M436,"G",""),"C","")))/O436)</f>
        <v>0.56</v>
      </c>
      <c r="R436" s="5"/>
      <c r="S436" s="5" t="s">
        <v>382</v>
      </c>
      <c r="T436" s="5"/>
      <c r="U436" s="5" t="s">
        <v>383</v>
      </c>
      <c r="V436" s="5" t="s">
        <v>1287</v>
      </c>
      <c r="W436" s="5"/>
      <c r="X436" s="13" t="s">
        <v>385</v>
      </c>
      <c r="Y436" s="5"/>
    </row>
    <row r="437" customFormat="false" ht="15" hidden="false" customHeight="false" outlineLevel="0" collapsed="false">
      <c r="A437" s="5" t="s">
        <v>4264</v>
      </c>
      <c r="B437" s="5" t="s">
        <v>340</v>
      </c>
      <c r="C437" s="5" t="s">
        <v>125</v>
      </c>
      <c r="D437" s="10" t="s">
        <v>56</v>
      </c>
      <c r="E437" s="5" t="n">
        <v>3</v>
      </c>
      <c r="F437" s="5" t="s">
        <v>4265</v>
      </c>
      <c r="G437" s="11" t="s">
        <v>4266</v>
      </c>
      <c r="H437" s="5" t="s">
        <v>4267</v>
      </c>
      <c r="I437" s="11" t="s">
        <v>4268</v>
      </c>
      <c r="J437" s="5" t="s">
        <v>4269</v>
      </c>
      <c r="K437" s="5" t="s">
        <v>4270</v>
      </c>
      <c r="L437" s="11" t="s">
        <v>4271</v>
      </c>
      <c r="M437" s="11" t="s">
        <v>4272</v>
      </c>
      <c r="N437" s="5" t="n">
        <f aca="false">LEN(L437)</f>
        <v>25</v>
      </c>
      <c r="O437" s="5" t="n">
        <f aca="false">LEN(M437)</f>
        <v>25</v>
      </c>
      <c r="P437" s="12" t="n">
        <f aca="false">IF(N437=0,"",(N437-LEN(SUBSTITUTE(SUBSTITUTE(L437,"G",""),"C","")))/N437)</f>
        <v>0.44</v>
      </c>
      <c r="Q437" s="12" t="n">
        <f aca="false">IF(O437=0,"",(O437-LEN(SUBSTITUTE(SUBSTITUTE(M437,"G",""),"C","")))/O437)</f>
        <v>0.4</v>
      </c>
      <c r="R437" s="5"/>
      <c r="S437" s="5" t="s">
        <v>382</v>
      </c>
      <c r="T437" s="5"/>
      <c r="U437" s="5" t="s">
        <v>383</v>
      </c>
      <c r="V437" s="5" t="s">
        <v>1287</v>
      </c>
      <c r="W437" s="5"/>
      <c r="X437" s="13" t="s">
        <v>385</v>
      </c>
      <c r="Y437" s="5"/>
    </row>
    <row r="438" customFormat="false" ht="15" hidden="false" customHeight="false" outlineLevel="0" collapsed="false">
      <c r="A438" s="5" t="s">
        <v>4273</v>
      </c>
      <c r="B438" s="5" t="s">
        <v>340</v>
      </c>
      <c r="C438" s="5" t="s">
        <v>125</v>
      </c>
      <c r="D438" s="10" t="s">
        <v>56</v>
      </c>
      <c r="E438" s="5" t="n">
        <v>4</v>
      </c>
      <c r="F438" s="5" t="s">
        <v>4274</v>
      </c>
      <c r="G438" s="11" t="s">
        <v>4275</v>
      </c>
      <c r="H438" s="5" t="s">
        <v>4276</v>
      </c>
      <c r="I438" s="11" t="s">
        <v>4277</v>
      </c>
      <c r="J438" s="5" t="s">
        <v>4278</v>
      </c>
      <c r="K438" s="5" t="s">
        <v>4279</v>
      </c>
      <c r="L438" s="11" t="s">
        <v>4280</v>
      </c>
      <c r="M438" s="11" t="s">
        <v>4281</v>
      </c>
      <c r="N438" s="5" t="n">
        <f aca="false">LEN(L438)</f>
        <v>25</v>
      </c>
      <c r="O438" s="5" t="n">
        <f aca="false">LEN(M438)</f>
        <v>25</v>
      </c>
      <c r="P438" s="12" t="n">
        <f aca="false">IF(N438=0,"",(N438-LEN(SUBSTITUTE(SUBSTITUTE(L438,"G",""),"C","")))/N438)</f>
        <v>0.64</v>
      </c>
      <c r="Q438" s="12" t="n">
        <f aca="false">IF(O438=0,"",(O438-LEN(SUBSTITUTE(SUBSTITUTE(M438,"G",""),"C","")))/O438)</f>
        <v>0.72</v>
      </c>
      <c r="R438" s="5"/>
      <c r="S438" s="5" t="s">
        <v>382</v>
      </c>
      <c r="T438" s="5"/>
      <c r="U438" s="5" t="s">
        <v>383</v>
      </c>
      <c r="V438" s="5" t="s">
        <v>1287</v>
      </c>
      <c r="W438" s="5"/>
      <c r="X438" s="13" t="s">
        <v>385</v>
      </c>
      <c r="Y438" s="5"/>
    </row>
    <row r="439" customFormat="false" ht="15" hidden="false" customHeight="false" outlineLevel="0" collapsed="false">
      <c r="A439" s="5" t="s">
        <v>4282</v>
      </c>
      <c r="B439" s="5" t="s">
        <v>340</v>
      </c>
      <c r="C439" s="5" t="s">
        <v>125</v>
      </c>
      <c r="D439" s="10" t="s">
        <v>56</v>
      </c>
      <c r="E439" s="5" t="n">
        <v>5</v>
      </c>
      <c r="F439" s="5" t="s">
        <v>4283</v>
      </c>
      <c r="G439" s="11" t="s">
        <v>4284</v>
      </c>
      <c r="H439" s="5" t="s">
        <v>4285</v>
      </c>
      <c r="I439" s="11" t="s">
        <v>4286</v>
      </c>
      <c r="J439" s="5" t="s">
        <v>4287</v>
      </c>
      <c r="K439" s="5" t="s">
        <v>4288</v>
      </c>
      <c r="L439" s="11" t="s">
        <v>4289</v>
      </c>
      <c r="M439" s="11" t="s">
        <v>4290</v>
      </c>
      <c r="N439" s="5" t="n">
        <f aca="false">LEN(L439)</f>
        <v>25</v>
      </c>
      <c r="O439" s="5" t="n">
        <f aca="false">LEN(M439)</f>
        <v>25</v>
      </c>
      <c r="P439" s="12" t="n">
        <f aca="false">IF(N439=0,"",(N439-LEN(SUBSTITUTE(SUBSTITUTE(L439,"G",""),"C","")))/N439)</f>
        <v>0.56</v>
      </c>
      <c r="Q439" s="12" t="n">
        <f aca="false">IF(O439=0,"",(O439-LEN(SUBSTITUTE(SUBSTITUTE(M439,"G",""),"C","")))/O439)</f>
        <v>0.6</v>
      </c>
      <c r="R439" s="5"/>
      <c r="S439" s="5" t="s">
        <v>382</v>
      </c>
      <c r="T439" s="5"/>
      <c r="U439" s="5" t="s">
        <v>383</v>
      </c>
      <c r="V439" s="5" t="s">
        <v>1287</v>
      </c>
      <c r="W439" s="5"/>
      <c r="X439" s="13" t="s">
        <v>385</v>
      </c>
      <c r="Y439" s="5"/>
    </row>
    <row r="440" customFormat="false" ht="15" hidden="false" customHeight="false" outlineLevel="0" collapsed="false">
      <c r="A440" s="5" t="s">
        <v>4291</v>
      </c>
      <c r="B440" s="5" t="s">
        <v>340</v>
      </c>
      <c r="C440" s="5" t="s">
        <v>125</v>
      </c>
      <c r="D440" s="10" t="s">
        <v>56</v>
      </c>
      <c r="E440" s="5" t="n">
        <v>6</v>
      </c>
      <c r="F440" s="5" t="s">
        <v>4292</v>
      </c>
      <c r="G440" s="11" t="s">
        <v>4293</v>
      </c>
      <c r="H440" s="5" t="s">
        <v>4294</v>
      </c>
      <c r="I440" s="11" t="s">
        <v>4295</v>
      </c>
      <c r="J440" s="5" t="s">
        <v>4296</v>
      </c>
      <c r="K440" s="5" t="s">
        <v>4297</v>
      </c>
      <c r="L440" s="11" t="s">
        <v>4298</v>
      </c>
      <c r="M440" s="11" t="s">
        <v>4299</v>
      </c>
      <c r="N440" s="5" t="n">
        <f aca="false">LEN(L440)</f>
        <v>25</v>
      </c>
      <c r="O440" s="5" t="n">
        <f aca="false">LEN(M440)</f>
        <v>25</v>
      </c>
      <c r="P440" s="12" t="n">
        <f aca="false">IF(N440=0,"",(N440-LEN(SUBSTITUTE(SUBSTITUTE(L440,"G",""),"C","")))/N440)</f>
        <v>0.56</v>
      </c>
      <c r="Q440" s="12" t="n">
        <f aca="false">IF(O440=0,"",(O440-LEN(SUBSTITUTE(SUBSTITUTE(M440,"G",""),"C","")))/O440)</f>
        <v>0.64</v>
      </c>
      <c r="R440" s="5"/>
      <c r="S440" s="5" t="s">
        <v>382</v>
      </c>
      <c r="T440" s="5"/>
      <c r="U440" s="5" t="s">
        <v>383</v>
      </c>
      <c r="V440" s="5" t="s">
        <v>1287</v>
      </c>
      <c r="W440" s="5"/>
      <c r="X440" s="13" t="s">
        <v>385</v>
      </c>
      <c r="Y440" s="5"/>
    </row>
    <row r="441" customFormat="false" ht="15" hidden="false" customHeight="false" outlineLevel="0" collapsed="false">
      <c r="A441" s="5" t="s">
        <v>4300</v>
      </c>
      <c r="B441" s="5" t="s">
        <v>340</v>
      </c>
      <c r="C441" s="5" t="s">
        <v>125</v>
      </c>
      <c r="D441" s="10" t="s">
        <v>56</v>
      </c>
      <c r="E441" s="5" t="n">
        <v>7</v>
      </c>
      <c r="F441" s="5" t="s">
        <v>4301</v>
      </c>
      <c r="G441" s="11" t="s">
        <v>4302</v>
      </c>
      <c r="H441" s="5" t="s">
        <v>4303</v>
      </c>
      <c r="I441" s="11" t="s">
        <v>4304</v>
      </c>
      <c r="J441" s="5" t="s">
        <v>4305</v>
      </c>
      <c r="K441" s="5" t="s">
        <v>4306</v>
      </c>
      <c r="L441" s="11" t="s">
        <v>4307</v>
      </c>
      <c r="M441" s="11" t="s">
        <v>4308</v>
      </c>
      <c r="N441" s="5" t="n">
        <f aca="false">LEN(L441)</f>
        <v>25</v>
      </c>
      <c r="O441" s="5" t="n">
        <f aca="false">LEN(M441)</f>
        <v>25</v>
      </c>
      <c r="P441" s="12" t="n">
        <f aca="false">IF(N441=0,"",(N441-LEN(SUBSTITUTE(SUBSTITUTE(L441,"G",""),"C","")))/N441)</f>
        <v>0.56</v>
      </c>
      <c r="Q441" s="12" t="n">
        <f aca="false">IF(O441=0,"",(O441-LEN(SUBSTITUTE(SUBSTITUTE(M441,"G",""),"C","")))/O441)</f>
        <v>0.56</v>
      </c>
      <c r="R441" s="5"/>
      <c r="S441" s="5" t="s">
        <v>382</v>
      </c>
      <c r="T441" s="5"/>
      <c r="U441" s="5" t="s">
        <v>383</v>
      </c>
      <c r="V441" s="5" t="s">
        <v>1287</v>
      </c>
      <c r="W441" s="5"/>
      <c r="X441" s="13" t="s">
        <v>385</v>
      </c>
      <c r="Y441" s="5"/>
    </row>
    <row r="442" customFormat="false" ht="15" hidden="false" customHeight="false" outlineLevel="0" collapsed="false">
      <c r="A442" s="5" t="s">
        <v>4309</v>
      </c>
      <c r="B442" s="5" t="s">
        <v>340</v>
      </c>
      <c r="C442" s="5" t="s">
        <v>125</v>
      </c>
      <c r="D442" s="10" t="s">
        <v>56</v>
      </c>
      <c r="E442" s="5" t="n">
        <v>8</v>
      </c>
      <c r="F442" s="5" t="s">
        <v>4310</v>
      </c>
      <c r="G442" s="11" t="s">
        <v>4311</v>
      </c>
      <c r="H442" s="5" t="s">
        <v>4312</v>
      </c>
      <c r="I442" s="11" t="s">
        <v>4313</v>
      </c>
      <c r="J442" s="5" t="s">
        <v>4314</v>
      </c>
      <c r="K442" s="5" t="s">
        <v>4315</v>
      </c>
      <c r="L442" s="11" t="s">
        <v>4316</v>
      </c>
      <c r="M442" s="11" t="s">
        <v>4317</v>
      </c>
      <c r="N442" s="5" t="n">
        <f aca="false">LEN(L442)</f>
        <v>25</v>
      </c>
      <c r="O442" s="5" t="n">
        <f aca="false">LEN(M442)</f>
        <v>25</v>
      </c>
      <c r="P442" s="12" t="n">
        <f aca="false">IF(N442=0,"",(N442-LEN(SUBSTITUTE(SUBSTITUTE(L442,"G",""),"C","")))/N442)</f>
        <v>0.56</v>
      </c>
      <c r="Q442" s="12" t="n">
        <f aca="false">IF(O442=0,"",(O442-LEN(SUBSTITUTE(SUBSTITUTE(M442,"G",""),"C","")))/O442)</f>
        <v>0.44</v>
      </c>
      <c r="R442" s="5"/>
      <c r="S442" s="5" t="s">
        <v>382</v>
      </c>
      <c r="T442" s="5"/>
      <c r="U442" s="5" t="s">
        <v>383</v>
      </c>
      <c r="V442" s="5" t="s">
        <v>1287</v>
      </c>
      <c r="W442" s="5"/>
      <c r="X442" s="13" t="s">
        <v>385</v>
      </c>
      <c r="Y442" s="5"/>
    </row>
    <row r="443" customFormat="false" ht="15" hidden="false" customHeight="false" outlineLevel="0" collapsed="false">
      <c r="A443" s="5" t="s">
        <v>4318</v>
      </c>
      <c r="B443" s="5" t="s">
        <v>341</v>
      </c>
      <c r="C443" s="5" t="s">
        <v>267</v>
      </c>
      <c r="D443" s="10" t="s">
        <v>56</v>
      </c>
      <c r="E443" s="5" t="n">
        <v>1</v>
      </c>
      <c r="F443" s="5" t="s">
        <v>4319</v>
      </c>
      <c r="G443" s="11" t="s">
        <v>4320</v>
      </c>
      <c r="H443" s="5" t="s">
        <v>4321</v>
      </c>
      <c r="I443" s="11" t="s">
        <v>4322</v>
      </c>
      <c r="J443" s="5" t="s">
        <v>4323</v>
      </c>
      <c r="K443" s="5" t="s">
        <v>4324</v>
      </c>
      <c r="L443" s="11" t="s">
        <v>4325</v>
      </c>
      <c r="M443" s="11" t="s">
        <v>4326</v>
      </c>
      <c r="N443" s="5" t="n">
        <f aca="false">LEN(L443)</f>
        <v>25</v>
      </c>
      <c r="O443" s="5" t="n">
        <f aca="false">LEN(M443)</f>
        <v>25</v>
      </c>
      <c r="P443" s="12" t="n">
        <f aca="false">IF(N443=0,"",(N443-LEN(SUBSTITUTE(SUBSTITUTE(L443,"G",""),"C","")))/N443)</f>
        <v>0.72</v>
      </c>
      <c r="Q443" s="12" t="n">
        <f aca="false">IF(O443=0,"",(O443-LEN(SUBSTITUTE(SUBSTITUTE(M443,"G",""),"C","")))/O443)</f>
        <v>0.6</v>
      </c>
      <c r="R443" s="5"/>
      <c r="S443" s="5" t="s">
        <v>382</v>
      </c>
      <c r="T443" s="5"/>
      <c r="U443" s="5" t="s">
        <v>383</v>
      </c>
      <c r="V443" s="5" t="s">
        <v>3148</v>
      </c>
      <c r="W443" s="5"/>
      <c r="X443" s="13" t="s">
        <v>385</v>
      </c>
      <c r="Y443" s="5"/>
    </row>
    <row r="444" customFormat="false" ht="15" hidden="false" customHeight="false" outlineLevel="0" collapsed="false">
      <c r="A444" s="5" t="s">
        <v>4327</v>
      </c>
      <c r="B444" s="5" t="s">
        <v>341</v>
      </c>
      <c r="C444" s="5" t="s">
        <v>267</v>
      </c>
      <c r="D444" s="10" t="s">
        <v>56</v>
      </c>
      <c r="E444" s="5" t="n">
        <v>2</v>
      </c>
      <c r="F444" s="5" t="s">
        <v>4328</v>
      </c>
      <c r="G444" s="11" t="s">
        <v>4329</v>
      </c>
      <c r="H444" s="5" t="s">
        <v>4330</v>
      </c>
      <c r="I444" s="11" t="s">
        <v>4331</v>
      </c>
      <c r="J444" s="5" t="s">
        <v>4332</v>
      </c>
      <c r="K444" s="5" t="s">
        <v>4333</v>
      </c>
      <c r="L444" s="11" t="s">
        <v>4334</v>
      </c>
      <c r="M444" s="11" t="s">
        <v>4335</v>
      </c>
      <c r="N444" s="5" t="n">
        <f aca="false">LEN(L444)</f>
        <v>25</v>
      </c>
      <c r="O444" s="5" t="n">
        <f aca="false">LEN(M444)</f>
        <v>25</v>
      </c>
      <c r="P444" s="12" t="n">
        <f aca="false">IF(N444=0,"",(N444-LEN(SUBSTITUTE(SUBSTITUTE(L444,"G",""),"C","")))/N444)</f>
        <v>0.4</v>
      </c>
      <c r="Q444" s="12" t="n">
        <f aca="false">IF(O444=0,"",(O444-LEN(SUBSTITUTE(SUBSTITUTE(M444,"G",""),"C","")))/O444)</f>
        <v>0.6</v>
      </c>
      <c r="R444" s="5"/>
      <c r="S444" s="5" t="s">
        <v>382</v>
      </c>
      <c r="T444" s="5"/>
      <c r="U444" s="5" t="s">
        <v>383</v>
      </c>
      <c r="V444" s="5" t="s">
        <v>3148</v>
      </c>
      <c r="W444" s="5"/>
      <c r="X444" s="13" t="s">
        <v>385</v>
      </c>
      <c r="Y444" s="5"/>
    </row>
    <row r="445" customFormat="false" ht="15" hidden="false" customHeight="false" outlineLevel="0" collapsed="false">
      <c r="A445" s="5" t="s">
        <v>4336</v>
      </c>
      <c r="B445" s="5" t="s">
        <v>341</v>
      </c>
      <c r="C445" s="5" t="s">
        <v>267</v>
      </c>
      <c r="D445" s="10" t="s">
        <v>56</v>
      </c>
      <c r="E445" s="5" t="n">
        <v>3</v>
      </c>
      <c r="F445" s="5" t="s">
        <v>4337</v>
      </c>
      <c r="G445" s="11" t="s">
        <v>4338</v>
      </c>
      <c r="H445" s="5" t="s">
        <v>4339</v>
      </c>
      <c r="I445" s="11" t="s">
        <v>4340</v>
      </c>
      <c r="J445" s="5" t="s">
        <v>4341</v>
      </c>
      <c r="K445" s="5" t="s">
        <v>4342</v>
      </c>
      <c r="L445" s="11" t="s">
        <v>4343</v>
      </c>
      <c r="M445" s="11" t="s">
        <v>4344</v>
      </c>
      <c r="N445" s="5" t="n">
        <f aca="false">LEN(L445)</f>
        <v>25</v>
      </c>
      <c r="O445" s="5" t="n">
        <f aca="false">LEN(M445)</f>
        <v>25</v>
      </c>
      <c r="P445" s="12" t="n">
        <f aca="false">IF(N445=0,"",(N445-LEN(SUBSTITUTE(SUBSTITUTE(L445,"G",""),"C","")))/N445)</f>
        <v>0.76</v>
      </c>
      <c r="Q445" s="12" t="n">
        <f aca="false">IF(O445=0,"",(O445-LEN(SUBSTITUTE(SUBSTITUTE(M445,"G",""),"C","")))/O445)</f>
        <v>0.56</v>
      </c>
      <c r="R445" s="5"/>
      <c r="S445" s="5" t="s">
        <v>382</v>
      </c>
      <c r="T445" s="5"/>
      <c r="U445" s="5" t="s">
        <v>383</v>
      </c>
      <c r="V445" s="5" t="s">
        <v>3148</v>
      </c>
      <c r="W445" s="5"/>
      <c r="X445" s="13" t="s">
        <v>385</v>
      </c>
      <c r="Y445" s="5"/>
    </row>
    <row r="446" customFormat="false" ht="15" hidden="false" customHeight="false" outlineLevel="0" collapsed="false">
      <c r="A446" s="5" t="s">
        <v>4345</v>
      </c>
      <c r="B446" s="5" t="s">
        <v>341</v>
      </c>
      <c r="C446" s="5" t="s">
        <v>267</v>
      </c>
      <c r="D446" s="10" t="s">
        <v>56</v>
      </c>
      <c r="E446" s="5" t="n">
        <v>4</v>
      </c>
      <c r="F446" s="5" t="s">
        <v>4346</v>
      </c>
      <c r="G446" s="11" t="s">
        <v>4347</v>
      </c>
      <c r="H446" s="5" t="s">
        <v>4348</v>
      </c>
      <c r="I446" s="11" t="s">
        <v>4349</v>
      </c>
      <c r="J446" s="5" t="s">
        <v>4350</v>
      </c>
      <c r="K446" s="5" t="s">
        <v>4351</v>
      </c>
      <c r="L446" s="11" t="s">
        <v>4352</v>
      </c>
      <c r="M446" s="11" t="s">
        <v>4353</v>
      </c>
      <c r="N446" s="5" t="n">
        <f aca="false">LEN(L446)</f>
        <v>25</v>
      </c>
      <c r="O446" s="5" t="n">
        <f aca="false">LEN(M446)</f>
        <v>25</v>
      </c>
      <c r="P446" s="12" t="n">
        <f aca="false">IF(N446=0,"",(N446-LEN(SUBSTITUTE(SUBSTITUTE(L446,"G",""),"C","")))/N446)</f>
        <v>0.68</v>
      </c>
      <c r="Q446" s="12" t="n">
        <f aca="false">IF(O446=0,"",(O446-LEN(SUBSTITUTE(SUBSTITUTE(M446,"G",""),"C","")))/O446)</f>
        <v>0.68</v>
      </c>
      <c r="R446" s="5"/>
      <c r="S446" s="5" t="s">
        <v>382</v>
      </c>
      <c r="T446" s="5"/>
      <c r="U446" s="5" t="s">
        <v>383</v>
      </c>
      <c r="V446" s="5" t="s">
        <v>3148</v>
      </c>
      <c r="W446" s="5"/>
      <c r="X446" s="13" t="s">
        <v>385</v>
      </c>
      <c r="Y446" s="5"/>
    </row>
    <row r="447" customFormat="false" ht="15" hidden="false" customHeight="false" outlineLevel="0" collapsed="false">
      <c r="A447" s="5" t="s">
        <v>4354</v>
      </c>
      <c r="B447" s="5" t="s">
        <v>341</v>
      </c>
      <c r="C447" s="5" t="s">
        <v>267</v>
      </c>
      <c r="D447" s="10" t="s">
        <v>56</v>
      </c>
      <c r="E447" s="5" t="n">
        <v>5</v>
      </c>
      <c r="F447" s="5" t="s">
        <v>4355</v>
      </c>
      <c r="G447" s="11" t="s">
        <v>4356</v>
      </c>
      <c r="H447" s="5" t="s">
        <v>4357</v>
      </c>
      <c r="I447" s="11" t="s">
        <v>4358</v>
      </c>
      <c r="J447" s="5" t="s">
        <v>4359</v>
      </c>
      <c r="K447" s="5" t="s">
        <v>4360</v>
      </c>
      <c r="L447" s="11" t="s">
        <v>4361</v>
      </c>
      <c r="M447" s="11" t="s">
        <v>4362</v>
      </c>
      <c r="N447" s="5" t="n">
        <f aca="false">LEN(L447)</f>
        <v>25</v>
      </c>
      <c r="O447" s="5" t="n">
        <f aca="false">LEN(M447)</f>
        <v>25</v>
      </c>
      <c r="P447" s="12" t="n">
        <f aca="false">IF(N447=0,"",(N447-LEN(SUBSTITUTE(SUBSTITUTE(L447,"G",""),"C","")))/N447)</f>
        <v>0.6</v>
      </c>
      <c r="Q447" s="12" t="n">
        <f aca="false">IF(O447=0,"",(O447-LEN(SUBSTITUTE(SUBSTITUTE(M447,"G",""),"C","")))/O447)</f>
        <v>0.52</v>
      </c>
      <c r="R447" s="5"/>
      <c r="S447" s="5" t="s">
        <v>382</v>
      </c>
      <c r="T447" s="5"/>
      <c r="U447" s="5" t="s">
        <v>383</v>
      </c>
      <c r="V447" s="5" t="s">
        <v>3148</v>
      </c>
      <c r="W447" s="5"/>
      <c r="X447" s="13" t="s">
        <v>385</v>
      </c>
      <c r="Y447" s="5"/>
    </row>
    <row r="448" customFormat="false" ht="15" hidden="false" customHeight="false" outlineLevel="0" collapsed="false">
      <c r="A448" s="5" t="s">
        <v>4363</v>
      </c>
      <c r="B448" s="5" t="s">
        <v>341</v>
      </c>
      <c r="C448" s="5" t="s">
        <v>267</v>
      </c>
      <c r="D448" s="10" t="s">
        <v>56</v>
      </c>
      <c r="E448" s="5" t="n">
        <v>6</v>
      </c>
      <c r="F448" s="5" t="s">
        <v>4364</v>
      </c>
      <c r="G448" s="11" t="s">
        <v>4365</v>
      </c>
      <c r="H448" s="5" t="s">
        <v>4366</v>
      </c>
      <c r="I448" s="11" t="s">
        <v>4367</v>
      </c>
      <c r="J448" s="5" t="s">
        <v>4368</v>
      </c>
      <c r="K448" s="5" t="s">
        <v>4369</v>
      </c>
      <c r="L448" s="11" t="s">
        <v>4370</v>
      </c>
      <c r="M448" s="11" t="s">
        <v>4371</v>
      </c>
      <c r="N448" s="5" t="n">
        <f aca="false">LEN(L448)</f>
        <v>25</v>
      </c>
      <c r="O448" s="5" t="n">
        <f aca="false">LEN(M448)</f>
        <v>25</v>
      </c>
      <c r="P448" s="12" t="n">
        <f aca="false">IF(N448=0,"",(N448-LEN(SUBSTITUTE(SUBSTITUTE(L448,"G",""),"C","")))/N448)</f>
        <v>0.48</v>
      </c>
      <c r="Q448" s="12" t="n">
        <f aca="false">IF(O448=0,"",(O448-LEN(SUBSTITUTE(SUBSTITUTE(M448,"G",""),"C","")))/O448)</f>
        <v>0.64</v>
      </c>
      <c r="R448" s="5"/>
      <c r="S448" s="5" t="s">
        <v>382</v>
      </c>
      <c r="T448" s="5"/>
      <c r="U448" s="5" t="s">
        <v>383</v>
      </c>
      <c r="V448" s="5" t="s">
        <v>3148</v>
      </c>
      <c r="W448" s="5"/>
      <c r="X448" s="13" t="s">
        <v>385</v>
      </c>
      <c r="Y448" s="5"/>
    </row>
    <row r="449" customFormat="false" ht="15" hidden="false" customHeight="false" outlineLevel="0" collapsed="false">
      <c r="A449" s="5" t="s">
        <v>4372</v>
      </c>
      <c r="B449" s="5" t="s">
        <v>341</v>
      </c>
      <c r="C449" s="5" t="s">
        <v>267</v>
      </c>
      <c r="D449" s="10" t="s">
        <v>56</v>
      </c>
      <c r="E449" s="5" t="n">
        <v>7</v>
      </c>
      <c r="F449" s="5" t="s">
        <v>4373</v>
      </c>
      <c r="G449" s="11" t="s">
        <v>4374</v>
      </c>
      <c r="H449" s="5" t="s">
        <v>4375</v>
      </c>
      <c r="I449" s="11" t="s">
        <v>4376</v>
      </c>
      <c r="J449" s="5" t="s">
        <v>4377</v>
      </c>
      <c r="K449" s="5" t="s">
        <v>4378</v>
      </c>
      <c r="L449" s="11" t="s">
        <v>4379</v>
      </c>
      <c r="M449" s="11" t="s">
        <v>4380</v>
      </c>
      <c r="N449" s="5" t="n">
        <f aca="false">LEN(L449)</f>
        <v>25</v>
      </c>
      <c r="O449" s="5" t="n">
        <f aca="false">LEN(M449)</f>
        <v>25</v>
      </c>
      <c r="P449" s="12" t="n">
        <f aca="false">IF(N449=0,"",(N449-LEN(SUBSTITUTE(SUBSTITUTE(L449,"G",""),"C","")))/N449)</f>
        <v>0.68</v>
      </c>
      <c r="Q449" s="12" t="n">
        <f aca="false">IF(O449=0,"",(O449-LEN(SUBSTITUTE(SUBSTITUTE(M449,"G",""),"C","")))/O449)</f>
        <v>0.6</v>
      </c>
      <c r="R449" s="5"/>
      <c r="S449" s="5" t="s">
        <v>382</v>
      </c>
      <c r="T449" s="5"/>
      <c r="U449" s="5" t="s">
        <v>383</v>
      </c>
      <c r="V449" s="5" t="s">
        <v>3148</v>
      </c>
      <c r="W449" s="5"/>
      <c r="X449" s="13" t="s">
        <v>385</v>
      </c>
      <c r="Y449" s="5"/>
    </row>
    <row r="450" customFormat="false" ht="15" hidden="false" customHeight="false" outlineLevel="0" collapsed="false">
      <c r="A450" s="5" t="s">
        <v>4381</v>
      </c>
      <c r="B450" s="5" t="s">
        <v>341</v>
      </c>
      <c r="C450" s="5" t="s">
        <v>267</v>
      </c>
      <c r="D450" s="10" t="s">
        <v>56</v>
      </c>
      <c r="E450" s="5" t="n">
        <v>8</v>
      </c>
      <c r="F450" s="5" t="s">
        <v>4382</v>
      </c>
      <c r="G450" s="11" t="s">
        <v>4383</v>
      </c>
      <c r="H450" s="5" t="s">
        <v>4384</v>
      </c>
      <c r="I450" s="11" t="s">
        <v>4385</v>
      </c>
      <c r="J450" s="5" t="s">
        <v>4386</v>
      </c>
      <c r="K450" s="5" t="s">
        <v>4387</v>
      </c>
      <c r="L450" s="11" t="s">
        <v>3146</v>
      </c>
      <c r="M450" s="11" t="s">
        <v>3147</v>
      </c>
      <c r="N450" s="5" t="n">
        <f aca="false">LEN(L450)</f>
        <v>25</v>
      </c>
      <c r="O450" s="5" t="n">
        <f aca="false">LEN(M450)</f>
        <v>25</v>
      </c>
      <c r="P450" s="12" t="n">
        <f aca="false">IF(N450=0,"",(N450-LEN(SUBSTITUTE(SUBSTITUTE(L450,"G",""),"C","")))/N450)</f>
        <v>0.76</v>
      </c>
      <c r="Q450" s="12" t="n">
        <f aca="false">IF(O450=0,"",(O450-LEN(SUBSTITUTE(SUBSTITUTE(M450,"G",""),"C","")))/O450)</f>
        <v>0.8</v>
      </c>
      <c r="R450" s="5"/>
      <c r="S450" s="5" t="s">
        <v>382</v>
      </c>
      <c r="T450" s="5"/>
      <c r="U450" s="5" t="s">
        <v>383</v>
      </c>
      <c r="V450" s="5" t="s">
        <v>3148</v>
      </c>
      <c r="W450" s="5"/>
      <c r="X450" s="13" t="s">
        <v>385</v>
      </c>
      <c r="Y450" s="5"/>
    </row>
    <row r="451" customFormat="false" ht="15" hidden="false" customHeight="false" outlineLevel="0" collapsed="false">
      <c r="A451" s="5" t="s">
        <v>4388</v>
      </c>
      <c r="B451" s="5" t="s">
        <v>342</v>
      </c>
      <c r="C451" s="5" t="s">
        <v>343</v>
      </c>
      <c r="D451" s="10" t="s">
        <v>56</v>
      </c>
      <c r="E451" s="5" t="n">
        <v>1</v>
      </c>
      <c r="F451" s="5" t="s">
        <v>4389</v>
      </c>
      <c r="G451" s="11" t="s">
        <v>4390</v>
      </c>
      <c r="H451" s="5" t="s">
        <v>4391</v>
      </c>
      <c r="I451" s="11" t="s">
        <v>4392</v>
      </c>
      <c r="J451" s="5" t="s">
        <v>4393</v>
      </c>
      <c r="K451" s="5" t="s">
        <v>4394</v>
      </c>
      <c r="L451" s="11" t="s">
        <v>4395</v>
      </c>
      <c r="M451" s="11" t="s">
        <v>4396</v>
      </c>
      <c r="N451" s="5" t="n">
        <f aca="false">LEN(L451)</f>
        <v>25</v>
      </c>
      <c r="O451" s="5" t="n">
        <f aca="false">LEN(M451)</f>
        <v>25</v>
      </c>
      <c r="P451" s="12" t="n">
        <f aca="false">IF(N451=0,"",(N451-LEN(SUBSTITUTE(SUBSTITUTE(L451,"G",""),"C","")))/N451)</f>
        <v>0.8</v>
      </c>
      <c r="Q451" s="12" t="n">
        <f aca="false">IF(O451=0,"",(O451-LEN(SUBSTITUTE(SUBSTITUTE(M451,"G",""),"C","")))/O451)</f>
        <v>0.8</v>
      </c>
      <c r="R451" s="5"/>
      <c r="S451" s="5" t="s">
        <v>382</v>
      </c>
      <c r="T451" s="5"/>
      <c r="U451" s="5" t="s">
        <v>383</v>
      </c>
      <c r="V451" s="5" t="s">
        <v>4397</v>
      </c>
      <c r="W451" s="5"/>
      <c r="X451" s="13" t="s">
        <v>385</v>
      </c>
      <c r="Y451" s="5"/>
    </row>
    <row r="452" customFormat="false" ht="15" hidden="false" customHeight="false" outlineLevel="0" collapsed="false">
      <c r="A452" s="5" t="s">
        <v>4398</v>
      </c>
      <c r="B452" s="5" t="s">
        <v>342</v>
      </c>
      <c r="C452" s="5" t="s">
        <v>343</v>
      </c>
      <c r="D452" s="10" t="s">
        <v>56</v>
      </c>
      <c r="E452" s="5" t="n">
        <v>2</v>
      </c>
      <c r="F452" s="5" t="s">
        <v>4399</v>
      </c>
      <c r="G452" s="11" t="s">
        <v>4400</v>
      </c>
      <c r="H452" s="5" t="s">
        <v>4401</v>
      </c>
      <c r="I452" s="11" t="s">
        <v>4402</v>
      </c>
      <c r="J452" s="5" t="s">
        <v>4403</v>
      </c>
      <c r="K452" s="5" t="s">
        <v>4404</v>
      </c>
      <c r="L452" s="11" t="s">
        <v>4405</v>
      </c>
      <c r="M452" s="11" t="s">
        <v>4406</v>
      </c>
      <c r="N452" s="5" t="n">
        <f aca="false">LEN(L452)</f>
        <v>25</v>
      </c>
      <c r="O452" s="5" t="n">
        <f aca="false">LEN(M452)</f>
        <v>25</v>
      </c>
      <c r="P452" s="12" t="n">
        <f aca="false">IF(N452=0,"",(N452-LEN(SUBSTITUTE(SUBSTITUTE(L452,"G",""),"C","")))/N452)</f>
        <v>0.72</v>
      </c>
      <c r="Q452" s="12" t="n">
        <f aca="false">IF(O452=0,"",(O452-LEN(SUBSTITUTE(SUBSTITUTE(M452,"G",""),"C","")))/O452)</f>
        <v>0.84</v>
      </c>
      <c r="R452" s="5"/>
      <c r="S452" s="5" t="s">
        <v>382</v>
      </c>
      <c r="T452" s="5"/>
      <c r="U452" s="5" t="s">
        <v>383</v>
      </c>
      <c r="V452" s="5" t="s">
        <v>4397</v>
      </c>
      <c r="W452" s="5"/>
      <c r="X452" s="13" t="s">
        <v>385</v>
      </c>
      <c r="Y452" s="5"/>
    </row>
    <row r="453" customFormat="false" ht="15" hidden="false" customHeight="false" outlineLevel="0" collapsed="false">
      <c r="A453" s="5" t="s">
        <v>4407</v>
      </c>
      <c r="B453" s="5" t="s">
        <v>342</v>
      </c>
      <c r="C453" s="5" t="s">
        <v>343</v>
      </c>
      <c r="D453" s="10" t="s">
        <v>56</v>
      </c>
      <c r="E453" s="5" t="n">
        <v>3</v>
      </c>
      <c r="F453" s="5" t="s">
        <v>4408</v>
      </c>
      <c r="G453" s="11" t="s">
        <v>4409</v>
      </c>
      <c r="H453" s="5" t="s">
        <v>4410</v>
      </c>
      <c r="I453" s="11" t="s">
        <v>4411</v>
      </c>
      <c r="J453" s="5" t="s">
        <v>4412</v>
      </c>
      <c r="K453" s="5" t="s">
        <v>4413</v>
      </c>
      <c r="L453" s="11" t="s">
        <v>4414</v>
      </c>
      <c r="M453" s="11" t="s">
        <v>4415</v>
      </c>
      <c r="N453" s="5" t="n">
        <f aca="false">LEN(L453)</f>
        <v>25</v>
      </c>
      <c r="O453" s="5" t="n">
        <f aca="false">LEN(M453)</f>
        <v>25</v>
      </c>
      <c r="P453" s="12" t="n">
        <f aca="false">IF(N453=0,"",(N453-LEN(SUBSTITUTE(SUBSTITUTE(L453,"G",""),"C","")))/N453)</f>
        <v>0.44</v>
      </c>
      <c r="Q453" s="12" t="n">
        <f aca="false">IF(O453=0,"",(O453-LEN(SUBSTITUTE(SUBSTITUTE(M453,"G",""),"C","")))/O453)</f>
        <v>0.76</v>
      </c>
      <c r="R453" s="5"/>
      <c r="S453" s="5" t="s">
        <v>382</v>
      </c>
      <c r="T453" s="5"/>
      <c r="U453" s="5" t="s">
        <v>383</v>
      </c>
      <c r="V453" s="5" t="s">
        <v>4397</v>
      </c>
      <c r="W453" s="5"/>
      <c r="X453" s="13" t="s">
        <v>385</v>
      </c>
      <c r="Y453" s="5"/>
    </row>
    <row r="454" customFormat="false" ht="15" hidden="false" customHeight="false" outlineLevel="0" collapsed="false">
      <c r="A454" s="5" t="s">
        <v>4416</v>
      </c>
      <c r="B454" s="5" t="s">
        <v>342</v>
      </c>
      <c r="C454" s="5" t="s">
        <v>343</v>
      </c>
      <c r="D454" s="10" t="s">
        <v>56</v>
      </c>
      <c r="E454" s="5" t="n">
        <v>4</v>
      </c>
      <c r="F454" s="5" t="s">
        <v>4417</v>
      </c>
      <c r="G454" s="11" t="s">
        <v>4418</v>
      </c>
      <c r="H454" s="5" t="s">
        <v>4419</v>
      </c>
      <c r="I454" s="11" t="s">
        <v>4420</v>
      </c>
      <c r="J454" s="5" t="s">
        <v>4421</v>
      </c>
      <c r="K454" s="5" t="s">
        <v>4422</v>
      </c>
      <c r="L454" s="11" t="s">
        <v>4423</v>
      </c>
      <c r="M454" s="11" t="s">
        <v>4424</v>
      </c>
      <c r="N454" s="5" t="n">
        <f aca="false">LEN(L454)</f>
        <v>25</v>
      </c>
      <c r="O454" s="5" t="n">
        <f aca="false">LEN(M454)</f>
        <v>25</v>
      </c>
      <c r="P454" s="12" t="n">
        <f aca="false">IF(N454=0,"",(N454-LEN(SUBSTITUTE(SUBSTITUTE(L454,"G",""),"C","")))/N454)</f>
        <v>0.6</v>
      </c>
      <c r="Q454" s="12" t="n">
        <f aca="false">IF(O454=0,"",(O454-LEN(SUBSTITUTE(SUBSTITUTE(M454,"G",""),"C","")))/O454)</f>
        <v>0.76</v>
      </c>
      <c r="R454" s="5"/>
      <c r="S454" s="5" t="s">
        <v>382</v>
      </c>
      <c r="T454" s="5"/>
      <c r="U454" s="5" t="s">
        <v>383</v>
      </c>
      <c r="V454" s="5" t="s">
        <v>4397</v>
      </c>
      <c r="W454" s="5"/>
      <c r="X454" s="13" t="s">
        <v>385</v>
      </c>
      <c r="Y454" s="5"/>
    </row>
    <row r="455" customFormat="false" ht="15" hidden="false" customHeight="false" outlineLevel="0" collapsed="false">
      <c r="A455" s="5" t="s">
        <v>4425</v>
      </c>
      <c r="B455" s="5" t="s">
        <v>342</v>
      </c>
      <c r="C455" s="5" t="s">
        <v>343</v>
      </c>
      <c r="D455" s="10" t="s">
        <v>56</v>
      </c>
      <c r="E455" s="5" t="n">
        <v>5</v>
      </c>
      <c r="F455" s="5" t="s">
        <v>4426</v>
      </c>
      <c r="G455" s="11" t="s">
        <v>4427</v>
      </c>
      <c r="H455" s="5" t="s">
        <v>4428</v>
      </c>
      <c r="I455" s="11" t="s">
        <v>4429</v>
      </c>
      <c r="J455" s="5" t="s">
        <v>4430</v>
      </c>
      <c r="K455" s="5" t="s">
        <v>4431</v>
      </c>
      <c r="L455" s="11" t="s">
        <v>4432</v>
      </c>
      <c r="M455" s="11" t="s">
        <v>4433</v>
      </c>
      <c r="N455" s="5" t="n">
        <f aca="false">LEN(L455)</f>
        <v>25</v>
      </c>
      <c r="O455" s="5" t="n">
        <f aca="false">LEN(M455)</f>
        <v>25</v>
      </c>
      <c r="P455" s="12" t="n">
        <f aca="false">IF(N455=0,"",(N455-LEN(SUBSTITUTE(SUBSTITUTE(L455,"G",""),"C","")))/N455)</f>
        <v>0.72</v>
      </c>
      <c r="Q455" s="12" t="n">
        <f aca="false">IF(O455=0,"",(O455-LEN(SUBSTITUTE(SUBSTITUTE(M455,"G",""),"C","")))/O455)</f>
        <v>0.84</v>
      </c>
      <c r="R455" s="5"/>
      <c r="S455" s="5" t="s">
        <v>382</v>
      </c>
      <c r="T455" s="5"/>
      <c r="U455" s="5" t="s">
        <v>383</v>
      </c>
      <c r="V455" s="5" t="s">
        <v>4397</v>
      </c>
      <c r="W455" s="5"/>
      <c r="X455" s="13" t="s">
        <v>385</v>
      </c>
      <c r="Y455" s="5"/>
    </row>
    <row r="456" customFormat="false" ht="15" hidden="false" customHeight="false" outlineLevel="0" collapsed="false">
      <c r="A456" s="5" t="s">
        <v>4434</v>
      </c>
      <c r="B456" s="5" t="s">
        <v>342</v>
      </c>
      <c r="C456" s="5" t="s">
        <v>343</v>
      </c>
      <c r="D456" s="10" t="s">
        <v>56</v>
      </c>
      <c r="E456" s="5" t="n">
        <v>6</v>
      </c>
      <c r="F456" s="5" t="s">
        <v>4435</v>
      </c>
      <c r="G456" s="11" t="s">
        <v>4436</v>
      </c>
      <c r="H456" s="5" t="s">
        <v>4437</v>
      </c>
      <c r="I456" s="11" t="s">
        <v>4438</v>
      </c>
      <c r="J456" s="5" t="s">
        <v>4439</v>
      </c>
      <c r="K456" s="5" t="s">
        <v>4440</v>
      </c>
      <c r="L456" s="11" t="s">
        <v>4441</v>
      </c>
      <c r="M456" s="11" t="s">
        <v>4442</v>
      </c>
      <c r="N456" s="5" t="n">
        <f aca="false">LEN(L456)</f>
        <v>25</v>
      </c>
      <c r="O456" s="5" t="n">
        <f aca="false">LEN(M456)</f>
        <v>25</v>
      </c>
      <c r="P456" s="12" t="n">
        <f aca="false">IF(N456=0,"",(N456-LEN(SUBSTITUTE(SUBSTITUTE(L456,"G",""),"C","")))/N456)</f>
        <v>0.84</v>
      </c>
      <c r="Q456" s="12" t="n">
        <f aca="false">IF(O456=0,"",(O456-LEN(SUBSTITUTE(SUBSTITUTE(M456,"G",""),"C","")))/O456)</f>
        <v>0.72</v>
      </c>
      <c r="R456" s="5"/>
      <c r="S456" s="5" t="s">
        <v>382</v>
      </c>
      <c r="T456" s="5"/>
      <c r="U456" s="5" t="s">
        <v>383</v>
      </c>
      <c r="V456" s="5" t="s">
        <v>4397</v>
      </c>
      <c r="W456" s="5"/>
      <c r="X456" s="13" t="s">
        <v>385</v>
      </c>
      <c r="Y456" s="5"/>
    </row>
    <row r="457" customFormat="false" ht="15" hidden="false" customHeight="false" outlineLevel="0" collapsed="false">
      <c r="A457" s="5" t="s">
        <v>4443</v>
      </c>
      <c r="B457" s="5" t="s">
        <v>342</v>
      </c>
      <c r="C457" s="5" t="s">
        <v>343</v>
      </c>
      <c r="D457" s="10" t="s">
        <v>56</v>
      </c>
      <c r="E457" s="5" t="n">
        <v>7</v>
      </c>
      <c r="F457" s="5" t="s">
        <v>4444</v>
      </c>
      <c r="G457" s="11" t="s">
        <v>4445</v>
      </c>
      <c r="H457" s="5" t="s">
        <v>4446</v>
      </c>
      <c r="I457" s="11" t="s">
        <v>4447</v>
      </c>
      <c r="J457" s="5" t="s">
        <v>4448</v>
      </c>
      <c r="K457" s="5" t="s">
        <v>4449</v>
      </c>
      <c r="L457" s="11" t="s">
        <v>4450</v>
      </c>
      <c r="M457" s="11" t="s">
        <v>4451</v>
      </c>
      <c r="N457" s="5" t="n">
        <f aca="false">LEN(L457)</f>
        <v>25</v>
      </c>
      <c r="O457" s="5" t="n">
        <f aca="false">LEN(M457)</f>
        <v>25</v>
      </c>
      <c r="P457" s="12" t="n">
        <f aca="false">IF(N457=0,"",(N457-LEN(SUBSTITUTE(SUBSTITUTE(L457,"G",""),"C","")))/N457)</f>
        <v>0.6</v>
      </c>
      <c r="Q457" s="12" t="n">
        <f aca="false">IF(O457=0,"",(O457-LEN(SUBSTITUTE(SUBSTITUTE(M457,"G",""),"C","")))/O457)</f>
        <v>0.44</v>
      </c>
      <c r="R457" s="5"/>
      <c r="S457" s="5" t="s">
        <v>382</v>
      </c>
      <c r="T457" s="5"/>
      <c r="U457" s="5" t="s">
        <v>383</v>
      </c>
      <c r="V457" s="5" t="s">
        <v>4397</v>
      </c>
      <c r="W457" s="5"/>
      <c r="X457" s="13" t="s">
        <v>385</v>
      </c>
      <c r="Y457" s="5"/>
    </row>
    <row r="458" customFormat="false" ht="15" hidden="false" customHeight="false" outlineLevel="0" collapsed="false">
      <c r="A458" s="5" t="s">
        <v>4452</v>
      </c>
      <c r="B458" s="5" t="s">
        <v>342</v>
      </c>
      <c r="C458" s="5" t="s">
        <v>343</v>
      </c>
      <c r="D458" s="10" t="s">
        <v>56</v>
      </c>
      <c r="E458" s="5" t="n">
        <v>8</v>
      </c>
      <c r="F458" s="5" t="s">
        <v>4453</v>
      </c>
      <c r="G458" s="11" t="s">
        <v>4454</v>
      </c>
      <c r="H458" s="5" t="s">
        <v>4455</v>
      </c>
      <c r="I458" s="11" t="s">
        <v>4456</v>
      </c>
      <c r="J458" s="5" t="s">
        <v>4457</v>
      </c>
      <c r="K458" s="5" t="s">
        <v>4458</v>
      </c>
      <c r="L458" s="11" t="s">
        <v>4459</v>
      </c>
      <c r="M458" s="11" t="s">
        <v>4460</v>
      </c>
      <c r="N458" s="5" t="n">
        <f aca="false">LEN(L458)</f>
        <v>25</v>
      </c>
      <c r="O458" s="5" t="n">
        <f aca="false">LEN(M458)</f>
        <v>25</v>
      </c>
      <c r="P458" s="12" t="n">
        <f aca="false">IF(N458=0,"",(N458-LEN(SUBSTITUTE(SUBSTITUTE(L458,"G",""),"C","")))/N458)</f>
        <v>0.64</v>
      </c>
      <c r="Q458" s="12" t="n">
        <f aca="false">IF(O458=0,"",(O458-LEN(SUBSTITUTE(SUBSTITUTE(M458,"G",""),"C","")))/O458)</f>
        <v>0.96</v>
      </c>
      <c r="R458" s="5"/>
      <c r="S458" s="5" t="s">
        <v>382</v>
      </c>
      <c r="T458" s="5"/>
      <c r="U458" s="5" t="s">
        <v>383</v>
      </c>
      <c r="V458" s="5" t="s">
        <v>4397</v>
      </c>
      <c r="W458" s="5"/>
      <c r="X458" s="13" t="s">
        <v>385</v>
      </c>
      <c r="Y458" s="5"/>
    </row>
    <row r="459" customFormat="false" ht="15" hidden="false" customHeight="false" outlineLevel="0" collapsed="false">
      <c r="A459" s="5" t="s">
        <v>4461</v>
      </c>
      <c r="B459" s="5" t="s">
        <v>342</v>
      </c>
      <c r="C459" s="5" t="s">
        <v>343</v>
      </c>
      <c r="D459" s="10" t="s">
        <v>56</v>
      </c>
      <c r="E459" s="5" t="n">
        <v>9</v>
      </c>
      <c r="F459" s="5" t="s">
        <v>4462</v>
      </c>
      <c r="G459" s="11" t="s">
        <v>4463</v>
      </c>
      <c r="H459" s="5" t="s">
        <v>4464</v>
      </c>
      <c r="I459" s="11" t="s">
        <v>4465</v>
      </c>
      <c r="J459" s="5" t="s">
        <v>4466</v>
      </c>
      <c r="K459" s="5" t="s">
        <v>4467</v>
      </c>
      <c r="L459" s="11" t="s">
        <v>4468</v>
      </c>
      <c r="M459" s="11" t="s">
        <v>4469</v>
      </c>
      <c r="N459" s="5" t="n">
        <f aca="false">LEN(L459)</f>
        <v>25</v>
      </c>
      <c r="O459" s="5" t="n">
        <f aca="false">LEN(M459)</f>
        <v>25</v>
      </c>
      <c r="P459" s="12" t="n">
        <f aca="false">IF(N459=0,"",(N459-LEN(SUBSTITUTE(SUBSTITUTE(L459,"G",""),"C","")))/N459)</f>
        <v>0.72</v>
      </c>
      <c r="Q459" s="12" t="n">
        <f aca="false">IF(O459=0,"",(O459-LEN(SUBSTITUTE(SUBSTITUTE(M459,"G",""),"C","")))/O459)</f>
        <v>0.8</v>
      </c>
      <c r="R459" s="5"/>
      <c r="S459" s="5" t="s">
        <v>382</v>
      </c>
      <c r="T459" s="5"/>
      <c r="U459" s="5" t="s">
        <v>383</v>
      </c>
      <c r="V459" s="5" t="s">
        <v>4397</v>
      </c>
      <c r="W459" s="5"/>
      <c r="X459" s="13" t="s">
        <v>385</v>
      </c>
      <c r="Y459" s="5"/>
    </row>
    <row r="460" customFormat="false" ht="15" hidden="false" customHeight="false" outlineLevel="0" collapsed="false">
      <c r="A460" s="5" t="s">
        <v>4470</v>
      </c>
      <c r="B460" s="5" t="s">
        <v>342</v>
      </c>
      <c r="C460" s="5" t="s">
        <v>343</v>
      </c>
      <c r="D460" s="10" t="s">
        <v>56</v>
      </c>
      <c r="E460" s="5" t="n">
        <v>10</v>
      </c>
      <c r="F460" s="5" t="s">
        <v>4471</v>
      </c>
      <c r="G460" s="11" t="s">
        <v>4472</v>
      </c>
      <c r="H460" s="5" t="s">
        <v>4473</v>
      </c>
      <c r="I460" s="11" t="s">
        <v>4474</v>
      </c>
      <c r="J460" s="5" t="s">
        <v>4475</v>
      </c>
      <c r="K460" s="5" t="s">
        <v>4476</v>
      </c>
      <c r="L460" s="11" t="s">
        <v>4477</v>
      </c>
      <c r="M460" s="11" t="s">
        <v>4478</v>
      </c>
      <c r="N460" s="5" t="n">
        <f aca="false">LEN(L460)</f>
        <v>25</v>
      </c>
      <c r="O460" s="5" t="n">
        <f aca="false">LEN(M460)</f>
        <v>25</v>
      </c>
      <c r="P460" s="12" t="n">
        <f aca="false">IF(N460=0,"",(N460-LEN(SUBSTITUTE(SUBSTITUTE(L460,"G",""),"C","")))/N460)</f>
        <v>0.36</v>
      </c>
      <c r="Q460" s="12" t="n">
        <f aca="false">IF(O460=0,"",(O460-LEN(SUBSTITUTE(SUBSTITUTE(M460,"G",""),"C","")))/O460)</f>
        <v>0.44</v>
      </c>
      <c r="R460" s="5"/>
      <c r="S460" s="5" t="s">
        <v>382</v>
      </c>
      <c r="T460" s="5"/>
      <c r="U460" s="5" t="s">
        <v>383</v>
      </c>
      <c r="V460" s="5" t="s">
        <v>4397</v>
      </c>
      <c r="W460" s="5"/>
      <c r="X460" s="13" t="s">
        <v>385</v>
      </c>
      <c r="Y460" s="5"/>
    </row>
    <row r="461" customFormat="false" ht="15" hidden="false" customHeight="false" outlineLevel="0" collapsed="false">
      <c r="A461" s="5" t="s">
        <v>4479</v>
      </c>
      <c r="B461" s="5" t="s">
        <v>348</v>
      </c>
      <c r="C461" s="5" t="s">
        <v>148</v>
      </c>
      <c r="D461" s="10" t="s">
        <v>56</v>
      </c>
      <c r="E461" s="5" t="n">
        <v>1</v>
      </c>
      <c r="F461" s="5" t="s">
        <v>4480</v>
      </c>
      <c r="G461" s="11" t="s">
        <v>4481</v>
      </c>
      <c r="H461" s="5" t="s">
        <v>4482</v>
      </c>
      <c r="I461" s="11" t="s">
        <v>4483</v>
      </c>
      <c r="J461" s="5" t="s">
        <v>4484</v>
      </c>
      <c r="K461" s="5" t="s">
        <v>4485</v>
      </c>
      <c r="L461" s="11" t="s">
        <v>1632</v>
      </c>
      <c r="M461" s="11" t="s">
        <v>1633</v>
      </c>
      <c r="N461" s="5" t="n">
        <f aca="false">LEN(L461)</f>
        <v>25</v>
      </c>
      <c r="O461" s="5" t="n">
        <f aca="false">LEN(M461)</f>
        <v>25</v>
      </c>
      <c r="P461" s="12" t="n">
        <f aca="false">IF(N461=0,"",(N461-LEN(SUBSTITUTE(SUBSTITUTE(L461,"G",""),"C","")))/N461)</f>
        <v>0.88</v>
      </c>
      <c r="Q461" s="12" t="n">
        <f aca="false">IF(O461=0,"",(O461-LEN(SUBSTITUTE(SUBSTITUTE(M461,"G",""),"C","")))/O461)</f>
        <v>0.8</v>
      </c>
      <c r="R461" s="5"/>
      <c r="S461" s="5" t="s">
        <v>382</v>
      </c>
      <c r="T461" s="5"/>
      <c r="U461" s="5" t="s">
        <v>383</v>
      </c>
      <c r="V461" s="5" t="s">
        <v>1606</v>
      </c>
      <c r="W461" s="5"/>
      <c r="X461" s="13" t="s">
        <v>385</v>
      </c>
      <c r="Y461" s="5"/>
    </row>
    <row r="462" customFormat="false" ht="15" hidden="false" customHeight="false" outlineLevel="0" collapsed="false">
      <c r="A462" s="5" t="s">
        <v>4486</v>
      </c>
      <c r="B462" s="5" t="s">
        <v>348</v>
      </c>
      <c r="C462" s="5" t="s">
        <v>148</v>
      </c>
      <c r="D462" s="10" t="s">
        <v>56</v>
      </c>
      <c r="E462" s="5" t="n">
        <v>2</v>
      </c>
      <c r="F462" s="5" t="s">
        <v>4487</v>
      </c>
      <c r="G462" s="11" t="s">
        <v>4488</v>
      </c>
      <c r="H462" s="5" t="s">
        <v>4489</v>
      </c>
      <c r="I462" s="11" t="s">
        <v>4490</v>
      </c>
      <c r="J462" s="5" t="s">
        <v>4491</v>
      </c>
      <c r="K462" s="5" t="s">
        <v>4492</v>
      </c>
      <c r="L462" s="11" t="s">
        <v>1641</v>
      </c>
      <c r="M462" s="11" t="s">
        <v>1642</v>
      </c>
      <c r="N462" s="5" t="n">
        <f aca="false">LEN(L462)</f>
        <v>25</v>
      </c>
      <c r="O462" s="5" t="n">
        <f aca="false">LEN(M462)</f>
        <v>25</v>
      </c>
      <c r="P462" s="12" t="n">
        <f aca="false">IF(N462=0,"",(N462-LEN(SUBSTITUTE(SUBSTITUTE(L462,"G",""),"C","")))/N462)</f>
        <v>0.68</v>
      </c>
      <c r="Q462" s="12" t="n">
        <f aca="false">IF(O462=0,"",(O462-LEN(SUBSTITUTE(SUBSTITUTE(M462,"G",""),"C","")))/O462)</f>
        <v>0.8</v>
      </c>
      <c r="R462" s="5"/>
      <c r="S462" s="5" t="s">
        <v>382</v>
      </c>
      <c r="T462" s="5"/>
      <c r="U462" s="5" t="s">
        <v>383</v>
      </c>
      <c r="V462" s="5" t="s">
        <v>1606</v>
      </c>
      <c r="W462" s="5"/>
      <c r="X462" s="13" t="s">
        <v>385</v>
      </c>
      <c r="Y462" s="5"/>
    </row>
    <row r="463" customFormat="false" ht="15" hidden="false" customHeight="false" outlineLevel="0" collapsed="false">
      <c r="A463" s="5" t="s">
        <v>4493</v>
      </c>
      <c r="B463" s="5" t="s">
        <v>348</v>
      </c>
      <c r="C463" s="5" t="s">
        <v>148</v>
      </c>
      <c r="D463" s="10" t="s">
        <v>56</v>
      </c>
      <c r="E463" s="5" t="n">
        <v>3</v>
      </c>
      <c r="F463" s="5" t="s">
        <v>4494</v>
      </c>
      <c r="G463" s="11" t="s">
        <v>4495</v>
      </c>
      <c r="H463" s="5" t="s">
        <v>4496</v>
      </c>
      <c r="I463" s="11" t="s">
        <v>4497</v>
      </c>
      <c r="J463" s="5" t="s">
        <v>4498</v>
      </c>
      <c r="K463" s="5" t="s">
        <v>4499</v>
      </c>
      <c r="L463" s="11" t="s">
        <v>1650</v>
      </c>
      <c r="M463" s="11" t="s">
        <v>1651</v>
      </c>
      <c r="N463" s="5" t="n">
        <f aca="false">LEN(L463)</f>
        <v>25</v>
      </c>
      <c r="O463" s="5" t="n">
        <f aca="false">LEN(M463)</f>
        <v>25</v>
      </c>
      <c r="P463" s="12" t="n">
        <f aca="false">IF(N463=0,"",(N463-LEN(SUBSTITUTE(SUBSTITUTE(L463,"G",""),"C","")))/N463)</f>
        <v>0.92</v>
      </c>
      <c r="Q463" s="12" t="n">
        <f aca="false">IF(O463=0,"",(O463-LEN(SUBSTITUTE(SUBSTITUTE(M463,"G",""),"C","")))/O463)</f>
        <v>0.68</v>
      </c>
      <c r="R463" s="5"/>
      <c r="S463" s="5" t="s">
        <v>382</v>
      </c>
      <c r="T463" s="5"/>
      <c r="U463" s="5" t="s">
        <v>383</v>
      </c>
      <c r="V463" s="5" t="s">
        <v>1606</v>
      </c>
      <c r="W463" s="5"/>
      <c r="X463" s="13" t="s">
        <v>385</v>
      </c>
      <c r="Y463" s="5"/>
    </row>
    <row r="464" customFormat="false" ht="15" hidden="false" customHeight="false" outlineLevel="0" collapsed="false">
      <c r="A464" s="5" t="s">
        <v>4500</v>
      </c>
      <c r="B464" s="5" t="s">
        <v>348</v>
      </c>
      <c r="C464" s="5" t="s">
        <v>148</v>
      </c>
      <c r="D464" s="10" t="s">
        <v>56</v>
      </c>
      <c r="E464" s="5" t="n">
        <v>4</v>
      </c>
      <c r="F464" s="5" t="s">
        <v>4501</v>
      </c>
      <c r="G464" s="11" t="s">
        <v>4502</v>
      </c>
      <c r="H464" s="5" t="s">
        <v>4503</v>
      </c>
      <c r="I464" s="11" t="s">
        <v>4504</v>
      </c>
      <c r="J464" s="5" t="s">
        <v>4505</v>
      </c>
      <c r="K464" s="5" t="s">
        <v>4506</v>
      </c>
      <c r="L464" s="11" t="s">
        <v>1659</v>
      </c>
      <c r="M464" s="11" t="s">
        <v>1660</v>
      </c>
      <c r="N464" s="5" t="n">
        <f aca="false">LEN(L464)</f>
        <v>25</v>
      </c>
      <c r="O464" s="5" t="n">
        <f aca="false">LEN(M464)</f>
        <v>25</v>
      </c>
      <c r="P464" s="12" t="n">
        <f aca="false">IF(N464=0,"",(N464-LEN(SUBSTITUTE(SUBSTITUTE(L464,"G",""),"C","")))/N464)</f>
        <v>0.8</v>
      </c>
      <c r="Q464" s="12" t="n">
        <f aca="false">IF(O464=0,"",(O464-LEN(SUBSTITUTE(SUBSTITUTE(M464,"G",""),"C","")))/O464)</f>
        <v>0.8</v>
      </c>
      <c r="R464" s="5"/>
      <c r="S464" s="5" t="s">
        <v>382</v>
      </c>
      <c r="T464" s="5"/>
      <c r="U464" s="5" t="s">
        <v>383</v>
      </c>
      <c r="V464" s="5" t="s">
        <v>1606</v>
      </c>
      <c r="W464" s="5"/>
      <c r="X464" s="13" t="s">
        <v>385</v>
      </c>
      <c r="Y464" s="5"/>
    </row>
    <row r="465" customFormat="false" ht="15" hidden="false" customHeight="false" outlineLevel="0" collapsed="false">
      <c r="A465" s="5" t="s">
        <v>4507</v>
      </c>
      <c r="B465" s="5" t="s">
        <v>348</v>
      </c>
      <c r="C465" s="5" t="s">
        <v>148</v>
      </c>
      <c r="D465" s="10" t="s">
        <v>56</v>
      </c>
      <c r="E465" s="5" t="n">
        <v>5</v>
      </c>
      <c r="F465" s="5" t="s">
        <v>4508</v>
      </c>
      <c r="G465" s="11" t="s">
        <v>4509</v>
      </c>
      <c r="H465" s="5" t="s">
        <v>4510</v>
      </c>
      <c r="I465" s="11" t="s">
        <v>4511</v>
      </c>
      <c r="J465" s="5" t="s">
        <v>4512</v>
      </c>
      <c r="K465" s="5" t="s">
        <v>4513</v>
      </c>
      <c r="L465" s="11" t="s">
        <v>1668</v>
      </c>
      <c r="M465" s="11" t="s">
        <v>1669</v>
      </c>
      <c r="N465" s="5" t="n">
        <f aca="false">LEN(L465)</f>
        <v>25</v>
      </c>
      <c r="O465" s="5" t="n">
        <f aca="false">LEN(M465)</f>
        <v>25</v>
      </c>
      <c r="P465" s="12" t="n">
        <f aca="false">IF(N465=0,"",(N465-LEN(SUBSTITUTE(SUBSTITUTE(L465,"G",""),"C","")))/N465)</f>
        <v>0.8</v>
      </c>
      <c r="Q465" s="12" t="n">
        <f aca="false">IF(O465=0,"",(O465-LEN(SUBSTITUTE(SUBSTITUTE(M465,"G",""),"C","")))/O465)</f>
        <v>0.72</v>
      </c>
      <c r="R465" s="5"/>
      <c r="S465" s="5" t="s">
        <v>382</v>
      </c>
      <c r="T465" s="5"/>
      <c r="U465" s="5" t="s">
        <v>383</v>
      </c>
      <c r="V465" s="5" t="s">
        <v>1606</v>
      </c>
      <c r="W465" s="5"/>
      <c r="X465" s="13" t="s">
        <v>385</v>
      </c>
      <c r="Y465" s="5"/>
    </row>
    <row r="466" customFormat="false" ht="15" hidden="false" customHeight="false" outlineLevel="0" collapsed="false">
      <c r="A466" s="5" t="s">
        <v>4514</v>
      </c>
      <c r="B466" s="5" t="s">
        <v>348</v>
      </c>
      <c r="C466" s="5" t="s">
        <v>148</v>
      </c>
      <c r="D466" s="10" t="s">
        <v>56</v>
      </c>
      <c r="E466" s="5" t="n">
        <v>6</v>
      </c>
      <c r="F466" s="5" t="s">
        <v>4515</v>
      </c>
      <c r="G466" s="11" t="s">
        <v>4516</v>
      </c>
      <c r="H466" s="5" t="s">
        <v>4517</v>
      </c>
      <c r="I466" s="11" t="s">
        <v>4518</v>
      </c>
      <c r="J466" s="5" t="s">
        <v>4519</v>
      </c>
      <c r="K466" s="5" t="s">
        <v>4520</v>
      </c>
      <c r="L466" s="11" t="s">
        <v>1677</v>
      </c>
      <c r="M466" s="11" t="s">
        <v>1678</v>
      </c>
      <c r="N466" s="5" t="n">
        <f aca="false">LEN(L466)</f>
        <v>25</v>
      </c>
      <c r="O466" s="5" t="n">
        <f aca="false">LEN(M466)</f>
        <v>25</v>
      </c>
      <c r="P466" s="12" t="n">
        <f aca="false">IF(N466=0,"",(N466-LEN(SUBSTITUTE(SUBSTITUTE(L466,"G",""),"C","")))/N466)</f>
        <v>0.6</v>
      </c>
      <c r="Q466" s="12" t="n">
        <f aca="false">IF(O466=0,"",(O466-LEN(SUBSTITUTE(SUBSTITUTE(M466,"G",""),"C","")))/O466)</f>
        <v>0.6</v>
      </c>
      <c r="R466" s="5"/>
      <c r="S466" s="5" t="s">
        <v>382</v>
      </c>
      <c r="T466" s="5"/>
      <c r="U466" s="5" t="s">
        <v>383</v>
      </c>
      <c r="V466" s="5" t="s">
        <v>1606</v>
      </c>
      <c r="W466" s="5"/>
      <c r="X466" s="13" t="s">
        <v>385</v>
      </c>
      <c r="Y466" s="5"/>
    </row>
    <row r="467" customFormat="false" ht="15" hidden="false" customHeight="false" outlineLevel="0" collapsed="false">
      <c r="A467" s="5" t="s">
        <v>4521</v>
      </c>
      <c r="B467" s="5" t="s">
        <v>348</v>
      </c>
      <c r="C467" s="5" t="s">
        <v>148</v>
      </c>
      <c r="D467" s="10" t="s">
        <v>56</v>
      </c>
      <c r="E467" s="5" t="n">
        <v>7</v>
      </c>
      <c r="F467" s="5" t="s">
        <v>4522</v>
      </c>
      <c r="G467" s="11" t="s">
        <v>4523</v>
      </c>
      <c r="H467" s="5" t="s">
        <v>4524</v>
      </c>
      <c r="I467" s="11" t="s">
        <v>4525</v>
      </c>
      <c r="J467" s="5" t="s">
        <v>4526</v>
      </c>
      <c r="K467" s="5" t="s">
        <v>4527</v>
      </c>
      <c r="L467" s="11" t="s">
        <v>1686</v>
      </c>
      <c r="M467" s="11" t="s">
        <v>1687</v>
      </c>
      <c r="N467" s="5" t="n">
        <f aca="false">LEN(L467)</f>
        <v>25</v>
      </c>
      <c r="O467" s="5" t="n">
        <f aca="false">LEN(M467)</f>
        <v>25</v>
      </c>
      <c r="P467" s="12" t="n">
        <f aca="false">IF(N467=0,"",(N467-LEN(SUBSTITUTE(SUBSTITUTE(L467,"G",""),"C","")))/N467)</f>
        <v>0.68</v>
      </c>
      <c r="Q467" s="12" t="n">
        <f aca="false">IF(O467=0,"",(O467-LEN(SUBSTITUTE(SUBSTITUTE(M467,"G",""),"C","")))/O467)</f>
        <v>0.8</v>
      </c>
      <c r="R467" s="5"/>
      <c r="S467" s="5" t="s">
        <v>382</v>
      </c>
      <c r="T467" s="5"/>
      <c r="U467" s="5" t="s">
        <v>383</v>
      </c>
      <c r="V467" s="5" t="s">
        <v>1606</v>
      </c>
      <c r="W467" s="5"/>
      <c r="X467" s="13" t="s">
        <v>385</v>
      </c>
      <c r="Y467" s="5"/>
    </row>
    <row r="468" customFormat="false" ht="15" hidden="false" customHeight="false" outlineLevel="0" collapsed="false">
      <c r="A468" s="5" t="s">
        <v>4528</v>
      </c>
      <c r="B468" s="5" t="s">
        <v>348</v>
      </c>
      <c r="C468" s="5" t="s">
        <v>148</v>
      </c>
      <c r="D468" s="10" t="s">
        <v>56</v>
      </c>
      <c r="E468" s="5" t="n">
        <v>8</v>
      </c>
      <c r="F468" s="5" t="s">
        <v>4529</v>
      </c>
      <c r="G468" s="11" t="s">
        <v>4530</v>
      </c>
      <c r="H468" s="5" t="s">
        <v>4531</v>
      </c>
      <c r="I468" s="11" t="s">
        <v>4532</v>
      </c>
      <c r="J468" s="5" t="s">
        <v>4533</v>
      </c>
      <c r="K468" s="5" t="s">
        <v>4534</v>
      </c>
      <c r="L468" s="11" t="s">
        <v>1695</v>
      </c>
      <c r="M468" s="11" t="s">
        <v>1696</v>
      </c>
      <c r="N468" s="5" t="n">
        <f aca="false">LEN(L468)</f>
        <v>25</v>
      </c>
      <c r="O468" s="5" t="n">
        <f aca="false">LEN(M468)</f>
        <v>25</v>
      </c>
      <c r="P468" s="12" t="n">
        <f aca="false">IF(N468=0,"",(N468-LEN(SUBSTITUTE(SUBSTITUTE(L468,"G",""),"C","")))/N468)</f>
        <v>0.68</v>
      </c>
      <c r="Q468" s="12" t="n">
        <f aca="false">IF(O468=0,"",(O468-LEN(SUBSTITUTE(SUBSTITUTE(M468,"G",""),"C","")))/O468)</f>
        <v>0.8</v>
      </c>
      <c r="R468" s="5"/>
      <c r="S468" s="5" t="s">
        <v>382</v>
      </c>
      <c r="T468" s="5"/>
      <c r="U468" s="5" t="s">
        <v>383</v>
      </c>
      <c r="V468" s="5" t="s">
        <v>1606</v>
      </c>
      <c r="W468" s="5"/>
      <c r="X468" s="13" t="s">
        <v>385</v>
      </c>
      <c r="Y468" s="5"/>
    </row>
    <row r="469" customFormat="false" ht="15" hidden="false" customHeight="false" outlineLevel="0" collapsed="false">
      <c r="A469" s="5" t="s">
        <v>4535</v>
      </c>
      <c r="B469" s="5" t="s">
        <v>349</v>
      </c>
      <c r="C469" s="5" t="s">
        <v>154</v>
      </c>
      <c r="D469" s="10" t="s">
        <v>56</v>
      </c>
      <c r="E469" s="5" t="n">
        <v>1</v>
      </c>
      <c r="F469" s="5" t="s">
        <v>4536</v>
      </c>
      <c r="G469" s="11" t="s">
        <v>4537</v>
      </c>
      <c r="H469" s="5" t="s">
        <v>4538</v>
      </c>
      <c r="I469" s="11" t="s">
        <v>4539</v>
      </c>
      <c r="J469" s="5" t="s">
        <v>4540</v>
      </c>
      <c r="K469" s="5" t="s">
        <v>4541</v>
      </c>
      <c r="L469" s="11" t="s">
        <v>4542</v>
      </c>
      <c r="M469" s="11" t="s">
        <v>4543</v>
      </c>
      <c r="N469" s="5" t="n">
        <f aca="false">LEN(L469)</f>
        <v>25</v>
      </c>
      <c r="O469" s="5" t="n">
        <f aca="false">LEN(M469)</f>
        <v>25</v>
      </c>
      <c r="P469" s="12" t="n">
        <f aca="false">IF(N469=0,"",(N469-LEN(SUBSTITUTE(SUBSTITUTE(L469,"G",""),"C","")))/N469)</f>
        <v>0.56</v>
      </c>
      <c r="Q469" s="12" t="n">
        <f aca="false">IF(O469=0,"",(O469-LEN(SUBSTITUTE(SUBSTITUTE(M469,"G",""),"C","")))/O469)</f>
        <v>0.64</v>
      </c>
      <c r="R469" s="5"/>
      <c r="S469" s="5" t="s">
        <v>382</v>
      </c>
      <c r="T469" s="5"/>
      <c r="U469" s="5" t="s">
        <v>383</v>
      </c>
      <c r="V469" s="5" t="s">
        <v>1715</v>
      </c>
      <c r="W469" s="5"/>
      <c r="X469" s="13" t="s">
        <v>385</v>
      </c>
      <c r="Y469" s="5"/>
    </row>
    <row r="470" customFormat="false" ht="15" hidden="false" customHeight="false" outlineLevel="0" collapsed="false">
      <c r="A470" s="5" t="s">
        <v>4544</v>
      </c>
      <c r="B470" s="5" t="s">
        <v>349</v>
      </c>
      <c r="C470" s="5" t="s">
        <v>154</v>
      </c>
      <c r="D470" s="10" t="s">
        <v>56</v>
      </c>
      <c r="E470" s="5" t="n">
        <v>2</v>
      </c>
      <c r="F470" s="5" t="s">
        <v>4545</v>
      </c>
      <c r="G470" s="11" t="s">
        <v>4546</v>
      </c>
      <c r="H470" s="5" t="s">
        <v>4547</v>
      </c>
      <c r="I470" s="11" t="s">
        <v>4548</v>
      </c>
      <c r="J470" s="5" t="s">
        <v>4549</v>
      </c>
      <c r="K470" s="5" t="s">
        <v>4550</v>
      </c>
      <c r="L470" s="11" t="s">
        <v>4551</v>
      </c>
      <c r="M470" s="11" t="s">
        <v>4552</v>
      </c>
      <c r="N470" s="5" t="n">
        <f aca="false">LEN(L470)</f>
        <v>25</v>
      </c>
      <c r="O470" s="5" t="n">
        <f aca="false">LEN(M470)</f>
        <v>25</v>
      </c>
      <c r="P470" s="12" t="n">
        <f aca="false">IF(N470=0,"",(N470-LEN(SUBSTITUTE(SUBSTITUTE(L470,"G",""),"C","")))/N470)</f>
        <v>0.36</v>
      </c>
      <c r="Q470" s="12" t="n">
        <f aca="false">IF(O470=0,"",(O470-LEN(SUBSTITUTE(SUBSTITUTE(M470,"G",""),"C","")))/O470)</f>
        <v>0.4</v>
      </c>
      <c r="R470" s="5"/>
      <c r="S470" s="5" t="s">
        <v>382</v>
      </c>
      <c r="T470" s="5"/>
      <c r="U470" s="5" t="s">
        <v>383</v>
      </c>
      <c r="V470" s="5" t="s">
        <v>1715</v>
      </c>
      <c r="W470" s="5"/>
      <c r="X470" s="13" t="s">
        <v>385</v>
      </c>
      <c r="Y470" s="5"/>
    </row>
    <row r="471" customFormat="false" ht="15" hidden="false" customHeight="false" outlineLevel="0" collapsed="false">
      <c r="A471" s="5" t="s">
        <v>4553</v>
      </c>
      <c r="B471" s="5" t="s">
        <v>349</v>
      </c>
      <c r="C471" s="5" t="s">
        <v>154</v>
      </c>
      <c r="D471" s="10" t="s">
        <v>56</v>
      </c>
      <c r="E471" s="5" t="n">
        <v>3</v>
      </c>
      <c r="F471" s="5" t="s">
        <v>4554</v>
      </c>
      <c r="G471" s="11" t="s">
        <v>4555</v>
      </c>
      <c r="H471" s="5" t="s">
        <v>4556</v>
      </c>
      <c r="I471" s="11" t="s">
        <v>4557</v>
      </c>
      <c r="J471" s="5" t="s">
        <v>4558</v>
      </c>
      <c r="K471" s="5" t="s">
        <v>4559</v>
      </c>
      <c r="L471" s="11" t="s">
        <v>4560</v>
      </c>
      <c r="M471" s="11" t="s">
        <v>4561</v>
      </c>
      <c r="N471" s="5" t="n">
        <f aca="false">LEN(L471)</f>
        <v>25</v>
      </c>
      <c r="O471" s="5" t="n">
        <f aca="false">LEN(M471)</f>
        <v>25</v>
      </c>
      <c r="P471" s="12" t="n">
        <f aca="false">IF(N471=0,"",(N471-LEN(SUBSTITUTE(SUBSTITUTE(L471,"G",""),"C","")))/N471)</f>
        <v>0.56</v>
      </c>
      <c r="Q471" s="12" t="n">
        <f aca="false">IF(O471=0,"",(O471-LEN(SUBSTITUTE(SUBSTITUTE(M471,"G",""),"C","")))/O471)</f>
        <v>0.68</v>
      </c>
      <c r="R471" s="5"/>
      <c r="S471" s="5" t="s">
        <v>382</v>
      </c>
      <c r="T471" s="5"/>
      <c r="U471" s="5" t="s">
        <v>383</v>
      </c>
      <c r="V471" s="5" t="s">
        <v>1715</v>
      </c>
      <c r="W471" s="5"/>
      <c r="X471" s="13" t="s">
        <v>385</v>
      </c>
      <c r="Y471" s="5"/>
    </row>
    <row r="472" customFormat="false" ht="15" hidden="false" customHeight="false" outlineLevel="0" collapsed="false">
      <c r="A472" s="5" t="s">
        <v>4562</v>
      </c>
      <c r="B472" s="5" t="s">
        <v>349</v>
      </c>
      <c r="C472" s="5" t="s">
        <v>154</v>
      </c>
      <c r="D472" s="10" t="s">
        <v>56</v>
      </c>
      <c r="E472" s="5" t="n">
        <v>4</v>
      </c>
      <c r="F472" s="5" t="s">
        <v>4563</v>
      </c>
      <c r="G472" s="11" t="s">
        <v>4564</v>
      </c>
      <c r="H472" s="5" t="s">
        <v>4565</v>
      </c>
      <c r="I472" s="11" t="s">
        <v>4566</v>
      </c>
      <c r="J472" s="5" t="s">
        <v>4567</v>
      </c>
      <c r="K472" s="5" t="s">
        <v>4568</v>
      </c>
      <c r="L472" s="11" t="s">
        <v>4569</v>
      </c>
      <c r="M472" s="11" t="s">
        <v>4570</v>
      </c>
      <c r="N472" s="5" t="n">
        <f aca="false">LEN(L472)</f>
        <v>25</v>
      </c>
      <c r="O472" s="5" t="n">
        <f aca="false">LEN(M472)</f>
        <v>25</v>
      </c>
      <c r="P472" s="12" t="n">
        <f aca="false">IF(N472=0,"",(N472-LEN(SUBSTITUTE(SUBSTITUTE(L472,"G",""),"C","")))/N472)</f>
        <v>0.6</v>
      </c>
      <c r="Q472" s="12" t="n">
        <f aca="false">IF(O472=0,"",(O472-LEN(SUBSTITUTE(SUBSTITUTE(M472,"G",""),"C","")))/O472)</f>
        <v>0.52</v>
      </c>
      <c r="R472" s="5"/>
      <c r="S472" s="5" t="s">
        <v>382</v>
      </c>
      <c r="T472" s="5"/>
      <c r="U472" s="5" t="s">
        <v>383</v>
      </c>
      <c r="V472" s="5" t="s">
        <v>1715</v>
      </c>
      <c r="W472" s="5"/>
      <c r="X472" s="13" t="s">
        <v>385</v>
      </c>
      <c r="Y472" s="5"/>
    </row>
    <row r="473" customFormat="false" ht="15" hidden="false" customHeight="false" outlineLevel="0" collapsed="false">
      <c r="A473" s="5" t="s">
        <v>4571</v>
      </c>
      <c r="B473" s="5" t="s">
        <v>349</v>
      </c>
      <c r="C473" s="5" t="s">
        <v>154</v>
      </c>
      <c r="D473" s="10" t="s">
        <v>56</v>
      </c>
      <c r="E473" s="5" t="n">
        <v>5</v>
      </c>
      <c r="F473" s="5" t="s">
        <v>4572</v>
      </c>
      <c r="G473" s="11" t="s">
        <v>4573</v>
      </c>
      <c r="H473" s="5" t="s">
        <v>4574</v>
      </c>
      <c r="I473" s="11" t="s">
        <v>4575</v>
      </c>
      <c r="J473" s="5" t="s">
        <v>4576</v>
      </c>
      <c r="K473" s="5" t="s">
        <v>4577</v>
      </c>
      <c r="L473" s="11" t="s">
        <v>4578</v>
      </c>
      <c r="M473" s="11" t="s">
        <v>4579</v>
      </c>
      <c r="N473" s="5" t="n">
        <f aca="false">LEN(L473)</f>
        <v>25</v>
      </c>
      <c r="O473" s="5" t="n">
        <f aca="false">LEN(M473)</f>
        <v>25</v>
      </c>
      <c r="P473" s="12" t="n">
        <f aca="false">IF(N473=0,"",(N473-LEN(SUBSTITUTE(SUBSTITUTE(L473,"G",""),"C","")))/N473)</f>
        <v>0.8</v>
      </c>
      <c r="Q473" s="12" t="n">
        <f aca="false">IF(O473=0,"",(O473-LEN(SUBSTITUTE(SUBSTITUTE(M473,"G",""),"C","")))/O473)</f>
        <v>0.64</v>
      </c>
      <c r="R473" s="5"/>
      <c r="S473" s="5" t="s">
        <v>382</v>
      </c>
      <c r="T473" s="5"/>
      <c r="U473" s="5" t="s">
        <v>383</v>
      </c>
      <c r="V473" s="5" t="s">
        <v>1715</v>
      </c>
      <c r="W473" s="5"/>
      <c r="X473" s="13" t="s">
        <v>385</v>
      </c>
      <c r="Y473" s="5"/>
    </row>
    <row r="474" customFormat="false" ht="15" hidden="false" customHeight="false" outlineLevel="0" collapsed="false">
      <c r="A474" s="5" t="s">
        <v>4580</v>
      </c>
      <c r="B474" s="5" t="s">
        <v>349</v>
      </c>
      <c r="C474" s="5" t="s">
        <v>154</v>
      </c>
      <c r="D474" s="10" t="s">
        <v>56</v>
      </c>
      <c r="E474" s="5" t="n">
        <v>6</v>
      </c>
      <c r="F474" s="5" t="s">
        <v>4581</v>
      </c>
      <c r="G474" s="11" t="s">
        <v>4582</v>
      </c>
      <c r="H474" s="5" t="s">
        <v>4583</v>
      </c>
      <c r="I474" s="11" t="s">
        <v>4584</v>
      </c>
      <c r="J474" s="5" t="s">
        <v>4585</v>
      </c>
      <c r="K474" s="5" t="s">
        <v>4586</v>
      </c>
      <c r="L474" s="11" t="s">
        <v>4587</v>
      </c>
      <c r="M474" s="11" t="s">
        <v>4588</v>
      </c>
      <c r="N474" s="5" t="n">
        <f aca="false">LEN(L474)</f>
        <v>25</v>
      </c>
      <c r="O474" s="5" t="n">
        <f aca="false">LEN(M474)</f>
        <v>25</v>
      </c>
      <c r="P474" s="12" t="n">
        <f aca="false">IF(N474=0,"",(N474-LEN(SUBSTITUTE(SUBSTITUTE(L474,"G",""),"C","")))/N474)</f>
        <v>0.56</v>
      </c>
      <c r="Q474" s="12" t="n">
        <f aca="false">IF(O474=0,"",(O474-LEN(SUBSTITUTE(SUBSTITUTE(M474,"G",""),"C","")))/O474)</f>
        <v>0.56</v>
      </c>
      <c r="R474" s="5"/>
      <c r="S474" s="5" t="s">
        <v>382</v>
      </c>
      <c r="T474" s="5"/>
      <c r="U474" s="5" t="s">
        <v>383</v>
      </c>
      <c r="V474" s="5" t="s">
        <v>1715</v>
      </c>
      <c r="W474" s="5"/>
      <c r="X474" s="13" t="s">
        <v>385</v>
      </c>
      <c r="Y474" s="5"/>
    </row>
  </sheetData>
  <autoFilter ref="A1:Y47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16"/>
    <col collapsed="false" customWidth="true" hidden="false" outlineLevel="0" max="4" min="4" style="0" width="60"/>
    <col collapsed="false" customWidth="true" hidden="false" outlineLevel="0" max="5" min="5" style="0" width="22"/>
    <col collapsed="false" customWidth="true" hidden="false" outlineLevel="0" max="6" min="6" style="0" width="10"/>
    <col collapsed="false" customWidth="true" hidden="false" outlineLevel="0" max="7" min="7" style="0" width="12"/>
    <col collapsed="false" customWidth="true" hidden="false" outlineLevel="0" max="8" min="8" style="0" width="90"/>
  </cols>
  <sheetData>
    <row r="1" customFormat="false" ht="31.5" hidden="false" customHeight="true" outlineLevel="0" collapsed="false">
      <c r="A1" s="3" t="s">
        <v>4589</v>
      </c>
      <c r="B1" s="3" t="s">
        <v>12</v>
      </c>
      <c r="C1" s="3" t="s">
        <v>14</v>
      </c>
      <c r="D1" s="3" t="s">
        <v>4590</v>
      </c>
      <c r="E1" s="3" t="s">
        <v>4591</v>
      </c>
      <c r="F1" s="3" t="s">
        <v>4592</v>
      </c>
      <c r="G1" s="3" t="s">
        <v>4593</v>
      </c>
      <c r="H1" s="3" t="s">
        <v>4594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6"/>
    <col collapsed="false" customWidth="true" hidden="false" outlineLevel="0" max="3" min="3" style="0" width="26"/>
    <col collapsed="false" customWidth="true" hidden="false" outlineLevel="0" max="5" min="4" style="0" width="10"/>
    <col collapsed="false" customWidth="true" hidden="false" outlineLevel="0" max="6" min="6" style="0" width="26"/>
    <col collapsed="false" customWidth="true" hidden="false" outlineLevel="0" max="8" min="7" style="0" width="10"/>
  </cols>
  <sheetData>
    <row r="1" customFormat="false" ht="31.5" hidden="false" customHeight="true" outlineLevel="0" collapsed="false">
      <c r="A1" s="3" t="s">
        <v>18</v>
      </c>
      <c r="B1" s="3" t="s">
        <v>4595</v>
      </c>
      <c r="C1" s="3" t="s">
        <v>4596</v>
      </c>
      <c r="D1" s="3" t="s">
        <v>4597</v>
      </c>
      <c r="E1" s="3" t="s">
        <v>4598</v>
      </c>
      <c r="F1" s="3" t="s">
        <v>4599</v>
      </c>
      <c r="G1" s="3" t="s">
        <v>4600</v>
      </c>
      <c r="H1" s="3" t="s">
        <v>4601</v>
      </c>
    </row>
    <row r="2" customFormat="false" ht="15" hidden="false" customHeight="false" outlineLevel="0" collapsed="false">
      <c r="A2" s="6" t="s">
        <v>45</v>
      </c>
      <c r="B2" s="5" t="s">
        <v>46</v>
      </c>
      <c r="C2" s="11" t="s">
        <v>4602</v>
      </c>
      <c r="D2" s="11" t="s">
        <v>4603</v>
      </c>
      <c r="E2" s="11" t="s">
        <v>4604</v>
      </c>
      <c r="F2" s="11" t="s">
        <v>4605</v>
      </c>
      <c r="G2" s="5" t="n">
        <f aca="false">COUNTIF(Probe_Sets!$I:$I,A2)</f>
        <v>17</v>
      </c>
      <c r="H2" s="5" t="n">
        <f aca="false">SUMIF(Probe_Sets!$I:$I,A2,Probe_Sets!$K:$K)</f>
        <v>158</v>
      </c>
    </row>
    <row r="3" customFormat="false" ht="15" hidden="false" customHeight="false" outlineLevel="0" collapsed="false">
      <c r="A3" s="9" t="s">
        <v>92</v>
      </c>
      <c r="B3" s="5" t="s">
        <v>163</v>
      </c>
      <c r="C3" s="11" t="s">
        <v>4606</v>
      </c>
      <c r="D3" s="11" t="s">
        <v>4603</v>
      </c>
      <c r="E3" s="11" t="s">
        <v>4603</v>
      </c>
      <c r="F3" s="11" t="s">
        <v>4607</v>
      </c>
      <c r="G3" s="5" t="n">
        <f aca="false">COUNTIF(Probe_Sets!$I:$I,A3)</f>
        <v>20</v>
      </c>
      <c r="H3" s="5" t="n">
        <f aca="false">SUMIF(Probe_Sets!$I:$I,A3,Probe_Sets!$K:$K)</f>
        <v>163</v>
      </c>
    </row>
    <row r="4" customFormat="false" ht="15" hidden="false" customHeight="false" outlineLevel="0" collapsed="false">
      <c r="A4" s="10" t="s">
        <v>56</v>
      </c>
      <c r="B4" s="5" t="s">
        <v>276</v>
      </c>
      <c r="C4" s="11" t="s">
        <v>4608</v>
      </c>
      <c r="D4" s="11" t="s">
        <v>4609</v>
      </c>
      <c r="E4" s="11" t="s">
        <v>4609</v>
      </c>
      <c r="F4" s="11" t="s">
        <v>4610</v>
      </c>
      <c r="G4" s="5" t="n">
        <f aca="false">COUNTIF(Probe_Sets!$I:$I,A4)</f>
        <v>19</v>
      </c>
      <c r="H4" s="5" t="n">
        <f aca="false">SUMIF(Probe_Sets!$I:$I,A4,Probe_Sets!$K:$K)</f>
        <v>152</v>
      </c>
    </row>
    <row r="5" customFormat="false" ht="15" hidden="false" customHeight="false" outlineLevel="0" collapsed="false">
      <c r="A5" s="14" t="s">
        <v>4611</v>
      </c>
      <c r="B5" s="5" t="s">
        <v>4612</v>
      </c>
      <c r="C5" s="11" t="s">
        <v>4613</v>
      </c>
      <c r="D5" s="11" t="s">
        <v>4603</v>
      </c>
      <c r="E5" s="11" t="s">
        <v>4614</v>
      </c>
      <c r="F5" s="11" t="s">
        <v>4615</v>
      </c>
      <c r="G5" s="5" t="n">
        <f aca="false">COUNTIF(Probe_Sets!$I:$I,A5)</f>
        <v>0</v>
      </c>
      <c r="H5" s="5" t="n">
        <f aca="false">SUMIF(Probe_Sets!$I:$I,A5,Probe_Sets!$K:$K)</f>
        <v>0</v>
      </c>
    </row>
    <row r="6" customFormat="false" ht="15" hidden="false" customHeight="false" outlineLevel="0" collapsed="false">
      <c r="A6" s="15" t="s">
        <v>4616</v>
      </c>
      <c r="B6" s="5" t="s">
        <v>4617</v>
      </c>
      <c r="C6" s="11" t="s">
        <v>4618</v>
      </c>
      <c r="D6" s="11" t="s">
        <v>4603</v>
      </c>
      <c r="E6" s="11" t="s">
        <v>4603</v>
      </c>
      <c r="F6" s="11" t="s">
        <v>4619</v>
      </c>
      <c r="G6" s="5" t="n">
        <f aca="false">COUNTIF(Probe_Sets!$I:$I,A6)</f>
        <v>0</v>
      </c>
      <c r="H6" s="5" t="n">
        <f aca="false">SUMIF(Probe_Sets!$I:$I,A6,Probe_Sets!$K:$K)</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2026-10-03T20:52:20Z</dcterms:created>
  <dc:creator>openpyxl</dc:creator>
  <dc:description/>
  <dc:language>en-US</dc:language>
  <cp:lastModifiedBy/>
  <dcterms:modified xsi:type="dcterms:W3CDTF">2026-10-03T20:52:21Z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