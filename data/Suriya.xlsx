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robe_Sets" sheetId="2" state="visible" r:id="rId4"/>
    <sheet name="Probe_Pairs" sheetId="3" state="visible" r:id="rId5"/>
    <sheet name="Templates" sheetId="4" state="visible" r:id="rId6"/>
    <sheet name="Amplifiers" sheetId="5" state="visible" r:id="rId7"/>
  </sheets>
  <definedNames>
    <definedName function="false" hidden="true" localSheetId="2" name="_xlnm._FilterDatabase" vbProcedure="false">Probe_Pairs!$A$1:$Y$350</definedName>
    <definedName function="false" hidden="true" localSheetId="1" name="_xlnm._FilterDatabase" vbProcedure="false">Probe_Sets!$A$1:$AC$53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<sst xmlns="http://schemas.openxmlformats.org/spreadsheetml/2006/main" count="6423" uniqueCount="3294">
  <si>
    <t xml:space="preserve">HCR probe sets designed by Suriya</t>
  </si>
  <si>
    <t xml:space="preserve">This file holds one person's HCR probe sets. Every designer has their own file in the data folder of the HCR probe database, all with the same layout, and the probe finder viewer is built from all of them together.</t>
  </si>
  <si>
    <t xml:space="preserve">Sheets</t>
  </si>
  <si>
    <t xml:space="preserve">Probe_Sets has one row per gene × amplifier set; its pair counts come from Probe_Pairs, which has one row per P1/P2 pair linked by Set_ID. Templates holds target sequences if you have them (optional). Amplifiers is the reference list of initiator and spacer sequences, the same in every file.</t>
  </si>
  <si>
    <t xml:space="preserve">Set IDs</t>
  </si>
  <si>
    <t xml:space="preserve">Set IDs in this file start with "SU-" so they never clash with other people's files. Pair IDs are the Set_ID plus a two-digit pair number.</t>
  </si>
  <si>
    <t xml:space="preserve">Columns for you to fill in</t>
  </si>
  <si>
    <t xml:space="preserve">Headers in dark yellow are input columns (Status, Tube / location, Order date, Vendor / order ID, Notes); Status has a drop-down list. The other columns were filled when the file was built and checked: amplifier and P1/P2 were read from each oligo's own initiator, P1 and P2 were paired by position on the genome or template, and binding arms were matched against the NCBI B. anynana CDS (genome_cds.fa). Check notes summarizes anything worth a look; the pair-level detail is in the Pair flag column of Probe_Pairs.</t>
  </si>
  <si>
    <t xml:space="preserve">History</t>
  </si>
  <si>
    <t xml:space="preserve">Imported from Probes_designed.xlsx (14 sheets). Gene names were read from the oligo names; "C"/"Cx" and "T" were read as Crx and Tret from the legend cells in the sal_crx_treh sheet. The J_orithya sets are marked Junonia orithya from the sheet name only. Sets with no match in the B. anynana CDS keep Organism as stated in the Organism column. Pairs marked "list order" in Paired by could not be confirmed by genome position.</t>
  </si>
  <si>
    <t xml:space="preserve">Set_ID</t>
  </si>
  <si>
    <t xml:space="preserve">Designed by</t>
  </si>
  <si>
    <t xml:space="preserve">Gene (short)</t>
  </si>
  <si>
    <t xml:space="preserve">Gene / protein name</t>
  </si>
  <si>
    <t xml:space="preserve">Organism</t>
  </si>
  <si>
    <t xml:space="preserve">LOC / GeneID</t>
  </si>
  <si>
    <t xml:space="preserve">NCBI accession</t>
  </si>
  <si>
    <t xml:space="preserve">Other ID</t>
  </si>
  <si>
    <t xml:space="preserve">Amplifier</t>
  </si>
  <si>
    <t xml:space="preserve">Fluorophore</t>
  </si>
  <si>
    <t xml:space="preserve"># pairs</t>
  </si>
  <si>
    <t xml:space="preserve"># pairs verified on template</t>
  </si>
  <si>
    <t xml:space="preserve">Same gene also on</t>
  </si>
  <si>
    <t xml:space="preserve">Names used in source files</t>
  </si>
  <si>
    <t xml:space="preserve">Source files</t>
  </si>
  <si>
    <t xml:space="preserve">Template(s)</t>
  </si>
  <si>
    <t xml:space="preserve">LOC source</t>
  </si>
  <si>
    <t xml:space="preserve">Genome LOC (genome_cds.fa match)</t>
  </si>
  <si>
    <t xml:space="preserve"># pairs verified in genome</t>
  </si>
  <si>
    <t xml:space="preserve">Genome confidence</t>
  </si>
  <si>
    <t xml:space="preserve">NCBI protein name (genome_cds.fa)</t>
  </si>
  <si>
    <t xml:space="preserve">Name in ncbi_annotation_ultimate.csv</t>
  </si>
  <si>
    <t xml:space="preserve">XP accession(s) of genome LOC</t>
  </si>
  <si>
    <t xml:space="preserve">Check notes</t>
  </si>
  <si>
    <t xml:space="preserve">Status</t>
  </si>
  <si>
    <t xml:space="preserve">Tube / location</t>
  </si>
  <si>
    <t xml:space="preserve">Order date</t>
  </si>
  <si>
    <t xml:space="preserve">Vendor / order ID</t>
  </si>
  <si>
    <t xml:space="preserve">Notes</t>
  </si>
  <si>
    <t xml:space="preserve">SU-001</t>
  </si>
  <si>
    <t xml:space="preserve">Suriya</t>
  </si>
  <si>
    <t xml:space="preserve">Acox3</t>
  </si>
  <si>
    <t xml:space="preserve">peroxisomal acyl-coenzyme A oxidase 3</t>
  </si>
  <si>
    <t xml:space="preserve">Bicyclus anynana</t>
  </si>
  <si>
    <t xml:space="preserve">LOC112044046</t>
  </si>
  <si>
    <t xml:space="preserve">B1</t>
  </si>
  <si>
    <t xml:space="preserve">AF546</t>
  </si>
  <si>
    <t xml:space="preserve">Probes_designed.xlsx › sal_crx_treh</t>
  </si>
  <si>
    <t xml:space="preserve">genome_cds.fa match</t>
  </si>
  <si>
    <t xml:space="preserve">XP_023935546.2; XP_023935555.2</t>
  </si>
  <si>
    <t xml:space="preserve">SU-002</t>
  </si>
  <si>
    <t xml:space="preserve">Probes_designed.xlsx › spotty</t>
  </si>
  <si>
    <t xml:space="preserve">SU-003</t>
  </si>
  <si>
    <t xml:space="preserve">al2</t>
  </si>
  <si>
    <t xml:space="preserve">homeobox protein aristaless</t>
  </si>
  <si>
    <t xml:space="preserve">LOC112056678</t>
  </si>
  <si>
    <t xml:space="preserve">Probes_designed.xlsx › al1-2</t>
  </si>
  <si>
    <t xml:space="preserve">XP_023952906.1</t>
  </si>
  <si>
    <t xml:space="preserve">SU-004</t>
  </si>
  <si>
    <t xml:space="preserve">antiSp9</t>
  </si>
  <si>
    <t xml:space="preserve">Not verified</t>
  </si>
  <si>
    <t xml:space="preserve">Probes_designed.xlsx › sp_anti</t>
  </si>
  <si>
    <t xml:space="preserve">1 pair(s) flagged in Probe_Pairs</t>
  </si>
  <si>
    <t xml:space="preserve">SU-005</t>
  </si>
  <si>
    <t xml:space="preserve">B2717</t>
  </si>
  <si>
    <t xml:space="preserve">serine/threonine-protein kinase 17A</t>
  </si>
  <si>
    <t xml:space="preserve">LOC112043860</t>
  </si>
  <si>
    <t xml:space="preserve">B2717_8_Dla</t>
  </si>
  <si>
    <t xml:space="preserve">Probes_designed.xlsx › spotty_missing3</t>
  </si>
  <si>
    <t xml:space="preserve">XP_023935264.2</t>
  </si>
  <si>
    <t xml:space="preserve">SU-006</t>
  </si>
  <si>
    <t xml:space="preserve">B2760</t>
  </si>
  <si>
    <t xml:space="preserve">integrin alpha-9</t>
  </si>
  <si>
    <t xml:space="preserve">LOC112044234</t>
  </si>
  <si>
    <t xml:space="preserve">B2760_8_Dla</t>
  </si>
  <si>
    <t xml:space="preserve">integrin alpha-9-like</t>
  </si>
  <si>
    <t xml:space="preserve">XP_023935772.1</t>
  </si>
  <si>
    <t xml:space="preserve">SU-007</t>
  </si>
  <si>
    <t xml:space="preserve">B2893</t>
  </si>
  <si>
    <t xml:space="preserve">uncharacterized protein LOC112051220</t>
  </si>
  <si>
    <t xml:space="preserve">LOC112051220</t>
  </si>
  <si>
    <t xml:space="preserve">uncharacterized LOC112051220(LOC112051220)</t>
  </si>
  <si>
    <t xml:space="preserve">XP_023945537.1</t>
  </si>
  <si>
    <t xml:space="preserve">SU-008</t>
  </si>
  <si>
    <t xml:space="preserve">Crx</t>
  </si>
  <si>
    <t xml:space="preserve">protein groucho</t>
  </si>
  <si>
    <t xml:space="preserve">LOC112044658</t>
  </si>
  <si>
    <t xml:space="preserve">C, Cx</t>
  </si>
  <si>
    <t xml:space="preserve">protein groucho-like isoform X1</t>
  </si>
  <si>
    <t xml:space="preserve">XP_052742340.1</t>
  </si>
  <si>
    <t xml:space="preserve">1 pair(s) flagged in Probe_Pairs; Only 1/6 pairs match the genome LOC on both halves</t>
  </si>
  <si>
    <t xml:space="preserve">SU-009</t>
  </si>
  <si>
    <t xml:space="preserve">EcR</t>
  </si>
  <si>
    <t xml:space="preserve">ecdysone receptor isoform X1</t>
  </si>
  <si>
    <t xml:space="preserve">LOC112043737</t>
  </si>
  <si>
    <t xml:space="preserve">Probes_designed.xlsx › ecr</t>
  </si>
  <si>
    <t xml:space="preserve">y</t>
  </si>
  <si>
    <t xml:space="preserve">XP_052737671.1; XP_052737670.1; XP_052737669.1</t>
  </si>
  <si>
    <t xml:space="preserve">SU-010</t>
  </si>
  <si>
    <t xml:space="preserve">Egfr</t>
  </si>
  <si>
    <t xml:space="preserve">epidermal growth factor receptor isoform X1</t>
  </si>
  <si>
    <t xml:space="preserve">LOC112045731</t>
  </si>
  <si>
    <t xml:space="preserve">Probes_designed.xlsx › egfr</t>
  </si>
  <si>
    <t xml:space="preserve">epidermal growth factor receptor</t>
  </si>
  <si>
    <t xml:space="preserve">XP_052746802.1; XP_023937801.1</t>
  </si>
  <si>
    <t xml:space="preserve">SU-011</t>
  </si>
  <si>
    <t xml:space="preserve">FCHO2</t>
  </si>
  <si>
    <t xml:space="preserve">F-BAR domain only protein 2</t>
  </si>
  <si>
    <t xml:space="preserve">LOC112044031</t>
  </si>
  <si>
    <t xml:space="preserve">XP_023935523.2</t>
  </si>
  <si>
    <t xml:space="preserve">SU-012</t>
  </si>
  <si>
    <t xml:space="preserve">ftz</t>
  </si>
  <si>
    <t xml:space="preserve">homeobox protein Hox-B5a</t>
  </si>
  <si>
    <t xml:space="preserve">LOC112057778</t>
  </si>
  <si>
    <t xml:space="preserve">Probes_designed.xlsx › ubx_ftz_antp</t>
  </si>
  <si>
    <t xml:space="preserve">homeobox protein Hox-B5a-like</t>
  </si>
  <si>
    <t xml:space="preserve">XP_023954087.2</t>
  </si>
  <si>
    <t xml:space="preserve">SU-013</t>
  </si>
  <si>
    <t xml:space="preserve">Jo_bab</t>
  </si>
  <si>
    <t xml:space="preserve">Junonia orithya (per sheet name)</t>
  </si>
  <si>
    <t xml:space="preserve">Probes_designed.xlsx › J_orithya</t>
  </si>
  <si>
    <t xml:space="preserve">SU-014</t>
  </si>
  <si>
    <t xml:space="preserve">MSTRG.582</t>
  </si>
  <si>
    <t xml:space="preserve">hemocytin</t>
  </si>
  <si>
    <t xml:space="preserve">LOC112043956</t>
  </si>
  <si>
    <t xml:space="preserve">MSTRG.</t>
  </si>
  <si>
    <t xml:space="preserve">Probes_designed.xlsx › spotty2</t>
  </si>
  <si>
    <t xml:space="preserve">hemocytin isoform X1</t>
  </si>
  <si>
    <t xml:space="preserve">XP_052737422.1</t>
  </si>
  <si>
    <t xml:space="preserve">2 pair(s) flagged in Probe_Pairs</t>
  </si>
  <si>
    <t xml:space="preserve">Sheet note: description in sheet: von Willebrand factor</t>
  </si>
  <si>
    <t xml:space="preserve">SU-015</t>
  </si>
  <si>
    <t xml:space="preserve">MSTRG.592</t>
  </si>
  <si>
    <t xml:space="preserve">uncharacterized protein LOC128198192</t>
  </si>
  <si>
    <t xml:space="preserve">LOC128198192</t>
  </si>
  <si>
    <t xml:space="preserve">(not in CSV)</t>
  </si>
  <si>
    <t xml:space="preserve">XP_052738156.1</t>
  </si>
  <si>
    <t xml:space="preserve">3 pair(s) flagged in Probe_Pairs; Only 2/6 pairs match the genome LOC on both halves</t>
  </si>
  <si>
    <t xml:space="preserve">Sheet note: description in sheet: novel; binding arms match the antisense strand of the genome LOC, so these probes detect an antisense transcript</t>
  </si>
  <si>
    <t xml:space="preserve">SU-016</t>
  </si>
  <si>
    <t xml:space="preserve">MSTRG.618</t>
  </si>
  <si>
    <t xml:space="preserve">integrin alpha-PS5</t>
  </si>
  <si>
    <t xml:space="preserve">LOC112043574</t>
  </si>
  <si>
    <t xml:space="preserve">integrin alpha-PS5-like</t>
  </si>
  <si>
    <t xml:space="preserve">XP_023934824.1</t>
  </si>
  <si>
    <t xml:space="preserve">Sheet note: description in sheet: ITA9_HUMANIntegrin alpha</t>
  </si>
  <si>
    <t xml:space="preserve">SU-017</t>
  </si>
  <si>
    <t xml:space="preserve">MSTRG.649</t>
  </si>
  <si>
    <t xml:space="preserve">Bicyclus anynana (not in genome CDS; other sets in this sheet are)</t>
  </si>
  <si>
    <t xml:space="preserve">5 pair(s) flagged in Probe_Pairs</t>
  </si>
  <si>
    <t xml:space="preserve">Sheet note: description in sheet: POL5_B2794</t>
  </si>
  <si>
    <t xml:space="preserve">SU-018</t>
  </si>
  <si>
    <t xml:space="preserve">Osp</t>
  </si>
  <si>
    <t xml:space="preserve">protein outspread isoform X3</t>
  </si>
  <si>
    <t xml:space="preserve">LOC112051193</t>
  </si>
  <si>
    <t xml:space="preserve">B2</t>
  </si>
  <si>
    <t xml:space="preserve">Probes_designed.xlsx › Osp</t>
  </si>
  <si>
    <t xml:space="preserve">protein outspread isoform X1</t>
  </si>
  <si>
    <t xml:space="preserve">XP_052737690.1; XP_052737691.1; XP_052737692.1</t>
  </si>
  <si>
    <t xml:space="preserve">SU-019</t>
  </si>
  <si>
    <t xml:space="preserve">Suds</t>
  </si>
  <si>
    <t xml:space="preserve">sin3 histone deacetylase corepressor complex component SDS3</t>
  </si>
  <si>
    <t xml:space="preserve">LOC112044023</t>
  </si>
  <si>
    <t xml:space="preserve">Probes_designed.xlsx › osp_suds3</t>
  </si>
  <si>
    <t xml:space="preserve">XP_052737699.1</t>
  </si>
  <si>
    <t xml:space="preserve">3 pair(s) flagged in Probe_Pairs</t>
  </si>
  <si>
    <t xml:space="preserve">SU-020</t>
  </si>
  <si>
    <t xml:space="preserve">suds3</t>
  </si>
  <si>
    <t xml:space="preserve">suds3_12_Dla</t>
  </si>
  <si>
    <t xml:space="preserve">Probes_designed.xlsx › Suds3_new</t>
  </si>
  <si>
    <t xml:space="preserve">Only 5/12 pairs match the genome LOC on both halves</t>
  </si>
  <si>
    <t xml:space="preserve">SU-021</t>
  </si>
  <si>
    <t xml:space="preserve">SUDS3</t>
  </si>
  <si>
    <t xml:space="preserve">SU-022</t>
  </si>
  <si>
    <t xml:space="preserve">al1</t>
  </si>
  <si>
    <t xml:space="preserve">homeobox protein aristaless isoform X2</t>
  </si>
  <si>
    <t xml:space="preserve">LOC112054675</t>
  </si>
  <si>
    <t xml:space="preserve">AF647</t>
  </si>
  <si>
    <t xml:space="preserve">homeobox protein aristaless-like</t>
  </si>
  <si>
    <t xml:space="preserve">XP_052747220.1; XP_052747221.1; XP_052747222.1</t>
  </si>
  <si>
    <t xml:space="preserve">Only 1/5 pairs match the genome LOC on both halves</t>
  </si>
  <si>
    <t xml:space="preserve">SU-023</t>
  </si>
  <si>
    <t xml:space="preserve">antiSp5</t>
  </si>
  <si>
    <t xml:space="preserve">SU-024</t>
  </si>
  <si>
    <t xml:space="preserve">Antp</t>
  </si>
  <si>
    <t xml:space="preserve">homeotic protein antennapedia</t>
  </si>
  <si>
    <t xml:space="preserve">LOC112057779</t>
  </si>
  <si>
    <t xml:space="preserve">homeotic protein antennapedia-like</t>
  </si>
  <si>
    <t xml:space="preserve">XP_023954088.1; XP_023954089.1; XP_023954090.1; XP_023954091.1; XP_052739738.1; XP_052739739.1; XP_052739740.1; XP_052739741.1; XP_052739742.1</t>
  </si>
  <si>
    <t xml:space="preserve">SU-025</t>
  </si>
  <si>
    <t xml:space="preserve">B2894</t>
  </si>
  <si>
    <t xml:space="preserve">SU-026</t>
  </si>
  <si>
    <t xml:space="preserve">Br-C</t>
  </si>
  <si>
    <t xml:space="preserve">broad-complex core protein isoforms 1/2/3/4/5 isoform X2</t>
  </si>
  <si>
    <t xml:space="preserve">LOC112046462</t>
  </si>
  <si>
    <t xml:space="preserve">broad-complex core protein isoforms 1/2/3/4/5</t>
  </si>
  <si>
    <t xml:space="preserve">XP_052741626.1; XP_052741627.1; XP_052741628.1; XP_052741630.1; XP_052741631.1; XP_052741632.1; XP_052741633.1; XP_052741634.1; XP_052741635.1</t>
  </si>
  <si>
    <t xml:space="preserve">SU-027</t>
  </si>
  <si>
    <t xml:space="preserve">E74</t>
  </si>
  <si>
    <t xml:space="preserve">ecdysone-induced protein 74EF isoform X3</t>
  </si>
  <si>
    <t xml:space="preserve">LOC112051403</t>
  </si>
  <si>
    <t xml:space="preserve">ecdysone-induced protein 74EF isoform X2</t>
  </si>
  <si>
    <t xml:space="preserve">XP_023945794.1; XP_023945795.1; XP_052747389.1; XP_052747390.1; XP_023945797.1; XP_023945798.1</t>
  </si>
  <si>
    <t xml:space="preserve">SU-028</t>
  </si>
  <si>
    <t xml:space="preserve">JO.D</t>
  </si>
  <si>
    <t xml:space="preserve">SU-029</t>
  </si>
  <si>
    <t xml:space="preserve">JOOp</t>
  </si>
  <si>
    <t xml:space="preserve">SU-030</t>
  </si>
  <si>
    <t xml:space="preserve">Kr-h1</t>
  </si>
  <si>
    <t xml:space="preserve">Krueppel homolog 1-like</t>
  </si>
  <si>
    <t xml:space="preserve">LOC112052235</t>
  </si>
  <si>
    <t xml:space="preserve">Probes_designed.xlsx › notch</t>
  </si>
  <si>
    <t xml:space="preserve">XP_023947008.1</t>
  </si>
  <si>
    <t xml:space="preserve">SU-031</t>
  </si>
  <si>
    <t xml:space="preserve">MS971</t>
  </si>
  <si>
    <t xml:space="preserve">SU-032</t>
  </si>
  <si>
    <t xml:space="preserve">N</t>
  </si>
  <si>
    <t xml:space="preserve">SU-033</t>
  </si>
  <si>
    <t xml:space="preserve">SU-034</t>
  </si>
  <si>
    <t xml:space="preserve">Tret</t>
  </si>
  <si>
    <t xml:space="preserve">T</t>
  </si>
  <si>
    <t xml:space="preserve">SU-035</t>
  </si>
  <si>
    <t xml:space="preserve">Usp</t>
  </si>
  <si>
    <t xml:space="preserve">protein ultraspiracle homolog isoform X4</t>
  </si>
  <si>
    <t xml:space="preserve">LOC112047418</t>
  </si>
  <si>
    <t xml:space="preserve">protein ultraspiracle homolog isoform X1</t>
  </si>
  <si>
    <t xml:space="preserve">XP_023940309.1; XP_052747211.1; XP_023940304.1; XP_023940305.1; XP_023940307.1; XP_052747210.1; XP_023940308.1; XP_052747212.1</t>
  </si>
  <si>
    <t xml:space="preserve">SU-036</t>
  </si>
  <si>
    <t xml:space="preserve">antiSp1</t>
  </si>
  <si>
    <t xml:space="preserve">B3</t>
  </si>
  <si>
    <t xml:space="preserve">AF488</t>
  </si>
  <si>
    <t xml:space="preserve">SU-037</t>
  </si>
  <si>
    <t xml:space="preserve">B2769</t>
  </si>
  <si>
    <t xml:space="preserve">T-box transcription factor mls-1 isoform X2</t>
  </si>
  <si>
    <t xml:space="preserve">LOC112043550</t>
  </si>
  <si>
    <t xml:space="preserve">B2769_7_Dla</t>
  </si>
  <si>
    <t xml:space="preserve">T-box transcription factor mls-1-like isoform X2</t>
  </si>
  <si>
    <t xml:space="preserve">XP_023934794.1; XP_023934802.1</t>
  </si>
  <si>
    <t xml:space="preserve">SU-038</t>
  </si>
  <si>
    <t xml:space="preserve">E75</t>
  </si>
  <si>
    <t xml:space="preserve">ecdysone-inducible protein E75 isoform X5</t>
  </si>
  <si>
    <t xml:space="preserve">LOC112052885</t>
  </si>
  <si>
    <t xml:space="preserve">ecdysone-inducible protein E75 isoform X1</t>
  </si>
  <si>
    <t xml:space="preserve">XP_023947895.1; XP_023947903.1; XP_052737447.1; XP_023947909.1; XP_023947916.1</t>
  </si>
  <si>
    <t xml:space="preserve">SU-039</t>
  </si>
  <si>
    <t xml:space="preserve">E93</t>
  </si>
  <si>
    <t xml:space="preserve">mushroom body large-type Kenyon cell-specific protein 1 isoform X7</t>
  </si>
  <si>
    <t xml:space="preserve">LOC112046247</t>
  </si>
  <si>
    <t xml:space="preserve">mushroom body large-type Kenyon cell-specific protein 1 isoform X1</t>
  </si>
  <si>
    <t xml:space="preserve">XP_052745086.1; XP_052745088.1; XP_052745087.1; XP_052745089.1; XP_052745090.1; XP_023938592.2; XP_023938597.2; XP_052745091.1</t>
  </si>
  <si>
    <t xml:space="preserve">SU-040</t>
  </si>
  <si>
    <t xml:space="preserve">Ftz-f1</t>
  </si>
  <si>
    <t xml:space="preserve">nuclear hormone receptor FTZ-F1 isoform X3</t>
  </si>
  <si>
    <t xml:space="preserve">LOC112048033</t>
  </si>
  <si>
    <t xml:space="preserve">nuclear hormone receptor FTZ-F1 isoform X1</t>
  </si>
  <si>
    <t xml:space="preserve">XP_023941154.1; XP_023941161.1; XP_023941145.1; XP_052746495.1</t>
  </si>
  <si>
    <t xml:space="preserve">SU-041</t>
  </si>
  <si>
    <t xml:space="preserve">Jo_sal</t>
  </si>
  <si>
    <t xml:space="preserve">SU-042</t>
  </si>
  <si>
    <t xml:space="preserve">Kr</t>
  </si>
  <si>
    <t xml:space="preserve">SU-043</t>
  </si>
  <si>
    <t xml:space="preserve">LRR</t>
  </si>
  <si>
    <t xml:space="preserve">leucine-rich repeat-containing protein 74B-like</t>
  </si>
  <si>
    <t xml:space="preserve">LOC112050891</t>
  </si>
  <si>
    <t xml:space="preserve">XP_023945066.1</t>
  </si>
  <si>
    <t xml:space="preserve">SU-044</t>
  </si>
  <si>
    <t xml:space="preserve">MSTRG.578</t>
  </si>
  <si>
    <t xml:space="preserve">Sheet note: description in sheet: SUDS3-Bany0702</t>
  </si>
  <si>
    <t xml:space="preserve">SU-045</t>
  </si>
  <si>
    <t xml:space="preserve">MSTRG.587.1</t>
  </si>
  <si>
    <t xml:space="preserve">MSTRG.587.</t>
  </si>
  <si>
    <t xml:space="preserve">Sheet note: description in sheet: novel</t>
  </si>
  <si>
    <t xml:space="preserve">SU-046</t>
  </si>
  <si>
    <t xml:space="preserve">MSTRG.615.1</t>
  </si>
  <si>
    <t xml:space="preserve">uncharacterized protein LOC112057425</t>
  </si>
  <si>
    <t xml:space="preserve">LOC112057425</t>
  </si>
  <si>
    <t xml:space="preserve">MSTRG.615.</t>
  </si>
  <si>
    <t xml:space="preserve">uncharacterized LOC112057425(LOC112057425)</t>
  </si>
  <si>
    <t xml:space="preserve">XP_023953674.2</t>
  </si>
  <si>
    <t xml:space="preserve">Sheet note: description in sheet: B2757</t>
  </si>
  <si>
    <t xml:space="preserve">SU-047</t>
  </si>
  <si>
    <t xml:space="preserve">MSTRG.642</t>
  </si>
  <si>
    <t xml:space="preserve">SU-048</t>
  </si>
  <si>
    <t xml:space="preserve">pcs</t>
  </si>
  <si>
    <t xml:space="preserve">SH3 domain-binding protein 5 homolog</t>
  </si>
  <si>
    <t xml:space="preserve">LOC112044041</t>
  </si>
  <si>
    <t xml:space="preserve">XP_023935536.1</t>
  </si>
  <si>
    <t xml:space="preserve">Only 2/8 pairs match the genome LOC on both halves</t>
  </si>
  <si>
    <t xml:space="preserve">SU-049</t>
  </si>
  <si>
    <t xml:space="preserve">spalt</t>
  </si>
  <si>
    <t xml:space="preserve">homeotic protein spalt-major isoform X3</t>
  </si>
  <si>
    <t xml:space="preserve">LOC112046662</t>
  </si>
  <si>
    <t xml:space="preserve">spalt1_HCR_P1B, spalt1_HCR_P2B, spalt2_HCR_P1B, spalt2_HCR_P2B, spalt3_HCR_P1B, spalt3_HCR_P2B</t>
  </si>
  <si>
    <t xml:space="preserve">homeotic protein spalt-major-like isoform X1</t>
  </si>
  <si>
    <t xml:space="preserve">XP_052747207.1; XP_052747206.1; XP_023939141.1</t>
  </si>
  <si>
    <t xml:space="preserve">SU-050</t>
  </si>
  <si>
    <t xml:space="preserve">Su(H)</t>
  </si>
  <si>
    <t xml:space="preserve">suppressor of hairless protein</t>
  </si>
  <si>
    <t xml:space="preserve">LOC112052246</t>
  </si>
  <si>
    <t xml:space="preserve">XP_023947022.1</t>
  </si>
  <si>
    <t xml:space="preserve">SU-051</t>
  </si>
  <si>
    <t xml:space="preserve">Syn1A</t>
  </si>
  <si>
    <t xml:space="preserve">syntaxin-1A isoform X6</t>
  </si>
  <si>
    <t xml:space="preserve">LOC112047017</t>
  </si>
  <si>
    <t xml:space="preserve">syntaxin-1A isoform X1</t>
  </si>
  <si>
    <t xml:space="preserve">XP_052737472.1; XP_023939684.1; XP_023939701.1; XP_023939708.2; XP_023939693.1; XP_023939715.1</t>
  </si>
  <si>
    <t xml:space="preserve">SU-052</t>
  </si>
  <si>
    <t xml:space="preserve">Ubx</t>
  </si>
  <si>
    <t xml:space="preserve">homeotic protein ultrabithorax</t>
  </si>
  <si>
    <t xml:space="preserve">LOC112057782</t>
  </si>
  <si>
    <t xml:space="preserve">XP_052739699.1</t>
  </si>
  <si>
    <t xml:space="preserve">Pair_ID</t>
  </si>
  <si>
    <t xml:space="preserve">Gene</t>
  </si>
  <si>
    <t xml:space="preserve">Pair #</t>
  </si>
  <si>
    <t xml:space="preserve">P1 standard name</t>
  </si>
  <si>
    <t xml:space="preserve">P1 sequence (5′→3′)</t>
  </si>
  <si>
    <t xml:space="preserve">P2 standard name</t>
  </si>
  <si>
    <t xml:space="preserve">P2 sequence (5′→3′)</t>
  </si>
  <si>
    <t xml:space="preserve">P1 original name(s)</t>
  </si>
  <si>
    <t xml:space="preserve">P2 original name(s)</t>
  </si>
  <si>
    <t xml:space="preserve">P1 binding arm</t>
  </si>
  <si>
    <t xml:space="preserve">P2 binding arm</t>
  </si>
  <si>
    <t xml:space="preserve">P1 arm length</t>
  </si>
  <si>
    <t xml:space="preserve">P2 arm length</t>
  </si>
  <si>
    <t xml:space="preserve">P1 arm GC%</t>
  </si>
  <si>
    <t xml:space="preserve">P2 arm GC%</t>
  </si>
  <si>
    <t xml:space="preserve">Template</t>
  </si>
  <si>
    <t xml:space="preserve">Template match</t>
  </si>
  <si>
    <t xml:space="preserve">Site start on template (nt)</t>
  </si>
  <si>
    <t xml:space="preserve">Paired by</t>
  </si>
  <si>
    <t xml:space="preserve">Pool / order (as recorded)</t>
  </si>
  <si>
    <t xml:space="preserve">Genome match (to set LOC)</t>
  </si>
  <si>
    <t xml:space="preserve">Pair flag</t>
  </si>
  <si>
    <t xml:space="preserve">SU-001-01</t>
  </si>
  <si>
    <t xml:space="preserve">Acox3_B1_P1_01</t>
  </si>
  <si>
    <t xml:space="preserve">GAGGAGGGCAGCAAACGGAACTCTCTATGCTTGATGGTAGCTTCG</t>
  </si>
  <si>
    <t xml:space="preserve">Acox3_B1_P2_01</t>
  </si>
  <si>
    <t xml:space="preserve">CTCCGTCAGCGAGAAGCTGGCTAGGTAGAAGAGTCTTCCTTTACG</t>
  </si>
  <si>
    <t xml:space="preserve">B1_P1_Acox3_2</t>
  </si>
  <si>
    <t xml:space="preserve">B1_P2_Acox3_2</t>
  </si>
  <si>
    <t xml:space="preserve">CTCTCTATGCTTGATGGTAGCTTCG</t>
  </si>
  <si>
    <t xml:space="preserve">CTCCGTCAGCGAGAAGCTGGCTAGG</t>
  </si>
  <si>
    <t xml:space="preserve">No template</t>
  </si>
  <si>
    <t xml:space="preserve">genome position</t>
  </si>
  <si>
    <t xml:space="preserve">Probes_designed › sal_crx_treh</t>
  </si>
  <si>
    <t xml:space="preserve">Both halves</t>
  </si>
  <si>
    <t xml:space="preserve">SU-001-02</t>
  </si>
  <si>
    <t xml:space="preserve">Acox3_B1_P1_02</t>
  </si>
  <si>
    <t xml:space="preserve">GAGGAGGGCAGCAAACGGAACTCGAAGTCCGGCGTGTGCACTACA</t>
  </si>
  <si>
    <t xml:space="preserve">Acox3_B1_P2_02</t>
  </si>
  <si>
    <t xml:space="preserve">TAGATTACCAACCCAGCATTTAGCGTAGAAGAGTCTTCCTTTACG</t>
  </si>
  <si>
    <t xml:space="preserve">B1_P1_Acox3_4</t>
  </si>
  <si>
    <t xml:space="preserve">B1_P2_Acox3_4</t>
  </si>
  <si>
    <t xml:space="preserve">CTCGAAGTCCGGCGTGTGCACTACA</t>
  </si>
  <si>
    <t xml:space="preserve">TAGATTACCAACCCAGCATTTAGCG</t>
  </si>
  <si>
    <t xml:space="preserve">SU-001-03</t>
  </si>
  <si>
    <t xml:space="preserve">Acox3_B1_P1_03</t>
  </si>
  <si>
    <t xml:space="preserve">GAGGAGGGCAGCAAACGGAAAGCGAACAGCAAGGTGTGGGTACAC</t>
  </si>
  <si>
    <t xml:space="preserve">Acox3_B1_P2_03</t>
  </si>
  <si>
    <t xml:space="preserve">GTTGGTGCCGTCCGGTGTGATGAGCTAGAAGAGTCTTCCTTTACG</t>
  </si>
  <si>
    <t xml:space="preserve">B1_P1_Acox3_5</t>
  </si>
  <si>
    <t xml:space="preserve">B1_P2_Acox3_5</t>
  </si>
  <si>
    <t xml:space="preserve">AGCGAACAGCAAGGTGTGGGTACAC</t>
  </si>
  <si>
    <t xml:space="preserve">GTTGGTGCCGTCCGGTGTGATGAGC</t>
  </si>
  <si>
    <t xml:space="preserve">SU-001-04</t>
  </si>
  <si>
    <t xml:space="preserve">Acox3_B1_P1_04</t>
  </si>
  <si>
    <t xml:space="preserve">GAGGAGGGCAGCAAACGGAACCGGATGGGCACGACGAAGCCATGC</t>
  </si>
  <si>
    <t xml:space="preserve">Acox3_B1_P2_04</t>
  </si>
  <si>
    <t xml:space="preserve">AGGGTATGTCTCCAGGGTGTCGGGTTAGAAGAGTCTTCCTTTACG</t>
  </si>
  <si>
    <t xml:space="preserve">B1_P1_Acox3_6</t>
  </si>
  <si>
    <t xml:space="preserve">B1_P2_Acox3_6</t>
  </si>
  <si>
    <t xml:space="preserve">CCGGATGGGCACGACGAAGCCATGC</t>
  </si>
  <si>
    <t xml:space="preserve">AGGGTATGTCTCCAGGGTGTCGGGT</t>
  </si>
  <si>
    <t xml:space="preserve">SU-001-05</t>
  </si>
  <si>
    <t xml:space="preserve">Acox3_B1_P1_05</t>
  </si>
  <si>
    <t xml:space="preserve">GAGGAGGGCAGCAAACGGAAAAGAGCGTTGGAGAACAGATAGATG</t>
  </si>
  <si>
    <t xml:space="preserve">Acox3_B1_P2_05</t>
  </si>
  <si>
    <t xml:space="preserve">CAGGTGTCGTTCAGTTCCCAGCGACTAGAAGAGTCTTCCTTTACG</t>
  </si>
  <si>
    <t xml:space="preserve">B1_P1_Acox3_1</t>
  </si>
  <si>
    <t xml:space="preserve">B1_P2_Acox3_1</t>
  </si>
  <si>
    <t xml:space="preserve">AAGAGCGTTGGAGAACAGATAGATG</t>
  </si>
  <si>
    <t xml:space="preserve">CAGGTGTCGTTCAGTTCCCAGCGAC</t>
  </si>
  <si>
    <t xml:space="preserve">probe name</t>
  </si>
  <si>
    <t xml:space="preserve">None</t>
  </si>
  <si>
    <t xml:space="preserve">SU-001-06</t>
  </si>
  <si>
    <t xml:space="preserve">Acox3_B1_P1_06</t>
  </si>
  <si>
    <t xml:space="preserve">GAGGAGGGCAGCAAACGGAACCGCATGAGACGCGCGTCCGAGCCG</t>
  </si>
  <si>
    <t xml:space="preserve">Acox3_B1_P2_06</t>
  </si>
  <si>
    <t xml:space="preserve">GGTGCTGGGGTCGTAGGTGGCGGTGTAGAAGAGTCTTCCTTTACG</t>
  </si>
  <si>
    <t xml:space="preserve">B1_P1_Acox3_3</t>
  </si>
  <si>
    <t xml:space="preserve">B1_P2_Acox3_3</t>
  </si>
  <si>
    <t xml:space="preserve">CCGCATGAGACGCGCGTCCGAGCCG</t>
  </si>
  <si>
    <t xml:space="preserve">GGTGCTGGGGTCGTAGGTGGCGGTG</t>
  </si>
  <si>
    <t xml:space="preserve">P2 only</t>
  </si>
  <si>
    <t xml:space="preserve">SU-002-01</t>
  </si>
  <si>
    <t xml:space="preserve">GAGGAGGGCAGCAAACGGAAGAGTTCTGGTACAAAACTGAGGTCT</t>
  </si>
  <si>
    <t xml:space="preserve">TCTGTACACATCTAGAGGCCCACTCTAGAAGAGTCTTCCTTTACG</t>
  </si>
  <si>
    <t xml:space="preserve">B1_P1_Acox3-1</t>
  </si>
  <si>
    <t xml:space="preserve">B1_P2_Acox3-1</t>
  </si>
  <si>
    <t xml:space="preserve">GAGTTCTGGTACAAAACTGAGGTCT</t>
  </si>
  <si>
    <t xml:space="preserve">TCTGTACACATCTAGAGGCCCACTC</t>
  </si>
  <si>
    <t xml:space="preserve">Probes_designed › spotty</t>
  </si>
  <si>
    <t xml:space="preserve">SU-002-02</t>
  </si>
  <si>
    <t xml:space="preserve">GAGGAGGGCAGCAAACGGAAAAGTCTCCTTCAAGGGCCAATTTAA</t>
  </si>
  <si>
    <t xml:space="preserve">ATTTTGTACTTAAGTTTCAGCAAATTAGAAGAGTCTTCCTTTACG</t>
  </si>
  <si>
    <t xml:space="preserve">B1_P1_Acox3-2</t>
  </si>
  <si>
    <t xml:space="preserve">B1_P2_Acox3-2</t>
  </si>
  <si>
    <t xml:space="preserve">AAGTCTCCTTCAAGGGCCAATTTAA</t>
  </si>
  <si>
    <t xml:space="preserve">ATTTTGTACTTAAGTTTCAGCAAAT</t>
  </si>
  <si>
    <t xml:space="preserve">SU-002-03</t>
  </si>
  <si>
    <t xml:space="preserve">GAGGAGGGCAGCAAACGGAACGCCGCGTAGCGCACCGCGATCGTC</t>
  </si>
  <si>
    <t xml:space="preserve">GTCCCGCTCGCCGAACTGCGTGCGCTAGAAGAGTCTTCCTTTACG</t>
  </si>
  <si>
    <t xml:space="preserve">B1_P1_Acox3-6</t>
  </si>
  <si>
    <t xml:space="preserve">B1_P2_Acox3-6</t>
  </si>
  <si>
    <t xml:space="preserve">CGCCGCGTAGCGCACCGCGATCGTC</t>
  </si>
  <si>
    <t xml:space="preserve">GTCCCGCTCGCCGAACTGCGTGCGC</t>
  </si>
  <si>
    <t xml:space="preserve">SU-002-04</t>
  </si>
  <si>
    <t xml:space="preserve">GAGGAGGGCAGCAAACGGAACGTTGGACTTCTCCACGATGTTCAG</t>
  </si>
  <si>
    <t xml:space="preserve">CACTCAAATTGTCGACCCTGTGGCCTAGAAGAGTCTTCCTTTACG</t>
  </si>
  <si>
    <t xml:space="preserve">B1_P1_Acox3-7</t>
  </si>
  <si>
    <t xml:space="preserve">B1_P2_Acox3-7</t>
  </si>
  <si>
    <t xml:space="preserve">CGTTGGACTTCTCCACGATGTTCAG</t>
  </si>
  <si>
    <t xml:space="preserve">CACTCAAATTGTCGACCCTGTGGCC</t>
  </si>
  <si>
    <t xml:space="preserve">SU-002-05</t>
  </si>
  <si>
    <t xml:space="preserve">GAGGAGGGCAGCAAACGGAAGCAGCCAGTTGCCGGCTTGTTGCGA</t>
  </si>
  <si>
    <t xml:space="preserve">CCGCTATGGCCGCCTCGTACTGTCGTAGAAGAGTCTTCCTTTACG</t>
  </si>
  <si>
    <t xml:space="preserve">B1_P1_Acox3-8</t>
  </si>
  <si>
    <t xml:space="preserve">B1_P2_Acox3-8</t>
  </si>
  <si>
    <t xml:space="preserve">GCAGCCAGTTGCCGGCTTGTTGCGA</t>
  </si>
  <si>
    <t xml:space="preserve">CCGCTATGGCCGCCTCGTACTGTCG</t>
  </si>
  <si>
    <t xml:space="preserve">SU-002-06</t>
  </si>
  <si>
    <t xml:space="preserve">GAGGAGGGCAGCAAACGGAAACGGACACGCTCGGATTGAGGGATT</t>
  </si>
  <si>
    <t xml:space="preserve">AACAGATAGATGCCAATGGCCATTTTAGAAGAGTCTTCCTTTACG</t>
  </si>
  <si>
    <t xml:space="preserve">B1_P1_Acox3-3</t>
  </si>
  <si>
    <t xml:space="preserve">B1_P2_Acox3-3</t>
  </si>
  <si>
    <t xml:space="preserve">ACGGACACGCTCGGATTGAGGGATT</t>
  </si>
  <si>
    <t xml:space="preserve">AACAGATAGATGCCAATGGCCATTT</t>
  </si>
  <si>
    <t xml:space="preserve">SU-002-07</t>
  </si>
  <si>
    <t xml:space="preserve">Acox3_B1_P1_07</t>
  </si>
  <si>
    <t xml:space="preserve">Acox3_B1_P2_07</t>
  </si>
  <si>
    <t xml:space="preserve">B1_P1_Acox3-4</t>
  </si>
  <si>
    <t xml:space="preserve">B1_P2_Acox3-4</t>
  </si>
  <si>
    <t xml:space="preserve">SU-002-08</t>
  </si>
  <si>
    <t xml:space="preserve">Acox3_B1_P1_08</t>
  </si>
  <si>
    <t xml:space="preserve">GAGGAGGGCAGCAAACGGAAGCCGTTCTATTGAGGAGATTCTCTC</t>
  </si>
  <si>
    <t xml:space="preserve">Acox3_B1_P2_08</t>
  </si>
  <si>
    <t xml:space="preserve">TCATATGTGCCATCCTCTGTGACGTTAGAAGAGTCTTCCTTTACG</t>
  </si>
  <si>
    <t xml:space="preserve">B1_P1_Acox3-5</t>
  </si>
  <si>
    <t xml:space="preserve">B1_P2_Acox3-5</t>
  </si>
  <si>
    <t xml:space="preserve">GCCGTTCTATTGAGGAGATTCTCTC</t>
  </si>
  <si>
    <t xml:space="preserve">TCATATGTGCCATCCTCTGTGACGT</t>
  </si>
  <si>
    <t xml:space="preserve">SU-003-01</t>
  </si>
  <si>
    <t xml:space="preserve">al2_B1_P1_01</t>
  </si>
  <si>
    <t xml:space="preserve">GAGGAGGGCAGCAAACGGAATGAGGAGCAGTTTGGTTCTGATACT</t>
  </si>
  <si>
    <t xml:space="preserve">al2_B1_P2_01</t>
  </si>
  <si>
    <t xml:space="preserve">CGGGTCGTGAGGGGGAAGGTCGGGATAGAAGAGTCTTCCTTTACG</t>
  </si>
  <si>
    <t xml:space="preserve">B1_P1_al2-1</t>
  </si>
  <si>
    <t xml:space="preserve">B1_P2_al2-1</t>
  </si>
  <si>
    <t xml:space="preserve">TGAGGAGCAGTTTGGTTCTGATACT</t>
  </si>
  <si>
    <t xml:space="preserve">CGGGTCGTGAGGGGGAAGGTCGGGA</t>
  </si>
  <si>
    <t xml:space="preserve">Probes_designed › al1-2</t>
  </si>
  <si>
    <t xml:space="preserve">SU-003-02</t>
  </si>
  <si>
    <t xml:space="preserve">al2_B1_P1_02</t>
  </si>
  <si>
    <t xml:space="preserve">GAGGAGGGCAGCAAACGGAATTCCTTCTGGGAATGTCCTCGTCAT</t>
  </si>
  <si>
    <t xml:space="preserve">al2_B1_P2_02</t>
  </si>
  <si>
    <t xml:space="preserve">GTGAAGGTGGTCCTATACCGCCTCTTAGAAGAGTCTTCCTTTACG</t>
  </si>
  <si>
    <t xml:space="preserve">B1_P1_al2-2</t>
  </si>
  <si>
    <t xml:space="preserve">B1_P2_al2-2</t>
  </si>
  <si>
    <t xml:space="preserve">TTCCTTCTGGGAATGTCCTCGTCAT</t>
  </si>
  <si>
    <t xml:space="preserve">GTGAAGGTGGTCCTATACCGCCTCT</t>
  </si>
  <si>
    <t xml:space="preserve">SU-003-03</t>
  </si>
  <si>
    <t xml:space="preserve">al2_B1_P1_03</t>
  </si>
  <si>
    <t xml:space="preserve">GAGGAGGGCAGCAAACGGAACAGGATAATGCGTCCTCCCAAAAGC</t>
  </si>
  <si>
    <t xml:space="preserve">al2_B1_P2_03</t>
  </si>
  <si>
    <t xml:space="preserve">AAGCTAACTCCTCCCTGGTAAATACTAGAAGAGTCTTCCTTTACG</t>
  </si>
  <si>
    <t xml:space="preserve">B1_P1_al2-3</t>
  </si>
  <si>
    <t xml:space="preserve">B1_P2_al2-3</t>
  </si>
  <si>
    <t xml:space="preserve">CAGGATAATGCGTCCTCCCAAAAGC</t>
  </si>
  <si>
    <t xml:space="preserve">AAGCTAACTCCTCCCTGGTAAATAC</t>
  </si>
  <si>
    <t xml:space="preserve">SU-003-04</t>
  </si>
  <si>
    <t xml:space="preserve">al2_B1_P1_04</t>
  </si>
  <si>
    <t xml:space="preserve">GAGGAGGGCAGCAAACGGAACTAGAGCGTTGTCAAAAGGCTTTCT</t>
  </si>
  <si>
    <t xml:space="preserve">al2_B1_P2_04</t>
  </si>
  <si>
    <t xml:space="preserve">GAGGACTGTTGGCGTACCTGAAAGATAGAAGAGTCTTCCTTTACG</t>
  </si>
  <si>
    <t xml:space="preserve">B1_P1_al2-5</t>
  </si>
  <si>
    <t xml:space="preserve">B1_P2_al2-5</t>
  </si>
  <si>
    <t xml:space="preserve">CTAGAGCGTTGTCAAAAGGCTTTCT</t>
  </si>
  <si>
    <t xml:space="preserve">GAGGACTGTTGGCGTACCTGAAAGA</t>
  </si>
  <si>
    <t xml:space="preserve">P1 only</t>
  </si>
  <si>
    <t xml:space="preserve">SU-003-05</t>
  </si>
  <si>
    <t xml:space="preserve">al2_B1_P1_05</t>
  </si>
  <si>
    <t xml:space="preserve">GAGGAGGGCAGCAAACGGAAGGTAATGGCTGCCCGCTGCTTAAGT</t>
  </si>
  <si>
    <t xml:space="preserve">al2_B1_P2_05</t>
  </si>
  <si>
    <t xml:space="preserve">TGCGGTGGAACTGGCATAGATGTAGTAGAAGAGTCTTCCTTTACG</t>
  </si>
  <si>
    <t xml:space="preserve">B1_P1_al2-4</t>
  </si>
  <si>
    <t xml:space="preserve">B1_P2_al2-4</t>
  </si>
  <si>
    <t xml:space="preserve">GGTAATGGCTGCCCGCTGCTTAAGT</t>
  </si>
  <si>
    <t xml:space="preserve">TGCGGTGGAACTGGCATAGATGTAG</t>
  </si>
  <si>
    <t xml:space="preserve">SU-004-01</t>
  </si>
  <si>
    <t xml:space="preserve">antiSp9_B1_P1_01</t>
  </si>
  <si>
    <t xml:space="preserve">GAGGAGGGCAGCAAACGGAAATAAGATATAGTTAATATTATATTA</t>
  </si>
  <si>
    <t xml:space="preserve">antiSp9_B1_P2_01</t>
  </si>
  <si>
    <t xml:space="preserve">GGTCAATAATGATAATTATCTGTTATAGAAGAGTCTTCCTTTACG</t>
  </si>
  <si>
    <t xml:space="preserve">B1_P1_antiSp9-1</t>
  </si>
  <si>
    <t xml:space="preserve">B1_P2_antiSp9-1</t>
  </si>
  <si>
    <t xml:space="preserve">ATAAGATATAGTTAATATTATATTA</t>
  </si>
  <si>
    <t xml:space="preserve">GGTCAATAATGATAATTATCTGTTA</t>
  </si>
  <si>
    <t xml:space="preserve">Probes_designed › sp_anti</t>
  </si>
  <si>
    <t xml:space="preserve">SU-004-02</t>
  </si>
  <si>
    <t xml:space="preserve">antiSp9_B1_P1_02</t>
  </si>
  <si>
    <t xml:space="preserve">GAGGAGGGCAGCAAACGGAAATTTGACATGTGAAAGTTTAGAGTG</t>
  </si>
  <si>
    <t xml:space="preserve">antiSp9_B1_P2_02</t>
  </si>
  <si>
    <t xml:space="preserve">AAGTGATAATTCCGTCGCAAGTGTGTAGAAGAGTCTTCCTTTACG</t>
  </si>
  <si>
    <t xml:space="preserve">B1_P1_antiSp9-2</t>
  </si>
  <si>
    <t xml:space="preserve">B1_P2_antiSp9-2</t>
  </si>
  <si>
    <t xml:space="preserve">ATTTGACATGTGAAAGTTTAGAGTG</t>
  </si>
  <si>
    <t xml:space="preserve">AAGTGATAATTCCGTCGCAAGTGTG</t>
  </si>
  <si>
    <t xml:space="preserve">SU-004-03</t>
  </si>
  <si>
    <t xml:space="preserve">antiSp9_B1_P1_03</t>
  </si>
  <si>
    <t xml:space="preserve">GAGGAGGGCAGCAAACGGAATTAAGTGTTAAATGTGTCTTACAAT</t>
  </si>
  <si>
    <t xml:space="preserve">antiSp9_B1_P2_03</t>
  </si>
  <si>
    <t xml:space="preserve">GTCACAAACTATACAGCGATACATGTAGAAGAGTCTTCCTTTACG</t>
  </si>
  <si>
    <t xml:space="preserve">B1_P1_antiSp9-3</t>
  </si>
  <si>
    <t xml:space="preserve">B1_P2_antiSp9-3</t>
  </si>
  <si>
    <t xml:space="preserve">TTAAGTGTTAAATGTGTCTTACAAT</t>
  </si>
  <si>
    <t xml:space="preserve">GTCACAAACTATACAGCGATACATG</t>
  </si>
  <si>
    <t xml:space="preserve">SU-004-04</t>
  </si>
  <si>
    <t xml:space="preserve">antiSp9_B1_P1_04</t>
  </si>
  <si>
    <t xml:space="preserve">GAGGAGGGCAGCAAACGGAACCGGTCCCATAGTGTCCTCGCTCCG</t>
  </si>
  <si>
    <t xml:space="preserve">antiSp9_B1_P2_04</t>
  </si>
  <si>
    <t xml:space="preserve">CCACGCCGTGCGTCTCGCGGCGCGGTAGAAGAGTCTTCCTTTACG</t>
  </si>
  <si>
    <t xml:space="preserve">B1_P1_antiSp9-4</t>
  </si>
  <si>
    <t xml:space="preserve">B1_P2_antiSp9-4</t>
  </si>
  <si>
    <t xml:space="preserve">CCGGTCCCATAGTGTCCTCGCTCCG</t>
  </si>
  <si>
    <t xml:space="preserve">CCACGCCGTGCGTCTCGCGGCGCGG</t>
  </si>
  <si>
    <t xml:space="preserve">SU-004-05</t>
  </si>
  <si>
    <t xml:space="preserve">antiSp9_B1_P1_05</t>
  </si>
  <si>
    <t xml:space="preserve">GAGGAGGGCAGCAAACGGAATGACTACAATTTTACTACCCCCTCG</t>
  </si>
  <si>
    <t xml:space="preserve">antiSp9_B1_P2_05</t>
  </si>
  <si>
    <t xml:space="preserve">CGATGATCCCTACACTAAAGTTCATTAGAAGAGTCTTCCTTTACG</t>
  </si>
  <si>
    <t xml:space="preserve">B1_P1_antiSp9-5</t>
  </si>
  <si>
    <t xml:space="preserve">B1_P2_antiSp9-5</t>
  </si>
  <si>
    <t xml:space="preserve">TGACTACAATTTTACTACCCCCTCG</t>
  </si>
  <si>
    <t xml:space="preserve">CGATGATCCCTACACTAAAGTTCAT</t>
  </si>
  <si>
    <t xml:space="preserve">SU-004-06</t>
  </si>
  <si>
    <t xml:space="preserve">antiSp9_B1_P1_06</t>
  </si>
  <si>
    <t xml:space="preserve">GAGGAGGGCAGCAAACGGAACTTTGTAGGTGTTGGGAAAGCCAAA</t>
  </si>
  <si>
    <t xml:space="preserve">antiSp9_B1_P2_06</t>
  </si>
  <si>
    <t xml:space="preserve">GTGCTTTAGCGTGTCCGGTGTCGGCTAGAAGAGTCTTCCTTTACG</t>
  </si>
  <si>
    <t xml:space="preserve">B1_P1_antiSp9-6</t>
  </si>
  <si>
    <t xml:space="preserve">B1_P2_antiSp9-6</t>
  </si>
  <si>
    <t xml:space="preserve">CTTTGTAGGTGTTGGGAAAGCCAAA</t>
  </si>
  <si>
    <t xml:space="preserve">GTGCTTTAGCGTGTCCGGTGTCGGC</t>
  </si>
  <si>
    <t xml:space="preserve">SU-004-07</t>
  </si>
  <si>
    <t xml:space="preserve">antiSp9_B1_P1_07</t>
  </si>
  <si>
    <t xml:space="preserve">GAGGAGGGCAGCAAACGGAACGAACAACGTGACGCGGCGCTCGT</t>
  </si>
  <si>
    <t xml:space="preserve">antiSp9_B1_P2_07</t>
  </si>
  <si>
    <t xml:space="preserve">CGGTCGCCGCACGGCGCATTCGAGCTAGAAGAGTCTTCCTTTACG</t>
  </si>
  <si>
    <t xml:space="preserve">B1_P1_antiSp9-7</t>
  </si>
  <si>
    <t xml:space="preserve">B1_P2_antiSp9-7</t>
  </si>
  <si>
    <t xml:space="preserve">CGAACAACGTGACGCGGCGCTCGT</t>
  </si>
  <si>
    <t xml:space="preserve">CGGTCGCCGCACGGCGCATTCGAGC</t>
  </si>
  <si>
    <t xml:space="preserve">P1 arm 24 nt</t>
  </si>
  <si>
    <t xml:space="preserve">SU-004-08</t>
  </si>
  <si>
    <t xml:space="preserve">antiSp9_B1_P1_08</t>
  </si>
  <si>
    <t xml:space="preserve">GAGGAGGGCAGCAAACGGAATCCATCAACGGTACTTTTACTCGCT</t>
  </si>
  <si>
    <t xml:space="preserve">antiSp9_B1_P2_08</t>
  </si>
  <si>
    <t xml:space="preserve">AGTGTAGCGACGTAGAAATATCTTATAGAAGAGTCTTCCTTTACG</t>
  </si>
  <si>
    <t xml:space="preserve">B1_P1_antiSp9-8</t>
  </si>
  <si>
    <t xml:space="preserve">B1_P2_antiSp9-8</t>
  </si>
  <si>
    <t xml:space="preserve">TCCATCAACGGTACTTTTACTCGCT</t>
  </si>
  <si>
    <t xml:space="preserve">AGTGTAGCGACGTAGAAATATCTTA</t>
  </si>
  <si>
    <t xml:space="preserve">SU-004-09</t>
  </si>
  <si>
    <t xml:space="preserve">antiSp9_B1_P1_09</t>
  </si>
  <si>
    <t xml:space="preserve">GAGGAGGGCAGCAAACGGAAAAAATAAAGAACAACGCATAGCCTA</t>
  </si>
  <si>
    <t xml:space="preserve">antiSp9_B1_P2_09</t>
  </si>
  <si>
    <t xml:space="preserve">ACTTGCATAGCTGTGTCCGCTCCGCTAGAAGAGTCTTCCTTTACG</t>
  </si>
  <si>
    <t xml:space="preserve">B1_P1_antiSp9-9</t>
  </si>
  <si>
    <t xml:space="preserve">B1_P2_antiSp9-9</t>
  </si>
  <si>
    <t xml:space="preserve">AAAATAAAGAACAACGCATAGCCTA</t>
  </si>
  <si>
    <t xml:space="preserve">ACTTGCATAGCTGTGTCCGCTCCGC</t>
  </si>
  <si>
    <t xml:space="preserve">SU-004-10</t>
  </si>
  <si>
    <t xml:space="preserve">antiSp9_B1_P1_10</t>
  </si>
  <si>
    <t xml:space="preserve">GAGGAGGGCAGCAAACGGAAGCAGACTCCACTGTAATACAAACAC</t>
  </si>
  <si>
    <t xml:space="preserve">antiSp9_B1_P2_10</t>
  </si>
  <si>
    <t xml:space="preserve">CAATCGTTGTTTACTGTACTCTTGGTAGAAGAGTCTTCCTTTACG</t>
  </si>
  <si>
    <t xml:space="preserve">B1_P1_antiSp9-10</t>
  </si>
  <si>
    <t xml:space="preserve">B1_P2_antiSp9-10</t>
  </si>
  <si>
    <t xml:space="preserve">GCAGACTCCACTGTAATACAAACAC</t>
  </si>
  <si>
    <t xml:space="preserve">CAATCGTTGTTTACTGTACTCTTGG</t>
  </si>
  <si>
    <t xml:space="preserve">SU-005-01</t>
  </si>
  <si>
    <t xml:space="preserve">B2717_B1_P1_01</t>
  </si>
  <si>
    <t xml:space="preserve">GAGGAGGGCAGCAAACGGAAACCTCGTGCAAGATTTCGCGTGTGG</t>
  </si>
  <si>
    <t xml:space="preserve">B2717_B1_P2_01</t>
  </si>
  <si>
    <t xml:space="preserve">CTGGAGGCGCAGAGCGCTAGCACGGTAGAAGAGTCTTCCTTTACG</t>
  </si>
  <si>
    <t xml:space="preserve">B1_B2717_8_Dla100</t>
  </si>
  <si>
    <t xml:space="preserve">ACCTCGTGCAAGATTTCGCGTGTGG</t>
  </si>
  <si>
    <t xml:space="preserve">CTGGAGGCGCAGAGCGCTAGCACGG</t>
  </si>
  <si>
    <t xml:space="preserve">Probes_designed › spotty_missing3</t>
  </si>
  <si>
    <t xml:space="preserve">SU-005-02</t>
  </si>
  <si>
    <t xml:space="preserve">B2717_B1_P1_02</t>
  </si>
  <si>
    <t xml:space="preserve">GAGGAGGGCAGCAAACGGAAGCTCGCCGCGCCGCGCCCTCCGTCA</t>
  </si>
  <si>
    <t xml:space="preserve">B2717_B1_P2_02</t>
  </si>
  <si>
    <t xml:space="preserve">GCTAGCCCCTCTAGCACGTGGCGCATAGAAGAGTCTTCCTTTACG</t>
  </si>
  <si>
    <t xml:space="preserve">GCTCGCCGCGCCGCGCCCTCCGTCA</t>
  </si>
  <si>
    <t xml:space="preserve">GCTAGCCCCTCTAGCACGTGGCGCA</t>
  </si>
  <si>
    <t xml:space="preserve">consecutive rows</t>
  </si>
  <si>
    <t xml:space="preserve">SU-005-03</t>
  </si>
  <si>
    <t xml:space="preserve">B2717_B1_P1_03</t>
  </si>
  <si>
    <t xml:space="preserve">GAGGAGGGCAGCAAACGGAAATCTCGCGCACATGCGCCCCGGGCT</t>
  </si>
  <si>
    <t xml:space="preserve">B2717_B1_P2_03</t>
  </si>
  <si>
    <t xml:space="preserve">GGCGCGACATAATCCCTCGTGCCCATAGAAGAGTCTTCCTTTACG</t>
  </si>
  <si>
    <t xml:space="preserve">ATCTCGCGCACATGCGCCCCGGGCT</t>
  </si>
  <si>
    <t xml:space="preserve">GGCGCGACATAATCCCTCGTGCCCA</t>
  </si>
  <si>
    <t xml:space="preserve">SU-005-04</t>
  </si>
  <si>
    <t xml:space="preserve">B2717_B1_P1_04</t>
  </si>
  <si>
    <t xml:space="preserve">GAGGAGGGCAGCAAACGGAACCGACGATCGCGGGCGGTATGTCTG</t>
  </si>
  <si>
    <t xml:space="preserve">B2717_B1_P2_04</t>
  </si>
  <si>
    <t xml:space="preserve">GCGAGGTCGGTGGCGCCGAAGCCGATAGAAGAGTCTTCCTTTACG</t>
  </si>
  <si>
    <t xml:space="preserve">CCGACGATCGCGGGCGGTATGTCTG</t>
  </si>
  <si>
    <t xml:space="preserve">GCGAGGTCGGTGGCGCCGAAGCCGA</t>
  </si>
  <si>
    <t xml:space="preserve">SU-005-05</t>
  </si>
  <si>
    <t xml:space="preserve">B2717_B1_P1_05</t>
  </si>
  <si>
    <t xml:space="preserve">GAGGAGGGCAGCAAACGGAACCGTTGACTGTTGAGCCGTTGTGTC</t>
  </si>
  <si>
    <t xml:space="preserve">B2717_B1_P2_05</t>
  </si>
  <si>
    <t xml:space="preserve">CCATTGACTCCGTTGACCGAGCCGATAGAAGAGTCTTCCTTTACG</t>
  </si>
  <si>
    <t xml:space="preserve">CCGTTGACTGTTGAGCCGTTGTGTC</t>
  </si>
  <si>
    <t xml:space="preserve">CCATTGACTCCGTTGACCGAGCCGA</t>
  </si>
  <si>
    <t xml:space="preserve">SU-005-06</t>
  </si>
  <si>
    <t xml:space="preserve">B2717_B1_P1_06</t>
  </si>
  <si>
    <t xml:space="preserve">GAGGAGGGCAGCAAACGGAACGCGCGCACGGGGCAGGCGCACGCG</t>
  </si>
  <si>
    <t xml:space="preserve">B2717_B1_P2_06</t>
  </si>
  <si>
    <t xml:space="preserve">CTAGCACAGCACGGCGCGGTCGGGCTAGAAGAGTCTTCCTTTACG</t>
  </si>
  <si>
    <t xml:space="preserve">CGCGCGCACGGGGCAGGCGCACGCG</t>
  </si>
  <si>
    <t xml:space="preserve">CTAGCACAGCACGGCGCGGTCGGGC</t>
  </si>
  <si>
    <t xml:space="preserve">SU-005-07</t>
  </si>
  <si>
    <t xml:space="preserve">B2717_B1_P1_07</t>
  </si>
  <si>
    <t xml:space="preserve">GAGGAGGGCAGCAAACGGAAGCGGGCGACGCGGGGCGCGACGATG</t>
  </si>
  <si>
    <t xml:space="preserve">B2717_B1_P2_07</t>
  </si>
  <si>
    <t xml:space="preserve">CACGGCTCTCCTCGCTCGCCGGCGGTAGAAGAGTCTTCCTTTACG</t>
  </si>
  <si>
    <t xml:space="preserve">GCGGGCGACGCGGGGCGCGACGATG</t>
  </si>
  <si>
    <t xml:space="preserve">CACGGCTCTCCTCGCTCGCCGGCGG</t>
  </si>
  <si>
    <t xml:space="preserve">SU-005-08</t>
  </si>
  <si>
    <t xml:space="preserve">B2717_B1_P1_08</t>
  </si>
  <si>
    <t xml:space="preserve">GAGGAGGGCAGCAAACGGAACACTGCGCGATGTTGAGGTAGGTCT</t>
  </si>
  <si>
    <t xml:space="preserve">B2717_B1_P2_08</t>
  </si>
  <si>
    <t xml:space="preserve">AACAGCTCTCTGGGGAAGGACAGCTTAGAAGAGTCTTCCTTTACG</t>
  </si>
  <si>
    <t xml:space="preserve">CACTGCGCGATGTTGAGGTAGGTCT</t>
  </si>
  <si>
    <t xml:space="preserve">AACAGCTCTCTGGGGAAGGACAGCT</t>
  </si>
  <si>
    <t xml:space="preserve">SU-006-01</t>
  </si>
  <si>
    <t xml:space="preserve">B2760_B1_P1_01</t>
  </si>
  <si>
    <t xml:space="preserve">GAGGAGGGCAGCAAACGGAAGCCAAATTTTGTACCATTCCATAGA</t>
  </si>
  <si>
    <t xml:space="preserve">B2760_B1_P2_01</t>
  </si>
  <si>
    <t xml:space="preserve">ATTATATTTGAAGCATGTGCCGCATTAGAAGAGTCTTCCTTTACG</t>
  </si>
  <si>
    <t xml:space="preserve">B1_B2760_8_Dla100</t>
  </si>
  <si>
    <t xml:space="preserve">GCCAAATTTTGTACCATTCCATAGA</t>
  </si>
  <si>
    <t xml:space="preserve">ATTATATTTGAAGCATGTGCCGCAT</t>
  </si>
  <si>
    <t xml:space="preserve">SU-006-02</t>
  </si>
  <si>
    <t xml:space="preserve">B2760_B1_P1_02</t>
  </si>
  <si>
    <t xml:space="preserve">GAGGAGGGCAGCAAACGGAATGCGAATGCGGTACCTTTATAATTA</t>
  </si>
  <si>
    <t xml:space="preserve">B2760_B1_P2_02</t>
  </si>
  <si>
    <t xml:space="preserve">GCGGTAGCCTTTGAAAAACATTCCATAGAAGAGTCTTCCTTTACG</t>
  </si>
  <si>
    <t xml:space="preserve">TGCGAATGCGGTACCTTTATAATTA</t>
  </si>
  <si>
    <t xml:space="preserve">GCGGTAGCCTTTGAAAAACATTCCA</t>
  </si>
  <si>
    <t xml:space="preserve">SU-006-03</t>
  </si>
  <si>
    <t xml:space="preserve">B2760_B1_P1_03</t>
  </si>
  <si>
    <t xml:space="preserve">GAGGAGGGCAGCAAACGGAACCGATCTTTGCCGCGCAAGTCGCCT</t>
  </si>
  <si>
    <t xml:space="preserve">B2760_B1_P2_03</t>
  </si>
  <si>
    <t xml:space="preserve">GTTTATGCGTAATGTTTTCAATTGTTAGAAGAGTCTTCCTTTACG</t>
  </si>
  <si>
    <t xml:space="preserve">CCGATCTTTGCCGCGCAAGTCGCCT</t>
  </si>
  <si>
    <t xml:space="preserve">GTTTATGCGTAATGTTTTCAATTGT</t>
  </si>
  <si>
    <t xml:space="preserve">SU-006-04</t>
  </si>
  <si>
    <t xml:space="preserve">B2760_B1_P1_04</t>
  </si>
  <si>
    <t xml:space="preserve">GAGGAGGGCAGCAAACGGAAGGGAGAACCCATAGCCAAAAAGTAC</t>
  </si>
  <si>
    <t xml:space="preserve">B2760_B1_P2_04</t>
  </si>
  <si>
    <t xml:space="preserve">TCGATATAACGCAACTTTACCGCTGTAGAAGAGTCTTCCTTTACG</t>
  </si>
  <si>
    <t xml:space="preserve">GGGAGAACCCATAGCCAAAAAGTAC</t>
  </si>
  <si>
    <t xml:space="preserve">TCGATATAACGCAACTTTACCGCTG</t>
  </si>
  <si>
    <t xml:space="preserve">SU-006-05</t>
  </si>
  <si>
    <t xml:space="preserve">B2760_B1_P1_05</t>
  </si>
  <si>
    <t xml:space="preserve">GAGGAGGGCAGCAAACGGAAAAACCCGGGCTTCCAGTTTTGGAAA</t>
  </si>
  <si>
    <t xml:space="preserve">B2760_B1_P2_05</t>
  </si>
  <si>
    <t xml:space="preserve">TGGTCGCACCTCAGCTTTGAACAAGTAGAAGAGTCTTCCTTTACG</t>
  </si>
  <si>
    <t xml:space="preserve">AAACCCGGGCTTCCAGTTTTGGAAA</t>
  </si>
  <si>
    <t xml:space="preserve">TGGTCGCACCTCAGCTTTGAACAAG</t>
  </si>
  <si>
    <t xml:space="preserve">SU-006-06</t>
  </si>
  <si>
    <t xml:space="preserve">B2760_B1_P1_06</t>
  </si>
  <si>
    <t xml:space="preserve">GAGGAGGGCAGCAAACGGAATTGGTAAGCTGTATTCTGTGTATCT</t>
  </si>
  <si>
    <t xml:space="preserve">B2760_B1_P2_06</t>
  </si>
  <si>
    <t xml:space="preserve">TTGTCGGTTTGCTCATATCTAAGAGTAGAAGAGTCTTCCTTTACG</t>
  </si>
  <si>
    <t xml:space="preserve">TTGGTAAGCTGTATTCTGTGTATCT</t>
  </si>
  <si>
    <t xml:space="preserve">TTGTCGGTTTGCTCATATCTAAGAG</t>
  </si>
  <si>
    <t xml:space="preserve">SU-006-07</t>
  </si>
  <si>
    <t xml:space="preserve">B2760_B1_P1_07</t>
  </si>
  <si>
    <t xml:space="preserve">GAGGAGGGCAGCAAACGGAATTGTTTTTCAAACTCTTTACAACTT</t>
  </si>
  <si>
    <t xml:space="preserve">B2760_B1_P2_07</t>
  </si>
  <si>
    <t xml:space="preserve">TTAAAATAGGTGATCAATTCCAACTTAGAAGAGTCTTCCTTTACG</t>
  </si>
  <si>
    <t xml:space="preserve">TTGTTTTTCAAACTCTTTACAACTT</t>
  </si>
  <si>
    <t xml:space="preserve">TTAAAATAGGTGATCAATTCCAACT</t>
  </si>
  <si>
    <t xml:space="preserve">SU-006-08</t>
  </si>
  <si>
    <t xml:space="preserve">B2760_B1_P1_08</t>
  </si>
  <si>
    <t xml:space="preserve">GAGGAGGGCAGCAAACGGAAAGTGACACCGACGATGCTGGACTGA</t>
  </si>
  <si>
    <t xml:space="preserve">B2760_B1_P2_08</t>
  </si>
  <si>
    <t xml:space="preserve">CTAAGTCGCTGGAATGTTCTTTCGCTAGAAGAGTCTTCCTTTACG</t>
  </si>
  <si>
    <t xml:space="preserve">AGTGACACCGACGATGCTGGACTGA</t>
  </si>
  <si>
    <t xml:space="preserve">CTAAGTCGCTGGAATGTTCTTTCGC</t>
  </si>
  <si>
    <t xml:space="preserve">SU-007-01</t>
  </si>
  <si>
    <t xml:space="preserve">B2893_B1_P1_01</t>
  </si>
  <si>
    <t xml:space="preserve">GAGGAGGGCAGCAAACGGAACACGTGATGGATTACGAGTTTGCTA</t>
  </si>
  <si>
    <t xml:space="preserve">B2893_B1_P2_01</t>
  </si>
  <si>
    <t xml:space="preserve">GCTATCCCATAGTTCGGGGTGCGATTAGAAGAGTCTTCCTTTACG</t>
  </si>
  <si>
    <t xml:space="preserve">B1_P1_B2893_1</t>
  </si>
  <si>
    <t xml:space="preserve">B1_P2_B2893_1</t>
  </si>
  <si>
    <t xml:space="preserve">CACGTGATGGATTACGAGTTTGCTA</t>
  </si>
  <si>
    <t xml:space="preserve">GCTATCCCATAGTTCGGGGTGCGAT</t>
  </si>
  <si>
    <t xml:space="preserve">SU-007-02</t>
  </si>
  <si>
    <t xml:space="preserve">B2893_B1_P1_02</t>
  </si>
  <si>
    <t xml:space="preserve">GAGGAGGGCAGCAAACGGAAATTTCTTTCCACGCGCGCTGCTTTG</t>
  </si>
  <si>
    <t xml:space="preserve">B2893_B1_P2_02</t>
  </si>
  <si>
    <t xml:space="preserve">TCATTCGCTCCACCAATCGCCGCTGTAGAAGAGTCTTCCTTTACG</t>
  </si>
  <si>
    <t xml:space="preserve">B1_P1_B2893_2</t>
  </si>
  <si>
    <t xml:space="preserve">B1_P2_B2893_2</t>
  </si>
  <si>
    <t xml:space="preserve">ATTTCTTTCCACGCGCGCTGCTTTG</t>
  </si>
  <si>
    <t xml:space="preserve">TCATTCGCTCCACCAATCGCCGCTG</t>
  </si>
  <si>
    <t xml:space="preserve">SU-007-03</t>
  </si>
  <si>
    <t xml:space="preserve">B2893_B1_P1_03</t>
  </si>
  <si>
    <t xml:space="preserve">GAGGAGGGCAGCAAACGGAACTTTTCTGAATGCGTCCTTCAAGTT</t>
  </si>
  <si>
    <t xml:space="preserve">B2893_B1_P2_03</t>
  </si>
  <si>
    <t xml:space="preserve">TCTCATTGGATATTATTCTCTTTAATAGAAGAGTCTTCCTTTACG</t>
  </si>
  <si>
    <t xml:space="preserve">B1_P1_B2893_3</t>
  </si>
  <si>
    <t xml:space="preserve">B1_P2_B2893_3</t>
  </si>
  <si>
    <t xml:space="preserve">CTTTTCTGAATGCGTCCTTCAAGTT</t>
  </si>
  <si>
    <t xml:space="preserve">TCTCATTGGATATTATTCTCTTTAA</t>
  </si>
  <si>
    <t xml:space="preserve">SU-007-04</t>
  </si>
  <si>
    <t xml:space="preserve">B2893_B1_P1_04</t>
  </si>
  <si>
    <t xml:space="preserve">GAGGAGGGCAGCAAACGGAACACTTCCGTTAAGAAACTCAGATCT</t>
  </si>
  <si>
    <t xml:space="preserve">B2893_B1_P2_04</t>
  </si>
  <si>
    <t xml:space="preserve">AACCCTTGTCCCTATCCCTTTCATTTAGAAGAGTCTTCCTTTACG</t>
  </si>
  <si>
    <t xml:space="preserve">B1_P1_B2893_4</t>
  </si>
  <si>
    <t xml:space="preserve">B1_P2_B2893_4</t>
  </si>
  <si>
    <t xml:space="preserve">CACTTCCGTTAAGAAACTCAGATCT</t>
  </si>
  <si>
    <t xml:space="preserve">AACCCTTGTCCCTATCCCTTTCATT</t>
  </si>
  <si>
    <t xml:space="preserve">SU-007-05</t>
  </si>
  <si>
    <t xml:space="preserve">B2893_B1_P1_05</t>
  </si>
  <si>
    <t xml:space="preserve">GAGGAGGGCAGCAAACGGAATCGTCTTCAATGGCTTCGTTCATAT</t>
  </si>
  <si>
    <t xml:space="preserve">B2893_B1_P2_05</t>
  </si>
  <si>
    <t xml:space="preserve">TTCACAATCAAAGGATCATTTGAGTTAGAAGAGTCTTCCTTTACG</t>
  </si>
  <si>
    <t xml:space="preserve">B1_P1_B2893_5</t>
  </si>
  <si>
    <t xml:space="preserve">B1_P2_B2893_5</t>
  </si>
  <si>
    <t xml:space="preserve">TCGTCTTCAATGGCTTCGTTCATAT</t>
  </si>
  <si>
    <t xml:space="preserve">TTCACAATCAAAGGATCATTTGAGT</t>
  </si>
  <si>
    <t xml:space="preserve">SU-007-06</t>
  </si>
  <si>
    <t xml:space="preserve">B2893_B1_P1_06</t>
  </si>
  <si>
    <t xml:space="preserve">GAGGAGGGCAGCAAACGGAATGAAGGAGCTACACTCCATAGACGT</t>
  </si>
  <si>
    <t xml:space="preserve">B2893_B1_P2_06</t>
  </si>
  <si>
    <t xml:space="preserve">TATCATCGTTCGCTTGTGAACTGTCTAGAAGAGTCTTCCTTTACG</t>
  </si>
  <si>
    <t xml:space="preserve">B1_P1_B2893_6</t>
  </si>
  <si>
    <t xml:space="preserve">B1_P2_B2893_6</t>
  </si>
  <si>
    <t xml:space="preserve">TGAAGGAGCTACACTCCATAGACGT</t>
  </si>
  <si>
    <t xml:space="preserve">TATCATCGTTCGCTTGTGAACTGTC</t>
  </si>
  <si>
    <t xml:space="preserve">SU-007-07</t>
  </si>
  <si>
    <t xml:space="preserve">B2893_B1_P1_07</t>
  </si>
  <si>
    <t xml:space="preserve">GAGGAGGGCAGCAAACGGAATGACTTTATTTTGTTTGATATTTTC</t>
  </si>
  <si>
    <t xml:space="preserve">B2893_B1_P2_07</t>
  </si>
  <si>
    <t xml:space="preserve">CATGTAATCAGCGTCGTATTCGTCTTAGAAGAGTCTTCCTTTACG</t>
  </si>
  <si>
    <t xml:space="preserve">B1_P1_B2893_7</t>
  </si>
  <si>
    <t xml:space="preserve">B1_P2_B2893_7</t>
  </si>
  <si>
    <t xml:space="preserve">TGACTTTATTTTGTTTGATATTTTC</t>
  </si>
  <si>
    <t xml:space="preserve">CATGTAATCAGCGTCGTATTCGTCT</t>
  </si>
  <si>
    <t xml:space="preserve">SU-007-08</t>
  </si>
  <si>
    <t xml:space="preserve">B2893_B1_P1_08</t>
  </si>
  <si>
    <t xml:space="preserve">GAGGAGGGCAGCAAACGGAAAGTTTCTGAACGTTGGACAATTTCC</t>
  </si>
  <si>
    <t xml:space="preserve">B2893_B1_P2_08</t>
  </si>
  <si>
    <t xml:space="preserve">CACTGGTTAACCTTTCCCCTAAACTTAGAAGAGTCTTCCTTTACG</t>
  </si>
  <si>
    <t xml:space="preserve">B1_P1_B2893_8</t>
  </si>
  <si>
    <t xml:space="preserve">B1_P2_B2893_8</t>
  </si>
  <si>
    <t xml:space="preserve">AGTTTCTGAACGTTGGACAATTTCC</t>
  </si>
  <si>
    <t xml:space="preserve">CACTGGTTAACCTTTCCCCTAAACT</t>
  </si>
  <si>
    <t xml:space="preserve">SU-008-01</t>
  </si>
  <si>
    <t xml:space="preserve">Crx_B1_P1_01</t>
  </si>
  <si>
    <t xml:space="preserve">GAGGAGGGCAGCAAACGGAAGCGCGGGCGGCGGCCCCGCGGAGGG</t>
  </si>
  <si>
    <t xml:space="preserve">Crx_B1_P2_01</t>
  </si>
  <si>
    <t xml:space="preserve">CCTTGTGCGCAGGCGGAGGTAGGTGTAGAAGAGTCTTCCTTTACG</t>
  </si>
  <si>
    <t xml:space="preserve">B1_P1_C_2</t>
  </si>
  <si>
    <t xml:space="preserve">B1_P2_C_2</t>
  </si>
  <si>
    <t xml:space="preserve">GCGCGGGCGGCGGCCCCGCGGAGGG</t>
  </si>
  <si>
    <t xml:space="preserve">CCTTGTGCGCAGGCGGAGGTAGGTG</t>
  </si>
  <si>
    <t xml:space="preserve">SU-008-02</t>
  </si>
  <si>
    <t xml:space="preserve">Crx_B1_P1_02</t>
  </si>
  <si>
    <t xml:space="preserve">GAGGAGGGCAGCAAACGGAACACAGACTCACATGGCCGAGCTTCT</t>
  </si>
  <si>
    <t xml:space="preserve">Crx_B1_P2_02</t>
  </si>
  <si>
    <t xml:space="preserve">TCGCTTTTCTCTGCATCACTGTCACTAGAAGAGTCTTCCTTTACG</t>
  </si>
  <si>
    <t xml:space="preserve">B1_P1_C_6</t>
  </si>
  <si>
    <t xml:space="preserve">B1_P2_C_6</t>
  </si>
  <si>
    <t xml:space="preserve">CACAGACTCACATGGCCGAGCTTCT</t>
  </si>
  <si>
    <t xml:space="preserve">TCGCTTTTCTCTGCATCACTGTCAC</t>
  </si>
  <si>
    <t xml:space="preserve">SU-008-03</t>
  </si>
  <si>
    <t xml:space="preserve">Crx_B1_P1_03</t>
  </si>
  <si>
    <t xml:space="preserve">GAGGAGGGCAGCAAACGGAACCTAACACAGGCGGCTTTATATCCG</t>
  </si>
  <si>
    <t xml:space="preserve">Crx_B1_P2_03</t>
  </si>
  <si>
    <t xml:space="preserve">AACAGCGGGGTGGGCGCAGCCCCCCTAGAAGAGTCTTCCTTTACG</t>
  </si>
  <si>
    <t xml:space="preserve">B1_P1_C_3</t>
  </si>
  <si>
    <t xml:space="preserve">B1_P2_C_3</t>
  </si>
  <si>
    <t xml:space="preserve">CCTAACACAGGCGGCTTTATATCCG</t>
  </si>
  <si>
    <t xml:space="preserve">AACAGCGGGGTGGGCGCAGCCCCCC</t>
  </si>
  <si>
    <t xml:space="preserve">SU-008-04</t>
  </si>
  <si>
    <t xml:space="preserve">Crx_B1_P1_04</t>
  </si>
  <si>
    <t xml:space="preserve">GAGGAGGGCAGCAAACGGAAAGCAGCTATTCGCTCATCCTCCCGG</t>
  </si>
  <si>
    <t xml:space="preserve">Crx_B1_P2_04</t>
  </si>
  <si>
    <t xml:space="preserve">GCGGACCTGCTGTTGGCTCATGGCTTAGAAGAGTCTTCCTTTACG</t>
  </si>
  <si>
    <t xml:space="preserve">B1_P1_C_4</t>
  </si>
  <si>
    <t xml:space="preserve">B1_P2_C_4</t>
  </si>
  <si>
    <t xml:space="preserve">AGCAGCTATTCGCTCATCCTCCCGG</t>
  </si>
  <si>
    <t xml:space="preserve">GCGGACCTGCTGTTGGCTCATGGCT</t>
  </si>
  <si>
    <t xml:space="preserve">SU-008-05</t>
  </si>
  <si>
    <t xml:space="preserve">Crx_B1_P1_05</t>
  </si>
  <si>
    <t xml:space="preserve">GAGGAGGGCAGCAAACGGAAGCGGACGGTACTTTTGCTCGCGCTC</t>
  </si>
  <si>
    <t xml:space="preserve">Crx_B1_P2_05</t>
  </si>
  <si>
    <t xml:space="preserve">CGTCCAGCGGCTCGGGCTCGGGCGATAGAAGAGTCTTCCTTTACG</t>
  </si>
  <si>
    <t xml:space="preserve">B1_P1_C_5</t>
  </si>
  <si>
    <t xml:space="preserve">B1_P2_C_5</t>
  </si>
  <si>
    <t xml:space="preserve">GCGGACGGTACTTTTGCTCGCGCTC</t>
  </si>
  <si>
    <t xml:space="preserve">CGTCCAGCGGCTCGGGCTCGGGCGA</t>
  </si>
  <si>
    <t xml:space="preserve">SU-008-06</t>
  </si>
  <si>
    <t xml:space="preserve">Crx_B1_P1_06</t>
  </si>
  <si>
    <t xml:space="preserve">GAGGAGGGCAGCAAACGGAAGCCGTGGGGTAAGCCCGCAGAGGCG</t>
  </si>
  <si>
    <t xml:space="preserve">Crx_B1_P2_06</t>
  </si>
  <si>
    <t xml:space="preserve">ACTCAGCAACGCGCCCGCGCCGCCCTAGAAGAGTCTTCCTTTACG</t>
  </si>
  <si>
    <t xml:space="preserve">B1_P1_Cx_1</t>
  </si>
  <si>
    <t xml:space="preserve">B1_P2_C_1</t>
  </si>
  <si>
    <t xml:space="preserve">GCCGTGGGGTAAGCCCGCAGAGGCG</t>
  </si>
  <si>
    <t xml:space="preserve">ACTCAGCAACGCGCCCGCGCCGCCC</t>
  </si>
  <si>
    <t xml:space="preserve">list order</t>
  </si>
  <si>
    <t xml:space="preserve">paired by list order (not confirmed by genome position)</t>
  </si>
  <si>
    <t xml:space="preserve">SU-009-01</t>
  </si>
  <si>
    <t xml:space="preserve">EcR_B1_P1_01</t>
  </si>
  <si>
    <t xml:space="preserve">GAGGAGGGCAGCAAACGGAACACCACGCACTCGGGCCTCATGCCG</t>
  </si>
  <si>
    <t xml:space="preserve">EcR_B1_P2_01</t>
  </si>
  <si>
    <t xml:space="preserve">CCTCTTGATCGCGCACTGGTTCTCCTAGAAGAGTCTTCCTTTACG</t>
  </si>
  <si>
    <t xml:space="preserve">B1_P1_EcR_1</t>
  </si>
  <si>
    <t xml:space="preserve">B1_P2_EcR_1</t>
  </si>
  <si>
    <t xml:space="preserve">CACCACGCACTCGGGCCTCATGCCG</t>
  </si>
  <si>
    <t xml:space="preserve">CCTCTTGATCGCGCACTGGTTCTCC</t>
  </si>
  <si>
    <t xml:space="preserve">Probes_designed › ecr</t>
  </si>
  <si>
    <t xml:space="preserve">SU-009-02</t>
  </si>
  <si>
    <t xml:space="preserve">EcR_B1_P1_02</t>
  </si>
  <si>
    <t xml:space="preserve">GAGGAGGGCAGCAAACGGAATTTGTCCTTCTCCCTTTGCGCCTTC</t>
  </si>
  <si>
    <t xml:space="preserve">EcR_B1_P2_02</t>
  </si>
  <si>
    <t xml:space="preserve">GTCTACTGTGGTTGTGCTGACTGGCTAGAAGAGTCTTCCTTTACG</t>
  </si>
  <si>
    <t xml:space="preserve">B1_P1_EcR_2</t>
  </si>
  <si>
    <t xml:space="preserve">B1_P2_EcR_2</t>
  </si>
  <si>
    <t xml:space="preserve">TTTGTCCTTCTCCCTTTGCGCCTTC</t>
  </si>
  <si>
    <t xml:space="preserve">GTCTACTGTGGTTGTGCTGACTGGC</t>
  </si>
  <si>
    <t xml:space="preserve">SU-009-03</t>
  </si>
  <si>
    <t xml:space="preserve">EcR_B1_P1_03</t>
  </si>
  <si>
    <t xml:space="preserve">GAGGAGGGCAGCAAACGGAACGGATCGCACTGCATTATGGGCGGC</t>
  </si>
  <si>
    <t xml:space="preserve">EcR_B1_P2_03</t>
  </si>
  <si>
    <t xml:space="preserve">CAGAATTCTAGCAGCTTCAGGCGGCTAGAAGAGTCTTCCTTTACG</t>
  </si>
  <si>
    <t xml:space="preserve">B1_P1_EcR_3</t>
  </si>
  <si>
    <t xml:space="preserve">B1_P2_EcR_3</t>
  </si>
  <si>
    <t xml:space="preserve">CGGATCGCACTGCATTATGGGCGGC</t>
  </si>
  <si>
    <t xml:space="preserve">CAGAATTCTAGCAGCTTCAGGCGGC</t>
  </si>
  <si>
    <t xml:space="preserve">SU-009-04</t>
  </si>
  <si>
    <t xml:space="preserve">EcR_B1_P1_04</t>
  </si>
  <si>
    <t xml:space="preserve">GAGGAGGGCAGCAAACGGAAGAACCGCGGCACGACTTCGTGCTGC</t>
  </si>
  <si>
    <t xml:space="preserve">EcR_B1_P2_04</t>
  </si>
  <si>
    <t xml:space="preserve">GTTCTGCTCCAGGAGCTTTTCGGATTAGAAGAGTCTTCCTTTACG</t>
  </si>
  <si>
    <t xml:space="preserve">B1_P1_EcR_4</t>
  </si>
  <si>
    <t xml:space="preserve">B1_P2_EcR_4</t>
  </si>
  <si>
    <t xml:space="preserve">GAACCGCGGCACGACTTCGTGCTGC</t>
  </si>
  <si>
    <t xml:space="preserve">GTTCTGCTCCAGGAGCTTTTCGGAT</t>
  </si>
  <si>
    <t xml:space="preserve">SU-010-01</t>
  </si>
  <si>
    <t xml:space="preserve">Egfr_B1_P1_01</t>
  </si>
  <si>
    <t xml:space="preserve">GAGGAGGGCAGCAAACGGAACGGCCCAAAGCATCTTCCTTGATCA</t>
  </si>
  <si>
    <t xml:space="preserve">Egfr_B1_P2_01</t>
  </si>
  <si>
    <t xml:space="preserve">GAACGTGTTACAACAATCCCTCGGATAGAAGAGTCTTCCTTTACG</t>
  </si>
  <si>
    <t xml:space="preserve">B1_P1_Egfr</t>
  </si>
  <si>
    <t xml:space="preserve">B1_P2_Egfr</t>
  </si>
  <si>
    <t xml:space="preserve">CGGCCCAAAGCATCTTCCTTGATCA</t>
  </si>
  <si>
    <t xml:space="preserve">GAACGTGTTACAACAATCCCTCGGA</t>
  </si>
  <si>
    <t xml:space="preserve">Probes_designed › egfr</t>
  </si>
  <si>
    <t xml:space="preserve">SU-010-02</t>
  </si>
  <si>
    <t xml:space="preserve">Egfr_B1_P1_02</t>
  </si>
  <si>
    <t xml:space="preserve">GAGGAGGGCAGCAAACGGAAGGAAGGGCATTCTTGCGAACACGTT</t>
  </si>
  <si>
    <t xml:space="preserve">Egfr_B1_P2_02</t>
  </si>
  <si>
    <t xml:space="preserve">ATAAGTCGTCGGGTTGTATATCTGCTAGAAGAGTCTTCCTTTACG</t>
  </si>
  <si>
    <t xml:space="preserve">GGAAGGGCATTCTTGCGAACACGTT</t>
  </si>
  <si>
    <t xml:space="preserve">ATAAGTCGTCGGGTTGTATATCTGC</t>
  </si>
  <si>
    <t xml:space="preserve">SU-010-03</t>
  </si>
  <si>
    <t xml:space="preserve">Egfr_B1_P1_03</t>
  </si>
  <si>
    <t xml:space="preserve">GAGGAGGGCAGCAAACGGAAGCAAGCTCCGTTGTCTTTCAACAAA</t>
  </si>
  <si>
    <t xml:space="preserve">Egfr_B1_P2_03</t>
  </si>
  <si>
    <t xml:space="preserve">GGTCTTGTTAGGAGGGCAGCTCCTCTAGAAGAGTCTTCCTTTACG</t>
  </si>
  <si>
    <t xml:space="preserve">GCAAGCTCCGTTGTCTTTCAACAAA</t>
  </si>
  <si>
    <t xml:space="preserve">GGTCTTGTTAGGAGGGCAGCTCCTC</t>
  </si>
  <si>
    <t xml:space="preserve">SU-010-04</t>
  </si>
  <si>
    <t xml:space="preserve">Egfr_B1_P1_04</t>
  </si>
  <si>
    <t xml:space="preserve">GAGGAGGGCAGCAAACGGAAGAAACCTGTGAAGGTCATCTCCAAT</t>
  </si>
  <si>
    <t xml:space="preserve">Egfr_B1_P2_04</t>
  </si>
  <si>
    <t xml:space="preserve">AAAAGAGTAATCCGGGTTAACGTGTTAGAAGAGTCTTCCTTTACG</t>
  </si>
  <si>
    <t xml:space="preserve">GAAACCTGTGAAGGTCATCTCCAAT</t>
  </si>
  <si>
    <t xml:space="preserve">AAAAGAGTAATCCGGGTTAACGTGT</t>
  </si>
  <si>
    <t xml:space="preserve">SU-010-05</t>
  </si>
  <si>
    <t xml:space="preserve">Egfr_B1_P1_05</t>
  </si>
  <si>
    <t xml:space="preserve">GAGGAGGGCAGCAAACGGAAGTGGTGCGCCTGCACATTCAGATAG</t>
  </si>
  <si>
    <t xml:space="preserve">Egfr_B1_P2_05</t>
  </si>
  <si>
    <t xml:space="preserve">AAAGTAGGAAAGACTAGTGAAGTTCTAGAAGAGTCTTCCTTTACG</t>
  </si>
  <si>
    <t xml:space="preserve">GTGGTGCGCCTGCACATTCAGATAG</t>
  </si>
  <si>
    <t xml:space="preserve">AAAGTAGGAAAGACTAGTGAAGTTC</t>
  </si>
  <si>
    <t xml:space="preserve">SU-010-06</t>
  </si>
  <si>
    <t xml:space="preserve">Egfr_B1_P1_06</t>
  </si>
  <si>
    <t xml:space="preserve">GAGGAGGGCAGCAAACGGAAGATTTCATCCCAGTTTATTGTTTTC</t>
  </si>
  <si>
    <t xml:space="preserve">Egfr_B1_P2_06</t>
  </si>
  <si>
    <t xml:space="preserve">AACGTACGAAGCATTCACCCCCGTATAGAAGAGTCTTCCTTTACG</t>
  </si>
  <si>
    <t xml:space="preserve">GATTTCATCCCAGTTTATTGTTTTC</t>
  </si>
  <si>
    <t xml:space="preserve">AACGTACGAAGCATTCACCCCCGTA</t>
  </si>
  <si>
    <t xml:space="preserve">SU-011-01</t>
  </si>
  <si>
    <t xml:space="preserve">FCHO2_B1_P1_01</t>
  </si>
  <si>
    <t xml:space="preserve">GAGGAGGGCAGCAAACGGAACCGTATTTCATGTTTTGATATAAAA</t>
  </si>
  <si>
    <t xml:space="preserve">FCHO2_B1_P2_01</t>
  </si>
  <si>
    <t xml:space="preserve">TCCGAGAGCTCCTTGCTGGCTATAATAGAAGAGTCTTCCTTTACG</t>
  </si>
  <si>
    <t xml:space="preserve">B1_P1_FCHO2-1</t>
  </si>
  <si>
    <t xml:space="preserve">B1_P2_FCHO2-1</t>
  </si>
  <si>
    <t xml:space="preserve">CCGTATTTCATGTTTTGATATAAAA</t>
  </si>
  <si>
    <t xml:space="preserve">TCCGAGAGCTCCTTGCTGGCTATAA</t>
  </si>
  <si>
    <t xml:space="preserve">SU-011-02</t>
  </si>
  <si>
    <t xml:space="preserve">FCHO2_B1_P1_02</t>
  </si>
  <si>
    <t xml:space="preserve">GAGGAGGGCAGCAAACGGAATTAACAAGACTGTACTTTTCAGCAA</t>
  </si>
  <si>
    <t xml:space="preserve">FCHO2_B1_P2_02</t>
  </si>
  <si>
    <t xml:space="preserve">TGAGTCATTTTCTTTTCAAAATCCTTAGAAGAGTCTTCCTTTACG</t>
  </si>
  <si>
    <t xml:space="preserve">B1_P1_FCHO2-3</t>
  </si>
  <si>
    <t xml:space="preserve">B1_P2_FCHO2-3</t>
  </si>
  <si>
    <t xml:space="preserve">TTAACAAGACTGTACTTTTCAGCAA</t>
  </si>
  <si>
    <t xml:space="preserve">TGAGTCATTTTCTTTTCAAAATCCT</t>
  </si>
  <si>
    <t xml:space="preserve">SU-011-03</t>
  </si>
  <si>
    <t xml:space="preserve">FCHO2_B1_P1_03</t>
  </si>
  <si>
    <t xml:space="preserve">GAGGAGGGCAGCAAACGGAAATCAAATTTGCCTTCTCTAAAGCAT</t>
  </si>
  <si>
    <t xml:space="preserve">FCHO2_B1_P2_03</t>
  </si>
  <si>
    <t xml:space="preserve">GGCTTTGGTAGAGTAGGAATCAGTTTAGAAGAGTCTTCCTTTACG</t>
  </si>
  <si>
    <t xml:space="preserve">B1_P1_FCHO2-4</t>
  </si>
  <si>
    <t xml:space="preserve">B1_P2_FCHO2-4</t>
  </si>
  <si>
    <t xml:space="preserve">ATCAAATTTGCCTTCTCTAAAGCAT</t>
  </si>
  <si>
    <t xml:space="preserve">GGCTTTGGTAGAGTAGGAATCAGTT</t>
  </si>
  <si>
    <t xml:space="preserve">SU-011-04</t>
  </si>
  <si>
    <t xml:space="preserve">FCHO2_B1_P1_04</t>
  </si>
  <si>
    <t xml:space="preserve">GAGGAGGGCAGCAAACGGAAGAGTTCATCAGGTCCTCTTTAGGAG</t>
  </si>
  <si>
    <t xml:space="preserve">FCHO2_B1_P2_04</t>
  </si>
  <si>
    <t xml:space="preserve">CAAAAGCCTTCCTCGTCAACCTCCGTAGAAGAGTCTTCCTTTACG</t>
  </si>
  <si>
    <t xml:space="preserve">B1_P1_FCHO2-5</t>
  </si>
  <si>
    <t xml:space="preserve">B1_P2_FCHO2-5</t>
  </si>
  <si>
    <t xml:space="preserve">GAGTTCATCAGGTCCTCTTTAGGAG</t>
  </si>
  <si>
    <t xml:space="preserve">CAAAAGCCTTCCTCGTCAACCTCCG</t>
  </si>
  <si>
    <t xml:space="preserve">SU-011-05</t>
  </si>
  <si>
    <t xml:space="preserve">FCHO2_B1_P1_05</t>
  </si>
  <si>
    <t xml:space="preserve">GAGGAGGGCAGCAAACGGAAGCATTAGCATTTGAACCCCTTCTTG</t>
  </si>
  <si>
    <t xml:space="preserve">FCHO2_B1_P2_05</t>
  </si>
  <si>
    <t xml:space="preserve">ACCAAAAAGTCACTGCTCGCTTTGCTAGAAGAGTCTTCCTTTACG</t>
  </si>
  <si>
    <t xml:space="preserve">B1_P1_FCHO2-6</t>
  </si>
  <si>
    <t xml:space="preserve">B1_P2_FCHO2-6</t>
  </si>
  <si>
    <t xml:space="preserve">GCATTAGCATTTGAACCCCTTCTTG</t>
  </si>
  <si>
    <t xml:space="preserve">ACCAAAAAGTCACTGCTCGCTTTGC</t>
  </si>
  <si>
    <t xml:space="preserve">SU-011-06</t>
  </si>
  <si>
    <t xml:space="preserve">FCHO2_B1_P1_06</t>
  </si>
  <si>
    <t xml:space="preserve">GAGGAGGGCAGCAAACGGAATGTACCACGAAAATAGGAGTGTATA</t>
  </si>
  <si>
    <t xml:space="preserve">FCHO2_B1_P2_06</t>
  </si>
  <si>
    <t xml:space="preserve">CATTTTTACTTGACATTTAGATTCTTAGAAGAGTCTTCCTTTACG</t>
  </si>
  <si>
    <t xml:space="preserve">B1_P1_FCHO2-7</t>
  </si>
  <si>
    <t xml:space="preserve">B1_P2_FCHO2-7</t>
  </si>
  <si>
    <t xml:space="preserve">TGTACCACGAAAATAGGAGTGTATA</t>
  </si>
  <si>
    <t xml:space="preserve">CATTTTTACTTGACATTTAGATTCT</t>
  </si>
  <si>
    <t xml:space="preserve">SU-011-07</t>
  </si>
  <si>
    <t xml:space="preserve">FCHO2_B1_P1_07</t>
  </si>
  <si>
    <t xml:space="preserve">GAGGAGGGCAGCAAACGGAAAGCTCTTCAGCATAACGAGCAACAT</t>
  </si>
  <si>
    <t xml:space="preserve">FCHO2_B1_P2_07</t>
  </si>
  <si>
    <t xml:space="preserve">TCTTTGACAGCTTTGTGCTTCTTGTTAGAAGAGTCTTCCTTTACG</t>
  </si>
  <si>
    <t xml:space="preserve">B1_P1_FCHO2-2</t>
  </si>
  <si>
    <t xml:space="preserve">B1_P2_FCHO2-2</t>
  </si>
  <si>
    <t xml:space="preserve">AGCTCTTCAGCATAACGAGCAACAT</t>
  </si>
  <si>
    <t xml:space="preserve">TCTTTGACAGCTTTGTGCTTCTTGT</t>
  </si>
  <si>
    <t xml:space="preserve">SU-011-08</t>
  </si>
  <si>
    <t xml:space="preserve">FCHO2_B1_P1_08</t>
  </si>
  <si>
    <t xml:space="preserve">GAGGAGGGCAGCAAACGGAACTTTAACAAAGATGATAATGCGGGC</t>
  </si>
  <si>
    <t xml:space="preserve">FCHO2_B1_P2_08</t>
  </si>
  <si>
    <t xml:space="preserve">AGCTGTGGGGTTTTTCTCACTCTGCTAGAAGAGTCTTCCTTTACG</t>
  </si>
  <si>
    <t xml:space="preserve">B1_P1_FCHO2-8</t>
  </si>
  <si>
    <t xml:space="preserve">B1_P2_FCHO2-8</t>
  </si>
  <si>
    <t xml:space="preserve">CTTTAACAAAGATGATAATGCGGGC</t>
  </si>
  <si>
    <t xml:space="preserve">AGCTGTGGGGTTTTTCTCACTCTGC</t>
  </si>
  <si>
    <t xml:space="preserve">SU-012-01</t>
  </si>
  <si>
    <t xml:space="preserve">ftz_B1_P1_01</t>
  </si>
  <si>
    <t xml:space="preserve">GAGGAGGGCAGCAAACGGAAAGATTTGACAGCACTTGAAGCACTT</t>
  </si>
  <si>
    <t xml:space="preserve">ftz_B1_P2_01</t>
  </si>
  <si>
    <t xml:space="preserve">TAAATTAGGAGAGTCATCTTCCTCCTAGAAGAGTCTTCCTTTACG</t>
  </si>
  <si>
    <t xml:space="preserve">B1_ftz</t>
  </si>
  <si>
    <t xml:space="preserve">AGATTTGACAGCACTTGAAGCACTT</t>
  </si>
  <si>
    <t xml:space="preserve">TAAATTAGGAGAGTCATCTTCCTCC</t>
  </si>
  <si>
    <t xml:space="preserve">Probes_designed › ubx_ftz_antp</t>
  </si>
  <si>
    <t xml:space="preserve">SU-012-02</t>
  </si>
  <si>
    <t xml:space="preserve">ftz_B1_P1_02</t>
  </si>
  <si>
    <t xml:space="preserve">GAGGAGGGCAGCAAACGGAATACGTCATGCGTTGCATCACTTCTT</t>
  </si>
  <si>
    <t xml:space="preserve">ftz_B1_P2_02</t>
  </si>
  <si>
    <t xml:space="preserve">ATCCAATCTTCCGTTTCATTAGCACTAGAAGAGTCTTCCTTTACG</t>
  </si>
  <si>
    <t xml:space="preserve">TACGTCATGCGTTGCATCACTTCTT</t>
  </si>
  <si>
    <t xml:space="preserve">ATCCAATCTTCCGTTTCATTAGCAC</t>
  </si>
  <si>
    <t xml:space="preserve">SU-012-03</t>
  </si>
  <si>
    <t xml:space="preserve">ftz_B1_P1_03</t>
  </si>
  <si>
    <t xml:space="preserve">GAGGAGGGCAGCAAACGGAATGTGTCCATCCAAGCCGCTTTCATA</t>
  </si>
  <si>
    <t xml:space="preserve">ftz_B1_P2_03</t>
  </si>
  <si>
    <t xml:space="preserve">CCATACTGTGCTGATCCTTAGTTTTTAGAAGAGTCTTCCTTTACG</t>
  </si>
  <si>
    <t xml:space="preserve">TGTGTCCATCCAAGCCGCTTTCATA</t>
  </si>
  <si>
    <t xml:space="preserve">CCATACTGTGCTGATCCTTAGTTTT</t>
  </si>
  <si>
    <t xml:space="preserve">SU-012-04</t>
  </si>
  <si>
    <t xml:space="preserve">ftz_B1_P1_04</t>
  </si>
  <si>
    <t xml:space="preserve">GAGGAGGGCAGCAAACGGAAGAACTCCTTTTCTAATTCAAGTGTC</t>
  </si>
  <si>
    <t xml:space="preserve">ftz_B1_P2_04</t>
  </si>
  <si>
    <t xml:space="preserve">CCGTCTTGATAGATACTTGTTGAAATAGAAGAGTCTTCCTTTACG</t>
  </si>
  <si>
    <t xml:space="preserve">GAACTCCTTTTCTAATTCAAGTGTC</t>
  </si>
  <si>
    <t xml:space="preserve">CCGTCTTGATAGATACTTGTTGAAA</t>
  </si>
  <si>
    <t xml:space="preserve">SU-012-05</t>
  </si>
  <si>
    <t xml:space="preserve">ftz_B1_P1_05</t>
  </si>
  <si>
    <t xml:space="preserve">GAGGAGGGCAGCAAACGGAATGTTAAATCTTCAGTTCCATATGGG</t>
  </si>
  <si>
    <t xml:space="preserve">ftz_B1_P2_05</t>
  </si>
  <si>
    <t xml:space="preserve">ATCAGGAATGTTAGATACTTTGGTTTAGAAGAGTCTTCCTTTACG</t>
  </si>
  <si>
    <t xml:space="preserve">TGTTAAATCTTCAGTTCCATATGGG</t>
  </si>
  <si>
    <t xml:space="preserve">ATCAGGAATGTTAGATACTTTGGTT</t>
  </si>
  <si>
    <t xml:space="preserve">SU-012-06</t>
  </si>
  <si>
    <t xml:space="preserve">ftz_B1_P1_06</t>
  </si>
  <si>
    <t xml:space="preserve">GAGGAGGGCAGCAAACGGAATGAAGGCATTACGCAATTTTGGTTT</t>
  </si>
  <si>
    <t xml:space="preserve">ftz_B1_P2_06</t>
  </si>
  <si>
    <t xml:space="preserve">TCACATTTTTGGCATCATACCACCATAGAAGAGTCTTCCTTTACG</t>
  </si>
  <si>
    <t xml:space="preserve">TGAAGGCATTACGCAATTTTGGTTT</t>
  </si>
  <si>
    <t xml:space="preserve">TCACATTTTTGGCATCATACCACCA</t>
  </si>
  <si>
    <t xml:space="preserve">SU-012-07</t>
  </si>
  <si>
    <t xml:space="preserve">ftz_B1_P1_07</t>
  </si>
  <si>
    <t xml:space="preserve">GAGGAGGGCAGCAAACGGAAGCCTGCATCGACCCTCGTCATTGCC</t>
  </si>
  <si>
    <t xml:space="preserve">ftz_B1_P2_07</t>
  </si>
  <si>
    <t xml:space="preserve">GTTGTCGGCGTAATCCTCATTGTCCTAGAAGAGTCTTCCTTTACG</t>
  </si>
  <si>
    <t xml:space="preserve">GCCTGCATCGACCCTCGTCATTGCC</t>
  </si>
  <si>
    <t xml:space="preserve">GTTGTCGGCGTAATCCTCATTGTCC</t>
  </si>
  <si>
    <t xml:space="preserve">SU-012-08</t>
  </si>
  <si>
    <t xml:space="preserve">ftz_B1_P1_08</t>
  </si>
  <si>
    <t xml:space="preserve">GAGGAGGGCAGCAAACGGAACGGATCCGTTTGTTATTGTATGAAT</t>
  </si>
  <si>
    <t xml:space="preserve">ftz_B1_P2_08</t>
  </si>
  <si>
    <t xml:space="preserve">GCACATCCTCTCCTTTGACATCTGATAGAAGAGTCTTCCTTTACG</t>
  </si>
  <si>
    <t xml:space="preserve">CGGATCCGTTTGTTATTGTATGAAT</t>
  </si>
  <si>
    <t xml:space="preserve">GCACATCCTCTCCTTTGACATCTGA</t>
  </si>
  <si>
    <t xml:space="preserve">SU-012-09</t>
  </si>
  <si>
    <t xml:space="preserve">ftz_B1_P1_09</t>
  </si>
  <si>
    <t xml:space="preserve">GAGGAGGGCAGCAAACGGAATGCTCACCGTCTGAGTAACAAGGAT</t>
  </si>
  <si>
    <t xml:space="preserve">ftz_B1_P2_09</t>
  </si>
  <si>
    <t xml:space="preserve">CATTTATTTATCATATCCATATTATTAGAAGAGTCTTCCTTTACG</t>
  </si>
  <si>
    <t xml:space="preserve">TGCTCACCGTCTGAGTAACAAGGAT</t>
  </si>
  <si>
    <t xml:space="preserve">CATTTATTTATCATATCCATATTAT</t>
  </si>
  <si>
    <t xml:space="preserve">SU-012-10</t>
  </si>
  <si>
    <t xml:space="preserve">ftz_B1_P1_10</t>
  </si>
  <si>
    <t xml:space="preserve">GAGGAGGGCAGCAAACGGAAGTATTCACTGTTTTGTGGGTAAAAG</t>
  </si>
  <si>
    <t xml:space="preserve">ftz_B1_P2_10</t>
  </si>
  <si>
    <t xml:space="preserve">AGATCTGTTATTGTAATATTCACTTTAGAAGAGTCTTCCTTTACG</t>
  </si>
  <si>
    <t xml:space="preserve">GTATTCACTGTTTTGTGGGTAAAAG</t>
  </si>
  <si>
    <t xml:space="preserve">AGATCTGTTATTGTAATATTCACTT</t>
  </si>
  <si>
    <t xml:space="preserve">SU-013-01</t>
  </si>
  <si>
    <t xml:space="preserve">Jo-bab_B1_P1_01</t>
  </si>
  <si>
    <t xml:space="preserve">GAGGAGGGCAGCAAACGGAACGTCAGACCCCTGATCTTCAGCGTC</t>
  </si>
  <si>
    <t xml:space="preserve">Jo-bab_B1_P2_01</t>
  </si>
  <si>
    <t xml:space="preserve">CAGCACGGCGTGCTCCCCGCTCACGTAGAAGAGTCTTCCTTTACG</t>
  </si>
  <si>
    <t xml:space="preserve">B1_P1_Jo_bab1</t>
  </si>
  <si>
    <t xml:space="preserve">B1_P2_Jo_bab1</t>
  </si>
  <si>
    <t xml:space="preserve">CGTCAGACCCCTGATCTTCAGCGTC</t>
  </si>
  <si>
    <t xml:space="preserve">CAGCACGGCGTGCTCCCCGCTCACG</t>
  </si>
  <si>
    <t xml:space="preserve">Probes_designed › J_orithya</t>
  </si>
  <si>
    <t xml:space="preserve">SU-013-02</t>
  </si>
  <si>
    <t xml:space="preserve">Jo-bab_B1_P1_02</t>
  </si>
  <si>
    <t xml:space="preserve">GAGGAGGGCAGCAAACGGAAGCCCGCGCGCGCCTCCAGACCGCCG</t>
  </si>
  <si>
    <t xml:space="preserve">Jo-bab_B1_P2_02</t>
  </si>
  <si>
    <t xml:space="preserve">CTCGCCCTCGCGGCTGCCGGGCCGCTAGAAGAGTCTTCCTTTACG</t>
  </si>
  <si>
    <t xml:space="preserve">B1_P1_Jo_bab2</t>
  </si>
  <si>
    <t xml:space="preserve">B1_P2_Jo_bab2</t>
  </si>
  <si>
    <t xml:space="preserve">GCCCGCGCGCGCCTCCAGACCGCCG</t>
  </si>
  <si>
    <t xml:space="preserve">CTCGCCCTCGCGGCTGCCGGGCCGC</t>
  </si>
  <si>
    <t xml:space="preserve">SU-013-03</t>
  </si>
  <si>
    <t xml:space="preserve">Jo-bab_B1_P1_03</t>
  </si>
  <si>
    <t xml:space="preserve">GAGGAGGGCAGCAAACGGAACCGCCGGGCCTTGGCCGCCGCGCCG</t>
  </si>
  <si>
    <t xml:space="preserve">Jo-bab_B1_P2_03</t>
  </si>
  <si>
    <t xml:space="preserve">GCCCGCCGGGCTGCGCTCCGCCGACTAGAAGAGTCTTCCTTTACG</t>
  </si>
  <si>
    <t xml:space="preserve">B1_P1_Jo_bab3</t>
  </si>
  <si>
    <t xml:space="preserve">B1_P2_Jo_bab3</t>
  </si>
  <si>
    <t xml:space="preserve">CCGCCGGGCCTTGGCCGCCGCGCCG</t>
  </si>
  <si>
    <t xml:space="preserve">GCCCGCCGGGCTGCGCTCCGCCGAC</t>
  </si>
  <si>
    <t xml:space="preserve">SU-013-04</t>
  </si>
  <si>
    <t xml:space="preserve">Jo-bab_B1_P1_04</t>
  </si>
  <si>
    <t xml:space="preserve">GAGGAGGGCAGCAAACGGAATCTGATTGGTGTTCCAGCACTTCTG</t>
  </si>
  <si>
    <t xml:space="preserve">Jo-bab_B1_P2_04</t>
  </si>
  <si>
    <t xml:space="preserve">CGCGGAATCGTAGGTTGTGGACGAGTAGAAGAGTCTTCCTTTACG</t>
  </si>
  <si>
    <t xml:space="preserve">B1_P1_Jo_bab4</t>
  </si>
  <si>
    <t xml:space="preserve">B1_P2_Jo_bab4</t>
  </si>
  <si>
    <t xml:space="preserve">TCTGATTGGTGTTCCAGCACTTCTG</t>
  </si>
  <si>
    <t xml:space="preserve">CGCGGAATCGTAGGTTGTGGACGAG</t>
  </si>
  <si>
    <t xml:space="preserve">SU-013-05</t>
  </si>
  <si>
    <t xml:space="preserve">Jo-bab_B1_P1_05</t>
  </si>
  <si>
    <t xml:space="preserve">GAGGAGGGCAGCAAACGGAATCTCAGGCCGCCAGGACTTGAGAGG</t>
  </si>
  <si>
    <t xml:space="preserve">Jo-bab_B1_P2_05</t>
  </si>
  <si>
    <t xml:space="preserve">GCACGGAGAATATAGCTTCGGCCATTAGAAGAGTCTTCCTTTACG</t>
  </si>
  <si>
    <t xml:space="preserve">B1_P1_Jo_bab5</t>
  </si>
  <si>
    <t xml:space="preserve">B1_P2_Jo_bab5</t>
  </si>
  <si>
    <t xml:space="preserve">TCTCAGGCCGCCAGGACTTGAGAGG</t>
  </si>
  <si>
    <t xml:space="preserve">GCACGGAGAATATAGCTTCGGCCAT</t>
  </si>
  <si>
    <t xml:space="preserve">SU-013-06</t>
  </si>
  <si>
    <t xml:space="preserve">Jo-bab_B1_P1_06</t>
  </si>
  <si>
    <t xml:space="preserve">GAGGAGGGCAGCAAACGGAATTGCAGCTTGGGAGAGGGACAGCCC</t>
  </si>
  <si>
    <t xml:space="preserve">Jo-bab_B1_P2_06</t>
  </si>
  <si>
    <t xml:space="preserve">ATGTCGGGTATGGTATGTCGTATTTTAGAAGAGTCTTCCTTTACG</t>
  </si>
  <si>
    <t xml:space="preserve">B1_P1_Jo_bab6</t>
  </si>
  <si>
    <t xml:space="preserve">B1_P2_Jo_bab6</t>
  </si>
  <si>
    <t xml:space="preserve">TTGCAGCTTGGGAGAGGGACAGCCC</t>
  </si>
  <si>
    <t xml:space="preserve">ATGTCGGGTATGGTATGTCGTATTT</t>
  </si>
  <si>
    <t xml:space="preserve">SU-014-01</t>
  </si>
  <si>
    <t xml:space="preserve">MSTRG.582_B1_P1_01</t>
  </si>
  <si>
    <t xml:space="preserve">GAGGAGGGCAGCAAACGGAAAGGTGTTGACAGAGAGGCACACTCC</t>
  </si>
  <si>
    <t xml:space="preserve">MSTRG.582_B1_P2_01</t>
  </si>
  <si>
    <t xml:space="preserve">GTCCTCTGTAATCTGCGGGGCACTGTAGAAGAGTCTTCCTTTACG</t>
  </si>
  <si>
    <t xml:space="preserve">B1_P1_MSTRG.582</t>
  </si>
  <si>
    <t xml:space="preserve">B1_P2_MSTRG.582</t>
  </si>
  <si>
    <t xml:space="preserve">AGGTGTTGACAGAGAGGCACACTCC</t>
  </si>
  <si>
    <t xml:space="preserve">GTCCTCTGTAATCTGCGGGGCACTG</t>
  </si>
  <si>
    <t xml:space="preserve">Probes_designed › spotty2</t>
  </si>
  <si>
    <t xml:space="preserve">SU-014-02</t>
  </si>
  <si>
    <t xml:space="preserve">MSTRG.582_B1_P1_02</t>
  </si>
  <si>
    <t xml:space="preserve">GAGGAGGGCAGCAAACGGAATTGCCGAATGTGATACATGTGATTG</t>
  </si>
  <si>
    <t xml:space="preserve">MSTRG.582_B1_P2_02</t>
  </si>
  <si>
    <t xml:space="preserve">TGTGCTCGTAATCGATACTTGTTCTTAGAAGAGTCTTCCTTTACG</t>
  </si>
  <si>
    <t xml:space="preserve">TTGCCGAATGTGATACATGTGATTG</t>
  </si>
  <si>
    <t xml:space="preserve">TGTGCTCGTAATCGATACTTGTTCT</t>
  </si>
  <si>
    <t xml:space="preserve">SU-014-03</t>
  </si>
  <si>
    <t xml:space="preserve">MSTRG.582_B1_P1_03</t>
  </si>
  <si>
    <t xml:space="preserve">GAGGAGGGCAGCAAACGGAATCTCGTCTAAGAATACGGTTATTTC</t>
  </si>
  <si>
    <t xml:space="preserve">MSTRG.582_B1_P2_03</t>
  </si>
  <si>
    <t xml:space="preserve">CATCAGAAATGCTAAGCGAATACATTAGAAGAGTCTTCCTTTACG</t>
  </si>
  <si>
    <t xml:space="preserve">TCTCGTCTAAGAATACGGTTATTTC</t>
  </si>
  <si>
    <t xml:space="preserve">CATCAGAAATGCTAAGCGAATACAT</t>
  </si>
  <si>
    <t xml:space="preserve">SU-014-04</t>
  </si>
  <si>
    <t xml:space="preserve">MSTRG.582_B1_P1_04</t>
  </si>
  <si>
    <t xml:space="preserve">GAGGAGGGCAGCAAACGGAAACAATACAGATTTGGTCTTAGCAAC</t>
  </si>
  <si>
    <t xml:space="preserve">MSTRG.582_B1_P2_04</t>
  </si>
  <si>
    <t xml:space="preserve">TAAAATCATGCAATTTCCACGAATCTAGAAGAGTCTTCCTTTACG</t>
  </si>
  <si>
    <t xml:space="preserve">ACAATACAGATTTGGTCTTAGCAAC</t>
  </si>
  <si>
    <t xml:space="preserve">TAAAATCATGCAATTTCCACGAATC</t>
  </si>
  <si>
    <t xml:space="preserve">SU-014-05</t>
  </si>
  <si>
    <t xml:space="preserve">MSTRG.582_B1_P1_05</t>
  </si>
  <si>
    <t xml:space="preserve">GAGGAGGGCAGCAAACGGAATCATCTCCTGGATTCCGTGACGCAA</t>
  </si>
  <si>
    <t xml:space="preserve">MSTRG.582_B1_P2_05</t>
  </si>
  <si>
    <t xml:space="preserve">GACAAGTCTCAGAGTCTCGCCATGATAGAAGAGTCTTCCTTTACG</t>
  </si>
  <si>
    <t xml:space="preserve">TCATCTCCTGGATTCCGTGACGCAA</t>
  </si>
  <si>
    <t xml:space="preserve">GACAAGTCTCAGAGTCTCGCCATGA</t>
  </si>
  <si>
    <t xml:space="preserve">SU-014-06</t>
  </si>
  <si>
    <t xml:space="preserve">MSTRG.582_B1_P1_06</t>
  </si>
  <si>
    <t xml:space="preserve">GAGGAGGGCAGCAAACGGAACTTGCGTGCACACCCACTCGCCCGA</t>
  </si>
  <si>
    <t xml:space="preserve">MSTRG.582_B1_P2_06</t>
  </si>
  <si>
    <t xml:space="preserve">CCGCGCCGCAGCGCGCGCCGCACGGTAGAAGAGTCTTCCTTTACG</t>
  </si>
  <si>
    <t xml:space="preserve">CTTGCGTGCACACCCACTCGCCCGA</t>
  </si>
  <si>
    <t xml:space="preserve">CCGCGCCGCAGCGCGCGCCGCACGG</t>
  </si>
  <si>
    <t xml:space="preserve">SU-014-07</t>
  </si>
  <si>
    <t xml:space="preserve">MSTRG.582_B1_P1_07</t>
  </si>
  <si>
    <t xml:space="preserve">GAGGAGGGCAGCAAACGGAAGCGCTGTCACCTCCTTTCCGTTGAC</t>
  </si>
  <si>
    <t xml:space="preserve">MSTRG.582_B1_P2_07</t>
  </si>
  <si>
    <t xml:space="preserve">TCTTTATATCGCCGACCTTCGCGGGTAGAAGAGTCTTCCTTTACG</t>
  </si>
  <si>
    <t xml:space="preserve">GCGCTGTCACCTCCTTTCCGTTGAC</t>
  </si>
  <si>
    <t xml:space="preserve">TCTTTATATCGCCGACCTTCGCGGG</t>
  </si>
  <si>
    <t xml:space="preserve">SU-014-08</t>
  </si>
  <si>
    <t xml:space="preserve">MSTRG.582_B1_P1_08</t>
  </si>
  <si>
    <t xml:space="preserve">GAGGAGGGCAGCAAACGGAATGTTAGAGTTGTTGGGCAGCGGTGG</t>
  </si>
  <si>
    <t xml:space="preserve">MSTRG.582_B1_P2_08</t>
  </si>
  <si>
    <t xml:space="preserve">TTGAGCAGTAATCTGTTGTGCACCGTAGAAGAGTCTTCCTTTACG</t>
  </si>
  <si>
    <t xml:space="preserve">TGTTAGAGTTGTTGGGCAGCGGTGG</t>
  </si>
  <si>
    <t xml:space="preserve">TTGAGCAGTAATCTGTTGTGCACCG</t>
  </si>
  <si>
    <t xml:space="preserve">SU-015-01</t>
  </si>
  <si>
    <t xml:space="preserve">MSTRG.592_B1_P1_01</t>
  </si>
  <si>
    <t xml:space="preserve">GAGGAGGGCAGCAAACGGAAGTCGAGTCAGCCAATAGAGCAAGCA</t>
  </si>
  <si>
    <t xml:space="preserve">MSTRG.592_B1_P2_01</t>
  </si>
  <si>
    <t xml:space="preserve">GCTGCCAGACTTGGAAATTTACCAATAGAAGAGTCTTCCTTTACG</t>
  </si>
  <si>
    <t xml:space="preserve">B1_P1_MSTRG.592</t>
  </si>
  <si>
    <t xml:space="preserve">B1_P2_MSTRG.592</t>
  </si>
  <si>
    <t xml:space="preserve">GTCGAGTCAGCCAATAGAGCAAGCA</t>
  </si>
  <si>
    <t xml:space="preserve">GCTGCCAGACTTGGAAATTTACCAA</t>
  </si>
  <si>
    <t xml:space="preserve">SU-015-02</t>
  </si>
  <si>
    <t xml:space="preserve">MSTRG.592_B1_P1_02</t>
  </si>
  <si>
    <t xml:space="preserve">GAGGAGGGCAGCAAACGGAAGAATACATAAAAATACTGAAACATC</t>
  </si>
  <si>
    <t xml:space="preserve">MSTRG.592_B1_P2_02</t>
  </si>
  <si>
    <t xml:space="preserve">ACATTGCTAAACTTAAATATAAACCTAGAAGAGTCTTCCTTTACG</t>
  </si>
  <si>
    <t xml:space="preserve">GAATACATAAAAATACTGAAACATC</t>
  </si>
  <si>
    <t xml:space="preserve">ACATTGCTAAACTTAAATATAAACC</t>
  </si>
  <si>
    <t xml:space="preserve">SU-015-03</t>
  </si>
  <si>
    <t xml:space="preserve">MSTRG.592_B1_P1_03</t>
  </si>
  <si>
    <t xml:space="preserve">GAGGAGGGCAGCAAACGGAAATTGAAAAGCCAAATGCCTATGAAG</t>
  </si>
  <si>
    <t xml:space="preserve">MSTRG.592_B1_P2_03</t>
  </si>
  <si>
    <t xml:space="preserve">GAACAAATTTTGGAGTATGAAAGAATAGAAGAGTCTTCCTTTACG</t>
  </si>
  <si>
    <t xml:space="preserve">ATTGAAAAGCCAAATGCCTATGAAG</t>
  </si>
  <si>
    <t xml:space="preserve">GAACAAATTTTGGAGTATGAAAGAA</t>
  </si>
  <si>
    <t xml:space="preserve">SU-015-04</t>
  </si>
  <si>
    <t xml:space="preserve">MSTRG.592_B1_P1_04</t>
  </si>
  <si>
    <t xml:space="preserve">GAGGAGGGCAGCAAACGGAAAGGCTAAAACAATGATTAGGACTTG</t>
  </si>
  <si>
    <t xml:space="preserve">MSTRG.592_B1_P2_04</t>
  </si>
  <si>
    <t xml:space="preserve">CACTGAACGAAGCAAGCAAAAAAGCTAGAAGAGTCTTCCTTTACG</t>
  </si>
  <si>
    <t xml:space="preserve">AGGCTAAAACAATGATTAGGACTTG</t>
  </si>
  <si>
    <t xml:space="preserve">CACTGAACGAAGCAAGCAAAAAAGC</t>
  </si>
  <si>
    <t xml:space="preserve">SU-015-05</t>
  </si>
  <si>
    <t xml:space="preserve">MSTRG.592_B1_P1_05</t>
  </si>
  <si>
    <t xml:space="preserve">GAGGAGGGCAGCAAACGGAAGATTAGAAATAAATTTTAGTAAATC</t>
  </si>
  <si>
    <t xml:space="preserve">MSTRG.592_B1_P2_05</t>
  </si>
  <si>
    <t xml:space="preserve">ATTTGCTATTAAACGCGGTGTAAAATAGAAGAGTCTTCCTTTACG</t>
  </si>
  <si>
    <t xml:space="preserve">GATTAGAAATAAATTTTAGTAAATC</t>
  </si>
  <si>
    <t xml:space="preserve">ATTTGCTATTAAACGCGGTGTAAAA</t>
  </si>
  <si>
    <t xml:space="preserve">SU-015-06</t>
  </si>
  <si>
    <t xml:space="preserve">MSTRG.592_B1_P1_06</t>
  </si>
  <si>
    <t xml:space="preserve">GAGGAGGGCAGCAAACGGAAAGGTGACCCCTATCTCCGAAAATTT</t>
  </si>
  <si>
    <t xml:space="preserve">MSTRG.592_B1_P2_06</t>
  </si>
  <si>
    <t xml:space="preserve">AGAGAAAAGAATAAAAGAAACAATATAGAAGAGTCTTCCTTTACG</t>
  </si>
  <si>
    <t xml:space="preserve">AGGTGACCCCTATCTCCGAAAATTT</t>
  </si>
  <si>
    <t xml:space="preserve">AGAGAAAAGAATAAAAGAAACAATA</t>
  </si>
  <si>
    <t xml:space="preserve">SU-016-01</t>
  </si>
  <si>
    <t xml:space="preserve">MSTRG.618_B1_P1_01</t>
  </si>
  <si>
    <t xml:space="preserve">GAGGAGGGCAGCAAACGGAAGGTAGGAGGCTAAGCCCGAAAGATT</t>
  </si>
  <si>
    <t xml:space="preserve">MSTRG.618_B1_P2_01</t>
  </si>
  <si>
    <t xml:space="preserve">AATGCATTGTCGGAGTATTCAGGCATAGAAGAGTCTTCCTTTACG</t>
  </si>
  <si>
    <t xml:space="preserve">B1_P1_MSTRG.618</t>
  </si>
  <si>
    <t xml:space="preserve">B1_P2_MSTRG.618</t>
  </si>
  <si>
    <t xml:space="preserve">GGTAGGAGGCTAAGCCCGAAAGATT</t>
  </si>
  <si>
    <t xml:space="preserve">AATGCATTGTCGGAGTATTCAGGCA</t>
  </si>
  <si>
    <t xml:space="preserve">SU-016-02</t>
  </si>
  <si>
    <t xml:space="preserve">MSTRG.618_B1_P1_02</t>
  </si>
  <si>
    <t xml:space="preserve">GAGGAGGGCAGCAAACGGAATCTTTAGCAACTCTGGGATAAACGA</t>
  </si>
  <si>
    <t xml:space="preserve">MSTRG.618_B1_P2_02</t>
  </si>
  <si>
    <t xml:space="preserve">AAATGAACTCCAAGAATTGTACTGATAGAAGAGTCTTCCTTTACG</t>
  </si>
  <si>
    <t xml:space="preserve">TCTTTAGCAACTCTGGGATAAACGA</t>
  </si>
  <si>
    <t xml:space="preserve">AAATGAACTCCAAGAATTGTACTGA</t>
  </si>
  <si>
    <t xml:space="preserve">SU-016-03</t>
  </si>
  <si>
    <t xml:space="preserve">MSTRG.618_B1_P1_03</t>
  </si>
  <si>
    <t xml:space="preserve">GAGGAGGGCAGCAAACGGAATTATCTAATGTTATGTTGTAATTTA</t>
  </si>
  <si>
    <t xml:space="preserve">MSTRG.618_B1_P2_03</t>
  </si>
  <si>
    <t xml:space="preserve">TTCGATTTTTTATTATGTCTTTCGATAGAAGAGTCTTCCTTTACG</t>
  </si>
  <si>
    <t xml:space="preserve">TTATCTAATGTTATGTTGTAATTTA</t>
  </si>
  <si>
    <t xml:space="preserve">TTCGATTTTTTATTATGTCTTTCGA</t>
  </si>
  <si>
    <t xml:space="preserve">SU-016-04</t>
  </si>
  <si>
    <t xml:space="preserve">MSTRG.618_B1_P1_04</t>
  </si>
  <si>
    <t xml:space="preserve">GAGGAGGGCAGCAAACGGAAGGCTCACCGGAGTTGTGGACGATGA</t>
  </si>
  <si>
    <t xml:space="preserve">MSTRG.618_B1_P2_04</t>
  </si>
  <si>
    <t xml:space="preserve">CGTACCAAGGCACACGAATTGTACGTAGAAGAGTCTTCCTTTACG</t>
  </si>
  <si>
    <t xml:space="preserve">GGCTCACCGGAGTTGTGGACGATGA</t>
  </si>
  <si>
    <t xml:space="preserve">CGTACCAAGGCACACGAATTGTACG</t>
  </si>
  <si>
    <t xml:space="preserve">SU-016-05</t>
  </si>
  <si>
    <t xml:space="preserve">MSTRG.618_B1_P1_05</t>
  </si>
  <si>
    <t xml:space="preserve">GAGGAGGGCAGCAAACGGAAATAGGTCTACACAGCATCTCATCGC</t>
  </si>
  <si>
    <t xml:space="preserve">MSTRG.618_B1_P2_05</t>
  </si>
  <si>
    <t xml:space="preserve">CAGTCATTATTACTACGCAACGGGATAGAAGAGTCTTCCTTTACG</t>
  </si>
  <si>
    <t xml:space="preserve">ATAGGTCTACACAGCATCTCATCGC</t>
  </si>
  <si>
    <t xml:space="preserve">CAGTCATTATTACTACGCAACGGGA</t>
  </si>
  <si>
    <t xml:space="preserve">SU-016-06</t>
  </si>
  <si>
    <t xml:space="preserve">MSTRG.618_B1_P1_06</t>
  </si>
  <si>
    <t xml:space="preserve">GAGGAGGGCAGCAAACGGAAGTCCAGATTAGTTTGCCATTGTTCA</t>
  </si>
  <si>
    <t xml:space="preserve">MSTRG.618_B1_P2_06</t>
  </si>
  <si>
    <t xml:space="preserve">TCTAATAATAAATCCCACTTTAAATTAGAAGAGTCTTCCTTTACG</t>
  </si>
  <si>
    <t xml:space="preserve">GTCCAGATTAGTTTGCCATTGTTCA</t>
  </si>
  <si>
    <t xml:space="preserve">TCTAATAATAAATCCCACTTTAAAT</t>
  </si>
  <si>
    <t xml:space="preserve">SU-017-01</t>
  </si>
  <si>
    <t xml:space="preserve">MSTRG.649_B1_P1_01</t>
  </si>
  <si>
    <t xml:space="preserve">GAGGAGGGCAGCAAACGGAATGCTTAGGGTTCACTGCAAACGGTA</t>
  </si>
  <si>
    <t xml:space="preserve">MSTRG.649_B1_P2_01</t>
  </si>
  <si>
    <t xml:space="preserve">TGCTCGGAATTCCTTGACAGAGCGGTAGAAGAGTCTTCCTTTACG</t>
  </si>
  <si>
    <t xml:space="preserve">B1_P1_MSTRG.649</t>
  </si>
  <si>
    <t xml:space="preserve">B1_P2_MSTRG.649</t>
  </si>
  <si>
    <t xml:space="preserve">TGCTTAGGGTTCACTGCAAACGGTA</t>
  </si>
  <si>
    <t xml:space="preserve">TGCTCGGAATTCCTTGACAGAGCGG</t>
  </si>
  <si>
    <t xml:space="preserve">SU-017-02</t>
  </si>
  <si>
    <t xml:space="preserve">MSTRG.649_B1_P1_02</t>
  </si>
  <si>
    <t xml:space="preserve">GAGGAGGGCAGCAAACGGAATCACCAATTTGTAGGTGATGATTAT</t>
  </si>
  <si>
    <t xml:space="preserve">MSTRG.649_B1_P2_02</t>
  </si>
  <si>
    <t xml:space="preserve">GAGTCGTTCGTAACTGCTCCACACCTAGAAGAGTCTTCCTTTACG</t>
  </si>
  <si>
    <t xml:space="preserve">TCACCAATTTGTAGGTGATGATTAT</t>
  </si>
  <si>
    <t xml:space="preserve">GAGTCGTTCGTAACTGCTCCACACC</t>
  </si>
  <si>
    <t xml:space="preserve">SU-017-03</t>
  </si>
  <si>
    <t xml:space="preserve">MSTRG.649_B1_P1_03</t>
  </si>
  <si>
    <t xml:space="preserve">GAGGAGGGCAGCAAACGGAAGGAATTCGCTGCGTGTTTGTTTGTT</t>
  </si>
  <si>
    <t xml:space="preserve">MSTRG.649_B1_P2_03</t>
  </si>
  <si>
    <t xml:space="preserve">TATTGCAGTGAGCCTGGCTTTATTGTAGAAGAGTCTTCCTTTACG</t>
  </si>
  <si>
    <t xml:space="preserve">GGAATTCGCTGCGTGTTTGTTTGTT</t>
  </si>
  <si>
    <t xml:space="preserve">TATTGCAGTGAGCCTGGCTTTATTG</t>
  </si>
  <si>
    <t xml:space="preserve">SU-017-04</t>
  </si>
  <si>
    <t xml:space="preserve">MSTRG.649_B1_P1_04</t>
  </si>
  <si>
    <t xml:space="preserve">GAGGAGGGCAGCAAACGGAAACCATGCGAGCTGCTGCGCTGCCAT</t>
  </si>
  <si>
    <t xml:space="preserve">MSTRG.649_B1_P2_04</t>
  </si>
  <si>
    <t xml:space="preserve">TGATGAGCTATATTCACGACTGCGATAGAAGAGTCTTCCTTTACG</t>
  </si>
  <si>
    <t xml:space="preserve">ACCATGCGAGCTGCTGCGCTGCCAT</t>
  </si>
  <si>
    <t xml:space="preserve">TGATGAGCTATATTCACGACTGCGA</t>
  </si>
  <si>
    <t xml:space="preserve">SU-017-05</t>
  </si>
  <si>
    <t xml:space="preserve">MSTRG.649_B1_P1_05</t>
  </si>
  <si>
    <t xml:space="preserve">GAGGAGGGCAGCAAACGGAACGCCTGCGGACCCATGATGCAAGGC</t>
  </si>
  <si>
    <t xml:space="preserve">MSTRG.649_B1_P2_05</t>
  </si>
  <si>
    <t xml:space="preserve">GAGTTTACCCGTAGGTAGGGTTGTATAGAAGAGTCTTCCTTTACG</t>
  </si>
  <si>
    <t xml:space="preserve">CGCCTGCGGACCCATGATGCAAGGC</t>
  </si>
  <si>
    <t xml:space="preserve">GAGTTTACCCGTAGGTAGGGTTGTA</t>
  </si>
  <si>
    <t xml:space="preserve">SU-017-06</t>
  </si>
  <si>
    <t xml:space="preserve">MSTRG.649_B1_P1_06</t>
  </si>
  <si>
    <t xml:space="preserve">GAGGAGGGCAGCAAACGGAAATGTCCCAGTGAAGATGCTTGGCGT</t>
  </si>
  <si>
    <t xml:space="preserve">MSTRG.649_B1_P2_06</t>
  </si>
  <si>
    <t xml:space="preserve">CAGAAAATGTTTACGTAGCAGTTTGTAGAAGAGTCTTCCTTTACG</t>
  </si>
  <si>
    <t xml:space="preserve">ATGTCCCAGTGAAGATGCTTGGCGT</t>
  </si>
  <si>
    <t xml:space="preserve">CAGAAAATGTTTACGTAGCAGTTTG</t>
  </si>
  <si>
    <t xml:space="preserve">SU-018-01</t>
  </si>
  <si>
    <t xml:space="preserve">Osp_B1_P1_01</t>
  </si>
  <si>
    <t xml:space="preserve">GAGGAGGGCAGCAAACGGAACGGCGAGCGGACTACGTTGGCCTCA</t>
  </si>
  <si>
    <t xml:space="preserve">Osp_B1_P2_01</t>
  </si>
  <si>
    <t xml:space="preserve">GTACTGCTGGTGCTGCTGCTGCAACTAGAAGAGTCTTCCTTTACG</t>
  </si>
  <si>
    <t xml:space="preserve">B1_P1_Osp1</t>
  </si>
  <si>
    <t xml:space="preserve">B1_P2_Osp1</t>
  </si>
  <si>
    <t xml:space="preserve">CGGCGAGCGGACTACGTTGGCCTCA</t>
  </si>
  <si>
    <t xml:space="preserve">GTACTGCTGGTGCTGCTGCTGCAAC</t>
  </si>
  <si>
    <t xml:space="preserve">Probes_designed › Osp</t>
  </si>
  <si>
    <t xml:space="preserve">SU-018-02</t>
  </si>
  <si>
    <t xml:space="preserve">Osp_B1_P1_02</t>
  </si>
  <si>
    <t xml:space="preserve">GAGGAGGGCAGCAAACGGAAGCCTTCTTCGGGTGGAGGTCCGCCG</t>
  </si>
  <si>
    <t xml:space="preserve">Osp_B1_P2_02</t>
  </si>
  <si>
    <t xml:space="preserve">GCTGCCCTCGCTTGCCGAACTGGTTTAGAAGAGTCTTCCTTTACG</t>
  </si>
  <si>
    <t xml:space="preserve">B1_P1_Osp2</t>
  </si>
  <si>
    <t xml:space="preserve">B1_P2_Osp2</t>
  </si>
  <si>
    <t xml:space="preserve">GCCTTCTTCGGGTGGAGGTCCGCCG</t>
  </si>
  <si>
    <t xml:space="preserve">GCTGCCCTCGCTTGCCGAACTGGTT</t>
  </si>
  <si>
    <t xml:space="preserve">SU-018-03</t>
  </si>
  <si>
    <t xml:space="preserve">Osp_B1_P1_03</t>
  </si>
  <si>
    <t xml:space="preserve">GAGGAGGGCAGCAAACGGAACCAACCAGCTCTCGCGTGGAGGAGT</t>
  </si>
  <si>
    <t xml:space="preserve">Osp_B1_P2_03</t>
  </si>
  <si>
    <t xml:space="preserve">CCAACCGCTAGGGCTTCGTCTTTGATAGAAGAGTCTTCCTTTACG</t>
  </si>
  <si>
    <t xml:space="preserve">B1_P1_Osp3</t>
  </si>
  <si>
    <t xml:space="preserve">B1_P2_Osp3</t>
  </si>
  <si>
    <t xml:space="preserve">CCAACCAGCTCTCGCGTGGAGGAGT</t>
  </si>
  <si>
    <t xml:space="preserve">CCAACCGCTAGGGCTTCGTCTTTGA</t>
  </si>
  <si>
    <t xml:space="preserve">SU-018-04</t>
  </si>
  <si>
    <t xml:space="preserve">Osp_B1_P1_04</t>
  </si>
  <si>
    <t xml:space="preserve">GAGGAGGGCAGCAAACGGAATTCAAAAGCATATCCATTGGCTGAC</t>
  </si>
  <si>
    <t xml:space="preserve">Osp_B1_P2_04</t>
  </si>
  <si>
    <t xml:space="preserve">TATGTGCTTGCCATCCCAAGTCTCATAGAAGAGTCTTCCTTTACG</t>
  </si>
  <si>
    <t xml:space="preserve">B1_P1_Osp4</t>
  </si>
  <si>
    <t xml:space="preserve">B1_P2_Osp4</t>
  </si>
  <si>
    <t xml:space="preserve">TTCAAAAGCATATCCATTGGCTGAC</t>
  </si>
  <si>
    <t xml:space="preserve">TATGTGCTTGCCATCCCAAGTCTCA</t>
  </si>
  <si>
    <t xml:space="preserve">SU-018-05</t>
  </si>
  <si>
    <t xml:space="preserve">Osp_B1_P1_05</t>
  </si>
  <si>
    <t xml:space="preserve">GAGGAGGGCAGCAAACGGAAGGGTGTGATTGGCGATGTGGATGAT</t>
  </si>
  <si>
    <t xml:space="preserve">Osp_B1_P2_05</t>
  </si>
  <si>
    <t xml:space="preserve">TCCTGATTTACCGGTATTTGGTGTGTAGAAGAGTCTTCCTTTACG</t>
  </si>
  <si>
    <t xml:space="preserve">B1_P1_Osp5</t>
  </si>
  <si>
    <t xml:space="preserve">B1_P2_Osp5</t>
  </si>
  <si>
    <t xml:space="preserve">GGGTGTGATTGGCGATGTGGATGAT</t>
  </si>
  <si>
    <t xml:space="preserve">TCCTGATTTACCGGTATTTGGTGTG</t>
  </si>
  <si>
    <t xml:space="preserve">SU-018-06</t>
  </si>
  <si>
    <t xml:space="preserve">Osp_B1_P1_06</t>
  </si>
  <si>
    <t xml:space="preserve">GAGGAGGGCAGCAAACGGAATGCTCTAGCGCGAACCTTTTCTTTG</t>
  </si>
  <si>
    <t xml:space="preserve">Osp_B1_P2_06</t>
  </si>
  <si>
    <t xml:space="preserve">ATCGGGTTTAGTTTGTGGTTGGAGGTAGAAGAGTCTTCCTTTACG</t>
  </si>
  <si>
    <t xml:space="preserve">B1_P1_Osp6</t>
  </si>
  <si>
    <t xml:space="preserve">B1_P2_Osp6</t>
  </si>
  <si>
    <t xml:space="preserve">TGCTCTAGCGCGAACCTTTTCTTTG</t>
  </si>
  <si>
    <t xml:space="preserve">ATCGGGTTTAGTTTGTGGTTGGAGG</t>
  </si>
  <si>
    <t xml:space="preserve">SU-018-07</t>
  </si>
  <si>
    <t xml:space="preserve">Osp_B1_P1_07</t>
  </si>
  <si>
    <t xml:space="preserve">GAGGAGGGCAGCAAACGGAATCGCAAATCTTCGATTTCGATCGTT</t>
  </si>
  <si>
    <t xml:space="preserve">Osp_B1_P2_07</t>
  </si>
  <si>
    <t xml:space="preserve">ATCGTTCAATGCTAATTTAAGCTGCTAGAAGAGTCTTCCTTTACG</t>
  </si>
  <si>
    <t xml:space="preserve">B1_P1_Osp7</t>
  </si>
  <si>
    <t xml:space="preserve">B1_P2_Osp7</t>
  </si>
  <si>
    <t xml:space="preserve">TCGCAAATCTTCGATTTCGATCGTT</t>
  </si>
  <si>
    <t xml:space="preserve">ATCGTTCAATGCTAATTTAAGCTGC</t>
  </si>
  <si>
    <t xml:space="preserve">SU-018-08</t>
  </si>
  <si>
    <t xml:space="preserve">Osp_B1_P1_08</t>
  </si>
  <si>
    <t xml:space="preserve">GAGGAGGGCAGCAAACGGAACGTATCTAAGTTTTCAGCTTCTTTT</t>
  </si>
  <si>
    <t xml:space="preserve">Osp_B1_P2_08</t>
  </si>
  <si>
    <t xml:space="preserve">TTTATCTTGATTATAAAGTTGTTTTTAGAAGAGTCTTCCTTTACG</t>
  </si>
  <si>
    <t xml:space="preserve">B1_P1_Osp8</t>
  </si>
  <si>
    <t xml:space="preserve">B1_P2_Osp8</t>
  </si>
  <si>
    <t xml:space="preserve">CGTATCTAAGTTTTCAGCTTCTTTT</t>
  </si>
  <si>
    <t xml:space="preserve">TTTATCTTGATTATAAAGTTGTTTT</t>
  </si>
  <si>
    <t xml:space="preserve">SU-018-09</t>
  </si>
  <si>
    <t xml:space="preserve">Osp_B1_P1_09</t>
  </si>
  <si>
    <t xml:space="preserve">GAGGAGGGCAGCAAACGGAACTTCAAAAGTTTTTCATTTAATTCG</t>
  </si>
  <si>
    <t xml:space="preserve">Osp_B1_P2_09</t>
  </si>
  <si>
    <t xml:space="preserve">GTACAAGCTATCGTTTTCTCTGATATAGAAGAGTCTTCCTTTACG</t>
  </si>
  <si>
    <t xml:space="preserve">B1_P1_Osp9</t>
  </si>
  <si>
    <t xml:space="preserve">B1_P2_Osp9</t>
  </si>
  <si>
    <t xml:space="preserve">CTTCAAAAGTTTTTCATTTAATTCG</t>
  </si>
  <si>
    <t xml:space="preserve">GTACAAGCTATCGTTTTCTCTGATA</t>
  </si>
  <si>
    <t xml:space="preserve">SU-018-10</t>
  </si>
  <si>
    <t xml:space="preserve">Osp_B1_P1_10</t>
  </si>
  <si>
    <t xml:space="preserve">GAGGAGGGCAGCAAACGGAATACGTACTCTTCGATCAGTCTATTT</t>
  </si>
  <si>
    <t xml:space="preserve">Osp_B1_P2_10</t>
  </si>
  <si>
    <t xml:space="preserve">AGCCTTTAAAAATCTGTTTCTTAATTAGAAGAGTCTTCCTTTACG</t>
  </si>
  <si>
    <t xml:space="preserve">B1_P1_Osp10</t>
  </si>
  <si>
    <t xml:space="preserve">B1_P2_Osp10</t>
  </si>
  <si>
    <t xml:space="preserve">TACGTACTCTTCGATCAGTCTATTT</t>
  </si>
  <si>
    <t xml:space="preserve">AGCCTTTAAAAATCTGTTTCTTAAT</t>
  </si>
  <si>
    <t xml:space="preserve">SU-018-11</t>
  </si>
  <si>
    <t xml:space="preserve">Osp_B1_P1_11</t>
  </si>
  <si>
    <t xml:space="preserve">GAGGAGGGCAGCAAACGGAACAAGATGCGAGCCGCCATTAGATCT</t>
  </si>
  <si>
    <t xml:space="preserve">Osp_B1_P2_11</t>
  </si>
  <si>
    <t xml:space="preserve">TGATGCGGTAAGTTTCTGAGTTAAATAGAAGAGTCTTCCTTTACG</t>
  </si>
  <si>
    <t xml:space="preserve">B1_P1_Osp11</t>
  </si>
  <si>
    <t xml:space="preserve">B1_P2_Osp11</t>
  </si>
  <si>
    <t xml:space="preserve">CAAGATGCGAGCCGCCATTAGATCT</t>
  </si>
  <si>
    <t xml:space="preserve">TGATGCGGTAAGTTTCTGAGTTAAA</t>
  </si>
  <si>
    <t xml:space="preserve">SU-018-12</t>
  </si>
  <si>
    <t xml:space="preserve">Osp_B1_P1_12</t>
  </si>
  <si>
    <t xml:space="preserve">GAGGAGGGCAGCAAACGGAAGAATGATTCCCTTCCTTTTAATGAC</t>
  </si>
  <si>
    <t xml:space="preserve">Osp_B1_P2_12</t>
  </si>
  <si>
    <t xml:space="preserve">TTTCTCTTCGACTTCCTTGCCTAGCTAGAAGAGTCTTCCTTTACG</t>
  </si>
  <si>
    <t xml:space="preserve">B1_P1_Osp12</t>
  </si>
  <si>
    <t xml:space="preserve">B1_P2_Osp12</t>
  </si>
  <si>
    <t xml:space="preserve">GAATGATTCCCTTCCTTTTAATGAC</t>
  </si>
  <si>
    <t xml:space="preserve">TTTCTCTTCGACTTCCTTGCCTAGC</t>
  </si>
  <si>
    <t xml:space="preserve">SU-018-13</t>
  </si>
  <si>
    <t xml:space="preserve">Osp_B1_P1_13</t>
  </si>
  <si>
    <t xml:space="preserve">GAGGAGGGCAGCAAACGGAAGACTAGCATTTTCATGGGCTCTGAA</t>
  </si>
  <si>
    <t xml:space="preserve">Osp_B1_P2_13</t>
  </si>
  <si>
    <t xml:space="preserve">TACTTTAGTTTCGAGCGAACTTAATTAGAAGAGTCTTCCTTTACG</t>
  </si>
  <si>
    <t xml:space="preserve">B1_P1_Osp13</t>
  </si>
  <si>
    <t xml:space="preserve">B1_P2_Osp13</t>
  </si>
  <si>
    <t xml:space="preserve">GACTAGCATTTTCATGGGCTCTGAA</t>
  </si>
  <si>
    <t xml:space="preserve">TACTTTAGTTTCGAGCGAACTTAAT</t>
  </si>
  <si>
    <t xml:space="preserve">SU-018-14</t>
  </si>
  <si>
    <t xml:space="preserve">Osp_B1_P1_14</t>
  </si>
  <si>
    <t xml:space="preserve">GAGGAGGGCAGCAAACGGAAGTCGTTACTGGACGGACTCTCGCTA</t>
  </si>
  <si>
    <t xml:space="preserve">Osp_B1_P2_14</t>
  </si>
  <si>
    <t xml:space="preserve">TGTTCCTATCGAGGAGCTCTCCGGGTAGAAGAGTCTTCCTTTACG</t>
  </si>
  <si>
    <t xml:space="preserve">B1_P1_Osp14</t>
  </si>
  <si>
    <t xml:space="preserve">B1_P2_Osp14</t>
  </si>
  <si>
    <t xml:space="preserve">GTCGTTACTGGACGGACTCTCGCTA</t>
  </si>
  <si>
    <t xml:space="preserve">TGTTCCTATCGAGGAGCTCTCCGGG</t>
  </si>
  <si>
    <t xml:space="preserve">SU-018-15</t>
  </si>
  <si>
    <t xml:space="preserve">Osp_B1_P1_15</t>
  </si>
  <si>
    <t xml:space="preserve">GAGGAGGGCAGCAAACGGAACATTTGACATAAACATTCGTTGACT</t>
  </si>
  <si>
    <t xml:space="preserve">Osp_B1_P2_15</t>
  </si>
  <si>
    <t xml:space="preserve">CCTCGACTTGGCCGCTCGCATTGCGTAGAAGAGTCTTCCTTTACG</t>
  </si>
  <si>
    <t xml:space="preserve">B1_P1_Osp15</t>
  </si>
  <si>
    <t xml:space="preserve">B1_P2_Osp15</t>
  </si>
  <si>
    <t xml:space="preserve">CATTTGACATAAACATTCGTTGACT</t>
  </si>
  <si>
    <t xml:space="preserve">CCTCGACTTGGCCGCTCGCATTGCG</t>
  </si>
  <si>
    <t xml:space="preserve">SU-018-16</t>
  </si>
  <si>
    <t xml:space="preserve">Osp_B1_P1_16</t>
  </si>
  <si>
    <t xml:space="preserve">GAGGAGGGCAGCAAACGGAAGACGCCGTCGTCGATCTCGTCGTCG</t>
  </si>
  <si>
    <t xml:space="preserve">Osp_B1_P2_16</t>
  </si>
  <si>
    <t xml:space="preserve">CTCTTCCAGCTGCGCGACGACCTGCTAGAAGAGTCTTCCTTTACG</t>
  </si>
  <si>
    <t xml:space="preserve">B1_P1_Osp16</t>
  </si>
  <si>
    <t xml:space="preserve">B1_P2_Osp16</t>
  </si>
  <si>
    <t xml:space="preserve">GACGCCGTCGTCGATCTCGTCGTCG</t>
  </si>
  <si>
    <t xml:space="preserve">CTCTTCCAGCTGCGCGACGACCTGC</t>
  </si>
  <si>
    <t xml:space="preserve">SU-018-17</t>
  </si>
  <si>
    <t xml:space="preserve">Osp_B1_P1_17</t>
  </si>
  <si>
    <t xml:space="preserve">GAGGAGGGCAGCAAACGGAAGGATTCCAGAGCCTCCTGTATCCTG</t>
  </si>
  <si>
    <t xml:space="preserve">Osp_B1_P2_17</t>
  </si>
  <si>
    <t xml:space="preserve">TCTAGCGAAGAATCTGCTCCCGTCGTAGAAGAGTCTTCCTTTACG</t>
  </si>
  <si>
    <t xml:space="preserve">B1_P1_Osp17</t>
  </si>
  <si>
    <t xml:space="preserve">B1_P2_Osp17</t>
  </si>
  <si>
    <t xml:space="preserve">GGATTCCAGAGCCTCCTGTATCCTG</t>
  </si>
  <si>
    <t xml:space="preserve">TCTAGCGAAGAATCTGCTCCCGTCG</t>
  </si>
  <si>
    <t xml:space="preserve">SU-018-18</t>
  </si>
  <si>
    <t xml:space="preserve">Osp_B1_P1_18</t>
  </si>
  <si>
    <t xml:space="preserve">GAGGAGGGCAGCAAACGGAACTTGGTGACGGACGTCGTCTTGTTG</t>
  </si>
  <si>
    <t xml:space="preserve">Osp_B1_P2_18</t>
  </si>
  <si>
    <t xml:space="preserve">GATCCTCGCGAGGTAGTCGAGGGAGTAGAAGAGTCTTCCTTTACG</t>
  </si>
  <si>
    <t xml:space="preserve">B1_P1_Osp18</t>
  </si>
  <si>
    <t xml:space="preserve">B1_P2_Osp18</t>
  </si>
  <si>
    <t xml:space="preserve">CTTGGTGACGGACGTCGTCTTGTTG</t>
  </si>
  <si>
    <t xml:space="preserve">GATCCTCGCGAGGTAGTCGAGGGAG</t>
  </si>
  <si>
    <t xml:space="preserve">SU-018-19</t>
  </si>
  <si>
    <t xml:space="preserve">Osp_B1_P1_19</t>
  </si>
  <si>
    <t xml:space="preserve">GAGGAGGGCAGCAAACGGAACAGCAGAGCGTCGAGGTCGGCGCTC</t>
  </si>
  <si>
    <t xml:space="preserve">Osp_B1_P2_19</t>
  </si>
  <si>
    <t xml:space="preserve">GGCCTCGCCCACCTCCCGCTGCTTGTAGAAGAGTCTTCCTTTACG</t>
  </si>
  <si>
    <t xml:space="preserve">B1_P1_Osp19</t>
  </si>
  <si>
    <t xml:space="preserve">B1_P2_Osp19</t>
  </si>
  <si>
    <t xml:space="preserve">CAGCAGAGCGTCGAGGTCGGCGCTC</t>
  </si>
  <si>
    <t xml:space="preserve">GGCCTCGCCCACCTCCCGCTGCTTG</t>
  </si>
  <si>
    <t xml:space="preserve">SU-018-20</t>
  </si>
  <si>
    <t xml:space="preserve">Osp_B1_P1_20</t>
  </si>
  <si>
    <t xml:space="preserve">GAGGAGGGCAGCAAACGGAACGCGCCGTCGTCGCCGGCGGCGGCC</t>
  </si>
  <si>
    <t xml:space="preserve">Osp_B1_P2_20</t>
  </si>
  <si>
    <t xml:space="preserve">CCACGCCTCGCGCACGCGCGCCGCCTAGAAGAGTCTTCCTTTACG</t>
  </si>
  <si>
    <t xml:space="preserve">B1_P1_Osp20</t>
  </si>
  <si>
    <t xml:space="preserve">B1_P2_Osp20</t>
  </si>
  <si>
    <t xml:space="preserve">CGCGCCGTCGTCGCCGGCGGCGGCC</t>
  </si>
  <si>
    <t xml:space="preserve">CCACGCCTCGCGCACGCGCGCCGCC</t>
  </si>
  <si>
    <t xml:space="preserve">SU-018-21</t>
  </si>
  <si>
    <t xml:space="preserve">Osp_B1_P1_21</t>
  </si>
  <si>
    <t xml:space="preserve">GAGGAGGGCAGCAAACGGAACAGGTCCAGGTCGGCGCGGCGCTGC</t>
  </si>
  <si>
    <t xml:space="preserve">Osp_B1_P2_21</t>
  </si>
  <si>
    <t xml:space="preserve">CAGGTGGTCGTGCGCCGCCTGCCACTAGAAGAGTCTTCCTTTACG</t>
  </si>
  <si>
    <t xml:space="preserve">B1_P1_Osp21</t>
  </si>
  <si>
    <t xml:space="preserve">B1_P2_Osp21</t>
  </si>
  <si>
    <t xml:space="preserve">CAGGTCCAGGTCGGCGCGGCGCTGC</t>
  </si>
  <si>
    <t xml:space="preserve">CAGGTGGTCGTGCGCCGCCTGCCAC</t>
  </si>
  <si>
    <t xml:space="preserve">SU-019-01</t>
  </si>
  <si>
    <t xml:space="preserve">Suds_B1_P1_01</t>
  </si>
  <si>
    <t xml:space="preserve">GAGGAGGGCAGCAAACGGAAAAAATCATTGAGCAGGTTCTCCCGC</t>
  </si>
  <si>
    <t xml:space="preserve">Suds_B1_P2_01</t>
  </si>
  <si>
    <t xml:space="preserve">ACTTTCTATAAGCTTCCTCTTCTCTTAGAAGAGTCTTCCTTTACG</t>
  </si>
  <si>
    <t xml:space="preserve">B1_P1_Suds3</t>
  </si>
  <si>
    <t xml:space="preserve">B1_P2_Suds3</t>
  </si>
  <si>
    <t xml:space="preserve">AAAATCATTGAGCAGGTTCTCCCGC</t>
  </si>
  <si>
    <t xml:space="preserve">ACTTTCTATAAGCTTCCTCTTCTCT</t>
  </si>
  <si>
    <t xml:space="preserve">Probes_designed › osp_suds3</t>
  </si>
  <si>
    <t xml:space="preserve">SU-019-02</t>
  </si>
  <si>
    <t xml:space="preserve">Suds_B1_P1_02</t>
  </si>
  <si>
    <t xml:space="preserve">GAGGAGGGCAGCAAACGGAACGGCGCGGGCTCGTTGGCGCGCCGC</t>
  </si>
  <si>
    <t xml:space="preserve">Suds_B1_P2_02</t>
  </si>
  <si>
    <t xml:space="preserve">CAGCGGCTTGCGGCGCTTCTCGGGCTAGAAGAGTCTTCCTTTACG</t>
  </si>
  <si>
    <t xml:space="preserve">CGGCGCGGGCTCGTTGGCGCGCCGC</t>
  </si>
  <si>
    <t xml:space="preserve">CAGCGGCTTGCGGCGCTTCTCGGGC</t>
  </si>
  <si>
    <t xml:space="preserve">SU-019-03</t>
  </si>
  <si>
    <t xml:space="preserve">Suds_B1_P1_03</t>
  </si>
  <si>
    <t xml:space="preserve">GAGGAGGGCAGCAAACGGAAGCGCTCGTCCAGCTGGAACGTGAGC</t>
  </si>
  <si>
    <t xml:space="preserve">Suds_B1_P2_03</t>
  </si>
  <si>
    <t xml:space="preserve">GATGGCGCGCAGGTCGGCGTCGATGTAGAAGAGTCTTCCTTTACG</t>
  </si>
  <si>
    <t xml:space="preserve">GCGCTCGTCCAGCTGGAACGTGAGC</t>
  </si>
  <si>
    <t xml:space="preserve">GATGGCGCGCAGGTCGGCGTCGATG</t>
  </si>
  <si>
    <t xml:space="preserve">SU-019-04</t>
  </si>
  <si>
    <t xml:space="preserve">Suds_B1_P1_04</t>
  </si>
  <si>
    <t xml:space="preserve">GAGGAGGGCAGCAAACGGAAGGGCGCGTGGCGCGGCGGCGGCGTG</t>
  </si>
  <si>
    <t xml:space="preserve">Suds_B1_P2_04</t>
  </si>
  <si>
    <t xml:space="preserve">GAGATGCTTCCTGGGCTGGTGGTTGTAGAAGAGTCTTCCTTTACG</t>
  </si>
  <si>
    <t xml:space="preserve">GGGCGCGTGGCGCGGCGGCGGCGTG</t>
  </si>
  <si>
    <t xml:space="preserve">GAGATGCTTCCTGGGCTGGTGGTTG</t>
  </si>
  <si>
    <t xml:space="preserve">SU-019-05</t>
  </si>
  <si>
    <t xml:space="preserve">Suds_B1_P1_05</t>
  </si>
  <si>
    <t xml:space="preserve">GAGGAGGGCAGCAAACGGAAAGAATCTCCATTCAACTCCATACTA</t>
  </si>
  <si>
    <t xml:space="preserve">Suds_B1_P2_05</t>
  </si>
  <si>
    <t xml:space="preserve">CCTCTTCATGGGCGGTTTCACCTCTTAGAAGAGTCTTCCTTTACG</t>
  </si>
  <si>
    <t xml:space="preserve">AGAATCTCCATTCAACTCCATACTA</t>
  </si>
  <si>
    <t xml:space="preserve">CCTCTTCATGGGCGGTTTCACCTCT</t>
  </si>
  <si>
    <t xml:space="preserve">SU-019-06</t>
  </si>
  <si>
    <t xml:space="preserve">Suds_B1_P1_06</t>
  </si>
  <si>
    <t xml:space="preserve">GAGGAGGGCAGCAAACGGAACGGCTTGCGGCGCGCTTCACAGCTG</t>
  </si>
  <si>
    <t xml:space="preserve">Suds_B1_P2_06</t>
  </si>
  <si>
    <t xml:space="preserve">GTCCAGCTGGAACGTGAGCGTGGTGTAGAAGAGTCTTCCTTTACG</t>
  </si>
  <si>
    <t xml:space="preserve">CGGCTTGCGGCGCGCTTCACAGCTG</t>
  </si>
  <si>
    <t xml:space="preserve">GTCCAGCTGGAACGTGAGCGTGGTG</t>
  </si>
  <si>
    <t xml:space="preserve">SU-020-01</t>
  </si>
  <si>
    <t xml:space="preserve">suds3_B1_P1_01</t>
  </si>
  <si>
    <t xml:space="preserve">GAGGAGGGCAGCAAACGGAACGCTATCTTCAGCAGGCGGTTGCTG</t>
  </si>
  <si>
    <t xml:space="preserve">suds3_B1_P2_01</t>
  </si>
  <si>
    <t xml:space="preserve">TTTCACTTGCCTCCTCAGTGTCTTCTAGAAGAGTCTTCCTTTACG</t>
  </si>
  <si>
    <t xml:space="preserve">B1_suds3_12_Dla50</t>
  </si>
  <si>
    <t xml:space="preserve">CGCTATCTTCAGCAGGCGGTTGCTG</t>
  </si>
  <si>
    <t xml:space="preserve">TTTCACTTGCCTCCTCAGTGTCTTC</t>
  </si>
  <si>
    <t xml:space="preserve">Probes_designed › Suds3_new</t>
  </si>
  <si>
    <t xml:space="preserve">SU-020-02</t>
  </si>
  <si>
    <t xml:space="preserve">suds3_B1_P1_02</t>
  </si>
  <si>
    <t xml:space="preserve">GAGGAGGGCAGCAAACGGAAACTGGCTCATCATTGTTGGGAATGT</t>
  </si>
  <si>
    <t xml:space="preserve">suds3_B1_P2_02</t>
  </si>
  <si>
    <t xml:space="preserve">TCTTGGTACATCTGTTCTTTAAGTTTAGAAGAGTCTTCCTTTACG</t>
  </si>
  <si>
    <t xml:space="preserve">ACTGGCTCATCATTGTTGGGAATGT</t>
  </si>
  <si>
    <t xml:space="preserve">TCTTGGTACATCTGTTCTTTAAGTT</t>
  </si>
  <si>
    <t xml:space="preserve">SU-020-03</t>
  </si>
  <si>
    <t xml:space="preserve">suds3_B1_P1_03</t>
  </si>
  <si>
    <t xml:space="preserve">GAGGAGGGCAGCAAACGGAACAACTGCTTCTTCAAGTTCACCAGT</t>
  </si>
  <si>
    <t xml:space="preserve">suds3_B1_P2_03</t>
  </si>
  <si>
    <t xml:space="preserve">GGGGTGAATGTTGTCTTCCAGTTGTTAGAAGAGTCTTCCTTTACG</t>
  </si>
  <si>
    <t xml:space="preserve">CAACTGCTTCTTCAAGTTCACCAGT</t>
  </si>
  <si>
    <t xml:space="preserve">GGGGTGAATGTTGTCTTCCAGTTGT</t>
  </si>
  <si>
    <t xml:space="preserve">SU-020-04</t>
  </si>
  <si>
    <t xml:space="preserve">suds3_B1_P1_04</t>
  </si>
  <si>
    <t xml:space="preserve">GAGGAGGGCAGCAAACGGAATACATGTGATCTTTGTATATCCTGT</t>
  </si>
  <si>
    <t xml:space="preserve">suds3_B1_P2_04</t>
  </si>
  <si>
    <t xml:space="preserve">ACCACATACTCTCTCTCTACGACGTTAGAAGAGTCTTCCTTTACG</t>
  </si>
  <si>
    <t xml:space="preserve">TACATGTGATCTTTGTATATCCTGT</t>
  </si>
  <si>
    <t xml:space="preserve">ACCACATACTCTCTCTCTACGACGT</t>
  </si>
  <si>
    <t xml:space="preserve">SU-020-05</t>
  </si>
  <si>
    <t xml:space="preserve">suds3_B1_P1_05</t>
  </si>
  <si>
    <t xml:space="preserve">GAGGAGGGCAGCAAACGGAACGTCCAGCTGGAACGTGAGCGTGGT</t>
  </si>
  <si>
    <t xml:space="preserve">suds3_B1_P2_05</t>
  </si>
  <si>
    <t xml:space="preserve">CGCGCAGGTCGGCGTCGATGTCGCGTAGAAGAGTCTTCCTTTACG</t>
  </si>
  <si>
    <t xml:space="preserve">CGTCCAGCTGGAACGTGAGCGTGGT</t>
  </si>
  <si>
    <t xml:space="preserve">CGCGCAGGTCGGCGTCGATGTCGCG</t>
  </si>
  <si>
    <t xml:space="preserve">SU-020-06</t>
  </si>
  <si>
    <t xml:space="preserve">suds3_B1_P1_06</t>
  </si>
  <si>
    <t xml:space="preserve">GAGGAGGGCAGCAAACGGAAGCGGGCGCGTGGCGCGGCGGCGGCG</t>
  </si>
  <si>
    <t xml:space="preserve">suds3_B1_P2_06</t>
  </si>
  <si>
    <t xml:space="preserve">TTGAGATGCTTCCTGGGCTGGTGGTTAGAAGAGTCTTCCTTTACG</t>
  </si>
  <si>
    <t xml:space="preserve">GCGGGCGCGTGGCGCGGCGGCGGCG</t>
  </si>
  <si>
    <t xml:space="preserve">TTGAGATGCTTCCTGGGCTGGTGGT</t>
  </si>
  <si>
    <t xml:space="preserve">SU-020-07</t>
  </si>
  <si>
    <t xml:space="preserve">suds3_B1_P1_07</t>
  </si>
  <si>
    <t xml:space="preserve">GAGGAGGGCAGCAAACGGAATGTCGCGCCCCTCCACGTACACGCT</t>
  </si>
  <si>
    <t xml:space="preserve">suds3_B1_P2_07</t>
  </si>
  <si>
    <t xml:space="preserve">CGTGTATGTGCGCGGGGAAGCGCGGTAGAAGAGTCTTCCTTTACG</t>
  </si>
  <si>
    <t xml:space="preserve">TGTCGCGCCCCTCCACGTACACGCT</t>
  </si>
  <si>
    <t xml:space="preserve">CGTGTATGTGCGCGGGGAAGCGCGG</t>
  </si>
  <si>
    <t xml:space="preserve">SU-020-08</t>
  </si>
  <si>
    <t xml:space="preserve">suds3_B1_P1_08</t>
  </si>
  <si>
    <t xml:space="preserve">GAGGAGGGCAGCAAACGGAATTTGCCGCGCGCTAACTGCGACACG</t>
  </si>
  <si>
    <t xml:space="preserve">suds3_B1_P2_08</t>
  </si>
  <si>
    <t xml:space="preserve">TTACGAGGCGCGCCGCTTCAACGTATAGAAGAGTCTTCCTTTACG</t>
  </si>
  <si>
    <t xml:space="preserve">TTTGCCGCGCGCTAACTGCGACACG</t>
  </si>
  <si>
    <t xml:space="preserve">TTACGAGGCGCGCCGCTTCAACGTA</t>
  </si>
  <si>
    <t xml:space="preserve">SU-020-09</t>
  </si>
  <si>
    <t xml:space="preserve">suds3_B1_P1_09</t>
  </si>
  <si>
    <t xml:space="preserve">GAGGAGGGCAGCAAACGGAATTCACAGCTGTTAGAGTTGAGATGC</t>
  </si>
  <si>
    <t xml:space="preserve">suds3_B1_P2_09</t>
  </si>
  <si>
    <t xml:space="preserve">GAGCGTGGTGGGCGGCTTGCGGCGCTAGAAGAGTCTTCCTTTACG</t>
  </si>
  <si>
    <t xml:space="preserve">TTCACAGCTGTTAGAGTTGAGATGC</t>
  </si>
  <si>
    <t xml:space="preserve">GAGCGTGGTGGGCGGCTTGCGGCGC</t>
  </si>
  <si>
    <t xml:space="preserve">SU-020-10</t>
  </si>
  <si>
    <t xml:space="preserve">suds3_B1_P1_10</t>
  </si>
  <si>
    <t xml:space="preserve">GAGGAGGGCAGCAAACGGAATCTATAGAATCTCCATTCAACTCCA</t>
  </si>
  <si>
    <t xml:space="preserve">suds3_B1_P2_10</t>
  </si>
  <si>
    <t xml:space="preserve">AGTATCCTCTTCATGGGCGGTTTCATAGAAGAGTCTTCCTTTACG</t>
  </si>
  <si>
    <t xml:space="preserve">TCTATAGAATCTCCATTCAACTCCA</t>
  </si>
  <si>
    <t xml:space="preserve">AGTATCCTCTTCATGGGCGGTTTCA</t>
  </si>
  <si>
    <t xml:space="preserve">SU-020-11</t>
  </si>
  <si>
    <t xml:space="preserve">suds3_B1_P1_11</t>
  </si>
  <si>
    <t xml:space="preserve">GAGGAGGGCAGCAAACGGAAAAACTCCTTCGCAGCGGCTTTTTTT</t>
  </si>
  <si>
    <t xml:space="preserve">suds3_B1_P2_11</t>
  </si>
  <si>
    <t xml:space="preserve">CTCCCGCAACTCTATCTTCTTCTCGTAGAAGAGTCTTCCTTTACG</t>
  </si>
  <si>
    <t xml:space="preserve">AAACTCCTTCGCAGCGGCTTTTTTT</t>
  </si>
  <si>
    <t xml:space="preserve">CTCCCGCAACTCTATCTTCTTCTCG</t>
  </si>
  <si>
    <t xml:space="preserve">SU-020-12</t>
  </si>
  <si>
    <t xml:space="preserve">suds3_B1_P1_12</t>
  </si>
  <si>
    <t xml:space="preserve">GAGGAGGGCAGCAAACGGAACCAACCGTTTCACCCTCTTCAGGAA</t>
  </si>
  <si>
    <t xml:space="preserve">suds3_B1_P2_12</t>
  </si>
  <si>
    <t xml:space="preserve">TGCGTAGCCTCTCATGCAGCTGGTGTAGAAGAGTCTTCCTTTACG</t>
  </si>
  <si>
    <t xml:space="preserve">CCAACCGTTTCACCCTCTTCAGGAA</t>
  </si>
  <si>
    <t xml:space="preserve">TGCGTAGCCTCTCATGCAGCTGGTG</t>
  </si>
  <si>
    <t xml:space="preserve">SU-021-01</t>
  </si>
  <si>
    <t xml:space="preserve">SUDS3_B1_P1_01</t>
  </si>
  <si>
    <t xml:space="preserve">GAGGAGGGCAGCAAACGGAACGTACCCGTCGTCCTCAAAGTCGTA</t>
  </si>
  <si>
    <t xml:space="preserve">SUDS3_B1_P2_01</t>
  </si>
  <si>
    <t xml:space="preserve">CCGGGTCCCTGTATTCGTCTATATCTAGAAGAGTCTTCCTTTACG</t>
  </si>
  <si>
    <t xml:space="preserve">B1_P1_SUDS3-1</t>
  </si>
  <si>
    <t xml:space="preserve">B1_P2_SUDS3-1</t>
  </si>
  <si>
    <t xml:space="preserve">CGTACCCGTCGTCCTCAAAGTCGTA</t>
  </si>
  <si>
    <t xml:space="preserve">CCGGGTCCCTGTATTCGTCTATATC</t>
  </si>
  <si>
    <t xml:space="preserve">SU-021-02</t>
  </si>
  <si>
    <t xml:space="preserve">SUDS3_B1_P1_02</t>
  </si>
  <si>
    <t xml:space="preserve">GAGGAGGGCAGCAAACGGAATCGCTATCTTCAGCAGGCGGTTGCT</t>
  </si>
  <si>
    <t xml:space="preserve">SUDS3_B1_P2_02</t>
  </si>
  <si>
    <t xml:space="preserve">GTTTCACTTGCCTCCTCAGTGTCTTTAGAAGAGTCTTCCTTTACG</t>
  </si>
  <si>
    <t xml:space="preserve">B1_P1_SUDS3-2</t>
  </si>
  <si>
    <t xml:space="preserve">B1_P2_SUDS3-2</t>
  </si>
  <si>
    <t xml:space="preserve">TCGCTATCTTCAGCAGGCGGTTGCT</t>
  </si>
  <si>
    <t xml:space="preserve">GTTTCACTTGCCTCCTCAGTGTCTT</t>
  </si>
  <si>
    <t xml:space="preserve">SU-021-03</t>
  </si>
  <si>
    <t xml:space="preserve">SUDS3_B1_P1_03</t>
  </si>
  <si>
    <t xml:space="preserve">GAGGAGGGCAGCAAACGGAATTTAAGTTCAACTGGCTCATCATTG</t>
  </si>
  <si>
    <t xml:space="preserve">SUDS3_B1_P2_03</t>
  </si>
  <si>
    <t xml:space="preserve">CACCAGTTTGTCTTGGTACATCTGTTAGAAGAGTCTTCCTTTACG</t>
  </si>
  <si>
    <t xml:space="preserve">B1_P1_SUDS3-3</t>
  </si>
  <si>
    <t xml:space="preserve">B1_P2_SUDS3-3</t>
  </si>
  <si>
    <t xml:space="preserve">TTTAAGTTCAACTGGCTCATCATTG</t>
  </si>
  <si>
    <t xml:space="preserve">CACCAGTTTGTCTTGGTACATCTGT</t>
  </si>
  <si>
    <t xml:space="preserve">SU-021-04</t>
  </si>
  <si>
    <t xml:space="preserve">SUDS3_B1_P1_04</t>
  </si>
  <si>
    <t xml:space="preserve">GAGGAGGGCAGCAAACGGAAATGCGTAGCCTCTCATGCAGCTGGT</t>
  </si>
  <si>
    <t xml:space="preserve">SUDS3_B1_P2_04</t>
  </si>
  <si>
    <t xml:space="preserve">TACATGTGATCTTTGTATATCCTGTTAGAAGAGTCTTCCTTTACG</t>
  </si>
  <si>
    <t xml:space="preserve">B1_P1_SUDS3-4</t>
  </si>
  <si>
    <t xml:space="preserve">B1_P2_SUDS3-4</t>
  </si>
  <si>
    <t xml:space="preserve">ATGCGTAGCCTCTCATGCAGCTGGT</t>
  </si>
  <si>
    <t xml:space="preserve">SU-021-05</t>
  </si>
  <si>
    <t xml:space="preserve">SUDS3_B1_P1_05</t>
  </si>
  <si>
    <t xml:space="preserve">GAGGAGGGCAGCAAACGGAACAAAATCATTGAGCAGGTTCTCCCG</t>
  </si>
  <si>
    <t xml:space="preserve">SUDS3_B1_P2_05</t>
  </si>
  <si>
    <t xml:space="preserve">CACTTTCTATAAGCTTCCTCTTCTCTAGAAGAGTCTTCCTTTACG</t>
  </si>
  <si>
    <t xml:space="preserve">B1_P1_SUDS3-5</t>
  </si>
  <si>
    <t xml:space="preserve">B1_P2_SUDS3-5</t>
  </si>
  <si>
    <t xml:space="preserve">CAAAATCATTGAGCAGGTTCTCCCG</t>
  </si>
  <si>
    <t xml:space="preserve">CACTTTCTATAAGCTTCCTCTTCTC</t>
  </si>
  <si>
    <t xml:space="preserve">SU-021-06</t>
  </si>
  <si>
    <t xml:space="preserve">SUDS3_B1_P1_06</t>
  </si>
  <si>
    <t xml:space="preserve">GAGGAGGGCAGCAAACGGAACTCGGGCGCCGGCGCGGGCTCGTTG</t>
  </si>
  <si>
    <t xml:space="preserve">SUDS3_B1_P2_06</t>
  </si>
  <si>
    <t xml:space="preserve">CGTGGTCGCCAGCGGCTTGCGGCGCTAGAAGAGTCTTCCTTTACG</t>
  </si>
  <si>
    <t xml:space="preserve">B1_P1_SUDS3-7</t>
  </si>
  <si>
    <t xml:space="preserve">B1_P2_SUDS3-7</t>
  </si>
  <si>
    <t xml:space="preserve">CTCGGGCGCCGGCGCGGGCTCGTTG</t>
  </si>
  <si>
    <t xml:space="preserve">CGTGGTCGCCAGCGGCTTGCGGCGC</t>
  </si>
  <si>
    <t xml:space="preserve">SU-021-07</t>
  </si>
  <si>
    <t xml:space="preserve">SUDS3_B1_P1_07</t>
  </si>
  <si>
    <t xml:space="preserve">GAGGAGGGCAGCAAACGGAACGGCGTCGATGTCGCGCTCGTCCAG</t>
  </si>
  <si>
    <t xml:space="preserve">SUDS3_B1_P2_07</t>
  </si>
  <si>
    <t xml:space="preserve">GCGTGGCGCGTGCGATGGCGCGCAGTAGAAGAGTCTTCCTTTACG</t>
  </si>
  <si>
    <t xml:space="preserve">B1_P1_SUDS3-8</t>
  </si>
  <si>
    <t xml:space="preserve">B1_P2_SUDS3-8</t>
  </si>
  <si>
    <t xml:space="preserve">CGGCGTCGATGTCGCGCTCGTCCAG</t>
  </si>
  <si>
    <t xml:space="preserve">GCGTGGCGCGTGCGATGGCGCGCAG</t>
  </si>
  <si>
    <t xml:space="preserve">SU-021-08</t>
  </si>
  <si>
    <t xml:space="preserve">SUDS3_B1_P1_08</t>
  </si>
  <si>
    <t xml:space="preserve">SUDS3_B1_P2_08</t>
  </si>
  <si>
    <t xml:space="preserve">B1_P1_SUDS3-6</t>
  </si>
  <si>
    <t xml:space="preserve">B1_P2_SUDS3-6</t>
  </si>
  <si>
    <t xml:space="preserve">SU-022-01</t>
  </si>
  <si>
    <t xml:space="preserve">al1_B2_P1_01</t>
  </si>
  <si>
    <t xml:space="preserve">CCTCGTAAATCCTCATCAAAAGTCGTCTTTCGGTGGTTCTGATAG</t>
  </si>
  <si>
    <t xml:space="preserve">al1_B2_P2_01</t>
  </si>
  <si>
    <t xml:space="preserve">GGGCGAGTTCTGGAGTAGTTCGAGGAAATCATCCAGTAAACCGCC</t>
  </si>
  <si>
    <t xml:space="preserve">B2_P1_al1-1</t>
  </si>
  <si>
    <t xml:space="preserve">B2_P2_al1-1</t>
  </si>
  <si>
    <t xml:space="preserve">AGTCGTCTTTCGGTGGTTCTGATAG</t>
  </si>
  <si>
    <t xml:space="preserve">GGGCGAGTTCTGGAGTAGTTCGAGG</t>
  </si>
  <si>
    <t xml:space="preserve">SU-022-02</t>
  </si>
  <si>
    <t xml:space="preserve">al1_B2_P1_02</t>
  </si>
  <si>
    <t xml:space="preserve">CCTCGTAAATCCTCATCAAACTGTCAGCAGAGCCTAAAGGTGGTC</t>
  </si>
  <si>
    <t xml:space="preserve">al1_B2_P2_02</t>
  </si>
  <si>
    <t xml:space="preserve">TTGGGTGCAAAGTCATCTGCATCATAAATCATCCAGTAAACCGCC</t>
  </si>
  <si>
    <t xml:space="preserve">B2_P1_al1-2</t>
  </si>
  <si>
    <t xml:space="preserve">B2_P2_al1-2</t>
  </si>
  <si>
    <t xml:space="preserve">CTGTCAGCAGAGCCTAAAGGTGGTC</t>
  </si>
  <si>
    <t xml:space="preserve">TTGGGTGCAAAGTCATCTGCATCAT</t>
  </si>
  <si>
    <t xml:space="preserve">SU-022-03</t>
  </si>
  <si>
    <t xml:space="preserve">al1_B2_P1_03</t>
  </si>
  <si>
    <t xml:space="preserve">CCTCGTAAATCCTCATCAAAATTCTTCTAACTGGAAACTTGTGAA</t>
  </si>
  <si>
    <t xml:space="preserve">al1_B2_P2_03</t>
  </si>
  <si>
    <t xml:space="preserve">AATGTGTCCTTGAAAACGCCTTTTCAAATCATCCAGTAAACCGCC</t>
  </si>
  <si>
    <t xml:space="preserve">B2_P1_al1-3</t>
  </si>
  <si>
    <t xml:space="preserve">B2_P2_al1-3</t>
  </si>
  <si>
    <t xml:space="preserve">ATTCTTCTAACTGGAAACTTGTGAA</t>
  </si>
  <si>
    <t xml:space="preserve">AATGTGTCCTTGAAAACGCCTTTTC</t>
  </si>
  <si>
    <t xml:space="preserve">SU-022-04</t>
  </si>
  <si>
    <t xml:space="preserve">al1_B2_P1_04</t>
  </si>
  <si>
    <t xml:space="preserve">CCTCGTAAATCCTCATCAAACTCCGTTAGGCCGATCTTCATTGCA</t>
  </si>
  <si>
    <t xml:space="preserve">al1_B2_P2_04</t>
  </si>
  <si>
    <t xml:space="preserve">GATCAGCTGTCTGCACTGTATTCTTAAATCATCCAGTAAACCGCC</t>
  </si>
  <si>
    <t xml:space="preserve">B2_P1_al1-4</t>
  </si>
  <si>
    <t xml:space="preserve">B2_P2_al1-4</t>
  </si>
  <si>
    <t xml:space="preserve">CTCCGTTAGGCCGATCTTCATTGCA</t>
  </si>
  <si>
    <t xml:space="preserve">GATCAGCTGTCTGCACTGTATTCTT</t>
  </si>
  <si>
    <t xml:space="preserve">SU-022-05</t>
  </si>
  <si>
    <t xml:space="preserve">al1_B2_P1_05</t>
  </si>
  <si>
    <t xml:space="preserve">CCTCGTAAATCCTCATCAAATCCGTGCTCTCGTAATCGCTGGAAC</t>
  </si>
  <si>
    <t xml:space="preserve">al1_B2_P2_05</t>
  </si>
  <si>
    <t xml:space="preserve">AGCGGTAATAGTCTGAGAGTTGAGTAAATCATCCAGTAAACCGCC</t>
  </si>
  <si>
    <t xml:space="preserve">B2_P1_al1-5</t>
  </si>
  <si>
    <t xml:space="preserve">B2_P2_al1-5</t>
  </si>
  <si>
    <t xml:space="preserve">TCCGTGCTCTCGTAATCGCTGGAAC</t>
  </si>
  <si>
    <t xml:space="preserve">AGCGGTAATAGTCTGAGAGTTGAGT</t>
  </si>
  <si>
    <t xml:space="preserve">SU-023-01</t>
  </si>
  <si>
    <t xml:space="preserve">antiSp5_B2_P1_01</t>
  </si>
  <si>
    <t xml:space="preserve">CCTCGTAAATCCTCATCAAAGGCCGCCGACATTCAACATTACAGG</t>
  </si>
  <si>
    <t xml:space="preserve">antiSp5_B2_P2_01</t>
  </si>
  <si>
    <t xml:space="preserve">CCTTGTACCGCATTGACAATAGGAAAAATCATCCAGTAAACCGCC</t>
  </si>
  <si>
    <t xml:space="preserve">B2_P1_antiSp5-1</t>
  </si>
  <si>
    <t xml:space="preserve">B2_P2_antiSp5-1</t>
  </si>
  <si>
    <t xml:space="preserve">GGCCGCCGACATTCAACATTACAGG</t>
  </si>
  <si>
    <t xml:space="preserve">CCTTGTACCGCATTGACAATAGGAA</t>
  </si>
  <si>
    <t xml:space="preserve">SU-023-02</t>
  </si>
  <si>
    <t xml:space="preserve">antiSp5_B2_P1_02</t>
  </si>
  <si>
    <t xml:space="preserve">CCTCGTAAATCCTCATCAAATCGCCACACATGACGACCATCTCGG</t>
  </si>
  <si>
    <t xml:space="preserve">antiSp5_B2_P2_02</t>
  </si>
  <si>
    <t xml:space="preserve">CCCAGAGATCGACCGCCTGCTCGCAAAATCATCCAGTAAACCGCC</t>
  </si>
  <si>
    <t xml:space="preserve">B2_P1_antiSp5-2</t>
  </si>
  <si>
    <t xml:space="preserve">B2_P2_antiSp5-2</t>
  </si>
  <si>
    <t xml:space="preserve">TCGCCACACATGACGACCATCTCGG</t>
  </si>
  <si>
    <t xml:space="preserve">CCCAGAGATCGACCGCCTGCTCGCA</t>
  </si>
  <si>
    <t xml:space="preserve">SU-023-03</t>
  </si>
  <si>
    <t xml:space="preserve">antiSp5_B2_P1_03</t>
  </si>
  <si>
    <t xml:space="preserve">CCTCGTAAATCCTCATCAAAAGGCCTGTGGTTGGCGAAGGCATGT</t>
  </si>
  <si>
    <t xml:space="preserve">antiSp5_B2_P2_03</t>
  </si>
  <si>
    <t xml:space="preserve">TGCGACGGCGAACATTTGTGTCGTAAAATCATCCAGTAAACCGCC</t>
  </si>
  <si>
    <t xml:space="preserve">B2_P1_antiSp5-3</t>
  </si>
  <si>
    <t xml:space="preserve">B2_P2_antiSp5-3</t>
  </si>
  <si>
    <t xml:space="preserve">AGGCCTGTGGTTGGCGAAGGCATGT</t>
  </si>
  <si>
    <t xml:space="preserve">TGCGACGGCGAACATTTGTGTCGTA</t>
  </si>
  <si>
    <t xml:space="preserve">SU-023-04</t>
  </si>
  <si>
    <t xml:space="preserve">antiSp5_B2_P1_04</t>
  </si>
  <si>
    <t xml:space="preserve">CCTCGTAAATCCTCATCAAAATGGGACGTAGTGAACGCCTCGATG</t>
  </si>
  <si>
    <t xml:space="preserve">antiSp5_B2_P2_04</t>
  </si>
  <si>
    <t xml:space="preserve">ACGGCATCAAGTTGTAGACAAATCCAAATCATCCAGTAAACCGCC</t>
  </si>
  <si>
    <t xml:space="preserve">B2_P1_antiSp5-4</t>
  </si>
  <si>
    <t xml:space="preserve">B2_P2_antiSp5-4</t>
  </si>
  <si>
    <t xml:space="preserve">ATGGGACGTAGTGAACGCCTCGATG</t>
  </si>
  <si>
    <t xml:space="preserve">ACGGCATCAAGTTGTAGACAAATCC</t>
  </si>
  <si>
    <t xml:space="preserve">SU-023-05</t>
  </si>
  <si>
    <t xml:space="preserve">antiSp5_B2_P1_05</t>
  </si>
  <si>
    <t xml:space="preserve">CCTCGTAAATCCTCATCAAAACGGCATTACGCTTGAAGGCTAACT</t>
  </si>
  <si>
    <t xml:space="preserve">antiSp5_B2_P2_05</t>
  </si>
  <si>
    <t xml:space="preserve">GTCGACCTTGTTGACAGAGCAACCCAAATCATCCAGTAAACCGCC</t>
  </si>
  <si>
    <t xml:space="preserve">B2_P1_antiSp5-5</t>
  </si>
  <si>
    <t xml:space="preserve">B2_P2_antiSp5-5</t>
  </si>
  <si>
    <t xml:space="preserve">ACGGCATTACGCTTGAAGGCTAACT</t>
  </si>
  <si>
    <t xml:space="preserve">GTCGACCTTGTTGACAGAGCAACCC</t>
  </si>
  <si>
    <t xml:space="preserve">SU-023-06</t>
  </si>
  <si>
    <t xml:space="preserve">antiSp5_B2_P1_06</t>
  </si>
  <si>
    <t xml:space="preserve">CCTCGTAAATCCTCATCAAATAGCGAGCCAAAGCCCCTCAGGCGA</t>
  </si>
  <si>
    <t xml:space="preserve">antiSp5_B2_P2_06</t>
  </si>
  <si>
    <t xml:space="preserve">GCGCAGCAGAAGAAATCGAAAGAAGAAATCATCCAGTAAACCGCC</t>
  </si>
  <si>
    <t xml:space="preserve">B2_P1_antiSp5-6</t>
  </si>
  <si>
    <t xml:space="preserve">B2_P2_antiSp5-6</t>
  </si>
  <si>
    <t xml:space="preserve">TAGCGAGCCAAAGCCCCTCAGGCGA</t>
  </si>
  <si>
    <t xml:space="preserve">GCGCAGCAGAAGAAATCGAAAGAAG</t>
  </si>
  <si>
    <t xml:space="preserve">SU-023-07</t>
  </si>
  <si>
    <t xml:space="preserve">antiSp5_B2_P1_07</t>
  </si>
  <si>
    <t xml:space="preserve">CCTCGTAAATCCTCATCAAAGGCGAAGCCACTCCGTCAAGCCCGT</t>
  </si>
  <si>
    <t xml:space="preserve">antiSp5_B2_P2_07</t>
  </si>
  <si>
    <t xml:space="preserve">CCGTGAAGCGCGTCGCCGCGACGTTAAATCATCCAGTAAACCGCC</t>
  </si>
  <si>
    <t xml:space="preserve">B2_P1_antiSp5-7</t>
  </si>
  <si>
    <t xml:space="preserve">B2_P2_antiSp5-7</t>
  </si>
  <si>
    <t xml:space="preserve">GGCGAAGCCACTCCGTCAAGCCCGT</t>
  </si>
  <si>
    <t xml:space="preserve">CCGTGAAGCGCGTCGCCGCGACGTT</t>
  </si>
  <si>
    <t xml:space="preserve">SU-023-08</t>
  </si>
  <si>
    <t xml:space="preserve">antiSp5_B2_P1_08</t>
  </si>
  <si>
    <t xml:space="preserve">CCTCGTAAATCCTCATCAAACGCCAGCGGCGCCCGGTCATGCCGC</t>
  </si>
  <si>
    <t xml:space="preserve">antiSp5_B2_P2_08</t>
  </si>
  <si>
    <t xml:space="preserve">ATGACACCTATTCCGCCGTTAAGGGAAATCATCCAGTAAACCGCC</t>
  </si>
  <si>
    <t xml:space="preserve">B2_P1_antiSp5-8</t>
  </si>
  <si>
    <t xml:space="preserve">B2_P2_antiSp5-8</t>
  </si>
  <si>
    <t xml:space="preserve">CGCCAGCGGCGCCCGGTCATGCCGC</t>
  </si>
  <si>
    <t xml:space="preserve">ATGACACCTATTCCGCCGTTAAGGG</t>
  </si>
  <si>
    <t xml:space="preserve">SU-023-09</t>
  </si>
  <si>
    <t xml:space="preserve">antiSp5_B2_P1_09</t>
  </si>
  <si>
    <t xml:space="preserve">CCTCGTAAATCCTCATCAAAGCGGGCTCCTTCGCGACGACGTACT</t>
  </si>
  <si>
    <t xml:space="preserve">antiSp5_B2_P2_09</t>
  </si>
  <si>
    <t xml:space="preserve">TGTTCAGCCTCCGCCCACTGTCGCGAAATCATCCAGTAAACCGCC</t>
  </si>
  <si>
    <t xml:space="preserve">B2_P1_antiSp5-9</t>
  </si>
  <si>
    <t xml:space="preserve">B2_P2_antiSp5-9</t>
  </si>
  <si>
    <t xml:space="preserve">GCGGGCTCCTTCGCGACGACGTACT</t>
  </si>
  <si>
    <t xml:space="preserve">TGTTCAGCCTCCGCCCACTGTCGCG</t>
  </si>
  <si>
    <t xml:space="preserve">SU-023-10</t>
  </si>
  <si>
    <t xml:space="preserve">antiSp5_B2_P1_10</t>
  </si>
  <si>
    <t xml:space="preserve">CCTCGTAAATCCTCATCAAATTGGCATCGGCGAGTAATGCAAGTA</t>
  </si>
  <si>
    <t xml:space="preserve">antiSp5_B2_P2_10</t>
  </si>
  <si>
    <t xml:space="preserve">AGACAACGCGCCCGCCTAGGTGCATAAATCATCCAGTAAACCGCC</t>
  </si>
  <si>
    <t xml:space="preserve">B2_P1_antiSp5-10</t>
  </si>
  <si>
    <t xml:space="preserve">B2_P2_antiSp5-10</t>
  </si>
  <si>
    <t xml:space="preserve">TTGGCATCGGCGAGTAATGCAAGTA</t>
  </si>
  <si>
    <t xml:space="preserve">AGACAACGCGCCCGCCTAGGTGCAT</t>
  </si>
  <si>
    <t xml:space="preserve">SU-024-01</t>
  </si>
  <si>
    <t xml:space="preserve">Antp_B2_P1_01</t>
  </si>
  <si>
    <t xml:space="preserve">CCTCGTAAATCCTCATCAAAGCCCTCCATCTCGTGGCCCTGCTGT</t>
  </si>
  <si>
    <t xml:space="preserve">Antp_B2_P2_01</t>
  </si>
  <si>
    <t xml:space="preserve">CTGCCCGGGCCTGAGCTGCTGGTCGAAATCATCCAGTAAACCGCC</t>
  </si>
  <si>
    <t xml:space="preserve">B2_Antp</t>
  </si>
  <si>
    <t xml:space="preserve">GCCCTCCATCTCGTGGCCCTGCTGT</t>
  </si>
  <si>
    <t xml:space="preserve">CTGCCCGGGCCTGAGCTGCTGGTCG</t>
  </si>
  <si>
    <t xml:space="preserve">SU-024-02</t>
  </si>
  <si>
    <t xml:space="preserve">Antp_B2_P1_02</t>
  </si>
  <si>
    <t xml:space="preserve">CCTCGTAAATCCTCATCAAAATCTGTTGGTAGTAGCCCAGCCGGT</t>
  </si>
  <si>
    <t xml:space="preserve">Antp_B2_P2_02</t>
  </si>
  <si>
    <t xml:space="preserve">CTGTCGGGCCGGTACCCGTTCTGTTAAATCATCCAGTAAACCGCC</t>
  </si>
  <si>
    <t xml:space="preserve">ATCTGTTGGTAGTAGCCCAGCCGGT</t>
  </si>
  <si>
    <t xml:space="preserve">CTGTCGGGCCGGTACCCGTTCTGTT</t>
  </si>
  <si>
    <t xml:space="preserve">SU-024-03</t>
  </si>
  <si>
    <t xml:space="preserve">Antp_B2_P1_03</t>
  </si>
  <si>
    <t xml:space="preserve">CCTCGTAAATCCTCATCAAAAGGGGTACACCGCCGGCGTCGGCGG</t>
  </si>
  <si>
    <t xml:space="preserve">Antp_B2_P2_03</t>
  </si>
  <si>
    <t xml:space="preserve">TCGCCGCCACCGCCTGCAGCTTGCAAAATCATCCAGTAAACCGCC</t>
  </si>
  <si>
    <t xml:space="preserve">AGGGGTACACCGCCGGCGTCGGCGG</t>
  </si>
  <si>
    <t xml:space="preserve">TCGCCGCCACCGCCTGCAGCTTGCA</t>
  </si>
  <si>
    <t xml:space="preserve">SU-024-04</t>
  </si>
  <si>
    <t xml:space="preserve">Antp_B2_P1_04</t>
  </si>
  <si>
    <t xml:space="preserve">CCTCGTAAATCCTCATCAAACTGCATGTGCTGCTGCGGGTGCATG</t>
  </si>
  <si>
    <t xml:space="preserve">Antp_B2_P2_04</t>
  </si>
  <si>
    <t xml:space="preserve">GTGCTGCTGGTGCGGCGGCATGCCGAAATCATCCAGTAAACCGCC</t>
  </si>
  <si>
    <t xml:space="preserve">CTGCATGTGCTGCTGCGGGTGCATG</t>
  </si>
  <si>
    <t xml:space="preserve">GTGCTGCTGGTGCGGCGGCATGCCG</t>
  </si>
  <si>
    <t xml:space="preserve">SU-024-05</t>
  </si>
  <si>
    <t xml:space="preserve">Antp_B2_P1_05</t>
  </si>
  <si>
    <t xml:space="preserve">CCTCGTAAATCCTCATCAAAAGGGTACAGTGGACTGGGGAGCGAC</t>
  </si>
  <si>
    <t xml:space="preserve">Antp_B2_P2_05</t>
  </si>
  <si>
    <t xml:space="preserve">TTACTTACCAAATTGACTTCGCATCAAATCATCCAGTAAACCGCC</t>
  </si>
  <si>
    <t xml:space="preserve">AGGGTACAGTGGACTGGGGAGCGAC</t>
  </si>
  <si>
    <t xml:space="preserve">TTACTTACCAAATTGACTTCGCATC</t>
  </si>
  <si>
    <t xml:space="preserve">SU-024-06</t>
  </si>
  <si>
    <t xml:space="preserve">Antp_B2_P1_06</t>
  </si>
  <si>
    <t xml:space="preserve">CCTCGTAAATCCTCATCAAACTCCTTCTCCAACTCGAGGGTCTGG</t>
  </si>
  <si>
    <t xml:space="preserve">Antp_B2_P2_06</t>
  </si>
  <si>
    <t xml:space="preserve">CCGCGTCAGGTATCGGTTGAAGTGGAAATCATCCAGTAAACCGCC</t>
  </si>
  <si>
    <t xml:space="preserve">CTCCTTCTCCAACTCGAGGGTCTGG</t>
  </si>
  <si>
    <t xml:space="preserve">CCGCGTCAGGTATCGGTTGAAGTGG</t>
  </si>
  <si>
    <t xml:space="preserve">SU-024-07</t>
  </si>
  <si>
    <t xml:space="preserve">Antp_B2_P1_07</t>
  </si>
  <si>
    <t xml:space="preserve">CCTCGTAAATCCTCATCAAAGGGCGTGCGCGATCTCGATCCGTCT</t>
  </si>
  <si>
    <t xml:space="preserve">Antp_B2_P2_07</t>
  </si>
  <si>
    <t xml:space="preserve">TCTTGATTTGGCGCTCGGTGAGACAAAATCATCCAGTAAACCGCC</t>
  </si>
  <si>
    <t xml:space="preserve">GGGCGTGCGCGATCTCGATCCGTCT</t>
  </si>
  <si>
    <t xml:space="preserve">TCTTGATTTGGCGCTCGGTGAGACA</t>
  </si>
  <si>
    <t xml:space="preserve">SU-024-08</t>
  </si>
  <si>
    <t xml:space="preserve">Antp_B2_P1_08</t>
  </si>
  <si>
    <t xml:space="preserve">CCTCGTAAATCCTCATCAAAGTTGTCCGGTTCATCGCCGGAGCCG</t>
  </si>
  <si>
    <t xml:space="preserve">Antp_B2_P2_08</t>
  </si>
  <si>
    <t xml:space="preserve">TTACTGGGGCGAGGTGGGCGGACTCAAATCATCCAGTAAACCGCC</t>
  </si>
  <si>
    <t xml:space="preserve">GTTGTCCGGTTCATCGCCGGAGCCG</t>
  </si>
  <si>
    <t xml:space="preserve">TTACTGGGGCGAGGTGGGCGGACTC</t>
  </si>
  <si>
    <t xml:space="preserve">SU-025-01</t>
  </si>
  <si>
    <t xml:space="preserve">B2894_B2_P1_01</t>
  </si>
  <si>
    <t xml:space="preserve">CCTCGTAAATCCTCATCAAATGTTACGACAGTATTCTCAGTACCA</t>
  </si>
  <si>
    <t xml:space="preserve">B2894_B2_P2_01</t>
  </si>
  <si>
    <t xml:space="preserve">AAGAAAGTTTAGTAATACATCTCCAAAATCATCCAGTAAACCGCC</t>
  </si>
  <si>
    <t xml:space="preserve">B2_P1_B2894_1</t>
  </si>
  <si>
    <t xml:space="preserve">B2_P2_B2894_1</t>
  </si>
  <si>
    <t xml:space="preserve">TGTTACGACAGTATTCTCAGTACCA</t>
  </si>
  <si>
    <t xml:space="preserve">AAGAAAGTTTAGTAATACATCTCCA</t>
  </si>
  <si>
    <t xml:space="preserve">SU-025-02</t>
  </si>
  <si>
    <t xml:space="preserve">B2894_B2_P1_02</t>
  </si>
  <si>
    <t xml:space="preserve">CCTCGTAAATCCTCATCAAACATAAATATTCAGCTCTGCGTATAA</t>
  </si>
  <si>
    <t xml:space="preserve">B2894_B2_P2_02</t>
  </si>
  <si>
    <t xml:space="preserve">TCCACAGACGGTTTCCTAGTTTTAGAAATCATCCAGTAAACCGCC</t>
  </si>
  <si>
    <t xml:space="preserve">B2_P1_B2894_2</t>
  </si>
  <si>
    <t xml:space="preserve">B2_P2_B2894_2</t>
  </si>
  <si>
    <t xml:space="preserve">CATAAATATTCAGCTCTGCGTATAA</t>
  </si>
  <si>
    <t xml:space="preserve">TCCACAGACGGTTTCCTAGTTTTAG</t>
  </si>
  <si>
    <t xml:space="preserve">SU-025-03</t>
  </si>
  <si>
    <t xml:space="preserve">B2894_B2_P1_03</t>
  </si>
  <si>
    <t xml:space="preserve">CCTCGTAAATCCTCATCAAATGTTCATCGGCCCCGTATTTAATTT</t>
  </si>
  <si>
    <t xml:space="preserve">B2894_B2_P2_03</t>
  </si>
  <si>
    <t xml:space="preserve">GAAAATCGTCTTGTGAAAAGTCTTTAAATCATCCAGTAAACCGCC</t>
  </si>
  <si>
    <t xml:space="preserve">B2_P1_B2894_3</t>
  </si>
  <si>
    <t xml:space="preserve">B2_P2_B2894_3</t>
  </si>
  <si>
    <t xml:space="preserve">TGTTCATCGGCCCCGTATTTAATTT</t>
  </si>
  <si>
    <t xml:space="preserve">GAAAATCGTCTTGTGAAAAGTCTTT</t>
  </si>
  <si>
    <t xml:space="preserve">SU-026-01</t>
  </si>
  <si>
    <t xml:space="preserve">Br-C_B2_P1_01</t>
  </si>
  <si>
    <t xml:space="preserve">CCTCGTAAATCCTCATCAAACACCGGGTGCTTGCACGGCGTTGAT</t>
  </si>
  <si>
    <t xml:space="preserve">Br-C_B2_P2_01</t>
  </si>
  <si>
    <t xml:space="preserve">CGTGAACGCCACATCTTGCAGCACGAAATCATCCAGTAAACCGCC</t>
  </si>
  <si>
    <t xml:space="preserve">B2_P1_Br-C_1</t>
  </si>
  <si>
    <t xml:space="preserve">B2_P2_Br-C_1</t>
  </si>
  <si>
    <t xml:space="preserve">CACCGGGTGCTTGCACGGCGTTGAT</t>
  </si>
  <si>
    <t xml:space="preserve">CGTGAACGCCACATCTTGCAGCACG</t>
  </si>
  <si>
    <t xml:space="preserve">SU-026-02</t>
  </si>
  <si>
    <t xml:space="preserve">Br-C_B2_P1_02</t>
  </si>
  <si>
    <t xml:space="preserve">CCTCGTAAATCCTCATCAAAGTGGTAAATGAACTCCACCAGCGCG</t>
  </si>
  <si>
    <t xml:space="preserve">Br-C_B2_P2_02</t>
  </si>
  <si>
    <t xml:space="preserve">GCTGCGTTGGTGCACATTGACCTCGAAATCATCCAGTAAACCGCC</t>
  </si>
  <si>
    <t xml:space="preserve">B2_P1_Br-C_2</t>
  </si>
  <si>
    <t xml:space="preserve">B2_P2_Br-C_2</t>
  </si>
  <si>
    <t xml:space="preserve">GTGGTAAATGAACTCCACCAGCGCG</t>
  </si>
  <si>
    <t xml:space="preserve">GCTGCGTTGGTGCACATTGACCTCG</t>
  </si>
  <si>
    <t xml:space="preserve">SU-026-03</t>
  </si>
  <si>
    <t xml:space="preserve">Br-C_B2_P1_03</t>
  </si>
  <si>
    <t xml:space="preserve">CCTCGTAAATCCTCATCAAAGTCGTTGTTGTTGTCGTGGCGGACG</t>
  </si>
  <si>
    <t xml:space="preserve">Br-C_B2_P2_03</t>
  </si>
  <si>
    <t xml:space="preserve">GGTGGAGAAGTCGTGGATCTGCGGCAAATCATCCAGTAAACCGCC</t>
  </si>
  <si>
    <t xml:space="preserve">B2_P1_Br-C_4</t>
  </si>
  <si>
    <t xml:space="preserve">B2_P2_Br-C_4</t>
  </si>
  <si>
    <t xml:space="preserve">GTCGTTGTTGTTGTCGTGGCGGACG</t>
  </si>
  <si>
    <t xml:space="preserve">GGTGGAGAAGTCGTGGATCTGCGGC</t>
  </si>
  <si>
    <t xml:space="preserve">SU-026-04</t>
  </si>
  <si>
    <t xml:space="preserve">Br-C_B2_P1_04</t>
  </si>
  <si>
    <t xml:space="preserve">CCTCGTAAATCCTCATCAAATTCCTCGAGTTTGTCGGTGTAGCTG</t>
  </si>
  <si>
    <t xml:space="preserve">Br-C_B2_P2_04</t>
  </si>
  <si>
    <t xml:space="preserve">CATGATAGACGGCGGGTGCAGCAGCAAATCATCCAGTAAACCGCC</t>
  </si>
  <si>
    <t xml:space="preserve">B2_P1_Br-C_3</t>
  </si>
  <si>
    <t xml:space="preserve">B2_P2_Br-C_3</t>
  </si>
  <si>
    <t xml:space="preserve">TTCCTCGAGTTTGTCGGTGTAGCTG</t>
  </si>
  <si>
    <t xml:space="preserve">CATGATAGACGGCGGGTGCAGCAGC</t>
  </si>
  <si>
    <t xml:space="preserve">SU-027-01</t>
  </si>
  <si>
    <t xml:space="preserve">E74_B2_P1_01</t>
  </si>
  <si>
    <t xml:space="preserve">CCTCGTAAATCCTCATCAAACGGCCGCTTCTTGGGCTTGAGCTTG</t>
  </si>
  <si>
    <t xml:space="preserve">E74_B2_P2_01</t>
  </si>
  <si>
    <t xml:space="preserve">GCCGGGCGCGGGCGGGCCGTCGGGCAAATCATCCAGTAAACCGCC</t>
  </si>
  <si>
    <t xml:space="preserve">B2_P1_E74_1</t>
  </si>
  <si>
    <t xml:space="preserve">B2_P2_E74_1</t>
  </si>
  <si>
    <t xml:space="preserve">CGGCCGCTTCTTGGGCTTGAGCTTG</t>
  </si>
  <si>
    <t xml:space="preserve">GCCGGGCGCGGGCGGGCCGTCGGGC</t>
  </si>
  <si>
    <t xml:space="preserve">SU-027-02</t>
  </si>
  <si>
    <t xml:space="preserve">E74_B2_P1_02</t>
  </si>
  <si>
    <t xml:space="preserve">CCTCGTAAATCCTCATCAAACGTGGTGGAGCCCTCGCGGCTCTTG</t>
  </si>
  <si>
    <t xml:space="preserve">E74_B2_P2_02</t>
  </si>
  <si>
    <t xml:space="preserve">CAGCTTCAGCAGGAACTCCCACAGGAAATCATCCAGTAAACCGCC</t>
  </si>
  <si>
    <t xml:space="preserve">B2_P1_E74_2</t>
  </si>
  <si>
    <t xml:space="preserve">B2_P2_E74_2</t>
  </si>
  <si>
    <t xml:space="preserve">CGTGGTGGAGCCCTCGCGGCTCTTG</t>
  </si>
  <si>
    <t xml:space="preserve">CAGCTTCAGCAGGAACTCCCACAGG</t>
  </si>
  <si>
    <t xml:space="preserve">SU-027-03</t>
  </si>
  <si>
    <t xml:space="preserve">E74_B2_P1_03</t>
  </si>
  <si>
    <t xml:space="preserve">CCTCGTAAATCCTCATCAAAGATGTAGCGCGGGCAGTACTCGCGG</t>
  </si>
  <si>
    <t xml:space="preserve">E74_B2_P2_03</t>
  </si>
  <si>
    <t xml:space="preserve">GACACCCTTCTCGCGGTTGGTCCACAAATCATCCAGTAAACCGCC</t>
  </si>
  <si>
    <t xml:space="preserve">B2_P1_E74_3</t>
  </si>
  <si>
    <t xml:space="preserve">B2_P2_E74_3</t>
  </si>
  <si>
    <t xml:space="preserve">GATGTAGCGCGGGCAGTACTCGCGG</t>
  </si>
  <si>
    <t xml:space="preserve">GACACCCTTCTCGCGGTTGGTCCAC</t>
  </si>
  <si>
    <t xml:space="preserve">SU-027-04</t>
  </si>
  <si>
    <t xml:space="preserve">E74_B2_P1_04</t>
  </si>
  <si>
    <t xml:space="preserve">CCTCGTAAATCCTCATCAAAGCGCGACACCGCCTTCGAGTCCACC</t>
  </si>
  <si>
    <t xml:space="preserve">E74_B2_P2_04</t>
  </si>
  <si>
    <t xml:space="preserve">CGGCTTGTTCTTGTGCAGCCCCCACAAATCATCCAGTAAACCGCC</t>
  </si>
  <si>
    <t xml:space="preserve">B2_P1_E74_4</t>
  </si>
  <si>
    <t xml:space="preserve">B2_P2_E74_4</t>
  </si>
  <si>
    <t xml:space="preserve">GCGCGACACCGCCTTCGAGTCCACC</t>
  </si>
  <si>
    <t xml:space="preserve">CGGCTTGTTCTTGTGCAGCCCCCAC</t>
  </si>
  <si>
    <t xml:space="preserve">SU-028-01</t>
  </si>
  <si>
    <t xml:space="preserve">JO.D_B2_P1_01</t>
  </si>
  <si>
    <t xml:space="preserve">CCTCGTAAATCCTCATCAAACAGTAGCGCTTGTGGCCCTTCAGCT</t>
  </si>
  <si>
    <t xml:space="preserve">JO.D_B2_P2_01</t>
  </si>
  <si>
    <t xml:space="preserve">TTCTCACAGGTGCAGTACCGGTACTAAATCATCCAGTAAACCGCC</t>
  </si>
  <si>
    <t xml:space="preserve">B2_P1_JO.D1</t>
  </si>
  <si>
    <t xml:space="preserve">B2_P2_JO.D1</t>
  </si>
  <si>
    <t xml:space="preserve">CAGTAGCGCTTGTGGCCCTTCAGCT</t>
  </si>
  <si>
    <t xml:space="preserve">TTCTCACAGGTGCAGTACCGGTACT</t>
  </si>
  <si>
    <t xml:space="preserve">SU-028-02</t>
  </si>
  <si>
    <t xml:space="preserve">JO.D_B2_P1_02</t>
  </si>
  <si>
    <t xml:space="preserve">CCTCGTAAATCCTCATCAAACTGCAGCGCCATCACCCGCTGCCTG</t>
  </si>
  <si>
    <t xml:space="preserve">JO.D_B2_P2_02</t>
  </si>
  <si>
    <t xml:space="preserve">CTGCGCCTGGGCACGCCTGAGCGCCAAATCATCCAGTAAACCGCC</t>
  </si>
  <si>
    <t xml:space="preserve">B2_P1_JO.D2</t>
  </si>
  <si>
    <t xml:space="preserve">B2_P2_JO.D2</t>
  </si>
  <si>
    <t xml:space="preserve">CTGCAGCGCCATCACCCGCTGCCTG</t>
  </si>
  <si>
    <t xml:space="preserve">CTGCGCCTGGGCACGCCTGAGCGCC</t>
  </si>
  <si>
    <t xml:space="preserve">SU-028-03</t>
  </si>
  <si>
    <t xml:space="preserve">JO.D_B2_P1_03</t>
  </si>
  <si>
    <t xml:space="preserve">CCTCGTAAATCCTCATCAAAGAGGCTGGATGCCGGACTCGAGAGC</t>
  </si>
  <si>
    <t xml:space="preserve">JO.D_B2_P2_03</t>
  </si>
  <si>
    <t xml:space="preserve">GCTCCGGACGGTCTAACTCTACTCCAAATCATCCAGTAAACCGCC</t>
  </si>
  <si>
    <t xml:space="preserve">B2_P1_JO.D3</t>
  </si>
  <si>
    <t xml:space="preserve">B2_P2_JO.D3</t>
  </si>
  <si>
    <t xml:space="preserve">GAGGCTGGATGCCGGACTCGAGAGC</t>
  </si>
  <si>
    <t xml:space="preserve">GCTCCGGACGGTCTAACTCTACTCC</t>
  </si>
  <si>
    <t xml:space="preserve">SU-028-04</t>
  </si>
  <si>
    <t xml:space="preserve">JO.D_B2_P1_04</t>
  </si>
  <si>
    <t xml:space="preserve">CCTCGTAAATCCTCATCAAAGGCGGCGGCACCACCGGGCTGCGCG</t>
  </si>
  <si>
    <t xml:space="preserve">JO.D_B2_P2_04</t>
  </si>
  <si>
    <t xml:space="preserve">CTGGCCGAGCCGAGCGAGCGCGGCGAAATCATCCAGTAAACCGCC</t>
  </si>
  <si>
    <t xml:space="preserve">B2_P1_JO.D4</t>
  </si>
  <si>
    <t xml:space="preserve">B2_P2_JO.D4</t>
  </si>
  <si>
    <t xml:space="preserve">GGCGGCGGCACCACCGGGCTGCGCG</t>
  </si>
  <si>
    <t xml:space="preserve">CTGGCCGAGCCGAGCGAGCGCGGCG</t>
  </si>
  <si>
    <t xml:space="preserve">SU-028-05</t>
  </si>
  <si>
    <t xml:space="preserve">JO.D_B2_P1_05</t>
  </si>
  <si>
    <t xml:space="preserve">CCTCGTAAATCCTCATCAAACGCGTACGGCGACACTCCCGGGGAG</t>
  </si>
  <si>
    <t xml:space="preserve">JO.D_B2_P2_05</t>
  </si>
  <si>
    <t xml:space="preserve">CTGCGGGGGCACCGAGGCCGGTGGCAAATCATCCAGTAAACCGCC</t>
  </si>
  <si>
    <t xml:space="preserve">B2_P1_JO.D5</t>
  </si>
  <si>
    <t xml:space="preserve">B2_P2_JO.D5</t>
  </si>
  <si>
    <t xml:space="preserve">CGCGTACGGCGACACTCCCGGGGAG</t>
  </si>
  <si>
    <t xml:space="preserve">CTGCGGGGGCACCGAGGCCGGTGGC</t>
  </si>
  <si>
    <t xml:space="preserve">SU-028-06</t>
  </si>
  <si>
    <t xml:space="preserve">JO.D_B2_P1_06</t>
  </si>
  <si>
    <t xml:space="preserve">CCTCGTAAATCCTCATCAAAGGCATCATCTCCCACGAATAGTGAA</t>
  </si>
  <si>
    <t xml:space="preserve">JO.D_B2_P2_06</t>
  </si>
  <si>
    <t xml:space="preserve">GCGTAGTTGAGGATGACGAGCACTAAAATCATCCAGTAAACCGCC</t>
  </si>
  <si>
    <t xml:space="preserve">B2_P1_JO.D6</t>
  </si>
  <si>
    <t xml:space="preserve">B2_P2_JO.D6</t>
  </si>
  <si>
    <t xml:space="preserve">GGCATCATCTCCCACGAATAGTGAA</t>
  </si>
  <si>
    <t xml:space="preserve">GCGTAGTTGAGGATGACGAGCACTA</t>
  </si>
  <si>
    <t xml:space="preserve">SU-029-01</t>
  </si>
  <si>
    <t xml:space="preserve">JOOp_B2_P1_01</t>
  </si>
  <si>
    <t xml:space="preserve">CCTCGTAAATCCTCATCAAATATTACCGGTGACACGACTCGGGCC</t>
  </si>
  <si>
    <t xml:space="preserve">JOOp_B2_P2_01</t>
  </si>
  <si>
    <t xml:space="preserve">CGAGCTGCCACAGACTGATAGTGTAAAATCATCCAGTAAACCGCC</t>
  </si>
  <si>
    <t xml:space="preserve">B2_P1_JOOp1</t>
  </si>
  <si>
    <t xml:space="preserve">B2_P2_JOOp1</t>
  </si>
  <si>
    <t xml:space="preserve">TATTACCGGTGACACGACTCGGGCC</t>
  </si>
  <si>
    <t xml:space="preserve">CGAGCTGCCACAGACTGATAGTGTA</t>
  </si>
  <si>
    <t xml:space="preserve">SU-029-02</t>
  </si>
  <si>
    <t xml:space="preserve">JOOp_B2_P1_02</t>
  </si>
  <si>
    <t xml:space="preserve">CCTCGTAAATCCTCATCAAAACGCAGGTGGGCAACTGGTTCAAGA</t>
  </si>
  <si>
    <t xml:space="preserve">JOOp_B2_P2_02</t>
  </si>
  <si>
    <t xml:space="preserve">CTGGCGGCTGCCACGGGGTTGACGCAAATCATCCAGTAAACCGCC</t>
  </si>
  <si>
    <t xml:space="preserve">B2_P1_JOOp2</t>
  </si>
  <si>
    <t xml:space="preserve">B2_P2_JOOp2</t>
  </si>
  <si>
    <t xml:space="preserve">ACGCAGGTGGGCAACTGGTTCAAGA</t>
  </si>
  <si>
    <t xml:space="preserve">CTGGCGGCTGCCACGGGGTTGACGC</t>
  </si>
  <si>
    <t xml:space="preserve">SU-029-03</t>
  </si>
  <si>
    <t xml:space="preserve">JOOp_B2_P1_03</t>
  </si>
  <si>
    <t xml:space="preserve">CCTCGTAAATCCTCATCAAAGTGGACAAGTACCGCGTACGAAAGA</t>
  </si>
  <si>
    <t xml:space="preserve">JOOp_B2_P2_03</t>
  </si>
  <si>
    <t xml:space="preserve">CGGCTACGAGGCCGCCCACTCGGTCAAATCATCCAGTAAACCGCC</t>
  </si>
  <si>
    <t xml:space="preserve">B2_P1_JOOp3</t>
  </si>
  <si>
    <t xml:space="preserve">B2_P2_JOOp3</t>
  </si>
  <si>
    <t xml:space="preserve">GTGGACAAGTACCGCGTACGAAAGA</t>
  </si>
  <si>
    <t xml:space="preserve">CGGCTACGAGGCCGCCCACTCGGTC</t>
  </si>
  <si>
    <t xml:space="preserve">SU-029-04</t>
  </si>
  <si>
    <t xml:space="preserve">JOOp_B2_P1_04</t>
  </si>
  <si>
    <t xml:space="preserve">CCTCGTAAATCCTCATCAAATGCGAGGCCGTGCTGCGCGCGCGTG</t>
  </si>
  <si>
    <t xml:space="preserve">JOOp_B2_P2_04</t>
  </si>
  <si>
    <t xml:space="preserve">CACCCTAATGTTGCCGAGCTGGAGCAAATCATCCAGTAAACCGCC</t>
  </si>
  <si>
    <t xml:space="preserve">B2_P1_JOOp4</t>
  </si>
  <si>
    <t xml:space="preserve">B2_P2_JOOp4</t>
  </si>
  <si>
    <t xml:space="preserve">TGCGAGGCCGTGCTGCGCGCGCGTG</t>
  </si>
  <si>
    <t xml:space="preserve">CACCCTAATGTTGCCGAGCTGGAGC</t>
  </si>
  <si>
    <t xml:space="preserve">SU-029-05</t>
  </si>
  <si>
    <t xml:space="preserve">JOOp_B2_P1_05</t>
  </si>
  <si>
    <t xml:space="preserve">CCTCGTAAATCCTCATCAAACTCGCAAGATTTCTCTGGTCCCTGC</t>
  </si>
  <si>
    <t xml:space="preserve">JOOp_B2_P2_05</t>
  </si>
  <si>
    <t xml:space="preserve">CTCGAGGAGAGCGGCGACGTGGAGCAAATCATCCAGTAAACCGCC</t>
  </si>
  <si>
    <t xml:space="preserve">B2_P1_JOOp5</t>
  </si>
  <si>
    <t xml:space="preserve">B2_P2_JOOp5</t>
  </si>
  <si>
    <t xml:space="preserve">CTCGCAAGATTTCTCTGGTCCCTGC</t>
  </si>
  <si>
    <t xml:space="preserve">CTCGAGGAGAGCGGCGACGTGGAGC</t>
  </si>
  <si>
    <t xml:space="preserve">SU-029-06</t>
  </si>
  <si>
    <t xml:space="preserve">JOOp_B2_P1_06</t>
  </si>
  <si>
    <t xml:space="preserve">CCTCGTAAATCCTCATCAAACTCGGCGCGCTGGAGCTGGCCGCGC</t>
  </si>
  <si>
    <t xml:space="preserve">JOOp_B2_P2_06</t>
  </si>
  <si>
    <t xml:space="preserve">TGCGCCGACCCACCCGTGCCGCTCAAAATCATCCAGTAAACCGCC</t>
  </si>
  <si>
    <t xml:space="preserve">B2_P1_JOOp6</t>
  </si>
  <si>
    <t xml:space="preserve">B2_P2_JOOp6</t>
  </si>
  <si>
    <t xml:space="preserve">CTCGGCGCGCTGGAGCTGGCCGCGC</t>
  </si>
  <si>
    <t xml:space="preserve">TGCGCCGACCCACCCGTGCCGCTCA</t>
  </si>
  <si>
    <t xml:space="preserve">SU-030-01</t>
  </si>
  <si>
    <t xml:space="preserve">Kr-h1_B2_P1_01</t>
  </si>
  <si>
    <t xml:space="preserve">CCTCGTAAATCCTCATCAAAGCGCGAGTGCGCCGTGAGCGCGCTG</t>
  </si>
  <si>
    <t xml:space="preserve">Kr-h1_B2_P2_01</t>
  </si>
  <si>
    <t xml:space="preserve">GTGCGCGTCGGCCGCCTCGCGGTGCAAATCATCCAGTAAACCGCC</t>
  </si>
  <si>
    <t xml:space="preserve">B2_P1_Kr-h1_3</t>
  </si>
  <si>
    <t xml:space="preserve">B2_P2_Kr-h1_3</t>
  </si>
  <si>
    <t xml:space="preserve">GCGCGAGTGCGCCGTGAGCGCGCTG</t>
  </si>
  <si>
    <t xml:space="preserve">GTGCGCGTCGGCCGCCTCGCGGTGC</t>
  </si>
  <si>
    <t xml:space="preserve">Probes_designed › notch</t>
  </si>
  <si>
    <t xml:space="preserve">SU-030-02</t>
  </si>
  <si>
    <t xml:space="preserve">Kr-h1_B2_P1_02</t>
  </si>
  <si>
    <t xml:space="preserve">CCTCGTAAATCCTCATCAAACTCGCACTTGAAGGGCCGCTCGCCG</t>
  </si>
  <si>
    <t xml:space="preserve">Kr-h1_B2_P2_02</t>
  </si>
  <si>
    <t xml:space="preserve">CTTGACGCTGAACATCTTGTGGCAGAAATCATCCAGTAAACCGCC</t>
  </si>
  <si>
    <t xml:space="preserve">B2_P1_Kr-h1_4</t>
  </si>
  <si>
    <t xml:space="preserve">B2_P2_Kr-h1_4</t>
  </si>
  <si>
    <t xml:space="preserve">CTCGCACTTGAAGGGCCGCTCGCCG</t>
  </si>
  <si>
    <t xml:space="preserve">CTTGACGCTGAACATCTTGTGGCAG</t>
  </si>
  <si>
    <t xml:space="preserve">SU-030-03</t>
  </si>
  <si>
    <t xml:space="preserve">Kr-h1_B2_P1_03</t>
  </si>
  <si>
    <t xml:space="preserve">CCTCGTAAATCCTCATCAAAGGCACGGAAGGGGAAACACGTGGAG</t>
  </si>
  <si>
    <t xml:space="preserve">Kr-h1_B2_P2_03</t>
  </si>
  <si>
    <t xml:space="preserve">GCAGCGGGGCGCGGGCGCGCGAGCGAAATCATCCAGTAAACCGCC</t>
  </si>
  <si>
    <t xml:space="preserve">B2_P1_Kr-h1_1</t>
  </si>
  <si>
    <t xml:space="preserve">B2_P2_Kr-h1_1</t>
  </si>
  <si>
    <t xml:space="preserve">GGCACGGAAGGGGAAACACGTGGAG</t>
  </si>
  <si>
    <t xml:space="preserve">GCAGCGGGGCGCGGGCGCGCGAGCG</t>
  </si>
  <si>
    <t xml:space="preserve">SU-030-04</t>
  </si>
  <si>
    <t xml:space="preserve">Kr-h1_B2_P1_04</t>
  </si>
  <si>
    <t xml:space="preserve">CCTCGTAAATCCTCATCAAAGGCGTCAGTGTTGGTGTAGGTTGCG</t>
  </si>
  <si>
    <t xml:space="preserve">Kr-h1_B2_P2_04</t>
  </si>
  <si>
    <t xml:space="preserve">TGATGATGACAAGTCGCCCGGTTCAAAATCATCCAGTAAACCGCC</t>
  </si>
  <si>
    <t xml:space="preserve">B2_P1_Kr-h1_2</t>
  </si>
  <si>
    <t xml:space="preserve">B2_P2_Kr-h1_2</t>
  </si>
  <si>
    <t xml:space="preserve">GGCGTCAGTGTTGGTGTAGGTTGCG</t>
  </si>
  <si>
    <t xml:space="preserve">TGATGATGACAAGTCGCCCGGTTCA</t>
  </si>
  <si>
    <t xml:space="preserve">SU-031-01</t>
  </si>
  <si>
    <t xml:space="preserve">MS971_B2_P1_01</t>
  </si>
  <si>
    <t xml:space="preserve">CCTCGTAAATCCTCATCAAATGCCGTGCTCGTTACAATACGACAA</t>
  </si>
  <si>
    <t xml:space="preserve">MS971_B2_P2_01</t>
  </si>
  <si>
    <t xml:space="preserve">CCACTTGCTGCTATTGTTTCACTAAAAATCATCCAGTAAACCGCC</t>
  </si>
  <si>
    <t xml:space="preserve">B2_P1_MS971_1</t>
  </si>
  <si>
    <t xml:space="preserve">B2_P2_MS971_1</t>
  </si>
  <si>
    <t xml:space="preserve">TGCCGTGCTCGTTACAATACGACAA</t>
  </si>
  <si>
    <t xml:space="preserve">CCACTTGCTGCTATTGTTTCACTAA</t>
  </si>
  <si>
    <t xml:space="preserve">SU-031-02</t>
  </si>
  <si>
    <t xml:space="preserve">MS971_B2_P1_02</t>
  </si>
  <si>
    <t xml:space="preserve">CCTCGTAAATCCTCATCAAATCCATTACAGGTCGTTGTCGATGCA</t>
  </si>
  <si>
    <t xml:space="preserve">MS971_B2_P2_02</t>
  </si>
  <si>
    <t xml:space="preserve">AGCTCATTAGCGGTTTCGAATTAGAAAATCATCCAGTAAACCGCC</t>
  </si>
  <si>
    <t xml:space="preserve">B2_P1_MS971_2</t>
  </si>
  <si>
    <t xml:space="preserve">B2_P2_MS971_2</t>
  </si>
  <si>
    <t xml:space="preserve">TCCATTACAGGTCGTTGTCGATGCA</t>
  </si>
  <si>
    <t xml:space="preserve">AGCTCATTAGCGGTTTCGAATTAGA</t>
  </si>
  <si>
    <t xml:space="preserve">SU-031-03</t>
  </si>
  <si>
    <t xml:space="preserve">MS971_B2_P1_03</t>
  </si>
  <si>
    <t xml:space="preserve">CCTCGTAAATCCTCATCAAACAAATTGACACCACAATTACGTTGC</t>
  </si>
  <si>
    <t xml:space="preserve">MS971_B2_P2_03</t>
  </si>
  <si>
    <t xml:space="preserve">AGTTTCACGCTAATAGAAAAGGCATAAATCATCCAGTAAACCGCC</t>
  </si>
  <si>
    <t xml:space="preserve">B2_P1_MS971_3</t>
  </si>
  <si>
    <t xml:space="preserve">B2_P2_MS971_3</t>
  </si>
  <si>
    <t xml:space="preserve">CAAATTGACACCACAATTACGTTGC</t>
  </si>
  <si>
    <t xml:space="preserve">AGTTTCACGCTAATAGAAAAGGCAT</t>
  </si>
  <si>
    <t xml:space="preserve">SU-031-04</t>
  </si>
  <si>
    <t xml:space="preserve">MS971_B2_P1_04</t>
  </si>
  <si>
    <t xml:space="preserve">CCTCGTAAATCCTCATCAAAAAACCACAGGATCATAAACATATTC</t>
  </si>
  <si>
    <t xml:space="preserve">MS971_B2_P2_04</t>
  </si>
  <si>
    <t xml:space="preserve">CCAGCGGATCGGTTGCATTTGTTGGAAATCATCCAGTAAACCGCC</t>
  </si>
  <si>
    <t xml:space="preserve">B2_P1_MS971_4</t>
  </si>
  <si>
    <t xml:space="preserve">B2_P2_MS971_4</t>
  </si>
  <si>
    <t xml:space="preserve">AAACCACAGGATCATAAACATATTC</t>
  </si>
  <si>
    <t xml:space="preserve">CCAGCGGATCGGTTGCATTTGTTGG</t>
  </si>
  <si>
    <t xml:space="preserve">SU-031-05</t>
  </si>
  <si>
    <t xml:space="preserve">MS971_B2_P1_05</t>
  </si>
  <si>
    <t xml:space="preserve">CCTCGTAAATCCTCATCAAAGTCATCTAACTCAATACGCTTAGAT</t>
  </si>
  <si>
    <t xml:space="preserve">MS971_B2_P2_05</t>
  </si>
  <si>
    <t xml:space="preserve">GTTTTCCATCGATTTTTAGTTTTTGAAATCATCCAGTAAACCGCC</t>
  </si>
  <si>
    <t xml:space="preserve">B2_P1_MS971_5</t>
  </si>
  <si>
    <t xml:space="preserve">B2_P2_MS971_5</t>
  </si>
  <si>
    <t xml:space="preserve">GTCATCTAACTCAATACGCTTAGAT</t>
  </si>
  <si>
    <t xml:space="preserve">GTTTTCCATCGATTTTTAGTTTTTG</t>
  </si>
  <si>
    <t xml:space="preserve">SU-031-06</t>
  </si>
  <si>
    <t xml:space="preserve">MS971_B2_P1_06</t>
  </si>
  <si>
    <t xml:space="preserve">CCTCGTAAATCCTCATCAAACCATATCTTGCTTAGCACTCTCAGG</t>
  </si>
  <si>
    <t xml:space="preserve">MS971_B2_P2_06</t>
  </si>
  <si>
    <t xml:space="preserve">AATTTTCAATTTATTTGATTTAGTTAAATCATCCAGTAAACCGCC</t>
  </si>
  <si>
    <t xml:space="preserve">B2_P1_MS971_6</t>
  </si>
  <si>
    <t xml:space="preserve">B2_P2_MS971_6</t>
  </si>
  <si>
    <t xml:space="preserve">CCATATCTTGCTTAGCACTCTCAGG</t>
  </si>
  <si>
    <t xml:space="preserve">AATTTTCAATTTATTTGATTTAGTT</t>
  </si>
  <si>
    <t xml:space="preserve">SU-031-07</t>
  </si>
  <si>
    <t xml:space="preserve">MS971_B2_P1_07</t>
  </si>
  <si>
    <t xml:space="preserve">CCTCGTAAATCCTCATCAAACAATGCACTTTTATTTATTTCGTTC</t>
  </si>
  <si>
    <t xml:space="preserve">MS971_B2_P2_07</t>
  </si>
  <si>
    <t xml:space="preserve">TATGCCAAGCCAAGCATTAATACAAAAATCATCCAGTAAACCGCC</t>
  </si>
  <si>
    <t xml:space="preserve">B2_P1_MS971_7</t>
  </si>
  <si>
    <t xml:space="preserve">B2_P2_MS971_7</t>
  </si>
  <si>
    <t xml:space="preserve">CAATGCACTTTTATTTATTTCGTTC</t>
  </si>
  <si>
    <t xml:space="preserve">TATGCCAAGCCAAGCATTAATACAA</t>
  </si>
  <si>
    <t xml:space="preserve">SU-031-08</t>
  </si>
  <si>
    <t xml:space="preserve">MS971_B2_P1_08</t>
  </si>
  <si>
    <t xml:space="preserve">CCTCGTAAATCCTCATCAAATATAACGGCATCGCGACCGGCGACC</t>
  </si>
  <si>
    <t xml:space="preserve">MS971_B2_P2_08</t>
  </si>
  <si>
    <t xml:space="preserve">AGAATTGGTATTGTCGCTGTAATGGAAATCATCCAGTAAACCGCC</t>
  </si>
  <si>
    <t xml:space="preserve">B2_P1_MS971_8</t>
  </si>
  <si>
    <t xml:space="preserve">B2_P2_MS971_8</t>
  </si>
  <si>
    <t xml:space="preserve">TATAACGGCATCGCGACCGGCGACC</t>
  </si>
  <si>
    <t xml:space="preserve">AGAATTGGTATTGTCGCTGTAATGG</t>
  </si>
  <si>
    <t xml:space="preserve">SU-032-01</t>
  </si>
  <si>
    <t xml:space="preserve">N_B2_P1_01</t>
  </si>
  <si>
    <t xml:space="preserve">CCTCGTAAATCCTCATCAAAGCAGGTGTATCCAGCGATGGAGTCG</t>
  </si>
  <si>
    <t xml:space="preserve">N_B2_P2_01</t>
  </si>
  <si>
    <t xml:space="preserve">CATCCCCGTGTATCCTGGAGGACATAAATCATCCAGTAAACCGCC</t>
  </si>
  <si>
    <t xml:space="preserve">B2_P1_N_1</t>
  </si>
  <si>
    <t xml:space="preserve">B2_P2_N_1</t>
  </si>
  <si>
    <t xml:space="preserve">GCAGGTGTATCCAGCGATGGAGTCG</t>
  </si>
  <si>
    <t xml:space="preserve">CATCCCCGTGTATCCTGGAGGACAT</t>
  </si>
  <si>
    <t xml:space="preserve">SU-032-02</t>
  </si>
  <si>
    <t xml:space="preserve">N_B2_P1_02</t>
  </si>
  <si>
    <t xml:space="preserve">CCTCGTAAATCCTCATCAAAGTGGCAATTGCACGTGAAGCTGTTG</t>
  </si>
  <si>
    <t xml:space="preserve">N_B2_P2_02</t>
  </si>
  <si>
    <t xml:space="preserve">CTGGCACACGCGGCCGGTGTAACCAAAATCATCCAGTAAACCGCC</t>
  </si>
  <si>
    <t xml:space="preserve">B2_P1_N_2</t>
  </si>
  <si>
    <t xml:space="preserve">B2_P2_N_2</t>
  </si>
  <si>
    <t xml:space="preserve">GTGGCAATTGCACGTGAAGCTGTTG</t>
  </si>
  <si>
    <t xml:space="preserve">CTGGCACACGCGGCCGGTGTAACCA</t>
  </si>
  <si>
    <t xml:space="preserve">SU-032-03</t>
  </si>
  <si>
    <t xml:space="preserve">N_B2_P1_03</t>
  </si>
  <si>
    <t xml:space="preserve">CCTCGTAAATCCTCATCAAAGCCCGGCTTGCATCTGCACTGGTAC</t>
  </si>
  <si>
    <t xml:space="preserve">N_B2_P2_03</t>
  </si>
  <si>
    <t xml:space="preserve">ATTGATCTCACAGTTCCTGCCCGAAAAATCATCCAGTAAACCGCC</t>
  </si>
  <si>
    <t xml:space="preserve">B2_P1_N_3</t>
  </si>
  <si>
    <t xml:space="preserve">B2_P2_N_3</t>
  </si>
  <si>
    <t xml:space="preserve">GCCCGGCTTGCATCTGCACTGGTAC</t>
  </si>
  <si>
    <t xml:space="preserve">ATTGATCTCACAGTTCCTGCCCGAA</t>
  </si>
  <si>
    <t xml:space="preserve">SU-032-04</t>
  </si>
  <si>
    <t xml:space="preserve">N_B2_P1_04</t>
  </si>
  <si>
    <t xml:space="preserve">CCTCGTAAATCCTCATCAAAATTTCTGCACGGGTTGGAGTAGCAT</t>
  </si>
  <si>
    <t xml:space="preserve">N_B2_P2_04</t>
  </si>
  <si>
    <t xml:space="preserve">GTTGATCCCATCAATACACGTGGCCAAATCATCCAGTAAACCGCC</t>
  </si>
  <si>
    <t xml:space="preserve">B2_P1_N_4</t>
  </si>
  <si>
    <t xml:space="preserve">B2_P2_N_4</t>
  </si>
  <si>
    <t xml:space="preserve">ATTTCTGCACGGGTTGGAGTAGCAT</t>
  </si>
  <si>
    <t xml:space="preserve">GTTGATCCCATCAATACACGTGGCC</t>
  </si>
  <si>
    <t xml:space="preserve">SU-033-01</t>
  </si>
  <si>
    <t xml:space="preserve">Osp_B2_P1_01</t>
  </si>
  <si>
    <t xml:space="preserve">CCTCGTAAATCCTCATCAAACGCTTCCACTGCGTCGGTTGGTTCG</t>
  </si>
  <si>
    <t xml:space="preserve">Osp_B2_P2_01</t>
  </si>
  <si>
    <t xml:space="preserve">AACTCTGCCGCTTTCGGTGGACTCCAAATCATCCAGTAAACCGCC</t>
  </si>
  <si>
    <t xml:space="preserve">B2_P1_Osp_1</t>
  </si>
  <si>
    <t xml:space="preserve">B2_P2_Osp_1</t>
  </si>
  <si>
    <t xml:space="preserve">CGCTTCCACTGCGTCGGTTGGTTCG</t>
  </si>
  <si>
    <t xml:space="preserve">AACTCTGCCGCTTTCGGTGGACTCC</t>
  </si>
  <si>
    <t xml:space="preserve">SU-033-02</t>
  </si>
  <si>
    <t xml:space="preserve">Osp_B2_P1_02</t>
  </si>
  <si>
    <t xml:space="preserve">CCTCGTAAATCCTCATCAAATCTCGCGTGGAGGAGTCGTTCAGCC</t>
  </si>
  <si>
    <t xml:space="preserve">Osp_B2_P2_02</t>
  </si>
  <si>
    <t xml:space="preserve">AGGGCTTCGTCTTTGAAGCCAACCAAAATCATCCAGTAAACCGCC</t>
  </si>
  <si>
    <t xml:space="preserve">B2_P1_Osp_2</t>
  </si>
  <si>
    <t xml:space="preserve">B2_P2_Osp_2</t>
  </si>
  <si>
    <t xml:space="preserve">TCTCGCGTGGAGGAGTCGTTCAGCC</t>
  </si>
  <si>
    <t xml:space="preserve">AGGGCTTCGTCTTTGAAGCCAACCA</t>
  </si>
  <si>
    <t xml:space="preserve">SU-033-03</t>
  </si>
  <si>
    <t xml:space="preserve">Osp_B2_P1_03</t>
  </si>
  <si>
    <t xml:space="preserve">CCTCGTAAATCCTCATCAAAGCGAAGGACGAACCAGTGTCGAGAC</t>
  </si>
  <si>
    <t xml:space="preserve">Osp_B2_P2_03</t>
  </si>
  <si>
    <t xml:space="preserve">ATCCCTGAAGTACAACAAAGCTGCAAAATCATCCAGTAAACCGCC</t>
  </si>
  <si>
    <t xml:space="preserve">B2_P1_Osp_3</t>
  </si>
  <si>
    <t xml:space="preserve">B2_P2_Osp_3</t>
  </si>
  <si>
    <t xml:space="preserve">GCGAAGGACGAACCAGTGTCGAGAC</t>
  </si>
  <si>
    <t xml:space="preserve">ATCCCTGAAGTACAACAAAGCTGCA</t>
  </si>
  <si>
    <t xml:space="preserve">SU-033-04</t>
  </si>
  <si>
    <t xml:space="preserve">Osp_B2_P1_04</t>
  </si>
  <si>
    <t xml:space="preserve">CCTCGTAAATCCTCATCAAATTTCATGGGCTCTGAACTTGTAGCA</t>
  </si>
  <si>
    <t xml:space="preserve">Osp_B2_P2_04</t>
  </si>
  <si>
    <t xml:space="preserve">TTCGAGCGAACTTAATCGGACTAGCAAATCATCCAGTAAACCGCC</t>
  </si>
  <si>
    <t xml:space="preserve">B2_P1_Osp_4</t>
  </si>
  <si>
    <t xml:space="preserve">B2_P2_Osp_4</t>
  </si>
  <si>
    <t xml:space="preserve">TTTCATGGGCTCTGAACTTGTAGCA</t>
  </si>
  <si>
    <t xml:space="preserve">TTCGAGCGAACTTAATCGGACTAGC</t>
  </si>
  <si>
    <t xml:space="preserve">SU-033-05</t>
  </si>
  <si>
    <t xml:space="preserve">Osp_B2_P1_05</t>
  </si>
  <si>
    <t xml:space="preserve">CCTCGTAAATCCTCATCAAAACGGCGGCTTTCTAGTGCGGAAACT</t>
  </si>
  <si>
    <t xml:space="preserve">Osp_B2_P2_05</t>
  </si>
  <si>
    <t xml:space="preserve">CAAAGACTCACACGATATAGCTAAAAAATCATCCAGTAAACCGCC</t>
  </si>
  <si>
    <t xml:space="preserve">B2_P1_Osp_5</t>
  </si>
  <si>
    <t xml:space="preserve">B2_P2_Osp_5</t>
  </si>
  <si>
    <t xml:space="preserve">ACGGCGGCTTTCTAGTGCGGAAACT</t>
  </si>
  <si>
    <t xml:space="preserve">CAAAGACTCACACGATATAGCTAAA</t>
  </si>
  <si>
    <t xml:space="preserve">SU-033-06</t>
  </si>
  <si>
    <t xml:space="preserve">Osp_B2_P1_06</t>
  </si>
  <si>
    <t xml:space="preserve">CCTCGTAAATCCTCATCAAAGGACGGACTCTCGCTAGATCTCGTC</t>
  </si>
  <si>
    <t xml:space="preserve">Osp_B2_P2_06</t>
  </si>
  <si>
    <t xml:space="preserve">CGAGGAGCTCTCCGGGCTGTCGTTAAAATCATCCAGTAAACCGCC</t>
  </si>
  <si>
    <t xml:space="preserve">B2_P1_Osp_6</t>
  </si>
  <si>
    <t xml:space="preserve">B2_P2_Osp_6</t>
  </si>
  <si>
    <t xml:space="preserve">GGACGGACTCTCGCTAGATCTCGTC</t>
  </si>
  <si>
    <t xml:space="preserve">CGAGGAGCTCTCCGGGCTGTCGTTA</t>
  </si>
  <si>
    <t xml:space="preserve">SU-034-01</t>
  </si>
  <si>
    <t xml:space="preserve">Tret_B2_P1_01</t>
  </si>
  <si>
    <t xml:space="preserve">CCTCGTAAATCCTCATCAAAAGAGCTAAAATGTTTATCCACGAAT</t>
  </si>
  <si>
    <t xml:space="preserve">Tret_B2_P2_01</t>
  </si>
  <si>
    <t xml:space="preserve">AGGAGTCCAATCGTCCAGTTCGCCGAAATCATCCAGTAAACCGCC</t>
  </si>
  <si>
    <t xml:space="preserve">B2_P1_T_1</t>
  </si>
  <si>
    <t xml:space="preserve">B2_P2_T_1</t>
  </si>
  <si>
    <t xml:space="preserve">AGAGCTAAAATGTTTATCCACGAAT</t>
  </si>
  <si>
    <t xml:space="preserve">AGGAGTCCAATCGTCCAGTTCGCCG</t>
  </si>
  <si>
    <t xml:space="preserve">SU-034-02</t>
  </si>
  <si>
    <t xml:space="preserve">Tret_B2_P1_02</t>
  </si>
  <si>
    <t xml:space="preserve">CCTCGTAAATCCTCATCAAACGCTAAGAATAACGGTTGCGGATTG</t>
  </si>
  <si>
    <t xml:space="preserve">Tret_B2_P2_02</t>
  </si>
  <si>
    <t xml:space="preserve">GTCCCTAAAACGTTCGTCCTGAATAAAATCATCCAGTAAACCGCC</t>
  </si>
  <si>
    <t xml:space="preserve">B2_P1_T_2</t>
  </si>
  <si>
    <t xml:space="preserve">B2_P2_T_2</t>
  </si>
  <si>
    <t xml:space="preserve">CGCTAAGAATAACGGTTGCGGATTG</t>
  </si>
  <si>
    <t xml:space="preserve">GTCCCTAAAACGTTCGTCCTGAATA</t>
  </si>
  <si>
    <t xml:space="preserve">SU-034-03</t>
  </si>
  <si>
    <t xml:space="preserve">Tret_B2_P1_03</t>
  </si>
  <si>
    <t xml:space="preserve">CCTCGTAAATCCTCATCAAAAGTAGGCCAAATGTCGTTCACACTT</t>
  </si>
  <si>
    <t xml:space="preserve">Tret_B2_P2_03</t>
  </si>
  <si>
    <t xml:space="preserve">AACTATAGACTTCACTTTTCTACCCAAATCATCCAGTAAACCGCC</t>
  </si>
  <si>
    <t xml:space="preserve">B2_P1_T_3</t>
  </si>
  <si>
    <t xml:space="preserve">B2_P2_T_3</t>
  </si>
  <si>
    <t xml:space="preserve">AGTAGGCCAAATGTCGTTCACACTT</t>
  </si>
  <si>
    <t xml:space="preserve">AACTATAGACTTCACTTTTCTACCC</t>
  </si>
  <si>
    <t xml:space="preserve">SU-034-04</t>
  </si>
  <si>
    <t xml:space="preserve">Tret_B2_P1_04</t>
  </si>
  <si>
    <t xml:space="preserve">CCTCGTAAATCCTCATCAAAAGGGATCAGACTGAAGCGGTCCGGT</t>
  </si>
  <si>
    <t xml:space="preserve">Tret_B2_P2_04</t>
  </si>
  <si>
    <t xml:space="preserve">GCCAGGAATAACGAATCCGTTGTGGAAATCATCCAGTAAACCGCC</t>
  </si>
  <si>
    <t xml:space="preserve">B2_P1_T_4</t>
  </si>
  <si>
    <t xml:space="preserve">B2_P2_T_4</t>
  </si>
  <si>
    <t xml:space="preserve">AGGGATCAGACTGAAGCGGTCCGGT</t>
  </si>
  <si>
    <t xml:space="preserve">GCCAGGAATAACGAATCCGTTGTGG</t>
  </si>
  <si>
    <t xml:space="preserve">SU-034-05</t>
  </si>
  <si>
    <t xml:space="preserve">Tret_B2_P1_05</t>
  </si>
  <si>
    <t xml:space="preserve">CCTCGTAAATCCTCATCAAAGGTGTCCCAGTAGTAGAGTTCTCGA</t>
  </si>
  <si>
    <t xml:space="preserve">Tret_B2_P2_05</t>
  </si>
  <si>
    <t xml:space="preserve">GACGAGGAGACCTTCGATGATCCAAAAATCATCCAGTAAACCGCC</t>
  </si>
  <si>
    <t xml:space="preserve">B2_P1_T_5</t>
  </si>
  <si>
    <t xml:space="preserve">B2_P2_T_5</t>
  </si>
  <si>
    <t xml:space="preserve">GGTGTCCCAGTAGTAGAGTTCTCGA</t>
  </si>
  <si>
    <t xml:space="preserve">GACGAGGAGACCTTCGATGATCCAA</t>
  </si>
  <si>
    <t xml:space="preserve">SU-034-06</t>
  </si>
  <si>
    <t xml:space="preserve">Tret_B2_P1_06</t>
  </si>
  <si>
    <t xml:space="preserve">CCTCGTAAATCCTCATCAAATATCACTCCTTTCACTGTTTCATGC</t>
  </si>
  <si>
    <t xml:space="preserve">Tret_B2_P2_06</t>
  </si>
  <si>
    <t xml:space="preserve">TGTCTTTACCAGCTCCAGTAAGTTCAAATCATCCAGTAAACCGCC</t>
  </si>
  <si>
    <t xml:space="preserve">B2_P1_T_6</t>
  </si>
  <si>
    <t xml:space="preserve">B2_P2_T_6</t>
  </si>
  <si>
    <t xml:space="preserve">TATCACTCCTTTCACTGTTTCATGC</t>
  </si>
  <si>
    <t xml:space="preserve">TGTCTTTACCAGCTCCAGTAAGTTC</t>
  </si>
  <si>
    <t xml:space="preserve">SU-035-01</t>
  </si>
  <si>
    <t xml:space="preserve">Usp_B2_P1_01</t>
  </si>
  <si>
    <t xml:space="preserve">CCTCGTAAATCCTCATCAAAATAAACTCCATAGTGTTTCCCCGAC</t>
  </si>
  <si>
    <t xml:space="preserve">Usp_B2_P2_01</t>
  </si>
  <si>
    <t xml:space="preserve">GAAGAAGCCCTTGCAGCCTTCGCAAAAATCATCCAGTAAACCGCC</t>
  </si>
  <si>
    <t xml:space="preserve">B2_P1_Usp_1</t>
  </si>
  <si>
    <t xml:space="preserve">B2_P2_Usp_1</t>
  </si>
  <si>
    <t xml:space="preserve">ATAAACTCCATAGTGTTTCCCCGAC</t>
  </si>
  <si>
    <t xml:space="preserve">GAAGAAGCCCTTGCAGCCTTCGCAA</t>
  </si>
  <si>
    <t xml:space="preserve">SU-035-02</t>
  </si>
  <si>
    <t xml:space="preserve">Usp_B2_P1_02</t>
  </si>
  <si>
    <t xml:space="preserve">CCTCGTAAATCCTCATCAAAGCAGTACTGGCACCGGTTCCGCTGC</t>
  </si>
  <si>
    <t xml:space="preserve">Usp_B2_P2_02</t>
  </si>
  <si>
    <t xml:space="preserve">GCCGCACACGAGGCACTTCTGATAGAAATCATCCAGTAAACCGCC</t>
  </si>
  <si>
    <t xml:space="preserve">B2_P1_Usp_2</t>
  </si>
  <si>
    <t xml:space="preserve">B2_P2_Usp_2</t>
  </si>
  <si>
    <t xml:space="preserve">GCAGTACTGGCACCGGTTCCGCTGC</t>
  </si>
  <si>
    <t xml:space="preserve">GCCGCACACGAGGCACTTCTGATAG</t>
  </si>
  <si>
    <t xml:space="preserve">SU-035-03</t>
  </si>
  <si>
    <t xml:space="preserve">Usp_B2_P1_03</t>
  </si>
  <si>
    <t xml:space="preserve">CCTCGTAAATCCTCATCAAATTCTGTGGTTACCTGTACAGAGCTG</t>
  </si>
  <si>
    <t xml:space="preserve">Usp_B2_P2_03</t>
  </si>
  <si>
    <t xml:space="preserve">CATCTCCAGCAGCCGCTCGATTGATAAATCATCCAGTAAACCGCC</t>
  </si>
  <si>
    <t xml:space="preserve">B2_P1_Usp_3</t>
  </si>
  <si>
    <t xml:space="preserve">B2_P2_Usp_3</t>
  </si>
  <si>
    <t xml:space="preserve">TTCTGTGGTTACCTGTACAGAGCTG</t>
  </si>
  <si>
    <t xml:space="preserve">CATCTCCAGCAGCCGCTCGATTGAT</t>
  </si>
  <si>
    <t xml:space="preserve">SU-035-04</t>
  </si>
  <si>
    <t xml:space="preserve">Usp_B2_P1_04</t>
  </si>
  <si>
    <t xml:space="preserve">CCTCGTAAATCCTCATCAAAGGACACGGGCGCGCGGTACCGCGCC</t>
  </si>
  <si>
    <t xml:space="preserve">Usp_B2_P2_04</t>
  </si>
  <si>
    <t xml:space="preserve">CTGCTTGTTTCCTATTTGACATAGAAAATCATCCAGTAAACCGCC</t>
  </si>
  <si>
    <t xml:space="preserve">B2_P1_Usp_4</t>
  </si>
  <si>
    <t xml:space="preserve">B2_P2_Usp_4</t>
  </si>
  <si>
    <t xml:space="preserve">GGACACGGGCGCGCGGTACCGCGCC</t>
  </si>
  <si>
    <t xml:space="preserve">CTGCTTGTTTCCTATTTGACATAGA</t>
  </si>
  <si>
    <t xml:space="preserve">SU-036-01</t>
  </si>
  <si>
    <t xml:space="preserve">antiSp1_B3_P1_01</t>
  </si>
  <si>
    <t xml:space="preserve">GTCCCTGCCTCTATATCTTTCCGGTGTAACCGGTGGCACCGCTGC</t>
  </si>
  <si>
    <t xml:space="preserve">antiSp1_B3_P2_01</t>
  </si>
  <si>
    <t xml:space="preserve">CCACTGCAACCGGTACAACCGGTACTTCCACTCAACTTTAACCCG</t>
  </si>
  <si>
    <t xml:space="preserve">B3_P1_antiSp1-1</t>
  </si>
  <si>
    <t xml:space="preserve">B3_P2_antiSp1-1</t>
  </si>
  <si>
    <t xml:space="preserve">CCGGTGTAACCGGTGGCACCGCTGC</t>
  </si>
  <si>
    <t xml:space="preserve">CCACTGCAACCGGTACAACCGGTAC</t>
  </si>
  <si>
    <t xml:space="preserve">SU-036-02</t>
  </si>
  <si>
    <t xml:space="preserve">antiSp1_B3_P1_02</t>
  </si>
  <si>
    <t xml:space="preserve">GTCCCTGCCTCTATATCTTTGTGGCCGTCGACCTGCCCCGATCCA</t>
  </si>
  <si>
    <t xml:space="preserve">antiSp1_B3_P2_02</t>
  </si>
  <si>
    <t xml:space="preserve">CCATTACCCGACCGAGCAGCCATAGTTCCACTCAACTTTAACCCG</t>
  </si>
  <si>
    <t xml:space="preserve">B3_P1_antiSp1-2</t>
  </si>
  <si>
    <t xml:space="preserve">B3_P2_antiSp1-2</t>
  </si>
  <si>
    <t xml:space="preserve">GTGGCCGTCGACCTGCCCCGATCCA</t>
  </si>
  <si>
    <t xml:space="preserve">CCATTACCCGACCGAGCAGCCATAG</t>
  </si>
  <si>
    <t xml:space="preserve">SU-036-03</t>
  </si>
  <si>
    <t xml:space="preserve">antiSp1_B3_P1_03</t>
  </si>
  <si>
    <t xml:space="preserve">GTCCCTGCCTCTATATCTTTCTACCTATACAACCAGGGGCCATAT</t>
  </si>
  <si>
    <t xml:space="preserve">antiSp1_B3_P2_03</t>
  </si>
  <si>
    <t xml:space="preserve">CTAGTAGACCAAGGGCCGCTCACGCTTCCACTCAACTTTAACCCG</t>
  </si>
  <si>
    <t xml:space="preserve">B3_P1_antiSp1-3</t>
  </si>
  <si>
    <t xml:space="preserve">B3_P2_antiSp1-3</t>
  </si>
  <si>
    <t xml:space="preserve">CTACCTATACAACCAGGGGCCATAT</t>
  </si>
  <si>
    <t xml:space="preserve">CTAGTAGACCAAGGGCCGCTCACGC</t>
  </si>
  <si>
    <t xml:space="preserve">SU-036-04</t>
  </si>
  <si>
    <t xml:space="preserve">antiSp1_B3_P1_04</t>
  </si>
  <si>
    <t xml:space="preserve">GTCCCTGCCTCTATATCTTTATACAATCATGGCCCCTACCACTGC</t>
  </si>
  <si>
    <t xml:space="preserve">antiSp1_B3_P2_04</t>
  </si>
  <si>
    <t xml:space="preserve">GCGGACAACGAGACAACCATCTACGTTCCACTCAACTTTAACCCG</t>
  </si>
  <si>
    <t xml:space="preserve">B3_P1_antiSp1-4</t>
  </si>
  <si>
    <t xml:space="preserve">B3_P2_antiSp1-4</t>
  </si>
  <si>
    <t xml:space="preserve">ATACAATCATGGCCCCTACCACTGC</t>
  </si>
  <si>
    <t xml:space="preserve">GCGGACAACGAGACAACCATCTACG</t>
  </si>
  <si>
    <t xml:space="preserve">SU-036-05</t>
  </si>
  <si>
    <t xml:space="preserve">antiSp1_B3_P1_05</t>
  </si>
  <si>
    <t xml:space="preserve">GTCCCTGCCTCTATATCTTTCTCTTTAAGACTCGCACTACACTCC</t>
  </si>
  <si>
    <t xml:space="preserve">antiSp1_B3_P2_05</t>
  </si>
  <si>
    <t xml:space="preserve">TACTTCTCGCGGAGGACTGGCAGGTTTCCACTCAACTTTAACCCG</t>
  </si>
  <si>
    <t xml:space="preserve">B3_P1_antiSp1-5</t>
  </si>
  <si>
    <t xml:space="preserve">B3_P2_antiSp1-5</t>
  </si>
  <si>
    <t xml:space="preserve">CTCTTTAAGACTCGCACTACACTCC</t>
  </si>
  <si>
    <t xml:space="preserve">TACTTCTCGCGGAGGACTGGCAGGT</t>
  </si>
  <si>
    <t xml:space="preserve">SU-036-06</t>
  </si>
  <si>
    <t xml:space="preserve">antiSp1_B3_P1_06</t>
  </si>
  <si>
    <t xml:space="preserve">GTCCCTGCCTCTATATCTTTGTCGCCGCGGTGGGGCGGGTGGTAC</t>
  </si>
  <si>
    <t xml:space="preserve">antiSp1_B3_P2_06</t>
  </si>
  <si>
    <t xml:space="preserve">TGGGGGCATGTGTAACGGACGAACATTCCACTCAACTTTAACCCG</t>
  </si>
  <si>
    <t xml:space="preserve">B3_P1_antiSp1-6</t>
  </si>
  <si>
    <t xml:space="preserve">B3_P2_antiSp1-6</t>
  </si>
  <si>
    <t xml:space="preserve">GTCGCCGCGGTGGGGCGGGTGGTAC</t>
  </si>
  <si>
    <t xml:space="preserve">TGGGGGCATGTGTAACGGACGAACA</t>
  </si>
  <si>
    <t xml:space="preserve">SU-036-07</t>
  </si>
  <si>
    <t xml:space="preserve">antiSp1_B3_P1_07</t>
  </si>
  <si>
    <t xml:space="preserve">GTCCCTGCCTCTATATCTTTGGCGGCGGGTCTTCGCTGACGTCGA</t>
  </si>
  <si>
    <t xml:space="preserve">antiSp1_B3_P2_07</t>
  </si>
  <si>
    <t xml:space="preserve">ACGTAACTATAGTGGACTCCAACGATTCCACTCAACTTTAACCCG</t>
  </si>
  <si>
    <t xml:space="preserve">B3_P1_antiSp1-7</t>
  </si>
  <si>
    <t xml:space="preserve">B3_P2_antiSp1-7</t>
  </si>
  <si>
    <t xml:space="preserve">GGCGGCGGGTCTTCGCTGACGTCGA</t>
  </si>
  <si>
    <t xml:space="preserve">ACGTAACTATAGTGGACTCCAACGA</t>
  </si>
  <si>
    <t xml:space="preserve">SU-036-08</t>
  </si>
  <si>
    <t xml:space="preserve">antiSp1_B3_P1_08</t>
  </si>
  <si>
    <t xml:space="preserve">GTCCCTGCCTCTATATCTTTTAATCCATGTCACGACCGGCGTAAA</t>
  </si>
  <si>
    <t xml:space="preserve">antiSp1_B3_P2_08</t>
  </si>
  <si>
    <t xml:space="preserve">ATAGCGACGACTATCTAGTAACGGGTTCCACTCAACTTTAACCCG</t>
  </si>
  <si>
    <t xml:space="preserve">B3_P1_antiSp1-8</t>
  </si>
  <si>
    <t xml:space="preserve">B3_P2_antiSp1-8</t>
  </si>
  <si>
    <t xml:space="preserve">TAATCCATGTCACGACCGGCGTAAA</t>
  </si>
  <si>
    <t xml:space="preserve">ATAGCGACGACTATCTAGTAACGGG</t>
  </si>
  <si>
    <t xml:space="preserve">SU-036-09</t>
  </si>
  <si>
    <t xml:space="preserve">antiSp1_B3_P1_09</t>
  </si>
  <si>
    <t xml:space="preserve">GTCCCTGCCTCTATATCTTTGGGCGTTAACGACGTGTTGTCGTCA</t>
  </si>
  <si>
    <t xml:space="preserve">antiSp1_B3_P2_09</t>
  </si>
  <si>
    <t xml:space="preserve">ACTAGTGGTTGCGGTCCCCGCTGACTTCCACTCAACTTTAACCCG</t>
  </si>
  <si>
    <t xml:space="preserve">B3_P1_antiSp1-9</t>
  </si>
  <si>
    <t xml:space="preserve">B3_P2_antiSp1-9</t>
  </si>
  <si>
    <t xml:space="preserve">GGGCGTTAACGACGTGTTGTCGTCA</t>
  </si>
  <si>
    <t xml:space="preserve">ACTAGTGGTTGCGGTCCCCGCTGAC</t>
  </si>
  <si>
    <t xml:space="preserve">SU-036-10</t>
  </si>
  <si>
    <t xml:space="preserve">antiSp1_B3_P1_10</t>
  </si>
  <si>
    <t xml:space="preserve">GTCCCTGCCTCTATATCTTTAGGAAATAATAAAACAGGAGTGATT</t>
  </si>
  <si>
    <t xml:space="preserve">antiSp1_B3_P2_10</t>
  </si>
  <si>
    <t xml:space="preserve">ATAAGGTGACAGTGAAATGTCCCAATTCCACTCAACTTTAACCCG</t>
  </si>
  <si>
    <t xml:space="preserve">B3_P1_antiSp1-10</t>
  </si>
  <si>
    <t xml:space="preserve">B3_P2_antiSp1-10</t>
  </si>
  <si>
    <t xml:space="preserve">AGGAAATAATAAAACAGGAGTGATT</t>
  </si>
  <si>
    <t xml:space="preserve">ATAAGGTGACAGTGAAATGTCCCAA</t>
  </si>
  <si>
    <t xml:space="preserve">SU-037-01</t>
  </si>
  <si>
    <t xml:space="preserve">B2769_B3_P1_01</t>
  </si>
  <si>
    <t xml:space="preserve">GTCCCTGCCTCTATATCTTTTTCCAGTAGTACGCAGTACTCTTCG</t>
  </si>
  <si>
    <t xml:space="preserve">B2769_B3_P2_01</t>
  </si>
  <si>
    <t xml:space="preserve">CCAGCGGCGGCGCCCTACCAGGGACTTCCACTCAACTTTAACCCG</t>
  </si>
  <si>
    <t xml:space="preserve">B3_B2769_7_Dla10</t>
  </si>
  <si>
    <t xml:space="preserve">TTCCAGTAGTACGCAGTACTCTTCG</t>
  </si>
  <si>
    <t xml:space="preserve">CCAGCGGCGGCGCCCTACCAGGGAC</t>
  </si>
  <si>
    <t xml:space="preserve">SU-037-02</t>
  </si>
  <si>
    <t xml:space="preserve">B2769_B3_P1_02</t>
  </si>
  <si>
    <t xml:space="preserve">GTCCCTGCCTCTATATCTTTCCGCAGTCCAGGCGCCGCCCGCCCA</t>
  </si>
  <si>
    <t xml:space="preserve">B2769_B3_P2_02</t>
  </si>
  <si>
    <t xml:space="preserve">GTGGAGACTGTGGCTCTGCACCGCCTTCCACTCAACTTTAACCCG</t>
  </si>
  <si>
    <t xml:space="preserve">CCGCAGTCCAGGCGCCGCCCGCCCA</t>
  </si>
  <si>
    <t xml:space="preserve">GTGGAGACTGTGGCTCTGCACCGCC</t>
  </si>
  <si>
    <t xml:space="preserve">SU-037-03</t>
  </si>
  <si>
    <t xml:space="preserve">B2769_B3_P1_03</t>
  </si>
  <si>
    <t xml:space="preserve">GTCCCTGCCTCTATATCTTTGGGGAGTCAGGGTGCAGCATCAGCC</t>
  </si>
  <si>
    <t xml:space="preserve">B2769_B3_P2_03</t>
  </si>
  <si>
    <t xml:space="preserve">TTGGCTGTCCAATGGTGTCCAGGGGTTCCACTCAACTTTAACCCG</t>
  </si>
  <si>
    <t xml:space="preserve">GGGGAGTCAGGGTGCAGCATCAGCC</t>
  </si>
  <si>
    <t xml:space="preserve">TTGGCTGTCCAATGGTGTCCAGGGG</t>
  </si>
  <si>
    <t xml:space="preserve">SU-037-04</t>
  </si>
  <si>
    <t xml:space="preserve">B2769_B3_P1_04</t>
  </si>
  <si>
    <t xml:space="preserve">GTCCCTGCCTCTATATCTTTCAGCTTGAGTTTGCTGAACGATACT</t>
  </si>
  <si>
    <t xml:space="preserve">B2769_B3_P2_04</t>
  </si>
  <si>
    <t xml:space="preserve">TCCCTGTGCATCCATGGTATTATTCTTCCACTCAACTTTAACCCG</t>
  </si>
  <si>
    <t xml:space="preserve">CAGCTTGAGTTTGCTGAACGATACT</t>
  </si>
  <si>
    <t xml:space="preserve">TCCCTGTGCATCCATGGTATTATTC</t>
  </si>
  <si>
    <t xml:space="preserve">SU-037-05</t>
  </si>
  <si>
    <t xml:space="preserve">B2769_B3_P1_05</t>
  </si>
  <si>
    <t xml:space="preserve">GTCCCTGCCTCTATATCTTTAGCGATGGAAACATGCGTCTTCCTC</t>
  </si>
  <si>
    <t xml:space="preserve">B2769_B3_P2_05</t>
  </si>
  <si>
    <t xml:space="preserve">GGGTCTAACCCGCTTAGAGAGACGCTTCCACTCAACTTTAACCCG</t>
  </si>
  <si>
    <t xml:space="preserve">AGCGATGGAAACATGCGTCTTCCTC</t>
  </si>
  <si>
    <t xml:space="preserve">GGGTCTAACCCGCTTAGAGAGACGC</t>
  </si>
  <si>
    <t xml:space="preserve">SU-037-06</t>
  </si>
  <si>
    <t xml:space="preserve">B2769_B3_P1_06</t>
  </si>
  <si>
    <t xml:space="preserve">GTCCCTGCCTCTATATCTTTTCATGGTTGTTTTATCGCCAAGTTC</t>
  </si>
  <si>
    <t xml:space="preserve">B2769_B3_P2_06</t>
  </si>
  <si>
    <t xml:space="preserve">GTCTCTGAATTATCTTTACTACTGATTCCACTCAACTTTAACCCG</t>
  </si>
  <si>
    <t xml:space="preserve">TCATGGTTGTTTTATCGCCAAGTTC</t>
  </si>
  <si>
    <t xml:space="preserve">GTCTCTGAATTATCTTTACTACTGA</t>
  </si>
  <si>
    <t xml:space="preserve">SU-037-07</t>
  </si>
  <si>
    <t xml:space="preserve">B2769_B3_P1_07</t>
  </si>
  <si>
    <t xml:space="preserve">GTCCCTGCCTCTATATCTTTGACAACCGCGTCCTTGTATGTGACA</t>
  </si>
  <si>
    <t xml:space="preserve">B2769_B3_P2_07</t>
  </si>
  <si>
    <t xml:space="preserve">GTTAAGGAGTGATGCGCTCGTTAATTTCCACTCAACTTTAACCCG</t>
  </si>
  <si>
    <t xml:space="preserve">GACAACCGCGTCCTTGTATGTGACA</t>
  </si>
  <si>
    <t xml:space="preserve">GTTAAGGAGTGATGCGCTCGTTAAT</t>
  </si>
  <si>
    <t xml:space="preserve">SU-038-01</t>
  </si>
  <si>
    <t xml:space="preserve">E75_B3_P1_01</t>
  </si>
  <si>
    <t xml:space="preserve">GTCCCTGCCTCTATATCTTTGTCGCGGGTGAACTCGCAGGTGTCG</t>
  </si>
  <si>
    <t xml:space="preserve">E75_B3_P2_01</t>
  </si>
  <si>
    <t xml:space="preserve">AGCGCGCGCGCGCATGGCGGCCACGTTCCACTCAACTTTAACCCG</t>
  </si>
  <si>
    <t xml:space="preserve">B3_P1_E75_1</t>
  </si>
  <si>
    <t xml:space="preserve">B3_P2_E75_1</t>
  </si>
  <si>
    <t xml:space="preserve">GTCGCGGGTGAACTCGCAGGTGTCG</t>
  </si>
  <si>
    <t xml:space="preserve">AGCGCGCGCGCGCATGGCGGCCACG</t>
  </si>
  <si>
    <t xml:space="preserve">SU-038-02</t>
  </si>
  <si>
    <t xml:space="preserve">E75_B3_P1_02</t>
  </si>
  <si>
    <t xml:space="preserve">GTCCCTGCCTCTATATCTTTGAGCAGCTGGAAGCCAGGAATGAGG</t>
  </si>
  <si>
    <t xml:space="preserve">E75_B3_P2_02</t>
  </si>
  <si>
    <t xml:space="preserve">TAACAATGTGAATTTATCATCTTGCTTCCACTCAACTTTAACCCG</t>
  </si>
  <si>
    <t xml:space="preserve">B3_P1_E75_2</t>
  </si>
  <si>
    <t xml:space="preserve">B3_P2_E75_2</t>
  </si>
  <si>
    <t xml:space="preserve">GAGCAGCTGGAAGCCAGGAATGAGG</t>
  </si>
  <si>
    <t xml:space="preserve">TAACAATGTGAATTTATCATCTTGC</t>
  </si>
  <si>
    <t xml:space="preserve">SU-038-03</t>
  </si>
  <si>
    <t xml:space="preserve">E75_B3_P1_03</t>
  </si>
  <si>
    <t xml:space="preserve">GTCCCTGCCTCTATATCTTTCATGAGTTGTCCATTGAGACATATT</t>
  </si>
  <si>
    <t xml:space="preserve">E75_B3_P2_03</t>
  </si>
  <si>
    <t xml:space="preserve">CGCACCACTTTGGATAGAGTCTCGCTTCCACTCAACTTTAACCCG</t>
  </si>
  <si>
    <t xml:space="preserve">B3_P1_E75_3</t>
  </si>
  <si>
    <t xml:space="preserve">B3_P2_E75_3</t>
  </si>
  <si>
    <t xml:space="preserve">CATGAGTTGTCCATTGAGACATATT</t>
  </si>
  <si>
    <t xml:space="preserve">CGCACCACTTTGGATAGAGTCTCGC</t>
  </si>
  <si>
    <t xml:space="preserve">SU-038-04</t>
  </si>
  <si>
    <t xml:space="preserve">E75_B3_P1_04</t>
  </si>
  <si>
    <t xml:space="preserve">GTCCCTGCCTCTATATCTTTGGCGCAGAAGAGGCCGATCTCAGCG</t>
  </si>
  <si>
    <t xml:space="preserve">E75_B3_P2_04</t>
  </si>
  <si>
    <t xml:space="preserve">GGGCCTGTCCGGAGTGATAAGGACTTTCCACTCAACTTTAACCCG</t>
  </si>
  <si>
    <t xml:space="preserve">B3_P1_E75_4</t>
  </si>
  <si>
    <t xml:space="preserve">B3_P2_E75_4</t>
  </si>
  <si>
    <t xml:space="preserve">GGCGCAGAAGAGGCCGATCTCAGCG</t>
  </si>
  <si>
    <t xml:space="preserve">GGGCCTGTCCGGAGTGATAAGGACT</t>
  </si>
  <si>
    <t xml:space="preserve">SU-039-01</t>
  </si>
  <si>
    <t xml:space="preserve">E93_B3_P1_01</t>
  </si>
  <si>
    <t xml:space="preserve">GTCCCTGCCTCTATATCTTTGGAATGTCTGTCTATTGGTTGTTGG</t>
  </si>
  <si>
    <t xml:space="preserve">E93_B3_P2_01</t>
  </si>
  <si>
    <t xml:space="preserve">CGCGCGGAGGAAAGGCAGATCAGGTTTCCACTCAACTTTAACCCG</t>
  </si>
  <si>
    <t xml:space="preserve">B3_P1_E93_2</t>
  </si>
  <si>
    <t xml:space="preserve">B3_P2_E93_2</t>
  </si>
  <si>
    <t xml:space="preserve">GGAATGTCTGTCTATTGGTTGTTGG</t>
  </si>
  <si>
    <t xml:space="preserve">CGCGCGGAGGAAAGGCAGATCAGGT</t>
  </si>
  <si>
    <t xml:space="preserve">SU-039-02</t>
  </si>
  <si>
    <t xml:space="preserve">E93_B3_P1_02</t>
  </si>
  <si>
    <t xml:space="preserve">GTCCCTGCCTCTATATCTTTGTTGTTGTTGGAGTTCATTTTGGAG</t>
  </si>
  <si>
    <t xml:space="preserve">E93_B3_P2_02</t>
  </si>
  <si>
    <t xml:space="preserve">GCCTTTGCCCCCGATCGCCGGCTGGTTCCACTCAACTTTAACCCG</t>
  </si>
  <si>
    <t xml:space="preserve">B3_P1_E93_3</t>
  </si>
  <si>
    <t xml:space="preserve">B3_P2_E93_3</t>
  </si>
  <si>
    <t xml:space="preserve">GTTGTTGTTGGAGTTCATTTTGGAG</t>
  </si>
  <si>
    <t xml:space="preserve">GCCTTTGCCCCCGATCGCCGGCTGG</t>
  </si>
  <si>
    <t xml:space="preserve">SU-039-03</t>
  </si>
  <si>
    <t xml:space="preserve">E93_B3_P1_03</t>
  </si>
  <si>
    <t xml:space="preserve">GTCCCTGCCTCTATATCTTTTCTCTCTTTCACCTTGTACTCGAGA</t>
  </si>
  <si>
    <t xml:space="preserve">E93_B3_P2_03</t>
  </si>
  <si>
    <t xml:space="preserve">CTCCCGCTTCCGCGGCCTCATTAAATTCCACTCAACTTTAACCCG</t>
  </si>
  <si>
    <t xml:space="preserve">B3_P1_E93_5</t>
  </si>
  <si>
    <t xml:space="preserve">B3_P2_E93_5</t>
  </si>
  <si>
    <t xml:space="preserve">TCTCTCTTTCACCTTGTACTCGAGA</t>
  </si>
  <si>
    <t xml:space="preserve">CTCCCGCTTCCGCGGCCTCATTAAA</t>
  </si>
  <si>
    <t xml:space="preserve">SU-039-04</t>
  </si>
  <si>
    <t xml:space="preserve">E93_B3_P1_04</t>
  </si>
  <si>
    <t xml:space="preserve">GTCCCTGCCTCTATATCTTTGAACTGGGAGGTCGGGTTCATGGGG</t>
  </si>
  <si>
    <t xml:space="preserve">E93_B3_P2_04</t>
  </si>
  <si>
    <t xml:space="preserve">GGGGTCCGCGAAGACGGAGAGCGGCTTCCACTCAACTTTAACCCG</t>
  </si>
  <si>
    <t xml:space="preserve">B3_P1_E93_1</t>
  </si>
  <si>
    <t xml:space="preserve">B3_P2_E93_1</t>
  </si>
  <si>
    <t xml:space="preserve">GAACTGGGAGGTCGGGTTCATGGGG</t>
  </si>
  <si>
    <t xml:space="preserve">GGGGTCCGCGAAGACGGAGAGCGGC</t>
  </si>
  <si>
    <t xml:space="preserve">SU-039-05</t>
  </si>
  <si>
    <t xml:space="preserve">E93_B3_P1_05</t>
  </si>
  <si>
    <t xml:space="preserve">GTCCCTGCCTCTATATCTTTGTAGTTTCTGTATTTCCCTCGCTTC</t>
  </si>
  <si>
    <t xml:space="preserve">E93_B3_P2_05</t>
  </si>
  <si>
    <t xml:space="preserve">CACCGCTTCCACGAGGCTGTCTCTATTCCACTCAACTTTAACCCG</t>
  </si>
  <si>
    <t xml:space="preserve">B3_P1_E93_4</t>
  </si>
  <si>
    <t xml:space="preserve">B3_P2_E93_4</t>
  </si>
  <si>
    <t xml:space="preserve">GTAGTTTCTGTATTTCCCTCGCTTC</t>
  </si>
  <si>
    <t xml:space="preserve">CACCGCTTCCACGAGGCTGTCTCTA</t>
  </si>
  <si>
    <t xml:space="preserve">SU-040-01</t>
  </si>
  <si>
    <t xml:space="preserve">Ftz-f1_B3_P1_01</t>
  </si>
  <si>
    <t xml:space="preserve">GTCCCTGCCTCTATATCTTTGTACGGCGAGCCGAAGCCCAGCACC</t>
  </si>
  <si>
    <t xml:space="preserve">Ftz-f1_B3_P2_01</t>
  </si>
  <si>
    <t xml:space="preserve">GATCTCCTGCTTCACGGGCACGGCGTTCCACTCAACTTTAACCCG</t>
  </si>
  <si>
    <t xml:space="preserve">B3_P1_Ftz-f1_1</t>
  </si>
  <si>
    <t xml:space="preserve">B3_P2_Ftz-f1_1</t>
  </si>
  <si>
    <t xml:space="preserve">GTACGGCGAGCCGAAGCCCAGCACC</t>
  </si>
  <si>
    <t xml:space="preserve">GATCTCCTGCTTCACGGGCACGGCG</t>
  </si>
  <si>
    <t xml:space="preserve">SU-040-02</t>
  </si>
  <si>
    <t xml:space="preserve">Ftz-f1_B3_P1_02</t>
  </si>
  <si>
    <t xml:space="preserve">GTCCCTGCCTCTATATCTTTCGACGACGTCAGCGACGACACCTGC</t>
  </si>
  <si>
    <t xml:space="preserve">Ftz-f1_B3_P2_02</t>
  </si>
  <si>
    <t xml:space="preserve">CAGCGCGGGGCCCGGCGACGACTCCTTCCACTCAACTTTAACCCG</t>
  </si>
  <si>
    <t xml:space="preserve">B3_P1_Ftz-f1_2</t>
  </si>
  <si>
    <t xml:space="preserve">B3_P2_Ftz-f1_2</t>
  </si>
  <si>
    <t xml:space="preserve">CGACGACGTCAGCGACGACACCTGC</t>
  </si>
  <si>
    <t xml:space="preserve">CAGCGCGGGGCCCGGCGACGACTCC</t>
  </si>
  <si>
    <t xml:space="preserve">SU-040-03</t>
  </si>
  <si>
    <t xml:space="preserve">Ftz-f1_B3_P1_03</t>
  </si>
  <si>
    <t xml:space="preserve">GTCCCTGCCTCTATATCTTTCTGCTGCGGCGGCGCCTGCGACTGC</t>
  </si>
  <si>
    <t xml:space="preserve">Ftz-f1_B3_P2_03</t>
  </si>
  <si>
    <t xml:space="preserve">GTGCGCGTCCCACTTGTCGTGCGCGTTCCACTCAACTTTAACCCG</t>
  </si>
  <si>
    <t xml:space="preserve">B3_P1_Ftz-f1_3</t>
  </si>
  <si>
    <t xml:space="preserve">B3_P2_Ftz-f1_3</t>
  </si>
  <si>
    <t xml:space="preserve">CTGCTGCGGCGGCGCCTGCGACTGC</t>
  </si>
  <si>
    <t xml:space="preserve">GTGCGCGTCCCACTTGTCGTGCGCG</t>
  </si>
  <si>
    <t xml:space="preserve">SU-040-04</t>
  </si>
  <si>
    <t xml:space="preserve">Ftz-f1_B3_P1_04</t>
  </si>
  <si>
    <t xml:space="preserve">GTCCCTGCCTCTATATCTTTAGCGAACCCGTCGGGCGACGCCGAG</t>
  </si>
  <si>
    <t xml:space="preserve">Ftz-f1_B3_P2_04</t>
  </si>
  <si>
    <t xml:space="preserve">GGCGGCGGCGGTGGCGGGCGCCTCGTTCCACTCAACTTTAACCCG</t>
  </si>
  <si>
    <t xml:space="preserve">B3_P1_Ftz-f1_4</t>
  </si>
  <si>
    <t xml:space="preserve">B3_P2_Ftz-f1_4</t>
  </si>
  <si>
    <t xml:space="preserve">AGCGAACCCGTCGGGCGACGCCGAG</t>
  </si>
  <si>
    <t xml:space="preserve">GGCGGCGGCGGTGGCGGGCGCCTCG</t>
  </si>
  <si>
    <t xml:space="preserve">SU-041-01</t>
  </si>
  <si>
    <t xml:space="preserve">Jo-sal_B3_P1_01</t>
  </si>
  <si>
    <t xml:space="preserve">GTCCCTGCCTCTATATCTTTTTAGTAGATAATATAGACAACAAAG</t>
  </si>
  <si>
    <t xml:space="preserve">Jo-sal_B3_P2_01</t>
  </si>
  <si>
    <t xml:space="preserve">ACTTCAGAAACATCAAAATTACAACTTCCACTCAACTTTAACCCG</t>
  </si>
  <si>
    <t xml:space="preserve">B3_P1_Jo_sal1</t>
  </si>
  <si>
    <t xml:space="preserve">B3_P2_Jo_sal1</t>
  </si>
  <si>
    <t xml:space="preserve">TTAGTAGATAATATAGACAACAAAG</t>
  </si>
  <si>
    <t xml:space="preserve">ACTTCAGAAACATCAAAATTACAAC</t>
  </si>
  <si>
    <t xml:space="preserve">SU-041-02</t>
  </si>
  <si>
    <t xml:space="preserve">Jo-sal_B3_P1_02</t>
  </si>
  <si>
    <t xml:space="preserve">GTCCCTGCCTCTATATCTTTGTTTCATCTGGATGTCTTACACCTT</t>
  </si>
  <si>
    <t xml:space="preserve">Jo-sal_B3_P2_02</t>
  </si>
  <si>
    <t xml:space="preserve">TTATTTCCACATTCCCCGCCGAGCATTCCACTCAACTTTAACCCG</t>
  </si>
  <si>
    <t xml:space="preserve">B3_P1_Jo_sal2</t>
  </si>
  <si>
    <t xml:space="preserve">B3_P2_Jo_sal2</t>
  </si>
  <si>
    <t xml:space="preserve">GTTTCATCTGGATGTCTTACACCTT</t>
  </si>
  <si>
    <t xml:space="preserve">TTATTTCCACATTCCCCGCCGAGCA</t>
  </si>
  <si>
    <t xml:space="preserve">SU-041-03</t>
  </si>
  <si>
    <t xml:space="preserve">Jo-sal_B3_P1_03</t>
  </si>
  <si>
    <t xml:space="preserve">GTCCCTGCCTCTATATCTTTGGGCAAGATGCTGAACAAGATCGAT</t>
  </si>
  <si>
    <t xml:space="preserve">Jo-sal_B3_P2_03</t>
  </si>
  <si>
    <t xml:space="preserve">AAGCGGGAACCCGAAGAAAATGATGTTCCACTCAACTTTAACCCG</t>
  </si>
  <si>
    <t xml:space="preserve">B3_P1_Jo_sal3</t>
  </si>
  <si>
    <t xml:space="preserve">B3_P2_Jo_sal3</t>
  </si>
  <si>
    <t xml:space="preserve">GGGCAAGATGCTGAACAAGATCGAT</t>
  </si>
  <si>
    <t xml:space="preserve">AAGCGGGAACCCGAAGAAAATGATG</t>
  </si>
  <si>
    <t xml:space="preserve">SU-041-04</t>
  </si>
  <si>
    <t xml:space="preserve">Jo-sal_B3_P1_04</t>
  </si>
  <si>
    <t xml:space="preserve">GTCCCTGCCTCTATATCTTTCCACGTCCTGCATCCGAAATGTTTA</t>
  </si>
  <si>
    <t xml:space="preserve">Jo-sal_B3_P2_04</t>
  </si>
  <si>
    <t xml:space="preserve">CTCAGCAAACCTTCTGCTCCGAGCCTTCCACTCAACTTTAACCCG</t>
  </si>
  <si>
    <t xml:space="preserve">B3_P1_Jo_sal4</t>
  </si>
  <si>
    <t xml:space="preserve">B3_P2_Jo_sal4</t>
  </si>
  <si>
    <t xml:space="preserve">CCACGTCCTGCATCCGAAATGTTTA</t>
  </si>
  <si>
    <t xml:space="preserve">CTCAGCAAACCTTCTGCTCCGAGCC</t>
  </si>
  <si>
    <t xml:space="preserve">SU-041-05</t>
  </si>
  <si>
    <t xml:space="preserve">Jo-sal_B3_P1_05</t>
  </si>
  <si>
    <t xml:space="preserve">GTCCCTGCCTCTATATCTTTTTTCCTCCGGGTGCGCCAGCTCCTT</t>
  </si>
  <si>
    <t xml:space="preserve">Jo-sal_B3_P2_05</t>
  </si>
  <si>
    <t xml:space="preserve">CCAGGGATGCCACCCCACCCACTACTTCCACTCAACTTTAACCCG</t>
  </si>
  <si>
    <t xml:space="preserve">B3_P1_Jo_sal5</t>
  </si>
  <si>
    <t xml:space="preserve">B3_P2_Jo_sal5</t>
  </si>
  <si>
    <t xml:space="preserve">TTTCCTCCGGGTGCGCCAGCTCCTT</t>
  </si>
  <si>
    <t xml:space="preserve">CCAGGGATGCCACCCCACCCACTAC</t>
  </si>
  <si>
    <t xml:space="preserve">SU-041-06</t>
  </si>
  <si>
    <t xml:space="preserve">Jo-sal_B3_P1_06</t>
  </si>
  <si>
    <t xml:space="preserve">GTCCCTGCCTCTATATCTTTAACGAACCTTTCTTTAAACATCGCT</t>
  </si>
  <si>
    <t xml:space="preserve">Jo-sal_B3_P2_06</t>
  </si>
  <si>
    <t xml:space="preserve">CCATACGATGGCAAAAGCGGTGGTCTTCCACTCAACTTTAACCCG</t>
  </si>
  <si>
    <t xml:space="preserve">B3_P1_Jo_sal6</t>
  </si>
  <si>
    <t xml:space="preserve">B3_P2_Jo_sal6</t>
  </si>
  <si>
    <t xml:space="preserve">AACGAACCTTTCTTTAAACATCGCT</t>
  </si>
  <si>
    <t xml:space="preserve">CCATACGATGGCAAAAGCGGTGGTC</t>
  </si>
  <si>
    <t xml:space="preserve">SU-042-01</t>
  </si>
  <si>
    <t xml:space="preserve">Kr_B3_P1_01</t>
  </si>
  <si>
    <t xml:space="preserve">GTCCCTGCCTCTATATCTTTGCACGAAGTGGCGCGGGCAGTGCGG</t>
  </si>
  <si>
    <t xml:space="preserve">Kr_B3_P2_01</t>
  </si>
  <si>
    <t xml:space="preserve">AGATGCCCGCCGCAGGTTGGCGACCTTCCACTCAACTTTAACCCG</t>
  </si>
  <si>
    <t xml:space="preserve">B3_P1_Kr_1</t>
  </si>
  <si>
    <t xml:space="preserve">B3_P2_Kr_1</t>
  </si>
  <si>
    <t xml:space="preserve">GCACGAAGTGGCGCGGGCAGTGCGG</t>
  </si>
  <si>
    <t xml:space="preserve">AGATGCCCGCCGCAGGTTGGCGACC</t>
  </si>
  <si>
    <t xml:space="preserve">SU-042-02</t>
  </si>
  <si>
    <t xml:space="preserve">Kr_B3_P1_02</t>
  </si>
  <si>
    <t xml:space="preserve">GTCCCTGCCTCTATATCTTTCGCGTCAGGGCCGTTCAGCCGTGTG</t>
  </si>
  <si>
    <t xml:space="preserve">Kr_B3_P2_02</t>
  </si>
  <si>
    <t xml:space="preserve">GAGAAGCGCGCCGCGGCAGCGCGCGTTCCACTCAACTTTAACCCG</t>
  </si>
  <si>
    <t xml:space="preserve">B3_P1_Kr_2</t>
  </si>
  <si>
    <t xml:space="preserve">B3_P2_Kr_2</t>
  </si>
  <si>
    <t xml:space="preserve">CGCGTCAGGGCCGTTCAGCCGTGTG</t>
  </si>
  <si>
    <t xml:space="preserve">GAGAAGCGCGCCGCGGCAGCGCGCG</t>
  </si>
  <si>
    <t xml:space="preserve">SU-042-03</t>
  </si>
  <si>
    <t xml:space="preserve">Kr_B3_P1_03</t>
  </si>
  <si>
    <t xml:space="preserve">GTCCCTGCCTCTATATCTTTCCAGCGCATGCGCCTTCCAGCTGGT</t>
  </si>
  <si>
    <t xml:space="preserve">Kr_B3_P2_03</t>
  </si>
  <si>
    <t xml:space="preserve">ACGCGAAGGGCGCGTCGCCCTCCGTTTCCACTCAACTTTAACCCG</t>
  </si>
  <si>
    <t xml:space="preserve">B3_P1_Kr_3</t>
  </si>
  <si>
    <t xml:space="preserve">B3_P2_Kr_3</t>
  </si>
  <si>
    <t xml:space="preserve">CCAGCGCATGCGCCTTCCAGCTGGT</t>
  </si>
  <si>
    <t xml:space="preserve">ACGCGAAGGGCGCGTCGCCCTCCGT</t>
  </si>
  <si>
    <t xml:space="preserve">SU-042-04</t>
  </si>
  <si>
    <t xml:space="preserve">Kr_B3_P1_04</t>
  </si>
  <si>
    <t xml:space="preserve">GTCCCTGCCTCTATATCTTTCTGCCCGCCGCCGGAAGCGGGCGCC</t>
  </si>
  <si>
    <t xml:space="preserve">Kr_B3_P2_04</t>
  </si>
  <si>
    <t xml:space="preserve">CCTGCGCAGCGGGTGCAGCGCCGCCTTCCACTCAACTTTAACCCG</t>
  </si>
  <si>
    <t xml:space="preserve">B3_P1_Kr_4</t>
  </si>
  <si>
    <t xml:space="preserve">B3_P2_Kr_4</t>
  </si>
  <si>
    <t xml:space="preserve">CTGCCCGCCGCCGGAAGCGGGCGCC</t>
  </si>
  <si>
    <t xml:space="preserve">CCTGCGCAGCGGGTGCAGCGCCGCC</t>
  </si>
  <si>
    <t xml:space="preserve">SU-043-01</t>
  </si>
  <si>
    <t xml:space="preserve">LRR_B3_P1_01</t>
  </si>
  <si>
    <t xml:space="preserve">GTCCCTGCCTCTATATCTTTAACTTTATCTTCTGAAGAGTCTGTA</t>
  </si>
  <si>
    <t xml:space="preserve">LRR_B3_P2_01</t>
  </si>
  <si>
    <t xml:space="preserve">AGGTGCTACATATACAACCGTGGTTTTCCACTCAACTTTAACCCG</t>
  </si>
  <si>
    <t xml:space="preserve">B3_P1_LRR1</t>
  </si>
  <si>
    <t xml:space="preserve">B3_P2_LRR1</t>
  </si>
  <si>
    <t xml:space="preserve">AACTTTATCTTCTGAAGAGTCTGTA</t>
  </si>
  <si>
    <t xml:space="preserve">AGGTGCTACATATACAACCGTGGTT</t>
  </si>
  <si>
    <t xml:space="preserve">SU-043-02</t>
  </si>
  <si>
    <t xml:space="preserve">LRR_B3_P1_02</t>
  </si>
  <si>
    <t xml:space="preserve">GTCCCTGCCTCTATATCTTTATTTCCAATGAGGACCATTCATCCA</t>
  </si>
  <si>
    <t xml:space="preserve">LRR_B3_P2_02</t>
  </si>
  <si>
    <t xml:space="preserve">CGTTTGGGATTCTCTTCAGGAATATTTCCACTCAACTTTAACCCG</t>
  </si>
  <si>
    <t xml:space="preserve">B3_P1_LRR2</t>
  </si>
  <si>
    <t xml:space="preserve">B3_P2_LRR2</t>
  </si>
  <si>
    <t xml:space="preserve">ATTTCCAATGAGGACCATTCATCCA</t>
  </si>
  <si>
    <t xml:space="preserve">CGTTTGGGATTCTCTTCAGGAATAT</t>
  </si>
  <si>
    <t xml:space="preserve">SU-043-03</t>
  </si>
  <si>
    <t xml:space="preserve">LRR_B3_P1_03</t>
  </si>
  <si>
    <t xml:space="preserve">GTCCCTGCCTCTATATCTTTGTTAATACCGGGATCAACGACAGCA</t>
  </si>
  <si>
    <t xml:space="preserve">LRR_B3_P2_03</t>
  </si>
  <si>
    <t xml:space="preserve">CTTTGCTTCTGGCTTTAGTAAAGCATTCCACTCAACTTTAACCCG</t>
  </si>
  <si>
    <t xml:space="preserve">B3_P1_LRR3</t>
  </si>
  <si>
    <t xml:space="preserve">B3_P2_LRR3</t>
  </si>
  <si>
    <t xml:space="preserve">GTTAATACCGGGATCAACGACAGCA</t>
  </si>
  <si>
    <t xml:space="preserve">CTTTGCTTCTGGCTTTAGTAAAGCA</t>
  </si>
  <si>
    <t xml:space="preserve">SU-043-04</t>
  </si>
  <si>
    <t xml:space="preserve">LRR_B3_P1_04</t>
  </si>
  <si>
    <t xml:space="preserve">GTCCCTGCCTCTATATCTTTAAGGTTGTACACAGTAATACTTCAA</t>
  </si>
  <si>
    <t xml:space="preserve">LRR_B3_P2_04</t>
  </si>
  <si>
    <t xml:space="preserve">ACGCCATGGCCATGGCTCGAACACCTTCCACTCAACTTTAACCCG</t>
  </si>
  <si>
    <t xml:space="preserve">B3_P1_LRR4</t>
  </si>
  <si>
    <t xml:space="preserve">B3_P2_LRR4</t>
  </si>
  <si>
    <t xml:space="preserve">AAGGTTGTACACAGTAATACTTCAA</t>
  </si>
  <si>
    <t xml:space="preserve">ACGCCATGGCCATGGCTCGAACACC</t>
  </si>
  <si>
    <t xml:space="preserve">SU-043-05</t>
  </si>
  <si>
    <t xml:space="preserve">LRR_B3_P1_05</t>
  </si>
  <si>
    <t xml:space="preserve">GTCCCTGCCTCTATATCTTTATTCTGCAACCTGATAAAATTAATT</t>
  </si>
  <si>
    <t xml:space="preserve">LRR_B3_P2_05</t>
  </si>
  <si>
    <t xml:space="preserve">ACCAATAATTTCACTCCTTCTGGACTTCCACTCAACTTTAACCCG</t>
  </si>
  <si>
    <t xml:space="preserve">B3_P1_LRR5</t>
  </si>
  <si>
    <t xml:space="preserve">B3_P2_LRR5</t>
  </si>
  <si>
    <t xml:space="preserve">ATTCTGCAACCTGATAAAATTAATT</t>
  </si>
  <si>
    <t xml:space="preserve">ACCAATAATTTCACTCCTTCTGGAC</t>
  </si>
  <si>
    <t xml:space="preserve">SU-043-06</t>
  </si>
  <si>
    <t xml:space="preserve">LRR_B3_P1_06</t>
  </si>
  <si>
    <t xml:space="preserve">GTCCCTGCCTCTATATCTTTGTAGCTTAGATATAGTTTTTGCACA</t>
  </si>
  <si>
    <t xml:space="preserve">LRR_B3_P2_06</t>
  </si>
  <si>
    <t xml:space="preserve">ATTAGCCCCTTTACCACTAATATTATTCCACTCAACTTTAACCCG</t>
  </si>
  <si>
    <t xml:space="preserve">B3_P1_LRR6</t>
  </si>
  <si>
    <t xml:space="preserve">B3_P2_LRR6</t>
  </si>
  <si>
    <t xml:space="preserve">GTAGCTTAGATATAGTTTTTGCACA</t>
  </si>
  <si>
    <t xml:space="preserve">ATTAGCCCCTTTACCACTAATATTA</t>
  </si>
  <si>
    <t xml:space="preserve">SU-043-07</t>
  </si>
  <si>
    <t xml:space="preserve">LRR_B3_P1_07</t>
  </si>
  <si>
    <t xml:space="preserve">GTCCCTGCCTCTATATCTTTGAAAGATCTAAGACTGTAAATTTAT</t>
  </si>
  <si>
    <t xml:space="preserve">LRR_B3_P2_07</t>
  </si>
  <si>
    <t xml:space="preserve">ACTAATGGCGCAAATAGATTATTCCTTCCACTCAACTTTAACCCG</t>
  </si>
  <si>
    <t xml:space="preserve">B3_P1_LRR7</t>
  </si>
  <si>
    <t xml:space="preserve">B3_P2_LRR7</t>
  </si>
  <si>
    <t xml:space="preserve">GAAAGATCTAAGACTGTAAATTTAT</t>
  </si>
  <si>
    <t xml:space="preserve">ACTAATGGCGCAAATAGATTATTCC</t>
  </si>
  <si>
    <t xml:space="preserve">SU-043-08</t>
  </si>
  <si>
    <t xml:space="preserve">LRR_B3_P1_08</t>
  </si>
  <si>
    <t xml:space="preserve">GTCCCTGCCTCTATATCTTTACGCAAACTAGGAATTTTCAATAAC</t>
  </si>
  <si>
    <t xml:space="preserve">LRR_B3_P2_08</t>
  </si>
  <si>
    <t xml:space="preserve">CAATTTATTGTTACTCAAATCTAATTTCCACTCAACTTTAACCCG</t>
  </si>
  <si>
    <t xml:space="preserve">B3_P1_LRR8</t>
  </si>
  <si>
    <t xml:space="preserve">B3_P2_LRR8</t>
  </si>
  <si>
    <t xml:space="preserve">ACGCAAACTAGGAATTTTCAATAAC</t>
  </si>
  <si>
    <t xml:space="preserve">CAATTTATTGTTACTCAAATCTAAT</t>
  </si>
  <si>
    <t xml:space="preserve">SU-044-01</t>
  </si>
  <si>
    <t xml:space="preserve">MSTRG.578_B3_P1_01</t>
  </si>
  <si>
    <t xml:space="preserve">GTCCCTGCCTCTATATCTTTTATTCGTCTATATCGTCGTACCCGT</t>
  </si>
  <si>
    <t xml:space="preserve">MSTRG.578_B3_P2_01</t>
  </si>
  <si>
    <t xml:space="preserve">TGCTGTAATGTGTCTTCCGGGTCCCTTCCACTCAACTTTAACCCG</t>
  </si>
  <si>
    <t xml:space="preserve">B3_P1_MSTRG.578</t>
  </si>
  <si>
    <t xml:space="preserve">B3_P2_MSTRG.578</t>
  </si>
  <si>
    <t xml:space="preserve">TATTCGTCTATATCGTCGTACCCGT</t>
  </si>
  <si>
    <t xml:space="preserve">TGCTGTAATGTGTCTTCCGGGTCCC</t>
  </si>
  <si>
    <t xml:space="preserve">SU-044-02</t>
  </si>
  <si>
    <t xml:space="preserve">MSTRG.578_B3_P1_02</t>
  </si>
  <si>
    <t xml:space="preserve">GTCCCTGCCTCTATATCTTTTTGCAACTGCTTCTTCAAGTTCACC</t>
  </si>
  <si>
    <t xml:space="preserve">MSTRG.578_B3_P2_02</t>
  </si>
  <si>
    <t xml:space="preserve">CTCGGGGTGAATGTTGTCTTCCAGTTTCCACTCAACTTTAACCCG</t>
  </si>
  <si>
    <t xml:space="preserve">TTGCAACTGCTTCTTCAAGTTCACC</t>
  </si>
  <si>
    <t xml:space="preserve">CTCGGGGTGAATGTTGTCTTCCAGT</t>
  </si>
  <si>
    <t xml:space="preserve">SU-044-03</t>
  </si>
  <si>
    <t xml:space="preserve">MSTRG.578_B3_P1_03</t>
  </si>
  <si>
    <t xml:space="preserve">GTCCCTGCCTCTATATCTTTATGCGTAGCCTCTCATGCAGCTGGT</t>
  </si>
  <si>
    <t xml:space="preserve">MSTRG.578_B3_P2_03</t>
  </si>
  <si>
    <t xml:space="preserve">TACATGTGATCTTTGTATATCCTGTTTCCACTCAACTTTAACCCG</t>
  </si>
  <si>
    <t xml:space="preserve">SU-044-04</t>
  </si>
  <si>
    <t xml:space="preserve">MSTRG.578_B3_P1_04</t>
  </si>
  <si>
    <t xml:space="preserve">GTCCCTGCCTCTATATCTTTGCGTTCACTTTCTATAAGCTTCCTC</t>
  </si>
  <si>
    <t xml:space="preserve">MSTRG.578_B3_P2_04</t>
  </si>
  <si>
    <t xml:space="preserve">AGAATCTCCATTCAACTCCATACTATTCCACTCAACTTTAACCCG</t>
  </si>
  <si>
    <t xml:space="preserve">GCGTTCACTTTCTATAAGCTTCCTC</t>
  </si>
  <si>
    <t xml:space="preserve">SU-044-05</t>
  </si>
  <si>
    <t xml:space="preserve">MSTRG.578_B3_P1_05</t>
  </si>
  <si>
    <t xml:space="preserve">GTCCCTGCCTCTATATCTTTGGCTCGTTGGCGCGCCGCCGCAGTA</t>
  </si>
  <si>
    <t xml:space="preserve">MSTRG.578_B3_P2_05</t>
  </si>
  <si>
    <t xml:space="preserve">TTGCGGCGCTTCTCGGGCGCCGGCGTTCCACTCAACTTTAACCCG</t>
  </si>
  <si>
    <t xml:space="preserve">GGCTCGTTGGCGCGCCGCCGCAGTA</t>
  </si>
  <si>
    <t xml:space="preserve">TTGCGGCGCTTCTCGGGCGCCGGCG</t>
  </si>
  <si>
    <t xml:space="preserve">SU-044-06</t>
  </si>
  <si>
    <t xml:space="preserve">MSTRG.578_B3_P1_06</t>
  </si>
  <si>
    <t xml:space="preserve">GTCCCTGCCTCTATATCTTTACTCCTTCGCAGCGGCTTTTTTTTC</t>
  </si>
  <si>
    <t xml:space="preserve">MSTRG.578_B3_P2_06</t>
  </si>
  <si>
    <t xml:space="preserve">CCCGCAACTCTATCTTCTTCTCGTCTTCCACTCAACTTTAACCCG</t>
  </si>
  <si>
    <t xml:space="preserve">ACTCCTTCGCAGCGGCTTTTTTTTC</t>
  </si>
  <si>
    <t xml:space="preserve">CCCGCAACTCTATCTTCTTCTCGTC</t>
  </si>
  <si>
    <t xml:space="preserve">SU-045-01</t>
  </si>
  <si>
    <t xml:space="preserve">MSTRG.587.1_B3_P1_01</t>
  </si>
  <si>
    <t xml:space="preserve">GTCCCTGCCTCTATATCTTTAGGTTTGCGTTTGGTATTTTAAATG</t>
  </si>
  <si>
    <t xml:space="preserve">MSTRG.587.1_B3_P2_01</t>
  </si>
  <si>
    <t xml:space="preserve">GCGCACGGCTAGCAGGCGCCTCTATTTCCACTCAACTTTAACCCG</t>
  </si>
  <si>
    <t xml:space="preserve">B3_P1_MSTRG.587.1</t>
  </si>
  <si>
    <t xml:space="preserve">B3_P2_MSTRG.587.1</t>
  </si>
  <si>
    <t xml:space="preserve">AGGTTTGCGTTTGGTATTTTAAATG</t>
  </si>
  <si>
    <t xml:space="preserve">GCGCACGGCTAGCAGGCGCCTCTAT</t>
  </si>
  <si>
    <t xml:space="preserve">SU-045-02</t>
  </si>
  <si>
    <t xml:space="preserve">MSTRG.587.1_B3_P1_02</t>
  </si>
  <si>
    <t xml:space="preserve">GTCCCTGCCTCTATATCTTTGTCAAATTCGGCAATACAAGCGTCA</t>
  </si>
  <si>
    <t xml:space="preserve">MSTRG.587.1_B3_P2_02</t>
  </si>
  <si>
    <t xml:space="preserve">TCACTGCGCTAAGCCGCGGACGGACTTCCACTCAACTTTAACCCG</t>
  </si>
  <si>
    <t xml:space="preserve">GTCAAATTCGGCAATACAAGCGTCA</t>
  </si>
  <si>
    <t xml:space="preserve">TCACTGCGCTAAGCCGCGGACGGAC</t>
  </si>
  <si>
    <t xml:space="preserve">SU-045-03</t>
  </si>
  <si>
    <t xml:space="preserve">MSTRG.587.1_B3_P1_03</t>
  </si>
  <si>
    <t xml:space="preserve">GTCCCTGCCTCTATATCTTTACGGACGGACAGACAAACGGACATA</t>
  </si>
  <si>
    <t xml:space="preserve">MSTRG.587.1_B3_P2_03</t>
  </si>
  <si>
    <t xml:space="preserve">GAGTTCCGTAGATTAAATGAGCAGTTTCCACTCAACTTTAACCCG</t>
  </si>
  <si>
    <t xml:space="preserve">ACGGACGGACAGACAAACGGACATA</t>
  </si>
  <si>
    <t xml:space="preserve">GAGTTCCGTAGATTAAATGAGCAGT</t>
  </si>
  <si>
    <t xml:space="preserve">SU-045-04</t>
  </si>
  <si>
    <t xml:space="preserve">MSTRG.587.1_B3_P1_04</t>
  </si>
  <si>
    <t xml:space="preserve">GTCCCTGCCTCTATATCTTTAATTCCTTATGTAATGCATAAAAAT</t>
  </si>
  <si>
    <t xml:space="preserve">MSTRG.587.1_B3_P2_04</t>
  </si>
  <si>
    <t xml:space="preserve">TGTCACTCGTTAAGACTAAAGGCGCTTCCACTCAACTTTAACCCG</t>
  </si>
  <si>
    <t xml:space="preserve">AATTCCTTATGTAATGCATAAAAAT</t>
  </si>
  <si>
    <t xml:space="preserve">TGTCACTCGTTAAGACTAAAGGCGC</t>
  </si>
  <si>
    <t xml:space="preserve">SU-045-05</t>
  </si>
  <si>
    <t xml:space="preserve">MSTRG.587.1_B3_P1_05</t>
  </si>
  <si>
    <t xml:space="preserve">GTCCCTGCCTCTATATCTTTCTTGAATAGACTTGACCAACGAAGA</t>
  </si>
  <si>
    <t xml:space="preserve">MSTRG.587.1_B3_P2_05</t>
  </si>
  <si>
    <t xml:space="preserve">CTTTTGACCAAATCACAGATAATTTTTCCACTCAACTTTAACCCG</t>
  </si>
  <si>
    <t xml:space="preserve">CTTGAATAGACTTGACCAACGAAGA</t>
  </si>
  <si>
    <t xml:space="preserve">CTTTTGACCAAATCACAGATAATTT</t>
  </si>
  <si>
    <t xml:space="preserve">SU-045-06</t>
  </si>
  <si>
    <t xml:space="preserve">MSTRG.587.1_B3_P1_06</t>
  </si>
  <si>
    <t xml:space="preserve">GTCCCTGCCTCTATATCTTTATTTATCGTGAGAAATAGAGACATA</t>
  </si>
  <si>
    <t xml:space="preserve">MSTRG.587.1_B3_P2_06</t>
  </si>
  <si>
    <t xml:space="preserve">TACTATTTCAAATGCAAAATACTAATTCCACTCAACTTTAACCCG</t>
  </si>
  <si>
    <t xml:space="preserve">ATTTATCGTGAGAAATAGAGACATA</t>
  </si>
  <si>
    <t xml:space="preserve">TACTATTTCAAATGCAAAATACTAA</t>
  </si>
  <si>
    <t xml:space="preserve">SU-046-01</t>
  </si>
  <si>
    <t xml:space="preserve">MSTRG.615.1_B3_P1_01</t>
  </si>
  <si>
    <t xml:space="preserve">GTCCCTGCCTCTATATCTTTCGGGCTAACTTGTAATTATTAAATT</t>
  </si>
  <si>
    <t xml:space="preserve">MSTRG.615.1_B3_P2_01</t>
  </si>
  <si>
    <t xml:space="preserve">CGTTCACTGCCGGAGTCTAATAGTGTTCCACTCAACTTTAACCCG</t>
  </si>
  <si>
    <t xml:space="preserve">B3_P1_MSTRG.615.1</t>
  </si>
  <si>
    <t xml:space="preserve">B3_P2_MSTRG.615.1</t>
  </si>
  <si>
    <t xml:space="preserve">CGGGCTAACTTGTAATTATTAAATT</t>
  </si>
  <si>
    <t xml:space="preserve">CGTTCACTGCCGGAGTCTAATAGTG</t>
  </si>
  <si>
    <t xml:space="preserve">SU-046-02</t>
  </si>
  <si>
    <t xml:space="preserve">MSTRG.615.1_B3_P1_02</t>
  </si>
  <si>
    <t xml:space="preserve">GTCCCTGCCTCTATATCTTTCTCCACGAATTTCTTGAGTGGACTG</t>
  </si>
  <si>
    <t xml:space="preserve">MSTRG.615.1_B3_P2_02</t>
  </si>
  <si>
    <t xml:space="preserve">GCGTAGCCTGTGTGACTGAATTTCCTTCCACTCAACTTTAACCCG</t>
  </si>
  <si>
    <t xml:space="preserve">CTCCACGAATTTCTTGAGTGGACTG</t>
  </si>
  <si>
    <t xml:space="preserve">GCGTAGCCTGTGTGACTGAATTTCC</t>
  </si>
  <si>
    <t xml:space="preserve">SU-046-03</t>
  </si>
  <si>
    <t xml:space="preserve">MSTRG.615.1_B3_P1_03</t>
  </si>
  <si>
    <t xml:space="preserve">GTCCCTGCCTCTATATCTTTCAGGAAACAATGCGGTGTTCCATAA</t>
  </si>
  <si>
    <t xml:space="preserve">MSTRG.615.1_B3_P2_03</t>
  </si>
  <si>
    <t xml:space="preserve">ATGTTCCCTGAAGACCCCATGGTGTTTCCACTCAACTTTAACCCG</t>
  </si>
  <si>
    <t xml:space="preserve">CAGGAAACAATGCGGTGTTCCATAA</t>
  </si>
  <si>
    <t xml:space="preserve">ATGTTCCCTGAAGACCCCATGGTGT</t>
  </si>
  <si>
    <t xml:space="preserve">SU-046-04</t>
  </si>
  <si>
    <t xml:space="preserve">MSTRG.615.1_B3_P1_04</t>
  </si>
  <si>
    <t xml:space="preserve">GTCCCTGCCTCTATATCTTTAGATCGTTTAGAAGAACGCCGCGTG</t>
  </si>
  <si>
    <t xml:space="preserve">MSTRG.615.1_B3_P2_04</t>
  </si>
  <si>
    <t xml:space="preserve">CCCTCCCACCAAAGCTTACAAGTGGTTCCACTCAACTTTAACCCG</t>
  </si>
  <si>
    <t xml:space="preserve">AGATCGTTTAGAAGAACGCCGCGTG</t>
  </si>
  <si>
    <t xml:space="preserve">CCCTCCCACCAAAGCTTACAAGTGG</t>
  </si>
  <si>
    <t xml:space="preserve">SU-046-05</t>
  </si>
  <si>
    <t xml:space="preserve">MSTRG.615.1_B3_P1_05</t>
  </si>
  <si>
    <t xml:space="preserve">GTCCCTGCCTCTATATCTTTTCCAGCCTAATCGTGTGTTTTGTAA</t>
  </si>
  <si>
    <t xml:space="preserve">MSTRG.615.1_B3_P2_05</t>
  </si>
  <si>
    <t xml:space="preserve">TATTCATATGTACAGGGCCCGAAATTTCCACTCAACTTTAACCCG</t>
  </si>
  <si>
    <t xml:space="preserve">TCCAGCCTAATCGTGTGTTTTGTAA</t>
  </si>
  <si>
    <t xml:space="preserve">TATTCATATGTACAGGGCCCGAAAT</t>
  </si>
  <si>
    <t xml:space="preserve">SU-046-06</t>
  </si>
  <si>
    <t xml:space="preserve">MSTRG.615.1_B3_P1_06</t>
  </si>
  <si>
    <t xml:space="preserve">GTCCCTGCCTCTATATCTTTGGCGCGTTTTAGTCGGTTGAACTGA</t>
  </si>
  <si>
    <t xml:space="preserve">MSTRG.615.1_B3_P2_06</t>
  </si>
  <si>
    <t xml:space="preserve">ATGAATAAAGCGAAGGACGTATGCATTCCACTCAACTTTAACCCG</t>
  </si>
  <si>
    <t xml:space="preserve">GGCGCGTTTTAGTCGGTTGAACTGA</t>
  </si>
  <si>
    <t xml:space="preserve">ATGAATAAAGCGAAGGACGTATGCA</t>
  </si>
  <si>
    <t xml:space="preserve">SU-047-01</t>
  </si>
  <si>
    <t xml:space="preserve">MSTRG.642_B3_P1_01</t>
  </si>
  <si>
    <t xml:space="preserve">GTCCCTGCCTCTATATCTTTTAATTATAAAAAATACCGACCAATT</t>
  </si>
  <si>
    <t xml:space="preserve">MSTRG.642_B3_P2_01</t>
  </si>
  <si>
    <t xml:space="preserve">AGGTATAGGTATACTTACAAACTTTTTCCACTCAACTTTAACCCG</t>
  </si>
  <si>
    <t xml:space="preserve">B3_P1_MSTRG.642</t>
  </si>
  <si>
    <t xml:space="preserve">B3_P2_MSTRG.642</t>
  </si>
  <si>
    <t xml:space="preserve">TAATTATAAAAAATACCGACCAATT</t>
  </si>
  <si>
    <t xml:space="preserve">AGGTATAGGTATACTTACAAACTTT</t>
  </si>
  <si>
    <t xml:space="preserve">SU-047-02</t>
  </si>
  <si>
    <t xml:space="preserve">MSTRG.642_B3_P1_02</t>
  </si>
  <si>
    <t xml:space="preserve">GTCCCTGCCTCTATATCTTTTGTCTACTTACTACTTGTCGTTACT</t>
  </si>
  <si>
    <t xml:space="preserve">MSTRG.642_B3_P2_02</t>
  </si>
  <si>
    <t xml:space="preserve">GGGACCGCCTGACCTACTTTGTATGTTCCACTCAACTTTAACCCG</t>
  </si>
  <si>
    <t xml:space="preserve">TGTCTACTTACTACTTGTCGTTACT</t>
  </si>
  <si>
    <t xml:space="preserve">GGGACCGCCTGACCTACTTTGTATG</t>
  </si>
  <si>
    <t xml:space="preserve">SU-047-03</t>
  </si>
  <si>
    <t xml:space="preserve">MSTRG.642_B3_P1_03</t>
  </si>
  <si>
    <t xml:space="preserve">GTCCCTGCCTCTATATCTTTAGCTATTCGTGATACCAGATACCTA</t>
  </si>
  <si>
    <t xml:space="preserve">MSTRG.642_B3_P2_03</t>
  </si>
  <si>
    <t xml:space="preserve">TTTGGTCAATGGAAATTAACCTTCTTTCCACTCAACTTTAACCCG</t>
  </si>
  <si>
    <t xml:space="preserve">AGCTATTCGTGATACCAGATACCTA</t>
  </si>
  <si>
    <t xml:space="preserve">TTTGGTCAATGGAAATTAACCTTCT</t>
  </si>
  <si>
    <t xml:space="preserve">SU-048-01</t>
  </si>
  <si>
    <t xml:space="preserve">pcs_B3_P1_01</t>
  </si>
  <si>
    <t xml:space="preserve">GTCCCTGCCTCTATATCTTTATGAGACGTTGTAACTTATCTATTT</t>
  </si>
  <si>
    <t xml:space="preserve">pcs_B3_P2_01</t>
  </si>
  <si>
    <t xml:space="preserve">TGGGCATATCTGTACTTGGCGTCCGTTCCACTCAACTTTAACCCG</t>
  </si>
  <si>
    <t xml:space="preserve">B3_P1_pcs2</t>
  </si>
  <si>
    <t xml:space="preserve">B3_P2_pcs2</t>
  </si>
  <si>
    <t xml:space="preserve">ATGAGACGTTGTAACTTATCTATTT</t>
  </si>
  <si>
    <t xml:space="preserve">TGGGCATATCTGTACTTGGCGTCCG</t>
  </si>
  <si>
    <t xml:space="preserve">SU-048-02</t>
  </si>
  <si>
    <t xml:space="preserve">pcs_B3_P1_02</t>
  </si>
  <si>
    <t xml:space="preserve">GTCCCTGCCTCTATATCTTTTTCAGAGCTAGTTCTCTCACACGCA</t>
  </si>
  <si>
    <t xml:space="preserve">pcs_B3_P2_02</t>
  </si>
  <si>
    <t xml:space="preserve">GTCTCCACGTCGGTTCTGTCTATAGTTCCACTCAACTTTAACCCG</t>
  </si>
  <si>
    <t xml:space="preserve">B3_P1_pcs4</t>
  </si>
  <si>
    <t xml:space="preserve">B3_P2_pcs4</t>
  </si>
  <si>
    <t xml:space="preserve">TTCAGAGCTAGTTCTCTCACACGCA</t>
  </si>
  <si>
    <t xml:space="preserve">GTCTCCACGTCGGTTCTGTCTATAG</t>
  </si>
  <si>
    <t xml:space="preserve">SU-048-03</t>
  </si>
  <si>
    <t xml:space="preserve">pcs_B3_P1_03</t>
  </si>
  <si>
    <t xml:space="preserve">GTCCCTGCCTCTATATCTTTCATCTAGCGACATCATACTTTTAGA</t>
  </si>
  <si>
    <t xml:space="preserve">pcs_B3_P2_03</t>
  </si>
  <si>
    <t xml:space="preserve">TCGTCGCATCTCTAGCCAGAGCTAATTCCACTCAACTTTAACCCG</t>
  </si>
  <si>
    <t xml:space="preserve">B3_P1_pcs7</t>
  </si>
  <si>
    <t xml:space="preserve">B3_P2_pcs7</t>
  </si>
  <si>
    <t xml:space="preserve">CATCTAGCGACATCATACTTTTAGA</t>
  </si>
  <si>
    <t xml:space="preserve">TCGTCGCATCTCTAGCCAGAGCTAA</t>
  </si>
  <si>
    <t xml:space="preserve">SU-048-04</t>
  </si>
  <si>
    <t xml:space="preserve">pcs_B3_P1_04</t>
  </si>
  <si>
    <t xml:space="preserve">GTCCCTGCCTCTATATCTTTTCCTTTGGTGCTCGCGACCACTTTC</t>
  </si>
  <si>
    <t xml:space="preserve">pcs_B3_P2_04</t>
  </si>
  <si>
    <t xml:space="preserve">TTTCAGCTGCGATATACGCGGCAGCTTCCACTCAACTTTAACCCG</t>
  </si>
  <si>
    <t xml:space="preserve">B3_P1_pcs1</t>
  </si>
  <si>
    <t xml:space="preserve">B3_P2_pcs1</t>
  </si>
  <si>
    <t xml:space="preserve">TCCTTTGGTGCTCGCGACCACTTTC</t>
  </si>
  <si>
    <t xml:space="preserve">TTTCAGCTGCGATATACGCGGCAGC</t>
  </si>
  <si>
    <t xml:space="preserve">SU-048-05</t>
  </si>
  <si>
    <t xml:space="preserve">pcs_B3_P1_05</t>
  </si>
  <si>
    <t xml:space="preserve">GTCCCTGCCTCTATATCTTTCTCCTCTGCGTCTATGTATTTCTTC</t>
  </si>
  <si>
    <t xml:space="preserve">pcs_B3_P2_05</t>
  </si>
  <si>
    <t xml:space="preserve">GTATAGAGTCCTTCCCTGGTGGATATTCCACTCAACTTTAACCCG</t>
  </si>
  <si>
    <t xml:space="preserve">B3_P1_pcs3</t>
  </si>
  <si>
    <t xml:space="preserve">B3_P2_pcs3</t>
  </si>
  <si>
    <t xml:space="preserve">CTCCTCTGCGTCTATGTATTTCTTC</t>
  </si>
  <si>
    <t xml:space="preserve">GTATAGAGTCCTTCCCTGGTGGATA</t>
  </si>
  <si>
    <t xml:space="preserve">SU-048-06</t>
  </si>
  <si>
    <t xml:space="preserve">pcs_B3_P1_06</t>
  </si>
  <si>
    <t xml:space="preserve">GTCCCTGCCTCTATATCTTTGTTGATCTAGTTTATTGATCGTTTC</t>
  </si>
  <si>
    <t xml:space="preserve">pcs_B3_P2_06</t>
  </si>
  <si>
    <t xml:space="preserve">GTTGATTCGTTTCTTTAATCATCAATTCCACTCAACTTTAACCCG</t>
  </si>
  <si>
    <t xml:space="preserve">B3_P1_pcs5</t>
  </si>
  <si>
    <t xml:space="preserve">B3_P2_pcs5</t>
  </si>
  <si>
    <t xml:space="preserve">GTTGATCTAGTTTATTGATCGTTTC</t>
  </si>
  <si>
    <t xml:space="preserve">GTTGATTCGTTTCTTTAATCATCAA</t>
  </si>
  <si>
    <t xml:space="preserve">SU-048-07</t>
  </si>
  <si>
    <t xml:space="preserve">pcs_B3_P1_07</t>
  </si>
  <si>
    <t xml:space="preserve">GTCCCTGCCTCTATATCTTTTGATGGAGCGCTCGAGTTTCTAGCA</t>
  </si>
  <si>
    <t xml:space="preserve">pcs_B3_P2_07</t>
  </si>
  <si>
    <t xml:space="preserve">ATATTTGTTGCCAGTGTTAGTACTATTCCACTCAACTTTAACCCG</t>
  </si>
  <si>
    <t xml:space="preserve">B3_P1_pcs6</t>
  </si>
  <si>
    <t xml:space="preserve">B3_P2_pcs6</t>
  </si>
  <si>
    <t xml:space="preserve">TGATGGAGCGCTCGAGTTTCTAGCA</t>
  </si>
  <si>
    <t xml:space="preserve">ATATTTGTTGCCAGTGTTAGTACTA</t>
  </si>
  <si>
    <t xml:space="preserve">SU-048-08</t>
  </si>
  <si>
    <t xml:space="preserve">pcs_B3_P1_08</t>
  </si>
  <si>
    <t xml:space="preserve">GTCCCTGCCTCTATATCTTTCGTTGGGGATTTGTCTTCAATAACT</t>
  </si>
  <si>
    <t xml:space="preserve">pcs_B3_P2_08</t>
  </si>
  <si>
    <t xml:space="preserve">GTCAGAATTACTTTCCGTGTACGTTTTCCACTCAACTTTAACCCG</t>
  </si>
  <si>
    <t xml:space="preserve">B3_P1_pcs8</t>
  </si>
  <si>
    <t xml:space="preserve">B3_P2_pcs8</t>
  </si>
  <si>
    <t xml:space="preserve">CGTTGGGGATTTGTCTTCAATAACT</t>
  </si>
  <si>
    <t xml:space="preserve">GTCAGAATTACTTTCCGTGTACGTT</t>
  </si>
  <si>
    <t xml:space="preserve">SU-049-01</t>
  </si>
  <si>
    <t xml:space="preserve">spalt_B3_P1_01</t>
  </si>
  <si>
    <t xml:space="preserve">GTCCCTGCCTCTATATCTTTATCCGGCATGGCATTGCCAACATCT</t>
  </si>
  <si>
    <t xml:space="preserve">spalt_B3_P2_01</t>
  </si>
  <si>
    <t xml:space="preserve">GTGCGCCTCTGGCCTATCTCTCGCTTTCCACTCAACTTTAACCCG</t>
  </si>
  <si>
    <t xml:space="preserve">spalt1_HCR_P1B3</t>
  </si>
  <si>
    <t xml:space="preserve">spalt1_HCR_P2B3</t>
  </si>
  <si>
    <t xml:space="preserve">ATCCGGCATGGCATTGCCAACATCT</t>
  </si>
  <si>
    <t xml:space="preserve">GTGCGCCTCTGGCCTATCTCTCGCT</t>
  </si>
  <si>
    <t xml:space="preserve">SU-049-02</t>
  </si>
  <si>
    <t xml:space="preserve">spalt_B3_P1_02</t>
  </si>
  <si>
    <t xml:space="preserve">GTCCCTGCCTCTATATCTTTGTGCATCCTCTCTTCACCCATTTGC</t>
  </si>
  <si>
    <t xml:space="preserve">spalt_B3_P2_02</t>
  </si>
  <si>
    <t xml:space="preserve">CGACACTACCATATCCTCTGGATCGTTCCACTCAACTTTAACCCG</t>
  </si>
  <si>
    <t xml:space="preserve">spalt2_HCR_P1B3</t>
  </si>
  <si>
    <t xml:space="preserve">spalt2_HCR_P2B3</t>
  </si>
  <si>
    <t xml:space="preserve">GTGCATCCTCTCTTCACCCATTTGC</t>
  </si>
  <si>
    <t xml:space="preserve">CGACACTACCATATCCTCTGGATCG</t>
  </si>
  <si>
    <t xml:space="preserve">SU-049-03</t>
  </si>
  <si>
    <t xml:space="preserve">spalt_B3_P1_03</t>
  </si>
  <si>
    <t xml:space="preserve">GTCCCTGCCTCTATATCTTTATTTCGGCCTCGCCGTCTTCGAGAC</t>
  </si>
  <si>
    <t xml:space="preserve">spalt_B3_P2_03</t>
  </si>
  <si>
    <t xml:space="preserve">CCCACGGGGGGCATGTCGGCTTCAGTTCCACTCAACTTTAACCCG</t>
  </si>
  <si>
    <t xml:space="preserve">spalt3_HCR_P1B3</t>
  </si>
  <si>
    <t xml:space="preserve">spalt3_HCR_P2B3</t>
  </si>
  <si>
    <t xml:space="preserve">ATTTCGGCCTCGCCGTCTTCGAGAC</t>
  </si>
  <si>
    <t xml:space="preserve">CCCACGGGGGGCATGTCGGCTTCAG</t>
  </si>
  <si>
    <t xml:space="preserve">SU-049-04</t>
  </si>
  <si>
    <t xml:space="preserve">spalt_B3_P1_04</t>
  </si>
  <si>
    <t xml:space="preserve">GTCCCTGCCTCTATATCTTTGTGTGGATCGTCTTCTTTCCGTCGA</t>
  </si>
  <si>
    <t xml:space="preserve">spalt_B3_P2_04</t>
  </si>
  <si>
    <t xml:space="preserve">CTGTTCTGGTTCACTTGGCGGTGGGTTCCACTCAACTTTAACCCG</t>
  </si>
  <si>
    <t xml:space="preserve">spalt5_HCR_P1B3</t>
  </si>
  <si>
    <t xml:space="preserve">spalt5_HCR_P2B3</t>
  </si>
  <si>
    <t xml:space="preserve">GTGTGGATCGTCTTCTTTCCGTCGA</t>
  </si>
  <si>
    <t xml:space="preserve">CTGTTCTGGTTCACTTGGCGGTGGG</t>
  </si>
  <si>
    <t xml:space="preserve">SU-049-05</t>
  </si>
  <si>
    <t xml:space="preserve">spalt_B3_P1_05</t>
  </si>
  <si>
    <t xml:space="preserve">GTCCCTGCCTCTATATCTTTGAGTCGACGGCAAACTTTGGCTAGT</t>
  </si>
  <si>
    <t xml:space="preserve">spalt_B3_P2_05</t>
  </si>
  <si>
    <t xml:space="preserve">GTTCAGTTTTGGGTGTGTGATGTGTTTCCACTCAACTTTAACCCG</t>
  </si>
  <si>
    <t xml:space="preserve">spalt6_HCR_P1B3</t>
  </si>
  <si>
    <t xml:space="preserve">spalt6_HCR_P2B3</t>
  </si>
  <si>
    <t xml:space="preserve">GAGTCGACGGCAAACTTTGGCTAGT</t>
  </si>
  <si>
    <t xml:space="preserve">GTTCAGTTTTGGGTGTGTGATGTGT</t>
  </si>
  <si>
    <t xml:space="preserve">SU-049-06</t>
  </si>
  <si>
    <t xml:space="preserve">spalt_B3_P1_06</t>
  </si>
  <si>
    <t xml:space="preserve">GTCCCTGCCTCTATATCTTTAGGATCATTGTTTGTTATGATGGAA</t>
  </si>
  <si>
    <t xml:space="preserve">spalt_B3_P2_06</t>
  </si>
  <si>
    <t xml:space="preserve">TGTGTTTGGTTCATTTAGGGACGGTTTCCACTCAACTTTAACCCG</t>
  </si>
  <si>
    <t xml:space="preserve">spalt7_HCR_P1B3</t>
  </si>
  <si>
    <t xml:space="preserve">spalt7_HCR_P2B3</t>
  </si>
  <si>
    <t xml:space="preserve">AGGATCATTGTTTGTTATGATGGAA</t>
  </si>
  <si>
    <t xml:space="preserve">TGTGTTTGGTTCATTTAGGGACGGT</t>
  </si>
  <si>
    <t xml:space="preserve">SU-049-07</t>
  </si>
  <si>
    <t xml:space="preserve">spalt_B3_P1_07</t>
  </si>
  <si>
    <t xml:space="preserve">GTCCCTGCCTCTATATCTTTATTTTTCCGGATTTTCGAAAAGCTA</t>
  </si>
  <si>
    <t xml:space="preserve">spalt_B3_P2_07</t>
  </si>
  <si>
    <t xml:space="preserve">CCACCACTTTTTCCATCATAAGGTGTTCCACTCAACTTTAACCCG</t>
  </si>
  <si>
    <t xml:space="preserve">spalt8_HCR_P1B3</t>
  </si>
  <si>
    <t xml:space="preserve">spalt8_HCR_P2B3</t>
  </si>
  <si>
    <t xml:space="preserve">ATTTTTCCGGATTTTCGAAAAGCTA</t>
  </si>
  <si>
    <t xml:space="preserve">CCACCACTTTTTCCATCATAAGGTG</t>
  </si>
  <si>
    <t xml:space="preserve">SU-049-08</t>
  </si>
  <si>
    <t xml:space="preserve">spalt_B3_P1_08</t>
  </si>
  <si>
    <t xml:space="preserve">GTCCCTGCCTCTATATCTTTCGTTATTCGCATTATTTGCCATCGC</t>
  </si>
  <si>
    <t xml:space="preserve">spalt_B3_P2_08</t>
  </si>
  <si>
    <t xml:space="preserve">ACACTTGTAATTCTTGTATAGCAGCTTCCACTCAACTTTAACCCG</t>
  </si>
  <si>
    <t xml:space="preserve">spalt4_HCR_P1B3</t>
  </si>
  <si>
    <t xml:space="preserve">spalt4_HCR_P2B3</t>
  </si>
  <si>
    <t xml:space="preserve">CGTTATTCGCATTATTTGCCATCGC</t>
  </si>
  <si>
    <t xml:space="preserve">ACACTTGTAATTCTTGTATAGCAGC</t>
  </si>
  <si>
    <t xml:space="preserve">SU-050-01</t>
  </si>
  <si>
    <t xml:space="preserve">Su-H_B3_P1_01</t>
  </si>
  <si>
    <t xml:space="preserve">GTCCCTGCCTCTATATCTTTATCTGATATGTACAATGTTTTGGCG</t>
  </si>
  <si>
    <t xml:space="preserve">Su-H_B3_P2_01</t>
  </si>
  <si>
    <t xml:space="preserve">GAGCATAAAATGTTTGCGCTTGTCTTTCCACTCAACTTTAACCCG</t>
  </si>
  <si>
    <t xml:space="preserve">B3_P1_Su(H)_1</t>
  </si>
  <si>
    <t xml:space="preserve">B3_P2_Su(H)_1</t>
  </si>
  <si>
    <t xml:space="preserve">ATCTGATATGTACAATGTTTTGGCG</t>
  </si>
  <si>
    <t xml:space="preserve">GAGCATAAAATGTTTGCGCTTGTCT</t>
  </si>
  <si>
    <t xml:space="preserve">SU-050-02</t>
  </si>
  <si>
    <t xml:space="preserve">Su-H_B3_P1_02</t>
  </si>
  <si>
    <t xml:space="preserve">GTCCCTGCCTCTATATCTTTATCATGGCCGTTGCCATAGAACATC</t>
  </si>
  <si>
    <t xml:space="preserve">Su-H_B3_P2_02</t>
  </si>
  <si>
    <t xml:space="preserve">TATTCTTTTACTATTAAATATTCCATTCCACTCAACTTTAACCCG</t>
  </si>
  <si>
    <t xml:space="preserve">B3_P1_Su(H)_2</t>
  </si>
  <si>
    <t xml:space="preserve">B3_P2_Su(H)_2</t>
  </si>
  <si>
    <t xml:space="preserve">ATCATGGCCGTTGCCATAGAACATC</t>
  </si>
  <si>
    <t xml:space="preserve">TATTCTTTTACTATTAAATATTCCA</t>
  </si>
  <si>
    <t xml:space="preserve">SU-050-03</t>
  </si>
  <si>
    <t xml:space="preserve">Su-H_B3_P1_03</t>
  </si>
  <si>
    <t xml:space="preserve">GTCCCTGCCTCTATATCTTTCGCATGGAAATTTCCATTCTCAACA</t>
  </si>
  <si>
    <t xml:space="preserve">Su-H_B3_P2_03</t>
  </si>
  <si>
    <t xml:space="preserve">CGTGAACGCTCCCCACTGAGTGGACTTCCACTCAACTTTAACCCG</t>
  </si>
  <si>
    <t xml:space="preserve">B3_P1_Su(H)_3</t>
  </si>
  <si>
    <t xml:space="preserve">B3_P2_Su(H)_3</t>
  </si>
  <si>
    <t xml:space="preserve">CGCATGGAAATTTCCATTCTCAACA</t>
  </si>
  <si>
    <t xml:space="preserve">CGTGAACGCTCCCCACTGAGTGGAC</t>
  </si>
  <si>
    <t xml:space="preserve">SU-050-04</t>
  </si>
  <si>
    <t xml:space="preserve">Su-H_B3_P1_04</t>
  </si>
  <si>
    <t xml:space="preserve">GTCCCTGCCTCTATATCTTTGCACACAAGTTTTACAGTGGACCCA</t>
  </si>
  <si>
    <t xml:space="preserve">Su-H_B3_P2_04</t>
  </si>
  <si>
    <t xml:space="preserve">TCTCGGCAGTGCCATGCCTGTCACTTTCCACTCAACTTTAACCCG</t>
  </si>
  <si>
    <t xml:space="preserve">B3_P1_Su(H)_4</t>
  </si>
  <si>
    <t xml:space="preserve">B3_P2_Su(H)_4</t>
  </si>
  <si>
    <t xml:space="preserve">GCACACAAGTTTTACAGTGGACCCA</t>
  </si>
  <si>
    <t xml:space="preserve">TCTCGGCAGTGCCATGCCTGTCACT</t>
  </si>
  <si>
    <t xml:space="preserve">SU-051-01</t>
  </si>
  <si>
    <t xml:space="preserve">Syn1A_B3_P1_01</t>
  </si>
  <si>
    <t xml:space="preserve">GTCCCTGCCTCTATATCTTTAGTGCTGGGTTTTTCTTATCCTGAG</t>
  </si>
  <si>
    <t xml:space="preserve">Syn1A_B3_P2_01</t>
  </si>
  <si>
    <t xml:space="preserve">CCTCAACGAACTTGCGCGAGAGGGTTTCCACTCAACTTTAACCCG</t>
  </si>
  <si>
    <t xml:space="preserve">B3_P1_Syn1A2</t>
  </si>
  <si>
    <t xml:space="preserve">B3_P2_Syn1A2</t>
  </si>
  <si>
    <t xml:space="preserve">AGTGCTGGGTTTTTCTTATCCTGAG</t>
  </si>
  <si>
    <t xml:space="preserve">CCTCAACGAACTTGCGCGAGAGGGT</t>
  </si>
  <si>
    <t xml:space="preserve">SU-051-02</t>
  </si>
  <si>
    <t xml:space="preserve">Syn1A_B3_P1_02</t>
  </si>
  <si>
    <t xml:space="preserve">GTCCCTGCCTCTATATCTTTGTTCTTGCATCGATCTCGGTAGTCC</t>
  </si>
  <si>
    <t xml:space="preserve">Syn1A_B3_P2_02</t>
  </si>
  <si>
    <t xml:space="preserve">GGTGATCTCGAGCTGTCGCAGTATCTTCCACTCAACTTTAACCCG</t>
  </si>
  <si>
    <t xml:space="preserve">B3_P1_Syn1A3</t>
  </si>
  <si>
    <t xml:space="preserve">B3_P2_Syn1A3</t>
  </si>
  <si>
    <t xml:space="preserve">GTTCTTGCATCGATCTCGGTAGTCC</t>
  </si>
  <si>
    <t xml:space="preserve">GGTGATCTCGAGCTGTCGCAGTATC</t>
  </si>
  <si>
    <t xml:space="preserve">SU-051-03</t>
  </si>
  <si>
    <t xml:space="preserve">Syn1A_B3_P1_03</t>
  </si>
  <si>
    <t xml:space="preserve">GTCCCTGCCTCTATATCTTTGGATTATCCTGCTCCAGCATAGCCT</t>
  </si>
  <si>
    <t xml:space="preserve">Syn1A_B3_P2_03</t>
  </si>
  <si>
    <t xml:space="preserve">ATTATTATCCCCTGCGTGAATACAGTTCCACTCAACTTTAACCCG</t>
  </si>
  <si>
    <t xml:space="preserve">B3_P1_Syn1A4</t>
  </si>
  <si>
    <t xml:space="preserve">B3_P2_Syn1A4</t>
  </si>
  <si>
    <t xml:space="preserve">GGATTATCCTGCTCCAGCATAGCCT</t>
  </si>
  <si>
    <t xml:space="preserve">ATTATTATCCCCTGCGTGAATACAG</t>
  </si>
  <si>
    <t xml:space="preserve">SU-051-04</t>
  </si>
  <si>
    <t xml:space="preserve">Syn1A_B3_P1_04</t>
  </si>
  <si>
    <t xml:space="preserve">GTCCCTGCCTCTATATCTTTACCCTGACTCTCGACGAGCATCGCC</t>
  </si>
  <si>
    <t xml:space="preserve">Syn1A_B3_P2_04</t>
  </si>
  <si>
    <t xml:space="preserve">ATGATACTCAATGCGGTCGATCATCTTCCACTCAACTTTAACCCG</t>
  </si>
  <si>
    <t xml:space="preserve">B3_P1_Syn1A6</t>
  </si>
  <si>
    <t xml:space="preserve">B3_P2_Syn1A6</t>
  </si>
  <si>
    <t xml:space="preserve">ACCCTGACTCTCGACGAGCATCGCC</t>
  </si>
  <si>
    <t xml:space="preserve">ATGATACTCAATGCGGTCGATCATC</t>
  </si>
  <si>
    <t xml:space="preserve">SU-051-05</t>
  </si>
  <si>
    <t xml:space="preserve">Syn1A_B3_P1_05</t>
  </si>
  <si>
    <t xml:space="preserve">GTCCCTGCCTCTATATCTTTGCCTTCTTTGTGTCTTGTGTCGCAG</t>
  </si>
  <si>
    <t xml:space="preserve">Syn1A_B3_P2_05</t>
  </si>
  <si>
    <t xml:space="preserve">CGTCGAGCTTTGCTCTGATACTTTATTCCACTCAACTTTAACCCG</t>
  </si>
  <si>
    <t xml:space="preserve">B3_P1_Syn1A7</t>
  </si>
  <si>
    <t xml:space="preserve">B3_P2_Syn1A7</t>
  </si>
  <si>
    <t xml:space="preserve">GCCTTCTTTGTGTCTTGTGTCGCAG</t>
  </si>
  <si>
    <t xml:space="preserve">CGTCGAGCTTTGCTCTGATACTTTA</t>
  </si>
  <si>
    <t xml:space="preserve">SU-051-06</t>
  </si>
  <si>
    <t xml:space="preserve">Syn1A_B3_P1_06</t>
  </si>
  <si>
    <t xml:space="preserve">GTCCCTGCCTCTATATCTTTTTATTAATATAACCAGCGTAACTGA</t>
  </si>
  <si>
    <t xml:space="preserve">Syn1A_B3_P2_06</t>
  </si>
  <si>
    <t xml:space="preserve">TCACTTCAGCACGACAGCGAGCACTTCCACTCAACTTTAACCCG</t>
  </si>
  <si>
    <t xml:space="preserve">B3_P1_Syn1A8</t>
  </si>
  <si>
    <t xml:space="preserve">B3_P2_Syn1A8</t>
  </si>
  <si>
    <t xml:space="preserve">TTATTAATATAACCAGCGTAACTGA</t>
  </si>
  <si>
    <t xml:space="preserve">TCACTTCAGCACGACAGCGAGCAC</t>
  </si>
  <si>
    <t xml:space="preserve">P2 arm 24 nt</t>
  </si>
  <si>
    <t xml:space="preserve">SU-051-07</t>
  </si>
  <si>
    <t xml:space="preserve">Syn1A_B3_P1_07</t>
  </si>
  <si>
    <t xml:space="preserve">GTCCCTGCCTCTATATCTTTGTAGCAGTGATTCTACCACTATTTT</t>
  </si>
  <si>
    <t xml:space="preserve">Syn1A_B3_P2_07</t>
  </si>
  <si>
    <t xml:space="preserve">TCCTGTTCGATGTTCTGCTCTATGTTTCCACTCAACTTTAACCCG</t>
  </si>
  <si>
    <t xml:space="preserve">B3_P1_Syn1A1</t>
  </si>
  <si>
    <t xml:space="preserve">B3_P2_Syn1A1</t>
  </si>
  <si>
    <t xml:space="preserve">GTAGCAGTGATTCTACCACTATTTT</t>
  </si>
  <si>
    <t xml:space="preserve">TCCTGTTCGATGTTCTGCTCTATGT</t>
  </si>
  <si>
    <t xml:space="preserve">SU-051-08</t>
  </si>
  <si>
    <t xml:space="preserve">Syn1A_B3_P1_08</t>
  </si>
  <si>
    <t xml:space="preserve">GTCCCTGCCTCTATATCTTTCGGCATGTCGCGCCTCTATGTCCGC</t>
  </si>
  <si>
    <t xml:space="preserve">Syn1A_B3_P2_08</t>
  </si>
  <si>
    <t xml:space="preserve">GGATGGACGTCTCCAATTTGATGATTTCCACTCAACTTTAACCCG</t>
  </si>
  <si>
    <t xml:space="preserve">B3_P1_Syn1A5</t>
  </si>
  <si>
    <t xml:space="preserve">B3_P2_Syn1A5</t>
  </si>
  <si>
    <t xml:space="preserve">CGGCATGTCGCGCCTCTATGTCCGC</t>
  </si>
  <si>
    <t xml:space="preserve">GGATGGACGTCTCCAATTTGATGAT</t>
  </si>
  <si>
    <t xml:space="preserve">SU-052-01</t>
  </si>
  <si>
    <t xml:space="preserve">Ubx_B3_P1_01</t>
  </si>
  <si>
    <t xml:space="preserve">GTCCCTGCCTCTATATCTTTTAAGTCCTAGGGGAAAGCCGCGGTA</t>
  </si>
  <si>
    <t xml:space="preserve">Ubx_B3_P2_01</t>
  </si>
  <si>
    <t xml:space="preserve">GGTGCAATGCATGCGGTTGGGCGTATTCCACTCAACTTTAACCCG</t>
  </si>
  <si>
    <t xml:space="preserve">B3_Ubx</t>
  </si>
  <si>
    <t xml:space="preserve">TAAGTCCTAGGGGAAAGCCGCGGTA</t>
  </si>
  <si>
    <t xml:space="preserve">GGTGCAATGCATGCGGTTGGGCGTA</t>
  </si>
  <si>
    <t xml:space="preserve">SU-052-02</t>
  </si>
  <si>
    <t xml:space="preserve">Ubx_B3_P1_02</t>
  </si>
  <si>
    <t xml:space="preserve">GTCCCTGCCTCTATATCTTTCGGGCCTCGGGCGTGCAGGCCGCGG</t>
  </si>
  <si>
    <t xml:space="preserve">Ubx_B3_P2_02</t>
  </si>
  <si>
    <t xml:space="preserve">CGGCCCGGGCTCGAGGACTCGCTGTTTCCACTCAACTTTAACCCG</t>
  </si>
  <si>
    <t xml:space="preserve">CGGGCCTCGGGCGTGCAGGCCGCGG</t>
  </si>
  <si>
    <t xml:space="preserve">CGGCCCGGGCTCGAGGACTCGCTGT</t>
  </si>
  <si>
    <t xml:space="preserve">SU-052-03</t>
  </si>
  <si>
    <t xml:space="preserve">Ubx_B3_P1_03</t>
  </si>
  <si>
    <t xml:space="preserve">GTCCCTGCCTCTATATCTTTCATTTCTATACGTCTCCTCCGCGTG</t>
  </si>
  <si>
    <t xml:space="preserve">Ubx_B3_P2_03</t>
  </si>
  <si>
    <t xml:space="preserve">TCTTTCCGTGAGACAGAGCGCGTGCTTCCACTCAACTTTAACCCG</t>
  </si>
  <si>
    <t xml:space="preserve">CATTTCTATACGTCTCCTCCGCGTG</t>
  </si>
  <si>
    <t xml:space="preserve">TCTTTCCGTGAGACAGAGCGCGTGC</t>
  </si>
  <si>
    <t xml:space="preserve">SU-052-04</t>
  </si>
  <si>
    <t xml:space="preserve">Ubx_B3_P1_04</t>
  </si>
  <si>
    <t xml:space="preserve">GTCCCTGCCTCTATATCTTTTTCGATTTTGGAACCATATTTTGAT</t>
  </si>
  <si>
    <t xml:space="preserve">Ubx_B3_P2_04</t>
  </si>
  <si>
    <t xml:space="preserve">CTTGTATTTCTTTCTTTAACTTCATTTCCACTCAACTTTAACCCG</t>
  </si>
  <si>
    <t xml:space="preserve">TTCGATTTTGGAACCATATTTTGAT</t>
  </si>
  <si>
    <t xml:space="preserve">CTTGTATTTCTTTCTTTAACTTCAT</t>
  </si>
  <si>
    <t xml:space="preserve">SU-052-05</t>
  </si>
  <si>
    <t xml:space="preserve">Ubx_B3_P1_05</t>
  </si>
  <si>
    <t xml:space="preserve">GTCCCTGCCTCTATATCTTTTTGCGCCGCCGCCGCCGCTGCCGCC</t>
  </si>
  <si>
    <t xml:space="preserve">Ubx_B3_P2_05</t>
  </si>
  <si>
    <t xml:space="preserve">TTGCTCGAGCTAGTGCTCGGGATGCTTCCACTCAACTTTAACCCG</t>
  </si>
  <si>
    <t xml:space="preserve">TTGCGCCGCCGCCGCCGCTGCCGCC</t>
  </si>
  <si>
    <t xml:space="preserve">TTGCTCGAGCTAGTGCTCGGGATGC</t>
  </si>
  <si>
    <t xml:space="preserve">SU-052-06</t>
  </si>
  <si>
    <t xml:space="preserve">Ubx_B3_P1_06</t>
  </si>
  <si>
    <t xml:space="preserve">GTCCCTGCCTCTATATCTTTAAAGAATGTTCGGCGGGCTGCGAGC</t>
  </si>
  <si>
    <t xml:space="preserve">Ubx_B3_P2_06</t>
  </si>
  <si>
    <t xml:space="preserve">TTACAAACAATTTACAAACACAAAGTTCCACTCAACTTTAACCCG</t>
  </si>
  <si>
    <t xml:space="preserve">AAAGAATGTTCGGCGGGCTGCGAGC</t>
  </si>
  <si>
    <t xml:space="preserve">TTACAAACAATTTACAAACACAAAG</t>
  </si>
  <si>
    <t xml:space="preserve">SU-052-07</t>
  </si>
  <si>
    <t xml:space="preserve">Ubx_B3_P1_07</t>
  </si>
  <si>
    <t xml:space="preserve">GTCCCTGCCTCTATATCTTTTGTGGTTGGTGGGCTGATGCTGTAC</t>
  </si>
  <si>
    <t xml:space="preserve">Ubx_B3_P2_07</t>
  </si>
  <si>
    <t xml:space="preserve">CTGCTATGGCCATCCAGGGATAGAATTCCACTCAACTTTAACCCG</t>
  </si>
  <si>
    <t xml:space="preserve">TGTGGTTGGTGGGCTGATGCTGTAC</t>
  </si>
  <si>
    <t xml:space="preserve">CTGCTATGGCCATCCAGGGATAGAA</t>
  </si>
  <si>
    <t xml:space="preserve">SU-052-08</t>
  </si>
  <si>
    <t xml:space="preserve">Ubx_B3_P1_08</t>
  </si>
  <si>
    <t xml:space="preserve">GTCCCTGCCTCTATATCTTTCTTGGCATATTGCTGCTCCCCCGCG</t>
  </si>
  <si>
    <t xml:space="preserve">Ubx_B3_P2_08</t>
  </si>
  <si>
    <t xml:space="preserve">CTGCTCGGCTGCTTTGGAGCAGTCGTTCCACTCAACTTTAACCCG</t>
  </si>
  <si>
    <t xml:space="preserve">CTTGGCATATTGCTGCTCCCCCGCG</t>
  </si>
  <si>
    <t xml:space="preserve">CTGCTCGGCTGCTTTGGAGCAGTCG</t>
  </si>
  <si>
    <t xml:space="preserve">Template_ID</t>
  </si>
  <si>
    <t xml:space="preserve">Header as written in source</t>
  </si>
  <si>
    <t xml:space="preserve">Source file</t>
  </si>
  <si>
    <t xml:space="preserve">Length (nt)</t>
  </si>
  <si>
    <t xml:space="preserve"># pairs assigned here</t>
  </si>
  <si>
    <t xml:space="preserve">Sequence (sense, 5′→3′)</t>
  </si>
  <si>
    <t xml:space="preserve">Fluorophore (lab default)</t>
  </si>
  <si>
    <t xml:space="preserve">P1 5′ initiator half</t>
  </si>
  <si>
    <t xml:space="preserve">P1 spacer</t>
  </si>
  <si>
    <t xml:space="preserve">P2 spacer</t>
  </si>
  <si>
    <t xml:space="preserve">P2 3′ initiator half</t>
  </si>
  <si>
    <t xml:space="preserve"># sets in this file</t>
  </si>
  <si>
    <t xml:space="preserve"># pairs in this file</t>
  </si>
  <si>
    <t xml:space="preserve">GAGGAGGGCAGCAAACGG</t>
  </si>
  <si>
    <t xml:space="preserve">AA</t>
  </si>
  <si>
    <t xml:space="preserve">TA</t>
  </si>
  <si>
    <t xml:space="preserve">GAAGAGTCTTCCTTTACG</t>
  </si>
  <si>
    <t xml:space="preserve">CCTCGTAAATCCTCATCA</t>
  </si>
  <si>
    <t xml:space="preserve">ATCATCCAGTAAACCGCC</t>
  </si>
  <si>
    <t xml:space="preserve">GTCCCTGCCTCTATATCT</t>
  </si>
  <si>
    <t xml:space="preserve">TT</t>
  </si>
  <si>
    <t xml:space="preserve">CCACTCAACTTTAACCCG</t>
  </si>
  <si>
    <t xml:space="preserve">B4</t>
  </si>
  <si>
    <t xml:space="preserve">AF514</t>
  </si>
  <si>
    <t xml:space="preserve">CCTCAACCTACCTCCAAC</t>
  </si>
  <si>
    <t xml:space="preserve">AT</t>
  </si>
  <si>
    <t xml:space="preserve">TCTCACCATATTCGCTTC</t>
  </si>
  <si>
    <t xml:space="preserve">B5</t>
  </si>
  <si>
    <t xml:space="preserve">AF594</t>
  </si>
  <si>
    <t xml:space="preserve">CTCACTCCCAATCTCTAT</t>
  </si>
  <si>
    <t xml:space="preserve">CTACCCTACAAATCCAAT</t>
  </si>
</sst>
</file>

<file path=xl/styles.xml><?xml version="1.0" encoding="utf-8"?>
<styleSheet xmlns="http://schemas.openxmlformats.org/spreadsheetml/2006/main">
  <numFmts count="2">
    <numFmt numFmtId="164" formatCode="General"/>
    <numFmt numFmtId="165" formatCode="0%"/>
  </numFmts>
  <fonts count="8">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color rgb="FFFFFFFF"/>
      <name val="Arial"/>
      <family val="0"/>
      <charset val="1"/>
    </font>
    <font>
      <sz val="9"/>
      <name val="Courier New"/>
      <family val="0"/>
      <charset val="1"/>
    </font>
  </fonts>
  <fills count="12">
    <fill>
      <patternFill patternType="none"/>
    </fill>
    <fill>
      <patternFill patternType="gray125"/>
    </fill>
    <fill>
      <patternFill patternType="solid">
        <fgColor rgb="FF1F3864"/>
        <bgColor rgb="FF333333"/>
      </patternFill>
    </fill>
    <fill>
      <patternFill patternType="solid">
        <fgColor rgb="FFBF8F00"/>
        <bgColor rgb="FFED7D31"/>
      </patternFill>
    </fill>
    <fill>
      <patternFill patternType="solid">
        <fgColor rgb="FFF4B084"/>
        <bgColor rgb="FFFFD966"/>
      </patternFill>
    </fill>
    <fill>
      <patternFill patternType="solid">
        <fgColor rgb="FFFFF2CC"/>
        <bgColor rgb="FFFCE4D6"/>
      </patternFill>
    </fill>
    <fill>
      <patternFill patternType="solid">
        <fgColor rgb="FFFCE4D6"/>
        <bgColor rgb="FFFFF2CC"/>
      </patternFill>
    </fill>
    <fill>
      <patternFill patternType="solid">
        <fgColor rgb="FFC00000"/>
        <bgColor rgb="FF800000"/>
      </patternFill>
    </fill>
    <fill>
      <patternFill patternType="solid">
        <fgColor rgb="FF70AD47"/>
        <bgColor rgb="FF339966"/>
      </patternFill>
    </fill>
    <fill>
      <patternFill patternType="solid">
        <fgColor rgb="FFE2EFDA"/>
        <bgColor rgb="FFFCE4D6"/>
      </patternFill>
    </fill>
    <fill>
      <patternFill patternType="solid">
        <fgColor rgb="FFFFD966"/>
        <bgColor rgb="FFF4B084"/>
      </patternFill>
    </fill>
    <fill>
      <patternFill patternType="solid">
        <fgColor rgb="FFED7D31"/>
        <bgColor rgb="FFFF8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6" fillId="3"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5" fillId="8"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5" fillId="9" borderId="0" xfId="0" applyFont="true" applyBorder="false" applyAlignment="false" applyProtection="false">
      <alignment horizontal="general" vertical="bottom" textRotation="0" wrapText="false" indent="0" shrinkToFit="false"/>
      <protection locked="true" hidden="false"/>
    </xf>
    <xf numFmtId="164" fontId="5" fillId="10" borderId="0" xfId="0" applyFont="true" applyBorder="false" applyAlignment="false" applyProtection="false">
      <alignment horizontal="general" vertical="bottom" textRotation="0" wrapText="false" indent="0" shrinkToFit="false"/>
      <protection locked="true" hidden="false"/>
    </xf>
    <xf numFmtId="164" fontId="5" fillId="11"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70AD47"/>
          <bgColor rgb="FF000000"/>
        </patternFill>
      </fill>
    </dxf>
    <dxf>
      <fill>
        <patternFill patternType="solid">
          <fgColor rgb="FFC00000"/>
          <bgColor rgb="FF000000"/>
        </patternFill>
      </fill>
    </dxf>
    <dxf>
      <fill>
        <patternFill patternType="solid">
          <fgColor rgb="FFF4B084"/>
          <bgColor rgb="FF000000"/>
        </patternFill>
      </fill>
    </dxf>
    <dxf>
      <fill>
        <patternFill patternType="solid">
          <fgColor rgb="FFFCE4D6"/>
          <bgColor rgb="FF000000"/>
        </patternFill>
      </fill>
    </dxf>
    <dxf>
      <fill>
        <patternFill patternType="solid">
          <fgColor rgb="FFBF8F00"/>
          <bgColor rgb="FF000000"/>
        </patternFill>
      </fill>
    </dxf>
    <dxf>
      <fill>
        <patternFill patternType="solid">
          <fgColor rgb="FFFFF2CC"/>
          <bgColor rgb="FF000000"/>
        </patternFill>
      </fill>
    </dxf>
    <dxf>
      <fill>
        <patternFill patternType="solid">
          <fgColor rgb="FFE2EFDA"/>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4B084"/>
      <rgbColor rgb="FFCC99FF"/>
      <rgbColor rgb="FFFFD966"/>
      <rgbColor rgb="FF3366FF"/>
      <rgbColor rgb="FF33CCCC"/>
      <rgbColor rgb="FF99CC00"/>
      <rgbColor rgb="FFFFCC00"/>
      <rgbColor rgb="FFBF8F00"/>
      <rgbColor rgb="FFED7D31"/>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1" t="s">
        <v>0</v>
      </c>
    </row>
    <row r="2" customFormat="false" ht="30" hidden="false" customHeight="tru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45" hidden="false" customHeight="tru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30" hidden="false" customHeight="true" outlineLevel="0" collapsed="false">
      <c r="A8" s="2" t="s">
        <v>5</v>
      </c>
    </row>
    <row r="9" customFormat="false" ht="15" hidden="false" customHeight="false" outlineLevel="0" collapsed="false">
      <c r="A9" s="2"/>
    </row>
    <row r="10" customFormat="false" ht="15" hidden="false" customHeight="false" outlineLevel="0" collapsed="false">
      <c r="A10" s="1" t="s">
        <v>6</v>
      </c>
    </row>
    <row r="11" customFormat="false" ht="75" hidden="false" customHeight="true" outlineLevel="0" collapsed="false">
      <c r="A11" s="2" t="s">
        <v>7</v>
      </c>
    </row>
    <row r="12" customFormat="false" ht="15" hidden="false" customHeight="false" outlineLevel="0" collapsed="false">
      <c r="A12" s="2"/>
    </row>
    <row r="13" customFormat="false" ht="15" hidden="false" customHeight="false" outlineLevel="0" collapsed="false">
      <c r="A13" s="1" t="s">
        <v>8</v>
      </c>
    </row>
    <row r="14" customFormat="false" ht="60" hidden="false" customHeight="true" outlineLevel="0" collapsed="false">
      <c r="A14" s="2"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4"/>
    <col collapsed="false" customWidth="true" hidden="false" outlineLevel="0" max="3" min="3" style="0" width="20"/>
    <col collapsed="false" customWidth="true" hidden="false" outlineLevel="0" max="4" min="4" style="0" width="34"/>
    <col collapsed="false" customWidth="true" hidden="false" outlineLevel="0" max="6" min="5" style="0" width="16"/>
    <col collapsed="false" customWidth="true" hidden="false" outlineLevel="0" max="7" min="7" style="0" width="17"/>
    <col collapsed="false" customWidth="true" hidden="false" outlineLevel="0" max="8" min="8" style="0" width="18"/>
    <col collapsed="false" customWidth="true" hidden="false" outlineLevel="0" max="9" min="9" style="0" width="10"/>
    <col collapsed="false" customWidth="true" hidden="false" outlineLevel="0" max="10" min="10" style="0" width="11"/>
    <col collapsed="false" customWidth="true" hidden="false" outlineLevel="0" max="11" min="11" style="0" width="8"/>
    <col collapsed="false" customWidth="true" hidden="false" outlineLevel="0" max="12" min="12" style="0" width="11"/>
    <col collapsed="false" customWidth="true" hidden="false" outlineLevel="0" max="13" min="13" style="0" width="13"/>
    <col collapsed="false" customWidth="true" hidden="false" outlineLevel="0" max="14" min="14" style="0" width="28"/>
    <col collapsed="false" customWidth="true" hidden="false" outlineLevel="0" max="15" min="15" style="0" width="30"/>
    <col collapsed="false" customWidth="true" hidden="false" outlineLevel="0" max="16" min="16" style="0" width="12"/>
    <col collapsed="false" customWidth="true" hidden="false" outlineLevel="0" max="18" min="17" style="0" width="17"/>
    <col collapsed="false" customWidth="true" hidden="false" outlineLevel="0" max="20" min="19" style="0" width="11"/>
    <col collapsed="false" customWidth="true" hidden="false" outlineLevel="0" max="22" min="21" style="0" width="34"/>
    <col collapsed="false" customWidth="true" hidden="false" outlineLevel="0" max="23" min="23" style="0" width="30"/>
    <col collapsed="false" customWidth="true" hidden="false" outlineLevel="0" max="24" min="24" style="0" width="40"/>
    <col collapsed="false" customWidth="true" hidden="false" outlineLevel="0" max="25" min="25" style="0" width="12"/>
    <col collapsed="false" customWidth="true" hidden="false" outlineLevel="0" max="26" min="26" style="0" width="16"/>
    <col collapsed="false" customWidth="true" hidden="false" outlineLevel="0" max="27" min="27" style="0" width="12"/>
    <col collapsed="false" customWidth="true" hidden="false" outlineLevel="0" max="28" min="28" style="0" width="16"/>
    <col collapsed="false" customWidth="true" hidden="false" outlineLevel="0" max="29" min="29" style="0" width="34"/>
  </cols>
  <sheetData>
    <row r="1" customFormat="false" ht="31.5" hidden="false" customHeight="true" outlineLevel="0" collapsed="false">
      <c r="A1" s="3" t="s">
        <v>10</v>
      </c>
      <c r="B1" s="3" t="s">
        <v>11</v>
      </c>
      <c r="C1" s="3" t="s">
        <v>12</v>
      </c>
      <c r="D1" s="3" t="s">
        <v>13</v>
      </c>
      <c r="E1" s="3" t="s">
        <v>14</v>
      </c>
      <c r="F1" s="3" t="s">
        <v>15</v>
      </c>
      <c r="G1" s="3" t="s">
        <v>16</v>
      </c>
      <c r="H1" s="3" t="s">
        <v>17</v>
      </c>
      <c r="I1" s="3" t="s">
        <v>18</v>
      </c>
      <c r="J1" s="3" t="s">
        <v>19</v>
      </c>
      <c r="K1" s="3" t="s">
        <v>20</v>
      </c>
      <c r="L1" s="3" t="s">
        <v>21</v>
      </c>
      <c r="M1" s="3" t="s">
        <v>22</v>
      </c>
      <c r="N1" s="3" t="s">
        <v>23</v>
      </c>
      <c r="O1" s="3" t="s">
        <v>24</v>
      </c>
      <c r="P1" s="3" t="s">
        <v>25</v>
      </c>
      <c r="Q1" s="3" t="s">
        <v>26</v>
      </c>
      <c r="R1" s="3" t="s">
        <v>27</v>
      </c>
      <c r="S1" s="3" t="s">
        <v>28</v>
      </c>
      <c r="T1" s="3" t="s">
        <v>29</v>
      </c>
      <c r="U1" s="3" t="s">
        <v>30</v>
      </c>
      <c r="V1" s="3" t="s">
        <v>31</v>
      </c>
      <c r="W1" s="3" t="s">
        <v>32</v>
      </c>
      <c r="X1" s="3" t="s">
        <v>33</v>
      </c>
      <c r="Y1" s="4" t="s">
        <v>34</v>
      </c>
      <c r="Z1" s="4" t="s">
        <v>35</v>
      </c>
      <c r="AA1" s="4" t="s">
        <v>36</v>
      </c>
      <c r="AB1" s="4" t="s">
        <v>37</v>
      </c>
      <c r="AC1" s="4" t="s">
        <v>38</v>
      </c>
    </row>
    <row r="2" customFormat="false" ht="15" hidden="false" customHeight="false" outlineLevel="0" collapsed="false">
      <c r="A2" s="5" t="s">
        <v>39</v>
      </c>
      <c r="B2" s="5" t="s">
        <v>40</v>
      </c>
      <c r="C2" s="5" t="s">
        <v>41</v>
      </c>
      <c r="D2" s="5" t="s">
        <v>42</v>
      </c>
      <c r="E2" s="5" t="s">
        <v>43</v>
      </c>
      <c r="F2" s="5" t="s">
        <v>44</v>
      </c>
      <c r="G2" s="5"/>
      <c r="H2" s="5"/>
      <c r="I2" s="6" t="s">
        <v>45</v>
      </c>
      <c r="J2" s="5" t="s">
        <v>46</v>
      </c>
      <c r="K2" s="5" t="n">
        <f aca="false">COUNTIF(Probe_Pairs!$B:$B,A2)</f>
        <v>6</v>
      </c>
      <c r="L2" s="5" t="n">
        <f aca="false">COUNTIFS(Probe_Pairs!$B:$B,A2,Probe_Pairs!$S:$S,"Both halves")</f>
        <v>0</v>
      </c>
      <c r="M2" s="5"/>
      <c r="N2" s="5" t="s">
        <v>41</v>
      </c>
      <c r="O2" s="5" t="s">
        <v>47</v>
      </c>
      <c r="P2" s="5"/>
      <c r="Q2" s="5" t="s">
        <v>48</v>
      </c>
      <c r="R2" s="5" t="s">
        <v>44</v>
      </c>
      <c r="S2" s="5" t="n">
        <f aca="false">IF(R2="","",COUNTIFS(Probe_Pairs!$B:$B,A2,Probe_Pairs!$X:$X,"Both halves"))</f>
        <v>4</v>
      </c>
      <c r="T2" s="5" t="str">
        <f aca="false">IF(R2="","",IF(S2*2&gt;=K2,"High","Low"))</f>
        <v>High</v>
      </c>
      <c r="U2" s="5" t="s">
        <v>42</v>
      </c>
      <c r="V2" s="5" t="s">
        <v>42</v>
      </c>
      <c r="W2" s="5" t="s">
        <v>49</v>
      </c>
      <c r="X2" s="5"/>
      <c r="Y2" s="7"/>
      <c r="Z2" s="7"/>
      <c r="AA2" s="7"/>
      <c r="AB2" s="7"/>
      <c r="AC2" s="7"/>
    </row>
    <row r="3" customFormat="false" ht="15" hidden="false" customHeight="false" outlineLevel="0" collapsed="false">
      <c r="A3" s="5" t="s">
        <v>50</v>
      </c>
      <c r="B3" s="5" t="s">
        <v>40</v>
      </c>
      <c r="C3" s="5" t="s">
        <v>41</v>
      </c>
      <c r="D3" s="5" t="s">
        <v>42</v>
      </c>
      <c r="E3" s="5" t="s">
        <v>43</v>
      </c>
      <c r="F3" s="5" t="s">
        <v>44</v>
      </c>
      <c r="G3" s="5"/>
      <c r="H3" s="5"/>
      <c r="I3" s="6" t="s">
        <v>45</v>
      </c>
      <c r="J3" s="5" t="s">
        <v>46</v>
      </c>
      <c r="K3" s="5" t="n">
        <f aca="false">COUNTIF(Probe_Pairs!$B:$B,A3)</f>
        <v>8</v>
      </c>
      <c r="L3" s="5" t="n">
        <f aca="false">COUNTIFS(Probe_Pairs!$B:$B,A3,Probe_Pairs!$S:$S,"Both halves")</f>
        <v>0</v>
      </c>
      <c r="M3" s="5"/>
      <c r="N3" s="5" t="s">
        <v>41</v>
      </c>
      <c r="O3" s="5" t="s">
        <v>51</v>
      </c>
      <c r="P3" s="5"/>
      <c r="Q3" s="5" t="s">
        <v>48</v>
      </c>
      <c r="R3" s="5" t="s">
        <v>44</v>
      </c>
      <c r="S3" s="5" t="n">
        <f aca="false">IF(R3="","",COUNTIFS(Probe_Pairs!$B:$B,A3,Probe_Pairs!$X:$X,"Both halves"))</f>
        <v>5</v>
      </c>
      <c r="T3" s="5" t="str">
        <f aca="false">IF(R3="","",IF(S3*2&gt;=K3,"High","Low"))</f>
        <v>High</v>
      </c>
      <c r="U3" s="5" t="s">
        <v>42</v>
      </c>
      <c r="V3" s="5" t="s">
        <v>42</v>
      </c>
      <c r="W3" s="5" t="s">
        <v>49</v>
      </c>
      <c r="X3" s="5"/>
      <c r="Y3" s="7"/>
      <c r="Z3" s="7"/>
      <c r="AA3" s="7"/>
      <c r="AB3" s="7"/>
      <c r="AC3" s="7"/>
    </row>
    <row r="4" customFormat="false" ht="15" hidden="false" customHeight="false" outlineLevel="0" collapsed="false">
      <c r="A4" s="5" t="s">
        <v>52</v>
      </c>
      <c r="B4" s="5" t="s">
        <v>40</v>
      </c>
      <c r="C4" s="5" t="s">
        <v>53</v>
      </c>
      <c r="D4" s="5" t="s">
        <v>54</v>
      </c>
      <c r="E4" s="5" t="s">
        <v>43</v>
      </c>
      <c r="F4" s="5" t="s">
        <v>55</v>
      </c>
      <c r="G4" s="5"/>
      <c r="H4" s="5"/>
      <c r="I4" s="6" t="s">
        <v>45</v>
      </c>
      <c r="J4" s="5" t="s">
        <v>46</v>
      </c>
      <c r="K4" s="5" t="n">
        <f aca="false">COUNTIF(Probe_Pairs!$B:$B,A4)</f>
        <v>5</v>
      </c>
      <c r="L4" s="5" t="n">
        <f aca="false">COUNTIFS(Probe_Pairs!$B:$B,A4,Probe_Pairs!$S:$S,"Both halves")</f>
        <v>0</v>
      </c>
      <c r="M4" s="5"/>
      <c r="N4" s="5" t="s">
        <v>53</v>
      </c>
      <c r="O4" s="5" t="s">
        <v>56</v>
      </c>
      <c r="P4" s="5"/>
      <c r="Q4" s="5" t="s">
        <v>48</v>
      </c>
      <c r="R4" s="5" t="s">
        <v>55</v>
      </c>
      <c r="S4" s="5" t="n">
        <f aca="false">IF(R4="","",COUNTIFS(Probe_Pairs!$B:$B,A4,Probe_Pairs!$X:$X,"Both halves"))</f>
        <v>3</v>
      </c>
      <c r="T4" s="5" t="str">
        <f aca="false">IF(R4="","",IF(S4*2&gt;=K4,"High","Low"))</f>
        <v>High</v>
      </c>
      <c r="U4" s="5" t="s">
        <v>54</v>
      </c>
      <c r="V4" s="5" t="s">
        <v>54</v>
      </c>
      <c r="W4" s="5" t="s">
        <v>57</v>
      </c>
      <c r="X4" s="5"/>
      <c r="Y4" s="7"/>
      <c r="Z4" s="7"/>
      <c r="AA4" s="7"/>
      <c r="AB4" s="7"/>
      <c r="AC4" s="7"/>
    </row>
    <row r="5" customFormat="false" ht="15" hidden="false" customHeight="false" outlineLevel="0" collapsed="false">
      <c r="A5" s="5" t="s">
        <v>58</v>
      </c>
      <c r="B5" s="5" t="s">
        <v>40</v>
      </c>
      <c r="C5" s="5" t="s">
        <v>59</v>
      </c>
      <c r="D5" s="5"/>
      <c r="E5" s="5" t="s">
        <v>60</v>
      </c>
      <c r="F5" s="5"/>
      <c r="G5" s="5"/>
      <c r="H5" s="5"/>
      <c r="I5" s="6" t="s">
        <v>45</v>
      </c>
      <c r="J5" s="5" t="s">
        <v>46</v>
      </c>
      <c r="K5" s="5" t="n">
        <f aca="false">COUNTIF(Probe_Pairs!$B:$B,A5)</f>
        <v>10</v>
      </c>
      <c r="L5" s="5" t="n">
        <f aca="false">COUNTIFS(Probe_Pairs!$B:$B,A5,Probe_Pairs!$S:$S,"Both halves")</f>
        <v>0</v>
      </c>
      <c r="M5" s="5"/>
      <c r="N5" s="5" t="s">
        <v>59</v>
      </c>
      <c r="O5" s="5" t="s">
        <v>61</v>
      </c>
      <c r="P5" s="5"/>
      <c r="Q5" s="5"/>
      <c r="R5" s="5"/>
      <c r="S5" s="5" t="str">
        <f aca="false">IF(R5="","",COUNTIFS(Probe_Pairs!$B:$B,A5,Probe_Pairs!$X:$X,"Both halves"))</f>
        <v/>
      </c>
      <c r="T5" s="5" t="str">
        <f aca="false">IF(R5="","",IF(S5*2&gt;=K5,"High","Low"))</f>
        <v/>
      </c>
      <c r="U5" s="5"/>
      <c r="V5" s="5"/>
      <c r="W5" s="5"/>
      <c r="X5" s="8" t="s">
        <v>62</v>
      </c>
      <c r="Y5" s="7"/>
      <c r="Z5" s="7"/>
      <c r="AA5" s="7"/>
      <c r="AB5" s="7"/>
      <c r="AC5" s="7"/>
    </row>
    <row r="6" customFormat="false" ht="15" hidden="false" customHeight="false" outlineLevel="0" collapsed="false">
      <c r="A6" s="5" t="s">
        <v>63</v>
      </c>
      <c r="B6" s="5" t="s">
        <v>40</v>
      </c>
      <c r="C6" s="5" t="s">
        <v>64</v>
      </c>
      <c r="D6" s="5" t="s">
        <v>65</v>
      </c>
      <c r="E6" s="5" t="s">
        <v>43</v>
      </c>
      <c r="F6" s="5" t="s">
        <v>66</v>
      </c>
      <c r="G6" s="5"/>
      <c r="H6" s="5"/>
      <c r="I6" s="6" t="s">
        <v>45</v>
      </c>
      <c r="J6" s="5" t="s">
        <v>46</v>
      </c>
      <c r="K6" s="5" t="n">
        <f aca="false">COUNTIF(Probe_Pairs!$B:$B,A6)</f>
        <v>8</v>
      </c>
      <c r="L6" s="5" t="n">
        <f aca="false">COUNTIFS(Probe_Pairs!$B:$B,A6,Probe_Pairs!$S:$S,"Both halves")</f>
        <v>0</v>
      </c>
      <c r="M6" s="5"/>
      <c r="N6" s="5" t="s">
        <v>67</v>
      </c>
      <c r="O6" s="5" t="s">
        <v>68</v>
      </c>
      <c r="P6" s="5"/>
      <c r="Q6" s="5" t="s">
        <v>48</v>
      </c>
      <c r="R6" s="5" t="s">
        <v>66</v>
      </c>
      <c r="S6" s="5" t="n">
        <f aca="false">IF(R6="","",COUNTIFS(Probe_Pairs!$B:$B,A6,Probe_Pairs!$X:$X,"Both halves"))</f>
        <v>5</v>
      </c>
      <c r="T6" s="5" t="str">
        <f aca="false">IF(R6="","",IF(S6*2&gt;=K6,"High","Low"))</f>
        <v>High</v>
      </c>
      <c r="U6" s="5" t="s">
        <v>65</v>
      </c>
      <c r="V6" s="5" t="s">
        <v>65</v>
      </c>
      <c r="W6" s="5" t="s">
        <v>69</v>
      </c>
      <c r="X6" s="5"/>
      <c r="Y6" s="7"/>
      <c r="Z6" s="7"/>
      <c r="AA6" s="7"/>
      <c r="AB6" s="7"/>
      <c r="AC6" s="7"/>
    </row>
    <row r="7" customFormat="false" ht="15" hidden="false" customHeight="false" outlineLevel="0" collapsed="false">
      <c r="A7" s="5" t="s">
        <v>70</v>
      </c>
      <c r="B7" s="5" t="s">
        <v>40</v>
      </c>
      <c r="C7" s="5" t="s">
        <v>71</v>
      </c>
      <c r="D7" s="5" t="s">
        <v>72</v>
      </c>
      <c r="E7" s="5" t="s">
        <v>43</v>
      </c>
      <c r="F7" s="5" t="s">
        <v>73</v>
      </c>
      <c r="G7" s="5"/>
      <c r="H7" s="5"/>
      <c r="I7" s="6" t="s">
        <v>45</v>
      </c>
      <c r="J7" s="5" t="s">
        <v>46</v>
      </c>
      <c r="K7" s="5" t="n">
        <f aca="false">COUNTIF(Probe_Pairs!$B:$B,A7)</f>
        <v>8</v>
      </c>
      <c r="L7" s="5" t="n">
        <f aca="false">COUNTIFS(Probe_Pairs!$B:$B,A7,Probe_Pairs!$S:$S,"Both halves")</f>
        <v>0</v>
      </c>
      <c r="M7" s="5"/>
      <c r="N7" s="5" t="s">
        <v>74</v>
      </c>
      <c r="O7" s="5" t="s">
        <v>68</v>
      </c>
      <c r="P7" s="5"/>
      <c r="Q7" s="5" t="s">
        <v>48</v>
      </c>
      <c r="R7" s="5" t="s">
        <v>73</v>
      </c>
      <c r="S7" s="5" t="n">
        <f aca="false">IF(R7="","",COUNTIFS(Probe_Pairs!$B:$B,A7,Probe_Pairs!$X:$X,"Both halves"))</f>
        <v>8</v>
      </c>
      <c r="T7" s="5" t="str">
        <f aca="false">IF(R7="","",IF(S7*2&gt;=K7,"High","Low"))</f>
        <v>High</v>
      </c>
      <c r="U7" s="5" t="s">
        <v>72</v>
      </c>
      <c r="V7" s="5" t="s">
        <v>75</v>
      </c>
      <c r="W7" s="5" t="s">
        <v>76</v>
      </c>
      <c r="X7" s="5"/>
      <c r="Y7" s="7"/>
      <c r="Z7" s="7"/>
      <c r="AA7" s="7"/>
      <c r="AB7" s="7"/>
      <c r="AC7" s="7"/>
    </row>
    <row r="8" customFormat="false" ht="15" hidden="false" customHeight="false" outlineLevel="0" collapsed="false">
      <c r="A8" s="5" t="s">
        <v>77</v>
      </c>
      <c r="B8" s="5" t="s">
        <v>40</v>
      </c>
      <c r="C8" s="5" t="s">
        <v>78</v>
      </c>
      <c r="D8" s="5" t="s">
        <v>79</v>
      </c>
      <c r="E8" s="5" t="s">
        <v>43</v>
      </c>
      <c r="F8" s="5" t="s">
        <v>80</v>
      </c>
      <c r="G8" s="5"/>
      <c r="H8" s="5"/>
      <c r="I8" s="6" t="s">
        <v>45</v>
      </c>
      <c r="J8" s="5" t="s">
        <v>46</v>
      </c>
      <c r="K8" s="5" t="n">
        <f aca="false">COUNTIF(Probe_Pairs!$B:$B,A8)</f>
        <v>8</v>
      </c>
      <c r="L8" s="5" t="n">
        <f aca="false">COUNTIFS(Probe_Pairs!$B:$B,A8,Probe_Pairs!$S:$S,"Both halves")</f>
        <v>0</v>
      </c>
      <c r="M8" s="5"/>
      <c r="N8" s="5" t="s">
        <v>78</v>
      </c>
      <c r="O8" s="5" t="s">
        <v>51</v>
      </c>
      <c r="P8" s="5"/>
      <c r="Q8" s="5" t="s">
        <v>48</v>
      </c>
      <c r="R8" s="5" t="s">
        <v>80</v>
      </c>
      <c r="S8" s="5" t="n">
        <f aca="false">IF(R8="","",COUNTIFS(Probe_Pairs!$B:$B,A8,Probe_Pairs!$X:$X,"Both halves"))</f>
        <v>8</v>
      </c>
      <c r="T8" s="5" t="str">
        <f aca="false">IF(R8="","",IF(S8*2&gt;=K8,"High","Low"))</f>
        <v>High</v>
      </c>
      <c r="U8" s="5" t="s">
        <v>79</v>
      </c>
      <c r="V8" s="5" t="s">
        <v>81</v>
      </c>
      <c r="W8" s="5" t="s">
        <v>82</v>
      </c>
      <c r="X8" s="5"/>
      <c r="Y8" s="7"/>
      <c r="Z8" s="7"/>
      <c r="AA8" s="7"/>
      <c r="AB8" s="7"/>
      <c r="AC8" s="7"/>
    </row>
    <row r="9" customFormat="false" ht="15" hidden="false" customHeight="false" outlineLevel="0" collapsed="false">
      <c r="A9" s="5" t="s">
        <v>83</v>
      </c>
      <c r="B9" s="5" t="s">
        <v>40</v>
      </c>
      <c r="C9" s="5" t="s">
        <v>84</v>
      </c>
      <c r="D9" s="5" t="s">
        <v>85</v>
      </c>
      <c r="E9" s="5" t="s">
        <v>43</v>
      </c>
      <c r="F9" s="5" t="s">
        <v>86</v>
      </c>
      <c r="G9" s="5"/>
      <c r="H9" s="5"/>
      <c r="I9" s="6" t="s">
        <v>45</v>
      </c>
      <c r="J9" s="5" t="s">
        <v>46</v>
      </c>
      <c r="K9" s="5" t="n">
        <f aca="false">COUNTIF(Probe_Pairs!$B:$B,A9)</f>
        <v>6</v>
      </c>
      <c r="L9" s="5" t="n">
        <f aca="false">COUNTIFS(Probe_Pairs!$B:$B,A9,Probe_Pairs!$S:$S,"Both halves")</f>
        <v>0</v>
      </c>
      <c r="M9" s="5"/>
      <c r="N9" s="5" t="s">
        <v>87</v>
      </c>
      <c r="O9" s="5" t="s">
        <v>47</v>
      </c>
      <c r="P9" s="5"/>
      <c r="Q9" s="5" t="s">
        <v>48</v>
      </c>
      <c r="R9" s="5" t="s">
        <v>86</v>
      </c>
      <c r="S9" s="5" t="n">
        <f aca="false">IF(R9="","",COUNTIFS(Probe_Pairs!$B:$B,A9,Probe_Pairs!$X:$X,"Both halves"))</f>
        <v>1</v>
      </c>
      <c r="T9" s="5" t="str">
        <f aca="false">IF(R9="","",IF(S9*2&gt;=K9,"High","Low"))</f>
        <v>Low</v>
      </c>
      <c r="U9" s="5" t="s">
        <v>85</v>
      </c>
      <c r="V9" s="5" t="s">
        <v>88</v>
      </c>
      <c r="W9" s="5" t="s">
        <v>89</v>
      </c>
      <c r="X9" s="8" t="s">
        <v>90</v>
      </c>
      <c r="Y9" s="7"/>
      <c r="Z9" s="7"/>
      <c r="AA9" s="7"/>
      <c r="AB9" s="7"/>
      <c r="AC9" s="7"/>
    </row>
    <row r="10" customFormat="false" ht="15" hidden="false" customHeight="false" outlineLevel="0" collapsed="false">
      <c r="A10" s="5" t="s">
        <v>91</v>
      </c>
      <c r="B10" s="5" t="s">
        <v>40</v>
      </c>
      <c r="C10" s="5" t="s">
        <v>92</v>
      </c>
      <c r="D10" s="5" t="s">
        <v>93</v>
      </c>
      <c r="E10" s="5" t="s">
        <v>43</v>
      </c>
      <c r="F10" s="5" t="s">
        <v>94</v>
      </c>
      <c r="G10" s="5"/>
      <c r="H10" s="5"/>
      <c r="I10" s="6" t="s">
        <v>45</v>
      </c>
      <c r="J10" s="5" t="s">
        <v>46</v>
      </c>
      <c r="K10" s="5" t="n">
        <f aca="false">COUNTIF(Probe_Pairs!$B:$B,A10)</f>
        <v>4</v>
      </c>
      <c r="L10" s="5" t="n">
        <f aca="false">COUNTIFS(Probe_Pairs!$B:$B,A10,Probe_Pairs!$S:$S,"Both halves")</f>
        <v>0</v>
      </c>
      <c r="M10" s="5"/>
      <c r="N10" s="5" t="s">
        <v>92</v>
      </c>
      <c r="O10" s="5" t="s">
        <v>95</v>
      </c>
      <c r="P10" s="5"/>
      <c r="Q10" s="5" t="s">
        <v>48</v>
      </c>
      <c r="R10" s="5" t="s">
        <v>94</v>
      </c>
      <c r="S10" s="5" t="n">
        <f aca="false">IF(R10="","",COUNTIFS(Probe_Pairs!$B:$B,A10,Probe_Pairs!$X:$X,"Both halves"))</f>
        <v>4</v>
      </c>
      <c r="T10" s="5" t="str">
        <f aca="false">IF(R10="","",IF(S10*2&gt;=K10,"High","Low"))</f>
        <v>High</v>
      </c>
      <c r="U10" s="5" t="s">
        <v>93</v>
      </c>
      <c r="V10" s="5" t="s">
        <v>96</v>
      </c>
      <c r="W10" s="5" t="s">
        <v>97</v>
      </c>
      <c r="X10" s="5"/>
      <c r="Y10" s="7"/>
      <c r="Z10" s="7"/>
      <c r="AA10" s="7"/>
      <c r="AB10" s="7"/>
      <c r="AC10" s="7"/>
    </row>
    <row r="11" customFormat="false" ht="15" hidden="false" customHeight="false" outlineLevel="0" collapsed="false">
      <c r="A11" s="5" t="s">
        <v>98</v>
      </c>
      <c r="B11" s="5" t="s">
        <v>40</v>
      </c>
      <c r="C11" s="5" t="s">
        <v>99</v>
      </c>
      <c r="D11" s="5" t="s">
        <v>100</v>
      </c>
      <c r="E11" s="5" t="s">
        <v>43</v>
      </c>
      <c r="F11" s="5" t="s">
        <v>101</v>
      </c>
      <c r="G11" s="5"/>
      <c r="H11" s="5"/>
      <c r="I11" s="6" t="s">
        <v>45</v>
      </c>
      <c r="J11" s="5" t="s">
        <v>46</v>
      </c>
      <c r="K11" s="5" t="n">
        <f aca="false">COUNTIF(Probe_Pairs!$B:$B,A11)</f>
        <v>6</v>
      </c>
      <c r="L11" s="5" t="n">
        <f aca="false">COUNTIFS(Probe_Pairs!$B:$B,A11,Probe_Pairs!$S:$S,"Both halves")</f>
        <v>0</v>
      </c>
      <c r="M11" s="5"/>
      <c r="N11" s="5" t="s">
        <v>99</v>
      </c>
      <c r="O11" s="5" t="s">
        <v>102</v>
      </c>
      <c r="P11" s="5"/>
      <c r="Q11" s="5" t="s">
        <v>48</v>
      </c>
      <c r="R11" s="5" t="s">
        <v>101</v>
      </c>
      <c r="S11" s="5" t="n">
        <f aca="false">IF(R11="","",COUNTIFS(Probe_Pairs!$B:$B,A11,Probe_Pairs!$X:$X,"Both halves"))</f>
        <v>5</v>
      </c>
      <c r="T11" s="5" t="str">
        <f aca="false">IF(R11="","",IF(S11*2&gt;=K11,"High","Low"))</f>
        <v>High</v>
      </c>
      <c r="U11" s="5" t="s">
        <v>100</v>
      </c>
      <c r="V11" s="5" t="s">
        <v>103</v>
      </c>
      <c r="W11" s="5" t="s">
        <v>104</v>
      </c>
      <c r="X11" s="8" t="s">
        <v>62</v>
      </c>
      <c r="Y11" s="7"/>
      <c r="Z11" s="7"/>
      <c r="AA11" s="7"/>
      <c r="AB11" s="7"/>
      <c r="AC11" s="7"/>
    </row>
    <row r="12" customFormat="false" ht="15" hidden="false" customHeight="false" outlineLevel="0" collapsed="false">
      <c r="A12" s="5" t="s">
        <v>105</v>
      </c>
      <c r="B12" s="5" t="s">
        <v>40</v>
      </c>
      <c r="C12" s="5" t="s">
        <v>106</v>
      </c>
      <c r="D12" s="5" t="s">
        <v>107</v>
      </c>
      <c r="E12" s="5" t="s">
        <v>43</v>
      </c>
      <c r="F12" s="5" t="s">
        <v>108</v>
      </c>
      <c r="G12" s="5"/>
      <c r="H12" s="5"/>
      <c r="I12" s="6" t="s">
        <v>45</v>
      </c>
      <c r="J12" s="5" t="s">
        <v>46</v>
      </c>
      <c r="K12" s="5" t="n">
        <f aca="false">COUNTIF(Probe_Pairs!$B:$B,A12)</f>
        <v>8</v>
      </c>
      <c r="L12" s="5" t="n">
        <f aca="false">COUNTIFS(Probe_Pairs!$B:$B,A12,Probe_Pairs!$S:$S,"Both halves")</f>
        <v>0</v>
      </c>
      <c r="M12" s="5"/>
      <c r="N12" s="5" t="s">
        <v>106</v>
      </c>
      <c r="O12" s="5" t="s">
        <v>51</v>
      </c>
      <c r="P12" s="5"/>
      <c r="Q12" s="5" t="s">
        <v>48</v>
      </c>
      <c r="R12" s="5" t="s">
        <v>108</v>
      </c>
      <c r="S12" s="5" t="n">
        <f aca="false">IF(R12="","",COUNTIFS(Probe_Pairs!$B:$B,A12,Probe_Pairs!$X:$X,"Both halves"))</f>
        <v>5</v>
      </c>
      <c r="T12" s="5" t="str">
        <f aca="false">IF(R12="","",IF(S12*2&gt;=K12,"High","Low"))</f>
        <v>High</v>
      </c>
      <c r="U12" s="5" t="s">
        <v>107</v>
      </c>
      <c r="V12" s="5" t="s">
        <v>107</v>
      </c>
      <c r="W12" s="5" t="s">
        <v>109</v>
      </c>
      <c r="X12" s="5"/>
      <c r="Y12" s="7"/>
      <c r="Z12" s="7"/>
      <c r="AA12" s="7"/>
      <c r="AB12" s="7"/>
      <c r="AC12" s="7"/>
    </row>
    <row r="13" customFormat="false" ht="15" hidden="false" customHeight="false" outlineLevel="0" collapsed="false">
      <c r="A13" s="5" t="s">
        <v>110</v>
      </c>
      <c r="B13" s="5" t="s">
        <v>40</v>
      </c>
      <c r="C13" s="5" t="s">
        <v>111</v>
      </c>
      <c r="D13" s="5" t="s">
        <v>112</v>
      </c>
      <c r="E13" s="5" t="s">
        <v>43</v>
      </c>
      <c r="F13" s="5" t="s">
        <v>113</v>
      </c>
      <c r="G13" s="5"/>
      <c r="H13" s="5"/>
      <c r="I13" s="6" t="s">
        <v>45</v>
      </c>
      <c r="J13" s="5" t="s">
        <v>46</v>
      </c>
      <c r="K13" s="5" t="n">
        <f aca="false">COUNTIF(Probe_Pairs!$B:$B,A13)</f>
        <v>10</v>
      </c>
      <c r="L13" s="5" t="n">
        <f aca="false">COUNTIFS(Probe_Pairs!$B:$B,A13,Probe_Pairs!$S:$S,"Both halves")</f>
        <v>0</v>
      </c>
      <c r="M13" s="5"/>
      <c r="N13" s="5" t="s">
        <v>111</v>
      </c>
      <c r="O13" s="5" t="s">
        <v>114</v>
      </c>
      <c r="P13" s="5"/>
      <c r="Q13" s="5" t="s">
        <v>48</v>
      </c>
      <c r="R13" s="5" t="s">
        <v>113</v>
      </c>
      <c r="S13" s="5" t="n">
        <f aca="false">IF(R13="","",COUNTIFS(Probe_Pairs!$B:$B,A13,Probe_Pairs!$X:$X,"Both halves"))</f>
        <v>6</v>
      </c>
      <c r="T13" s="5" t="str">
        <f aca="false">IF(R13="","",IF(S13*2&gt;=K13,"High","Low"))</f>
        <v>High</v>
      </c>
      <c r="U13" s="5" t="s">
        <v>112</v>
      </c>
      <c r="V13" s="5" t="s">
        <v>115</v>
      </c>
      <c r="W13" s="5" t="s">
        <v>116</v>
      </c>
      <c r="X13" s="5"/>
      <c r="Y13" s="7"/>
      <c r="Z13" s="7"/>
      <c r="AA13" s="7"/>
      <c r="AB13" s="7"/>
      <c r="AC13" s="7"/>
    </row>
    <row r="14" customFormat="false" ht="15" hidden="false" customHeight="false" outlineLevel="0" collapsed="false">
      <c r="A14" s="5" t="s">
        <v>117</v>
      </c>
      <c r="B14" s="5" t="s">
        <v>40</v>
      </c>
      <c r="C14" s="5" t="s">
        <v>118</v>
      </c>
      <c r="D14" s="5"/>
      <c r="E14" s="5" t="s">
        <v>119</v>
      </c>
      <c r="F14" s="5"/>
      <c r="G14" s="5"/>
      <c r="H14" s="5"/>
      <c r="I14" s="6" t="s">
        <v>45</v>
      </c>
      <c r="J14" s="5" t="s">
        <v>46</v>
      </c>
      <c r="K14" s="5" t="n">
        <f aca="false">COUNTIF(Probe_Pairs!$B:$B,A14)</f>
        <v>6</v>
      </c>
      <c r="L14" s="5" t="n">
        <f aca="false">COUNTIFS(Probe_Pairs!$B:$B,A14,Probe_Pairs!$S:$S,"Both halves")</f>
        <v>0</v>
      </c>
      <c r="M14" s="5"/>
      <c r="N14" s="5" t="s">
        <v>118</v>
      </c>
      <c r="O14" s="5" t="s">
        <v>120</v>
      </c>
      <c r="P14" s="5"/>
      <c r="Q14" s="5"/>
      <c r="R14" s="5"/>
      <c r="S14" s="5" t="str">
        <f aca="false">IF(R14="","",COUNTIFS(Probe_Pairs!$B:$B,A14,Probe_Pairs!$X:$X,"Both halves"))</f>
        <v/>
      </c>
      <c r="T14" s="5" t="str">
        <f aca="false">IF(R14="","",IF(S14*2&gt;=K14,"High","Low"))</f>
        <v/>
      </c>
      <c r="U14" s="5"/>
      <c r="V14" s="5"/>
      <c r="W14" s="5"/>
      <c r="X14" s="5"/>
      <c r="Y14" s="7"/>
      <c r="Z14" s="7"/>
      <c r="AA14" s="7"/>
      <c r="AB14" s="7"/>
      <c r="AC14" s="7"/>
    </row>
    <row r="15" customFormat="false" ht="15" hidden="false" customHeight="false" outlineLevel="0" collapsed="false">
      <c r="A15" s="5" t="s">
        <v>121</v>
      </c>
      <c r="B15" s="5" t="s">
        <v>40</v>
      </c>
      <c r="C15" s="5" t="s">
        <v>122</v>
      </c>
      <c r="D15" s="5" t="s">
        <v>123</v>
      </c>
      <c r="E15" s="5" t="s">
        <v>43</v>
      </c>
      <c r="F15" s="5" t="s">
        <v>124</v>
      </c>
      <c r="G15" s="5"/>
      <c r="H15" s="5"/>
      <c r="I15" s="6" t="s">
        <v>45</v>
      </c>
      <c r="J15" s="5" t="s">
        <v>46</v>
      </c>
      <c r="K15" s="5" t="n">
        <f aca="false">COUNTIF(Probe_Pairs!$B:$B,A15)</f>
        <v>8</v>
      </c>
      <c r="L15" s="5" t="n">
        <f aca="false">COUNTIFS(Probe_Pairs!$B:$B,A15,Probe_Pairs!$S:$S,"Both halves")</f>
        <v>0</v>
      </c>
      <c r="M15" s="5"/>
      <c r="N15" s="5" t="s">
        <v>125</v>
      </c>
      <c r="O15" s="5" t="s">
        <v>126</v>
      </c>
      <c r="P15" s="5"/>
      <c r="Q15" s="5" t="s">
        <v>48</v>
      </c>
      <c r="R15" s="5" t="s">
        <v>124</v>
      </c>
      <c r="S15" s="5" t="n">
        <f aca="false">IF(R15="","",COUNTIFS(Probe_Pairs!$B:$B,A15,Probe_Pairs!$X:$X,"Both halves"))</f>
        <v>6</v>
      </c>
      <c r="T15" s="5" t="str">
        <f aca="false">IF(R15="","",IF(S15*2&gt;=K15,"High","Low"))</f>
        <v>High</v>
      </c>
      <c r="U15" s="5" t="s">
        <v>123</v>
      </c>
      <c r="V15" s="5" t="s">
        <v>127</v>
      </c>
      <c r="W15" s="5" t="s">
        <v>128</v>
      </c>
      <c r="X15" s="8" t="s">
        <v>129</v>
      </c>
      <c r="Y15" s="7"/>
      <c r="Z15" s="7"/>
      <c r="AA15" s="7"/>
      <c r="AB15" s="7"/>
      <c r="AC15" s="7" t="s">
        <v>130</v>
      </c>
    </row>
    <row r="16" customFormat="false" ht="15" hidden="false" customHeight="false" outlineLevel="0" collapsed="false">
      <c r="A16" s="5" t="s">
        <v>131</v>
      </c>
      <c r="B16" s="5" t="s">
        <v>40</v>
      </c>
      <c r="C16" s="5" t="s">
        <v>132</v>
      </c>
      <c r="D16" s="5" t="s">
        <v>133</v>
      </c>
      <c r="E16" s="5" t="s">
        <v>43</v>
      </c>
      <c r="F16" s="5" t="s">
        <v>134</v>
      </c>
      <c r="G16" s="5"/>
      <c r="H16" s="5"/>
      <c r="I16" s="6" t="s">
        <v>45</v>
      </c>
      <c r="J16" s="5" t="s">
        <v>46</v>
      </c>
      <c r="K16" s="5" t="n">
        <f aca="false">COUNTIF(Probe_Pairs!$B:$B,A16)</f>
        <v>6</v>
      </c>
      <c r="L16" s="5" t="n">
        <f aca="false">COUNTIFS(Probe_Pairs!$B:$B,A16,Probe_Pairs!$S:$S,"Both halves")</f>
        <v>0</v>
      </c>
      <c r="M16" s="5"/>
      <c r="N16" s="5" t="s">
        <v>125</v>
      </c>
      <c r="O16" s="5" t="s">
        <v>126</v>
      </c>
      <c r="P16" s="5"/>
      <c r="Q16" s="5" t="s">
        <v>48</v>
      </c>
      <c r="R16" s="5" t="s">
        <v>134</v>
      </c>
      <c r="S16" s="5" t="n">
        <f aca="false">IF(R16="","",COUNTIFS(Probe_Pairs!$B:$B,A16,Probe_Pairs!$X:$X,"Both halves"))</f>
        <v>2</v>
      </c>
      <c r="T16" s="5" t="str">
        <f aca="false">IF(R16="","",IF(S16*2&gt;=K16,"High","Low"))</f>
        <v>Low</v>
      </c>
      <c r="U16" s="5" t="s">
        <v>133</v>
      </c>
      <c r="V16" s="5" t="s">
        <v>135</v>
      </c>
      <c r="W16" s="5" t="s">
        <v>136</v>
      </c>
      <c r="X16" s="8" t="s">
        <v>137</v>
      </c>
      <c r="Y16" s="7"/>
      <c r="Z16" s="7"/>
      <c r="AA16" s="7"/>
      <c r="AB16" s="7"/>
      <c r="AC16" s="7" t="s">
        <v>138</v>
      </c>
    </row>
    <row r="17" customFormat="false" ht="15" hidden="false" customHeight="false" outlineLevel="0" collapsed="false">
      <c r="A17" s="5" t="s">
        <v>139</v>
      </c>
      <c r="B17" s="5" t="s">
        <v>40</v>
      </c>
      <c r="C17" s="5" t="s">
        <v>140</v>
      </c>
      <c r="D17" s="5" t="s">
        <v>141</v>
      </c>
      <c r="E17" s="5" t="s">
        <v>43</v>
      </c>
      <c r="F17" s="5" t="s">
        <v>142</v>
      </c>
      <c r="G17" s="5"/>
      <c r="H17" s="5"/>
      <c r="I17" s="6" t="s">
        <v>45</v>
      </c>
      <c r="J17" s="5" t="s">
        <v>46</v>
      </c>
      <c r="K17" s="5" t="n">
        <f aca="false">COUNTIF(Probe_Pairs!$B:$B,A17)</f>
        <v>6</v>
      </c>
      <c r="L17" s="5" t="n">
        <f aca="false">COUNTIFS(Probe_Pairs!$B:$B,A17,Probe_Pairs!$S:$S,"Both halves")</f>
        <v>0</v>
      </c>
      <c r="M17" s="5"/>
      <c r="N17" s="5" t="s">
        <v>125</v>
      </c>
      <c r="O17" s="5" t="s">
        <v>126</v>
      </c>
      <c r="P17" s="5"/>
      <c r="Q17" s="5" t="s">
        <v>48</v>
      </c>
      <c r="R17" s="5" t="s">
        <v>142</v>
      </c>
      <c r="S17" s="5" t="n">
        <f aca="false">IF(R17="","",COUNTIFS(Probe_Pairs!$B:$B,A17,Probe_Pairs!$X:$X,"Both halves"))</f>
        <v>6</v>
      </c>
      <c r="T17" s="5" t="str">
        <f aca="false">IF(R17="","",IF(S17*2&gt;=K17,"High","Low"))</f>
        <v>High</v>
      </c>
      <c r="U17" s="5" t="s">
        <v>141</v>
      </c>
      <c r="V17" s="5" t="s">
        <v>143</v>
      </c>
      <c r="W17" s="5" t="s">
        <v>144</v>
      </c>
      <c r="X17" s="5"/>
      <c r="Y17" s="7"/>
      <c r="Z17" s="7"/>
      <c r="AA17" s="7"/>
      <c r="AB17" s="7"/>
      <c r="AC17" s="7" t="s">
        <v>145</v>
      </c>
    </row>
    <row r="18" customFormat="false" ht="15" hidden="false" customHeight="false" outlineLevel="0" collapsed="false">
      <c r="A18" s="5" t="s">
        <v>146</v>
      </c>
      <c r="B18" s="5" t="s">
        <v>40</v>
      </c>
      <c r="C18" s="5" t="s">
        <v>147</v>
      </c>
      <c r="D18" s="5"/>
      <c r="E18" s="5" t="s">
        <v>148</v>
      </c>
      <c r="F18" s="5"/>
      <c r="G18" s="5"/>
      <c r="H18" s="5"/>
      <c r="I18" s="6" t="s">
        <v>45</v>
      </c>
      <c r="J18" s="5" t="s">
        <v>46</v>
      </c>
      <c r="K18" s="5" t="n">
        <f aca="false">COUNTIF(Probe_Pairs!$B:$B,A18)</f>
        <v>6</v>
      </c>
      <c r="L18" s="5" t="n">
        <f aca="false">COUNTIFS(Probe_Pairs!$B:$B,A18,Probe_Pairs!$S:$S,"Both halves")</f>
        <v>0</v>
      </c>
      <c r="M18" s="5"/>
      <c r="N18" s="5" t="s">
        <v>125</v>
      </c>
      <c r="O18" s="5" t="s">
        <v>126</v>
      </c>
      <c r="P18" s="5"/>
      <c r="Q18" s="5"/>
      <c r="R18" s="5"/>
      <c r="S18" s="5" t="str">
        <f aca="false">IF(R18="","",COUNTIFS(Probe_Pairs!$B:$B,A18,Probe_Pairs!$X:$X,"Both halves"))</f>
        <v/>
      </c>
      <c r="T18" s="5" t="str">
        <f aca="false">IF(R18="","",IF(S18*2&gt;=K18,"High","Low"))</f>
        <v/>
      </c>
      <c r="U18" s="5"/>
      <c r="V18" s="5"/>
      <c r="W18" s="5"/>
      <c r="X18" s="8" t="s">
        <v>149</v>
      </c>
      <c r="Y18" s="7"/>
      <c r="Z18" s="7"/>
      <c r="AA18" s="7"/>
      <c r="AB18" s="7"/>
      <c r="AC18" s="7" t="s">
        <v>150</v>
      </c>
    </row>
    <row r="19" customFormat="false" ht="15" hidden="false" customHeight="false" outlineLevel="0" collapsed="false">
      <c r="A19" s="5" t="s">
        <v>151</v>
      </c>
      <c r="B19" s="5" t="s">
        <v>40</v>
      </c>
      <c r="C19" s="5" t="s">
        <v>152</v>
      </c>
      <c r="D19" s="5" t="s">
        <v>153</v>
      </c>
      <c r="E19" s="5" t="s">
        <v>43</v>
      </c>
      <c r="F19" s="5" t="s">
        <v>154</v>
      </c>
      <c r="G19" s="5"/>
      <c r="H19" s="5"/>
      <c r="I19" s="6" t="s">
        <v>45</v>
      </c>
      <c r="J19" s="5" t="s">
        <v>46</v>
      </c>
      <c r="K19" s="5" t="n">
        <f aca="false">COUNTIF(Probe_Pairs!$B:$B,A19)</f>
        <v>21</v>
      </c>
      <c r="L19" s="5" t="n">
        <f aca="false">COUNTIFS(Probe_Pairs!$B:$B,A19,Probe_Pairs!$S:$S,"Both halves")</f>
        <v>0</v>
      </c>
      <c r="M19" s="5" t="s">
        <v>155</v>
      </c>
      <c r="N19" s="5" t="s">
        <v>152</v>
      </c>
      <c r="O19" s="5" t="s">
        <v>156</v>
      </c>
      <c r="P19" s="5"/>
      <c r="Q19" s="5" t="s">
        <v>48</v>
      </c>
      <c r="R19" s="5" t="s">
        <v>154</v>
      </c>
      <c r="S19" s="5" t="n">
        <f aca="false">IF(R19="","",COUNTIFS(Probe_Pairs!$B:$B,A19,Probe_Pairs!$X:$X,"Both halves"))</f>
        <v>21</v>
      </c>
      <c r="T19" s="5" t="str">
        <f aca="false">IF(R19="","",IF(S19*2&gt;=K19,"High","Low"))</f>
        <v>High</v>
      </c>
      <c r="U19" s="5" t="s">
        <v>153</v>
      </c>
      <c r="V19" s="5" t="s">
        <v>157</v>
      </c>
      <c r="W19" s="5" t="s">
        <v>158</v>
      </c>
      <c r="X19" s="5"/>
      <c r="Y19" s="7"/>
      <c r="Z19" s="7"/>
      <c r="AA19" s="7"/>
      <c r="AB19" s="7"/>
      <c r="AC19" s="7"/>
    </row>
    <row r="20" customFormat="false" ht="15" hidden="false" customHeight="false" outlineLevel="0" collapsed="false">
      <c r="A20" s="5" t="s">
        <v>159</v>
      </c>
      <c r="B20" s="5" t="s">
        <v>40</v>
      </c>
      <c r="C20" s="5" t="s">
        <v>160</v>
      </c>
      <c r="D20" s="5" t="s">
        <v>161</v>
      </c>
      <c r="E20" s="5" t="s">
        <v>43</v>
      </c>
      <c r="F20" s="5" t="s">
        <v>162</v>
      </c>
      <c r="G20" s="5"/>
      <c r="H20" s="5"/>
      <c r="I20" s="6" t="s">
        <v>45</v>
      </c>
      <c r="J20" s="5" t="s">
        <v>46</v>
      </c>
      <c r="K20" s="5" t="n">
        <f aca="false">COUNTIF(Probe_Pairs!$B:$B,A20)</f>
        <v>6</v>
      </c>
      <c r="L20" s="5" t="n">
        <f aca="false">COUNTIFS(Probe_Pairs!$B:$B,A20,Probe_Pairs!$S:$S,"Both halves")</f>
        <v>0</v>
      </c>
      <c r="M20" s="5"/>
      <c r="N20" s="5" t="s">
        <v>160</v>
      </c>
      <c r="O20" s="5" t="s">
        <v>163</v>
      </c>
      <c r="P20" s="5"/>
      <c r="Q20" s="5" t="s">
        <v>48</v>
      </c>
      <c r="R20" s="5" t="s">
        <v>162</v>
      </c>
      <c r="S20" s="5" t="n">
        <f aca="false">IF(R20="","",COUNTIFS(Probe_Pairs!$B:$B,A20,Probe_Pairs!$X:$X,"Both halves"))</f>
        <v>3</v>
      </c>
      <c r="T20" s="5" t="str">
        <f aca="false">IF(R20="","",IF(S20*2&gt;=K20,"High","Low"))</f>
        <v>High</v>
      </c>
      <c r="U20" s="5" t="s">
        <v>161</v>
      </c>
      <c r="V20" s="5" t="s">
        <v>161</v>
      </c>
      <c r="W20" s="5" t="s">
        <v>164</v>
      </c>
      <c r="X20" s="8" t="s">
        <v>165</v>
      </c>
      <c r="Y20" s="7"/>
      <c r="Z20" s="7"/>
      <c r="AA20" s="7"/>
      <c r="AB20" s="7"/>
      <c r="AC20" s="7"/>
    </row>
    <row r="21" customFormat="false" ht="15" hidden="false" customHeight="false" outlineLevel="0" collapsed="false">
      <c r="A21" s="5" t="s">
        <v>166</v>
      </c>
      <c r="B21" s="5" t="s">
        <v>40</v>
      </c>
      <c r="C21" s="5" t="s">
        <v>167</v>
      </c>
      <c r="D21" s="5" t="s">
        <v>161</v>
      </c>
      <c r="E21" s="5" t="s">
        <v>43</v>
      </c>
      <c r="F21" s="5" t="s">
        <v>162</v>
      </c>
      <c r="G21" s="5"/>
      <c r="H21" s="5"/>
      <c r="I21" s="6" t="s">
        <v>45</v>
      </c>
      <c r="J21" s="5" t="s">
        <v>46</v>
      </c>
      <c r="K21" s="5" t="n">
        <f aca="false">COUNTIF(Probe_Pairs!$B:$B,A21)</f>
        <v>12</v>
      </c>
      <c r="L21" s="5" t="n">
        <f aca="false">COUNTIFS(Probe_Pairs!$B:$B,A21,Probe_Pairs!$S:$S,"Both halves")</f>
        <v>0</v>
      </c>
      <c r="M21" s="5"/>
      <c r="N21" s="5" t="s">
        <v>168</v>
      </c>
      <c r="O21" s="5" t="s">
        <v>169</v>
      </c>
      <c r="P21" s="5"/>
      <c r="Q21" s="5" t="s">
        <v>48</v>
      </c>
      <c r="R21" s="5" t="s">
        <v>162</v>
      </c>
      <c r="S21" s="5" t="n">
        <f aca="false">IF(R21="","",COUNTIFS(Probe_Pairs!$B:$B,A21,Probe_Pairs!$X:$X,"Both halves"))</f>
        <v>5</v>
      </c>
      <c r="T21" s="5" t="str">
        <f aca="false">IF(R21="","",IF(S21*2&gt;=K21,"High","Low"))</f>
        <v>Low</v>
      </c>
      <c r="U21" s="5" t="s">
        <v>161</v>
      </c>
      <c r="V21" s="5" t="s">
        <v>161</v>
      </c>
      <c r="W21" s="5" t="s">
        <v>164</v>
      </c>
      <c r="X21" s="8" t="s">
        <v>170</v>
      </c>
      <c r="Y21" s="7"/>
      <c r="Z21" s="7"/>
      <c r="AA21" s="7"/>
      <c r="AB21" s="7"/>
      <c r="AC21" s="7"/>
    </row>
    <row r="22" customFormat="false" ht="15" hidden="false" customHeight="false" outlineLevel="0" collapsed="false">
      <c r="A22" s="5" t="s">
        <v>171</v>
      </c>
      <c r="B22" s="5" t="s">
        <v>40</v>
      </c>
      <c r="C22" s="5" t="s">
        <v>172</v>
      </c>
      <c r="D22" s="5" t="s">
        <v>161</v>
      </c>
      <c r="E22" s="5" t="s">
        <v>43</v>
      </c>
      <c r="F22" s="5" t="s">
        <v>162</v>
      </c>
      <c r="G22" s="5"/>
      <c r="H22" s="5"/>
      <c r="I22" s="6" t="s">
        <v>45</v>
      </c>
      <c r="J22" s="5" t="s">
        <v>46</v>
      </c>
      <c r="K22" s="5" t="n">
        <f aca="false">COUNTIF(Probe_Pairs!$B:$B,A22)</f>
        <v>8</v>
      </c>
      <c r="L22" s="5" t="n">
        <f aca="false">COUNTIFS(Probe_Pairs!$B:$B,A22,Probe_Pairs!$S:$S,"Both halves")</f>
        <v>0</v>
      </c>
      <c r="M22" s="5"/>
      <c r="N22" s="5" t="s">
        <v>172</v>
      </c>
      <c r="O22" s="5" t="s">
        <v>51</v>
      </c>
      <c r="P22" s="5"/>
      <c r="Q22" s="5" t="s">
        <v>48</v>
      </c>
      <c r="R22" s="5" t="s">
        <v>162</v>
      </c>
      <c r="S22" s="5" t="n">
        <f aca="false">IF(R22="","",COUNTIFS(Probe_Pairs!$B:$B,A22,Probe_Pairs!$X:$X,"Both halves"))</f>
        <v>7</v>
      </c>
      <c r="T22" s="5" t="str">
        <f aca="false">IF(R22="","",IF(S22*2&gt;=K22,"High","Low"))</f>
        <v>High</v>
      </c>
      <c r="U22" s="5" t="s">
        <v>161</v>
      </c>
      <c r="V22" s="5" t="s">
        <v>161</v>
      </c>
      <c r="W22" s="5" t="s">
        <v>164</v>
      </c>
      <c r="X22" s="5"/>
      <c r="Y22" s="7"/>
      <c r="Z22" s="7"/>
      <c r="AA22" s="7"/>
      <c r="AB22" s="7"/>
      <c r="AC22" s="7"/>
    </row>
    <row r="23" customFormat="false" ht="15" hidden="false" customHeight="false" outlineLevel="0" collapsed="false">
      <c r="A23" s="5" t="s">
        <v>173</v>
      </c>
      <c r="B23" s="5" t="s">
        <v>40</v>
      </c>
      <c r="C23" s="5" t="s">
        <v>174</v>
      </c>
      <c r="D23" s="5" t="s">
        <v>175</v>
      </c>
      <c r="E23" s="5" t="s">
        <v>43</v>
      </c>
      <c r="F23" s="5" t="s">
        <v>176</v>
      </c>
      <c r="G23" s="5"/>
      <c r="H23" s="5"/>
      <c r="I23" s="9" t="s">
        <v>155</v>
      </c>
      <c r="J23" s="5" t="s">
        <v>177</v>
      </c>
      <c r="K23" s="5" t="n">
        <f aca="false">COUNTIF(Probe_Pairs!$B:$B,A23)</f>
        <v>5</v>
      </c>
      <c r="L23" s="5" t="n">
        <f aca="false">COUNTIFS(Probe_Pairs!$B:$B,A23,Probe_Pairs!$S:$S,"Both halves")</f>
        <v>0</v>
      </c>
      <c r="M23" s="5"/>
      <c r="N23" s="5" t="s">
        <v>174</v>
      </c>
      <c r="O23" s="5" t="s">
        <v>56</v>
      </c>
      <c r="P23" s="5"/>
      <c r="Q23" s="5" t="s">
        <v>48</v>
      </c>
      <c r="R23" s="5" t="s">
        <v>176</v>
      </c>
      <c r="S23" s="5" t="n">
        <f aca="false">IF(R23="","",COUNTIFS(Probe_Pairs!$B:$B,A23,Probe_Pairs!$X:$X,"Both halves"))</f>
        <v>1</v>
      </c>
      <c r="T23" s="5" t="str">
        <f aca="false">IF(R23="","",IF(S23*2&gt;=K23,"High","Low"))</f>
        <v>Low</v>
      </c>
      <c r="U23" s="5" t="s">
        <v>175</v>
      </c>
      <c r="V23" s="5" t="s">
        <v>178</v>
      </c>
      <c r="W23" s="5" t="s">
        <v>179</v>
      </c>
      <c r="X23" s="8" t="s">
        <v>180</v>
      </c>
      <c r="Y23" s="7"/>
      <c r="Z23" s="7"/>
      <c r="AA23" s="7"/>
      <c r="AB23" s="7"/>
      <c r="AC23" s="7"/>
    </row>
    <row r="24" customFormat="false" ht="15" hidden="false" customHeight="false" outlineLevel="0" collapsed="false">
      <c r="A24" s="5" t="s">
        <v>181</v>
      </c>
      <c r="B24" s="5" t="s">
        <v>40</v>
      </c>
      <c r="C24" s="5" t="s">
        <v>182</v>
      </c>
      <c r="D24" s="5"/>
      <c r="E24" s="5" t="s">
        <v>60</v>
      </c>
      <c r="F24" s="5"/>
      <c r="G24" s="5"/>
      <c r="H24" s="5"/>
      <c r="I24" s="9" t="s">
        <v>155</v>
      </c>
      <c r="J24" s="5" t="s">
        <v>177</v>
      </c>
      <c r="K24" s="5" t="n">
        <f aca="false">COUNTIF(Probe_Pairs!$B:$B,A24)</f>
        <v>10</v>
      </c>
      <c r="L24" s="5" t="n">
        <f aca="false">COUNTIFS(Probe_Pairs!$B:$B,A24,Probe_Pairs!$S:$S,"Both halves")</f>
        <v>0</v>
      </c>
      <c r="M24" s="5"/>
      <c r="N24" s="5" t="s">
        <v>182</v>
      </c>
      <c r="O24" s="5" t="s">
        <v>61</v>
      </c>
      <c r="P24" s="5"/>
      <c r="Q24" s="5"/>
      <c r="R24" s="5"/>
      <c r="S24" s="5" t="str">
        <f aca="false">IF(R24="","",COUNTIFS(Probe_Pairs!$B:$B,A24,Probe_Pairs!$X:$X,"Both halves"))</f>
        <v/>
      </c>
      <c r="T24" s="5" t="str">
        <f aca="false">IF(R24="","",IF(S24*2&gt;=K24,"High","Low"))</f>
        <v/>
      </c>
      <c r="U24" s="5"/>
      <c r="V24" s="5"/>
      <c r="W24" s="5"/>
      <c r="X24" s="5"/>
      <c r="Y24" s="7"/>
      <c r="Z24" s="7"/>
      <c r="AA24" s="7"/>
      <c r="AB24" s="7"/>
      <c r="AC24" s="7"/>
    </row>
    <row r="25" customFormat="false" ht="15" hidden="false" customHeight="false" outlineLevel="0" collapsed="false">
      <c r="A25" s="5" t="s">
        <v>183</v>
      </c>
      <c r="B25" s="5" t="s">
        <v>40</v>
      </c>
      <c r="C25" s="5" t="s">
        <v>184</v>
      </c>
      <c r="D25" s="5" t="s">
        <v>185</v>
      </c>
      <c r="E25" s="5" t="s">
        <v>43</v>
      </c>
      <c r="F25" s="5" t="s">
        <v>186</v>
      </c>
      <c r="G25" s="5"/>
      <c r="H25" s="5"/>
      <c r="I25" s="9" t="s">
        <v>155</v>
      </c>
      <c r="J25" s="5" t="s">
        <v>177</v>
      </c>
      <c r="K25" s="5" t="n">
        <f aca="false">COUNTIF(Probe_Pairs!$B:$B,A25)</f>
        <v>8</v>
      </c>
      <c r="L25" s="5" t="n">
        <f aca="false">COUNTIFS(Probe_Pairs!$B:$B,A25,Probe_Pairs!$S:$S,"Both halves")</f>
        <v>0</v>
      </c>
      <c r="M25" s="5"/>
      <c r="N25" s="5" t="s">
        <v>184</v>
      </c>
      <c r="O25" s="5" t="s">
        <v>114</v>
      </c>
      <c r="P25" s="5"/>
      <c r="Q25" s="5" t="s">
        <v>48</v>
      </c>
      <c r="R25" s="5" t="s">
        <v>186</v>
      </c>
      <c r="S25" s="5" t="n">
        <f aca="false">IF(R25="","",COUNTIFS(Probe_Pairs!$B:$B,A25,Probe_Pairs!$X:$X,"Both halves"))</f>
        <v>5</v>
      </c>
      <c r="T25" s="5" t="str">
        <f aca="false">IF(R25="","",IF(S25*2&gt;=K25,"High","Low"))</f>
        <v>High</v>
      </c>
      <c r="U25" s="5" t="s">
        <v>185</v>
      </c>
      <c r="V25" s="5" t="s">
        <v>187</v>
      </c>
      <c r="W25" s="5" t="s">
        <v>188</v>
      </c>
      <c r="X25" s="5"/>
      <c r="Y25" s="7"/>
      <c r="Z25" s="7"/>
      <c r="AA25" s="7"/>
      <c r="AB25" s="7"/>
      <c r="AC25" s="7"/>
    </row>
    <row r="26" customFormat="false" ht="15" hidden="false" customHeight="false" outlineLevel="0" collapsed="false">
      <c r="A26" s="5" t="s">
        <v>189</v>
      </c>
      <c r="B26" s="5" t="s">
        <v>40</v>
      </c>
      <c r="C26" s="5" t="s">
        <v>190</v>
      </c>
      <c r="D26" s="5"/>
      <c r="E26" s="5" t="s">
        <v>148</v>
      </c>
      <c r="F26" s="5"/>
      <c r="G26" s="5"/>
      <c r="H26" s="5"/>
      <c r="I26" s="9" t="s">
        <v>155</v>
      </c>
      <c r="J26" s="5" t="s">
        <v>177</v>
      </c>
      <c r="K26" s="5" t="n">
        <f aca="false">COUNTIF(Probe_Pairs!$B:$B,A26)</f>
        <v>3</v>
      </c>
      <c r="L26" s="5" t="n">
        <f aca="false">COUNTIFS(Probe_Pairs!$B:$B,A26,Probe_Pairs!$S:$S,"Both halves")</f>
        <v>0</v>
      </c>
      <c r="M26" s="5"/>
      <c r="N26" s="5" t="s">
        <v>190</v>
      </c>
      <c r="O26" s="5" t="s">
        <v>51</v>
      </c>
      <c r="P26" s="5"/>
      <c r="Q26" s="5"/>
      <c r="R26" s="5"/>
      <c r="S26" s="5" t="str">
        <f aca="false">IF(R26="","",COUNTIFS(Probe_Pairs!$B:$B,A26,Probe_Pairs!$X:$X,"Both halves"))</f>
        <v/>
      </c>
      <c r="T26" s="5" t="str">
        <f aca="false">IF(R26="","",IF(S26*2&gt;=K26,"High","Low"))</f>
        <v/>
      </c>
      <c r="U26" s="5"/>
      <c r="V26" s="5"/>
      <c r="W26" s="5"/>
      <c r="X26" s="5"/>
      <c r="Y26" s="7"/>
      <c r="Z26" s="7"/>
      <c r="AA26" s="7"/>
      <c r="AB26" s="7"/>
      <c r="AC26" s="7"/>
    </row>
    <row r="27" customFormat="false" ht="15" hidden="false" customHeight="false" outlineLevel="0" collapsed="false">
      <c r="A27" s="5" t="s">
        <v>191</v>
      </c>
      <c r="B27" s="5" t="s">
        <v>40</v>
      </c>
      <c r="C27" s="5" t="s">
        <v>192</v>
      </c>
      <c r="D27" s="5" t="s">
        <v>193</v>
      </c>
      <c r="E27" s="5" t="s">
        <v>43</v>
      </c>
      <c r="F27" s="5" t="s">
        <v>194</v>
      </c>
      <c r="G27" s="5"/>
      <c r="H27" s="5"/>
      <c r="I27" s="9" t="s">
        <v>155</v>
      </c>
      <c r="J27" s="5" t="s">
        <v>177</v>
      </c>
      <c r="K27" s="5" t="n">
        <f aca="false">COUNTIF(Probe_Pairs!$B:$B,A27)</f>
        <v>4</v>
      </c>
      <c r="L27" s="5" t="n">
        <f aca="false">COUNTIFS(Probe_Pairs!$B:$B,A27,Probe_Pairs!$S:$S,"Both halves")</f>
        <v>0</v>
      </c>
      <c r="M27" s="5"/>
      <c r="N27" s="5" t="s">
        <v>192</v>
      </c>
      <c r="O27" s="5" t="s">
        <v>95</v>
      </c>
      <c r="P27" s="5"/>
      <c r="Q27" s="5" t="s">
        <v>48</v>
      </c>
      <c r="R27" s="5" t="s">
        <v>194</v>
      </c>
      <c r="S27" s="5" t="n">
        <f aca="false">IF(R27="","",COUNTIFS(Probe_Pairs!$B:$B,A27,Probe_Pairs!$X:$X,"Both halves"))</f>
        <v>2</v>
      </c>
      <c r="T27" s="5" t="str">
        <f aca="false">IF(R27="","",IF(S27*2&gt;=K27,"High","Low"))</f>
        <v>High</v>
      </c>
      <c r="U27" s="5" t="s">
        <v>193</v>
      </c>
      <c r="V27" s="5" t="s">
        <v>195</v>
      </c>
      <c r="W27" s="5" t="s">
        <v>196</v>
      </c>
      <c r="X27" s="5"/>
      <c r="Y27" s="7"/>
      <c r="Z27" s="7"/>
      <c r="AA27" s="7"/>
      <c r="AB27" s="7"/>
      <c r="AC27" s="7"/>
    </row>
    <row r="28" customFormat="false" ht="15" hidden="false" customHeight="false" outlineLevel="0" collapsed="false">
      <c r="A28" s="5" t="s">
        <v>197</v>
      </c>
      <c r="B28" s="5" t="s">
        <v>40</v>
      </c>
      <c r="C28" s="5" t="s">
        <v>198</v>
      </c>
      <c r="D28" s="5" t="s">
        <v>199</v>
      </c>
      <c r="E28" s="5" t="s">
        <v>43</v>
      </c>
      <c r="F28" s="5" t="s">
        <v>200</v>
      </c>
      <c r="G28" s="5"/>
      <c r="H28" s="5"/>
      <c r="I28" s="9" t="s">
        <v>155</v>
      </c>
      <c r="J28" s="5" t="s">
        <v>177</v>
      </c>
      <c r="K28" s="5" t="n">
        <f aca="false">COUNTIF(Probe_Pairs!$B:$B,A28)</f>
        <v>4</v>
      </c>
      <c r="L28" s="5" t="n">
        <f aca="false">COUNTIFS(Probe_Pairs!$B:$B,A28,Probe_Pairs!$S:$S,"Both halves")</f>
        <v>0</v>
      </c>
      <c r="M28" s="5"/>
      <c r="N28" s="5" t="s">
        <v>198</v>
      </c>
      <c r="O28" s="5" t="s">
        <v>95</v>
      </c>
      <c r="P28" s="5"/>
      <c r="Q28" s="5" t="s">
        <v>48</v>
      </c>
      <c r="R28" s="5" t="s">
        <v>200</v>
      </c>
      <c r="S28" s="5" t="n">
        <f aca="false">IF(R28="","",COUNTIFS(Probe_Pairs!$B:$B,A28,Probe_Pairs!$X:$X,"Both halves"))</f>
        <v>2</v>
      </c>
      <c r="T28" s="5" t="str">
        <f aca="false">IF(R28="","",IF(S28*2&gt;=K28,"High","Low"))</f>
        <v>High</v>
      </c>
      <c r="U28" s="5" t="s">
        <v>199</v>
      </c>
      <c r="V28" s="5" t="s">
        <v>201</v>
      </c>
      <c r="W28" s="5" t="s">
        <v>202</v>
      </c>
      <c r="X28" s="5"/>
      <c r="Y28" s="7"/>
      <c r="Z28" s="7"/>
      <c r="AA28" s="7"/>
      <c r="AB28" s="7"/>
      <c r="AC28" s="7"/>
    </row>
    <row r="29" customFormat="false" ht="15" hidden="false" customHeight="false" outlineLevel="0" collapsed="false">
      <c r="A29" s="5" t="s">
        <v>203</v>
      </c>
      <c r="B29" s="5" t="s">
        <v>40</v>
      </c>
      <c r="C29" s="5" t="s">
        <v>204</v>
      </c>
      <c r="D29" s="5"/>
      <c r="E29" s="5" t="s">
        <v>119</v>
      </c>
      <c r="F29" s="5"/>
      <c r="G29" s="5"/>
      <c r="H29" s="5"/>
      <c r="I29" s="9" t="s">
        <v>155</v>
      </c>
      <c r="J29" s="5" t="s">
        <v>177</v>
      </c>
      <c r="K29" s="5" t="n">
        <f aca="false">COUNTIF(Probe_Pairs!$B:$B,A29)</f>
        <v>6</v>
      </c>
      <c r="L29" s="5" t="n">
        <f aca="false">COUNTIFS(Probe_Pairs!$B:$B,A29,Probe_Pairs!$S:$S,"Both halves")</f>
        <v>0</v>
      </c>
      <c r="M29" s="5"/>
      <c r="N29" s="5" t="s">
        <v>204</v>
      </c>
      <c r="O29" s="5" t="s">
        <v>120</v>
      </c>
      <c r="P29" s="5"/>
      <c r="Q29" s="5"/>
      <c r="R29" s="5"/>
      <c r="S29" s="5" t="str">
        <f aca="false">IF(R29="","",COUNTIFS(Probe_Pairs!$B:$B,A29,Probe_Pairs!$X:$X,"Both halves"))</f>
        <v/>
      </c>
      <c r="T29" s="5" t="str">
        <f aca="false">IF(R29="","",IF(S29*2&gt;=K29,"High","Low"))</f>
        <v/>
      </c>
      <c r="U29" s="5"/>
      <c r="V29" s="5"/>
      <c r="W29" s="5"/>
      <c r="X29" s="5"/>
      <c r="Y29" s="7"/>
      <c r="Z29" s="7"/>
      <c r="AA29" s="7"/>
      <c r="AB29" s="7"/>
      <c r="AC29" s="7"/>
    </row>
    <row r="30" customFormat="false" ht="15" hidden="false" customHeight="false" outlineLevel="0" collapsed="false">
      <c r="A30" s="5" t="s">
        <v>205</v>
      </c>
      <c r="B30" s="5" t="s">
        <v>40</v>
      </c>
      <c r="C30" s="5" t="s">
        <v>206</v>
      </c>
      <c r="D30" s="5"/>
      <c r="E30" s="5" t="s">
        <v>119</v>
      </c>
      <c r="F30" s="5"/>
      <c r="G30" s="5"/>
      <c r="H30" s="5"/>
      <c r="I30" s="9" t="s">
        <v>155</v>
      </c>
      <c r="J30" s="5" t="s">
        <v>177</v>
      </c>
      <c r="K30" s="5" t="n">
        <f aca="false">COUNTIF(Probe_Pairs!$B:$B,A30)</f>
        <v>6</v>
      </c>
      <c r="L30" s="5" t="n">
        <f aca="false">COUNTIFS(Probe_Pairs!$B:$B,A30,Probe_Pairs!$S:$S,"Both halves")</f>
        <v>0</v>
      </c>
      <c r="M30" s="5"/>
      <c r="N30" s="5" t="s">
        <v>206</v>
      </c>
      <c r="O30" s="5" t="s">
        <v>120</v>
      </c>
      <c r="P30" s="5"/>
      <c r="Q30" s="5"/>
      <c r="R30" s="5"/>
      <c r="S30" s="5" t="str">
        <f aca="false">IF(R30="","",COUNTIFS(Probe_Pairs!$B:$B,A30,Probe_Pairs!$X:$X,"Both halves"))</f>
        <v/>
      </c>
      <c r="T30" s="5" t="str">
        <f aca="false">IF(R30="","",IF(S30*2&gt;=K30,"High","Low"))</f>
        <v/>
      </c>
      <c r="U30" s="5"/>
      <c r="V30" s="5"/>
      <c r="W30" s="5"/>
      <c r="X30" s="5"/>
      <c r="Y30" s="7"/>
      <c r="Z30" s="7"/>
      <c r="AA30" s="7"/>
      <c r="AB30" s="7"/>
      <c r="AC30" s="7"/>
    </row>
    <row r="31" customFormat="false" ht="15" hidden="false" customHeight="false" outlineLevel="0" collapsed="false">
      <c r="A31" s="5" t="s">
        <v>207</v>
      </c>
      <c r="B31" s="5" t="s">
        <v>40</v>
      </c>
      <c r="C31" s="5" t="s">
        <v>208</v>
      </c>
      <c r="D31" s="5" t="s">
        <v>209</v>
      </c>
      <c r="E31" s="5" t="s">
        <v>43</v>
      </c>
      <c r="F31" s="5" t="s">
        <v>210</v>
      </c>
      <c r="G31" s="5"/>
      <c r="H31" s="5"/>
      <c r="I31" s="9" t="s">
        <v>155</v>
      </c>
      <c r="J31" s="5" t="s">
        <v>177</v>
      </c>
      <c r="K31" s="5" t="n">
        <f aca="false">COUNTIF(Probe_Pairs!$B:$B,A31)</f>
        <v>4</v>
      </c>
      <c r="L31" s="5" t="n">
        <f aca="false">COUNTIFS(Probe_Pairs!$B:$B,A31,Probe_Pairs!$S:$S,"Both halves")</f>
        <v>0</v>
      </c>
      <c r="M31" s="5"/>
      <c r="N31" s="5" t="s">
        <v>208</v>
      </c>
      <c r="O31" s="5" t="s">
        <v>211</v>
      </c>
      <c r="P31" s="5"/>
      <c r="Q31" s="5" t="s">
        <v>48</v>
      </c>
      <c r="R31" s="5" t="s">
        <v>210</v>
      </c>
      <c r="S31" s="5" t="n">
        <f aca="false">IF(R31="","",COUNTIFS(Probe_Pairs!$B:$B,A31,Probe_Pairs!$X:$X,"Both halves"))</f>
        <v>2</v>
      </c>
      <c r="T31" s="5" t="str">
        <f aca="false">IF(R31="","",IF(S31*2&gt;=K31,"High","Low"))</f>
        <v>High</v>
      </c>
      <c r="U31" s="5" t="s">
        <v>209</v>
      </c>
      <c r="V31" s="5" t="s">
        <v>209</v>
      </c>
      <c r="W31" s="5" t="s">
        <v>212</v>
      </c>
      <c r="X31" s="5"/>
      <c r="Y31" s="7"/>
      <c r="Z31" s="7"/>
      <c r="AA31" s="7"/>
      <c r="AB31" s="7"/>
      <c r="AC31" s="7"/>
    </row>
    <row r="32" customFormat="false" ht="15" hidden="false" customHeight="false" outlineLevel="0" collapsed="false">
      <c r="A32" s="5" t="s">
        <v>213</v>
      </c>
      <c r="B32" s="5" t="s">
        <v>40</v>
      </c>
      <c r="C32" s="5" t="s">
        <v>214</v>
      </c>
      <c r="D32" s="5"/>
      <c r="E32" s="5" t="s">
        <v>148</v>
      </c>
      <c r="F32" s="5"/>
      <c r="G32" s="5"/>
      <c r="H32" s="5"/>
      <c r="I32" s="9" t="s">
        <v>155</v>
      </c>
      <c r="J32" s="5" t="s">
        <v>177</v>
      </c>
      <c r="K32" s="5" t="n">
        <f aca="false">COUNTIF(Probe_Pairs!$B:$B,A32)</f>
        <v>8</v>
      </c>
      <c r="L32" s="5" t="n">
        <f aca="false">COUNTIFS(Probe_Pairs!$B:$B,A32,Probe_Pairs!$S:$S,"Both halves")</f>
        <v>0</v>
      </c>
      <c r="M32" s="5"/>
      <c r="N32" s="5" t="s">
        <v>214</v>
      </c>
      <c r="O32" s="5" t="s">
        <v>51</v>
      </c>
      <c r="P32" s="5"/>
      <c r="Q32" s="5"/>
      <c r="R32" s="5"/>
      <c r="S32" s="5" t="str">
        <f aca="false">IF(R32="","",COUNTIFS(Probe_Pairs!$B:$B,A32,Probe_Pairs!$X:$X,"Both halves"))</f>
        <v/>
      </c>
      <c r="T32" s="5" t="str">
        <f aca="false">IF(R32="","",IF(S32*2&gt;=K32,"High","Low"))</f>
        <v/>
      </c>
      <c r="U32" s="5"/>
      <c r="V32" s="5"/>
      <c r="W32" s="5"/>
      <c r="X32" s="5"/>
      <c r="Y32" s="7"/>
      <c r="Z32" s="7"/>
      <c r="AA32" s="7"/>
      <c r="AB32" s="7"/>
      <c r="AC32" s="7"/>
    </row>
    <row r="33" customFormat="false" ht="15" hidden="false" customHeight="false" outlineLevel="0" collapsed="false">
      <c r="A33" s="5" t="s">
        <v>215</v>
      </c>
      <c r="B33" s="5" t="s">
        <v>40</v>
      </c>
      <c r="C33" s="5" t="s">
        <v>216</v>
      </c>
      <c r="D33" s="5"/>
      <c r="E33" s="5" t="s">
        <v>148</v>
      </c>
      <c r="F33" s="5"/>
      <c r="G33" s="5"/>
      <c r="H33" s="5"/>
      <c r="I33" s="9" t="s">
        <v>155</v>
      </c>
      <c r="J33" s="5" t="s">
        <v>177</v>
      </c>
      <c r="K33" s="5" t="n">
        <f aca="false">COUNTIF(Probe_Pairs!$B:$B,A33)</f>
        <v>4</v>
      </c>
      <c r="L33" s="5" t="n">
        <f aca="false">COUNTIFS(Probe_Pairs!$B:$B,A33,Probe_Pairs!$S:$S,"Both halves")</f>
        <v>0</v>
      </c>
      <c r="M33" s="5"/>
      <c r="N33" s="5" t="s">
        <v>216</v>
      </c>
      <c r="O33" s="5" t="s">
        <v>211</v>
      </c>
      <c r="P33" s="5"/>
      <c r="Q33" s="5"/>
      <c r="R33" s="5"/>
      <c r="S33" s="5" t="str">
        <f aca="false">IF(R33="","",COUNTIFS(Probe_Pairs!$B:$B,A33,Probe_Pairs!$X:$X,"Both halves"))</f>
        <v/>
      </c>
      <c r="T33" s="5" t="str">
        <f aca="false">IF(R33="","",IF(S33*2&gt;=K33,"High","Low"))</f>
        <v/>
      </c>
      <c r="U33" s="5"/>
      <c r="V33" s="5"/>
      <c r="W33" s="5"/>
      <c r="X33" s="5"/>
      <c r="Y33" s="7"/>
      <c r="Z33" s="7"/>
      <c r="AA33" s="7"/>
      <c r="AB33" s="7"/>
      <c r="AC33" s="7"/>
    </row>
    <row r="34" customFormat="false" ht="15" hidden="false" customHeight="false" outlineLevel="0" collapsed="false">
      <c r="A34" s="5" t="s">
        <v>217</v>
      </c>
      <c r="B34" s="5" t="s">
        <v>40</v>
      </c>
      <c r="C34" s="5" t="s">
        <v>152</v>
      </c>
      <c r="D34" s="5" t="s">
        <v>153</v>
      </c>
      <c r="E34" s="5" t="s">
        <v>43</v>
      </c>
      <c r="F34" s="5" t="s">
        <v>154</v>
      </c>
      <c r="G34" s="5"/>
      <c r="H34" s="5"/>
      <c r="I34" s="9" t="s">
        <v>155</v>
      </c>
      <c r="J34" s="5" t="s">
        <v>177</v>
      </c>
      <c r="K34" s="5" t="n">
        <f aca="false">COUNTIF(Probe_Pairs!$B:$B,A34)</f>
        <v>6</v>
      </c>
      <c r="L34" s="5" t="n">
        <f aca="false">COUNTIFS(Probe_Pairs!$B:$B,A34,Probe_Pairs!$S:$S,"Both halves")</f>
        <v>0</v>
      </c>
      <c r="M34" s="5" t="s">
        <v>45</v>
      </c>
      <c r="N34" s="5" t="s">
        <v>152</v>
      </c>
      <c r="O34" s="5" t="s">
        <v>163</v>
      </c>
      <c r="P34" s="5"/>
      <c r="Q34" s="5" t="s">
        <v>48</v>
      </c>
      <c r="R34" s="5" t="s">
        <v>154</v>
      </c>
      <c r="S34" s="5" t="n">
        <f aca="false">IF(R34="","",COUNTIFS(Probe_Pairs!$B:$B,A34,Probe_Pairs!$X:$X,"Both halves"))</f>
        <v>6</v>
      </c>
      <c r="T34" s="5" t="str">
        <f aca="false">IF(R34="","",IF(S34*2&gt;=K34,"High","Low"))</f>
        <v>High</v>
      </c>
      <c r="U34" s="5" t="s">
        <v>153</v>
      </c>
      <c r="V34" s="5" t="s">
        <v>157</v>
      </c>
      <c r="W34" s="5" t="s">
        <v>158</v>
      </c>
      <c r="X34" s="5"/>
      <c r="Y34" s="7"/>
      <c r="Z34" s="7"/>
      <c r="AA34" s="7"/>
      <c r="AB34" s="7"/>
      <c r="AC34" s="7"/>
    </row>
    <row r="35" customFormat="false" ht="15" hidden="false" customHeight="false" outlineLevel="0" collapsed="false">
      <c r="A35" s="5" t="s">
        <v>218</v>
      </c>
      <c r="B35" s="5" t="s">
        <v>40</v>
      </c>
      <c r="C35" s="5" t="s">
        <v>219</v>
      </c>
      <c r="D35" s="5"/>
      <c r="E35" s="5" t="s">
        <v>148</v>
      </c>
      <c r="F35" s="5"/>
      <c r="G35" s="5"/>
      <c r="H35" s="5"/>
      <c r="I35" s="9" t="s">
        <v>155</v>
      </c>
      <c r="J35" s="5" t="s">
        <v>177</v>
      </c>
      <c r="K35" s="5" t="n">
        <f aca="false">COUNTIF(Probe_Pairs!$B:$B,A35)</f>
        <v>6</v>
      </c>
      <c r="L35" s="5" t="n">
        <f aca="false">COUNTIFS(Probe_Pairs!$B:$B,A35,Probe_Pairs!$S:$S,"Both halves")</f>
        <v>0</v>
      </c>
      <c r="M35" s="5"/>
      <c r="N35" s="5" t="s">
        <v>220</v>
      </c>
      <c r="O35" s="5" t="s">
        <v>47</v>
      </c>
      <c r="P35" s="5"/>
      <c r="Q35" s="5"/>
      <c r="R35" s="5"/>
      <c r="S35" s="5" t="str">
        <f aca="false">IF(R35="","",COUNTIFS(Probe_Pairs!$B:$B,A35,Probe_Pairs!$X:$X,"Both halves"))</f>
        <v/>
      </c>
      <c r="T35" s="5" t="str">
        <f aca="false">IF(R35="","",IF(S35*2&gt;=K35,"High","Low"))</f>
        <v/>
      </c>
      <c r="U35" s="5"/>
      <c r="V35" s="5"/>
      <c r="W35" s="5"/>
      <c r="X35" s="5"/>
      <c r="Y35" s="7"/>
      <c r="Z35" s="7"/>
      <c r="AA35" s="7"/>
      <c r="AB35" s="7"/>
      <c r="AC35" s="7"/>
    </row>
    <row r="36" customFormat="false" ht="15" hidden="false" customHeight="false" outlineLevel="0" collapsed="false">
      <c r="A36" s="5" t="s">
        <v>221</v>
      </c>
      <c r="B36" s="5" t="s">
        <v>40</v>
      </c>
      <c r="C36" s="5" t="s">
        <v>222</v>
      </c>
      <c r="D36" s="5" t="s">
        <v>223</v>
      </c>
      <c r="E36" s="5" t="s">
        <v>43</v>
      </c>
      <c r="F36" s="5" t="s">
        <v>224</v>
      </c>
      <c r="G36" s="5"/>
      <c r="H36" s="5"/>
      <c r="I36" s="9" t="s">
        <v>155</v>
      </c>
      <c r="J36" s="5" t="s">
        <v>177</v>
      </c>
      <c r="K36" s="5" t="n">
        <f aca="false">COUNTIF(Probe_Pairs!$B:$B,A36)</f>
        <v>4</v>
      </c>
      <c r="L36" s="5" t="n">
        <f aca="false">COUNTIFS(Probe_Pairs!$B:$B,A36,Probe_Pairs!$S:$S,"Both halves")</f>
        <v>0</v>
      </c>
      <c r="M36" s="5"/>
      <c r="N36" s="5" t="s">
        <v>222</v>
      </c>
      <c r="O36" s="5" t="s">
        <v>95</v>
      </c>
      <c r="P36" s="5"/>
      <c r="Q36" s="5" t="s">
        <v>48</v>
      </c>
      <c r="R36" s="5" t="s">
        <v>224</v>
      </c>
      <c r="S36" s="5" t="n">
        <f aca="false">IF(R36="","",COUNTIFS(Probe_Pairs!$B:$B,A36,Probe_Pairs!$X:$X,"Both halves"))</f>
        <v>4</v>
      </c>
      <c r="T36" s="5" t="str">
        <f aca="false">IF(R36="","",IF(S36*2&gt;=K36,"High","Low"))</f>
        <v>High</v>
      </c>
      <c r="U36" s="5" t="s">
        <v>223</v>
      </c>
      <c r="V36" s="5" t="s">
        <v>225</v>
      </c>
      <c r="W36" s="5" t="s">
        <v>226</v>
      </c>
      <c r="X36" s="5"/>
      <c r="Y36" s="7"/>
      <c r="Z36" s="7"/>
      <c r="AA36" s="7"/>
      <c r="AB36" s="7"/>
      <c r="AC36" s="7"/>
    </row>
    <row r="37" customFormat="false" ht="15" hidden="false" customHeight="false" outlineLevel="0" collapsed="false">
      <c r="A37" s="5" t="s">
        <v>227</v>
      </c>
      <c r="B37" s="5" t="s">
        <v>40</v>
      </c>
      <c r="C37" s="5" t="s">
        <v>228</v>
      </c>
      <c r="D37" s="5"/>
      <c r="E37" s="5" t="s">
        <v>60</v>
      </c>
      <c r="F37" s="5"/>
      <c r="G37" s="5"/>
      <c r="H37" s="5"/>
      <c r="I37" s="10" t="s">
        <v>229</v>
      </c>
      <c r="J37" s="5" t="s">
        <v>230</v>
      </c>
      <c r="K37" s="5" t="n">
        <f aca="false">COUNTIF(Probe_Pairs!$B:$B,A37)</f>
        <v>10</v>
      </c>
      <c r="L37" s="5" t="n">
        <f aca="false">COUNTIFS(Probe_Pairs!$B:$B,A37,Probe_Pairs!$S:$S,"Both halves")</f>
        <v>0</v>
      </c>
      <c r="M37" s="5"/>
      <c r="N37" s="5" t="s">
        <v>228</v>
      </c>
      <c r="O37" s="5" t="s">
        <v>61</v>
      </c>
      <c r="P37" s="5"/>
      <c r="Q37" s="5"/>
      <c r="R37" s="5"/>
      <c r="S37" s="5" t="str">
        <f aca="false">IF(R37="","",COUNTIFS(Probe_Pairs!$B:$B,A37,Probe_Pairs!$X:$X,"Both halves"))</f>
        <v/>
      </c>
      <c r="T37" s="5" t="str">
        <f aca="false">IF(R37="","",IF(S37*2&gt;=K37,"High","Low"))</f>
        <v/>
      </c>
      <c r="U37" s="5"/>
      <c r="V37" s="5"/>
      <c r="W37" s="5"/>
      <c r="X37" s="5"/>
      <c r="Y37" s="7"/>
      <c r="Z37" s="7"/>
      <c r="AA37" s="7"/>
      <c r="AB37" s="7"/>
      <c r="AC37" s="7"/>
    </row>
    <row r="38" customFormat="false" ht="15" hidden="false" customHeight="false" outlineLevel="0" collapsed="false">
      <c r="A38" s="5" t="s">
        <v>231</v>
      </c>
      <c r="B38" s="5" t="s">
        <v>40</v>
      </c>
      <c r="C38" s="5" t="s">
        <v>232</v>
      </c>
      <c r="D38" s="5" t="s">
        <v>233</v>
      </c>
      <c r="E38" s="5" t="s">
        <v>43</v>
      </c>
      <c r="F38" s="5" t="s">
        <v>234</v>
      </c>
      <c r="G38" s="5"/>
      <c r="H38" s="5"/>
      <c r="I38" s="10" t="s">
        <v>229</v>
      </c>
      <c r="J38" s="5" t="s">
        <v>230</v>
      </c>
      <c r="K38" s="5" t="n">
        <f aca="false">COUNTIF(Probe_Pairs!$B:$B,A38)</f>
        <v>7</v>
      </c>
      <c r="L38" s="5" t="n">
        <f aca="false">COUNTIFS(Probe_Pairs!$B:$B,A38,Probe_Pairs!$S:$S,"Both halves")</f>
        <v>0</v>
      </c>
      <c r="M38" s="5"/>
      <c r="N38" s="5" t="s">
        <v>235</v>
      </c>
      <c r="O38" s="5" t="s">
        <v>68</v>
      </c>
      <c r="P38" s="5"/>
      <c r="Q38" s="5" t="s">
        <v>48</v>
      </c>
      <c r="R38" s="5" t="s">
        <v>234</v>
      </c>
      <c r="S38" s="5" t="n">
        <f aca="false">IF(R38="","",COUNTIFS(Probe_Pairs!$B:$B,A38,Probe_Pairs!$X:$X,"Both halves"))</f>
        <v>4</v>
      </c>
      <c r="T38" s="5" t="str">
        <f aca="false">IF(R38="","",IF(S38*2&gt;=K38,"High","Low"))</f>
        <v>High</v>
      </c>
      <c r="U38" s="5" t="s">
        <v>233</v>
      </c>
      <c r="V38" s="5" t="s">
        <v>236</v>
      </c>
      <c r="W38" s="5" t="s">
        <v>237</v>
      </c>
      <c r="X38" s="5"/>
      <c r="Y38" s="7"/>
      <c r="Z38" s="7"/>
      <c r="AA38" s="7"/>
      <c r="AB38" s="7"/>
      <c r="AC38" s="7"/>
    </row>
    <row r="39" customFormat="false" ht="15" hidden="false" customHeight="false" outlineLevel="0" collapsed="false">
      <c r="A39" s="5" t="s">
        <v>238</v>
      </c>
      <c r="B39" s="5" t="s">
        <v>40</v>
      </c>
      <c r="C39" s="5" t="s">
        <v>239</v>
      </c>
      <c r="D39" s="5" t="s">
        <v>240</v>
      </c>
      <c r="E39" s="5" t="s">
        <v>43</v>
      </c>
      <c r="F39" s="5" t="s">
        <v>241</v>
      </c>
      <c r="G39" s="5"/>
      <c r="H39" s="5"/>
      <c r="I39" s="10" t="s">
        <v>229</v>
      </c>
      <c r="J39" s="5" t="s">
        <v>230</v>
      </c>
      <c r="K39" s="5" t="n">
        <f aca="false">COUNTIF(Probe_Pairs!$B:$B,A39)</f>
        <v>4</v>
      </c>
      <c r="L39" s="5" t="n">
        <f aca="false">COUNTIFS(Probe_Pairs!$B:$B,A39,Probe_Pairs!$S:$S,"Both halves")</f>
        <v>0</v>
      </c>
      <c r="M39" s="5"/>
      <c r="N39" s="5" t="s">
        <v>239</v>
      </c>
      <c r="O39" s="5" t="s">
        <v>95</v>
      </c>
      <c r="P39" s="5"/>
      <c r="Q39" s="5" t="s">
        <v>48</v>
      </c>
      <c r="R39" s="5" t="s">
        <v>241</v>
      </c>
      <c r="S39" s="5" t="n">
        <f aca="false">IF(R39="","",COUNTIFS(Probe_Pairs!$B:$B,A39,Probe_Pairs!$X:$X,"Both halves"))</f>
        <v>2</v>
      </c>
      <c r="T39" s="5" t="str">
        <f aca="false">IF(R39="","",IF(S39*2&gt;=K39,"High","Low"))</f>
        <v>High</v>
      </c>
      <c r="U39" s="5" t="s">
        <v>240</v>
      </c>
      <c r="V39" s="5" t="s">
        <v>242</v>
      </c>
      <c r="W39" s="5" t="s">
        <v>243</v>
      </c>
      <c r="X39" s="5"/>
      <c r="Y39" s="7"/>
      <c r="Z39" s="7"/>
      <c r="AA39" s="7"/>
      <c r="AB39" s="7"/>
      <c r="AC39" s="7"/>
    </row>
    <row r="40" customFormat="false" ht="15" hidden="false" customHeight="false" outlineLevel="0" collapsed="false">
      <c r="A40" s="5" t="s">
        <v>244</v>
      </c>
      <c r="B40" s="5" t="s">
        <v>40</v>
      </c>
      <c r="C40" s="5" t="s">
        <v>245</v>
      </c>
      <c r="D40" s="5" t="s">
        <v>246</v>
      </c>
      <c r="E40" s="5" t="s">
        <v>43</v>
      </c>
      <c r="F40" s="5" t="s">
        <v>247</v>
      </c>
      <c r="G40" s="5"/>
      <c r="H40" s="5"/>
      <c r="I40" s="10" t="s">
        <v>229</v>
      </c>
      <c r="J40" s="5" t="s">
        <v>230</v>
      </c>
      <c r="K40" s="5" t="n">
        <f aca="false">COUNTIF(Probe_Pairs!$B:$B,A40)</f>
        <v>5</v>
      </c>
      <c r="L40" s="5" t="n">
        <f aca="false">COUNTIFS(Probe_Pairs!$B:$B,A40,Probe_Pairs!$S:$S,"Both halves")</f>
        <v>0</v>
      </c>
      <c r="M40" s="5"/>
      <c r="N40" s="5" t="s">
        <v>245</v>
      </c>
      <c r="O40" s="5" t="s">
        <v>95</v>
      </c>
      <c r="P40" s="5"/>
      <c r="Q40" s="5" t="s">
        <v>48</v>
      </c>
      <c r="R40" s="5" t="s">
        <v>247</v>
      </c>
      <c r="S40" s="5" t="n">
        <f aca="false">IF(R40="","",COUNTIFS(Probe_Pairs!$B:$B,A40,Probe_Pairs!$X:$X,"Both halves"))</f>
        <v>3</v>
      </c>
      <c r="T40" s="5" t="str">
        <f aca="false">IF(R40="","",IF(S40*2&gt;=K40,"High","Low"))</f>
        <v>High</v>
      </c>
      <c r="U40" s="5" t="s">
        <v>246</v>
      </c>
      <c r="V40" s="5" t="s">
        <v>248</v>
      </c>
      <c r="W40" s="5" t="s">
        <v>249</v>
      </c>
      <c r="X40" s="5"/>
      <c r="Y40" s="7"/>
      <c r="Z40" s="7"/>
      <c r="AA40" s="7"/>
      <c r="AB40" s="7"/>
      <c r="AC40" s="7"/>
    </row>
    <row r="41" customFormat="false" ht="15" hidden="false" customHeight="false" outlineLevel="0" collapsed="false">
      <c r="A41" s="5" t="s">
        <v>250</v>
      </c>
      <c r="B41" s="5" t="s">
        <v>40</v>
      </c>
      <c r="C41" s="5" t="s">
        <v>251</v>
      </c>
      <c r="D41" s="5" t="s">
        <v>252</v>
      </c>
      <c r="E41" s="5" t="s">
        <v>43</v>
      </c>
      <c r="F41" s="5" t="s">
        <v>253</v>
      </c>
      <c r="G41" s="5"/>
      <c r="H41" s="5"/>
      <c r="I41" s="10" t="s">
        <v>229</v>
      </c>
      <c r="J41" s="5" t="s">
        <v>230</v>
      </c>
      <c r="K41" s="5" t="n">
        <f aca="false">COUNTIF(Probe_Pairs!$B:$B,A41)</f>
        <v>4</v>
      </c>
      <c r="L41" s="5" t="n">
        <f aca="false">COUNTIFS(Probe_Pairs!$B:$B,A41,Probe_Pairs!$S:$S,"Both halves")</f>
        <v>0</v>
      </c>
      <c r="M41" s="5"/>
      <c r="N41" s="5" t="s">
        <v>251</v>
      </c>
      <c r="O41" s="5" t="s">
        <v>95</v>
      </c>
      <c r="P41" s="5"/>
      <c r="Q41" s="5" t="s">
        <v>48</v>
      </c>
      <c r="R41" s="5" t="s">
        <v>253</v>
      </c>
      <c r="S41" s="5" t="n">
        <f aca="false">IF(R41="","",COUNTIFS(Probe_Pairs!$B:$B,A41,Probe_Pairs!$X:$X,"Both halves"))</f>
        <v>2</v>
      </c>
      <c r="T41" s="5" t="str">
        <f aca="false">IF(R41="","",IF(S41*2&gt;=K41,"High","Low"))</f>
        <v>High</v>
      </c>
      <c r="U41" s="5" t="s">
        <v>252</v>
      </c>
      <c r="V41" s="5" t="s">
        <v>254</v>
      </c>
      <c r="W41" s="5" t="s">
        <v>255</v>
      </c>
      <c r="X41" s="5"/>
      <c r="Y41" s="7"/>
      <c r="Z41" s="7"/>
      <c r="AA41" s="7"/>
      <c r="AB41" s="7"/>
      <c r="AC41" s="7"/>
    </row>
    <row r="42" customFormat="false" ht="15" hidden="false" customHeight="false" outlineLevel="0" collapsed="false">
      <c r="A42" s="5" t="s">
        <v>256</v>
      </c>
      <c r="B42" s="5" t="s">
        <v>40</v>
      </c>
      <c r="C42" s="5" t="s">
        <v>257</v>
      </c>
      <c r="D42" s="5"/>
      <c r="E42" s="5" t="s">
        <v>119</v>
      </c>
      <c r="F42" s="5"/>
      <c r="G42" s="5"/>
      <c r="H42" s="5"/>
      <c r="I42" s="10" t="s">
        <v>229</v>
      </c>
      <c r="J42" s="5" t="s">
        <v>230</v>
      </c>
      <c r="K42" s="5" t="n">
        <f aca="false">COUNTIF(Probe_Pairs!$B:$B,A42)</f>
        <v>6</v>
      </c>
      <c r="L42" s="5" t="n">
        <f aca="false">COUNTIFS(Probe_Pairs!$B:$B,A42,Probe_Pairs!$S:$S,"Both halves")</f>
        <v>0</v>
      </c>
      <c r="M42" s="5"/>
      <c r="N42" s="5" t="s">
        <v>257</v>
      </c>
      <c r="O42" s="5" t="s">
        <v>120</v>
      </c>
      <c r="P42" s="5"/>
      <c r="Q42" s="5"/>
      <c r="R42" s="5"/>
      <c r="S42" s="5" t="str">
        <f aca="false">IF(R42="","",COUNTIFS(Probe_Pairs!$B:$B,A42,Probe_Pairs!$X:$X,"Both halves"))</f>
        <v/>
      </c>
      <c r="T42" s="5" t="str">
        <f aca="false">IF(R42="","",IF(S42*2&gt;=K42,"High","Low"))</f>
        <v/>
      </c>
      <c r="U42" s="5"/>
      <c r="V42" s="5"/>
      <c r="W42" s="5"/>
      <c r="X42" s="5"/>
      <c r="Y42" s="7"/>
      <c r="Z42" s="7"/>
      <c r="AA42" s="7"/>
      <c r="AB42" s="7"/>
      <c r="AC42" s="7"/>
    </row>
    <row r="43" customFormat="false" ht="15" hidden="false" customHeight="false" outlineLevel="0" collapsed="false">
      <c r="A43" s="5" t="s">
        <v>258</v>
      </c>
      <c r="B43" s="5" t="s">
        <v>40</v>
      </c>
      <c r="C43" s="5" t="s">
        <v>259</v>
      </c>
      <c r="D43" s="5"/>
      <c r="E43" s="5" t="s">
        <v>148</v>
      </c>
      <c r="F43" s="5"/>
      <c r="G43" s="5"/>
      <c r="H43" s="5"/>
      <c r="I43" s="10" t="s">
        <v>229</v>
      </c>
      <c r="J43" s="5" t="s">
        <v>230</v>
      </c>
      <c r="K43" s="5" t="n">
        <f aca="false">COUNTIF(Probe_Pairs!$B:$B,A43)</f>
        <v>4</v>
      </c>
      <c r="L43" s="5" t="n">
        <f aca="false">COUNTIFS(Probe_Pairs!$B:$B,A43,Probe_Pairs!$S:$S,"Both halves")</f>
        <v>0</v>
      </c>
      <c r="M43" s="5"/>
      <c r="N43" s="5" t="s">
        <v>259</v>
      </c>
      <c r="O43" s="5" t="s">
        <v>211</v>
      </c>
      <c r="P43" s="5"/>
      <c r="Q43" s="5"/>
      <c r="R43" s="5"/>
      <c r="S43" s="5" t="str">
        <f aca="false">IF(R43="","",COUNTIFS(Probe_Pairs!$B:$B,A43,Probe_Pairs!$X:$X,"Both halves"))</f>
        <v/>
      </c>
      <c r="T43" s="5" t="str">
        <f aca="false">IF(R43="","",IF(S43*2&gt;=K43,"High","Low"))</f>
        <v/>
      </c>
      <c r="U43" s="5"/>
      <c r="V43" s="5"/>
      <c r="W43" s="5"/>
      <c r="X43" s="5"/>
      <c r="Y43" s="7"/>
      <c r="Z43" s="7"/>
      <c r="AA43" s="7"/>
      <c r="AB43" s="7"/>
      <c r="AC43" s="7"/>
    </row>
    <row r="44" customFormat="false" ht="15" hidden="false" customHeight="false" outlineLevel="0" collapsed="false">
      <c r="A44" s="5" t="s">
        <v>260</v>
      </c>
      <c r="B44" s="5" t="s">
        <v>40</v>
      </c>
      <c r="C44" s="5" t="s">
        <v>261</v>
      </c>
      <c r="D44" s="5" t="s">
        <v>262</v>
      </c>
      <c r="E44" s="5" t="s">
        <v>43</v>
      </c>
      <c r="F44" s="5" t="s">
        <v>263</v>
      </c>
      <c r="G44" s="5"/>
      <c r="H44" s="5"/>
      <c r="I44" s="10" t="s">
        <v>229</v>
      </c>
      <c r="J44" s="5" t="s">
        <v>230</v>
      </c>
      <c r="K44" s="5" t="n">
        <f aca="false">COUNTIF(Probe_Pairs!$B:$B,A44)</f>
        <v>8</v>
      </c>
      <c r="L44" s="5" t="n">
        <f aca="false">COUNTIFS(Probe_Pairs!$B:$B,A44,Probe_Pairs!$S:$S,"Both halves")</f>
        <v>0</v>
      </c>
      <c r="M44" s="5"/>
      <c r="N44" s="5" t="s">
        <v>261</v>
      </c>
      <c r="O44" s="5" t="s">
        <v>51</v>
      </c>
      <c r="P44" s="5"/>
      <c r="Q44" s="5" t="s">
        <v>48</v>
      </c>
      <c r="R44" s="5" t="s">
        <v>263</v>
      </c>
      <c r="S44" s="5" t="n">
        <f aca="false">IF(R44="","",COUNTIFS(Probe_Pairs!$B:$B,A44,Probe_Pairs!$X:$X,"Both halves"))</f>
        <v>8</v>
      </c>
      <c r="T44" s="5" t="str">
        <f aca="false">IF(R44="","",IF(S44*2&gt;=K44,"High","Low"))</f>
        <v>High</v>
      </c>
      <c r="U44" s="5" t="s">
        <v>262</v>
      </c>
      <c r="V44" s="5" t="s">
        <v>262</v>
      </c>
      <c r="W44" s="5" t="s">
        <v>264</v>
      </c>
      <c r="X44" s="5"/>
      <c r="Y44" s="7"/>
      <c r="Z44" s="7"/>
      <c r="AA44" s="7"/>
      <c r="AB44" s="7"/>
      <c r="AC44" s="7"/>
    </row>
    <row r="45" customFormat="false" ht="15" hidden="false" customHeight="false" outlineLevel="0" collapsed="false">
      <c r="A45" s="5" t="s">
        <v>265</v>
      </c>
      <c r="B45" s="5" t="s">
        <v>40</v>
      </c>
      <c r="C45" s="5" t="s">
        <v>266</v>
      </c>
      <c r="D45" s="5" t="s">
        <v>161</v>
      </c>
      <c r="E45" s="5" t="s">
        <v>43</v>
      </c>
      <c r="F45" s="5" t="s">
        <v>162</v>
      </c>
      <c r="G45" s="5"/>
      <c r="H45" s="5"/>
      <c r="I45" s="10" t="s">
        <v>229</v>
      </c>
      <c r="J45" s="5" t="s">
        <v>230</v>
      </c>
      <c r="K45" s="5" t="n">
        <f aca="false">COUNTIF(Probe_Pairs!$B:$B,A45)</f>
        <v>6</v>
      </c>
      <c r="L45" s="5" t="n">
        <f aca="false">COUNTIFS(Probe_Pairs!$B:$B,A45,Probe_Pairs!$S:$S,"Both halves")</f>
        <v>0</v>
      </c>
      <c r="M45" s="5"/>
      <c r="N45" s="5" t="s">
        <v>125</v>
      </c>
      <c r="O45" s="5" t="s">
        <v>126</v>
      </c>
      <c r="P45" s="5"/>
      <c r="Q45" s="5" t="s">
        <v>48</v>
      </c>
      <c r="R45" s="5" t="s">
        <v>162</v>
      </c>
      <c r="S45" s="5" t="n">
        <f aca="false">IF(R45="","",COUNTIFS(Probe_Pairs!$B:$B,A45,Probe_Pairs!$X:$X,"Both halves"))</f>
        <v>3</v>
      </c>
      <c r="T45" s="5" t="str">
        <f aca="false">IF(R45="","",IF(S45*2&gt;=K45,"High","Low"))</f>
        <v>High</v>
      </c>
      <c r="U45" s="5" t="s">
        <v>161</v>
      </c>
      <c r="V45" s="5" t="s">
        <v>161</v>
      </c>
      <c r="W45" s="5" t="s">
        <v>164</v>
      </c>
      <c r="X45" s="8" t="s">
        <v>165</v>
      </c>
      <c r="Y45" s="7"/>
      <c r="Z45" s="7"/>
      <c r="AA45" s="7"/>
      <c r="AB45" s="7"/>
      <c r="AC45" s="7" t="s">
        <v>267</v>
      </c>
    </row>
    <row r="46" customFormat="false" ht="15" hidden="false" customHeight="false" outlineLevel="0" collapsed="false">
      <c r="A46" s="5" t="s">
        <v>268</v>
      </c>
      <c r="B46" s="5" t="s">
        <v>40</v>
      </c>
      <c r="C46" s="5" t="s">
        <v>269</v>
      </c>
      <c r="D46" s="5"/>
      <c r="E46" s="5" t="s">
        <v>148</v>
      </c>
      <c r="F46" s="5"/>
      <c r="G46" s="5"/>
      <c r="H46" s="5"/>
      <c r="I46" s="10" t="s">
        <v>229</v>
      </c>
      <c r="J46" s="5" t="s">
        <v>230</v>
      </c>
      <c r="K46" s="5" t="n">
        <f aca="false">COUNTIF(Probe_Pairs!$B:$B,A46)</f>
        <v>6</v>
      </c>
      <c r="L46" s="5" t="n">
        <f aca="false">COUNTIFS(Probe_Pairs!$B:$B,A46,Probe_Pairs!$S:$S,"Both halves")</f>
        <v>0</v>
      </c>
      <c r="M46" s="5"/>
      <c r="N46" s="5" t="s">
        <v>270</v>
      </c>
      <c r="O46" s="5" t="s">
        <v>126</v>
      </c>
      <c r="P46" s="5"/>
      <c r="Q46" s="5"/>
      <c r="R46" s="5"/>
      <c r="S46" s="5" t="str">
        <f aca="false">IF(R46="","",COUNTIFS(Probe_Pairs!$B:$B,A46,Probe_Pairs!$X:$X,"Both halves"))</f>
        <v/>
      </c>
      <c r="T46" s="5" t="str">
        <f aca="false">IF(R46="","",IF(S46*2&gt;=K46,"High","Low"))</f>
        <v/>
      </c>
      <c r="U46" s="5"/>
      <c r="V46" s="5"/>
      <c r="W46" s="5"/>
      <c r="X46" s="8" t="s">
        <v>149</v>
      </c>
      <c r="Y46" s="7"/>
      <c r="Z46" s="7"/>
      <c r="AA46" s="7"/>
      <c r="AB46" s="7"/>
      <c r="AC46" s="7" t="s">
        <v>271</v>
      </c>
    </row>
    <row r="47" customFormat="false" ht="15" hidden="false" customHeight="false" outlineLevel="0" collapsed="false">
      <c r="A47" s="5" t="s">
        <v>272</v>
      </c>
      <c r="B47" s="5" t="s">
        <v>40</v>
      </c>
      <c r="C47" s="5" t="s">
        <v>273</v>
      </c>
      <c r="D47" s="5" t="s">
        <v>274</v>
      </c>
      <c r="E47" s="5" t="s">
        <v>43</v>
      </c>
      <c r="F47" s="5" t="s">
        <v>275</v>
      </c>
      <c r="G47" s="5"/>
      <c r="H47" s="5"/>
      <c r="I47" s="10" t="s">
        <v>229</v>
      </c>
      <c r="J47" s="5" t="s">
        <v>230</v>
      </c>
      <c r="K47" s="5" t="n">
        <f aca="false">COUNTIF(Probe_Pairs!$B:$B,A47)</f>
        <v>6</v>
      </c>
      <c r="L47" s="5" t="n">
        <f aca="false">COUNTIFS(Probe_Pairs!$B:$B,A47,Probe_Pairs!$S:$S,"Both halves")</f>
        <v>0</v>
      </c>
      <c r="M47" s="5"/>
      <c r="N47" s="5" t="s">
        <v>276</v>
      </c>
      <c r="O47" s="5" t="s">
        <v>126</v>
      </c>
      <c r="P47" s="5"/>
      <c r="Q47" s="5" t="s">
        <v>48</v>
      </c>
      <c r="R47" s="5" t="s">
        <v>275</v>
      </c>
      <c r="S47" s="5" t="n">
        <f aca="false">IF(R47="","",COUNTIFS(Probe_Pairs!$B:$B,A47,Probe_Pairs!$X:$X,"Both halves"))</f>
        <v>4</v>
      </c>
      <c r="T47" s="5" t="str">
        <f aca="false">IF(R47="","",IF(S47*2&gt;=K47,"High","Low"))</f>
        <v>High</v>
      </c>
      <c r="U47" s="5" t="s">
        <v>274</v>
      </c>
      <c r="V47" s="5" t="s">
        <v>277</v>
      </c>
      <c r="W47" s="5" t="s">
        <v>278</v>
      </c>
      <c r="X47" s="8" t="s">
        <v>129</v>
      </c>
      <c r="Y47" s="7"/>
      <c r="Z47" s="7"/>
      <c r="AA47" s="7"/>
      <c r="AB47" s="7"/>
      <c r="AC47" s="7" t="s">
        <v>279</v>
      </c>
    </row>
    <row r="48" customFormat="false" ht="15" hidden="false" customHeight="false" outlineLevel="0" collapsed="false">
      <c r="A48" s="5" t="s">
        <v>280</v>
      </c>
      <c r="B48" s="5" t="s">
        <v>40</v>
      </c>
      <c r="C48" s="5" t="s">
        <v>281</v>
      </c>
      <c r="D48" s="5"/>
      <c r="E48" s="5" t="s">
        <v>148</v>
      </c>
      <c r="F48" s="5"/>
      <c r="G48" s="5"/>
      <c r="H48" s="5"/>
      <c r="I48" s="10" t="s">
        <v>229</v>
      </c>
      <c r="J48" s="5" t="s">
        <v>230</v>
      </c>
      <c r="K48" s="5" t="n">
        <f aca="false">COUNTIF(Probe_Pairs!$B:$B,A48)</f>
        <v>3</v>
      </c>
      <c r="L48" s="5" t="n">
        <f aca="false">COUNTIFS(Probe_Pairs!$B:$B,A48,Probe_Pairs!$S:$S,"Both halves")</f>
        <v>0</v>
      </c>
      <c r="M48" s="5"/>
      <c r="N48" s="5" t="s">
        <v>125</v>
      </c>
      <c r="O48" s="5" t="s">
        <v>126</v>
      </c>
      <c r="P48" s="5"/>
      <c r="Q48" s="5"/>
      <c r="R48" s="5"/>
      <c r="S48" s="5" t="str">
        <f aca="false">IF(R48="","",COUNTIFS(Probe_Pairs!$B:$B,A48,Probe_Pairs!$X:$X,"Both halves"))</f>
        <v/>
      </c>
      <c r="T48" s="5" t="str">
        <f aca="false">IF(R48="","",IF(S48*2&gt;=K48,"High","Low"))</f>
        <v/>
      </c>
      <c r="U48" s="5"/>
      <c r="V48" s="5"/>
      <c r="W48" s="5"/>
      <c r="X48" s="8" t="s">
        <v>129</v>
      </c>
      <c r="Y48" s="7"/>
      <c r="Z48" s="7"/>
      <c r="AA48" s="7"/>
      <c r="AB48" s="7"/>
      <c r="AC48" s="7" t="s">
        <v>271</v>
      </c>
    </row>
    <row r="49" customFormat="false" ht="15" hidden="false" customHeight="false" outlineLevel="0" collapsed="false">
      <c r="A49" s="5" t="s">
        <v>282</v>
      </c>
      <c r="B49" s="5" t="s">
        <v>40</v>
      </c>
      <c r="C49" s="5" t="s">
        <v>283</v>
      </c>
      <c r="D49" s="5" t="s">
        <v>284</v>
      </c>
      <c r="E49" s="5" t="s">
        <v>43</v>
      </c>
      <c r="F49" s="5" t="s">
        <v>285</v>
      </c>
      <c r="G49" s="5"/>
      <c r="H49" s="5"/>
      <c r="I49" s="10" t="s">
        <v>229</v>
      </c>
      <c r="J49" s="5" t="s">
        <v>230</v>
      </c>
      <c r="K49" s="5" t="n">
        <f aca="false">COUNTIF(Probe_Pairs!$B:$B,A49)</f>
        <v>8</v>
      </c>
      <c r="L49" s="5" t="n">
        <f aca="false">COUNTIFS(Probe_Pairs!$B:$B,A49,Probe_Pairs!$S:$S,"Both halves")</f>
        <v>0</v>
      </c>
      <c r="M49" s="5"/>
      <c r="N49" s="5" t="s">
        <v>283</v>
      </c>
      <c r="O49" s="5" t="s">
        <v>51</v>
      </c>
      <c r="P49" s="5"/>
      <c r="Q49" s="5" t="s">
        <v>48</v>
      </c>
      <c r="R49" s="5" t="s">
        <v>285</v>
      </c>
      <c r="S49" s="5" t="n">
        <f aca="false">IF(R49="","",COUNTIFS(Probe_Pairs!$B:$B,A49,Probe_Pairs!$X:$X,"Both halves"))</f>
        <v>2</v>
      </c>
      <c r="T49" s="5" t="str">
        <f aca="false">IF(R49="","",IF(S49*2&gt;=K49,"High","Low"))</f>
        <v>Low</v>
      </c>
      <c r="U49" s="5" t="s">
        <v>284</v>
      </c>
      <c r="V49" s="5" t="s">
        <v>284</v>
      </c>
      <c r="W49" s="5" t="s">
        <v>286</v>
      </c>
      <c r="X49" s="8" t="s">
        <v>287</v>
      </c>
      <c r="Y49" s="7"/>
      <c r="Z49" s="7"/>
      <c r="AA49" s="7"/>
      <c r="AB49" s="7"/>
      <c r="AC49" s="7"/>
    </row>
    <row r="50" customFormat="false" ht="15" hidden="false" customHeight="false" outlineLevel="0" collapsed="false">
      <c r="A50" s="5" t="s">
        <v>288</v>
      </c>
      <c r="B50" s="5" t="s">
        <v>40</v>
      </c>
      <c r="C50" s="5" t="s">
        <v>289</v>
      </c>
      <c r="D50" s="5" t="s">
        <v>290</v>
      </c>
      <c r="E50" s="5" t="s">
        <v>43</v>
      </c>
      <c r="F50" s="5" t="s">
        <v>291</v>
      </c>
      <c r="G50" s="5"/>
      <c r="H50" s="5"/>
      <c r="I50" s="10" t="s">
        <v>229</v>
      </c>
      <c r="J50" s="5" t="s">
        <v>230</v>
      </c>
      <c r="K50" s="5" t="n">
        <f aca="false">COUNTIF(Probe_Pairs!$B:$B,A50)</f>
        <v>8</v>
      </c>
      <c r="L50" s="5" t="n">
        <f aca="false">COUNTIFS(Probe_Pairs!$B:$B,A50,Probe_Pairs!$S:$S,"Both halves")</f>
        <v>0</v>
      </c>
      <c r="M50" s="5"/>
      <c r="N50" s="5" t="s">
        <v>292</v>
      </c>
      <c r="O50" s="5" t="s">
        <v>47</v>
      </c>
      <c r="P50" s="5"/>
      <c r="Q50" s="5" t="s">
        <v>48</v>
      </c>
      <c r="R50" s="5" t="s">
        <v>291</v>
      </c>
      <c r="S50" s="5" t="n">
        <f aca="false">IF(R50="","",COUNTIFS(Probe_Pairs!$B:$B,A50,Probe_Pairs!$X:$X,"Both halves"))</f>
        <v>4</v>
      </c>
      <c r="T50" s="5" t="str">
        <f aca="false">IF(R50="","",IF(S50*2&gt;=K50,"High","Low"))</f>
        <v>High</v>
      </c>
      <c r="U50" s="5" t="s">
        <v>290</v>
      </c>
      <c r="V50" s="5" t="s">
        <v>293</v>
      </c>
      <c r="W50" s="5" t="s">
        <v>294</v>
      </c>
      <c r="X50" s="5"/>
      <c r="Y50" s="7"/>
      <c r="Z50" s="7"/>
      <c r="AA50" s="7"/>
      <c r="AB50" s="7"/>
      <c r="AC50" s="7"/>
    </row>
    <row r="51" customFormat="false" ht="15" hidden="false" customHeight="false" outlineLevel="0" collapsed="false">
      <c r="A51" s="5" t="s">
        <v>295</v>
      </c>
      <c r="B51" s="5" t="s">
        <v>40</v>
      </c>
      <c r="C51" s="5" t="s">
        <v>296</v>
      </c>
      <c r="D51" s="5" t="s">
        <v>297</v>
      </c>
      <c r="E51" s="5" t="s">
        <v>43</v>
      </c>
      <c r="F51" s="5" t="s">
        <v>298</v>
      </c>
      <c r="G51" s="5"/>
      <c r="H51" s="5"/>
      <c r="I51" s="10" t="s">
        <v>229</v>
      </c>
      <c r="J51" s="5" t="s">
        <v>230</v>
      </c>
      <c r="K51" s="5" t="n">
        <f aca="false">COUNTIF(Probe_Pairs!$B:$B,A51)</f>
        <v>4</v>
      </c>
      <c r="L51" s="5" t="n">
        <f aca="false">COUNTIFS(Probe_Pairs!$B:$B,A51,Probe_Pairs!$S:$S,"Both halves")</f>
        <v>0</v>
      </c>
      <c r="M51" s="5"/>
      <c r="N51" s="5" t="s">
        <v>296</v>
      </c>
      <c r="O51" s="5" t="s">
        <v>211</v>
      </c>
      <c r="P51" s="5"/>
      <c r="Q51" s="5" t="s">
        <v>48</v>
      </c>
      <c r="R51" s="5" t="s">
        <v>298</v>
      </c>
      <c r="S51" s="5" t="n">
        <f aca="false">IF(R51="","",COUNTIFS(Probe_Pairs!$B:$B,A51,Probe_Pairs!$X:$X,"Both halves"))</f>
        <v>4</v>
      </c>
      <c r="T51" s="5" t="str">
        <f aca="false">IF(R51="","",IF(S51*2&gt;=K51,"High","Low"))</f>
        <v>High</v>
      </c>
      <c r="U51" s="5" t="s">
        <v>297</v>
      </c>
      <c r="V51" s="5" t="s">
        <v>297</v>
      </c>
      <c r="W51" s="5" t="s">
        <v>299</v>
      </c>
      <c r="X51" s="5"/>
      <c r="Y51" s="7"/>
      <c r="Z51" s="7"/>
      <c r="AA51" s="7"/>
      <c r="AB51" s="7"/>
      <c r="AC51" s="7"/>
    </row>
    <row r="52" customFormat="false" ht="15" hidden="false" customHeight="false" outlineLevel="0" collapsed="false">
      <c r="A52" s="5" t="s">
        <v>300</v>
      </c>
      <c r="B52" s="5" t="s">
        <v>40</v>
      </c>
      <c r="C52" s="5" t="s">
        <v>301</v>
      </c>
      <c r="D52" s="5" t="s">
        <v>302</v>
      </c>
      <c r="E52" s="5" t="s">
        <v>43</v>
      </c>
      <c r="F52" s="5" t="s">
        <v>303</v>
      </c>
      <c r="G52" s="5"/>
      <c r="H52" s="5"/>
      <c r="I52" s="10" t="s">
        <v>229</v>
      </c>
      <c r="J52" s="5" t="s">
        <v>230</v>
      </c>
      <c r="K52" s="5" t="n">
        <f aca="false">COUNTIF(Probe_Pairs!$B:$B,A52)</f>
        <v>8</v>
      </c>
      <c r="L52" s="5" t="n">
        <f aca="false">COUNTIFS(Probe_Pairs!$B:$B,A52,Probe_Pairs!$S:$S,"Both halves")</f>
        <v>0</v>
      </c>
      <c r="M52" s="5"/>
      <c r="N52" s="5" t="s">
        <v>301</v>
      </c>
      <c r="O52" s="5" t="s">
        <v>51</v>
      </c>
      <c r="P52" s="5"/>
      <c r="Q52" s="5" t="s">
        <v>48</v>
      </c>
      <c r="R52" s="5" t="s">
        <v>303</v>
      </c>
      <c r="S52" s="5" t="n">
        <f aca="false">IF(R52="","",COUNTIFS(Probe_Pairs!$B:$B,A52,Probe_Pairs!$X:$X,"Both halves"))</f>
        <v>6</v>
      </c>
      <c r="T52" s="5" t="str">
        <f aca="false">IF(R52="","",IF(S52*2&gt;=K52,"High","Low"))</f>
        <v>High</v>
      </c>
      <c r="U52" s="5" t="s">
        <v>302</v>
      </c>
      <c r="V52" s="5" t="s">
        <v>304</v>
      </c>
      <c r="W52" s="5" t="s">
        <v>305</v>
      </c>
      <c r="X52" s="8" t="s">
        <v>62</v>
      </c>
      <c r="Y52" s="7"/>
      <c r="Z52" s="7"/>
      <c r="AA52" s="7"/>
      <c r="AB52" s="7"/>
      <c r="AC52" s="7"/>
    </row>
    <row r="53" customFormat="false" ht="15" hidden="false" customHeight="false" outlineLevel="0" collapsed="false">
      <c r="A53" s="5" t="s">
        <v>306</v>
      </c>
      <c r="B53" s="5" t="s">
        <v>40</v>
      </c>
      <c r="C53" s="5" t="s">
        <v>307</v>
      </c>
      <c r="D53" s="5" t="s">
        <v>308</v>
      </c>
      <c r="E53" s="5" t="s">
        <v>43</v>
      </c>
      <c r="F53" s="5" t="s">
        <v>309</v>
      </c>
      <c r="G53" s="5"/>
      <c r="H53" s="5"/>
      <c r="I53" s="10" t="s">
        <v>229</v>
      </c>
      <c r="J53" s="5" t="s">
        <v>230</v>
      </c>
      <c r="K53" s="5" t="n">
        <f aca="false">COUNTIF(Probe_Pairs!$B:$B,A53)</f>
        <v>8</v>
      </c>
      <c r="L53" s="5" t="n">
        <f aca="false">COUNTIFS(Probe_Pairs!$B:$B,A53,Probe_Pairs!$S:$S,"Both halves")</f>
        <v>0</v>
      </c>
      <c r="M53" s="5"/>
      <c r="N53" s="5" t="s">
        <v>307</v>
      </c>
      <c r="O53" s="5" t="s">
        <v>114</v>
      </c>
      <c r="P53" s="5"/>
      <c r="Q53" s="5" t="s">
        <v>48</v>
      </c>
      <c r="R53" s="5" t="s">
        <v>309</v>
      </c>
      <c r="S53" s="5" t="n">
        <f aca="false">IF(R53="","",COUNTIFS(Probe_Pairs!$B:$B,A53,Probe_Pairs!$X:$X,"Both halves"))</f>
        <v>4</v>
      </c>
      <c r="T53" s="5" t="str">
        <f aca="false">IF(R53="","",IF(S53*2&gt;=K53,"High","Low"))</f>
        <v>High</v>
      </c>
      <c r="U53" s="5" t="s">
        <v>308</v>
      </c>
      <c r="V53" s="5" t="s">
        <v>308</v>
      </c>
      <c r="W53" s="5" t="s">
        <v>310</v>
      </c>
      <c r="X53" s="5"/>
      <c r="Y53" s="7"/>
      <c r="Z53" s="7"/>
      <c r="AA53" s="7"/>
      <c r="AB53" s="7"/>
      <c r="AC53" s="7"/>
    </row>
  </sheetData>
  <autoFilter ref="A1:AC53"/>
  <dataValidations count="1">
    <dataValidation allowBlank="true" errorStyle="stop" operator="between" showDropDown="false" showErrorMessage="false" showInputMessage="false" sqref="Y2:Y1053" type="list">
      <formula1>"Designed,Ordered,In stock,Validated,Failed,Retired"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18"/>
    <col collapsed="false" customWidth="true" hidden="false" outlineLevel="0" max="4" min="4" style="0" width="9"/>
    <col collapsed="false" customWidth="true" hidden="false" outlineLevel="0" max="5" min="5" style="0" width="6"/>
    <col collapsed="false" customWidth="true" hidden="false" outlineLevel="0" max="6" min="6" style="0" width="26"/>
    <col collapsed="false" customWidth="true" hidden="false" outlineLevel="0" max="7" min="7" style="0" width="52"/>
    <col collapsed="false" customWidth="true" hidden="false" outlineLevel="0" max="8" min="8" style="0" width="26"/>
    <col collapsed="false" customWidth="true" hidden="false" outlineLevel="0" max="9" min="9" style="0" width="52"/>
    <col collapsed="false" customWidth="true" hidden="false" outlineLevel="0" max="11" min="10" style="0" width="26"/>
    <col collapsed="false" customWidth="true" hidden="false" outlineLevel="0" max="13" min="12" style="0" width="30"/>
    <col collapsed="false" customWidth="true" hidden="false" outlineLevel="0" max="17" min="14" style="0" width="8"/>
    <col collapsed="false" customWidth="true" hidden="false" outlineLevel="0" max="18" min="18" style="0" width="9"/>
    <col collapsed="false" customWidth="true" hidden="false" outlineLevel="0" max="19" min="19" style="0" width="12"/>
    <col collapsed="false" customWidth="true" hidden="false" outlineLevel="0" max="20" min="20" style="0" width="10"/>
    <col collapsed="false" customWidth="true" hidden="false" outlineLevel="0" max="21" min="21" style="0" width="15"/>
    <col collapsed="false" customWidth="true" hidden="false" outlineLevel="0" max="22" min="22" style="0" width="34"/>
    <col collapsed="false" customWidth="true" hidden="false" outlineLevel="0" max="23" min="23" style="0" width="30"/>
    <col collapsed="false" customWidth="true" hidden="false" outlineLevel="0" max="24" min="24" style="0" width="14"/>
    <col collapsed="false" customWidth="true" hidden="false" outlineLevel="0" max="25" min="25" style="0" width="40"/>
  </cols>
  <sheetData>
    <row r="1" customFormat="false" ht="31.5" hidden="false" customHeight="true" outlineLevel="0" collapsed="false">
      <c r="A1" s="3" t="s">
        <v>311</v>
      </c>
      <c r="B1" s="3" t="s">
        <v>10</v>
      </c>
      <c r="C1" s="3" t="s">
        <v>312</v>
      </c>
      <c r="D1" s="3" t="s">
        <v>18</v>
      </c>
      <c r="E1" s="3" t="s">
        <v>313</v>
      </c>
      <c r="F1" s="3" t="s">
        <v>314</v>
      </c>
      <c r="G1" s="3" t="s">
        <v>315</v>
      </c>
      <c r="H1" s="3" t="s">
        <v>316</v>
      </c>
      <c r="I1" s="3" t="s">
        <v>317</v>
      </c>
      <c r="J1" s="3" t="s">
        <v>318</v>
      </c>
      <c r="K1" s="3" t="s">
        <v>319</v>
      </c>
      <c r="L1" s="3" t="s">
        <v>320</v>
      </c>
      <c r="M1" s="3" t="s">
        <v>321</v>
      </c>
      <c r="N1" s="3" t="s">
        <v>322</v>
      </c>
      <c r="O1" s="3" t="s">
        <v>323</v>
      </c>
      <c r="P1" s="3" t="s">
        <v>324</v>
      </c>
      <c r="Q1" s="3" t="s">
        <v>325</v>
      </c>
      <c r="R1" s="3" t="s">
        <v>326</v>
      </c>
      <c r="S1" s="3" t="s">
        <v>327</v>
      </c>
      <c r="T1" s="3" t="s">
        <v>328</v>
      </c>
      <c r="U1" s="3" t="s">
        <v>329</v>
      </c>
      <c r="V1" s="3" t="s">
        <v>24</v>
      </c>
      <c r="W1" s="3" t="s">
        <v>330</v>
      </c>
      <c r="X1" s="3" t="s">
        <v>331</v>
      </c>
      <c r="Y1" s="3" t="s">
        <v>332</v>
      </c>
    </row>
    <row r="2" customFormat="false" ht="15" hidden="false" customHeight="false" outlineLevel="0" collapsed="false">
      <c r="A2" s="5" t="s">
        <v>333</v>
      </c>
      <c r="B2" s="5" t="s">
        <v>39</v>
      </c>
      <c r="C2" s="5" t="s">
        <v>41</v>
      </c>
      <c r="D2" s="6" t="s">
        <v>45</v>
      </c>
      <c r="E2" s="5" t="n">
        <v>1</v>
      </c>
      <c r="F2" s="5" t="s">
        <v>334</v>
      </c>
      <c r="G2" s="11" t="s">
        <v>335</v>
      </c>
      <c r="H2" s="5" t="s">
        <v>336</v>
      </c>
      <c r="I2" s="11" t="s">
        <v>337</v>
      </c>
      <c r="J2" s="5" t="s">
        <v>338</v>
      </c>
      <c r="K2" s="5" t="s">
        <v>339</v>
      </c>
      <c r="L2" s="11" t="s">
        <v>340</v>
      </c>
      <c r="M2" s="11" t="s">
        <v>341</v>
      </c>
      <c r="N2" s="5" t="n">
        <f aca="false">LEN(L2)</f>
        <v>25</v>
      </c>
      <c r="O2" s="5" t="n">
        <f aca="false">LEN(M2)</f>
        <v>25</v>
      </c>
      <c r="P2" s="12" t="n">
        <f aca="false">IF(N2=0,"",(N2-LEN(SUBSTITUTE(SUBSTITUTE(L2,"G",""),"C","")))/N2)</f>
        <v>0.48</v>
      </c>
      <c r="Q2" s="12" t="n">
        <f aca="false">IF(O2=0,"",(O2-LEN(SUBSTITUTE(SUBSTITUTE(M2,"G",""),"C","")))/O2)</f>
        <v>0.64</v>
      </c>
      <c r="R2" s="5"/>
      <c r="S2" s="5" t="s">
        <v>342</v>
      </c>
      <c r="T2" s="5"/>
      <c r="U2" s="5" t="s">
        <v>343</v>
      </c>
      <c r="V2" s="5" t="s">
        <v>344</v>
      </c>
      <c r="W2" s="5"/>
      <c r="X2" s="13" t="s">
        <v>345</v>
      </c>
      <c r="Y2" s="5"/>
    </row>
    <row r="3" customFormat="false" ht="15" hidden="false" customHeight="false" outlineLevel="0" collapsed="false">
      <c r="A3" s="5" t="s">
        <v>346</v>
      </c>
      <c r="B3" s="5" t="s">
        <v>39</v>
      </c>
      <c r="C3" s="5" t="s">
        <v>41</v>
      </c>
      <c r="D3" s="6" t="s">
        <v>45</v>
      </c>
      <c r="E3" s="5" t="n">
        <v>2</v>
      </c>
      <c r="F3" s="5" t="s">
        <v>347</v>
      </c>
      <c r="G3" s="11" t="s">
        <v>348</v>
      </c>
      <c r="H3" s="5" t="s">
        <v>349</v>
      </c>
      <c r="I3" s="11" t="s">
        <v>350</v>
      </c>
      <c r="J3" s="5" t="s">
        <v>351</v>
      </c>
      <c r="K3" s="5" t="s">
        <v>352</v>
      </c>
      <c r="L3" s="11" t="s">
        <v>353</v>
      </c>
      <c r="M3" s="11" t="s">
        <v>354</v>
      </c>
      <c r="N3" s="5" t="n">
        <f aca="false">LEN(L3)</f>
        <v>25</v>
      </c>
      <c r="O3" s="5" t="n">
        <f aca="false">LEN(M3)</f>
        <v>25</v>
      </c>
      <c r="P3" s="12" t="n">
        <f aca="false">IF(N3=0,"",(N3-LEN(SUBSTITUTE(SUBSTITUTE(L3,"G",""),"C","")))/N3)</f>
        <v>0.6</v>
      </c>
      <c r="Q3" s="12" t="n">
        <f aca="false">IF(O3=0,"",(O3-LEN(SUBSTITUTE(SUBSTITUTE(M3,"G",""),"C","")))/O3)</f>
        <v>0.44</v>
      </c>
      <c r="R3" s="5"/>
      <c r="S3" s="5" t="s">
        <v>342</v>
      </c>
      <c r="T3" s="5"/>
      <c r="U3" s="5" t="s">
        <v>343</v>
      </c>
      <c r="V3" s="5" t="s">
        <v>344</v>
      </c>
      <c r="W3" s="5"/>
      <c r="X3" s="13" t="s">
        <v>345</v>
      </c>
      <c r="Y3" s="5"/>
    </row>
    <row r="4" customFormat="false" ht="15" hidden="false" customHeight="false" outlineLevel="0" collapsed="false">
      <c r="A4" s="5" t="s">
        <v>355</v>
      </c>
      <c r="B4" s="5" t="s">
        <v>39</v>
      </c>
      <c r="C4" s="5" t="s">
        <v>41</v>
      </c>
      <c r="D4" s="6" t="s">
        <v>45</v>
      </c>
      <c r="E4" s="5" t="n">
        <v>3</v>
      </c>
      <c r="F4" s="5" t="s">
        <v>356</v>
      </c>
      <c r="G4" s="11" t="s">
        <v>357</v>
      </c>
      <c r="H4" s="5" t="s">
        <v>358</v>
      </c>
      <c r="I4" s="11" t="s">
        <v>359</v>
      </c>
      <c r="J4" s="5" t="s">
        <v>360</v>
      </c>
      <c r="K4" s="5" t="s">
        <v>361</v>
      </c>
      <c r="L4" s="11" t="s">
        <v>362</v>
      </c>
      <c r="M4" s="11" t="s">
        <v>363</v>
      </c>
      <c r="N4" s="5" t="n">
        <f aca="false">LEN(L4)</f>
        <v>25</v>
      </c>
      <c r="O4" s="5" t="n">
        <f aca="false">LEN(M4)</f>
        <v>25</v>
      </c>
      <c r="P4" s="12" t="n">
        <f aca="false">IF(N4=0,"",(N4-LEN(SUBSTITUTE(SUBSTITUTE(L4,"G",""),"C","")))/N4)</f>
        <v>0.56</v>
      </c>
      <c r="Q4" s="12" t="n">
        <f aca="false">IF(O4=0,"",(O4-LEN(SUBSTITUTE(SUBSTITUTE(M4,"G",""),"C","")))/O4)</f>
        <v>0.64</v>
      </c>
      <c r="R4" s="5"/>
      <c r="S4" s="5" t="s">
        <v>342</v>
      </c>
      <c r="T4" s="5"/>
      <c r="U4" s="5" t="s">
        <v>343</v>
      </c>
      <c r="V4" s="5" t="s">
        <v>344</v>
      </c>
      <c r="W4" s="5"/>
      <c r="X4" s="13" t="s">
        <v>345</v>
      </c>
      <c r="Y4" s="5"/>
    </row>
    <row r="5" customFormat="false" ht="15" hidden="false" customHeight="false" outlineLevel="0" collapsed="false">
      <c r="A5" s="5" t="s">
        <v>364</v>
      </c>
      <c r="B5" s="5" t="s">
        <v>39</v>
      </c>
      <c r="C5" s="5" t="s">
        <v>41</v>
      </c>
      <c r="D5" s="6" t="s">
        <v>45</v>
      </c>
      <c r="E5" s="5" t="n">
        <v>4</v>
      </c>
      <c r="F5" s="5" t="s">
        <v>365</v>
      </c>
      <c r="G5" s="11" t="s">
        <v>366</v>
      </c>
      <c r="H5" s="5" t="s">
        <v>367</v>
      </c>
      <c r="I5" s="11" t="s">
        <v>368</v>
      </c>
      <c r="J5" s="5" t="s">
        <v>369</v>
      </c>
      <c r="K5" s="5" t="s">
        <v>370</v>
      </c>
      <c r="L5" s="11" t="s">
        <v>371</v>
      </c>
      <c r="M5" s="11" t="s">
        <v>372</v>
      </c>
      <c r="N5" s="5" t="n">
        <f aca="false">LEN(L5)</f>
        <v>25</v>
      </c>
      <c r="O5" s="5" t="n">
        <f aca="false">LEN(M5)</f>
        <v>25</v>
      </c>
      <c r="P5" s="12" t="n">
        <f aca="false">IF(N5=0,"",(N5-LEN(SUBSTITUTE(SUBSTITUTE(L5,"G",""),"C","")))/N5)</f>
        <v>0.68</v>
      </c>
      <c r="Q5" s="12" t="n">
        <f aca="false">IF(O5=0,"",(O5-LEN(SUBSTITUTE(SUBSTITUTE(M5,"G",""),"C","")))/O5)</f>
        <v>0.6</v>
      </c>
      <c r="R5" s="5"/>
      <c r="S5" s="5" t="s">
        <v>342</v>
      </c>
      <c r="T5" s="5"/>
      <c r="U5" s="5" t="s">
        <v>343</v>
      </c>
      <c r="V5" s="5" t="s">
        <v>344</v>
      </c>
      <c r="W5" s="5"/>
      <c r="X5" s="13" t="s">
        <v>345</v>
      </c>
      <c r="Y5" s="5"/>
    </row>
    <row r="6" customFormat="false" ht="15" hidden="false" customHeight="false" outlineLevel="0" collapsed="false">
      <c r="A6" s="5" t="s">
        <v>373</v>
      </c>
      <c r="B6" s="5" t="s">
        <v>39</v>
      </c>
      <c r="C6" s="5" t="s">
        <v>41</v>
      </c>
      <c r="D6" s="6" t="s">
        <v>45</v>
      </c>
      <c r="E6" s="5" t="n">
        <v>5</v>
      </c>
      <c r="F6" s="5" t="s">
        <v>374</v>
      </c>
      <c r="G6" s="11" t="s">
        <v>375</v>
      </c>
      <c r="H6" s="5" t="s">
        <v>376</v>
      </c>
      <c r="I6" s="11" t="s">
        <v>377</v>
      </c>
      <c r="J6" s="5" t="s">
        <v>378</v>
      </c>
      <c r="K6" s="5" t="s">
        <v>379</v>
      </c>
      <c r="L6" s="11" t="s">
        <v>380</v>
      </c>
      <c r="M6" s="11" t="s">
        <v>381</v>
      </c>
      <c r="N6" s="5" t="n">
        <f aca="false">LEN(L6)</f>
        <v>25</v>
      </c>
      <c r="O6" s="5" t="n">
        <f aca="false">LEN(M6)</f>
        <v>25</v>
      </c>
      <c r="P6" s="12" t="n">
        <f aca="false">IF(N6=0,"",(N6-LEN(SUBSTITUTE(SUBSTITUTE(L6,"G",""),"C","")))/N6)</f>
        <v>0.44</v>
      </c>
      <c r="Q6" s="12" t="n">
        <f aca="false">IF(O6=0,"",(O6-LEN(SUBSTITUTE(SUBSTITUTE(M6,"G",""),"C","")))/O6)</f>
        <v>0.6</v>
      </c>
      <c r="R6" s="5"/>
      <c r="S6" s="5" t="s">
        <v>342</v>
      </c>
      <c r="T6" s="5"/>
      <c r="U6" s="5" t="s">
        <v>382</v>
      </c>
      <c r="V6" s="5" t="s">
        <v>344</v>
      </c>
      <c r="W6" s="5"/>
      <c r="X6" s="8" t="s">
        <v>383</v>
      </c>
      <c r="Y6" s="5"/>
    </row>
    <row r="7" customFormat="false" ht="15" hidden="false" customHeight="false" outlineLevel="0" collapsed="false">
      <c r="A7" s="5" t="s">
        <v>384</v>
      </c>
      <c r="B7" s="5" t="s">
        <v>39</v>
      </c>
      <c r="C7" s="5" t="s">
        <v>41</v>
      </c>
      <c r="D7" s="6" t="s">
        <v>45</v>
      </c>
      <c r="E7" s="5" t="n">
        <v>6</v>
      </c>
      <c r="F7" s="5" t="s">
        <v>385</v>
      </c>
      <c r="G7" s="11" t="s">
        <v>386</v>
      </c>
      <c r="H7" s="5" t="s">
        <v>387</v>
      </c>
      <c r="I7" s="11" t="s">
        <v>388</v>
      </c>
      <c r="J7" s="5" t="s">
        <v>389</v>
      </c>
      <c r="K7" s="5" t="s">
        <v>390</v>
      </c>
      <c r="L7" s="11" t="s">
        <v>391</v>
      </c>
      <c r="M7" s="11" t="s">
        <v>392</v>
      </c>
      <c r="N7" s="5" t="n">
        <f aca="false">LEN(L7)</f>
        <v>25</v>
      </c>
      <c r="O7" s="5" t="n">
        <f aca="false">LEN(M7)</f>
        <v>25</v>
      </c>
      <c r="P7" s="12" t="n">
        <f aca="false">IF(N7=0,"",(N7-LEN(SUBSTITUTE(SUBSTITUTE(L7,"G",""),"C","")))/N7)</f>
        <v>0.76</v>
      </c>
      <c r="Q7" s="12" t="n">
        <f aca="false">IF(O7=0,"",(O7-LEN(SUBSTITUTE(SUBSTITUTE(M7,"G",""),"C","")))/O7)</f>
        <v>0.72</v>
      </c>
      <c r="R7" s="5"/>
      <c r="S7" s="5" t="s">
        <v>342</v>
      </c>
      <c r="T7" s="5"/>
      <c r="U7" s="5" t="s">
        <v>382</v>
      </c>
      <c r="V7" s="5" t="s">
        <v>344</v>
      </c>
      <c r="W7" s="5"/>
      <c r="X7" s="8" t="s">
        <v>393</v>
      </c>
      <c r="Y7" s="5"/>
    </row>
    <row r="8" customFormat="false" ht="15" hidden="false" customHeight="false" outlineLevel="0" collapsed="false">
      <c r="A8" s="5" t="s">
        <v>394</v>
      </c>
      <c r="B8" s="5" t="s">
        <v>50</v>
      </c>
      <c r="C8" s="5" t="s">
        <v>41</v>
      </c>
      <c r="D8" s="6" t="s">
        <v>45</v>
      </c>
      <c r="E8" s="5" t="n">
        <v>1</v>
      </c>
      <c r="F8" s="5" t="s">
        <v>334</v>
      </c>
      <c r="G8" s="11" t="s">
        <v>395</v>
      </c>
      <c r="H8" s="5" t="s">
        <v>336</v>
      </c>
      <c r="I8" s="11" t="s">
        <v>396</v>
      </c>
      <c r="J8" s="5" t="s">
        <v>397</v>
      </c>
      <c r="K8" s="5" t="s">
        <v>398</v>
      </c>
      <c r="L8" s="11" t="s">
        <v>399</v>
      </c>
      <c r="M8" s="11" t="s">
        <v>400</v>
      </c>
      <c r="N8" s="5" t="n">
        <f aca="false">LEN(L8)</f>
        <v>25</v>
      </c>
      <c r="O8" s="5" t="n">
        <f aca="false">LEN(M8)</f>
        <v>25</v>
      </c>
      <c r="P8" s="12" t="n">
        <f aca="false">IF(N8=0,"",(N8-LEN(SUBSTITUTE(SUBSTITUTE(L8,"G",""),"C","")))/N8)</f>
        <v>0.44</v>
      </c>
      <c r="Q8" s="12" t="n">
        <f aca="false">IF(O8=0,"",(O8-LEN(SUBSTITUTE(SUBSTITUTE(M8,"G",""),"C","")))/O8)</f>
        <v>0.52</v>
      </c>
      <c r="R8" s="5"/>
      <c r="S8" s="5" t="s">
        <v>342</v>
      </c>
      <c r="T8" s="5"/>
      <c r="U8" s="5" t="s">
        <v>343</v>
      </c>
      <c r="V8" s="5" t="s">
        <v>401</v>
      </c>
      <c r="W8" s="5"/>
      <c r="X8" s="13" t="s">
        <v>345</v>
      </c>
      <c r="Y8" s="5"/>
    </row>
    <row r="9" customFormat="false" ht="15" hidden="false" customHeight="false" outlineLevel="0" collapsed="false">
      <c r="A9" s="5" t="s">
        <v>402</v>
      </c>
      <c r="B9" s="5" t="s">
        <v>50</v>
      </c>
      <c r="C9" s="5" t="s">
        <v>41</v>
      </c>
      <c r="D9" s="6" t="s">
        <v>45</v>
      </c>
      <c r="E9" s="5" t="n">
        <v>2</v>
      </c>
      <c r="F9" s="5" t="s">
        <v>347</v>
      </c>
      <c r="G9" s="11" t="s">
        <v>403</v>
      </c>
      <c r="H9" s="5" t="s">
        <v>349</v>
      </c>
      <c r="I9" s="11" t="s">
        <v>404</v>
      </c>
      <c r="J9" s="5" t="s">
        <v>405</v>
      </c>
      <c r="K9" s="5" t="s">
        <v>406</v>
      </c>
      <c r="L9" s="11" t="s">
        <v>407</v>
      </c>
      <c r="M9" s="11" t="s">
        <v>408</v>
      </c>
      <c r="N9" s="5" t="n">
        <f aca="false">LEN(L9)</f>
        <v>25</v>
      </c>
      <c r="O9" s="5" t="n">
        <f aca="false">LEN(M9)</f>
        <v>25</v>
      </c>
      <c r="P9" s="12" t="n">
        <f aca="false">IF(N9=0,"",(N9-LEN(SUBSTITUTE(SUBSTITUTE(L9,"G",""),"C","")))/N9)</f>
        <v>0.4</v>
      </c>
      <c r="Q9" s="12" t="n">
        <f aca="false">IF(O9=0,"",(O9-LEN(SUBSTITUTE(SUBSTITUTE(M9,"G",""),"C","")))/O9)</f>
        <v>0.24</v>
      </c>
      <c r="R9" s="5"/>
      <c r="S9" s="5" t="s">
        <v>342</v>
      </c>
      <c r="T9" s="5"/>
      <c r="U9" s="5" t="s">
        <v>343</v>
      </c>
      <c r="V9" s="5" t="s">
        <v>401</v>
      </c>
      <c r="W9" s="5"/>
      <c r="X9" s="13" t="s">
        <v>345</v>
      </c>
      <c r="Y9" s="5"/>
    </row>
    <row r="10" customFormat="false" ht="15" hidden="false" customHeight="false" outlineLevel="0" collapsed="false">
      <c r="A10" s="5" t="s">
        <v>409</v>
      </c>
      <c r="B10" s="5" t="s">
        <v>50</v>
      </c>
      <c r="C10" s="5" t="s">
        <v>41</v>
      </c>
      <c r="D10" s="6" t="s">
        <v>45</v>
      </c>
      <c r="E10" s="5" t="n">
        <v>3</v>
      </c>
      <c r="F10" s="5" t="s">
        <v>356</v>
      </c>
      <c r="G10" s="11" t="s">
        <v>410</v>
      </c>
      <c r="H10" s="5" t="s">
        <v>358</v>
      </c>
      <c r="I10" s="11" t="s">
        <v>411</v>
      </c>
      <c r="J10" s="5" t="s">
        <v>412</v>
      </c>
      <c r="K10" s="5" t="s">
        <v>413</v>
      </c>
      <c r="L10" s="11" t="s">
        <v>414</v>
      </c>
      <c r="M10" s="11" t="s">
        <v>415</v>
      </c>
      <c r="N10" s="5" t="n">
        <f aca="false">LEN(L10)</f>
        <v>25</v>
      </c>
      <c r="O10" s="5" t="n">
        <f aca="false">LEN(M10)</f>
        <v>25</v>
      </c>
      <c r="P10" s="12" t="n">
        <f aca="false">IF(N10=0,"",(N10-LEN(SUBSTITUTE(SUBSTITUTE(L10,"G",""),"C","")))/N10)</f>
        <v>0.76</v>
      </c>
      <c r="Q10" s="12" t="n">
        <f aca="false">IF(O10=0,"",(O10-LEN(SUBSTITUTE(SUBSTITUTE(M10,"G",""),"C","")))/O10)</f>
        <v>0.76</v>
      </c>
      <c r="R10" s="5"/>
      <c r="S10" s="5" t="s">
        <v>342</v>
      </c>
      <c r="T10" s="5"/>
      <c r="U10" s="5" t="s">
        <v>343</v>
      </c>
      <c r="V10" s="5" t="s">
        <v>401</v>
      </c>
      <c r="W10" s="5"/>
      <c r="X10" s="13" t="s">
        <v>345</v>
      </c>
      <c r="Y10" s="5"/>
    </row>
    <row r="11" customFormat="false" ht="15" hidden="false" customHeight="false" outlineLevel="0" collapsed="false">
      <c r="A11" s="5" t="s">
        <v>416</v>
      </c>
      <c r="B11" s="5" t="s">
        <v>50</v>
      </c>
      <c r="C11" s="5" t="s">
        <v>41</v>
      </c>
      <c r="D11" s="6" t="s">
        <v>45</v>
      </c>
      <c r="E11" s="5" t="n">
        <v>4</v>
      </c>
      <c r="F11" s="5" t="s">
        <v>365</v>
      </c>
      <c r="G11" s="11" t="s">
        <v>417</v>
      </c>
      <c r="H11" s="5" t="s">
        <v>367</v>
      </c>
      <c r="I11" s="11" t="s">
        <v>418</v>
      </c>
      <c r="J11" s="5" t="s">
        <v>419</v>
      </c>
      <c r="K11" s="5" t="s">
        <v>420</v>
      </c>
      <c r="L11" s="11" t="s">
        <v>421</v>
      </c>
      <c r="M11" s="11" t="s">
        <v>422</v>
      </c>
      <c r="N11" s="5" t="n">
        <f aca="false">LEN(L11)</f>
        <v>25</v>
      </c>
      <c r="O11" s="5" t="n">
        <f aca="false">LEN(M11)</f>
        <v>25</v>
      </c>
      <c r="P11" s="12" t="n">
        <f aca="false">IF(N11=0,"",(N11-LEN(SUBSTITUTE(SUBSTITUTE(L11,"G",""),"C","")))/N11)</f>
        <v>0.52</v>
      </c>
      <c r="Q11" s="12" t="n">
        <f aca="false">IF(O11=0,"",(O11-LEN(SUBSTITUTE(SUBSTITUTE(M11,"G",""),"C","")))/O11)</f>
        <v>0.56</v>
      </c>
      <c r="R11" s="5"/>
      <c r="S11" s="5" t="s">
        <v>342</v>
      </c>
      <c r="T11" s="5"/>
      <c r="U11" s="5" t="s">
        <v>343</v>
      </c>
      <c r="V11" s="5" t="s">
        <v>401</v>
      </c>
      <c r="W11" s="5"/>
      <c r="X11" s="13" t="s">
        <v>345</v>
      </c>
      <c r="Y11" s="5"/>
    </row>
    <row r="12" customFormat="false" ht="15" hidden="false" customHeight="false" outlineLevel="0" collapsed="false">
      <c r="A12" s="5" t="s">
        <v>423</v>
      </c>
      <c r="B12" s="5" t="s">
        <v>50</v>
      </c>
      <c r="C12" s="5" t="s">
        <v>41</v>
      </c>
      <c r="D12" s="6" t="s">
        <v>45</v>
      </c>
      <c r="E12" s="5" t="n">
        <v>5</v>
      </c>
      <c r="F12" s="5" t="s">
        <v>374</v>
      </c>
      <c r="G12" s="11" t="s">
        <v>424</v>
      </c>
      <c r="H12" s="5" t="s">
        <v>376</v>
      </c>
      <c r="I12" s="11" t="s">
        <v>425</v>
      </c>
      <c r="J12" s="5" t="s">
        <v>426</v>
      </c>
      <c r="K12" s="5" t="s">
        <v>427</v>
      </c>
      <c r="L12" s="11" t="s">
        <v>428</v>
      </c>
      <c r="M12" s="11" t="s">
        <v>429</v>
      </c>
      <c r="N12" s="5" t="n">
        <f aca="false">LEN(L12)</f>
        <v>25</v>
      </c>
      <c r="O12" s="5" t="n">
        <f aca="false">LEN(M12)</f>
        <v>25</v>
      </c>
      <c r="P12" s="12" t="n">
        <f aca="false">IF(N12=0,"",(N12-LEN(SUBSTITUTE(SUBSTITUTE(L12,"G",""),"C","")))/N12)</f>
        <v>0.64</v>
      </c>
      <c r="Q12" s="12" t="n">
        <f aca="false">IF(O12=0,"",(O12-LEN(SUBSTITUTE(SUBSTITUTE(M12,"G",""),"C","")))/O12)</f>
        <v>0.68</v>
      </c>
      <c r="R12" s="5"/>
      <c r="S12" s="5" t="s">
        <v>342</v>
      </c>
      <c r="T12" s="5"/>
      <c r="U12" s="5" t="s">
        <v>343</v>
      </c>
      <c r="V12" s="5" t="s">
        <v>401</v>
      </c>
      <c r="W12" s="5"/>
      <c r="X12" s="13" t="s">
        <v>345</v>
      </c>
      <c r="Y12" s="5"/>
    </row>
    <row r="13" customFormat="false" ht="15" hidden="false" customHeight="false" outlineLevel="0" collapsed="false">
      <c r="A13" s="5" t="s">
        <v>430</v>
      </c>
      <c r="B13" s="5" t="s">
        <v>50</v>
      </c>
      <c r="C13" s="5" t="s">
        <v>41</v>
      </c>
      <c r="D13" s="6" t="s">
        <v>45</v>
      </c>
      <c r="E13" s="5" t="n">
        <v>6</v>
      </c>
      <c r="F13" s="5" t="s">
        <v>385</v>
      </c>
      <c r="G13" s="11" t="s">
        <v>431</v>
      </c>
      <c r="H13" s="5" t="s">
        <v>387</v>
      </c>
      <c r="I13" s="11" t="s">
        <v>432</v>
      </c>
      <c r="J13" s="5" t="s">
        <v>433</v>
      </c>
      <c r="K13" s="5" t="s">
        <v>434</v>
      </c>
      <c r="L13" s="11" t="s">
        <v>435</v>
      </c>
      <c r="M13" s="11" t="s">
        <v>436</v>
      </c>
      <c r="N13" s="5" t="n">
        <f aca="false">LEN(L13)</f>
        <v>25</v>
      </c>
      <c r="O13" s="5" t="n">
        <f aca="false">LEN(M13)</f>
        <v>25</v>
      </c>
      <c r="P13" s="12" t="n">
        <f aca="false">IF(N13=0,"",(N13-LEN(SUBSTITUTE(SUBSTITUTE(L13,"G",""),"C","")))/N13)</f>
        <v>0.56</v>
      </c>
      <c r="Q13" s="12" t="n">
        <f aca="false">IF(O13=0,"",(O13-LEN(SUBSTITUTE(SUBSTITUTE(M13,"G",""),"C","")))/O13)</f>
        <v>0.4</v>
      </c>
      <c r="R13" s="5"/>
      <c r="S13" s="5" t="s">
        <v>342</v>
      </c>
      <c r="T13" s="5"/>
      <c r="U13" s="5" t="s">
        <v>382</v>
      </c>
      <c r="V13" s="5" t="s">
        <v>401</v>
      </c>
      <c r="W13" s="5"/>
      <c r="X13" s="8" t="s">
        <v>393</v>
      </c>
      <c r="Y13" s="5"/>
    </row>
    <row r="14" customFormat="false" ht="15" hidden="false" customHeight="false" outlineLevel="0" collapsed="false">
      <c r="A14" s="5" t="s">
        <v>437</v>
      </c>
      <c r="B14" s="5" t="s">
        <v>50</v>
      </c>
      <c r="C14" s="5" t="s">
        <v>41</v>
      </c>
      <c r="D14" s="6" t="s">
        <v>45</v>
      </c>
      <c r="E14" s="5" t="n">
        <v>7</v>
      </c>
      <c r="F14" s="5" t="s">
        <v>438</v>
      </c>
      <c r="G14" s="11" t="s">
        <v>386</v>
      </c>
      <c r="H14" s="5" t="s">
        <v>439</v>
      </c>
      <c r="I14" s="11" t="s">
        <v>388</v>
      </c>
      <c r="J14" s="5" t="s">
        <v>440</v>
      </c>
      <c r="K14" s="5" t="s">
        <v>441</v>
      </c>
      <c r="L14" s="11" t="s">
        <v>391</v>
      </c>
      <c r="M14" s="11" t="s">
        <v>392</v>
      </c>
      <c r="N14" s="5" t="n">
        <f aca="false">LEN(L14)</f>
        <v>25</v>
      </c>
      <c r="O14" s="5" t="n">
        <f aca="false">LEN(M14)</f>
        <v>25</v>
      </c>
      <c r="P14" s="12" t="n">
        <f aca="false">IF(N14=0,"",(N14-LEN(SUBSTITUTE(SUBSTITUTE(L14,"G",""),"C","")))/N14)</f>
        <v>0.76</v>
      </c>
      <c r="Q14" s="12" t="n">
        <f aca="false">IF(O14=0,"",(O14-LEN(SUBSTITUTE(SUBSTITUTE(M14,"G",""),"C","")))/O14)</f>
        <v>0.72</v>
      </c>
      <c r="R14" s="5"/>
      <c r="S14" s="5" t="s">
        <v>342</v>
      </c>
      <c r="T14" s="5"/>
      <c r="U14" s="5" t="s">
        <v>382</v>
      </c>
      <c r="V14" s="5" t="s">
        <v>401</v>
      </c>
      <c r="W14" s="5"/>
      <c r="X14" s="8" t="s">
        <v>393</v>
      </c>
      <c r="Y14" s="5"/>
    </row>
    <row r="15" customFormat="false" ht="15" hidden="false" customHeight="false" outlineLevel="0" collapsed="false">
      <c r="A15" s="5" t="s">
        <v>442</v>
      </c>
      <c r="B15" s="5" t="s">
        <v>50</v>
      </c>
      <c r="C15" s="5" t="s">
        <v>41</v>
      </c>
      <c r="D15" s="6" t="s">
        <v>45</v>
      </c>
      <c r="E15" s="5" t="n">
        <v>8</v>
      </c>
      <c r="F15" s="5" t="s">
        <v>443</v>
      </c>
      <c r="G15" s="11" t="s">
        <v>444</v>
      </c>
      <c r="H15" s="5" t="s">
        <v>445</v>
      </c>
      <c r="I15" s="11" t="s">
        <v>446</v>
      </c>
      <c r="J15" s="5" t="s">
        <v>447</v>
      </c>
      <c r="K15" s="5" t="s">
        <v>448</v>
      </c>
      <c r="L15" s="11" t="s">
        <v>449</v>
      </c>
      <c r="M15" s="11" t="s">
        <v>450</v>
      </c>
      <c r="N15" s="5" t="n">
        <f aca="false">LEN(L15)</f>
        <v>25</v>
      </c>
      <c r="O15" s="5" t="n">
        <f aca="false">LEN(M15)</f>
        <v>25</v>
      </c>
      <c r="P15" s="12" t="n">
        <f aca="false">IF(N15=0,"",(N15-LEN(SUBSTITUTE(SUBSTITUTE(L15,"G",""),"C","")))/N15)</f>
        <v>0.48</v>
      </c>
      <c r="Q15" s="12" t="n">
        <f aca="false">IF(O15=0,"",(O15-LEN(SUBSTITUTE(SUBSTITUTE(M15,"G",""),"C","")))/O15)</f>
        <v>0.48</v>
      </c>
      <c r="R15" s="5"/>
      <c r="S15" s="5" t="s">
        <v>342</v>
      </c>
      <c r="T15" s="5"/>
      <c r="U15" s="5" t="s">
        <v>382</v>
      </c>
      <c r="V15" s="5" t="s">
        <v>401</v>
      </c>
      <c r="W15" s="5"/>
      <c r="X15" s="8" t="s">
        <v>393</v>
      </c>
      <c r="Y15" s="5"/>
    </row>
    <row r="16" customFormat="false" ht="15" hidden="false" customHeight="false" outlineLevel="0" collapsed="false">
      <c r="A16" s="5" t="s">
        <v>451</v>
      </c>
      <c r="B16" s="5" t="s">
        <v>52</v>
      </c>
      <c r="C16" s="5" t="s">
        <v>53</v>
      </c>
      <c r="D16" s="6" t="s">
        <v>45</v>
      </c>
      <c r="E16" s="5" t="n">
        <v>1</v>
      </c>
      <c r="F16" s="5" t="s">
        <v>452</v>
      </c>
      <c r="G16" s="11" t="s">
        <v>453</v>
      </c>
      <c r="H16" s="5" t="s">
        <v>454</v>
      </c>
      <c r="I16" s="11" t="s">
        <v>455</v>
      </c>
      <c r="J16" s="5" t="s">
        <v>456</v>
      </c>
      <c r="K16" s="5" t="s">
        <v>457</v>
      </c>
      <c r="L16" s="11" t="s">
        <v>458</v>
      </c>
      <c r="M16" s="11" t="s">
        <v>459</v>
      </c>
      <c r="N16" s="5" t="n">
        <f aca="false">LEN(L16)</f>
        <v>25</v>
      </c>
      <c r="O16" s="5" t="n">
        <f aca="false">LEN(M16)</f>
        <v>25</v>
      </c>
      <c r="P16" s="12" t="n">
        <f aca="false">IF(N16=0,"",(N16-LEN(SUBSTITUTE(SUBSTITUTE(L16,"G",""),"C","")))/N16)</f>
        <v>0.44</v>
      </c>
      <c r="Q16" s="12" t="n">
        <f aca="false">IF(O16=0,"",(O16-LEN(SUBSTITUTE(SUBSTITUTE(M16,"G",""),"C","")))/O16)</f>
        <v>0.72</v>
      </c>
      <c r="R16" s="5"/>
      <c r="S16" s="5" t="s">
        <v>342</v>
      </c>
      <c r="T16" s="5"/>
      <c r="U16" s="5" t="s">
        <v>343</v>
      </c>
      <c r="V16" s="5" t="s">
        <v>460</v>
      </c>
      <c r="W16" s="5"/>
      <c r="X16" s="13" t="s">
        <v>345</v>
      </c>
      <c r="Y16" s="5"/>
    </row>
    <row r="17" customFormat="false" ht="15" hidden="false" customHeight="false" outlineLevel="0" collapsed="false">
      <c r="A17" s="5" t="s">
        <v>461</v>
      </c>
      <c r="B17" s="5" t="s">
        <v>52</v>
      </c>
      <c r="C17" s="5" t="s">
        <v>53</v>
      </c>
      <c r="D17" s="6" t="s">
        <v>45</v>
      </c>
      <c r="E17" s="5" t="n">
        <v>2</v>
      </c>
      <c r="F17" s="5" t="s">
        <v>462</v>
      </c>
      <c r="G17" s="11" t="s">
        <v>463</v>
      </c>
      <c r="H17" s="5" t="s">
        <v>464</v>
      </c>
      <c r="I17" s="11" t="s">
        <v>465</v>
      </c>
      <c r="J17" s="5" t="s">
        <v>466</v>
      </c>
      <c r="K17" s="5" t="s">
        <v>467</v>
      </c>
      <c r="L17" s="11" t="s">
        <v>468</v>
      </c>
      <c r="M17" s="11" t="s">
        <v>469</v>
      </c>
      <c r="N17" s="5" t="n">
        <f aca="false">LEN(L17)</f>
        <v>25</v>
      </c>
      <c r="O17" s="5" t="n">
        <f aca="false">LEN(M17)</f>
        <v>25</v>
      </c>
      <c r="P17" s="12" t="n">
        <f aca="false">IF(N17=0,"",(N17-LEN(SUBSTITUTE(SUBSTITUTE(L17,"G",""),"C","")))/N17)</f>
        <v>0.48</v>
      </c>
      <c r="Q17" s="12" t="n">
        <f aca="false">IF(O17=0,"",(O17-LEN(SUBSTITUTE(SUBSTITUTE(M17,"G",""),"C","")))/O17)</f>
        <v>0.56</v>
      </c>
      <c r="R17" s="5"/>
      <c r="S17" s="5" t="s">
        <v>342</v>
      </c>
      <c r="T17" s="5"/>
      <c r="U17" s="5" t="s">
        <v>343</v>
      </c>
      <c r="V17" s="5" t="s">
        <v>460</v>
      </c>
      <c r="W17" s="5"/>
      <c r="X17" s="13" t="s">
        <v>345</v>
      </c>
      <c r="Y17" s="5"/>
    </row>
    <row r="18" customFormat="false" ht="15" hidden="false" customHeight="false" outlineLevel="0" collapsed="false">
      <c r="A18" s="5" t="s">
        <v>470</v>
      </c>
      <c r="B18" s="5" t="s">
        <v>52</v>
      </c>
      <c r="C18" s="5" t="s">
        <v>53</v>
      </c>
      <c r="D18" s="6" t="s">
        <v>45</v>
      </c>
      <c r="E18" s="5" t="n">
        <v>3</v>
      </c>
      <c r="F18" s="5" t="s">
        <v>471</v>
      </c>
      <c r="G18" s="11" t="s">
        <v>472</v>
      </c>
      <c r="H18" s="5" t="s">
        <v>473</v>
      </c>
      <c r="I18" s="11" t="s">
        <v>474</v>
      </c>
      <c r="J18" s="5" t="s">
        <v>475</v>
      </c>
      <c r="K18" s="5" t="s">
        <v>476</v>
      </c>
      <c r="L18" s="11" t="s">
        <v>477</v>
      </c>
      <c r="M18" s="11" t="s">
        <v>478</v>
      </c>
      <c r="N18" s="5" t="n">
        <f aca="false">LEN(L18)</f>
        <v>25</v>
      </c>
      <c r="O18" s="5" t="n">
        <f aca="false">LEN(M18)</f>
        <v>25</v>
      </c>
      <c r="P18" s="12" t="n">
        <f aca="false">IF(N18=0,"",(N18-LEN(SUBSTITUTE(SUBSTITUTE(L18,"G",""),"C","")))/N18)</f>
        <v>0.52</v>
      </c>
      <c r="Q18" s="12" t="n">
        <f aca="false">IF(O18=0,"",(O18-LEN(SUBSTITUTE(SUBSTITUTE(M18,"G",""),"C","")))/O18)</f>
        <v>0.44</v>
      </c>
      <c r="R18" s="5"/>
      <c r="S18" s="5" t="s">
        <v>342</v>
      </c>
      <c r="T18" s="5"/>
      <c r="U18" s="5" t="s">
        <v>343</v>
      </c>
      <c r="V18" s="5" t="s">
        <v>460</v>
      </c>
      <c r="W18" s="5"/>
      <c r="X18" s="13" t="s">
        <v>345</v>
      </c>
      <c r="Y18" s="5"/>
    </row>
    <row r="19" customFormat="false" ht="15" hidden="false" customHeight="false" outlineLevel="0" collapsed="false">
      <c r="A19" s="5" t="s">
        <v>479</v>
      </c>
      <c r="B19" s="5" t="s">
        <v>52</v>
      </c>
      <c r="C19" s="5" t="s">
        <v>53</v>
      </c>
      <c r="D19" s="6" t="s">
        <v>45</v>
      </c>
      <c r="E19" s="5" t="n">
        <v>4</v>
      </c>
      <c r="F19" s="5" t="s">
        <v>480</v>
      </c>
      <c r="G19" s="11" t="s">
        <v>481</v>
      </c>
      <c r="H19" s="5" t="s">
        <v>482</v>
      </c>
      <c r="I19" s="11" t="s">
        <v>483</v>
      </c>
      <c r="J19" s="5" t="s">
        <v>484</v>
      </c>
      <c r="K19" s="5" t="s">
        <v>485</v>
      </c>
      <c r="L19" s="11" t="s">
        <v>486</v>
      </c>
      <c r="M19" s="11" t="s">
        <v>487</v>
      </c>
      <c r="N19" s="5" t="n">
        <f aca="false">LEN(L19)</f>
        <v>25</v>
      </c>
      <c r="O19" s="5" t="n">
        <f aca="false">LEN(M19)</f>
        <v>25</v>
      </c>
      <c r="P19" s="12" t="n">
        <f aca="false">IF(N19=0,"",(N19-LEN(SUBSTITUTE(SUBSTITUTE(L19,"G",""),"C","")))/N19)</f>
        <v>0.44</v>
      </c>
      <c r="Q19" s="12" t="n">
        <f aca="false">IF(O19=0,"",(O19-LEN(SUBSTITUTE(SUBSTITUTE(M19,"G",""),"C","")))/O19)</f>
        <v>0.52</v>
      </c>
      <c r="R19" s="5"/>
      <c r="S19" s="5" t="s">
        <v>342</v>
      </c>
      <c r="T19" s="5"/>
      <c r="U19" s="5" t="s">
        <v>382</v>
      </c>
      <c r="V19" s="5" t="s">
        <v>460</v>
      </c>
      <c r="W19" s="5"/>
      <c r="X19" s="8" t="s">
        <v>488</v>
      </c>
      <c r="Y19" s="5"/>
    </row>
    <row r="20" customFormat="false" ht="15" hidden="false" customHeight="false" outlineLevel="0" collapsed="false">
      <c r="A20" s="5" t="s">
        <v>489</v>
      </c>
      <c r="B20" s="5" t="s">
        <v>52</v>
      </c>
      <c r="C20" s="5" t="s">
        <v>53</v>
      </c>
      <c r="D20" s="6" t="s">
        <v>45</v>
      </c>
      <c r="E20" s="5" t="n">
        <v>5</v>
      </c>
      <c r="F20" s="5" t="s">
        <v>490</v>
      </c>
      <c r="G20" s="11" t="s">
        <v>491</v>
      </c>
      <c r="H20" s="5" t="s">
        <v>492</v>
      </c>
      <c r="I20" s="11" t="s">
        <v>493</v>
      </c>
      <c r="J20" s="5" t="s">
        <v>494</v>
      </c>
      <c r="K20" s="5" t="s">
        <v>495</v>
      </c>
      <c r="L20" s="11" t="s">
        <v>496</v>
      </c>
      <c r="M20" s="11" t="s">
        <v>497</v>
      </c>
      <c r="N20" s="5" t="n">
        <f aca="false">LEN(L20)</f>
        <v>25</v>
      </c>
      <c r="O20" s="5" t="n">
        <f aca="false">LEN(M20)</f>
        <v>25</v>
      </c>
      <c r="P20" s="12" t="n">
        <f aca="false">IF(N20=0,"",(N20-LEN(SUBSTITUTE(SUBSTITUTE(L20,"G",""),"C","")))/N20)</f>
        <v>0.56</v>
      </c>
      <c r="Q20" s="12" t="n">
        <f aca="false">IF(O20=0,"",(O20-LEN(SUBSTITUTE(SUBSTITUTE(M20,"G",""),"C","")))/O20)</f>
        <v>0.52</v>
      </c>
      <c r="R20" s="5"/>
      <c r="S20" s="5" t="s">
        <v>342</v>
      </c>
      <c r="T20" s="5"/>
      <c r="U20" s="5" t="s">
        <v>382</v>
      </c>
      <c r="V20" s="5" t="s">
        <v>460</v>
      </c>
      <c r="W20" s="5"/>
      <c r="X20" s="8" t="s">
        <v>393</v>
      </c>
      <c r="Y20" s="5"/>
    </row>
    <row r="21" customFormat="false" ht="15" hidden="false" customHeight="false" outlineLevel="0" collapsed="false">
      <c r="A21" s="5" t="s">
        <v>498</v>
      </c>
      <c r="B21" s="5" t="s">
        <v>58</v>
      </c>
      <c r="C21" s="5" t="s">
        <v>59</v>
      </c>
      <c r="D21" s="6" t="s">
        <v>45</v>
      </c>
      <c r="E21" s="5" t="n">
        <v>1</v>
      </c>
      <c r="F21" s="5" t="s">
        <v>499</v>
      </c>
      <c r="G21" s="11" t="s">
        <v>500</v>
      </c>
      <c r="H21" s="5" t="s">
        <v>501</v>
      </c>
      <c r="I21" s="11" t="s">
        <v>502</v>
      </c>
      <c r="J21" s="5" t="s">
        <v>503</v>
      </c>
      <c r="K21" s="5" t="s">
        <v>504</v>
      </c>
      <c r="L21" s="11" t="s">
        <v>505</v>
      </c>
      <c r="M21" s="11" t="s">
        <v>506</v>
      </c>
      <c r="N21" s="5" t="n">
        <f aca="false">LEN(L21)</f>
        <v>25</v>
      </c>
      <c r="O21" s="5" t="n">
        <f aca="false">LEN(M21)</f>
        <v>25</v>
      </c>
      <c r="P21" s="12" t="n">
        <f aca="false">IF(N21=0,"",(N21-LEN(SUBSTITUTE(SUBSTITUTE(L21,"G",""),"C","")))/N21)</f>
        <v>0.08</v>
      </c>
      <c r="Q21" s="12" t="n">
        <f aca="false">IF(O21=0,"",(O21-LEN(SUBSTITUTE(SUBSTITUTE(M21,"G",""),"C","")))/O21)</f>
        <v>0.24</v>
      </c>
      <c r="R21" s="5"/>
      <c r="S21" s="5" t="s">
        <v>342</v>
      </c>
      <c r="T21" s="5"/>
      <c r="U21" s="5" t="s">
        <v>382</v>
      </c>
      <c r="V21" s="5" t="s">
        <v>507</v>
      </c>
      <c r="W21" s="5"/>
      <c r="X21" s="8" t="s">
        <v>383</v>
      </c>
      <c r="Y21" s="5"/>
    </row>
    <row r="22" customFormat="false" ht="15" hidden="false" customHeight="false" outlineLevel="0" collapsed="false">
      <c r="A22" s="5" t="s">
        <v>508</v>
      </c>
      <c r="B22" s="5" t="s">
        <v>58</v>
      </c>
      <c r="C22" s="5" t="s">
        <v>59</v>
      </c>
      <c r="D22" s="6" t="s">
        <v>45</v>
      </c>
      <c r="E22" s="5" t="n">
        <v>2</v>
      </c>
      <c r="F22" s="5" t="s">
        <v>509</v>
      </c>
      <c r="G22" s="11" t="s">
        <v>510</v>
      </c>
      <c r="H22" s="5" t="s">
        <v>511</v>
      </c>
      <c r="I22" s="11" t="s">
        <v>512</v>
      </c>
      <c r="J22" s="5" t="s">
        <v>513</v>
      </c>
      <c r="K22" s="5" t="s">
        <v>514</v>
      </c>
      <c r="L22" s="11" t="s">
        <v>515</v>
      </c>
      <c r="M22" s="11" t="s">
        <v>516</v>
      </c>
      <c r="N22" s="5" t="n">
        <f aca="false">LEN(L22)</f>
        <v>25</v>
      </c>
      <c r="O22" s="5" t="n">
        <f aca="false">LEN(M22)</f>
        <v>25</v>
      </c>
      <c r="P22" s="12" t="n">
        <f aca="false">IF(N22=0,"",(N22-LEN(SUBSTITUTE(SUBSTITUTE(L22,"G",""),"C","")))/N22)</f>
        <v>0.32</v>
      </c>
      <c r="Q22" s="12" t="n">
        <f aca="false">IF(O22=0,"",(O22-LEN(SUBSTITUTE(SUBSTITUTE(M22,"G",""),"C","")))/O22)</f>
        <v>0.44</v>
      </c>
      <c r="R22" s="5"/>
      <c r="S22" s="5" t="s">
        <v>342</v>
      </c>
      <c r="T22" s="5"/>
      <c r="U22" s="5" t="s">
        <v>382</v>
      </c>
      <c r="V22" s="5" t="s">
        <v>507</v>
      </c>
      <c r="W22" s="5"/>
      <c r="X22" s="8" t="s">
        <v>383</v>
      </c>
      <c r="Y22" s="5"/>
    </row>
    <row r="23" customFormat="false" ht="15" hidden="false" customHeight="false" outlineLevel="0" collapsed="false">
      <c r="A23" s="5" t="s">
        <v>517</v>
      </c>
      <c r="B23" s="5" t="s">
        <v>58</v>
      </c>
      <c r="C23" s="5" t="s">
        <v>59</v>
      </c>
      <c r="D23" s="6" t="s">
        <v>45</v>
      </c>
      <c r="E23" s="5" t="n">
        <v>3</v>
      </c>
      <c r="F23" s="5" t="s">
        <v>518</v>
      </c>
      <c r="G23" s="11" t="s">
        <v>519</v>
      </c>
      <c r="H23" s="5" t="s">
        <v>520</v>
      </c>
      <c r="I23" s="11" t="s">
        <v>521</v>
      </c>
      <c r="J23" s="5" t="s">
        <v>522</v>
      </c>
      <c r="K23" s="5" t="s">
        <v>523</v>
      </c>
      <c r="L23" s="11" t="s">
        <v>524</v>
      </c>
      <c r="M23" s="11" t="s">
        <v>525</v>
      </c>
      <c r="N23" s="5" t="n">
        <f aca="false">LEN(L23)</f>
        <v>25</v>
      </c>
      <c r="O23" s="5" t="n">
        <f aca="false">LEN(M23)</f>
        <v>25</v>
      </c>
      <c r="P23" s="12" t="n">
        <f aca="false">IF(N23=0,"",(N23-LEN(SUBSTITUTE(SUBSTITUTE(L23,"G",""),"C","")))/N23)</f>
        <v>0.24</v>
      </c>
      <c r="Q23" s="12" t="n">
        <f aca="false">IF(O23=0,"",(O23-LEN(SUBSTITUTE(SUBSTITUTE(M23,"G",""),"C","")))/O23)</f>
        <v>0.4</v>
      </c>
      <c r="R23" s="5"/>
      <c r="S23" s="5" t="s">
        <v>342</v>
      </c>
      <c r="T23" s="5"/>
      <c r="U23" s="5" t="s">
        <v>382</v>
      </c>
      <c r="V23" s="5" t="s">
        <v>507</v>
      </c>
      <c r="W23" s="5"/>
      <c r="X23" s="8" t="s">
        <v>383</v>
      </c>
      <c r="Y23" s="5"/>
    </row>
    <row r="24" customFormat="false" ht="15" hidden="false" customHeight="false" outlineLevel="0" collapsed="false">
      <c r="A24" s="5" t="s">
        <v>526</v>
      </c>
      <c r="B24" s="5" t="s">
        <v>58</v>
      </c>
      <c r="C24" s="5" t="s">
        <v>59</v>
      </c>
      <c r="D24" s="6" t="s">
        <v>45</v>
      </c>
      <c r="E24" s="5" t="n">
        <v>4</v>
      </c>
      <c r="F24" s="5" t="s">
        <v>527</v>
      </c>
      <c r="G24" s="11" t="s">
        <v>528</v>
      </c>
      <c r="H24" s="5" t="s">
        <v>529</v>
      </c>
      <c r="I24" s="11" t="s">
        <v>530</v>
      </c>
      <c r="J24" s="5" t="s">
        <v>531</v>
      </c>
      <c r="K24" s="5" t="s">
        <v>532</v>
      </c>
      <c r="L24" s="11" t="s">
        <v>533</v>
      </c>
      <c r="M24" s="11" t="s">
        <v>534</v>
      </c>
      <c r="N24" s="5" t="n">
        <f aca="false">LEN(L24)</f>
        <v>25</v>
      </c>
      <c r="O24" s="5" t="n">
        <f aca="false">LEN(M24)</f>
        <v>25</v>
      </c>
      <c r="P24" s="12" t="n">
        <f aca="false">IF(N24=0,"",(N24-LEN(SUBSTITUTE(SUBSTITUTE(L24,"G",""),"C","")))/N24)</f>
        <v>0.68</v>
      </c>
      <c r="Q24" s="12" t="n">
        <f aca="false">IF(O24=0,"",(O24-LEN(SUBSTITUTE(SUBSTITUTE(M24,"G",""),"C","")))/O24)</f>
        <v>0.84</v>
      </c>
      <c r="R24" s="5"/>
      <c r="S24" s="5" t="s">
        <v>342</v>
      </c>
      <c r="T24" s="5"/>
      <c r="U24" s="5" t="s">
        <v>382</v>
      </c>
      <c r="V24" s="5" t="s">
        <v>507</v>
      </c>
      <c r="W24" s="5"/>
      <c r="X24" s="8" t="s">
        <v>383</v>
      </c>
      <c r="Y24" s="5"/>
    </row>
    <row r="25" customFormat="false" ht="15" hidden="false" customHeight="false" outlineLevel="0" collapsed="false">
      <c r="A25" s="5" t="s">
        <v>535</v>
      </c>
      <c r="B25" s="5" t="s">
        <v>58</v>
      </c>
      <c r="C25" s="5" t="s">
        <v>59</v>
      </c>
      <c r="D25" s="6" t="s">
        <v>45</v>
      </c>
      <c r="E25" s="5" t="n">
        <v>5</v>
      </c>
      <c r="F25" s="5" t="s">
        <v>536</v>
      </c>
      <c r="G25" s="11" t="s">
        <v>537</v>
      </c>
      <c r="H25" s="5" t="s">
        <v>538</v>
      </c>
      <c r="I25" s="11" t="s">
        <v>539</v>
      </c>
      <c r="J25" s="5" t="s">
        <v>540</v>
      </c>
      <c r="K25" s="5" t="s">
        <v>541</v>
      </c>
      <c r="L25" s="11" t="s">
        <v>542</v>
      </c>
      <c r="M25" s="11" t="s">
        <v>543</v>
      </c>
      <c r="N25" s="5" t="n">
        <f aca="false">LEN(L25)</f>
        <v>25</v>
      </c>
      <c r="O25" s="5" t="n">
        <f aca="false">LEN(M25)</f>
        <v>25</v>
      </c>
      <c r="P25" s="12" t="n">
        <f aca="false">IF(N25=0,"",(N25-LEN(SUBSTITUTE(SUBSTITUTE(L25,"G",""),"C","")))/N25)</f>
        <v>0.44</v>
      </c>
      <c r="Q25" s="12" t="n">
        <f aca="false">IF(O25=0,"",(O25-LEN(SUBSTITUTE(SUBSTITUTE(M25,"G",""),"C","")))/O25)</f>
        <v>0.4</v>
      </c>
      <c r="R25" s="5"/>
      <c r="S25" s="5" t="s">
        <v>342</v>
      </c>
      <c r="T25" s="5"/>
      <c r="U25" s="5" t="s">
        <v>382</v>
      </c>
      <c r="V25" s="5" t="s">
        <v>507</v>
      </c>
      <c r="W25" s="5"/>
      <c r="X25" s="8" t="s">
        <v>383</v>
      </c>
      <c r="Y25" s="5"/>
    </row>
    <row r="26" customFormat="false" ht="15" hidden="false" customHeight="false" outlineLevel="0" collapsed="false">
      <c r="A26" s="5" t="s">
        <v>544</v>
      </c>
      <c r="B26" s="5" t="s">
        <v>58</v>
      </c>
      <c r="C26" s="5" t="s">
        <v>59</v>
      </c>
      <c r="D26" s="6" t="s">
        <v>45</v>
      </c>
      <c r="E26" s="5" t="n">
        <v>6</v>
      </c>
      <c r="F26" s="5" t="s">
        <v>545</v>
      </c>
      <c r="G26" s="11" t="s">
        <v>546</v>
      </c>
      <c r="H26" s="5" t="s">
        <v>547</v>
      </c>
      <c r="I26" s="11" t="s">
        <v>548</v>
      </c>
      <c r="J26" s="5" t="s">
        <v>549</v>
      </c>
      <c r="K26" s="5" t="s">
        <v>550</v>
      </c>
      <c r="L26" s="11" t="s">
        <v>551</v>
      </c>
      <c r="M26" s="11" t="s">
        <v>552</v>
      </c>
      <c r="N26" s="5" t="n">
        <f aca="false">LEN(L26)</f>
        <v>25</v>
      </c>
      <c r="O26" s="5" t="n">
        <f aca="false">LEN(M26)</f>
        <v>25</v>
      </c>
      <c r="P26" s="12" t="n">
        <f aca="false">IF(N26=0,"",(N26-LEN(SUBSTITUTE(SUBSTITUTE(L26,"G",""),"C","")))/N26)</f>
        <v>0.44</v>
      </c>
      <c r="Q26" s="12" t="n">
        <f aca="false">IF(O26=0,"",(O26-LEN(SUBSTITUTE(SUBSTITUTE(M26,"G",""),"C","")))/O26)</f>
        <v>0.64</v>
      </c>
      <c r="R26" s="5"/>
      <c r="S26" s="5" t="s">
        <v>342</v>
      </c>
      <c r="T26" s="5"/>
      <c r="U26" s="5" t="s">
        <v>382</v>
      </c>
      <c r="V26" s="5" t="s">
        <v>507</v>
      </c>
      <c r="W26" s="5"/>
      <c r="X26" s="8" t="s">
        <v>383</v>
      </c>
      <c r="Y26" s="5"/>
    </row>
    <row r="27" customFormat="false" ht="15" hidden="false" customHeight="false" outlineLevel="0" collapsed="false">
      <c r="A27" s="5" t="s">
        <v>553</v>
      </c>
      <c r="B27" s="5" t="s">
        <v>58</v>
      </c>
      <c r="C27" s="5" t="s">
        <v>59</v>
      </c>
      <c r="D27" s="6" t="s">
        <v>45</v>
      </c>
      <c r="E27" s="5" t="n">
        <v>7</v>
      </c>
      <c r="F27" s="5" t="s">
        <v>554</v>
      </c>
      <c r="G27" s="11" t="s">
        <v>555</v>
      </c>
      <c r="H27" s="5" t="s">
        <v>556</v>
      </c>
      <c r="I27" s="11" t="s">
        <v>557</v>
      </c>
      <c r="J27" s="5" t="s">
        <v>558</v>
      </c>
      <c r="K27" s="5" t="s">
        <v>559</v>
      </c>
      <c r="L27" s="11" t="s">
        <v>560</v>
      </c>
      <c r="M27" s="11" t="s">
        <v>561</v>
      </c>
      <c r="N27" s="5" t="n">
        <f aca="false">LEN(L27)</f>
        <v>24</v>
      </c>
      <c r="O27" s="5" t="n">
        <f aca="false">LEN(M27)</f>
        <v>25</v>
      </c>
      <c r="P27" s="12" t="n">
        <f aca="false">IF(N27=0,"",(N27-LEN(SUBSTITUTE(SUBSTITUTE(L27,"G",""),"C","")))/N27)</f>
        <v>0.666666666666667</v>
      </c>
      <c r="Q27" s="12" t="n">
        <f aca="false">IF(O27=0,"",(O27-LEN(SUBSTITUTE(SUBSTITUTE(M27,"G",""),"C","")))/O27)</f>
        <v>0.76</v>
      </c>
      <c r="R27" s="5"/>
      <c r="S27" s="5" t="s">
        <v>342</v>
      </c>
      <c r="T27" s="5"/>
      <c r="U27" s="5" t="s">
        <v>382</v>
      </c>
      <c r="V27" s="5" t="s">
        <v>507</v>
      </c>
      <c r="W27" s="5"/>
      <c r="X27" s="8" t="s">
        <v>383</v>
      </c>
      <c r="Y27" s="8" t="s">
        <v>562</v>
      </c>
    </row>
    <row r="28" customFormat="false" ht="15" hidden="false" customHeight="false" outlineLevel="0" collapsed="false">
      <c r="A28" s="5" t="s">
        <v>563</v>
      </c>
      <c r="B28" s="5" t="s">
        <v>58</v>
      </c>
      <c r="C28" s="5" t="s">
        <v>59</v>
      </c>
      <c r="D28" s="6" t="s">
        <v>45</v>
      </c>
      <c r="E28" s="5" t="n">
        <v>8</v>
      </c>
      <c r="F28" s="5" t="s">
        <v>564</v>
      </c>
      <c r="G28" s="11" t="s">
        <v>565</v>
      </c>
      <c r="H28" s="5" t="s">
        <v>566</v>
      </c>
      <c r="I28" s="11" t="s">
        <v>567</v>
      </c>
      <c r="J28" s="5" t="s">
        <v>568</v>
      </c>
      <c r="K28" s="5" t="s">
        <v>569</v>
      </c>
      <c r="L28" s="11" t="s">
        <v>570</v>
      </c>
      <c r="M28" s="11" t="s">
        <v>571</v>
      </c>
      <c r="N28" s="5" t="n">
        <f aca="false">LEN(L28)</f>
        <v>25</v>
      </c>
      <c r="O28" s="5" t="n">
        <f aca="false">LEN(M28)</f>
        <v>25</v>
      </c>
      <c r="P28" s="12" t="n">
        <f aca="false">IF(N28=0,"",(N28-LEN(SUBSTITUTE(SUBSTITUTE(L28,"G",""),"C","")))/N28)</f>
        <v>0.44</v>
      </c>
      <c r="Q28" s="12" t="n">
        <f aca="false">IF(O28=0,"",(O28-LEN(SUBSTITUTE(SUBSTITUTE(M28,"G",""),"C","")))/O28)</f>
        <v>0.36</v>
      </c>
      <c r="R28" s="5"/>
      <c r="S28" s="5" t="s">
        <v>342</v>
      </c>
      <c r="T28" s="5"/>
      <c r="U28" s="5" t="s">
        <v>382</v>
      </c>
      <c r="V28" s="5" t="s">
        <v>507</v>
      </c>
      <c r="W28" s="5"/>
      <c r="X28" s="8" t="s">
        <v>383</v>
      </c>
      <c r="Y28" s="5"/>
    </row>
    <row r="29" customFormat="false" ht="15" hidden="false" customHeight="false" outlineLevel="0" collapsed="false">
      <c r="A29" s="5" t="s">
        <v>572</v>
      </c>
      <c r="B29" s="5" t="s">
        <v>58</v>
      </c>
      <c r="C29" s="5" t="s">
        <v>59</v>
      </c>
      <c r="D29" s="6" t="s">
        <v>45</v>
      </c>
      <c r="E29" s="5" t="n">
        <v>9</v>
      </c>
      <c r="F29" s="5" t="s">
        <v>573</v>
      </c>
      <c r="G29" s="11" t="s">
        <v>574</v>
      </c>
      <c r="H29" s="5" t="s">
        <v>575</v>
      </c>
      <c r="I29" s="11" t="s">
        <v>576</v>
      </c>
      <c r="J29" s="5" t="s">
        <v>577</v>
      </c>
      <c r="K29" s="5" t="s">
        <v>578</v>
      </c>
      <c r="L29" s="11" t="s">
        <v>579</v>
      </c>
      <c r="M29" s="11" t="s">
        <v>580</v>
      </c>
      <c r="N29" s="5" t="n">
        <f aca="false">LEN(L29)</f>
        <v>25</v>
      </c>
      <c r="O29" s="5" t="n">
        <f aca="false">LEN(M29)</f>
        <v>25</v>
      </c>
      <c r="P29" s="12" t="n">
        <f aca="false">IF(N29=0,"",(N29-LEN(SUBSTITUTE(SUBSTITUTE(L29,"G",""),"C","")))/N29)</f>
        <v>0.32</v>
      </c>
      <c r="Q29" s="12" t="n">
        <f aca="false">IF(O29=0,"",(O29-LEN(SUBSTITUTE(SUBSTITUTE(M29,"G",""),"C","")))/O29)</f>
        <v>0.6</v>
      </c>
      <c r="R29" s="5"/>
      <c r="S29" s="5" t="s">
        <v>342</v>
      </c>
      <c r="T29" s="5"/>
      <c r="U29" s="5" t="s">
        <v>382</v>
      </c>
      <c r="V29" s="5" t="s">
        <v>507</v>
      </c>
      <c r="W29" s="5"/>
      <c r="X29" s="8" t="s">
        <v>383</v>
      </c>
      <c r="Y29" s="5"/>
    </row>
    <row r="30" customFormat="false" ht="15" hidden="false" customHeight="false" outlineLevel="0" collapsed="false">
      <c r="A30" s="5" t="s">
        <v>581</v>
      </c>
      <c r="B30" s="5" t="s">
        <v>58</v>
      </c>
      <c r="C30" s="5" t="s">
        <v>59</v>
      </c>
      <c r="D30" s="6" t="s">
        <v>45</v>
      </c>
      <c r="E30" s="5" t="n">
        <v>10</v>
      </c>
      <c r="F30" s="5" t="s">
        <v>582</v>
      </c>
      <c r="G30" s="11" t="s">
        <v>583</v>
      </c>
      <c r="H30" s="5" t="s">
        <v>584</v>
      </c>
      <c r="I30" s="11" t="s">
        <v>585</v>
      </c>
      <c r="J30" s="5" t="s">
        <v>586</v>
      </c>
      <c r="K30" s="5" t="s">
        <v>587</v>
      </c>
      <c r="L30" s="11" t="s">
        <v>588</v>
      </c>
      <c r="M30" s="11" t="s">
        <v>589</v>
      </c>
      <c r="N30" s="5" t="n">
        <f aca="false">LEN(L30)</f>
        <v>25</v>
      </c>
      <c r="O30" s="5" t="n">
        <f aca="false">LEN(M30)</f>
        <v>25</v>
      </c>
      <c r="P30" s="12" t="n">
        <f aca="false">IF(N30=0,"",(N30-LEN(SUBSTITUTE(SUBSTITUTE(L30,"G",""),"C","")))/N30)</f>
        <v>0.44</v>
      </c>
      <c r="Q30" s="12" t="n">
        <f aca="false">IF(O30=0,"",(O30-LEN(SUBSTITUTE(SUBSTITUTE(M30,"G",""),"C","")))/O30)</f>
        <v>0.4</v>
      </c>
      <c r="R30" s="5"/>
      <c r="S30" s="5" t="s">
        <v>342</v>
      </c>
      <c r="T30" s="5"/>
      <c r="U30" s="5" t="s">
        <v>382</v>
      </c>
      <c r="V30" s="5" t="s">
        <v>507</v>
      </c>
      <c r="W30" s="5"/>
      <c r="X30" s="8" t="s">
        <v>383</v>
      </c>
      <c r="Y30" s="5"/>
    </row>
    <row r="31" customFormat="false" ht="15" hidden="false" customHeight="false" outlineLevel="0" collapsed="false">
      <c r="A31" s="5" t="s">
        <v>590</v>
      </c>
      <c r="B31" s="5" t="s">
        <v>63</v>
      </c>
      <c r="C31" s="5" t="s">
        <v>64</v>
      </c>
      <c r="D31" s="6" t="s">
        <v>45</v>
      </c>
      <c r="E31" s="5" t="n">
        <v>1</v>
      </c>
      <c r="F31" s="5" t="s">
        <v>591</v>
      </c>
      <c r="G31" s="11" t="s">
        <v>592</v>
      </c>
      <c r="H31" s="5" t="s">
        <v>593</v>
      </c>
      <c r="I31" s="11" t="s">
        <v>594</v>
      </c>
      <c r="J31" s="5" t="s">
        <v>595</v>
      </c>
      <c r="K31" s="5" t="s">
        <v>595</v>
      </c>
      <c r="L31" s="11" t="s">
        <v>596</v>
      </c>
      <c r="M31" s="11" t="s">
        <v>597</v>
      </c>
      <c r="N31" s="5" t="n">
        <f aca="false">LEN(L31)</f>
        <v>25</v>
      </c>
      <c r="O31" s="5" t="n">
        <f aca="false">LEN(M31)</f>
        <v>25</v>
      </c>
      <c r="P31" s="12" t="n">
        <f aca="false">IF(N31=0,"",(N31-LEN(SUBSTITUTE(SUBSTITUTE(L31,"G",""),"C","")))/N31)</f>
        <v>0.56</v>
      </c>
      <c r="Q31" s="12" t="n">
        <f aca="false">IF(O31=0,"",(O31-LEN(SUBSTITUTE(SUBSTITUTE(M31,"G",""),"C","")))/O31)</f>
        <v>0.72</v>
      </c>
      <c r="R31" s="5"/>
      <c r="S31" s="5" t="s">
        <v>342</v>
      </c>
      <c r="T31" s="5"/>
      <c r="U31" s="5" t="s">
        <v>343</v>
      </c>
      <c r="V31" s="5" t="s">
        <v>598</v>
      </c>
      <c r="W31" s="5"/>
      <c r="X31" s="13" t="s">
        <v>345</v>
      </c>
      <c r="Y31" s="5"/>
    </row>
    <row r="32" customFormat="false" ht="15" hidden="false" customHeight="false" outlineLevel="0" collapsed="false">
      <c r="A32" s="5" t="s">
        <v>599</v>
      </c>
      <c r="B32" s="5" t="s">
        <v>63</v>
      </c>
      <c r="C32" s="5" t="s">
        <v>64</v>
      </c>
      <c r="D32" s="6" t="s">
        <v>45</v>
      </c>
      <c r="E32" s="5" t="n">
        <v>2</v>
      </c>
      <c r="F32" s="5" t="s">
        <v>600</v>
      </c>
      <c r="G32" s="11" t="s">
        <v>601</v>
      </c>
      <c r="H32" s="5" t="s">
        <v>602</v>
      </c>
      <c r="I32" s="11" t="s">
        <v>603</v>
      </c>
      <c r="J32" s="5" t="s">
        <v>595</v>
      </c>
      <c r="K32" s="5" t="s">
        <v>595</v>
      </c>
      <c r="L32" s="11" t="s">
        <v>604</v>
      </c>
      <c r="M32" s="11" t="s">
        <v>605</v>
      </c>
      <c r="N32" s="5" t="n">
        <f aca="false">LEN(L32)</f>
        <v>25</v>
      </c>
      <c r="O32" s="5" t="n">
        <f aca="false">LEN(M32)</f>
        <v>25</v>
      </c>
      <c r="P32" s="12" t="n">
        <f aca="false">IF(N32=0,"",(N32-LEN(SUBSTITUTE(SUBSTITUTE(L32,"G",""),"C","")))/N32)</f>
        <v>0.84</v>
      </c>
      <c r="Q32" s="12" t="n">
        <f aca="false">IF(O32=0,"",(O32-LEN(SUBSTITUTE(SUBSTITUTE(M32,"G",""),"C","")))/O32)</f>
        <v>0.68</v>
      </c>
      <c r="R32" s="5"/>
      <c r="S32" s="5" t="s">
        <v>342</v>
      </c>
      <c r="T32" s="5"/>
      <c r="U32" s="5" t="s">
        <v>606</v>
      </c>
      <c r="V32" s="5" t="s">
        <v>598</v>
      </c>
      <c r="W32" s="5"/>
      <c r="X32" s="8" t="s">
        <v>488</v>
      </c>
      <c r="Y32" s="5"/>
    </row>
    <row r="33" customFormat="false" ht="15" hidden="false" customHeight="false" outlineLevel="0" collapsed="false">
      <c r="A33" s="5" t="s">
        <v>607</v>
      </c>
      <c r="B33" s="5" t="s">
        <v>63</v>
      </c>
      <c r="C33" s="5" t="s">
        <v>64</v>
      </c>
      <c r="D33" s="6" t="s">
        <v>45</v>
      </c>
      <c r="E33" s="5" t="n">
        <v>3</v>
      </c>
      <c r="F33" s="5" t="s">
        <v>608</v>
      </c>
      <c r="G33" s="11" t="s">
        <v>609</v>
      </c>
      <c r="H33" s="5" t="s">
        <v>610</v>
      </c>
      <c r="I33" s="11" t="s">
        <v>611</v>
      </c>
      <c r="J33" s="5" t="s">
        <v>595</v>
      </c>
      <c r="K33" s="5" t="s">
        <v>595</v>
      </c>
      <c r="L33" s="11" t="s">
        <v>612</v>
      </c>
      <c r="M33" s="11" t="s">
        <v>613</v>
      </c>
      <c r="N33" s="5" t="n">
        <f aca="false">LEN(L33)</f>
        <v>25</v>
      </c>
      <c r="O33" s="5" t="n">
        <f aca="false">LEN(M33)</f>
        <v>25</v>
      </c>
      <c r="P33" s="12" t="n">
        <f aca="false">IF(N33=0,"",(N33-LEN(SUBSTITUTE(SUBSTITUTE(L33,"G",""),"C","")))/N33)</f>
        <v>0.72</v>
      </c>
      <c r="Q33" s="12" t="n">
        <f aca="false">IF(O33=0,"",(O33-LEN(SUBSTITUTE(SUBSTITUTE(M33,"G",""),"C","")))/O33)</f>
        <v>0.64</v>
      </c>
      <c r="R33" s="5"/>
      <c r="S33" s="5" t="s">
        <v>342</v>
      </c>
      <c r="T33" s="5"/>
      <c r="U33" s="5" t="s">
        <v>343</v>
      </c>
      <c r="V33" s="5" t="s">
        <v>598</v>
      </c>
      <c r="W33" s="5"/>
      <c r="X33" s="13" t="s">
        <v>345</v>
      </c>
      <c r="Y33" s="5"/>
    </row>
    <row r="34" customFormat="false" ht="15" hidden="false" customHeight="false" outlineLevel="0" collapsed="false">
      <c r="A34" s="5" t="s">
        <v>614</v>
      </c>
      <c r="B34" s="5" t="s">
        <v>63</v>
      </c>
      <c r="C34" s="5" t="s">
        <v>64</v>
      </c>
      <c r="D34" s="6" t="s">
        <v>45</v>
      </c>
      <c r="E34" s="5" t="n">
        <v>4</v>
      </c>
      <c r="F34" s="5" t="s">
        <v>615</v>
      </c>
      <c r="G34" s="11" t="s">
        <v>616</v>
      </c>
      <c r="H34" s="5" t="s">
        <v>617</v>
      </c>
      <c r="I34" s="11" t="s">
        <v>618</v>
      </c>
      <c r="J34" s="5" t="s">
        <v>595</v>
      </c>
      <c r="K34" s="5" t="s">
        <v>595</v>
      </c>
      <c r="L34" s="11" t="s">
        <v>619</v>
      </c>
      <c r="M34" s="11" t="s">
        <v>620</v>
      </c>
      <c r="N34" s="5" t="n">
        <f aca="false">LEN(L34)</f>
        <v>25</v>
      </c>
      <c r="O34" s="5" t="n">
        <f aca="false">LEN(M34)</f>
        <v>25</v>
      </c>
      <c r="P34" s="12" t="n">
        <f aca="false">IF(N34=0,"",(N34-LEN(SUBSTITUTE(SUBSTITUTE(L34,"G",""),"C","")))/N34)</f>
        <v>0.68</v>
      </c>
      <c r="Q34" s="12" t="n">
        <f aca="false">IF(O34=0,"",(O34-LEN(SUBSTITUTE(SUBSTITUTE(M34,"G",""),"C","")))/O34)</f>
        <v>0.76</v>
      </c>
      <c r="R34" s="5"/>
      <c r="S34" s="5" t="s">
        <v>342</v>
      </c>
      <c r="T34" s="5"/>
      <c r="U34" s="5" t="s">
        <v>343</v>
      </c>
      <c r="V34" s="5" t="s">
        <v>598</v>
      </c>
      <c r="W34" s="5"/>
      <c r="X34" s="13" t="s">
        <v>345</v>
      </c>
      <c r="Y34" s="5"/>
    </row>
    <row r="35" customFormat="false" ht="15" hidden="false" customHeight="false" outlineLevel="0" collapsed="false">
      <c r="A35" s="5" t="s">
        <v>621</v>
      </c>
      <c r="B35" s="5" t="s">
        <v>63</v>
      </c>
      <c r="C35" s="5" t="s">
        <v>64</v>
      </c>
      <c r="D35" s="6" t="s">
        <v>45</v>
      </c>
      <c r="E35" s="5" t="n">
        <v>5</v>
      </c>
      <c r="F35" s="5" t="s">
        <v>622</v>
      </c>
      <c r="G35" s="11" t="s">
        <v>623</v>
      </c>
      <c r="H35" s="5" t="s">
        <v>624</v>
      </c>
      <c r="I35" s="11" t="s">
        <v>625</v>
      </c>
      <c r="J35" s="5" t="s">
        <v>595</v>
      </c>
      <c r="K35" s="5" t="s">
        <v>595</v>
      </c>
      <c r="L35" s="11" t="s">
        <v>626</v>
      </c>
      <c r="M35" s="11" t="s">
        <v>627</v>
      </c>
      <c r="N35" s="5" t="n">
        <f aca="false">LEN(L35)</f>
        <v>25</v>
      </c>
      <c r="O35" s="5" t="n">
        <f aca="false">LEN(M35)</f>
        <v>25</v>
      </c>
      <c r="P35" s="12" t="n">
        <f aca="false">IF(N35=0,"",(N35-LEN(SUBSTITUTE(SUBSTITUTE(L35,"G",""),"C","")))/N35)</f>
        <v>0.56</v>
      </c>
      <c r="Q35" s="12" t="n">
        <f aca="false">IF(O35=0,"",(O35-LEN(SUBSTITUTE(SUBSTITUTE(M35,"G",""),"C","")))/O35)</f>
        <v>0.6</v>
      </c>
      <c r="R35" s="5"/>
      <c r="S35" s="5" t="s">
        <v>342</v>
      </c>
      <c r="T35" s="5"/>
      <c r="U35" s="5" t="s">
        <v>343</v>
      </c>
      <c r="V35" s="5" t="s">
        <v>598</v>
      </c>
      <c r="W35" s="5"/>
      <c r="X35" s="13" t="s">
        <v>345</v>
      </c>
      <c r="Y35" s="5"/>
    </row>
    <row r="36" customFormat="false" ht="15" hidden="false" customHeight="false" outlineLevel="0" collapsed="false">
      <c r="A36" s="5" t="s">
        <v>628</v>
      </c>
      <c r="B36" s="5" t="s">
        <v>63</v>
      </c>
      <c r="C36" s="5" t="s">
        <v>64</v>
      </c>
      <c r="D36" s="6" t="s">
        <v>45</v>
      </c>
      <c r="E36" s="5" t="n">
        <v>6</v>
      </c>
      <c r="F36" s="5" t="s">
        <v>629</v>
      </c>
      <c r="G36" s="11" t="s">
        <v>630</v>
      </c>
      <c r="H36" s="5" t="s">
        <v>631</v>
      </c>
      <c r="I36" s="11" t="s">
        <v>632</v>
      </c>
      <c r="J36" s="5" t="s">
        <v>595</v>
      </c>
      <c r="K36" s="5" t="s">
        <v>595</v>
      </c>
      <c r="L36" s="11" t="s">
        <v>633</v>
      </c>
      <c r="M36" s="11" t="s">
        <v>634</v>
      </c>
      <c r="N36" s="5" t="n">
        <f aca="false">LEN(L36)</f>
        <v>25</v>
      </c>
      <c r="O36" s="5" t="n">
        <f aca="false">LEN(M36)</f>
        <v>25</v>
      </c>
      <c r="P36" s="12" t="n">
        <f aca="false">IF(N36=0,"",(N36-LEN(SUBSTITUTE(SUBSTITUTE(L36,"G",""),"C","")))/N36)</f>
        <v>0.88</v>
      </c>
      <c r="Q36" s="12" t="n">
        <f aca="false">IF(O36=0,"",(O36-LEN(SUBSTITUTE(SUBSTITUTE(M36,"G",""),"C","")))/O36)</f>
        <v>0.76</v>
      </c>
      <c r="R36" s="5"/>
      <c r="S36" s="5" t="s">
        <v>342</v>
      </c>
      <c r="T36" s="5"/>
      <c r="U36" s="5" t="s">
        <v>343</v>
      </c>
      <c r="V36" s="5" t="s">
        <v>598</v>
      </c>
      <c r="W36" s="5"/>
      <c r="X36" s="13" t="s">
        <v>345</v>
      </c>
      <c r="Y36" s="5"/>
    </row>
    <row r="37" customFormat="false" ht="15" hidden="false" customHeight="false" outlineLevel="0" collapsed="false">
      <c r="A37" s="5" t="s">
        <v>635</v>
      </c>
      <c r="B37" s="5" t="s">
        <v>63</v>
      </c>
      <c r="C37" s="5" t="s">
        <v>64</v>
      </c>
      <c r="D37" s="6" t="s">
        <v>45</v>
      </c>
      <c r="E37" s="5" t="n">
        <v>7</v>
      </c>
      <c r="F37" s="5" t="s">
        <v>636</v>
      </c>
      <c r="G37" s="11" t="s">
        <v>637</v>
      </c>
      <c r="H37" s="5" t="s">
        <v>638</v>
      </c>
      <c r="I37" s="11" t="s">
        <v>639</v>
      </c>
      <c r="J37" s="5" t="s">
        <v>595</v>
      </c>
      <c r="K37" s="5" t="s">
        <v>595</v>
      </c>
      <c r="L37" s="11" t="s">
        <v>640</v>
      </c>
      <c r="M37" s="11" t="s">
        <v>641</v>
      </c>
      <c r="N37" s="5" t="n">
        <f aca="false">LEN(L37)</f>
        <v>25</v>
      </c>
      <c r="O37" s="5" t="n">
        <f aca="false">LEN(M37)</f>
        <v>25</v>
      </c>
      <c r="P37" s="12" t="n">
        <f aca="false">IF(N37=0,"",(N37-LEN(SUBSTITUTE(SUBSTITUTE(L37,"G",""),"C","")))/N37)</f>
        <v>0.84</v>
      </c>
      <c r="Q37" s="12" t="n">
        <f aca="false">IF(O37=0,"",(O37-LEN(SUBSTITUTE(SUBSTITUTE(M37,"G",""),"C","")))/O37)</f>
        <v>0.8</v>
      </c>
      <c r="R37" s="5"/>
      <c r="S37" s="5" t="s">
        <v>342</v>
      </c>
      <c r="T37" s="5"/>
      <c r="U37" s="5" t="s">
        <v>606</v>
      </c>
      <c r="V37" s="5" t="s">
        <v>598</v>
      </c>
      <c r="W37" s="5"/>
      <c r="X37" s="8" t="s">
        <v>383</v>
      </c>
      <c r="Y37" s="5"/>
    </row>
    <row r="38" customFormat="false" ht="15" hidden="false" customHeight="false" outlineLevel="0" collapsed="false">
      <c r="A38" s="5" t="s">
        <v>642</v>
      </c>
      <c r="B38" s="5" t="s">
        <v>63</v>
      </c>
      <c r="C38" s="5" t="s">
        <v>64</v>
      </c>
      <c r="D38" s="6" t="s">
        <v>45</v>
      </c>
      <c r="E38" s="5" t="n">
        <v>8</v>
      </c>
      <c r="F38" s="5" t="s">
        <v>643</v>
      </c>
      <c r="G38" s="11" t="s">
        <v>644</v>
      </c>
      <c r="H38" s="5" t="s">
        <v>645</v>
      </c>
      <c r="I38" s="11" t="s">
        <v>646</v>
      </c>
      <c r="J38" s="5" t="s">
        <v>595</v>
      </c>
      <c r="K38" s="5" t="s">
        <v>595</v>
      </c>
      <c r="L38" s="11" t="s">
        <v>647</v>
      </c>
      <c r="M38" s="11" t="s">
        <v>648</v>
      </c>
      <c r="N38" s="5" t="n">
        <f aca="false">LEN(L38)</f>
        <v>25</v>
      </c>
      <c r="O38" s="5" t="n">
        <f aca="false">LEN(M38)</f>
        <v>25</v>
      </c>
      <c r="P38" s="12" t="n">
        <f aca="false">IF(N38=0,"",(N38-LEN(SUBSTITUTE(SUBSTITUTE(L38,"G",""),"C","")))/N38)</f>
        <v>0.56</v>
      </c>
      <c r="Q38" s="12" t="n">
        <f aca="false">IF(O38=0,"",(O38-LEN(SUBSTITUTE(SUBSTITUTE(M38,"G",""),"C","")))/O38)</f>
        <v>0.56</v>
      </c>
      <c r="R38" s="5"/>
      <c r="S38" s="5" t="s">
        <v>342</v>
      </c>
      <c r="T38" s="5"/>
      <c r="U38" s="5" t="s">
        <v>606</v>
      </c>
      <c r="V38" s="5" t="s">
        <v>598</v>
      </c>
      <c r="W38" s="5"/>
      <c r="X38" s="8" t="s">
        <v>393</v>
      </c>
      <c r="Y38" s="5"/>
    </row>
    <row r="39" customFormat="false" ht="15" hidden="false" customHeight="false" outlineLevel="0" collapsed="false">
      <c r="A39" s="5" t="s">
        <v>649</v>
      </c>
      <c r="B39" s="5" t="s">
        <v>70</v>
      </c>
      <c r="C39" s="5" t="s">
        <v>71</v>
      </c>
      <c r="D39" s="6" t="s">
        <v>45</v>
      </c>
      <c r="E39" s="5" t="n">
        <v>1</v>
      </c>
      <c r="F39" s="5" t="s">
        <v>650</v>
      </c>
      <c r="G39" s="11" t="s">
        <v>651</v>
      </c>
      <c r="H39" s="5" t="s">
        <v>652</v>
      </c>
      <c r="I39" s="11" t="s">
        <v>653</v>
      </c>
      <c r="J39" s="5" t="s">
        <v>654</v>
      </c>
      <c r="K39" s="5" t="s">
        <v>654</v>
      </c>
      <c r="L39" s="11" t="s">
        <v>655</v>
      </c>
      <c r="M39" s="11" t="s">
        <v>656</v>
      </c>
      <c r="N39" s="5" t="n">
        <f aca="false">LEN(L39)</f>
        <v>25</v>
      </c>
      <c r="O39" s="5" t="n">
        <f aca="false">LEN(M39)</f>
        <v>25</v>
      </c>
      <c r="P39" s="12" t="n">
        <f aca="false">IF(N39=0,"",(N39-LEN(SUBSTITUTE(SUBSTITUTE(L39,"G",""),"C","")))/N39)</f>
        <v>0.36</v>
      </c>
      <c r="Q39" s="12" t="n">
        <f aca="false">IF(O39=0,"",(O39-LEN(SUBSTITUTE(SUBSTITUTE(M39,"G",""),"C","")))/O39)</f>
        <v>0.36</v>
      </c>
      <c r="R39" s="5"/>
      <c r="S39" s="5" t="s">
        <v>342</v>
      </c>
      <c r="T39" s="5"/>
      <c r="U39" s="5" t="s">
        <v>343</v>
      </c>
      <c r="V39" s="5" t="s">
        <v>598</v>
      </c>
      <c r="W39" s="5"/>
      <c r="X39" s="13" t="s">
        <v>345</v>
      </c>
      <c r="Y39" s="5"/>
    </row>
    <row r="40" customFormat="false" ht="15" hidden="false" customHeight="false" outlineLevel="0" collapsed="false">
      <c r="A40" s="5" t="s">
        <v>657</v>
      </c>
      <c r="B40" s="5" t="s">
        <v>70</v>
      </c>
      <c r="C40" s="5" t="s">
        <v>71</v>
      </c>
      <c r="D40" s="6" t="s">
        <v>45</v>
      </c>
      <c r="E40" s="5" t="n">
        <v>2</v>
      </c>
      <c r="F40" s="5" t="s">
        <v>658</v>
      </c>
      <c r="G40" s="11" t="s">
        <v>659</v>
      </c>
      <c r="H40" s="5" t="s">
        <v>660</v>
      </c>
      <c r="I40" s="11" t="s">
        <v>661</v>
      </c>
      <c r="J40" s="5" t="s">
        <v>654</v>
      </c>
      <c r="K40" s="5" t="s">
        <v>654</v>
      </c>
      <c r="L40" s="11" t="s">
        <v>662</v>
      </c>
      <c r="M40" s="11" t="s">
        <v>663</v>
      </c>
      <c r="N40" s="5" t="n">
        <f aca="false">LEN(L40)</f>
        <v>25</v>
      </c>
      <c r="O40" s="5" t="n">
        <f aca="false">LEN(M40)</f>
        <v>25</v>
      </c>
      <c r="P40" s="12" t="n">
        <f aca="false">IF(N40=0,"",(N40-LEN(SUBSTITUTE(SUBSTITUTE(L40,"G",""),"C","")))/N40)</f>
        <v>0.36</v>
      </c>
      <c r="Q40" s="12" t="n">
        <f aca="false">IF(O40=0,"",(O40-LEN(SUBSTITUTE(SUBSTITUTE(M40,"G",""),"C","")))/O40)</f>
        <v>0.44</v>
      </c>
      <c r="R40" s="5"/>
      <c r="S40" s="5" t="s">
        <v>342</v>
      </c>
      <c r="T40" s="5"/>
      <c r="U40" s="5" t="s">
        <v>343</v>
      </c>
      <c r="V40" s="5" t="s">
        <v>598</v>
      </c>
      <c r="W40" s="5"/>
      <c r="X40" s="13" t="s">
        <v>345</v>
      </c>
      <c r="Y40" s="5"/>
    </row>
    <row r="41" customFormat="false" ht="15" hidden="false" customHeight="false" outlineLevel="0" collapsed="false">
      <c r="A41" s="5" t="s">
        <v>664</v>
      </c>
      <c r="B41" s="5" t="s">
        <v>70</v>
      </c>
      <c r="C41" s="5" t="s">
        <v>71</v>
      </c>
      <c r="D41" s="6" t="s">
        <v>45</v>
      </c>
      <c r="E41" s="5" t="n">
        <v>3</v>
      </c>
      <c r="F41" s="5" t="s">
        <v>665</v>
      </c>
      <c r="G41" s="11" t="s">
        <v>666</v>
      </c>
      <c r="H41" s="5" t="s">
        <v>667</v>
      </c>
      <c r="I41" s="11" t="s">
        <v>668</v>
      </c>
      <c r="J41" s="5" t="s">
        <v>654</v>
      </c>
      <c r="K41" s="5" t="s">
        <v>654</v>
      </c>
      <c r="L41" s="11" t="s">
        <v>669</v>
      </c>
      <c r="M41" s="11" t="s">
        <v>670</v>
      </c>
      <c r="N41" s="5" t="n">
        <f aca="false">LEN(L41)</f>
        <v>25</v>
      </c>
      <c r="O41" s="5" t="n">
        <f aca="false">LEN(M41)</f>
        <v>25</v>
      </c>
      <c r="P41" s="12" t="n">
        <f aca="false">IF(N41=0,"",(N41-LEN(SUBSTITUTE(SUBSTITUTE(L41,"G",""),"C","")))/N41)</f>
        <v>0.64</v>
      </c>
      <c r="Q41" s="12" t="n">
        <f aca="false">IF(O41=0,"",(O41-LEN(SUBSTITUTE(SUBSTITUTE(M41,"G",""),"C","")))/O41)</f>
        <v>0.28</v>
      </c>
      <c r="R41" s="5"/>
      <c r="S41" s="5" t="s">
        <v>342</v>
      </c>
      <c r="T41" s="5"/>
      <c r="U41" s="5" t="s">
        <v>343</v>
      </c>
      <c r="V41" s="5" t="s">
        <v>598</v>
      </c>
      <c r="W41" s="5"/>
      <c r="X41" s="13" t="s">
        <v>345</v>
      </c>
      <c r="Y41" s="5"/>
    </row>
    <row r="42" customFormat="false" ht="15" hidden="false" customHeight="false" outlineLevel="0" collapsed="false">
      <c r="A42" s="5" t="s">
        <v>671</v>
      </c>
      <c r="B42" s="5" t="s">
        <v>70</v>
      </c>
      <c r="C42" s="5" t="s">
        <v>71</v>
      </c>
      <c r="D42" s="6" t="s">
        <v>45</v>
      </c>
      <c r="E42" s="5" t="n">
        <v>4</v>
      </c>
      <c r="F42" s="5" t="s">
        <v>672</v>
      </c>
      <c r="G42" s="11" t="s">
        <v>673</v>
      </c>
      <c r="H42" s="5" t="s">
        <v>674</v>
      </c>
      <c r="I42" s="11" t="s">
        <v>675</v>
      </c>
      <c r="J42" s="5" t="s">
        <v>654</v>
      </c>
      <c r="K42" s="5" t="s">
        <v>654</v>
      </c>
      <c r="L42" s="11" t="s">
        <v>676</v>
      </c>
      <c r="M42" s="11" t="s">
        <v>677</v>
      </c>
      <c r="N42" s="5" t="n">
        <f aca="false">LEN(L42)</f>
        <v>25</v>
      </c>
      <c r="O42" s="5" t="n">
        <f aca="false">LEN(M42)</f>
        <v>25</v>
      </c>
      <c r="P42" s="12" t="n">
        <f aca="false">IF(N42=0,"",(N42-LEN(SUBSTITUTE(SUBSTITUTE(L42,"G",""),"C","")))/N42)</f>
        <v>0.48</v>
      </c>
      <c r="Q42" s="12" t="n">
        <f aca="false">IF(O42=0,"",(O42-LEN(SUBSTITUTE(SUBSTITUTE(M42,"G",""),"C","")))/O42)</f>
        <v>0.44</v>
      </c>
      <c r="R42" s="5"/>
      <c r="S42" s="5" t="s">
        <v>342</v>
      </c>
      <c r="T42" s="5"/>
      <c r="U42" s="5" t="s">
        <v>343</v>
      </c>
      <c r="V42" s="5" t="s">
        <v>598</v>
      </c>
      <c r="W42" s="5"/>
      <c r="X42" s="13" t="s">
        <v>345</v>
      </c>
      <c r="Y42" s="5"/>
    </row>
    <row r="43" customFormat="false" ht="15" hidden="false" customHeight="false" outlineLevel="0" collapsed="false">
      <c r="A43" s="5" t="s">
        <v>678</v>
      </c>
      <c r="B43" s="5" t="s">
        <v>70</v>
      </c>
      <c r="C43" s="5" t="s">
        <v>71</v>
      </c>
      <c r="D43" s="6" t="s">
        <v>45</v>
      </c>
      <c r="E43" s="5" t="n">
        <v>5</v>
      </c>
      <c r="F43" s="5" t="s">
        <v>679</v>
      </c>
      <c r="G43" s="11" t="s">
        <v>680</v>
      </c>
      <c r="H43" s="5" t="s">
        <v>681</v>
      </c>
      <c r="I43" s="11" t="s">
        <v>682</v>
      </c>
      <c r="J43" s="5" t="s">
        <v>654</v>
      </c>
      <c r="K43" s="5" t="s">
        <v>654</v>
      </c>
      <c r="L43" s="11" t="s">
        <v>683</v>
      </c>
      <c r="M43" s="11" t="s">
        <v>684</v>
      </c>
      <c r="N43" s="5" t="n">
        <f aca="false">LEN(L43)</f>
        <v>25</v>
      </c>
      <c r="O43" s="5" t="n">
        <f aca="false">LEN(M43)</f>
        <v>25</v>
      </c>
      <c r="P43" s="12" t="n">
        <f aca="false">IF(N43=0,"",(N43-LEN(SUBSTITUTE(SUBSTITUTE(L43,"G",""),"C","")))/N43)</f>
        <v>0.48</v>
      </c>
      <c r="Q43" s="12" t="n">
        <f aca="false">IF(O43=0,"",(O43-LEN(SUBSTITUTE(SUBSTITUTE(M43,"G",""),"C","")))/O43)</f>
        <v>0.52</v>
      </c>
      <c r="R43" s="5"/>
      <c r="S43" s="5" t="s">
        <v>342</v>
      </c>
      <c r="T43" s="5"/>
      <c r="U43" s="5" t="s">
        <v>343</v>
      </c>
      <c r="V43" s="5" t="s">
        <v>598</v>
      </c>
      <c r="W43" s="5"/>
      <c r="X43" s="13" t="s">
        <v>345</v>
      </c>
      <c r="Y43" s="5"/>
    </row>
    <row r="44" customFormat="false" ht="15" hidden="false" customHeight="false" outlineLevel="0" collapsed="false">
      <c r="A44" s="5" t="s">
        <v>685</v>
      </c>
      <c r="B44" s="5" t="s">
        <v>70</v>
      </c>
      <c r="C44" s="5" t="s">
        <v>71</v>
      </c>
      <c r="D44" s="6" t="s">
        <v>45</v>
      </c>
      <c r="E44" s="5" t="n">
        <v>6</v>
      </c>
      <c r="F44" s="5" t="s">
        <v>686</v>
      </c>
      <c r="G44" s="11" t="s">
        <v>687</v>
      </c>
      <c r="H44" s="5" t="s">
        <v>688</v>
      </c>
      <c r="I44" s="11" t="s">
        <v>689</v>
      </c>
      <c r="J44" s="5" t="s">
        <v>654</v>
      </c>
      <c r="K44" s="5" t="s">
        <v>654</v>
      </c>
      <c r="L44" s="11" t="s">
        <v>690</v>
      </c>
      <c r="M44" s="11" t="s">
        <v>691</v>
      </c>
      <c r="N44" s="5" t="n">
        <f aca="false">LEN(L44)</f>
        <v>25</v>
      </c>
      <c r="O44" s="5" t="n">
        <f aca="false">LEN(M44)</f>
        <v>25</v>
      </c>
      <c r="P44" s="12" t="n">
        <f aca="false">IF(N44=0,"",(N44-LEN(SUBSTITUTE(SUBSTITUTE(L44,"G",""),"C","")))/N44)</f>
        <v>0.36</v>
      </c>
      <c r="Q44" s="12" t="n">
        <f aca="false">IF(O44=0,"",(O44-LEN(SUBSTITUTE(SUBSTITUTE(M44,"G",""),"C","")))/O44)</f>
        <v>0.4</v>
      </c>
      <c r="R44" s="5"/>
      <c r="S44" s="5" t="s">
        <v>342</v>
      </c>
      <c r="T44" s="5"/>
      <c r="U44" s="5" t="s">
        <v>343</v>
      </c>
      <c r="V44" s="5" t="s">
        <v>598</v>
      </c>
      <c r="W44" s="5"/>
      <c r="X44" s="13" t="s">
        <v>345</v>
      </c>
      <c r="Y44" s="5"/>
    </row>
    <row r="45" customFormat="false" ht="15" hidden="false" customHeight="false" outlineLevel="0" collapsed="false">
      <c r="A45" s="5" t="s">
        <v>692</v>
      </c>
      <c r="B45" s="5" t="s">
        <v>70</v>
      </c>
      <c r="C45" s="5" t="s">
        <v>71</v>
      </c>
      <c r="D45" s="6" t="s">
        <v>45</v>
      </c>
      <c r="E45" s="5" t="n">
        <v>7</v>
      </c>
      <c r="F45" s="5" t="s">
        <v>693</v>
      </c>
      <c r="G45" s="11" t="s">
        <v>694</v>
      </c>
      <c r="H45" s="5" t="s">
        <v>695</v>
      </c>
      <c r="I45" s="11" t="s">
        <v>696</v>
      </c>
      <c r="J45" s="5" t="s">
        <v>654</v>
      </c>
      <c r="K45" s="5" t="s">
        <v>654</v>
      </c>
      <c r="L45" s="11" t="s">
        <v>697</v>
      </c>
      <c r="M45" s="11" t="s">
        <v>698</v>
      </c>
      <c r="N45" s="5" t="n">
        <f aca="false">LEN(L45)</f>
        <v>25</v>
      </c>
      <c r="O45" s="5" t="n">
        <f aca="false">LEN(M45)</f>
        <v>25</v>
      </c>
      <c r="P45" s="12" t="n">
        <f aca="false">IF(N45=0,"",(N45-LEN(SUBSTITUTE(SUBSTITUTE(L45,"G",""),"C","")))/N45)</f>
        <v>0.24</v>
      </c>
      <c r="Q45" s="12" t="n">
        <f aca="false">IF(O45=0,"",(O45-LEN(SUBSTITUTE(SUBSTITUTE(M45,"G",""),"C","")))/O45)</f>
        <v>0.28</v>
      </c>
      <c r="R45" s="5"/>
      <c r="S45" s="5" t="s">
        <v>342</v>
      </c>
      <c r="T45" s="5"/>
      <c r="U45" s="5" t="s">
        <v>343</v>
      </c>
      <c r="V45" s="5" t="s">
        <v>598</v>
      </c>
      <c r="W45" s="5"/>
      <c r="X45" s="13" t="s">
        <v>345</v>
      </c>
      <c r="Y45" s="5"/>
    </row>
    <row r="46" customFormat="false" ht="15" hidden="false" customHeight="false" outlineLevel="0" collapsed="false">
      <c r="A46" s="5" t="s">
        <v>699</v>
      </c>
      <c r="B46" s="5" t="s">
        <v>70</v>
      </c>
      <c r="C46" s="5" t="s">
        <v>71</v>
      </c>
      <c r="D46" s="6" t="s">
        <v>45</v>
      </c>
      <c r="E46" s="5" t="n">
        <v>8</v>
      </c>
      <c r="F46" s="5" t="s">
        <v>700</v>
      </c>
      <c r="G46" s="11" t="s">
        <v>701</v>
      </c>
      <c r="H46" s="5" t="s">
        <v>702</v>
      </c>
      <c r="I46" s="11" t="s">
        <v>703</v>
      </c>
      <c r="J46" s="5" t="s">
        <v>654</v>
      </c>
      <c r="K46" s="5" t="s">
        <v>654</v>
      </c>
      <c r="L46" s="11" t="s">
        <v>704</v>
      </c>
      <c r="M46" s="11" t="s">
        <v>705</v>
      </c>
      <c r="N46" s="5" t="n">
        <f aca="false">LEN(L46)</f>
        <v>25</v>
      </c>
      <c r="O46" s="5" t="n">
        <f aca="false">LEN(M46)</f>
        <v>25</v>
      </c>
      <c r="P46" s="12" t="n">
        <f aca="false">IF(N46=0,"",(N46-LEN(SUBSTITUTE(SUBSTITUTE(L46,"G",""),"C","")))/N46)</f>
        <v>0.56</v>
      </c>
      <c r="Q46" s="12" t="n">
        <f aca="false">IF(O46=0,"",(O46-LEN(SUBSTITUTE(SUBSTITUTE(M46,"G",""),"C","")))/O46)</f>
        <v>0.48</v>
      </c>
      <c r="R46" s="5"/>
      <c r="S46" s="5" t="s">
        <v>342</v>
      </c>
      <c r="T46" s="5"/>
      <c r="U46" s="5" t="s">
        <v>343</v>
      </c>
      <c r="V46" s="5" t="s">
        <v>598</v>
      </c>
      <c r="W46" s="5"/>
      <c r="X46" s="13" t="s">
        <v>345</v>
      </c>
      <c r="Y46" s="5"/>
    </row>
    <row r="47" customFormat="false" ht="15" hidden="false" customHeight="false" outlineLevel="0" collapsed="false">
      <c r="A47" s="5" t="s">
        <v>706</v>
      </c>
      <c r="B47" s="5" t="s">
        <v>77</v>
      </c>
      <c r="C47" s="5" t="s">
        <v>78</v>
      </c>
      <c r="D47" s="6" t="s">
        <v>45</v>
      </c>
      <c r="E47" s="5" t="n">
        <v>1</v>
      </c>
      <c r="F47" s="5" t="s">
        <v>707</v>
      </c>
      <c r="G47" s="11" t="s">
        <v>708</v>
      </c>
      <c r="H47" s="5" t="s">
        <v>709</v>
      </c>
      <c r="I47" s="11" t="s">
        <v>710</v>
      </c>
      <c r="J47" s="5" t="s">
        <v>711</v>
      </c>
      <c r="K47" s="5" t="s">
        <v>712</v>
      </c>
      <c r="L47" s="11" t="s">
        <v>713</v>
      </c>
      <c r="M47" s="11" t="s">
        <v>714</v>
      </c>
      <c r="N47" s="5" t="n">
        <f aca="false">LEN(L47)</f>
        <v>25</v>
      </c>
      <c r="O47" s="5" t="n">
        <f aca="false">LEN(M47)</f>
        <v>25</v>
      </c>
      <c r="P47" s="12" t="n">
        <f aca="false">IF(N47=0,"",(N47-LEN(SUBSTITUTE(SUBSTITUTE(L47,"G",""),"C","")))/N47)</f>
        <v>0.44</v>
      </c>
      <c r="Q47" s="12" t="n">
        <f aca="false">IF(O47=0,"",(O47-LEN(SUBSTITUTE(SUBSTITUTE(M47,"G",""),"C","")))/O47)</f>
        <v>0.56</v>
      </c>
      <c r="R47" s="5"/>
      <c r="S47" s="5" t="s">
        <v>342</v>
      </c>
      <c r="T47" s="5"/>
      <c r="U47" s="5" t="s">
        <v>343</v>
      </c>
      <c r="V47" s="5" t="s">
        <v>401</v>
      </c>
      <c r="W47" s="5"/>
      <c r="X47" s="13" t="s">
        <v>345</v>
      </c>
      <c r="Y47" s="5"/>
    </row>
    <row r="48" customFormat="false" ht="15" hidden="false" customHeight="false" outlineLevel="0" collapsed="false">
      <c r="A48" s="5" t="s">
        <v>715</v>
      </c>
      <c r="B48" s="5" t="s">
        <v>77</v>
      </c>
      <c r="C48" s="5" t="s">
        <v>78</v>
      </c>
      <c r="D48" s="6" t="s">
        <v>45</v>
      </c>
      <c r="E48" s="5" t="n">
        <v>2</v>
      </c>
      <c r="F48" s="5" t="s">
        <v>716</v>
      </c>
      <c r="G48" s="11" t="s">
        <v>717</v>
      </c>
      <c r="H48" s="5" t="s">
        <v>718</v>
      </c>
      <c r="I48" s="11" t="s">
        <v>719</v>
      </c>
      <c r="J48" s="5" t="s">
        <v>720</v>
      </c>
      <c r="K48" s="5" t="s">
        <v>721</v>
      </c>
      <c r="L48" s="11" t="s">
        <v>722</v>
      </c>
      <c r="M48" s="11" t="s">
        <v>723</v>
      </c>
      <c r="N48" s="5" t="n">
        <f aca="false">LEN(L48)</f>
        <v>25</v>
      </c>
      <c r="O48" s="5" t="n">
        <f aca="false">LEN(M48)</f>
        <v>25</v>
      </c>
      <c r="P48" s="12" t="n">
        <f aca="false">IF(N48=0,"",(N48-LEN(SUBSTITUTE(SUBSTITUTE(L48,"G",""),"C","")))/N48)</f>
        <v>0.52</v>
      </c>
      <c r="Q48" s="12" t="n">
        <f aca="false">IF(O48=0,"",(O48-LEN(SUBSTITUTE(SUBSTITUTE(M48,"G",""),"C","")))/O48)</f>
        <v>0.6</v>
      </c>
      <c r="R48" s="5"/>
      <c r="S48" s="5" t="s">
        <v>342</v>
      </c>
      <c r="T48" s="5"/>
      <c r="U48" s="5" t="s">
        <v>343</v>
      </c>
      <c r="V48" s="5" t="s">
        <v>401</v>
      </c>
      <c r="W48" s="5"/>
      <c r="X48" s="13" t="s">
        <v>345</v>
      </c>
      <c r="Y48" s="5"/>
    </row>
    <row r="49" customFormat="false" ht="15" hidden="false" customHeight="false" outlineLevel="0" collapsed="false">
      <c r="A49" s="5" t="s">
        <v>724</v>
      </c>
      <c r="B49" s="5" t="s">
        <v>77</v>
      </c>
      <c r="C49" s="5" t="s">
        <v>78</v>
      </c>
      <c r="D49" s="6" t="s">
        <v>45</v>
      </c>
      <c r="E49" s="5" t="n">
        <v>3</v>
      </c>
      <c r="F49" s="5" t="s">
        <v>725</v>
      </c>
      <c r="G49" s="11" t="s">
        <v>726</v>
      </c>
      <c r="H49" s="5" t="s">
        <v>727</v>
      </c>
      <c r="I49" s="11" t="s">
        <v>728</v>
      </c>
      <c r="J49" s="5" t="s">
        <v>729</v>
      </c>
      <c r="K49" s="5" t="s">
        <v>730</v>
      </c>
      <c r="L49" s="11" t="s">
        <v>731</v>
      </c>
      <c r="M49" s="11" t="s">
        <v>732</v>
      </c>
      <c r="N49" s="5" t="n">
        <f aca="false">LEN(L49)</f>
        <v>25</v>
      </c>
      <c r="O49" s="5" t="n">
        <f aca="false">LEN(M49)</f>
        <v>25</v>
      </c>
      <c r="P49" s="12" t="n">
        <f aca="false">IF(N49=0,"",(N49-LEN(SUBSTITUTE(SUBSTITUTE(L49,"G",""),"C","")))/N49)</f>
        <v>0.4</v>
      </c>
      <c r="Q49" s="12" t="n">
        <f aca="false">IF(O49=0,"",(O49-LEN(SUBSTITUTE(SUBSTITUTE(M49,"G",""),"C","")))/O49)</f>
        <v>0.24</v>
      </c>
      <c r="R49" s="5"/>
      <c r="S49" s="5" t="s">
        <v>342</v>
      </c>
      <c r="T49" s="5"/>
      <c r="U49" s="5" t="s">
        <v>343</v>
      </c>
      <c r="V49" s="5" t="s">
        <v>401</v>
      </c>
      <c r="W49" s="5"/>
      <c r="X49" s="13" t="s">
        <v>345</v>
      </c>
      <c r="Y49" s="5"/>
    </row>
    <row r="50" customFormat="false" ht="15" hidden="false" customHeight="false" outlineLevel="0" collapsed="false">
      <c r="A50" s="5" t="s">
        <v>733</v>
      </c>
      <c r="B50" s="5" t="s">
        <v>77</v>
      </c>
      <c r="C50" s="5" t="s">
        <v>78</v>
      </c>
      <c r="D50" s="6" t="s">
        <v>45</v>
      </c>
      <c r="E50" s="5" t="n">
        <v>4</v>
      </c>
      <c r="F50" s="5" t="s">
        <v>734</v>
      </c>
      <c r="G50" s="11" t="s">
        <v>735</v>
      </c>
      <c r="H50" s="5" t="s">
        <v>736</v>
      </c>
      <c r="I50" s="11" t="s">
        <v>737</v>
      </c>
      <c r="J50" s="5" t="s">
        <v>738</v>
      </c>
      <c r="K50" s="5" t="s">
        <v>739</v>
      </c>
      <c r="L50" s="11" t="s">
        <v>740</v>
      </c>
      <c r="M50" s="11" t="s">
        <v>741</v>
      </c>
      <c r="N50" s="5" t="n">
        <f aca="false">LEN(L50)</f>
        <v>25</v>
      </c>
      <c r="O50" s="5" t="n">
        <f aca="false">LEN(M50)</f>
        <v>25</v>
      </c>
      <c r="P50" s="12" t="n">
        <f aca="false">IF(N50=0,"",(N50-LEN(SUBSTITUTE(SUBSTITUTE(L50,"G",""),"C","")))/N50)</f>
        <v>0.4</v>
      </c>
      <c r="Q50" s="12" t="n">
        <f aca="false">IF(O50=0,"",(O50-LEN(SUBSTITUTE(SUBSTITUTE(M50,"G",""),"C","")))/O50)</f>
        <v>0.44</v>
      </c>
      <c r="R50" s="5"/>
      <c r="S50" s="5" t="s">
        <v>342</v>
      </c>
      <c r="T50" s="5"/>
      <c r="U50" s="5" t="s">
        <v>343</v>
      </c>
      <c r="V50" s="5" t="s">
        <v>401</v>
      </c>
      <c r="W50" s="5"/>
      <c r="X50" s="13" t="s">
        <v>345</v>
      </c>
      <c r="Y50" s="5"/>
    </row>
    <row r="51" customFormat="false" ht="15" hidden="false" customHeight="false" outlineLevel="0" collapsed="false">
      <c r="A51" s="5" t="s">
        <v>742</v>
      </c>
      <c r="B51" s="5" t="s">
        <v>77</v>
      </c>
      <c r="C51" s="5" t="s">
        <v>78</v>
      </c>
      <c r="D51" s="6" t="s">
        <v>45</v>
      </c>
      <c r="E51" s="5" t="n">
        <v>5</v>
      </c>
      <c r="F51" s="5" t="s">
        <v>743</v>
      </c>
      <c r="G51" s="11" t="s">
        <v>744</v>
      </c>
      <c r="H51" s="5" t="s">
        <v>745</v>
      </c>
      <c r="I51" s="11" t="s">
        <v>746</v>
      </c>
      <c r="J51" s="5" t="s">
        <v>747</v>
      </c>
      <c r="K51" s="5" t="s">
        <v>748</v>
      </c>
      <c r="L51" s="11" t="s">
        <v>749</v>
      </c>
      <c r="M51" s="11" t="s">
        <v>750</v>
      </c>
      <c r="N51" s="5" t="n">
        <f aca="false">LEN(L51)</f>
        <v>25</v>
      </c>
      <c r="O51" s="5" t="n">
        <f aca="false">LEN(M51)</f>
        <v>25</v>
      </c>
      <c r="P51" s="12" t="n">
        <f aca="false">IF(N51=0,"",(N51-LEN(SUBSTITUTE(SUBSTITUTE(L51,"G",""),"C","")))/N51)</f>
        <v>0.4</v>
      </c>
      <c r="Q51" s="12" t="n">
        <f aca="false">IF(O51=0,"",(O51-LEN(SUBSTITUTE(SUBSTITUTE(M51,"G",""),"C","")))/O51)</f>
        <v>0.32</v>
      </c>
      <c r="R51" s="5"/>
      <c r="S51" s="5" t="s">
        <v>342</v>
      </c>
      <c r="T51" s="5"/>
      <c r="U51" s="5" t="s">
        <v>343</v>
      </c>
      <c r="V51" s="5" t="s">
        <v>401</v>
      </c>
      <c r="W51" s="5"/>
      <c r="X51" s="13" t="s">
        <v>345</v>
      </c>
      <c r="Y51" s="5"/>
    </row>
    <row r="52" customFormat="false" ht="15" hidden="false" customHeight="false" outlineLevel="0" collapsed="false">
      <c r="A52" s="5" t="s">
        <v>751</v>
      </c>
      <c r="B52" s="5" t="s">
        <v>77</v>
      </c>
      <c r="C52" s="5" t="s">
        <v>78</v>
      </c>
      <c r="D52" s="6" t="s">
        <v>45</v>
      </c>
      <c r="E52" s="5" t="n">
        <v>6</v>
      </c>
      <c r="F52" s="5" t="s">
        <v>752</v>
      </c>
      <c r="G52" s="11" t="s">
        <v>753</v>
      </c>
      <c r="H52" s="5" t="s">
        <v>754</v>
      </c>
      <c r="I52" s="11" t="s">
        <v>755</v>
      </c>
      <c r="J52" s="5" t="s">
        <v>756</v>
      </c>
      <c r="K52" s="5" t="s">
        <v>757</v>
      </c>
      <c r="L52" s="11" t="s">
        <v>758</v>
      </c>
      <c r="M52" s="11" t="s">
        <v>759</v>
      </c>
      <c r="N52" s="5" t="n">
        <f aca="false">LEN(L52)</f>
        <v>25</v>
      </c>
      <c r="O52" s="5" t="n">
        <f aca="false">LEN(M52)</f>
        <v>25</v>
      </c>
      <c r="P52" s="12" t="n">
        <f aca="false">IF(N52=0,"",(N52-LEN(SUBSTITUTE(SUBSTITUTE(L52,"G",""),"C","")))/N52)</f>
        <v>0.48</v>
      </c>
      <c r="Q52" s="12" t="n">
        <f aca="false">IF(O52=0,"",(O52-LEN(SUBSTITUTE(SUBSTITUTE(M52,"G",""),"C","")))/O52)</f>
        <v>0.44</v>
      </c>
      <c r="R52" s="5"/>
      <c r="S52" s="5" t="s">
        <v>342</v>
      </c>
      <c r="T52" s="5"/>
      <c r="U52" s="5" t="s">
        <v>343</v>
      </c>
      <c r="V52" s="5" t="s">
        <v>401</v>
      </c>
      <c r="W52" s="5"/>
      <c r="X52" s="13" t="s">
        <v>345</v>
      </c>
      <c r="Y52" s="5"/>
    </row>
    <row r="53" customFormat="false" ht="15" hidden="false" customHeight="false" outlineLevel="0" collapsed="false">
      <c r="A53" s="5" t="s">
        <v>760</v>
      </c>
      <c r="B53" s="5" t="s">
        <v>77</v>
      </c>
      <c r="C53" s="5" t="s">
        <v>78</v>
      </c>
      <c r="D53" s="6" t="s">
        <v>45</v>
      </c>
      <c r="E53" s="5" t="n">
        <v>7</v>
      </c>
      <c r="F53" s="5" t="s">
        <v>761</v>
      </c>
      <c r="G53" s="11" t="s">
        <v>762</v>
      </c>
      <c r="H53" s="5" t="s">
        <v>763</v>
      </c>
      <c r="I53" s="11" t="s">
        <v>764</v>
      </c>
      <c r="J53" s="5" t="s">
        <v>765</v>
      </c>
      <c r="K53" s="5" t="s">
        <v>766</v>
      </c>
      <c r="L53" s="11" t="s">
        <v>767</v>
      </c>
      <c r="M53" s="11" t="s">
        <v>768</v>
      </c>
      <c r="N53" s="5" t="n">
        <f aca="false">LEN(L53)</f>
        <v>25</v>
      </c>
      <c r="O53" s="5" t="n">
        <f aca="false">LEN(M53)</f>
        <v>25</v>
      </c>
      <c r="P53" s="12" t="n">
        <f aca="false">IF(N53=0,"",(N53-LEN(SUBSTITUTE(SUBSTITUTE(L53,"G",""),"C","")))/N53)</f>
        <v>0.2</v>
      </c>
      <c r="Q53" s="12" t="n">
        <f aca="false">IF(O53=0,"",(O53-LEN(SUBSTITUTE(SUBSTITUTE(M53,"G",""),"C","")))/O53)</f>
        <v>0.44</v>
      </c>
      <c r="R53" s="5"/>
      <c r="S53" s="5" t="s">
        <v>342</v>
      </c>
      <c r="T53" s="5"/>
      <c r="U53" s="5" t="s">
        <v>343</v>
      </c>
      <c r="V53" s="5" t="s">
        <v>401</v>
      </c>
      <c r="W53" s="5"/>
      <c r="X53" s="13" t="s">
        <v>345</v>
      </c>
      <c r="Y53" s="5"/>
    </row>
    <row r="54" customFormat="false" ht="15" hidden="false" customHeight="false" outlineLevel="0" collapsed="false">
      <c r="A54" s="5" t="s">
        <v>769</v>
      </c>
      <c r="B54" s="5" t="s">
        <v>77</v>
      </c>
      <c r="C54" s="5" t="s">
        <v>78</v>
      </c>
      <c r="D54" s="6" t="s">
        <v>45</v>
      </c>
      <c r="E54" s="5" t="n">
        <v>8</v>
      </c>
      <c r="F54" s="5" t="s">
        <v>770</v>
      </c>
      <c r="G54" s="11" t="s">
        <v>771</v>
      </c>
      <c r="H54" s="5" t="s">
        <v>772</v>
      </c>
      <c r="I54" s="11" t="s">
        <v>773</v>
      </c>
      <c r="J54" s="5" t="s">
        <v>774</v>
      </c>
      <c r="K54" s="5" t="s">
        <v>775</v>
      </c>
      <c r="L54" s="11" t="s">
        <v>776</v>
      </c>
      <c r="M54" s="11" t="s">
        <v>777</v>
      </c>
      <c r="N54" s="5" t="n">
        <f aca="false">LEN(L54)</f>
        <v>25</v>
      </c>
      <c r="O54" s="5" t="n">
        <f aca="false">LEN(M54)</f>
        <v>25</v>
      </c>
      <c r="P54" s="12" t="n">
        <f aca="false">IF(N54=0,"",(N54-LEN(SUBSTITUTE(SUBSTITUTE(L54,"G",""),"C","")))/N54)</f>
        <v>0.4</v>
      </c>
      <c r="Q54" s="12" t="n">
        <f aca="false">IF(O54=0,"",(O54-LEN(SUBSTITUTE(SUBSTITUTE(M54,"G",""),"C","")))/O54)</f>
        <v>0.44</v>
      </c>
      <c r="R54" s="5"/>
      <c r="S54" s="5" t="s">
        <v>342</v>
      </c>
      <c r="T54" s="5"/>
      <c r="U54" s="5" t="s">
        <v>343</v>
      </c>
      <c r="V54" s="5" t="s">
        <v>401</v>
      </c>
      <c r="W54" s="5"/>
      <c r="X54" s="13" t="s">
        <v>345</v>
      </c>
      <c r="Y54" s="5"/>
    </row>
    <row r="55" customFormat="false" ht="15" hidden="false" customHeight="false" outlineLevel="0" collapsed="false">
      <c r="A55" s="5" t="s">
        <v>778</v>
      </c>
      <c r="B55" s="5" t="s">
        <v>83</v>
      </c>
      <c r="C55" s="5" t="s">
        <v>84</v>
      </c>
      <c r="D55" s="6" t="s">
        <v>45</v>
      </c>
      <c r="E55" s="5" t="n">
        <v>1</v>
      </c>
      <c r="F55" s="5" t="s">
        <v>779</v>
      </c>
      <c r="G55" s="11" t="s">
        <v>780</v>
      </c>
      <c r="H55" s="5" t="s">
        <v>781</v>
      </c>
      <c r="I55" s="11" t="s">
        <v>782</v>
      </c>
      <c r="J55" s="5" t="s">
        <v>783</v>
      </c>
      <c r="K55" s="5" t="s">
        <v>784</v>
      </c>
      <c r="L55" s="11" t="s">
        <v>785</v>
      </c>
      <c r="M55" s="11" t="s">
        <v>786</v>
      </c>
      <c r="N55" s="5" t="n">
        <f aca="false">LEN(L55)</f>
        <v>25</v>
      </c>
      <c r="O55" s="5" t="n">
        <f aca="false">LEN(M55)</f>
        <v>25</v>
      </c>
      <c r="P55" s="12" t="n">
        <f aca="false">IF(N55=0,"",(N55-LEN(SUBSTITUTE(SUBSTITUTE(L55,"G",""),"C","")))/N55)</f>
        <v>0.96</v>
      </c>
      <c r="Q55" s="12" t="n">
        <f aca="false">IF(O55=0,"",(O55-LEN(SUBSTITUTE(SUBSTITUTE(M55,"G",""),"C","")))/O55)</f>
        <v>0.68</v>
      </c>
      <c r="R55" s="5"/>
      <c r="S55" s="5" t="s">
        <v>342</v>
      </c>
      <c r="T55" s="5"/>
      <c r="U55" s="5" t="s">
        <v>343</v>
      </c>
      <c r="V55" s="5" t="s">
        <v>344</v>
      </c>
      <c r="W55" s="5"/>
      <c r="X55" s="13" t="s">
        <v>345</v>
      </c>
      <c r="Y55" s="5"/>
    </row>
    <row r="56" customFormat="false" ht="15" hidden="false" customHeight="false" outlineLevel="0" collapsed="false">
      <c r="A56" s="5" t="s">
        <v>787</v>
      </c>
      <c r="B56" s="5" t="s">
        <v>83</v>
      </c>
      <c r="C56" s="5" t="s">
        <v>84</v>
      </c>
      <c r="D56" s="6" t="s">
        <v>45</v>
      </c>
      <c r="E56" s="5" t="n">
        <v>2</v>
      </c>
      <c r="F56" s="5" t="s">
        <v>788</v>
      </c>
      <c r="G56" s="11" t="s">
        <v>789</v>
      </c>
      <c r="H56" s="5" t="s">
        <v>790</v>
      </c>
      <c r="I56" s="11" t="s">
        <v>791</v>
      </c>
      <c r="J56" s="5" t="s">
        <v>792</v>
      </c>
      <c r="K56" s="5" t="s">
        <v>793</v>
      </c>
      <c r="L56" s="11" t="s">
        <v>794</v>
      </c>
      <c r="M56" s="11" t="s">
        <v>795</v>
      </c>
      <c r="N56" s="5" t="n">
        <f aca="false">LEN(L56)</f>
        <v>25</v>
      </c>
      <c r="O56" s="5" t="n">
        <f aca="false">LEN(M56)</f>
        <v>25</v>
      </c>
      <c r="P56" s="12" t="n">
        <f aca="false">IF(N56=0,"",(N56-LEN(SUBSTITUTE(SUBSTITUTE(L56,"G",""),"C","")))/N56)</f>
        <v>0.56</v>
      </c>
      <c r="Q56" s="12" t="n">
        <f aca="false">IF(O56=0,"",(O56-LEN(SUBSTITUTE(SUBSTITUTE(M56,"G",""),"C","")))/O56)</f>
        <v>0.48</v>
      </c>
      <c r="R56" s="5"/>
      <c r="S56" s="5" t="s">
        <v>342</v>
      </c>
      <c r="T56" s="5"/>
      <c r="U56" s="5" t="s">
        <v>382</v>
      </c>
      <c r="V56" s="5" t="s">
        <v>344</v>
      </c>
      <c r="W56" s="5"/>
      <c r="X56" s="8" t="s">
        <v>488</v>
      </c>
      <c r="Y56" s="5"/>
    </row>
    <row r="57" customFormat="false" ht="15" hidden="false" customHeight="false" outlineLevel="0" collapsed="false">
      <c r="A57" s="5" t="s">
        <v>796</v>
      </c>
      <c r="B57" s="5" t="s">
        <v>83</v>
      </c>
      <c r="C57" s="5" t="s">
        <v>84</v>
      </c>
      <c r="D57" s="6" t="s">
        <v>45</v>
      </c>
      <c r="E57" s="5" t="n">
        <v>3</v>
      </c>
      <c r="F57" s="5" t="s">
        <v>797</v>
      </c>
      <c r="G57" s="11" t="s">
        <v>798</v>
      </c>
      <c r="H57" s="5" t="s">
        <v>799</v>
      </c>
      <c r="I57" s="11" t="s">
        <v>800</v>
      </c>
      <c r="J57" s="5" t="s">
        <v>801</v>
      </c>
      <c r="K57" s="5" t="s">
        <v>802</v>
      </c>
      <c r="L57" s="11" t="s">
        <v>803</v>
      </c>
      <c r="M57" s="11" t="s">
        <v>804</v>
      </c>
      <c r="N57" s="5" t="n">
        <f aca="false">LEN(L57)</f>
        <v>25</v>
      </c>
      <c r="O57" s="5" t="n">
        <f aca="false">LEN(M57)</f>
        <v>25</v>
      </c>
      <c r="P57" s="12" t="n">
        <f aca="false">IF(N57=0,"",(N57-LEN(SUBSTITUTE(SUBSTITUTE(L57,"G",""),"C","")))/N57)</f>
        <v>0.52</v>
      </c>
      <c r="Q57" s="12" t="n">
        <f aca="false">IF(O57=0,"",(O57-LEN(SUBSTITUTE(SUBSTITUTE(M57,"G",""),"C","")))/O57)</f>
        <v>0.8</v>
      </c>
      <c r="R57" s="5"/>
      <c r="S57" s="5" t="s">
        <v>342</v>
      </c>
      <c r="T57" s="5"/>
      <c r="U57" s="5" t="s">
        <v>382</v>
      </c>
      <c r="V57" s="5" t="s">
        <v>344</v>
      </c>
      <c r="W57" s="5"/>
      <c r="X57" s="8" t="s">
        <v>383</v>
      </c>
      <c r="Y57" s="5"/>
    </row>
    <row r="58" customFormat="false" ht="15" hidden="false" customHeight="false" outlineLevel="0" collapsed="false">
      <c r="A58" s="5" t="s">
        <v>805</v>
      </c>
      <c r="B58" s="5" t="s">
        <v>83</v>
      </c>
      <c r="C58" s="5" t="s">
        <v>84</v>
      </c>
      <c r="D58" s="6" t="s">
        <v>45</v>
      </c>
      <c r="E58" s="5" t="n">
        <v>4</v>
      </c>
      <c r="F58" s="5" t="s">
        <v>806</v>
      </c>
      <c r="G58" s="11" t="s">
        <v>807</v>
      </c>
      <c r="H58" s="5" t="s">
        <v>808</v>
      </c>
      <c r="I58" s="11" t="s">
        <v>809</v>
      </c>
      <c r="J58" s="5" t="s">
        <v>810</v>
      </c>
      <c r="K58" s="5" t="s">
        <v>811</v>
      </c>
      <c r="L58" s="11" t="s">
        <v>812</v>
      </c>
      <c r="M58" s="11" t="s">
        <v>813</v>
      </c>
      <c r="N58" s="5" t="n">
        <f aca="false">LEN(L58)</f>
        <v>25</v>
      </c>
      <c r="O58" s="5" t="n">
        <f aca="false">LEN(M58)</f>
        <v>25</v>
      </c>
      <c r="P58" s="12" t="n">
        <f aca="false">IF(N58=0,"",(N58-LEN(SUBSTITUTE(SUBSTITUTE(L58,"G",""),"C","")))/N58)</f>
        <v>0.6</v>
      </c>
      <c r="Q58" s="12" t="n">
        <f aca="false">IF(O58=0,"",(O58-LEN(SUBSTITUTE(SUBSTITUTE(M58,"G",""),"C","")))/O58)</f>
        <v>0.64</v>
      </c>
      <c r="R58" s="5"/>
      <c r="S58" s="5" t="s">
        <v>342</v>
      </c>
      <c r="T58" s="5"/>
      <c r="U58" s="5" t="s">
        <v>382</v>
      </c>
      <c r="V58" s="5" t="s">
        <v>344</v>
      </c>
      <c r="W58" s="5"/>
      <c r="X58" s="8" t="s">
        <v>383</v>
      </c>
      <c r="Y58" s="5"/>
    </row>
    <row r="59" customFormat="false" ht="15" hidden="false" customHeight="false" outlineLevel="0" collapsed="false">
      <c r="A59" s="5" t="s">
        <v>814</v>
      </c>
      <c r="B59" s="5" t="s">
        <v>83</v>
      </c>
      <c r="C59" s="5" t="s">
        <v>84</v>
      </c>
      <c r="D59" s="6" t="s">
        <v>45</v>
      </c>
      <c r="E59" s="5" t="n">
        <v>5</v>
      </c>
      <c r="F59" s="5" t="s">
        <v>815</v>
      </c>
      <c r="G59" s="11" t="s">
        <v>816</v>
      </c>
      <c r="H59" s="5" t="s">
        <v>817</v>
      </c>
      <c r="I59" s="11" t="s">
        <v>818</v>
      </c>
      <c r="J59" s="5" t="s">
        <v>819</v>
      </c>
      <c r="K59" s="5" t="s">
        <v>820</v>
      </c>
      <c r="L59" s="11" t="s">
        <v>821</v>
      </c>
      <c r="M59" s="11" t="s">
        <v>822</v>
      </c>
      <c r="N59" s="5" t="n">
        <f aca="false">LEN(L59)</f>
        <v>25</v>
      </c>
      <c r="O59" s="5" t="n">
        <f aca="false">LEN(M59)</f>
        <v>25</v>
      </c>
      <c r="P59" s="12" t="n">
        <f aca="false">IF(N59=0,"",(N59-LEN(SUBSTITUTE(SUBSTITUTE(L59,"G",""),"C","")))/N59)</f>
        <v>0.64</v>
      </c>
      <c r="Q59" s="12" t="n">
        <f aca="false">IF(O59=0,"",(O59-LEN(SUBSTITUTE(SUBSTITUTE(M59,"G",""),"C","")))/O59)</f>
        <v>0.8</v>
      </c>
      <c r="R59" s="5"/>
      <c r="S59" s="5" t="s">
        <v>342</v>
      </c>
      <c r="T59" s="5"/>
      <c r="U59" s="5" t="s">
        <v>382</v>
      </c>
      <c r="V59" s="5" t="s">
        <v>344</v>
      </c>
      <c r="W59" s="5"/>
      <c r="X59" s="8" t="s">
        <v>393</v>
      </c>
      <c r="Y59" s="5"/>
    </row>
    <row r="60" customFormat="false" ht="15" hidden="false" customHeight="false" outlineLevel="0" collapsed="false">
      <c r="A60" s="5" t="s">
        <v>823</v>
      </c>
      <c r="B60" s="5" t="s">
        <v>83</v>
      </c>
      <c r="C60" s="5" t="s">
        <v>84</v>
      </c>
      <c r="D60" s="6" t="s">
        <v>45</v>
      </c>
      <c r="E60" s="5" t="n">
        <v>6</v>
      </c>
      <c r="F60" s="5" t="s">
        <v>824</v>
      </c>
      <c r="G60" s="11" t="s">
        <v>825</v>
      </c>
      <c r="H60" s="5" t="s">
        <v>826</v>
      </c>
      <c r="I60" s="11" t="s">
        <v>827</v>
      </c>
      <c r="J60" s="5" t="s">
        <v>828</v>
      </c>
      <c r="K60" s="5" t="s">
        <v>829</v>
      </c>
      <c r="L60" s="11" t="s">
        <v>830</v>
      </c>
      <c r="M60" s="11" t="s">
        <v>831</v>
      </c>
      <c r="N60" s="5" t="n">
        <f aca="false">LEN(L60)</f>
        <v>25</v>
      </c>
      <c r="O60" s="5" t="n">
        <f aca="false">LEN(M60)</f>
        <v>25</v>
      </c>
      <c r="P60" s="12" t="n">
        <f aca="false">IF(N60=0,"",(N60-LEN(SUBSTITUTE(SUBSTITUTE(L60,"G",""),"C","")))/N60)</f>
        <v>0.76</v>
      </c>
      <c r="Q60" s="12" t="n">
        <f aca="false">IF(O60=0,"",(O60-LEN(SUBSTITUTE(SUBSTITUTE(M60,"G",""),"C","")))/O60)</f>
        <v>0.8</v>
      </c>
      <c r="R60" s="5"/>
      <c r="S60" s="5" t="s">
        <v>342</v>
      </c>
      <c r="T60" s="5"/>
      <c r="U60" s="5" t="s">
        <v>832</v>
      </c>
      <c r="V60" s="5" t="s">
        <v>344</v>
      </c>
      <c r="W60" s="5"/>
      <c r="X60" s="8" t="s">
        <v>383</v>
      </c>
      <c r="Y60" s="8" t="s">
        <v>833</v>
      </c>
    </row>
    <row r="61" customFormat="false" ht="15" hidden="false" customHeight="false" outlineLevel="0" collapsed="false">
      <c r="A61" s="5" t="s">
        <v>834</v>
      </c>
      <c r="B61" s="5" t="s">
        <v>91</v>
      </c>
      <c r="C61" s="5" t="s">
        <v>92</v>
      </c>
      <c r="D61" s="6" t="s">
        <v>45</v>
      </c>
      <c r="E61" s="5" t="n">
        <v>1</v>
      </c>
      <c r="F61" s="5" t="s">
        <v>835</v>
      </c>
      <c r="G61" s="11" t="s">
        <v>836</v>
      </c>
      <c r="H61" s="5" t="s">
        <v>837</v>
      </c>
      <c r="I61" s="11" t="s">
        <v>838</v>
      </c>
      <c r="J61" s="5" t="s">
        <v>839</v>
      </c>
      <c r="K61" s="5" t="s">
        <v>840</v>
      </c>
      <c r="L61" s="11" t="s">
        <v>841</v>
      </c>
      <c r="M61" s="11" t="s">
        <v>842</v>
      </c>
      <c r="N61" s="5" t="n">
        <f aca="false">LEN(L61)</f>
        <v>25</v>
      </c>
      <c r="O61" s="5" t="n">
        <f aca="false">LEN(M61)</f>
        <v>25</v>
      </c>
      <c r="P61" s="12" t="n">
        <f aca="false">IF(N61=0,"",(N61-LEN(SUBSTITUTE(SUBSTITUTE(L61,"G",""),"C","")))/N61)</f>
        <v>0.72</v>
      </c>
      <c r="Q61" s="12" t="n">
        <f aca="false">IF(O61=0,"",(O61-LEN(SUBSTITUTE(SUBSTITUTE(M61,"G",""),"C","")))/O61)</f>
        <v>0.6</v>
      </c>
      <c r="R61" s="5"/>
      <c r="S61" s="5" t="s">
        <v>342</v>
      </c>
      <c r="T61" s="5"/>
      <c r="U61" s="5" t="s">
        <v>343</v>
      </c>
      <c r="V61" s="5" t="s">
        <v>843</v>
      </c>
      <c r="W61" s="5"/>
      <c r="X61" s="13" t="s">
        <v>345</v>
      </c>
      <c r="Y61" s="5"/>
    </row>
    <row r="62" customFormat="false" ht="15" hidden="false" customHeight="false" outlineLevel="0" collapsed="false">
      <c r="A62" s="5" t="s">
        <v>844</v>
      </c>
      <c r="B62" s="5" t="s">
        <v>91</v>
      </c>
      <c r="C62" s="5" t="s">
        <v>92</v>
      </c>
      <c r="D62" s="6" t="s">
        <v>45</v>
      </c>
      <c r="E62" s="5" t="n">
        <v>2</v>
      </c>
      <c r="F62" s="5" t="s">
        <v>845</v>
      </c>
      <c r="G62" s="11" t="s">
        <v>846</v>
      </c>
      <c r="H62" s="5" t="s">
        <v>847</v>
      </c>
      <c r="I62" s="11" t="s">
        <v>848</v>
      </c>
      <c r="J62" s="5" t="s">
        <v>849</v>
      </c>
      <c r="K62" s="5" t="s">
        <v>850</v>
      </c>
      <c r="L62" s="11" t="s">
        <v>851</v>
      </c>
      <c r="M62" s="11" t="s">
        <v>852</v>
      </c>
      <c r="N62" s="5" t="n">
        <f aca="false">LEN(L62)</f>
        <v>25</v>
      </c>
      <c r="O62" s="5" t="n">
        <f aca="false">LEN(M62)</f>
        <v>25</v>
      </c>
      <c r="P62" s="12" t="n">
        <f aca="false">IF(N62=0,"",(N62-LEN(SUBSTITUTE(SUBSTITUTE(L62,"G",""),"C","")))/N62)</f>
        <v>0.52</v>
      </c>
      <c r="Q62" s="12" t="n">
        <f aca="false">IF(O62=0,"",(O62-LEN(SUBSTITUTE(SUBSTITUTE(M62,"G",""),"C","")))/O62)</f>
        <v>0.56</v>
      </c>
      <c r="R62" s="5"/>
      <c r="S62" s="5" t="s">
        <v>342</v>
      </c>
      <c r="T62" s="5"/>
      <c r="U62" s="5" t="s">
        <v>343</v>
      </c>
      <c r="V62" s="5" t="s">
        <v>843</v>
      </c>
      <c r="W62" s="5"/>
      <c r="X62" s="13" t="s">
        <v>345</v>
      </c>
      <c r="Y62" s="5"/>
    </row>
    <row r="63" customFormat="false" ht="15" hidden="false" customHeight="false" outlineLevel="0" collapsed="false">
      <c r="A63" s="5" t="s">
        <v>853</v>
      </c>
      <c r="B63" s="5" t="s">
        <v>91</v>
      </c>
      <c r="C63" s="5" t="s">
        <v>92</v>
      </c>
      <c r="D63" s="6" t="s">
        <v>45</v>
      </c>
      <c r="E63" s="5" t="n">
        <v>3</v>
      </c>
      <c r="F63" s="5" t="s">
        <v>854</v>
      </c>
      <c r="G63" s="11" t="s">
        <v>855</v>
      </c>
      <c r="H63" s="5" t="s">
        <v>856</v>
      </c>
      <c r="I63" s="11" t="s">
        <v>857</v>
      </c>
      <c r="J63" s="5" t="s">
        <v>858</v>
      </c>
      <c r="K63" s="5" t="s">
        <v>859</v>
      </c>
      <c r="L63" s="11" t="s">
        <v>860</v>
      </c>
      <c r="M63" s="11" t="s">
        <v>861</v>
      </c>
      <c r="N63" s="5" t="n">
        <f aca="false">LEN(L63)</f>
        <v>25</v>
      </c>
      <c r="O63" s="5" t="n">
        <f aca="false">LEN(M63)</f>
        <v>25</v>
      </c>
      <c r="P63" s="12" t="n">
        <f aca="false">IF(N63=0,"",(N63-LEN(SUBSTITUTE(SUBSTITUTE(L63,"G",""),"C","")))/N63)</f>
        <v>0.64</v>
      </c>
      <c r="Q63" s="12" t="n">
        <f aca="false">IF(O63=0,"",(O63-LEN(SUBSTITUTE(SUBSTITUTE(M63,"G",""),"C","")))/O63)</f>
        <v>0.56</v>
      </c>
      <c r="R63" s="5"/>
      <c r="S63" s="5" t="s">
        <v>342</v>
      </c>
      <c r="T63" s="5"/>
      <c r="U63" s="5" t="s">
        <v>343</v>
      </c>
      <c r="V63" s="5" t="s">
        <v>843</v>
      </c>
      <c r="W63" s="5"/>
      <c r="X63" s="13" t="s">
        <v>345</v>
      </c>
      <c r="Y63" s="5"/>
    </row>
    <row r="64" customFormat="false" ht="15" hidden="false" customHeight="false" outlineLevel="0" collapsed="false">
      <c r="A64" s="5" t="s">
        <v>862</v>
      </c>
      <c r="B64" s="5" t="s">
        <v>91</v>
      </c>
      <c r="C64" s="5" t="s">
        <v>92</v>
      </c>
      <c r="D64" s="6" t="s">
        <v>45</v>
      </c>
      <c r="E64" s="5" t="n">
        <v>4</v>
      </c>
      <c r="F64" s="5" t="s">
        <v>863</v>
      </c>
      <c r="G64" s="11" t="s">
        <v>864</v>
      </c>
      <c r="H64" s="5" t="s">
        <v>865</v>
      </c>
      <c r="I64" s="11" t="s">
        <v>866</v>
      </c>
      <c r="J64" s="5" t="s">
        <v>867</v>
      </c>
      <c r="K64" s="5" t="s">
        <v>868</v>
      </c>
      <c r="L64" s="11" t="s">
        <v>869</v>
      </c>
      <c r="M64" s="11" t="s">
        <v>870</v>
      </c>
      <c r="N64" s="5" t="n">
        <f aca="false">LEN(L64)</f>
        <v>25</v>
      </c>
      <c r="O64" s="5" t="n">
        <f aca="false">LEN(M64)</f>
        <v>25</v>
      </c>
      <c r="P64" s="12" t="n">
        <f aca="false">IF(N64=0,"",(N64-LEN(SUBSTITUTE(SUBSTITUTE(L64,"G",""),"C","")))/N64)</f>
        <v>0.68</v>
      </c>
      <c r="Q64" s="12" t="n">
        <f aca="false">IF(O64=0,"",(O64-LEN(SUBSTITUTE(SUBSTITUTE(M64,"G",""),"C","")))/O64)</f>
        <v>0.52</v>
      </c>
      <c r="R64" s="5"/>
      <c r="S64" s="5" t="s">
        <v>342</v>
      </c>
      <c r="T64" s="5"/>
      <c r="U64" s="5" t="s">
        <v>343</v>
      </c>
      <c r="V64" s="5" t="s">
        <v>843</v>
      </c>
      <c r="W64" s="5"/>
      <c r="X64" s="13" t="s">
        <v>345</v>
      </c>
      <c r="Y64" s="5"/>
    </row>
    <row r="65" customFormat="false" ht="15" hidden="false" customHeight="false" outlineLevel="0" collapsed="false">
      <c r="A65" s="5" t="s">
        <v>871</v>
      </c>
      <c r="B65" s="5" t="s">
        <v>98</v>
      </c>
      <c r="C65" s="5" t="s">
        <v>99</v>
      </c>
      <c r="D65" s="6" t="s">
        <v>45</v>
      </c>
      <c r="E65" s="5" t="n">
        <v>1</v>
      </c>
      <c r="F65" s="5" t="s">
        <v>872</v>
      </c>
      <c r="G65" s="11" t="s">
        <v>873</v>
      </c>
      <c r="H65" s="5" t="s">
        <v>874</v>
      </c>
      <c r="I65" s="11" t="s">
        <v>875</v>
      </c>
      <c r="J65" s="5" t="s">
        <v>876</v>
      </c>
      <c r="K65" s="5" t="s">
        <v>877</v>
      </c>
      <c r="L65" s="11" t="s">
        <v>878</v>
      </c>
      <c r="M65" s="11" t="s">
        <v>879</v>
      </c>
      <c r="N65" s="5" t="n">
        <f aca="false">LEN(L65)</f>
        <v>25</v>
      </c>
      <c r="O65" s="5" t="n">
        <f aca="false">LEN(M65)</f>
        <v>25</v>
      </c>
      <c r="P65" s="12" t="n">
        <f aca="false">IF(N65=0,"",(N65-LEN(SUBSTITUTE(SUBSTITUTE(L65,"G",""),"C","")))/N65)</f>
        <v>0.52</v>
      </c>
      <c r="Q65" s="12" t="n">
        <f aca="false">IF(O65=0,"",(O65-LEN(SUBSTITUTE(SUBSTITUTE(M65,"G",""),"C","")))/O65)</f>
        <v>0.48</v>
      </c>
      <c r="R65" s="5"/>
      <c r="S65" s="5" t="s">
        <v>342</v>
      </c>
      <c r="T65" s="5"/>
      <c r="U65" s="5" t="s">
        <v>343</v>
      </c>
      <c r="V65" s="5" t="s">
        <v>880</v>
      </c>
      <c r="W65" s="5"/>
      <c r="X65" s="13" t="s">
        <v>345</v>
      </c>
      <c r="Y65" s="5"/>
    </row>
    <row r="66" customFormat="false" ht="15" hidden="false" customHeight="false" outlineLevel="0" collapsed="false">
      <c r="A66" s="5" t="s">
        <v>881</v>
      </c>
      <c r="B66" s="5" t="s">
        <v>98</v>
      </c>
      <c r="C66" s="5" t="s">
        <v>99</v>
      </c>
      <c r="D66" s="6" t="s">
        <v>45</v>
      </c>
      <c r="E66" s="5" t="n">
        <v>2</v>
      </c>
      <c r="F66" s="5" t="s">
        <v>882</v>
      </c>
      <c r="G66" s="11" t="s">
        <v>883</v>
      </c>
      <c r="H66" s="5" t="s">
        <v>884</v>
      </c>
      <c r="I66" s="11" t="s">
        <v>885</v>
      </c>
      <c r="J66" s="5" t="s">
        <v>876</v>
      </c>
      <c r="K66" s="5" t="s">
        <v>877</v>
      </c>
      <c r="L66" s="11" t="s">
        <v>886</v>
      </c>
      <c r="M66" s="11" t="s">
        <v>887</v>
      </c>
      <c r="N66" s="5" t="n">
        <f aca="false">LEN(L66)</f>
        <v>25</v>
      </c>
      <c r="O66" s="5" t="n">
        <f aca="false">LEN(M66)</f>
        <v>25</v>
      </c>
      <c r="P66" s="12" t="n">
        <f aca="false">IF(N66=0,"",(N66-LEN(SUBSTITUTE(SUBSTITUTE(L66,"G",""),"C","")))/N66)</f>
        <v>0.52</v>
      </c>
      <c r="Q66" s="12" t="n">
        <f aca="false">IF(O66=0,"",(O66-LEN(SUBSTITUTE(SUBSTITUTE(M66,"G",""),"C","")))/O66)</f>
        <v>0.44</v>
      </c>
      <c r="R66" s="5"/>
      <c r="S66" s="5" t="s">
        <v>342</v>
      </c>
      <c r="T66" s="5"/>
      <c r="U66" s="5" t="s">
        <v>343</v>
      </c>
      <c r="V66" s="5" t="s">
        <v>880</v>
      </c>
      <c r="W66" s="5"/>
      <c r="X66" s="13" t="s">
        <v>345</v>
      </c>
      <c r="Y66" s="5"/>
    </row>
    <row r="67" customFormat="false" ht="15" hidden="false" customHeight="false" outlineLevel="0" collapsed="false">
      <c r="A67" s="5" t="s">
        <v>888</v>
      </c>
      <c r="B67" s="5" t="s">
        <v>98</v>
      </c>
      <c r="C67" s="5" t="s">
        <v>99</v>
      </c>
      <c r="D67" s="6" t="s">
        <v>45</v>
      </c>
      <c r="E67" s="5" t="n">
        <v>3</v>
      </c>
      <c r="F67" s="5" t="s">
        <v>889</v>
      </c>
      <c r="G67" s="11" t="s">
        <v>890</v>
      </c>
      <c r="H67" s="5" t="s">
        <v>891</v>
      </c>
      <c r="I67" s="11" t="s">
        <v>892</v>
      </c>
      <c r="J67" s="5" t="s">
        <v>876</v>
      </c>
      <c r="K67" s="5" t="s">
        <v>877</v>
      </c>
      <c r="L67" s="11" t="s">
        <v>893</v>
      </c>
      <c r="M67" s="11" t="s">
        <v>894</v>
      </c>
      <c r="N67" s="5" t="n">
        <f aca="false">LEN(L67)</f>
        <v>25</v>
      </c>
      <c r="O67" s="5" t="n">
        <f aca="false">LEN(M67)</f>
        <v>25</v>
      </c>
      <c r="P67" s="12" t="n">
        <f aca="false">IF(N67=0,"",(N67-LEN(SUBSTITUTE(SUBSTITUTE(L67,"G",""),"C","")))/N67)</f>
        <v>0.44</v>
      </c>
      <c r="Q67" s="12" t="n">
        <f aca="false">IF(O67=0,"",(O67-LEN(SUBSTITUTE(SUBSTITUTE(M67,"G",""),"C","")))/O67)</f>
        <v>0.6</v>
      </c>
      <c r="R67" s="5"/>
      <c r="S67" s="5" t="s">
        <v>342</v>
      </c>
      <c r="T67" s="5"/>
      <c r="U67" s="5" t="s">
        <v>343</v>
      </c>
      <c r="V67" s="5" t="s">
        <v>880</v>
      </c>
      <c r="W67" s="5"/>
      <c r="X67" s="13" t="s">
        <v>345</v>
      </c>
      <c r="Y67" s="5"/>
    </row>
    <row r="68" customFormat="false" ht="15" hidden="false" customHeight="false" outlineLevel="0" collapsed="false">
      <c r="A68" s="5" t="s">
        <v>895</v>
      </c>
      <c r="B68" s="5" t="s">
        <v>98</v>
      </c>
      <c r="C68" s="5" t="s">
        <v>99</v>
      </c>
      <c r="D68" s="6" t="s">
        <v>45</v>
      </c>
      <c r="E68" s="5" t="n">
        <v>4</v>
      </c>
      <c r="F68" s="5" t="s">
        <v>896</v>
      </c>
      <c r="G68" s="11" t="s">
        <v>897</v>
      </c>
      <c r="H68" s="5" t="s">
        <v>898</v>
      </c>
      <c r="I68" s="11" t="s">
        <v>899</v>
      </c>
      <c r="J68" s="5" t="s">
        <v>876</v>
      </c>
      <c r="K68" s="5" t="s">
        <v>877</v>
      </c>
      <c r="L68" s="11" t="s">
        <v>900</v>
      </c>
      <c r="M68" s="11" t="s">
        <v>901</v>
      </c>
      <c r="N68" s="5" t="n">
        <f aca="false">LEN(L68)</f>
        <v>25</v>
      </c>
      <c r="O68" s="5" t="n">
        <f aca="false">LEN(M68)</f>
        <v>25</v>
      </c>
      <c r="P68" s="12" t="n">
        <f aca="false">IF(N68=0,"",(N68-LEN(SUBSTITUTE(SUBSTITUTE(L68,"G",""),"C","")))/N68)</f>
        <v>0.44</v>
      </c>
      <c r="Q68" s="12" t="n">
        <f aca="false">IF(O68=0,"",(O68-LEN(SUBSTITUTE(SUBSTITUTE(M68,"G",""),"C","")))/O68)</f>
        <v>0.4</v>
      </c>
      <c r="R68" s="5"/>
      <c r="S68" s="5" t="s">
        <v>342</v>
      </c>
      <c r="T68" s="5"/>
      <c r="U68" s="5" t="s">
        <v>343</v>
      </c>
      <c r="V68" s="5" t="s">
        <v>880</v>
      </c>
      <c r="W68" s="5"/>
      <c r="X68" s="13" t="s">
        <v>345</v>
      </c>
      <c r="Y68" s="5"/>
    </row>
    <row r="69" customFormat="false" ht="15" hidden="false" customHeight="false" outlineLevel="0" collapsed="false">
      <c r="A69" s="5" t="s">
        <v>902</v>
      </c>
      <c r="B69" s="5" t="s">
        <v>98</v>
      </c>
      <c r="C69" s="5" t="s">
        <v>99</v>
      </c>
      <c r="D69" s="6" t="s">
        <v>45</v>
      </c>
      <c r="E69" s="5" t="n">
        <v>5</v>
      </c>
      <c r="F69" s="5" t="s">
        <v>903</v>
      </c>
      <c r="G69" s="11" t="s">
        <v>904</v>
      </c>
      <c r="H69" s="5" t="s">
        <v>905</v>
      </c>
      <c r="I69" s="11" t="s">
        <v>906</v>
      </c>
      <c r="J69" s="5" t="s">
        <v>876</v>
      </c>
      <c r="K69" s="5" t="s">
        <v>877</v>
      </c>
      <c r="L69" s="11" t="s">
        <v>907</v>
      </c>
      <c r="M69" s="11" t="s">
        <v>908</v>
      </c>
      <c r="N69" s="5" t="n">
        <f aca="false">LEN(L69)</f>
        <v>25</v>
      </c>
      <c r="O69" s="5" t="n">
        <f aca="false">LEN(M69)</f>
        <v>25</v>
      </c>
      <c r="P69" s="12" t="n">
        <f aca="false">IF(N69=0,"",(N69-LEN(SUBSTITUTE(SUBSTITUTE(L69,"G",""),"C","")))/N69)</f>
        <v>0.56</v>
      </c>
      <c r="Q69" s="12" t="n">
        <f aca="false">IF(O69=0,"",(O69-LEN(SUBSTITUTE(SUBSTITUTE(M69,"G",""),"C","")))/O69)</f>
        <v>0.36</v>
      </c>
      <c r="R69" s="5"/>
      <c r="S69" s="5" t="s">
        <v>342</v>
      </c>
      <c r="T69" s="5"/>
      <c r="U69" s="5" t="s">
        <v>343</v>
      </c>
      <c r="V69" s="5" t="s">
        <v>880</v>
      </c>
      <c r="W69" s="5"/>
      <c r="X69" s="13" t="s">
        <v>345</v>
      </c>
      <c r="Y69" s="5"/>
    </row>
    <row r="70" customFormat="false" ht="15" hidden="false" customHeight="false" outlineLevel="0" collapsed="false">
      <c r="A70" s="5" t="s">
        <v>909</v>
      </c>
      <c r="B70" s="5" t="s">
        <v>98</v>
      </c>
      <c r="C70" s="5" t="s">
        <v>99</v>
      </c>
      <c r="D70" s="6" t="s">
        <v>45</v>
      </c>
      <c r="E70" s="5" t="n">
        <v>6</v>
      </c>
      <c r="F70" s="5" t="s">
        <v>910</v>
      </c>
      <c r="G70" s="11" t="s">
        <v>911</v>
      </c>
      <c r="H70" s="5" t="s">
        <v>912</v>
      </c>
      <c r="I70" s="11" t="s">
        <v>913</v>
      </c>
      <c r="J70" s="5" t="s">
        <v>876</v>
      </c>
      <c r="K70" s="5" t="s">
        <v>877</v>
      </c>
      <c r="L70" s="11" t="s">
        <v>914</v>
      </c>
      <c r="M70" s="11" t="s">
        <v>915</v>
      </c>
      <c r="N70" s="5" t="n">
        <f aca="false">LEN(L70)</f>
        <v>25</v>
      </c>
      <c r="O70" s="5" t="n">
        <f aca="false">LEN(M70)</f>
        <v>25</v>
      </c>
      <c r="P70" s="12" t="n">
        <f aca="false">IF(N70=0,"",(N70-LEN(SUBSTITUTE(SUBSTITUTE(L70,"G",""),"C","")))/N70)</f>
        <v>0.32</v>
      </c>
      <c r="Q70" s="12" t="n">
        <f aca="false">IF(O70=0,"",(O70-LEN(SUBSTITUTE(SUBSTITUTE(M70,"G",""),"C","")))/O70)</f>
        <v>0.52</v>
      </c>
      <c r="R70" s="5"/>
      <c r="S70" s="5" t="s">
        <v>342</v>
      </c>
      <c r="T70" s="5"/>
      <c r="U70" s="5" t="s">
        <v>832</v>
      </c>
      <c r="V70" s="5" t="s">
        <v>880</v>
      </c>
      <c r="W70" s="5"/>
      <c r="X70" s="8" t="s">
        <v>393</v>
      </c>
      <c r="Y70" s="8" t="s">
        <v>833</v>
      </c>
    </row>
    <row r="71" customFormat="false" ht="15" hidden="false" customHeight="false" outlineLevel="0" collapsed="false">
      <c r="A71" s="5" t="s">
        <v>916</v>
      </c>
      <c r="B71" s="5" t="s">
        <v>105</v>
      </c>
      <c r="C71" s="5" t="s">
        <v>106</v>
      </c>
      <c r="D71" s="6" t="s">
        <v>45</v>
      </c>
      <c r="E71" s="5" t="n">
        <v>1</v>
      </c>
      <c r="F71" s="5" t="s">
        <v>917</v>
      </c>
      <c r="G71" s="11" t="s">
        <v>918</v>
      </c>
      <c r="H71" s="5" t="s">
        <v>919</v>
      </c>
      <c r="I71" s="11" t="s">
        <v>920</v>
      </c>
      <c r="J71" s="5" t="s">
        <v>921</v>
      </c>
      <c r="K71" s="5" t="s">
        <v>922</v>
      </c>
      <c r="L71" s="11" t="s">
        <v>923</v>
      </c>
      <c r="M71" s="11" t="s">
        <v>924</v>
      </c>
      <c r="N71" s="5" t="n">
        <f aca="false">LEN(L71)</f>
        <v>25</v>
      </c>
      <c r="O71" s="5" t="n">
        <f aca="false">LEN(M71)</f>
        <v>25</v>
      </c>
      <c r="P71" s="12" t="n">
        <f aca="false">IF(N71=0,"",(N71-LEN(SUBSTITUTE(SUBSTITUTE(L71,"G",""),"C","")))/N71)</f>
        <v>0.24</v>
      </c>
      <c r="Q71" s="12" t="n">
        <f aca="false">IF(O71=0,"",(O71-LEN(SUBSTITUTE(SUBSTITUTE(M71,"G",""),"C","")))/O71)</f>
        <v>0.52</v>
      </c>
      <c r="R71" s="5"/>
      <c r="S71" s="5" t="s">
        <v>342</v>
      </c>
      <c r="T71" s="5"/>
      <c r="U71" s="5" t="s">
        <v>343</v>
      </c>
      <c r="V71" s="5" t="s">
        <v>401</v>
      </c>
      <c r="W71" s="5"/>
      <c r="X71" s="13" t="s">
        <v>345</v>
      </c>
      <c r="Y71" s="5"/>
    </row>
    <row r="72" customFormat="false" ht="15" hidden="false" customHeight="false" outlineLevel="0" collapsed="false">
      <c r="A72" s="5" t="s">
        <v>925</v>
      </c>
      <c r="B72" s="5" t="s">
        <v>105</v>
      </c>
      <c r="C72" s="5" t="s">
        <v>106</v>
      </c>
      <c r="D72" s="6" t="s">
        <v>45</v>
      </c>
      <c r="E72" s="5" t="n">
        <v>2</v>
      </c>
      <c r="F72" s="5" t="s">
        <v>926</v>
      </c>
      <c r="G72" s="11" t="s">
        <v>927</v>
      </c>
      <c r="H72" s="5" t="s">
        <v>928</v>
      </c>
      <c r="I72" s="11" t="s">
        <v>929</v>
      </c>
      <c r="J72" s="5" t="s">
        <v>930</v>
      </c>
      <c r="K72" s="5" t="s">
        <v>931</v>
      </c>
      <c r="L72" s="11" t="s">
        <v>932</v>
      </c>
      <c r="M72" s="11" t="s">
        <v>933</v>
      </c>
      <c r="N72" s="5" t="n">
        <f aca="false">LEN(L72)</f>
        <v>25</v>
      </c>
      <c r="O72" s="5" t="n">
        <f aca="false">LEN(M72)</f>
        <v>25</v>
      </c>
      <c r="P72" s="12" t="n">
        <f aca="false">IF(N72=0,"",(N72-LEN(SUBSTITUTE(SUBSTITUTE(L72,"G",""),"C","")))/N72)</f>
        <v>0.32</v>
      </c>
      <c r="Q72" s="12" t="n">
        <f aca="false">IF(O72=0,"",(O72-LEN(SUBSTITUTE(SUBSTITUTE(M72,"G",""),"C","")))/O72)</f>
        <v>0.28</v>
      </c>
      <c r="R72" s="5"/>
      <c r="S72" s="5" t="s">
        <v>342</v>
      </c>
      <c r="T72" s="5"/>
      <c r="U72" s="5" t="s">
        <v>343</v>
      </c>
      <c r="V72" s="5" t="s">
        <v>401</v>
      </c>
      <c r="W72" s="5"/>
      <c r="X72" s="13" t="s">
        <v>345</v>
      </c>
      <c r="Y72" s="5"/>
    </row>
    <row r="73" customFormat="false" ht="15" hidden="false" customHeight="false" outlineLevel="0" collapsed="false">
      <c r="A73" s="5" t="s">
        <v>934</v>
      </c>
      <c r="B73" s="5" t="s">
        <v>105</v>
      </c>
      <c r="C73" s="5" t="s">
        <v>106</v>
      </c>
      <c r="D73" s="6" t="s">
        <v>45</v>
      </c>
      <c r="E73" s="5" t="n">
        <v>3</v>
      </c>
      <c r="F73" s="5" t="s">
        <v>935</v>
      </c>
      <c r="G73" s="11" t="s">
        <v>936</v>
      </c>
      <c r="H73" s="5" t="s">
        <v>937</v>
      </c>
      <c r="I73" s="11" t="s">
        <v>938</v>
      </c>
      <c r="J73" s="5" t="s">
        <v>939</v>
      </c>
      <c r="K73" s="5" t="s">
        <v>940</v>
      </c>
      <c r="L73" s="11" t="s">
        <v>941</v>
      </c>
      <c r="M73" s="11" t="s">
        <v>942</v>
      </c>
      <c r="N73" s="5" t="n">
        <f aca="false">LEN(L73)</f>
        <v>25</v>
      </c>
      <c r="O73" s="5" t="n">
        <f aca="false">LEN(M73)</f>
        <v>25</v>
      </c>
      <c r="P73" s="12" t="n">
        <f aca="false">IF(N73=0,"",(N73-LEN(SUBSTITUTE(SUBSTITUTE(L73,"G",""),"C","")))/N73)</f>
        <v>0.32</v>
      </c>
      <c r="Q73" s="12" t="n">
        <f aca="false">IF(O73=0,"",(O73-LEN(SUBSTITUTE(SUBSTITUTE(M73,"G",""),"C","")))/O73)</f>
        <v>0.44</v>
      </c>
      <c r="R73" s="5"/>
      <c r="S73" s="5" t="s">
        <v>342</v>
      </c>
      <c r="T73" s="5"/>
      <c r="U73" s="5" t="s">
        <v>382</v>
      </c>
      <c r="V73" s="5" t="s">
        <v>401</v>
      </c>
      <c r="W73" s="5"/>
      <c r="X73" s="8" t="s">
        <v>488</v>
      </c>
      <c r="Y73" s="5"/>
    </row>
    <row r="74" customFormat="false" ht="15" hidden="false" customHeight="false" outlineLevel="0" collapsed="false">
      <c r="A74" s="5" t="s">
        <v>943</v>
      </c>
      <c r="B74" s="5" t="s">
        <v>105</v>
      </c>
      <c r="C74" s="5" t="s">
        <v>106</v>
      </c>
      <c r="D74" s="6" t="s">
        <v>45</v>
      </c>
      <c r="E74" s="5" t="n">
        <v>4</v>
      </c>
      <c r="F74" s="5" t="s">
        <v>944</v>
      </c>
      <c r="G74" s="11" t="s">
        <v>945</v>
      </c>
      <c r="H74" s="5" t="s">
        <v>946</v>
      </c>
      <c r="I74" s="11" t="s">
        <v>947</v>
      </c>
      <c r="J74" s="5" t="s">
        <v>948</v>
      </c>
      <c r="K74" s="5" t="s">
        <v>949</v>
      </c>
      <c r="L74" s="11" t="s">
        <v>950</v>
      </c>
      <c r="M74" s="11" t="s">
        <v>951</v>
      </c>
      <c r="N74" s="5" t="n">
        <f aca="false">LEN(L74)</f>
        <v>25</v>
      </c>
      <c r="O74" s="5" t="n">
        <f aca="false">LEN(M74)</f>
        <v>25</v>
      </c>
      <c r="P74" s="12" t="n">
        <f aca="false">IF(N74=0,"",(N74-LEN(SUBSTITUTE(SUBSTITUTE(L74,"G",""),"C","")))/N74)</f>
        <v>0.48</v>
      </c>
      <c r="Q74" s="12" t="n">
        <f aca="false">IF(O74=0,"",(O74-LEN(SUBSTITUTE(SUBSTITUTE(M74,"G",""),"C","")))/O74)</f>
        <v>0.56</v>
      </c>
      <c r="R74" s="5"/>
      <c r="S74" s="5" t="s">
        <v>342</v>
      </c>
      <c r="T74" s="5"/>
      <c r="U74" s="5" t="s">
        <v>343</v>
      </c>
      <c r="V74" s="5" t="s">
        <v>401</v>
      </c>
      <c r="W74" s="5"/>
      <c r="X74" s="13" t="s">
        <v>345</v>
      </c>
      <c r="Y74" s="5"/>
    </row>
    <row r="75" customFormat="false" ht="15" hidden="false" customHeight="false" outlineLevel="0" collapsed="false">
      <c r="A75" s="5" t="s">
        <v>952</v>
      </c>
      <c r="B75" s="5" t="s">
        <v>105</v>
      </c>
      <c r="C75" s="5" t="s">
        <v>106</v>
      </c>
      <c r="D75" s="6" t="s">
        <v>45</v>
      </c>
      <c r="E75" s="5" t="n">
        <v>5</v>
      </c>
      <c r="F75" s="5" t="s">
        <v>953</v>
      </c>
      <c r="G75" s="11" t="s">
        <v>954</v>
      </c>
      <c r="H75" s="5" t="s">
        <v>955</v>
      </c>
      <c r="I75" s="11" t="s">
        <v>956</v>
      </c>
      <c r="J75" s="5" t="s">
        <v>957</v>
      </c>
      <c r="K75" s="5" t="s">
        <v>958</v>
      </c>
      <c r="L75" s="11" t="s">
        <v>959</v>
      </c>
      <c r="M75" s="11" t="s">
        <v>960</v>
      </c>
      <c r="N75" s="5" t="n">
        <f aca="false">LEN(L75)</f>
        <v>25</v>
      </c>
      <c r="O75" s="5" t="n">
        <f aca="false">LEN(M75)</f>
        <v>25</v>
      </c>
      <c r="P75" s="12" t="n">
        <f aca="false">IF(N75=0,"",(N75-LEN(SUBSTITUTE(SUBSTITUTE(L75,"G",""),"C","")))/N75)</f>
        <v>0.44</v>
      </c>
      <c r="Q75" s="12" t="n">
        <f aca="false">IF(O75=0,"",(O75-LEN(SUBSTITUTE(SUBSTITUTE(M75,"G",""),"C","")))/O75)</f>
        <v>0.48</v>
      </c>
      <c r="R75" s="5"/>
      <c r="S75" s="5" t="s">
        <v>342</v>
      </c>
      <c r="T75" s="5"/>
      <c r="U75" s="5" t="s">
        <v>343</v>
      </c>
      <c r="V75" s="5" t="s">
        <v>401</v>
      </c>
      <c r="W75" s="5"/>
      <c r="X75" s="13" t="s">
        <v>345</v>
      </c>
      <c r="Y75" s="5"/>
    </row>
    <row r="76" customFormat="false" ht="15" hidden="false" customHeight="false" outlineLevel="0" collapsed="false">
      <c r="A76" s="5" t="s">
        <v>961</v>
      </c>
      <c r="B76" s="5" t="s">
        <v>105</v>
      </c>
      <c r="C76" s="5" t="s">
        <v>106</v>
      </c>
      <c r="D76" s="6" t="s">
        <v>45</v>
      </c>
      <c r="E76" s="5" t="n">
        <v>6</v>
      </c>
      <c r="F76" s="5" t="s">
        <v>962</v>
      </c>
      <c r="G76" s="11" t="s">
        <v>963</v>
      </c>
      <c r="H76" s="5" t="s">
        <v>964</v>
      </c>
      <c r="I76" s="11" t="s">
        <v>965</v>
      </c>
      <c r="J76" s="5" t="s">
        <v>966</v>
      </c>
      <c r="K76" s="5" t="s">
        <v>967</v>
      </c>
      <c r="L76" s="11" t="s">
        <v>968</v>
      </c>
      <c r="M76" s="11" t="s">
        <v>969</v>
      </c>
      <c r="N76" s="5" t="n">
        <f aca="false">LEN(L76)</f>
        <v>25</v>
      </c>
      <c r="O76" s="5" t="n">
        <f aca="false">LEN(M76)</f>
        <v>25</v>
      </c>
      <c r="P76" s="12" t="n">
        <f aca="false">IF(N76=0,"",(N76-LEN(SUBSTITUTE(SUBSTITUTE(L76,"G",""),"C","")))/N76)</f>
        <v>0.36</v>
      </c>
      <c r="Q76" s="12" t="n">
        <f aca="false">IF(O76=0,"",(O76-LEN(SUBSTITUTE(SUBSTITUTE(M76,"G",""),"C","")))/O76)</f>
        <v>0.24</v>
      </c>
      <c r="R76" s="5"/>
      <c r="S76" s="5" t="s">
        <v>342</v>
      </c>
      <c r="T76" s="5"/>
      <c r="U76" s="5" t="s">
        <v>343</v>
      </c>
      <c r="V76" s="5" t="s">
        <v>401</v>
      </c>
      <c r="W76" s="5"/>
      <c r="X76" s="13" t="s">
        <v>345</v>
      </c>
      <c r="Y76" s="5"/>
    </row>
    <row r="77" customFormat="false" ht="15" hidden="false" customHeight="false" outlineLevel="0" collapsed="false">
      <c r="A77" s="5" t="s">
        <v>970</v>
      </c>
      <c r="B77" s="5" t="s">
        <v>105</v>
      </c>
      <c r="C77" s="5" t="s">
        <v>106</v>
      </c>
      <c r="D77" s="6" t="s">
        <v>45</v>
      </c>
      <c r="E77" s="5" t="n">
        <v>7</v>
      </c>
      <c r="F77" s="5" t="s">
        <v>971</v>
      </c>
      <c r="G77" s="11" t="s">
        <v>972</v>
      </c>
      <c r="H77" s="5" t="s">
        <v>973</v>
      </c>
      <c r="I77" s="11" t="s">
        <v>974</v>
      </c>
      <c r="J77" s="5" t="s">
        <v>975</v>
      </c>
      <c r="K77" s="5" t="s">
        <v>976</v>
      </c>
      <c r="L77" s="11" t="s">
        <v>977</v>
      </c>
      <c r="M77" s="11" t="s">
        <v>978</v>
      </c>
      <c r="N77" s="5" t="n">
        <f aca="false">LEN(L77)</f>
        <v>25</v>
      </c>
      <c r="O77" s="5" t="n">
        <f aca="false">LEN(M77)</f>
        <v>25</v>
      </c>
      <c r="P77" s="12" t="n">
        <f aca="false">IF(N77=0,"",(N77-LEN(SUBSTITUTE(SUBSTITUTE(L77,"G",""),"C","")))/N77)</f>
        <v>0.44</v>
      </c>
      <c r="Q77" s="12" t="n">
        <f aca="false">IF(O77=0,"",(O77-LEN(SUBSTITUTE(SUBSTITUTE(M77,"G",""),"C","")))/O77)</f>
        <v>0.4</v>
      </c>
      <c r="R77" s="5"/>
      <c r="S77" s="5" t="s">
        <v>342</v>
      </c>
      <c r="T77" s="5"/>
      <c r="U77" s="5" t="s">
        <v>382</v>
      </c>
      <c r="V77" s="5" t="s">
        <v>401</v>
      </c>
      <c r="W77" s="5"/>
      <c r="X77" s="8" t="s">
        <v>393</v>
      </c>
      <c r="Y77" s="5"/>
    </row>
    <row r="78" customFormat="false" ht="15" hidden="false" customHeight="false" outlineLevel="0" collapsed="false">
      <c r="A78" s="5" t="s">
        <v>979</v>
      </c>
      <c r="B78" s="5" t="s">
        <v>105</v>
      </c>
      <c r="C78" s="5" t="s">
        <v>106</v>
      </c>
      <c r="D78" s="6" t="s">
        <v>45</v>
      </c>
      <c r="E78" s="5" t="n">
        <v>8</v>
      </c>
      <c r="F78" s="5" t="s">
        <v>980</v>
      </c>
      <c r="G78" s="11" t="s">
        <v>981</v>
      </c>
      <c r="H78" s="5" t="s">
        <v>982</v>
      </c>
      <c r="I78" s="11" t="s">
        <v>983</v>
      </c>
      <c r="J78" s="5" t="s">
        <v>984</v>
      </c>
      <c r="K78" s="5" t="s">
        <v>985</v>
      </c>
      <c r="L78" s="11" t="s">
        <v>986</v>
      </c>
      <c r="M78" s="11" t="s">
        <v>987</v>
      </c>
      <c r="N78" s="5" t="n">
        <f aca="false">LEN(L78)</f>
        <v>25</v>
      </c>
      <c r="O78" s="5" t="n">
        <f aca="false">LEN(M78)</f>
        <v>25</v>
      </c>
      <c r="P78" s="12" t="n">
        <f aca="false">IF(N78=0,"",(N78-LEN(SUBSTITUTE(SUBSTITUTE(L78,"G",""),"C","")))/N78)</f>
        <v>0.4</v>
      </c>
      <c r="Q78" s="12" t="n">
        <f aca="false">IF(O78=0,"",(O78-LEN(SUBSTITUTE(SUBSTITUTE(M78,"G",""),"C","")))/O78)</f>
        <v>0.52</v>
      </c>
      <c r="R78" s="5"/>
      <c r="S78" s="5" t="s">
        <v>342</v>
      </c>
      <c r="T78" s="5"/>
      <c r="U78" s="5" t="s">
        <v>382</v>
      </c>
      <c r="V78" s="5" t="s">
        <v>401</v>
      </c>
      <c r="W78" s="5"/>
      <c r="X78" s="8" t="s">
        <v>393</v>
      </c>
      <c r="Y78" s="5"/>
    </row>
    <row r="79" customFormat="false" ht="15" hidden="false" customHeight="false" outlineLevel="0" collapsed="false">
      <c r="A79" s="5" t="s">
        <v>988</v>
      </c>
      <c r="B79" s="5" t="s">
        <v>110</v>
      </c>
      <c r="C79" s="5" t="s">
        <v>111</v>
      </c>
      <c r="D79" s="6" t="s">
        <v>45</v>
      </c>
      <c r="E79" s="5" t="n">
        <v>1</v>
      </c>
      <c r="F79" s="5" t="s">
        <v>989</v>
      </c>
      <c r="G79" s="11" t="s">
        <v>990</v>
      </c>
      <c r="H79" s="5" t="s">
        <v>991</v>
      </c>
      <c r="I79" s="11" t="s">
        <v>992</v>
      </c>
      <c r="J79" s="5" t="s">
        <v>993</v>
      </c>
      <c r="K79" s="5" t="s">
        <v>993</v>
      </c>
      <c r="L79" s="11" t="s">
        <v>994</v>
      </c>
      <c r="M79" s="11" t="s">
        <v>995</v>
      </c>
      <c r="N79" s="5" t="n">
        <f aca="false">LEN(L79)</f>
        <v>25</v>
      </c>
      <c r="O79" s="5" t="n">
        <f aca="false">LEN(M79)</f>
        <v>25</v>
      </c>
      <c r="P79" s="12" t="n">
        <f aca="false">IF(N79=0,"",(N79-LEN(SUBSTITUTE(SUBSTITUTE(L79,"G",""),"C","")))/N79)</f>
        <v>0.4</v>
      </c>
      <c r="Q79" s="12" t="n">
        <f aca="false">IF(O79=0,"",(O79-LEN(SUBSTITUTE(SUBSTITUTE(M79,"G",""),"C","")))/O79)</f>
        <v>0.4</v>
      </c>
      <c r="R79" s="5"/>
      <c r="S79" s="5" t="s">
        <v>342</v>
      </c>
      <c r="T79" s="5"/>
      <c r="U79" s="5" t="s">
        <v>343</v>
      </c>
      <c r="V79" s="5" t="s">
        <v>996</v>
      </c>
      <c r="W79" s="5"/>
      <c r="X79" s="13" t="s">
        <v>345</v>
      </c>
      <c r="Y79" s="5"/>
    </row>
    <row r="80" customFormat="false" ht="15" hidden="false" customHeight="false" outlineLevel="0" collapsed="false">
      <c r="A80" s="5" t="s">
        <v>997</v>
      </c>
      <c r="B80" s="5" t="s">
        <v>110</v>
      </c>
      <c r="C80" s="5" t="s">
        <v>111</v>
      </c>
      <c r="D80" s="6" t="s">
        <v>45</v>
      </c>
      <c r="E80" s="5" t="n">
        <v>2</v>
      </c>
      <c r="F80" s="5" t="s">
        <v>998</v>
      </c>
      <c r="G80" s="11" t="s">
        <v>999</v>
      </c>
      <c r="H80" s="5" t="s">
        <v>1000</v>
      </c>
      <c r="I80" s="11" t="s">
        <v>1001</v>
      </c>
      <c r="J80" s="5" t="s">
        <v>993</v>
      </c>
      <c r="K80" s="5" t="s">
        <v>993</v>
      </c>
      <c r="L80" s="11" t="s">
        <v>1002</v>
      </c>
      <c r="M80" s="11" t="s">
        <v>1003</v>
      </c>
      <c r="N80" s="5" t="n">
        <f aca="false">LEN(L80)</f>
        <v>25</v>
      </c>
      <c r="O80" s="5" t="n">
        <f aca="false">LEN(M80)</f>
        <v>25</v>
      </c>
      <c r="P80" s="12" t="n">
        <f aca="false">IF(N80=0,"",(N80-LEN(SUBSTITUTE(SUBSTITUTE(L80,"G",""),"C","")))/N80)</f>
        <v>0.44</v>
      </c>
      <c r="Q80" s="12" t="n">
        <f aca="false">IF(O80=0,"",(O80-LEN(SUBSTITUTE(SUBSTITUTE(M80,"G",""),"C","")))/O80)</f>
        <v>0.4</v>
      </c>
      <c r="R80" s="5"/>
      <c r="S80" s="5" t="s">
        <v>342</v>
      </c>
      <c r="T80" s="5"/>
      <c r="U80" s="5" t="s">
        <v>343</v>
      </c>
      <c r="V80" s="5" t="s">
        <v>996</v>
      </c>
      <c r="W80" s="5"/>
      <c r="X80" s="13" t="s">
        <v>345</v>
      </c>
      <c r="Y80" s="5"/>
    </row>
    <row r="81" customFormat="false" ht="15" hidden="false" customHeight="false" outlineLevel="0" collapsed="false">
      <c r="A81" s="5" t="s">
        <v>1004</v>
      </c>
      <c r="B81" s="5" t="s">
        <v>110</v>
      </c>
      <c r="C81" s="5" t="s">
        <v>111</v>
      </c>
      <c r="D81" s="6" t="s">
        <v>45</v>
      </c>
      <c r="E81" s="5" t="n">
        <v>3</v>
      </c>
      <c r="F81" s="5" t="s">
        <v>1005</v>
      </c>
      <c r="G81" s="11" t="s">
        <v>1006</v>
      </c>
      <c r="H81" s="5" t="s">
        <v>1007</v>
      </c>
      <c r="I81" s="11" t="s">
        <v>1008</v>
      </c>
      <c r="J81" s="5" t="s">
        <v>993</v>
      </c>
      <c r="K81" s="5" t="s">
        <v>993</v>
      </c>
      <c r="L81" s="11" t="s">
        <v>1009</v>
      </c>
      <c r="M81" s="11" t="s">
        <v>1010</v>
      </c>
      <c r="N81" s="5" t="n">
        <f aca="false">LEN(L81)</f>
        <v>25</v>
      </c>
      <c r="O81" s="5" t="n">
        <f aca="false">LEN(M81)</f>
        <v>25</v>
      </c>
      <c r="P81" s="12" t="n">
        <f aca="false">IF(N81=0,"",(N81-LEN(SUBSTITUTE(SUBSTITUTE(L81,"G",""),"C","")))/N81)</f>
        <v>0.48</v>
      </c>
      <c r="Q81" s="12" t="n">
        <f aca="false">IF(O81=0,"",(O81-LEN(SUBSTITUTE(SUBSTITUTE(M81,"G",""),"C","")))/O81)</f>
        <v>0.4</v>
      </c>
      <c r="R81" s="5"/>
      <c r="S81" s="5" t="s">
        <v>342</v>
      </c>
      <c r="T81" s="5"/>
      <c r="U81" s="5" t="s">
        <v>343</v>
      </c>
      <c r="V81" s="5" t="s">
        <v>996</v>
      </c>
      <c r="W81" s="5"/>
      <c r="X81" s="13" t="s">
        <v>345</v>
      </c>
      <c r="Y81" s="5"/>
    </row>
    <row r="82" customFormat="false" ht="15" hidden="false" customHeight="false" outlineLevel="0" collapsed="false">
      <c r="A82" s="5" t="s">
        <v>1011</v>
      </c>
      <c r="B82" s="5" t="s">
        <v>110</v>
      </c>
      <c r="C82" s="5" t="s">
        <v>111</v>
      </c>
      <c r="D82" s="6" t="s">
        <v>45</v>
      </c>
      <c r="E82" s="5" t="n">
        <v>4</v>
      </c>
      <c r="F82" s="5" t="s">
        <v>1012</v>
      </c>
      <c r="G82" s="11" t="s">
        <v>1013</v>
      </c>
      <c r="H82" s="5" t="s">
        <v>1014</v>
      </c>
      <c r="I82" s="11" t="s">
        <v>1015</v>
      </c>
      <c r="J82" s="5" t="s">
        <v>993</v>
      </c>
      <c r="K82" s="5" t="s">
        <v>993</v>
      </c>
      <c r="L82" s="11" t="s">
        <v>1016</v>
      </c>
      <c r="M82" s="11" t="s">
        <v>1017</v>
      </c>
      <c r="N82" s="5" t="n">
        <f aca="false">LEN(L82)</f>
        <v>25</v>
      </c>
      <c r="O82" s="5" t="n">
        <f aca="false">LEN(M82)</f>
        <v>25</v>
      </c>
      <c r="P82" s="12" t="n">
        <f aca="false">IF(N82=0,"",(N82-LEN(SUBSTITUTE(SUBSTITUTE(L82,"G",""),"C","")))/N82)</f>
        <v>0.36</v>
      </c>
      <c r="Q82" s="12" t="n">
        <f aca="false">IF(O82=0,"",(O82-LEN(SUBSTITUTE(SUBSTITUTE(M82,"G",""),"C","")))/O82)</f>
        <v>0.36</v>
      </c>
      <c r="R82" s="5"/>
      <c r="S82" s="5" t="s">
        <v>342</v>
      </c>
      <c r="T82" s="5"/>
      <c r="U82" s="5" t="s">
        <v>343</v>
      </c>
      <c r="V82" s="5" t="s">
        <v>996</v>
      </c>
      <c r="W82" s="5"/>
      <c r="X82" s="13" t="s">
        <v>345</v>
      </c>
      <c r="Y82" s="5"/>
    </row>
    <row r="83" customFormat="false" ht="15" hidden="false" customHeight="false" outlineLevel="0" collapsed="false">
      <c r="A83" s="5" t="s">
        <v>1018</v>
      </c>
      <c r="B83" s="5" t="s">
        <v>110</v>
      </c>
      <c r="C83" s="5" t="s">
        <v>111</v>
      </c>
      <c r="D83" s="6" t="s">
        <v>45</v>
      </c>
      <c r="E83" s="5" t="n">
        <v>5</v>
      </c>
      <c r="F83" s="5" t="s">
        <v>1019</v>
      </c>
      <c r="G83" s="11" t="s">
        <v>1020</v>
      </c>
      <c r="H83" s="5" t="s">
        <v>1021</v>
      </c>
      <c r="I83" s="11" t="s">
        <v>1022</v>
      </c>
      <c r="J83" s="5" t="s">
        <v>993</v>
      </c>
      <c r="K83" s="5" t="s">
        <v>993</v>
      </c>
      <c r="L83" s="11" t="s">
        <v>1023</v>
      </c>
      <c r="M83" s="11" t="s">
        <v>1024</v>
      </c>
      <c r="N83" s="5" t="n">
        <f aca="false">LEN(L83)</f>
        <v>25</v>
      </c>
      <c r="O83" s="5" t="n">
        <f aca="false">LEN(M83)</f>
        <v>25</v>
      </c>
      <c r="P83" s="12" t="n">
        <f aca="false">IF(N83=0,"",(N83-LEN(SUBSTITUTE(SUBSTITUTE(L83,"G",""),"C","")))/N83)</f>
        <v>0.36</v>
      </c>
      <c r="Q83" s="12" t="n">
        <f aca="false">IF(O83=0,"",(O83-LEN(SUBSTITUTE(SUBSTITUTE(M83,"G",""),"C","")))/O83)</f>
        <v>0.32</v>
      </c>
      <c r="R83" s="5"/>
      <c r="S83" s="5" t="s">
        <v>342</v>
      </c>
      <c r="T83" s="5"/>
      <c r="U83" s="5" t="s">
        <v>343</v>
      </c>
      <c r="V83" s="5" t="s">
        <v>996</v>
      </c>
      <c r="W83" s="5"/>
      <c r="X83" s="13" t="s">
        <v>345</v>
      </c>
      <c r="Y83" s="5"/>
    </row>
    <row r="84" customFormat="false" ht="15" hidden="false" customHeight="false" outlineLevel="0" collapsed="false">
      <c r="A84" s="5" t="s">
        <v>1025</v>
      </c>
      <c r="B84" s="5" t="s">
        <v>110</v>
      </c>
      <c r="C84" s="5" t="s">
        <v>111</v>
      </c>
      <c r="D84" s="6" t="s">
        <v>45</v>
      </c>
      <c r="E84" s="5" t="n">
        <v>6</v>
      </c>
      <c r="F84" s="5" t="s">
        <v>1026</v>
      </c>
      <c r="G84" s="11" t="s">
        <v>1027</v>
      </c>
      <c r="H84" s="5" t="s">
        <v>1028</v>
      </c>
      <c r="I84" s="11" t="s">
        <v>1029</v>
      </c>
      <c r="J84" s="5" t="s">
        <v>993</v>
      </c>
      <c r="K84" s="5" t="s">
        <v>993</v>
      </c>
      <c r="L84" s="11" t="s">
        <v>1030</v>
      </c>
      <c r="M84" s="11" t="s">
        <v>1031</v>
      </c>
      <c r="N84" s="5" t="n">
        <f aca="false">LEN(L84)</f>
        <v>25</v>
      </c>
      <c r="O84" s="5" t="n">
        <f aca="false">LEN(M84)</f>
        <v>25</v>
      </c>
      <c r="P84" s="12" t="n">
        <f aca="false">IF(N84=0,"",(N84-LEN(SUBSTITUTE(SUBSTITUTE(L84,"G",""),"C","")))/N84)</f>
        <v>0.36</v>
      </c>
      <c r="Q84" s="12" t="n">
        <f aca="false">IF(O84=0,"",(O84-LEN(SUBSTITUTE(SUBSTITUTE(M84,"G",""),"C","")))/O84)</f>
        <v>0.4</v>
      </c>
      <c r="R84" s="5"/>
      <c r="S84" s="5" t="s">
        <v>342</v>
      </c>
      <c r="T84" s="5"/>
      <c r="U84" s="5" t="s">
        <v>343</v>
      </c>
      <c r="V84" s="5" t="s">
        <v>996</v>
      </c>
      <c r="W84" s="5"/>
      <c r="X84" s="13" t="s">
        <v>345</v>
      </c>
      <c r="Y84" s="5"/>
    </row>
    <row r="85" customFormat="false" ht="15" hidden="false" customHeight="false" outlineLevel="0" collapsed="false">
      <c r="A85" s="5" t="s">
        <v>1032</v>
      </c>
      <c r="B85" s="5" t="s">
        <v>110</v>
      </c>
      <c r="C85" s="5" t="s">
        <v>111</v>
      </c>
      <c r="D85" s="6" t="s">
        <v>45</v>
      </c>
      <c r="E85" s="5" t="n">
        <v>7</v>
      </c>
      <c r="F85" s="5" t="s">
        <v>1033</v>
      </c>
      <c r="G85" s="11" t="s">
        <v>1034</v>
      </c>
      <c r="H85" s="5" t="s">
        <v>1035</v>
      </c>
      <c r="I85" s="11" t="s">
        <v>1036</v>
      </c>
      <c r="J85" s="5" t="s">
        <v>993</v>
      </c>
      <c r="K85" s="5" t="s">
        <v>993</v>
      </c>
      <c r="L85" s="11" t="s">
        <v>1037</v>
      </c>
      <c r="M85" s="11" t="s">
        <v>1038</v>
      </c>
      <c r="N85" s="5" t="n">
        <f aca="false">LEN(L85)</f>
        <v>25</v>
      </c>
      <c r="O85" s="5" t="n">
        <f aca="false">LEN(M85)</f>
        <v>25</v>
      </c>
      <c r="P85" s="12" t="n">
        <f aca="false">IF(N85=0,"",(N85-LEN(SUBSTITUTE(SUBSTITUTE(L85,"G",""),"C","")))/N85)</f>
        <v>0.64</v>
      </c>
      <c r="Q85" s="12" t="n">
        <f aca="false">IF(O85=0,"",(O85-LEN(SUBSTITUTE(SUBSTITUTE(M85,"G",""),"C","")))/O85)</f>
        <v>0.52</v>
      </c>
      <c r="R85" s="5"/>
      <c r="S85" s="5" t="s">
        <v>342</v>
      </c>
      <c r="T85" s="5"/>
      <c r="U85" s="5" t="s">
        <v>606</v>
      </c>
      <c r="V85" s="5" t="s">
        <v>996</v>
      </c>
      <c r="W85" s="5"/>
      <c r="X85" s="8" t="s">
        <v>383</v>
      </c>
      <c r="Y85" s="5"/>
    </row>
    <row r="86" customFormat="false" ht="15" hidden="false" customHeight="false" outlineLevel="0" collapsed="false">
      <c r="A86" s="5" t="s">
        <v>1039</v>
      </c>
      <c r="B86" s="5" t="s">
        <v>110</v>
      </c>
      <c r="C86" s="5" t="s">
        <v>111</v>
      </c>
      <c r="D86" s="6" t="s">
        <v>45</v>
      </c>
      <c r="E86" s="5" t="n">
        <v>8</v>
      </c>
      <c r="F86" s="5" t="s">
        <v>1040</v>
      </c>
      <c r="G86" s="11" t="s">
        <v>1041</v>
      </c>
      <c r="H86" s="5" t="s">
        <v>1042</v>
      </c>
      <c r="I86" s="11" t="s">
        <v>1043</v>
      </c>
      <c r="J86" s="5" t="s">
        <v>993</v>
      </c>
      <c r="K86" s="5" t="s">
        <v>993</v>
      </c>
      <c r="L86" s="11" t="s">
        <v>1044</v>
      </c>
      <c r="M86" s="11" t="s">
        <v>1045</v>
      </c>
      <c r="N86" s="5" t="n">
        <f aca="false">LEN(L86)</f>
        <v>25</v>
      </c>
      <c r="O86" s="5" t="n">
        <f aca="false">LEN(M86)</f>
        <v>25</v>
      </c>
      <c r="P86" s="12" t="n">
        <f aca="false">IF(N86=0,"",(N86-LEN(SUBSTITUTE(SUBSTITUTE(L86,"G",""),"C","")))/N86)</f>
        <v>0.36</v>
      </c>
      <c r="Q86" s="12" t="n">
        <f aca="false">IF(O86=0,"",(O86-LEN(SUBSTITUTE(SUBSTITUTE(M86,"G",""),"C","")))/O86)</f>
        <v>0.48</v>
      </c>
      <c r="R86" s="5"/>
      <c r="S86" s="5" t="s">
        <v>342</v>
      </c>
      <c r="T86" s="5"/>
      <c r="U86" s="5" t="s">
        <v>606</v>
      </c>
      <c r="V86" s="5" t="s">
        <v>996</v>
      </c>
      <c r="W86" s="5"/>
      <c r="X86" s="8" t="s">
        <v>383</v>
      </c>
      <c r="Y86" s="5"/>
    </row>
    <row r="87" customFormat="false" ht="15" hidden="false" customHeight="false" outlineLevel="0" collapsed="false">
      <c r="A87" s="5" t="s">
        <v>1046</v>
      </c>
      <c r="B87" s="5" t="s">
        <v>110</v>
      </c>
      <c r="C87" s="5" t="s">
        <v>111</v>
      </c>
      <c r="D87" s="6" t="s">
        <v>45</v>
      </c>
      <c r="E87" s="5" t="n">
        <v>9</v>
      </c>
      <c r="F87" s="5" t="s">
        <v>1047</v>
      </c>
      <c r="G87" s="11" t="s">
        <v>1048</v>
      </c>
      <c r="H87" s="5" t="s">
        <v>1049</v>
      </c>
      <c r="I87" s="11" t="s">
        <v>1050</v>
      </c>
      <c r="J87" s="5" t="s">
        <v>993</v>
      </c>
      <c r="K87" s="5" t="s">
        <v>993</v>
      </c>
      <c r="L87" s="11" t="s">
        <v>1051</v>
      </c>
      <c r="M87" s="11" t="s">
        <v>1052</v>
      </c>
      <c r="N87" s="5" t="n">
        <f aca="false">LEN(L87)</f>
        <v>25</v>
      </c>
      <c r="O87" s="5" t="n">
        <f aca="false">LEN(M87)</f>
        <v>25</v>
      </c>
      <c r="P87" s="12" t="n">
        <f aca="false">IF(N87=0,"",(N87-LEN(SUBSTITUTE(SUBSTITUTE(L87,"G",""),"C","")))/N87)</f>
        <v>0.48</v>
      </c>
      <c r="Q87" s="12" t="n">
        <f aca="false">IF(O87=0,"",(O87-LEN(SUBSTITUTE(SUBSTITUTE(M87,"G",""),"C","")))/O87)</f>
        <v>0.16</v>
      </c>
      <c r="R87" s="5"/>
      <c r="S87" s="5" t="s">
        <v>342</v>
      </c>
      <c r="T87" s="5"/>
      <c r="U87" s="5" t="s">
        <v>606</v>
      </c>
      <c r="V87" s="5" t="s">
        <v>996</v>
      </c>
      <c r="W87" s="5"/>
      <c r="X87" s="8" t="s">
        <v>383</v>
      </c>
      <c r="Y87" s="5"/>
    </row>
    <row r="88" customFormat="false" ht="15" hidden="false" customHeight="false" outlineLevel="0" collapsed="false">
      <c r="A88" s="5" t="s">
        <v>1053</v>
      </c>
      <c r="B88" s="5" t="s">
        <v>110</v>
      </c>
      <c r="C88" s="5" t="s">
        <v>111</v>
      </c>
      <c r="D88" s="6" t="s">
        <v>45</v>
      </c>
      <c r="E88" s="5" t="n">
        <v>10</v>
      </c>
      <c r="F88" s="5" t="s">
        <v>1054</v>
      </c>
      <c r="G88" s="11" t="s">
        <v>1055</v>
      </c>
      <c r="H88" s="5" t="s">
        <v>1056</v>
      </c>
      <c r="I88" s="11" t="s">
        <v>1057</v>
      </c>
      <c r="J88" s="5" t="s">
        <v>993</v>
      </c>
      <c r="K88" s="5" t="s">
        <v>993</v>
      </c>
      <c r="L88" s="11" t="s">
        <v>1058</v>
      </c>
      <c r="M88" s="11" t="s">
        <v>1059</v>
      </c>
      <c r="N88" s="5" t="n">
        <f aca="false">LEN(L88)</f>
        <v>25</v>
      </c>
      <c r="O88" s="5" t="n">
        <f aca="false">LEN(M88)</f>
        <v>25</v>
      </c>
      <c r="P88" s="12" t="n">
        <f aca="false">IF(N88=0,"",(N88-LEN(SUBSTITUTE(SUBSTITUTE(L88,"G",""),"C","")))/N88)</f>
        <v>0.36</v>
      </c>
      <c r="Q88" s="12" t="n">
        <f aca="false">IF(O88=0,"",(O88-LEN(SUBSTITUTE(SUBSTITUTE(M88,"G",""),"C","")))/O88)</f>
        <v>0.24</v>
      </c>
      <c r="R88" s="5"/>
      <c r="S88" s="5" t="s">
        <v>342</v>
      </c>
      <c r="T88" s="5"/>
      <c r="U88" s="5" t="s">
        <v>606</v>
      </c>
      <c r="V88" s="5" t="s">
        <v>996</v>
      </c>
      <c r="W88" s="5"/>
      <c r="X88" s="8" t="s">
        <v>393</v>
      </c>
      <c r="Y88" s="5"/>
    </row>
    <row r="89" customFormat="false" ht="15" hidden="false" customHeight="false" outlineLevel="0" collapsed="false">
      <c r="A89" s="5" t="s">
        <v>1060</v>
      </c>
      <c r="B89" s="5" t="s">
        <v>117</v>
      </c>
      <c r="C89" s="5" t="s">
        <v>118</v>
      </c>
      <c r="D89" s="6" t="s">
        <v>45</v>
      </c>
      <c r="E89" s="5" t="n">
        <v>1</v>
      </c>
      <c r="F89" s="5" t="s">
        <v>1061</v>
      </c>
      <c r="G89" s="11" t="s">
        <v>1062</v>
      </c>
      <c r="H89" s="5" t="s">
        <v>1063</v>
      </c>
      <c r="I89" s="11" t="s">
        <v>1064</v>
      </c>
      <c r="J89" s="5" t="s">
        <v>1065</v>
      </c>
      <c r="K89" s="5" t="s">
        <v>1066</v>
      </c>
      <c r="L89" s="11" t="s">
        <v>1067</v>
      </c>
      <c r="M89" s="11" t="s">
        <v>1068</v>
      </c>
      <c r="N89" s="5" t="n">
        <f aca="false">LEN(L89)</f>
        <v>25</v>
      </c>
      <c r="O89" s="5" t="n">
        <f aca="false">LEN(M89)</f>
        <v>25</v>
      </c>
      <c r="P89" s="12" t="n">
        <f aca="false">IF(N89=0,"",(N89-LEN(SUBSTITUTE(SUBSTITUTE(L89,"G",""),"C","")))/N89)</f>
        <v>0.6</v>
      </c>
      <c r="Q89" s="12" t="n">
        <f aca="false">IF(O89=0,"",(O89-LEN(SUBSTITUTE(SUBSTITUTE(M89,"G",""),"C","")))/O89)</f>
        <v>0.76</v>
      </c>
      <c r="R89" s="5"/>
      <c r="S89" s="5" t="s">
        <v>342</v>
      </c>
      <c r="T89" s="5"/>
      <c r="U89" s="5" t="s">
        <v>382</v>
      </c>
      <c r="V89" s="5" t="s">
        <v>1069</v>
      </c>
      <c r="W89" s="5"/>
      <c r="X89" s="8" t="s">
        <v>383</v>
      </c>
      <c r="Y89" s="5"/>
    </row>
    <row r="90" customFormat="false" ht="15" hidden="false" customHeight="false" outlineLevel="0" collapsed="false">
      <c r="A90" s="5" t="s">
        <v>1070</v>
      </c>
      <c r="B90" s="5" t="s">
        <v>117</v>
      </c>
      <c r="C90" s="5" t="s">
        <v>118</v>
      </c>
      <c r="D90" s="6" t="s">
        <v>45</v>
      </c>
      <c r="E90" s="5" t="n">
        <v>2</v>
      </c>
      <c r="F90" s="5" t="s">
        <v>1071</v>
      </c>
      <c r="G90" s="11" t="s">
        <v>1072</v>
      </c>
      <c r="H90" s="5" t="s">
        <v>1073</v>
      </c>
      <c r="I90" s="11" t="s">
        <v>1074</v>
      </c>
      <c r="J90" s="5" t="s">
        <v>1075</v>
      </c>
      <c r="K90" s="5" t="s">
        <v>1076</v>
      </c>
      <c r="L90" s="11" t="s">
        <v>1077</v>
      </c>
      <c r="M90" s="11" t="s">
        <v>1078</v>
      </c>
      <c r="N90" s="5" t="n">
        <f aca="false">LEN(L90)</f>
        <v>25</v>
      </c>
      <c r="O90" s="5" t="n">
        <f aca="false">LEN(M90)</f>
        <v>25</v>
      </c>
      <c r="P90" s="12" t="n">
        <f aca="false">IF(N90=0,"",(N90-LEN(SUBSTITUTE(SUBSTITUTE(L90,"G",""),"C","")))/N90)</f>
        <v>0.88</v>
      </c>
      <c r="Q90" s="12" t="n">
        <f aca="false">IF(O90=0,"",(O90-LEN(SUBSTITUTE(SUBSTITUTE(M90,"G",""),"C","")))/O90)</f>
        <v>0.88</v>
      </c>
      <c r="R90" s="5"/>
      <c r="S90" s="5" t="s">
        <v>342</v>
      </c>
      <c r="T90" s="5"/>
      <c r="U90" s="5" t="s">
        <v>382</v>
      </c>
      <c r="V90" s="5" t="s">
        <v>1069</v>
      </c>
      <c r="W90" s="5"/>
      <c r="X90" s="8" t="s">
        <v>383</v>
      </c>
      <c r="Y90" s="5"/>
    </row>
    <row r="91" customFormat="false" ht="15" hidden="false" customHeight="false" outlineLevel="0" collapsed="false">
      <c r="A91" s="5" t="s">
        <v>1079</v>
      </c>
      <c r="B91" s="5" t="s">
        <v>117</v>
      </c>
      <c r="C91" s="5" t="s">
        <v>118</v>
      </c>
      <c r="D91" s="6" t="s">
        <v>45</v>
      </c>
      <c r="E91" s="5" t="n">
        <v>3</v>
      </c>
      <c r="F91" s="5" t="s">
        <v>1080</v>
      </c>
      <c r="G91" s="11" t="s">
        <v>1081</v>
      </c>
      <c r="H91" s="5" t="s">
        <v>1082</v>
      </c>
      <c r="I91" s="11" t="s">
        <v>1083</v>
      </c>
      <c r="J91" s="5" t="s">
        <v>1084</v>
      </c>
      <c r="K91" s="5" t="s">
        <v>1085</v>
      </c>
      <c r="L91" s="11" t="s">
        <v>1086</v>
      </c>
      <c r="M91" s="11" t="s">
        <v>1087</v>
      </c>
      <c r="N91" s="5" t="n">
        <f aca="false">LEN(L91)</f>
        <v>25</v>
      </c>
      <c r="O91" s="5" t="n">
        <f aca="false">LEN(M91)</f>
        <v>25</v>
      </c>
      <c r="P91" s="12" t="n">
        <f aca="false">IF(N91=0,"",(N91-LEN(SUBSTITUTE(SUBSTITUTE(L91,"G",""),"C","")))/N91)</f>
        <v>0.92</v>
      </c>
      <c r="Q91" s="12" t="n">
        <f aca="false">IF(O91=0,"",(O91-LEN(SUBSTITUTE(SUBSTITUTE(M91,"G",""),"C","")))/O91)</f>
        <v>0.88</v>
      </c>
      <c r="R91" s="5"/>
      <c r="S91" s="5" t="s">
        <v>342</v>
      </c>
      <c r="T91" s="5"/>
      <c r="U91" s="5" t="s">
        <v>382</v>
      </c>
      <c r="V91" s="5" t="s">
        <v>1069</v>
      </c>
      <c r="W91" s="5"/>
      <c r="X91" s="8" t="s">
        <v>383</v>
      </c>
      <c r="Y91" s="5"/>
    </row>
    <row r="92" customFormat="false" ht="15" hidden="false" customHeight="false" outlineLevel="0" collapsed="false">
      <c r="A92" s="5" t="s">
        <v>1088</v>
      </c>
      <c r="B92" s="5" t="s">
        <v>117</v>
      </c>
      <c r="C92" s="5" t="s">
        <v>118</v>
      </c>
      <c r="D92" s="6" t="s">
        <v>45</v>
      </c>
      <c r="E92" s="5" t="n">
        <v>4</v>
      </c>
      <c r="F92" s="5" t="s">
        <v>1089</v>
      </c>
      <c r="G92" s="11" t="s">
        <v>1090</v>
      </c>
      <c r="H92" s="5" t="s">
        <v>1091</v>
      </c>
      <c r="I92" s="11" t="s">
        <v>1092</v>
      </c>
      <c r="J92" s="5" t="s">
        <v>1093</v>
      </c>
      <c r="K92" s="5" t="s">
        <v>1094</v>
      </c>
      <c r="L92" s="11" t="s">
        <v>1095</v>
      </c>
      <c r="M92" s="11" t="s">
        <v>1096</v>
      </c>
      <c r="N92" s="5" t="n">
        <f aca="false">LEN(L92)</f>
        <v>25</v>
      </c>
      <c r="O92" s="5" t="n">
        <f aca="false">LEN(M92)</f>
        <v>25</v>
      </c>
      <c r="P92" s="12" t="n">
        <f aca="false">IF(N92=0,"",(N92-LEN(SUBSTITUTE(SUBSTITUTE(L92,"G",""),"C","")))/N92)</f>
        <v>0.48</v>
      </c>
      <c r="Q92" s="12" t="n">
        <f aca="false">IF(O92=0,"",(O92-LEN(SUBSTITUTE(SUBSTITUTE(M92,"G",""),"C","")))/O92)</f>
        <v>0.6</v>
      </c>
      <c r="R92" s="5"/>
      <c r="S92" s="5" t="s">
        <v>342</v>
      </c>
      <c r="T92" s="5"/>
      <c r="U92" s="5" t="s">
        <v>382</v>
      </c>
      <c r="V92" s="5" t="s">
        <v>1069</v>
      </c>
      <c r="W92" s="5"/>
      <c r="X92" s="8" t="s">
        <v>383</v>
      </c>
      <c r="Y92" s="5"/>
    </row>
    <row r="93" customFormat="false" ht="15" hidden="false" customHeight="false" outlineLevel="0" collapsed="false">
      <c r="A93" s="5" t="s">
        <v>1097</v>
      </c>
      <c r="B93" s="5" t="s">
        <v>117</v>
      </c>
      <c r="C93" s="5" t="s">
        <v>118</v>
      </c>
      <c r="D93" s="6" t="s">
        <v>45</v>
      </c>
      <c r="E93" s="5" t="n">
        <v>5</v>
      </c>
      <c r="F93" s="5" t="s">
        <v>1098</v>
      </c>
      <c r="G93" s="11" t="s">
        <v>1099</v>
      </c>
      <c r="H93" s="5" t="s">
        <v>1100</v>
      </c>
      <c r="I93" s="11" t="s">
        <v>1101</v>
      </c>
      <c r="J93" s="5" t="s">
        <v>1102</v>
      </c>
      <c r="K93" s="5" t="s">
        <v>1103</v>
      </c>
      <c r="L93" s="11" t="s">
        <v>1104</v>
      </c>
      <c r="M93" s="11" t="s">
        <v>1105</v>
      </c>
      <c r="N93" s="5" t="n">
        <f aca="false">LEN(L93)</f>
        <v>25</v>
      </c>
      <c r="O93" s="5" t="n">
        <f aca="false">LEN(M93)</f>
        <v>25</v>
      </c>
      <c r="P93" s="12" t="n">
        <f aca="false">IF(N93=0,"",(N93-LEN(SUBSTITUTE(SUBSTITUTE(L93,"G",""),"C","")))/N93)</f>
        <v>0.64</v>
      </c>
      <c r="Q93" s="12" t="n">
        <f aca="false">IF(O93=0,"",(O93-LEN(SUBSTITUTE(SUBSTITUTE(M93,"G",""),"C","")))/O93)</f>
        <v>0.52</v>
      </c>
      <c r="R93" s="5"/>
      <c r="S93" s="5" t="s">
        <v>342</v>
      </c>
      <c r="T93" s="5"/>
      <c r="U93" s="5" t="s">
        <v>382</v>
      </c>
      <c r="V93" s="5" t="s">
        <v>1069</v>
      </c>
      <c r="W93" s="5"/>
      <c r="X93" s="8" t="s">
        <v>383</v>
      </c>
      <c r="Y93" s="5"/>
    </row>
    <row r="94" customFormat="false" ht="15" hidden="false" customHeight="false" outlineLevel="0" collapsed="false">
      <c r="A94" s="5" t="s">
        <v>1106</v>
      </c>
      <c r="B94" s="5" t="s">
        <v>117</v>
      </c>
      <c r="C94" s="5" t="s">
        <v>118</v>
      </c>
      <c r="D94" s="6" t="s">
        <v>45</v>
      </c>
      <c r="E94" s="5" t="n">
        <v>6</v>
      </c>
      <c r="F94" s="5" t="s">
        <v>1107</v>
      </c>
      <c r="G94" s="11" t="s">
        <v>1108</v>
      </c>
      <c r="H94" s="5" t="s">
        <v>1109</v>
      </c>
      <c r="I94" s="11" t="s">
        <v>1110</v>
      </c>
      <c r="J94" s="5" t="s">
        <v>1111</v>
      </c>
      <c r="K94" s="5" t="s">
        <v>1112</v>
      </c>
      <c r="L94" s="11" t="s">
        <v>1113</v>
      </c>
      <c r="M94" s="11" t="s">
        <v>1114</v>
      </c>
      <c r="N94" s="5" t="n">
        <f aca="false">LEN(L94)</f>
        <v>25</v>
      </c>
      <c r="O94" s="5" t="n">
        <f aca="false">LEN(M94)</f>
        <v>25</v>
      </c>
      <c r="P94" s="12" t="n">
        <f aca="false">IF(N94=0,"",(N94-LEN(SUBSTITUTE(SUBSTITUTE(L94,"G",""),"C","")))/N94)</f>
        <v>0.64</v>
      </c>
      <c r="Q94" s="12" t="n">
        <f aca="false">IF(O94=0,"",(O94-LEN(SUBSTITUTE(SUBSTITUTE(M94,"G",""),"C","")))/O94)</f>
        <v>0.4</v>
      </c>
      <c r="R94" s="5"/>
      <c r="S94" s="5" t="s">
        <v>342</v>
      </c>
      <c r="T94" s="5"/>
      <c r="U94" s="5" t="s">
        <v>382</v>
      </c>
      <c r="V94" s="5" t="s">
        <v>1069</v>
      </c>
      <c r="W94" s="5"/>
      <c r="X94" s="8" t="s">
        <v>383</v>
      </c>
      <c r="Y94" s="5"/>
    </row>
    <row r="95" customFormat="false" ht="15" hidden="false" customHeight="false" outlineLevel="0" collapsed="false">
      <c r="A95" s="5" t="s">
        <v>1115</v>
      </c>
      <c r="B95" s="5" t="s">
        <v>121</v>
      </c>
      <c r="C95" s="5" t="s">
        <v>122</v>
      </c>
      <c r="D95" s="6" t="s">
        <v>45</v>
      </c>
      <c r="E95" s="5" t="n">
        <v>1</v>
      </c>
      <c r="F95" s="5" t="s">
        <v>1116</v>
      </c>
      <c r="G95" s="11" t="s">
        <v>1117</v>
      </c>
      <c r="H95" s="5" t="s">
        <v>1118</v>
      </c>
      <c r="I95" s="11" t="s">
        <v>1119</v>
      </c>
      <c r="J95" s="5" t="s">
        <v>1120</v>
      </c>
      <c r="K95" s="5" t="s">
        <v>1121</v>
      </c>
      <c r="L95" s="11" t="s">
        <v>1122</v>
      </c>
      <c r="M95" s="11" t="s">
        <v>1123</v>
      </c>
      <c r="N95" s="5" t="n">
        <f aca="false">LEN(L95)</f>
        <v>25</v>
      </c>
      <c r="O95" s="5" t="n">
        <f aca="false">LEN(M95)</f>
        <v>25</v>
      </c>
      <c r="P95" s="12" t="n">
        <f aca="false">IF(N95=0,"",(N95-LEN(SUBSTITUTE(SUBSTITUTE(L95,"G",""),"C","")))/N95)</f>
        <v>0.56</v>
      </c>
      <c r="Q95" s="12" t="n">
        <f aca="false">IF(O95=0,"",(O95-LEN(SUBSTITUTE(SUBSTITUTE(M95,"G",""),"C","")))/O95)</f>
        <v>0.6</v>
      </c>
      <c r="R95" s="5"/>
      <c r="S95" s="5" t="s">
        <v>342</v>
      </c>
      <c r="T95" s="5"/>
      <c r="U95" s="5" t="s">
        <v>343</v>
      </c>
      <c r="V95" s="5" t="s">
        <v>1124</v>
      </c>
      <c r="W95" s="5"/>
      <c r="X95" s="13" t="s">
        <v>345</v>
      </c>
      <c r="Y95" s="5"/>
    </row>
    <row r="96" customFormat="false" ht="15" hidden="false" customHeight="false" outlineLevel="0" collapsed="false">
      <c r="A96" s="5" t="s">
        <v>1125</v>
      </c>
      <c r="B96" s="5" t="s">
        <v>121</v>
      </c>
      <c r="C96" s="5" t="s">
        <v>122</v>
      </c>
      <c r="D96" s="6" t="s">
        <v>45</v>
      </c>
      <c r="E96" s="5" t="n">
        <v>2</v>
      </c>
      <c r="F96" s="5" t="s">
        <v>1126</v>
      </c>
      <c r="G96" s="11" t="s">
        <v>1127</v>
      </c>
      <c r="H96" s="5" t="s">
        <v>1128</v>
      </c>
      <c r="I96" s="11" t="s">
        <v>1129</v>
      </c>
      <c r="J96" s="5" t="s">
        <v>1120</v>
      </c>
      <c r="K96" s="5" t="s">
        <v>1121</v>
      </c>
      <c r="L96" s="11" t="s">
        <v>1130</v>
      </c>
      <c r="M96" s="11" t="s">
        <v>1131</v>
      </c>
      <c r="N96" s="5" t="n">
        <f aca="false">LEN(L96)</f>
        <v>25</v>
      </c>
      <c r="O96" s="5" t="n">
        <f aca="false">LEN(M96)</f>
        <v>25</v>
      </c>
      <c r="P96" s="12" t="n">
        <f aca="false">IF(N96=0,"",(N96-LEN(SUBSTITUTE(SUBSTITUTE(L96,"G",""),"C","")))/N96)</f>
        <v>0.4</v>
      </c>
      <c r="Q96" s="12" t="n">
        <f aca="false">IF(O96=0,"",(O96-LEN(SUBSTITUTE(SUBSTITUTE(M96,"G",""),"C","")))/O96)</f>
        <v>0.4</v>
      </c>
      <c r="R96" s="5"/>
      <c r="S96" s="5" t="s">
        <v>342</v>
      </c>
      <c r="T96" s="5"/>
      <c r="U96" s="5" t="s">
        <v>343</v>
      </c>
      <c r="V96" s="5" t="s">
        <v>1124</v>
      </c>
      <c r="W96" s="5"/>
      <c r="X96" s="13" t="s">
        <v>345</v>
      </c>
      <c r="Y96" s="5"/>
    </row>
    <row r="97" customFormat="false" ht="15" hidden="false" customHeight="false" outlineLevel="0" collapsed="false">
      <c r="A97" s="5" t="s">
        <v>1132</v>
      </c>
      <c r="B97" s="5" t="s">
        <v>121</v>
      </c>
      <c r="C97" s="5" t="s">
        <v>122</v>
      </c>
      <c r="D97" s="6" t="s">
        <v>45</v>
      </c>
      <c r="E97" s="5" t="n">
        <v>3</v>
      </c>
      <c r="F97" s="5" t="s">
        <v>1133</v>
      </c>
      <c r="G97" s="11" t="s">
        <v>1134</v>
      </c>
      <c r="H97" s="5" t="s">
        <v>1135</v>
      </c>
      <c r="I97" s="11" t="s">
        <v>1136</v>
      </c>
      <c r="J97" s="5" t="s">
        <v>1120</v>
      </c>
      <c r="K97" s="5" t="s">
        <v>1121</v>
      </c>
      <c r="L97" s="11" t="s">
        <v>1137</v>
      </c>
      <c r="M97" s="11" t="s">
        <v>1138</v>
      </c>
      <c r="N97" s="5" t="n">
        <f aca="false">LEN(L97)</f>
        <v>25</v>
      </c>
      <c r="O97" s="5" t="n">
        <f aca="false">LEN(M97)</f>
        <v>25</v>
      </c>
      <c r="P97" s="12" t="n">
        <f aca="false">IF(N97=0,"",(N97-LEN(SUBSTITUTE(SUBSTITUTE(L97,"G",""),"C","")))/N97)</f>
        <v>0.36</v>
      </c>
      <c r="Q97" s="12" t="n">
        <f aca="false">IF(O97=0,"",(O97-LEN(SUBSTITUTE(SUBSTITUTE(M97,"G",""),"C","")))/O97)</f>
        <v>0.36</v>
      </c>
      <c r="R97" s="5"/>
      <c r="S97" s="5" t="s">
        <v>342</v>
      </c>
      <c r="T97" s="5"/>
      <c r="U97" s="5" t="s">
        <v>832</v>
      </c>
      <c r="V97" s="5" t="s">
        <v>1124</v>
      </c>
      <c r="W97" s="5"/>
      <c r="X97" s="8" t="s">
        <v>488</v>
      </c>
      <c r="Y97" s="8" t="s">
        <v>833</v>
      </c>
    </row>
    <row r="98" customFormat="false" ht="15" hidden="false" customHeight="false" outlineLevel="0" collapsed="false">
      <c r="A98" s="5" t="s">
        <v>1139</v>
      </c>
      <c r="B98" s="5" t="s">
        <v>121</v>
      </c>
      <c r="C98" s="5" t="s">
        <v>122</v>
      </c>
      <c r="D98" s="6" t="s">
        <v>45</v>
      </c>
      <c r="E98" s="5" t="n">
        <v>4</v>
      </c>
      <c r="F98" s="5" t="s">
        <v>1140</v>
      </c>
      <c r="G98" s="11" t="s">
        <v>1141</v>
      </c>
      <c r="H98" s="5" t="s">
        <v>1142</v>
      </c>
      <c r="I98" s="11" t="s">
        <v>1143</v>
      </c>
      <c r="J98" s="5" t="s">
        <v>1120</v>
      </c>
      <c r="K98" s="5" t="s">
        <v>1121</v>
      </c>
      <c r="L98" s="11" t="s">
        <v>1144</v>
      </c>
      <c r="M98" s="11" t="s">
        <v>1145</v>
      </c>
      <c r="N98" s="5" t="n">
        <f aca="false">LEN(L98)</f>
        <v>25</v>
      </c>
      <c r="O98" s="5" t="n">
        <f aca="false">LEN(M98)</f>
        <v>25</v>
      </c>
      <c r="P98" s="12" t="n">
        <f aca="false">IF(N98=0,"",(N98-LEN(SUBSTITUTE(SUBSTITUTE(L98,"G",""),"C","")))/N98)</f>
        <v>0.36</v>
      </c>
      <c r="Q98" s="12" t="n">
        <f aca="false">IF(O98=0,"",(O98-LEN(SUBSTITUTE(SUBSTITUTE(M98,"G",""),"C","")))/O98)</f>
        <v>0.32</v>
      </c>
      <c r="R98" s="5"/>
      <c r="S98" s="5" t="s">
        <v>342</v>
      </c>
      <c r="T98" s="5"/>
      <c r="U98" s="5" t="s">
        <v>343</v>
      </c>
      <c r="V98" s="5" t="s">
        <v>1124</v>
      </c>
      <c r="W98" s="5"/>
      <c r="X98" s="13" t="s">
        <v>345</v>
      </c>
      <c r="Y98" s="5"/>
    </row>
    <row r="99" customFormat="false" ht="15" hidden="false" customHeight="false" outlineLevel="0" collapsed="false">
      <c r="A99" s="5" t="s">
        <v>1146</v>
      </c>
      <c r="B99" s="5" t="s">
        <v>121</v>
      </c>
      <c r="C99" s="5" t="s">
        <v>122</v>
      </c>
      <c r="D99" s="6" t="s">
        <v>45</v>
      </c>
      <c r="E99" s="5" t="n">
        <v>5</v>
      </c>
      <c r="F99" s="5" t="s">
        <v>1147</v>
      </c>
      <c r="G99" s="11" t="s">
        <v>1148</v>
      </c>
      <c r="H99" s="5" t="s">
        <v>1149</v>
      </c>
      <c r="I99" s="11" t="s">
        <v>1150</v>
      </c>
      <c r="J99" s="5" t="s">
        <v>1120</v>
      </c>
      <c r="K99" s="5" t="s">
        <v>1121</v>
      </c>
      <c r="L99" s="11" t="s">
        <v>1151</v>
      </c>
      <c r="M99" s="11" t="s">
        <v>1152</v>
      </c>
      <c r="N99" s="5" t="n">
        <f aca="false">LEN(L99)</f>
        <v>25</v>
      </c>
      <c r="O99" s="5" t="n">
        <f aca="false">LEN(M99)</f>
        <v>25</v>
      </c>
      <c r="P99" s="12" t="n">
        <f aca="false">IF(N99=0,"",(N99-LEN(SUBSTITUTE(SUBSTITUTE(L99,"G",""),"C","")))/N99)</f>
        <v>0.52</v>
      </c>
      <c r="Q99" s="12" t="n">
        <f aca="false">IF(O99=0,"",(O99-LEN(SUBSTITUTE(SUBSTITUTE(M99,"G",""),"C","")))/O99)</f>
        <v>0.52</v>
      </c>
      <c r="R99" s="5"/>
      <c r="S99" s="5" t="s">
        <v>342</v>
      </c>
      <c r="T99" s="5"/>
      <c r="U99" s="5" t="s">
        <v>343</v>
      </c>
      <c r="V99" s="5" t="s">
        <v>1124</v>
      </c>
      <c r="W99" s="5"/>
      <c r="X99" s="13" t="s">
        <v>345</v>
      </c>
      <c r="Y99" s="5"/>
    </row>
    <row r="100" customFormat="false" ht="15" hidden="false" customHeight="false" outlineLevel="0" collapsed="false">
      <c r="A100" s="5" t="s">
        <v>1153</v>
      </c>
      <c r="B100" s="5" t="s">
        <v>121</v>
      </c>
      <c r="C100" s="5" t="s">
        <v>122</v>
      </c>
      <c r="D100" s="6" t="s">
        <v>45</v>
      </c>
      <c r="E100" s="5" t="n">
        <v>6</v>
      </c>
      <c r="F100" s="5" t="s">
        <v>1154</v>
      </c>
      <c r="G100" s="11" t="s">
        <v>1155</v>
      </c>
      <c r="H100" s="5" t="s">
        <v>1156</v>
      </c>
      <c r="I100" s="11" t="s">
        <v>1157</v>
      </c>
      <c r="J100" s="5" t="s">
        <v>1120</v>
      </c>
      <c r="K100" s="5" t="s">
        <v>1121</v>
      </c>
      <c r="L100" s="11" t="s">
        <v>1158</v>
      </c>
      <c r="M100" s="11" t="s">
        <v>1159</v>
      </c>
      <c r="N100" s="5" t="n">
        <f aca="false">LEN(L100)</f>
        <v>25</v>
      </c>
      <c r="O100" s="5" t="n">
        <f aca="false">LEN(M100)</f>
        <v>25</v>
      </c>
      <c r="P100" s="12" t="n">
        <f aca="false">IF(N100=0,"",(N100-LEN(SUBSTITUTE(SUBSTITUTE(L100,"G",""),"C","")))/N100)</f>
        <v>0.68</v>
      </c>
      <c r="Q100" s="12" t="n">
        <f aca="false">IF(O100=0,"",(O100-LEN(SUBSTITUTE(SUBSTITUTE(M100,"G",""),"C","")))/O100)</f>
        <v>0.92</v>
      </c>
      <c r="R100" s="5"/>
      <c r="S100" s="5" t="s">
        <v>342</v>
      </c>
      <c r="T100" s="5"/>
      <c r="U100" s="5" t="s">
        <v>343</v>
      </c>
      <c r="V100" s="5" t="s">
        <v>1124</v>
      </c>
      <c r="W100" s="5"/>
      <c r="X100" s="13" t="s">
        <v>345</v>
      </c>
      <c r="Y100" s="5"/>
    </row>
    <row r="101" customFormat="false" ht="15" hidden="false" customHeight="false" outlineLevel="0" collapsed="false">
      <c r="A101" s="5" t="s">
        <v>1160</v>
      </c>
      <c r="B101" s="5" t="s">
        <v>121</v>
      </c>
      <c r="C101" s="5" t="s">
        <v>122</v>
      </c>
      <c r="D101" s="6" t="s">
        <v>45</v>
      </c>
      <c r="E101" s="5" t="n">
        <v>7</v>
      </c>
      <c r="F101" s="5" t="s">
        <v>1161</v>
      </c>
      <c r="G101" s="11" t="s">
        <v>1162</v>
      </c>
      <c r="H101" s="5" t="s">
        <v>1163</v>
      </c>
      <c r="I101" s="11" t="s">
        <v>1164</v>
      </c>
      <c r="J101" s="5" t="s">
        <v>1120</v>
      </c>
      <c r="K101" s="5" t="s">
        <v>1121</v>
      </c>
      <c r="L101" s="11" t="s">
        <v>1165</v>
      </c>
      <c r="M101" s="11" t="s">
        <v>1166</v>
      </c>
      <c r="N101" s="5" t="n">
        <f aca="false">LEN(L101)</f>
        <v>25</v>
      </c>
      <c r="O101" s="5" t="n">
        <f aca="false">LEN(M101)</f>
        <v>25</v>
      </c>
      <c r="P101" s="12" t="n">
        <f aca="false">IF(N101=0,"",(N101-LEN(SUBSTITUTE(SUBSTITUTE(L101,"G",""),"C","")))/N101)</f>
        <v>0.6</v>
      </c>
      <c r="Q101" s="12" t="n">
        <f aca="false">IF(O101=0,"",(O101-LEN(SUBSTITUTE(SUBSTITUTE(M101,"G",""),"C","")))/O101)</f>
        <v>0.56</v>
      </c>
      <c r="R101" s="5"/>
      <c r="S101" s="5" t="s">
        <v>342</v>
      </c>
      <c r="T101" s="5"/>
      <c r="U101" s="5" t="s">
        <v>343</v>
      </c>
      <c r="V101" s="5" t="s">
        <v>1124</v>
      </c>
      <c r="W101" s="5"/>
      <c r="X101" s="13" t="s">
        <v>345</v>
      </c>
      <c r="Y101" s="5"/>
    </row>
    <row r="102" customFormat="false" ht="15" hidden="false" customHeight="false" outlineLevel="0" collapsed="false">
      <c r="A102" s="5" t="s">
        <v>1167</v>
      </c>
      <c r="B102" s="5" t="s">
        <v>121</v>
      </c>
      <c r="C102" s="5" t="s">
        <v>122</v>
      </c>
      <c r="D102" s="6" t="s">
        <v>45</v>
      </c>
      <c r="E102" s="5" t="n">
        <v>8</v>
      </c>
      <c r="F102" s="5" t="s">
        <v>1168</v>
      </c>
      <c r="G102" s="11" t="s">
        <v>1169</v>
      </c>
      <c r="H102" s="5" t="s">
        <v>1170</v>
      </c>
      <c r="I102" s="11" t="s">
        <v>1171</v>
      </c>
      <c r="J102" s="5" t="s">
        <v>1120</v>
      </c>
      <c r="K102" s="5" t="s">
        <v>1121</v>
      </c>
      <c r="L102" s="11" t="s">
        <v>1172</v>
      </c>
      <c r="M102" s="11" t="s">
        <v>1173</v>
      </c>
      <c r="N102" s="5" t="n">
        <f aca="false">LEN(L102)</f>
        <v>25</v>
      </c>
      <c r="O102" s="5" t="n">
        <f aca="false">LEN(M102)</f>
        <v>25</v>
      </c>
      <c r="P102" s="12" t="n">
        <f aca="false">IF(N102=0,"",(N102-LEN(SUBSTITUTE(SUBSTITUTE(L102,"G",""),"C","")))/N102)</f>
        <v>0.56</v>
      </c>
      <c r="Q102" s="12" t="n">
        <f aca="false">IF(O102=0,"",(O102-LEN(SUBSTITUTE(SUBSTITUTE(M102,"G",""),"C","")))/O102)</f>
        <v>0.48</v>
      </c>
      <c r="R102" s="5"/>
      <c r="S102" s="5" t="s">
        <v>342</v>
      </c>
      <c r="T102" s="5"/>
      <c r="U102" s="5" t="s">
        <v>832</v>
      </c>
      <c r="V102" s="5" t="s">
        <v>1124</v>
      </c>
      <c r="W102" s="5"/>
      <c r="X102" s="8" t="s">
        <v>393</v>
      </c>
      <c r="Y102" s="8" t="s">
        <v>833</v>
      </c>
    </row>
    <row r="103" customFormat="false" ht="15" hidden="false" customHeight="false" outlineLevel="0" collapsed="false">
      <c r="A103" s="5" t="s">
        <v>1174</v>
      </c>
      <c r="B103" s="5" t="s">
        <v>131</v>
      </c>
      <c r="C103" s="5" t="s">
        <v>132</v>
      </c>
      <c r="D103" s="6" t="s">
        <v>45</v>
      </c>
      <c r="E103" s="5" t="n">
        <v>1</v>
      </c>
      <c r="F103" s="5" t="s">
        <v>1175</v>
      </c>
      <c r="G103" s="11" t="s">
        <v>1176</v>
      </c>
      <c r="H103" s="5" t="s">
        <v>1177</v>
      </c>
      <c r="I103" s="11" t="s">
        <v>1178</v>
      </c>
      <c r="J103" s="5" t="s">
        <v>1179</v>
      </c>
      <c r="K103" s="5" t="s">
        <v>1180</v>
      </c>
      <c r="L103" s="11" t="s">
        <v>1181</v>
      </c>
      <c r="M103" s="11" t="s">
        <v>1182</v>
      </c>
      <c r="N103" s="5" t="n">
        <f aca="false">LEN(L103)</f>
        <v>25</v>
      </c>
      <c r="O103" s="5" t="n">
        <f aca="false">LEN(M103)</f>
        <v>25</v>
      </c>
      <c r="P103" s="12" t="n">
        <f aca="false">IF(N103=0,"",(N103-LEN(SUBSTITUTE(SUBSTITUTE(L103,"G",""),"C","")))/N103)</f>
        <v>0.52</v>
      </c>
      <c r="Q103" s="12" t="n">
        <f aca="false">IF(O103=0,"",(O103-LEN(SUBSTITUTE(SUBSTITUTE(M103,"G",""),"C","")))/O103)</f>
        <v>0.44</v>
      </c>
      <c r="R103" s="5"/>
      <c r="S103" s="5" t="s">
        <v>342</v>
      </c>
      <c r="T103" s="5"/>
      <c r="U103" s="5" t="s">
        <v>606</v>
      </c>
      <c r="V103" s="5" t="s">
        <v>1124</v>
      </c>
      <c r="W103" s="5"/>
      <c r="X103" s="8" t="s">
        <v>488</v>
      </c>
      <c r="Y103" s="5"/>
    </row>
    <row r="104" customFormat="false" ht="15" hidden="false" customHeight="false" outlineLevel="0" collapsed="false">
      <c r="A104" s="5" t="s">
        <v>1183</v>
      </c>
      <c r="B104" s="5" t="s">
        <v>131</v>
      </c>
      <c r="C104" s="5" t="s">
        <v>132</v>
      </c>
      <c r="D104" s="6" t="s">
        <v>45</v>
      </c>
      <c r="E104" s="5" t="n">
        <v>2</v>
      </c>
      <c r="F104" s="5" t="s">
        <v>1184</v>
      </c>
      <c r="G104" s="11" t="s">
        <v>1185</v>
      </c>
      <c r="H104" s="5" t="s">
        <v>1186</v>
      </c>
      <c r="I104" s="11" t="s">
        <v>1187</v>
      </c>
      <c r="J104" s="5" t="s">
        <v>1179</v>
      </c>
      <c r="K104" s="5" t="s">
        <v>1180</v>
      </c>
      <c r="L104" s="11" t="s">
        <v>1188</v>
      </c>
      <c r="M104" s="11" t="s">
        <v>1189</v>
      </c>
      <c r="N104" s="5" t="n">
        <f aca="false">LEN(L104)</f>
        <v>25</v>
      </c>
      <c r="O104" s="5" t="n">
        <f aca="false">LEN(M104)</f>
        <v>25</v>
      </c>
      <c r="P104" s="12" t="n">
        <f aca="false">IF(N104=0,"",(N104-LEN(SUBSTITUTE(SUBSTITUTE(L104,"G",""),"C","")))/N104)</f>
        <v>0.24</v>
      </c>
      <c r="Q104" s="12" t="n">
        <f aca="false">IF(O104=0,"",(O104-LEN(SUBSTITUTE(SUBSTITUTE(M104,"G",""),"C","")))/O104)</f>
        <v>0.24</v>
      </c>
      <c r="R104" s="5"/>
      <c r="S104" s="5" t="s">
        <v>342</v>
      </c>
      <c r="T104" s="5"/>
      <c r="U104" s="5" t="s">
        <v>343</v>
      </c>
      <c r="V104" s="5" t="s">
        <v>1124</v>
      </c>
      <c r="W104" s="5"/>
      <c r="X104" s="13" t="s">
        <v>345</v>
      </c>
      <c r="Y104" s="5"/>
    </row>
    <row r="105" customFormat="false" ht="15" hidden="false" customHeight="false" outlineLevel="0" collapsed="false">
      <c r="A105" s="5" t="s">
        <v>1190</v>
      </c>
      <c r="B105" s="5" t="s">
        <v>131</v>
      </c>
      <c r="C105" s="5" t="s">
        <v>132</v>
      </c>
      <c r="D105" s="6" t="s">
        <v>45</v>
      </c>
      <c r="E105" s="5" t="n">
        <v>3</v>
      </c>
      <c r="F105" s="5" t="s">
        <v>1191</v>
      </c>
      <c r="G105" s="11" t="s">
        <v>1192</v>
      </c>
      <c r="H105" s="5" t="s">
        <v>1193</v>
      </c>
      <c r="I105" s="11" t="s">
        <v>1194</v>
      </c>
      <c r="J105" s="5" t="s">
        <v>1179</v>
      </c>
      <c r="K105" s="5" t="s">
        <v>1180</v>
      </c>
      <c r="L105" s="11" t="s">
        <v>1195</v>
      </c>
      <c r="M105" s="11" t="s">
        <v>1196</v>
      </c>
      <c r="N105" s="5" t="n">
        <f aca="false">LEN(L105)</f>
        <v>25</v>
      </c>
      <c r="O105" s="5" t="n">
        <f aca="false">LEN(M105)</f>
        <v>25</v>
      </c>
      <c r="P105" s="12" t="n">
        <f aca="false">IF(N105=0,"",(N105-LEN(SUBSTITUTE(SUBSTITUTE(L105,"G",""),"C","")))/N105)</f>
        <v>0.36</v>
      </c>
      <c r="Q105" s="12" t="n">
        <f aca="false">IF(O105=0,"",(O105-LEN(SUBSTITUTE(SUBSTITUTE(M105,"G",""),"C","")))/O105)</f>
        <v>0.28</v>
      </c>
      <c r="R105" s="5"/>
      <c r="S105" s="5" t="s">
        <v>342</v>
      </c>
      <c r="T105" s="5"/>
      <c r="U105" s="5" t="s">
        <v>343</v>
      </c>
      <c r="V105" s="5" t="s">
        <v>1124</v>
      </c>
      <c r="W105" s="5"/>
      <c r="X105" s="13" t="s">
        <v>345</v>
      </c>
      <c r="Y105" s="5"/>
    </row>
    <row r="106" customFormat="false" ht="15" hidden="false" customHeight="false" outlineLevel="0" collapsed="false">
      <c r="A106" s="5" t="s">
        <v>1197</v>
      </c>
      <c r="B106" s="5" t="s">
        <v>131</v>
      </c>
      <c r="C106" s="5" t="s">
        <v>132</v>
      </c>
      <c r="D106" s="6" t="s">
        <v>45</v>
      </c>
      <c r="E106" s="5" t="n">
        <v>4</v>
      </c>
      <c r="F106" s="5" t="s">
        <v>1198</v>
      </c>
      <c r="G106" s="11" t="s">
        <v>1199</v>
      </c>
      <c r="H106" s="5" t="s">
        <v>1200</v>
      </c>
      <c r="I106" s="11" t="s">
        <v>1201</v>
      </c>
      <c r="J106" s="5" t="s">
        <v>1179</v>
      </c>
      <c r="K106" s="5" t="s">
        <v>1180</v>
      </c>
      <c r="L106" s="11" t="s">
        <v>1202</v>
      </c>
      <c r="M106" s="11" t="s">
        <v>1203</v>
      </c>
      <c r="N106" s="5" t="n">
        <f aca="false">LEN(L106)</f>
        <v>25</v>
      </c>
      <c r="O106" s="5" t="n">
        <f aca="false">LEN(M106)</f>
        <v>25</v>
      </c>
      <c r="P106" s="12" t="n">
        <f aca="false">IF(N106=0,"",(N106-LEN(SUBSTITUTE(SUBSTITUTE(L106,"G",""),"C","")))/N106)</f>
        <v>0.36</v>
      </c>
      <c r="Q106" s="12" t="n">
        <f aca="false">IF(O106=0,"",(O106-LEN(SUBSTITUTE(SUBSTITUTE(M106,"G",""),"C","")))/O106)</f>
        <v>0.44</v>
      </c>
      <c r="R106" s="5"/>
      <c r="S106" s="5" t="s">
        <v>342</v>
      </c>
      <c r="T106" s="5"/>
      <c r="U106" s="5" t="s">
        <v>832</v>
      </c>
      <c r="V106" s="5" t="s">
        <v>1124</v>
      </c>
      <c r="W106" s="5"/>
      <c r="X106" s="8" t="s">
        <v>393</v>
      </c>
      <c r="Y106" s="8" t="s">
        <v>833</v>
      </c>
    </row>
    <row r="107" customFormat="false" ht="15" hidden="false" customHeight="false" outlineLevel="0" collapsed="false">
      <c r="A107" s="5" t="s">
        <v>1204</v>
      </c>
      <c r="B107" s="5" t="s">
        <v>131</v>
      </c>
      <c r="C107" s="5" t="s">
        <v>132</v>
      </c>
      <c r="D107" s="6" t="s">
        <v>45</v>
      </c>
      <c r="E107" s="5" t="n">
        <v>5</v>
      </c>
      <c r="F107" s="5" t="s">
        <v>1205</v>
      </c>
      <c r="G107" s="11" t="s">
        <v>1206</v>
      </c>
      <c r="H107" s="5" t="s">
        <v>1207</v>
      </c>
      <c r="I107" s="11" t="s">
        <v>1208</v>
      </c>
      <c r="J107" s="5" t="s">
        <v>1179</v>
      </c>
      <c r="K107" s="5" t="s">
        <v>1180</v>
      </c>
      <c r="L107" s="11" t="s">
        <v>1209</v>
      </c>
      <c r="M107" s="11" t="s">
        <v>1210</v>
      </c>
      <c r="N107" s="5" t="n">
        <f aca="false">LEN(L107)</f>
        <v>25</v>
      </c>
      <c r="O107" s="5" t="n">
        <f aca="false">LEN(M107)</f>
        <v>25</v>
      </c>
      <c r="P107" s="12" t="n">
        <f aca="false">IF(N107=0,"",(N107-LEN(SUBSTITUTE(SUBSTITUTE(L107,"G",""),"C","")))/N107)</f>
        <v>0.16</v>
      </c>
      <c r="Q107" s="12" t="n">
        <f aca="false">IF(O107=0,"",(O107-LEN(SUBSTITUTE(SUBSTITUTE(M107,"G",""),"C","")))/O107)</f>
        <v>0.32</v>
      </c>
      <c r="R107" s="5"/>
      <c r="S107" s="5" t="s">
        <v>342</v>
      </c>
      <c r="T107" s="5"/>
      <c r="U107" s="5" t="s">
        <v>832</v>
      </c>
      <c r="V107" s="5" t="s">
        <v>1124</v>
      </c>
      <c r="W107" s="5"/>
      <c r="X107" s="8" t="s">
        <v>383</v>
      </c>
      <c r="Y107" s="8" t="s">
        <v>833</v>
      </c>
    </row>
    <row r="108" customFormat="false" ht="15" hidden="false" customHeight="false" outlineLevel="0" collapsed="false">
      <c r="A108" s="5" t="s">
        <v>1211</v>
      </c>
      <c r="B108" s="5" t="s">
        <v>131</v>
      </c>
      <c r="C108" s="5" t="s">
        <v>132</v>
      </c>
      <c r="D108" s="6" t="s">
        <v>45</v>
      </c>
      <c r="E108" s="5" t="n">
        <v>6</v>
      </c>
      <c r="F108" s="5" t="s">
        <v>1212</v>
      </c>
      <c r="G108" s="11" t="s">
        <v>1213</v>
      </c>
      <c r="H108" s="5" t="s">
        <v>1214</v>
      </c>
      <c r="I108" s="11" t="s">
        <v>1215</v>
      </c>
      <c r="J108" s="5" t="s">
        <v>1179</v>
      </c>
      <c r="K108" s="5" t="s">
        <v>1180</v>
      </c>
      <c r="L108" s="11" t="s">
        <v>1216</v>
      </c>
      <c r="M108" s="11" t="s">
        <v>1217</v>
      </c>
      <c r="N108" s="5" t="n">
        <f aca="false">LEN(L108)</f>
        <v>25</v>
      </c>
      <c r="O108" s="5" t="n">
        <f aca="false">LEN(M108)</f>
        <v>25</v>
      </c>
      <c r="P108" s="12" t="n">
        <f aca="false">IF(N108=0,"",(N108-LEN(SUBSTITUTE(SUBSTITUTE(L108,"G",""),"C","")))/N108)</f>
        <v>0.44</v>
      </c>
      <c r="Q108" s="12" t="n">
        <f aca="false">IF(O108=0,"",(O108-LEN(SUBSTITUTE(SUBSTITUTE(M108,"G",""),"C","")))/O108)</f>
        <v>0.2</v>
      </c>
      <c r="R108" s="5"/>
      <c r="S108" s="5" t="s">
        <v>342</v>
      </c>
      <c r="T108" s="5"/>
      <c r="U108" s="5" t="s">
        <v>832</v>
      </c>
      <c r="V108" s="5" t="s">
        <v>1124</v>
      </c>
      <c r="W108" s="5"/>
      <c r="X108" s="8" t="s">
        <v>383</v>
      </c>
      <c r="Y108" s="8" t="s">
        <v>833</v>
      </c>
    </row>
    <row r="109" customFormat="false" ht="15" hidden="false" customHeight="false" outlineLevel="0" collapsed="false">
      <c r="A109" s="5" t="s">
        <v>1218</v>
      </c>
      <c r="B109" s="5" t="s">
        <v>139</v>
      </c>
      <c r="C109" s="5" t="s">
        <v>140</v>
      </c>
      <c r="D109" s="6" t="s">
        <v>45</v>
      </c>
      <c r="E109" s="5" t="n">
        <v>1</v>
      </c>
      <c r="F109" s="5" t="s">
        <v>1219</v>
      </c>
      <c r="G109" s="11" t="s">
        <v>1220</v>
      </c>
      <c r="H109" s="5" t="s">
        <v>1221</v>
      </c>
      <c r="I109" s="11" t="s">
        <v>1222</v>
      </c>
      <c r="J109" s="5" t="s">
        <v>1223</v>
      </c>
      <c r="K109" s="5" t="s">
        <v>1224</v>
      </c>
      <c r="L109" s="11" t="s">
        <v>1225</v>
      </c>
      <c r="M109" s="11" t="s">
        <v>1226</v>
      </c>
      <c r="N109" s="5" t="n">
        <f aca="false">LEN(L109)</f>
        <v>25</v>
      </c>
      <c r="O109" s="5" t="n">
        <f aca="false">LEN(M109)</f>
        <v>25</v>
      </c>
      <c r="P109" s="12" t="n">
        <f aca="false">IF(N109=0,"",(N109-LEN(SUBSTITUTE(SUBSTITUTE(L109,"G",""),"C","")))/N109)</f>
        <v>0.52</v>
      </c>
      <c r="Q109" s="12" t="n">
        <f aca="false">IF(O109=0,"",(O109-LEN(SUBSTITUTE(SUBSTITUTE(M109,"G",""),"C","")))/O109)</f>
        <v>0.44</v>
      </c>
      <c r="R109" s="5"/>
      <c r="S109" s="5" t="s">
        <v>342</v>
      </c>
      <c r="T109" s="5"/>
      <c r="U109" s="5" t="s">
        <v>343</v>
      </c>
      <c r="V109" s="5" t="s">
        <v>1124</v>
      </c>
      <c r="W109" s="5"/>
      <c r="X109" s="13" t="s">
        <v>345</v>
      </c>
      <c r="Y109" s="5"/>
    </row>
    <row r="110" customFormat="false" ht="15" hidden="false" customHeight="false" outlineLevel="0" collapsed="false">
      <c r="A110" s="5" t="s">
        <v>1227</v>
      </c>
      <c r="B110" s="5" t="s">
        <v>139</v>
      </c>
      <c r="C110" s="5" t="s">
        <v>140</v>
      </c>
      <c r="D110" s="6" t="s">
        <v>45</v>
      </c>
      <c r="E110" s="5" t="n">
        <v>2</v>
      </c>
      <c r="F110" s="5" t="s">
        <v>1228</v>
      </c>
      <c r="G110" s="11" t="s">
        <v>1229</v>
      </c>
      <c r="H110" s="5" t="s">
        <v>1230</v>
      </c>
      <c r="I110" s="11" t="s">
        <v>1231</v>
      </c>
      <c r="J110" s="5" t="s">
        <v>1223</v>
      </c>
      <c r="K110" s="5" t="s">
        <v>1224</v>
      </c>
      <c r="L110" s="11" t="s">
        <v>1232</v>
      </c>
      <c r="M110" s="11" t="s">
        <v>1233</v>
      </c>
      <c r="N110" s="5" t="n">
        <f aca="false">LEN(L110)</f>
        <v>25</v>
      </c>
      <c r="O110" s="5" t="n">
        <f aca="false">LEN(M110)</f>
        <v>25</v>
      </c>
      <c r="P110" s="12" t="n">
        <f aca="false">IF(N110=0,"",(N110-LEN(SUBSTITUTE(SUBSTITUTE(L110,"G",""),"C","")))/N110)</f>
        <v>0.4</v>
      </c>
      <c r="Q110" s="12" t="n">
        <f aca="false">IF(O110=0,"",(O110-LEN(SUBSTITUTE(SUBSTITUTE(M110,"G",""),"C","")))/O110)</f>
        <v>0.32</v>
      </c>
      <c r="R110" s="5"/>
      <c r="S110" s="5" t="s">
        <v>342</v>
      </c>
      <c r="T110" s="5"/>
      <c r="U110" s="5" t="s">
        <v>343</v>
      </c>
      <c r="V110" s="5" t="s">
        <v>1124</v>
      </c>
      <c r="W110" s="5"/>
      <c r="X110" s="13" t="s">
        <v>345</v>
      </c>
      <c r="Y110" s="5"/>
    </row>
    <row r="111" customFormat="false" ht="15" hidden="false" customHeight="false" outlineLevel="0" collapsed="false">
      <c r="A111" s="5" t="s">
        <v>1234</v>
      </c>
      <c r="B111" s="5" t="s">
        <v>139</v>
      </c>
      <c r="C111" s="5" t="s">
        <v>140</v>
      </c>
      <c r="D111" s="6" t="s">
        <v>45</v>
      </c>
      <c r="E111" s="5" t="n">
        <v>3</v>
      </c>
      <c r="F111" s="5" t="s">
        <v>1235</v>
      </c>
      <c r="G111" s="11" t="s">
        <v>1236</v>
      </c>
      <c r="H111" s="5" t="s">
        <v>1237</v>
      </c>
      <c r="I111" s="11" t="s">
        <v>1238</v>
      </c>
      <c r="J111" s="5" t="s">
        <v>1223</v>
      </c>
      <c r="K111" s="5" t="s">
        <v>1224</v>
      </c>
      <c r="L111" s="11" t="s">
        <v>1239</v>
      </c>
      <c r="M111" s="11" t="s">
        <v>1240</v>
      </c>
      <c r="N111" s="5" t="n">
        <f aca="false">LEN(L111)</f>
        <v>25</v>
      </c>
      <c r="O111" s="5" t="n">
        <f aca="false">LEN(M111)</f>
        <v>25</v>
      </c>
      <c r="P111" s="12" t="n">
        <f aca="false">IF(N111=0,"",(N111-LEN(SUBSTITUTE(SUBSTITUTE(L111,"G",""),"C","")))/N111)</f>
        <v>0.16</v>
      </c>
      <c r="Q111" s="12" t="n">
        <f aca="false">IF(O111=0,"",(O111-LEN(SUBSTITUTE(SUBSTITUTE(M111,"G",""),"C","")))/O111)</f>
        <v>0.24</v>
      </c>
      <c r="R111" s="5"/>
      <c r="S111" s="5" t="s">
        <v>342</v>
      </c>
      <c r="T111" s="5"/>
      <c r="U111" s="5" t="s">
        <v>343</v>
      </c>
      <c r="V111" s="5" t="s">
        <v>1124</v>
      </c>
      <c r="W111" s="5"/>
      <c r="X111" s="13" t="s">
        <v>345</v>
      </c>
      <c r="Y111" s="5"/>
    </row>
    <row r="112" customFormat="false" ht="15" hidden="false" customHeight="false" outlineLevel="0" collapsed="false">
      <c r="A112" s="5" t="s">
        <v>1241</v>
      </c>
      <c r="B112" s="5" t="s">
        <v>139</v>
      </c>
      <c r="C112" s="5" t="s">
        <v>140</v>
      </c>
      <c r="D112" s="6" t="s">
        <v>45</v>
      </c>
      <c r="E112" s="5" t="n">
        <v>4</v>
      </c>
      <c r="F112" s="5" t="s">
        <v>1242</v>
      </c>
      <c r="G112" s="11" t="s">
        <v>1243</v>
      </c>
      <c r="H112" s="5" t="s">
        <v>1244</v>
      </c>
      <c r="I112" s="11" t="s">
        <v>1245</v>
      </c>
      <c r="J112" s="5" t="s">
        <v>1223</v>
      </c>
      <c r="K112" s="5" t="s">
        <v>1224</v>
      </c>
      <c r="L112" s="11" t="s">
        <v>1246</v>
      </c>
      <c r="M112" s="11" t="s">
        <v>1247</v>
      </c>
      <c r="N112" s="5" t="n">
        <f aca="false">LEN(L112)</f>
        <v>25</v>
      </c>
      <c r="O112" s="5" t="n">
        <f aca="false">LEN(M112)</f>
        <v>25</v>
      </c>
      <c r="P112" s="12" t="n">
        <f aca="false">IF(N112=0,"",(N112-LEN(SUBSTITUTE(SUBSTITUTE(L112,"G",""),"C","")))/N112)</f>
        <v>0.6</v>
      </c>
      <c r="Q112" s="12" t="n">
        <f aca="false">IF(O112=0,"",(O112-LEN(SUBSTITUTE(SUBSTITUTE(M112,"G",""),"C","")))/O112)</f>
        <v>0.52</v>
      </c>
      <c r="R112" s="5"/>
      <c r="S112" s="5" t="s">
        <v>342</v>
      </c>
      <c r="T112" s="5"/>
      <c r="U112" s="5" t="s">
        <v>343</v>
      </c>
      <c r="V112" s="5" t="s">
        <v>1124</v>
      </c>
      <c r="W112" s="5"/>
      <c r="X112" s="13" t="s">
        <v>345</v>
      </c>
      <c r="Y112" s="5"/>
    </row>
    <row r="113" customFormat="false" ht="15" hidden="false" customHeight="false" outlineLevel="0" collapsed="false">
      <c r="A113" s="5" t="s">
        <v>1248</v>
      </c>
      <c r="B113" s="5" t="s">
        <v>139</v>
      </c>
      <c r="C113" s="5" t="s">
        <v>140</v>
      </c>
      <c r="D113" s="6" t="s">
        <v>45</v>
      </c>
      <c r="E113" s="5" t="n">
        <v>5</v>
      </c>
      <c r="F113" s="5" t="s">
        <v>1249</v>
      </c>
      <c r="G113" s="11" t="s">
        <v>1250</v>
      </c>
      <c r="H113" s="5" t="s">
        <v>1251</v>
      </c>
      <c r="I113" s="11" t="s">
        <v>1252</v>
      </c>
      <c r="J113" s="5" t="s">
        <v>1223</v>
      </c>
      <c r="K113" s="5" t="s">
        <v>1224</v>
      </c>
      <c r="L113" s="11" t="s">
        <v>1253</v>
      </c>
      <c r="M113" s="11" t="s">
        <v>1254</v>
      </c>
      <c r="N113" s="5" t="n">
        <f aca="false">LEN(L113)</f>
        <v>25</v>
      </c>
      <c r="O113" s="5" t="n">
        <f aca="false">LEN(M113)</f>
        <v>25</v>
      </c>
      <c r="P113" s="12" t="n">
        <f aca="false">IF(N113=0,"",(N113-LEN(SUBSTITUTE(SUBSTITUTE(L113,"G",""),"C","")))/N113)</f>
        <v>0.48</v>
      </c>
      <c r="Q113" s="12" t="n">
        <f aca="false">IF(O113=0,"",(O113-LEN(SUBSTITUTE(SUBSTITUTE(M113,"G",""),"C","")))/O113)</f>
        <v>0.44</v>
      </c>
      <c r="R113" s="5"/>
      <c r="S113" s="5" t="s">
        <v>342</v>
      </c>
      <c r="T113" s="5"/>
      <c r="U113" s="5" t="s">
        <v>343</v>
      </c>
      <c r="V113" s="5" t="s">
        <v>1124</v>
      </c>
      <c r="W113" s="5"/>
      <c r="X113" s="13" t="s">
        <v>345</v>
      </c>
      <c r="Y113" s="5"/>
    </row>
    <row r="114" customFormat="false" ht="15" hidden="false" customHeight="false" outlineLevel="0" collapsed="false">
      <c r="A114" s="5" t="s">
        <v>1255</v>
      </c>
      <c r="B114" s="5" t="s">
        <v>139</v>
      </c>
      <c r="C114" s="5" t="s">
        <v>140</v>
      </c>
      <c r="D114" s="6" t="s">
        <v>45</v>
      </c>
      <c r="E114" s="5" t="n">
        <v>6</v>
      </c>
      <c r="F114" s="5" t="s">
        <v>1256</v>
      </c>
      <c r="G114" s="11" t="s">
        <v>1257</v>
      </c>
      <c r="H114" s="5" t="s">
        <v>1258</v>
      </c>
      <c r="I114" s="11" t="s">
        <v>1259</v>
      </c>
      <c r="J114" s="5" t="s">
        <v>1223</v>
      </c>
      <c r="K114" s="5" t="s">
        <v>1224</v>
      </c>
      <c r="L114" s="11" t="s">
        <v>1260</v>
      </c>
      <c r="M114" s="11" t="s">
        <v>1261</v>
      </c>
      <c r="N114" s="5" t="n">
        <f aca="false">LEN(L114)</f>
        <v>25</v>
      </c>
      <c r="O114" s="5" t="n">
        <f aca="false">LEN(M114)</f>
        <v>25</v>
      </c>
      <c r="P114" s="12" t="n">
        <f aca="false">IF(N114=0,"",(N114-LEN(SUBSTITUTE(SUBSTITUTE(L114,"G",""),"C","")))/N114)</f>
        <v>0.4</v>
      </c>
      <c r="Q114" s="12" t="n">
        <f aca="false">IF(O114=0,"",(O114-LEN(SUBSTITUTE(SUBSTITUTE(M114,"G",""),"C","")))/O114)</f>
        <v>0.2</v>
      </c>
      <c r="R114" s="5"/>
      <c r="S114" s="5" t="s">
        <v>342</v>
      </c>
      <c r="T114" s="5"/>
      <c r="U114" s="5" t="s">
        <v>343</v>
      </c>
      <c r="V114" s="5" t="s">
        <v>1124</v>
      </c>
      <c r="W114" s="5"/>
      <c r="X114" s="13" t="s">
        <v>345</v>
      </c>
      <c r="Y114" s="5"/>
    </row>
    <row r="115" customFormat="false" ht="15" hidden="false" customHeight="false" outlineLevel="0" collapsed="false">
      <c r="A115" s="5" t="s">
        <v>1262</v>
      </c>
      <c r="B115" s="5" t="s">
        <v>146</v>
      </c>
      <c r="C115" s="5" t="s">
        <v>147</v>
      </c>
      <c r="D115" s="6" t="s">
        <v>45</v>
      </c>
      <c r="E115" s="5" t="n">
        <v>1</v>
      </c>
      <c r="F115" s="5" t="s">
        <v>1263</v>
      </c>
      <c r="G115" s="11" t="s">
        <v>1264</v>
      </c>
      <c r="H115" s="5" t="s">
        <v>1265</v>
      </c>
      <c r="I115" s="11" t="s">
        <v>1266</v>
      </c>
      <c r="J115" s="5" t="s">
        <v>1267</v>
      </c>
      <c r="K115" s="5" t="s">
        <v>1268</v>
      </c>
      <c r="L115" s="11" t="s">
        <v>1269</v>
      </c>
      <c r="M115" s="11" t="s">
        <v>1270</v>
      </c>
      <c r="N115" s="5" t="n">
        <f aca="false">LEN(L115)</f>
        <v>25</v>
      </c>
      <c r="O115" s="5" t="n">
        <f aca="false">LEN(M115)</f>
        <v>25</v>
      </c>
      <c r="P115" s="12" t="n">
        <f aca="false">IF(N115=0,"",(N115-LEN(SUBSTITUTE(SUBSTITUTE(L115,"G",""),"C","")))/N115)</f>
        <v>0.48</v>
      </c>
      <c r="Q115" s="12" t="n">
        <f aca="false">IF(O115=0,"",(O115-LEN(SUBSTITUTE(SUBSTITUTE(M115,"G",""),"C","")))/O115)</f>
        <v>0.56</v>
      </c>
      <c r="R115" s="5"/>
      <c r="S115" s="5" t="s">
        <v>342</v>
      </c>
      <c r="T115" s="5"/>
      <c r="U115" s="5" t="s">
        <v>606</v>
      </c>
      <c r="V115" s="5" t="s">
        <v>1124</v>
      </c>
      <c r="W115" s="5"/>
      <c r="X115" s="8" t="s">
        <v>383</v>
      </c>
      <c r="Y115" s="5"/>
    </row>
    <row r="116" customFormat="false" ht="15" hidden="false" customHeight="false" outlineLevel="0" collapsed="false">
      <c r="A116" s="5" t="s">
        <v>1271</v>
      </c>
      <c r="B116" s="5" t="s">
        <v>146</v>
      </c>
      <c r="C116" s="5" t="s">
        <v>147</v>
      </c>
      <c r="D116" s="6" t="s">
        <v>45</v>
      </c>
      <c r="E116" s="5" t="n">
        <v>2</v>
      </c>
      <c r="F116" s="5" t="s">
        <v>1272</v>
      </c>
      <c r="G116" s="11" t="s">
        <v>1273</v>
      </c>
      <c r="H116" s="5" t="s">
        <v>1274</v>
      </c>
      <c r="I116" s="11" t="s">
        <v>1275</v>
      </c>
      <c r="J116" s="5" t="s">
        <v>1267</v>
      </c>
      <c r="K116" s="5" t="s">
        <v>1268</v>
      </c>
      <c r="L116" s="11" t="s">
        <v>1276</v>
      </c>
      <c r="M116" s="11" t="s">
        <v>1277</v>
      </c>
      <c r="N116" s="5" t="n">
        <f aca="false">LEN(L116)</f>
        <v>25</v>
      </c>
      <c r="O116" s="5" t="n">
        <f aca="false">LEN(M116)</f>
        <v>25</v>
      </c>
      <c r="P116" s="12" t="n">
        <f aca="false">IF(N116=0,"",(N116-LEN(SUBSTITUTE(SUBSTITUTE(L116,"G",""),"C","")))/N116)</f>
        <v>0.32</v>
      </c>
      <c r="Q116" s="12" t="n">
        <f aca="false">IF(O116=0,"",(O116-LEN(SUBSTITUTE(SUBSTITUTE(M116,"G",""),"C","")))/O116)</f>
        <v>0.56</v>
      </c>
      <c r="R116" s="5"/>
      <c r="S116" s="5" t="s">
        <v>342</v>
      </c>
      <c r="T116" s="5"/>
      <c r="U116" s="5" t="s">
        <v>832</v>
      </c>
      <c r="V116" s="5" t="s">
        <v>1124</v>
      </c>
      <c r="W116" s="5"/>
      <c r="X116" s="8" t="s">
        <v>383</v>
      </c>
      <c r="Y116" s="8" t="s">
        <v>833</v>
      </c>
    </row>
    <row r="117" customFormat="false" ht="15" hidden="false" customHeight="false" outlineLevel="0" collapsed="false">
      <c r="A117" s="5" t="s">
        <v>1278</v>
      </c>
      <c r="B117" s="5" t="s">
        <v>146</v>
      </c>
      <c r="C117" s="5" t="s">
        <v>147</v>
      </c>
      <c r="D117" s="6" t="s">
        <v>45</v>
      </c>
      <c r="E117" s="5" t="n">
        <v>3</v>
      </c>
      <c r="F117" s="5" t="s">
        <v>1279</v>
      </c>
      <c r="G117" s="11" t="s">
        <v>1280</v>
      </c>
      <c r="H117" s="5" t="s">
        <v>1281</v>
      </c>
      <c r="I117" s="11" t="s">
        <v>1282</v>
      </c>
      <c r="J117" s="5" t="s">
        <v>1267</v>
      </c>
      <c r="K117" s="5" t="s">
        <v>1268</v>
      </c>
      <c r="L117" s="11" t="s">
        <v>1283</v>
      </c>
      <c r="M117" s="11" t="s">
        <v>1284</v>
      </c>
      <c r="N117" s="5" t="n">
        <f aca="false">LEN(L117)</f>
        <v>25</v>
      </c>
      <c r="O117" s="5" t="n">
        <f aca="false">LEN(M117)</f>
        <v>25</v>
      </c>
      <c r="P117" s="12" t="n">
        <f aca="false">IF(N117=0,"",(N117-LEN(SUBSTITUTE(SUBSTITUTE(L117,"G",""),"C","")))/N117)</f>
        <v>0.44</v>
      </c>
      <c r="Q117" s="12" t="n">
        <f aca="false">IF(O117=0,"",(O117-LEN(SUBSTITUTE(SUBSTITUTE(M117,"G",""),"C","")))/O117)</f>
        <v>0.44</v>
      </c>
      <c r="R117" s="5"/>
      <c r="S117" s="5" t="s">
        <v>342</v>
      </c>
      <c r="T117" s="5"/>
      <c r="U117" s="5" t="s">
        <v>832</v>
      </c>
      <c r="V117" s="5" t="s">
        <v>1124</v>
      </c>
      <c r="W117" s="5"/>
      <c r="X117" s="8" t="s">
        <v>383</v>
      </c>
      <c r="Y117" s="8" t="s">
        <v>833</v>
      </c>
    </row>
    <row r="118" customFormat="false" ht="15" hidden="false" customHeight="false" outlineLevel="0" collapsed="false">
      <c r="A118" s="5" t="s">
        <v>1285</v>
      </c>
      <c r="B118" s="5" t="s">
        <v>146</v>
      </c>
      <c r="C118" s="5" t="s">
        <v>147</v>
      </c>
      <c r="D118" s="6" t="s">
        <v>45</v>
      </c>
      <c r="E118" s="5" t="n">
        <v>4</v>
      </c>
      <c r="F118" s="5" t="s">
        <v>1286</v>
      </c>
      <c r="G118" s="11" t="s">
        <v>1287</v>
      </c>
      <c r="H118" s="5" t="s">
        <v>1288</v>
      </c>
      <c r="I118" s="11" t="s">
        <v>1289</v>
      </c>
      <c r="J118" s="5" t="s">
        <v>1267</v>
      </c>
      <c r="K118" s="5" t="s">
        <v>1268</v>
      </c>
      <c r="L118" s="11" t="s">
        <v>1290</v>
      </c>
      <c r="M118" s="11" t="s">
        <v>1291</v>
      </c>
      <c r="N118" s="5" t="n">
        <f aca="false">LEN(L118)</f>
        <v>25</v>
      </c>
      <c r="O118" s="5" t="n">
        <f aca="false">LEN(M118)</f>
        <v>25</v>
      </c>
      <c r="P118" s="12" t="n">
        <f aca="false">IF(N118=0,"",(N118-LEN(SUBSTITUTE(SUBSTITUTE(L118,"G",""),"C","")))/N118)</f>
        <v>0.64</v>
      </c>
      <c r="Q118" s="12" t="n">
        <f aca="false">IF(O118=0,"",(O118-LEN(SUBSTITUTE(SUBSTITUTE(M118,"G",""),"C","")))/O118)</f>
        <v>0.44</v>
      </c>
      <c r="R118" s="5"/>
      <c r="S118" s="5" t="s">
        <v>342</v>
      </c>
      <c r="T118" s="5"/>
      <c r="U118" s="5" t="s">
        <v>832</v>
      </c>
      <c r="V118" s="5" t="s">
        <v>1124</v>
      </c>
      <c r="W118" s="5"/>
      <c r="X118" s="8" t="s">
        <v>383</v>
      </c>
      <c r="Y118" s="8" t="s">
        <v>833</v>
      </c>
    </row>
    <row r="119" customFormat="false" ht="15" hidden="false" customHeight="false" outlineLevel="0" collapsed="false">
      <c r="A119" s="5" t="s">
        <v>1292</v>
      </c>
      <c r="B119" s="5" t="s">
        <v>146</v>
      </c>
      <c r="C119" s="5" t="s">
        <v>147</v>
      </c>
      <c r="D119" s="6" t="s">
        <v>45</v>
      </c>
      <c r="E119" s="5" t="n">
        <v>5</v>
      </c>
      <c r="F119" s="5" t="s">
        <v>1293</v>
      </c>
      <c r="G119" s="11" t="s">
        <v>1294</v>
      </c>
      <c r="H119" s="5" t="s">
        <v>1295</v>
      </c>
      <c r="I119" s="11" t="s">
        <v>1296</v>
      </c>
      <c r="J119" s="5" t="s">
        <v>1267</v>
      </c>
      <c r="K119" s="5" t="s">
        <v>1268</v>
      </c>
      <c r="L119" s="11" t="s">
        <v>1297</v>
      </c>
      <c r="M119" s="11" t="s">
        <v>1298</v>
      </c>
      <c r="N119" s="5" t="n">
        <f aca="false">LEN(L119)</f>
        <v>25</v>
      </c>
      <c r="O119" s="5" t="n">
        <f aca="false">LEN(M119)</f>
        <v>25</v>
      </c>
      <c r="P119" s="12" t="n">
        <f aca="false">IF(N119=0,"",(N119-LEN(SUBSTITUTE(SUBSTITUTE(L119,"G",""),"C","")))/N119)</f>
        <v>0.68</v>
      </c>
      <c r="Q119" s="12" t="n">
        <f aca="false">IF(O119=0,"",(O119-LEN(SUBSTITUTE(SUBSTITUTE(M119,"G",""),"C","")))/O119)</f>
        <v>0.48</v>
      </c>
      <c r="R119" s="5"/>
      <c r="S119" s="5" t="s">
        <v>342</v>
      </c>
      <c r="T119" s="5"/>
      <c r="U119" s="5" t="s">
        <v>832</v>
      </c>
      <c r="V119" s="5" t="s">
        <v>1124</v>
      </c>
      <c r="W119" s="5"/>
      <c r="X119" s="8" t="s">
        <v>383</v>
      </c>
      <c r="Y119" s="8" t="s">
        <v>833</v>
      </c>
    </row>
    <row r="120" customFormat="false" ht="15" hidden="false" customHeight="false" outlineLevel="0" collapsed="false">
      <c r="A120" s="5" t="s">
        <v>1299</v>
      </c>
      <c r="B120" s="5" t="s">
        <v>146</v>
      </c>
      <c r="C120" s="5" t="s">
        <v>147</v>
      </c>
      <c r="D120" s="6" t="s">
        <v>45</v>
      </c>
      <c r="E120" s="5" t="n">
        <v>6</v>
      </c>
      <c r="F120" s="5" t="s">
        <v>1300</v>
      </c>
      <c r="G120" s="11" t="s">
        <v>1301</v>
      </c>
      <c r="H120" s="5" t="s">
        <v>1302</v>
      </c>
      <c r="I120" s="11" t="s">
        <v>1303</v>
      </c>
      <c r="J120" s="5" t="s">
        <v>1267</v>
      </c>
      <c r="K120" s="5" t="s">
        <v>1268</v>
      </c>
      <c r="L120" s="11" t="s">
        <v>1304</v>
      </c>
      <c r="M120" s="11" t="s">
        <v>1305</v>
      </c>
      <c r="N120" s="5" t="n">
        <f aca="false">LEN(L120)</f>
        <v>25</v>
      </c>
      <c r="O120" s="5" t="n">
        <f aca="false">LEN(M120)</f>
        <v>25</v>
      </c>
      <c r="P120" s="12" t="n">
        <f aca="false">IF(N120=0,"",(N120-LEN(SUBSTITUTE(SUBSTITUTE(L120,"G",""),"C","")))/N120)</f>
        <v>0.52</v>
      </c>
      <c r="Q120" s="12" t="n">
        <f aca="false">IF(O120=0,"",(O120-LEN(SUBSTITUTE(SUBSTITUTE(M120,"G",""),"C","")))/O120)</f>
        <v>0.36</v>
      </c>
      <c r="R120" s="5"/>
      <c r="S120" s="5" t="s">
        <v>342</v>
      </c>
      <c r="T120" s="5"/>
      <c r="U120" s="5" t="s">
        <v>832</v>
      </c>
      <c r="V120" s="5" t="s">
        <v>1124</v>
      </c>
      <c r="W120" s="5"/>
      <c r="X120" s="8" t="s">
        <v>383</v>
      </c>
      <c r="Y120" s="8" t="s">
        <v>833</v>
      </c>
    </row>
    <row r="121" customFormat="false" ht="15" hidden="false" customHeight="false" outlineLevel="0" collapsed="false">
      <c r="A121" s="5" t="s">
        <v>1306</v>
      </c>
      <c r="B121" s="5" t="s">
        <v>151</v>
      </c>
      <c r="C121" s="5" t="s">
        <v>152</v>
      </c>
      <c r="D121" s="6" t="s">
        <v>45</v>
      </c>
      <c r="E121" s="5" t="n">
        <v>1</v>
      </c>
      <c r="F121" s="5" t="s">
        <v>1307</v>
      </c>
      <c r="G121" s="11" t="s">
        <v>1308</v>
      </c>
      <c r="H121" s="5" t="s">
        <v>1309</v>
      </c>
      <c r="I121" s="11" t="s">
        <v>1310</v>
      </c>
      <c r="J121" s="5" t="s">
        <v>1311</v>
      </c>
      <c r="K121" s="5" t="s">
        <v>1312</v>
      </c>
      <c r="L121" s="11" t="s">
        <v>1313</v>
      </c>
      <c r="M121" s="11" t="s">
        <v>1314</v>
      </c>
      <c r="N121" s="5" t="n">
        <f aca="false">LEN(L121)</f>
        <v>25</v>
      </c>
      <c r="O121" s="5" t="n">
        <f aca="false">LEN(M121)</f>
        <v>25</v>
      </c>
      <c r="P121" s="12" t="n">
        <f aca="false">IF(N121=0,"",(N121-LEN(SUBSTITUTE(SUBSTITUTE(L121,"G",""),"C","")))/N121)</f>
        <v>0.68</v>
      </c>
      <c r="Q121" s="12" t="n">
        <f aca="false">IF(O121=0,"",(O121-LEN(SUBSTITUTE(SUBSTITUTE(M121,"G",""),"C","")))/O121)</f>
        <v>0.6</v>
      </c>
      <c r="R121" s="5"/>
      <c r="S121" s="5" t="s">
        <v>342</v>
      </c>
      <c r="T121" s="5"/>
      <c r="U121" s="5" t="s">
        <v>343</v>
      </c>
      <c r="V121" s="5" t="s">
        <v>1315</v>
      </c>
      <c r="W121" s="5"/>
      <c r="X121" s="13" t="s">
        <v>345</v>
      </c>
      <c r="Y121" s="5"/>
    </row>
    <row r="122" customFormat="false" ht="15" hidden="false" customHeight="false" outlineLevel="0" collapsed="false">
      <c r="A122" s="5" t="s">
        <v>1316</v>
      </c>
      <c r="B122" s="5" t="s">
        <v>151</v>
      </c>
      <c r="C122" s="5" t="s">
        <v>152</v>
      </c>
      <c r="D122" s="6" t="s">
        <v>45</v>
      </c>
      <c r="E122" s="5" t="n">
        <v>2</v>
      </c>
      <c r="F122" s="5" t="s">
        <v>1317</v>
      </c>
      <c r="G122" s="11" t="s">
        <v>1318</v>
      </c>
      <c r="H122" s="5" t="s">
        <v>1319</v>
      </c>
      <c r="I122" s="11" t="s">
        <v>1320</v>
      </c>
      <c r="J122" s="5" t="s">
        <v>1321</v>
      </c>
      <c r="K122" s="5" t="s">
        <v>1322</v>
      </c>
      <c r="L122" s="11" t="s">
        <v>1323</v>
      </c>
      <c r="M122" s="11" t="s">
        <v>1324</v>
      </c>
      <c r="N122" s="5" t="n">
        <f aca="false">LEN(L122)</f>
        <v>25</v>
      </c>
      <c r="O122" s="5" t="n">
        <f aca="false">LEN(M122)</f>
        <v>25</v>
      </c>
      <c r="P122" s="12" t="n">
        <f aca="false">IF(N122=0,"",(N122-LEN(SUBSTITUTE(SUBSTITUTE(L122,"G",""),"C","")))/N122)</f>
        <v>0.72</v>
      </c>
      <c r="Q122" s="12" t="n">
        <f aca="false">IF(O122=0,"",(O122-LEN(SUBSTITUTE(SUBSTITUTE(M122,"G",""),"C","")))/O122)</f>
        <v>0.64</v>
      </c>
      <c r="R122" s="5"/>
      <c r="S122" s="5" t="s">
        <v>342</v>
      </c>
      <c r="T122" s="5"/>
      <c r="U122" s="5" t="s">
        <v>343</v>
      </c>
      <c r="V122" s="5" t="s">
        <v>1315</v>
      </c>
      <c r="W122" s="5"/>
      <c r="X122" s="13" t="s">
        <v>345</v>
      </c>
      <c r="Y122" s="5"/>
    </row>
    <row r="123" customFormat="false" ht="15" hidden="false" customHeight="false" outlineLevel="0" collapsed="false">
      <c r="A123" s="5" t="s">
        <v>1325</v>
      </c>
      <c r="B123" s="5" t="s">
        <v>151</v>
      </c>
      <c r="C123" s="5" t="s">
        <v>152</v>
      </c>
      <c r="D123" s="6" t="s">
        <v>45</v>
      </c>
      <c r="E123" s="5" t="n">
        <v>3</v>
      </c>
      <c r="F123" s="5" t="s">
        <v>1326</v>
      </c>
      <c r="G123" s="11" t="s">
        <v>1327</v>
      </c>
      <c r="H123" s="5" t="s">
        <v>1328</v>
      </c>
      <c r="I123" s="11" t="s">
        <v>1329</v>
      </c>
      <c r="J123" s="5" t="s">
        <v>1330</v>
      </c>
      <c r="K123" s="5" t="s">
        <v>1331</v>
      </c>
      <c r="L123" s="11" t="s">
        <v>1332</v>
      </c>
      <c r="M123" s="11" t="s">
        <v>1333</v>
      </c>
      <c r="N123" s="5" t="n">
        <f aca="false">LEN(L123)</f>
        <v>25</v>
      </c>
      <c r="O123" s="5" t="n">
        <f aca="false">LEN(M123)</f>
        <v>25</v>
      </c>
      <c r="P123" s="12" t="n">
        <f aca="false">IF(N123=0,"",(N123-LEN(SUBSTITUTE(SUBSTITUTE(L123,"G",""),"C","")))/N123)</f>
        <v>0.64</v>
      </c>
      <c r="Q123" s="12" t="n">
        <f aca="false">IF(O123=0,"",(O123-LEN(SUBSTITUTE(SUBSTITUTE(M123,"G",""),"C","")))/O123)</f>
        <v>0.56</v>
      </c>
      <c r="R123" s="5"/>
      <c r="S123" s="5" t="s">
        <v>342</v>
      </c>
      <c r="T123" s="5"/>
      <c r="U123" s="5" t="s">
        <v>343</v>
      </c>
      <c r="V123" s="5" t="s">
        <v>1315</v>
      </c>
      <c r="W123" s="5"/>
      <c r="X123" s="13" t="s">
        <v>345</v>
      </c>
      <c r="Y123" s="5"/>
    </row>
    <row r="124" customFormat="false" ht="15" hidden="false" customHeight="false" outlineLevel="0" collapsed="false">
      <c r="A124" s="5" t="s">
        <v>1334</v>
      </c>
      <c r="B124" s="5" t="s">
        <v>151</v>
      </c>
      <c r="C124" s="5" t="s">
        <v>152</v>
      </c>
      <c r="D124" s="6" t="s">
        <v>45</v>
      </c>
      <c r="E124" s="5" t="n">
        <v>4</v>
      </c>
      <c r="F124" s="5" t="s">
        <v>1335</v>
      </c>
      <c r="G124" s="11" t="s">
        <v>1336</v>
      </c>
      <c r="H124" s="5" t="s">
        <v>1337</v>
      </c>
      <c r="I124" s="11" t="s">
        <v>1338</v>
      </c>
      <c r="J124" s="5" t="s">
        <v>1339</v>
      </c>
      <c r="K124" s="5" t="s">
        <v>1340</v>
      </c>
      <c r="L124" s="11" t="s">
        <v>1341</v>
      </c>
      <c r="M124" s="11" t="s">
        <v>1342</v>
      </c>
      <c r="N124" s="5" t="n">
        <f aca="false">LEN(L124)</f>
        <v>25</v>
      </c>
      <c r="O124" s="5" t="n">
        <f aca="false">LEN(M124)</f>
        <v>25</v>
      </c>
      <c r="P124" s="12" t="n">
        <f aca="false">IF(N124=0,"",(N124-LEN(SUBSTITUTE(SUBSTITUTE(L124,"G",""),"C","")))/N124)</f>
        <v>0.4</v>
      </c>
      <c r="Q124" s="12" t="n">
        <f aca="false">IF(O124=0,"",(O124-LEN(SUBSTITUTE(SUBSTITUTE(M124,"G",""),"C","")))/O124)</f>
        <v>0.48</v>
      </c>
      <c r="R124" s="5"/>
      <c r="S124" s="5" t="s">
        <v>342</v>
      </c>
      <c r="T124" s="5"/>
      <c r="U124" s="5" t="s">
        <v>343</v>
      </c>
      <c r="V124" s="5" t="s">
        <v>1315</v>
      </c>
      <c r="W124" s="5"/>
      <c r="X124" s="13" t="s">
        <v>345</v>
      </c>
      <c r="Y124" s="5"/>
    </row>
    <row r="125" customFormat="false" ht="15" hidden="false" customHeight="false" outlineLevel="0" collapsed="false">
      <c r="A125" s="5" t="s">
        <v>1343</v>
      </c>
      <c r="B125" s="5" t="s">
        <v>151</v>
      </c>
      <c r="C125" s="5" t="s">
        <v>152</v>
      </c>
      <c r="D125" s="6" t="s">
        <v>45</v>
      </c>
      <c r="E125" s="5" t="n">
        <v>5</v>
      </c>
      <c r="F125" s="5" t="s">
        <v>1344</v>
      </c>
      <c r="G125" s="11" t="s">
        <v>1345</v>
      </c>
      <c r="H125" s="5" t="s">
        <v>1346</v>
      </c>
      <c r="I125" s="11" t="s">
        <v>1347</v>
      </c>
      <c r="J125" s="5" t="s">
        <v>1348</v>
      </c>
      <c r="K125" s="5" t="s">
        <v>1349</v>
      </c>
      <c r="L125" s="11" t="s">
        <v>1350</v>
      </c>
      <c r="M125" s="11" t="s">
        <v>1351</v>
      </c>
      <c r="N125" s="5" t="n">
        <f aca="false">LEN(L125)</f>
        <v>25</v>
      </c>
      <c r="O125" s="5" t="n">
        <f aca="false">LEN(M125)</f>
        <v>25</v>
      </c>
      <c r="P125" s="12" t="n">
        <f aca="false">IF(N125=0,"",(N125-LEN(SUBSTITUTE(SUBSTITUTE(L125,"G",""),"C","")))/N125)</f>
        <v>0.52</v>
      </c>
      <c r="Q125" s="12" t="n">
        <f aca="false">IF(O125=0,"",(O125-LEN(SUBSTITUTE(SUBSTITUTE(M125,"G",""),"C","")))/O125)</f>
        <v>0.44</v>
      </c>
      <c r="R125" s="5"/>
      <c r="S125" s="5" t="s">
        <v>342</v>
      </c>
      <c r="T125" s="5"/>
      <c r="U125" s="5" t="s">
        <v>343</v>
      </c>
      <c r="V125" s="5" t="s">
        <v>1315</v>
      </c>
      <c r="W125" s="5"/>
      <c r="X125" s="13" t="s">
        <v>345</v>
      </c>
      <c r="Y125" s="5"/>
    </row>
    <row r="126" customFormat="false" ht="15" hidden="false" customHeight="false" outlineLevel="0" collapsed="false">
      <c r="A126" s="5" t="s">
        <v>1352</v>
      </c>
      <c r="B126" s="5" t="s">
        <v>151</v>
      </c>
      <c r="C126" s="5" t="s">
        <v>152</v>
      </c>
      <c r="D126" s="6" t="s">
        <v>45</v>
      </c>
      <c r="E126" s="5" t="n">
        <v>6</v>
      </c>
      <c r="F126" s="5" t="s">
        <v>1353</v>
      </c>
      <c r="G126" s="11" t="s">
        <v>1354</v>
      </c>
      <c r="H126" s="5" t="s">
        <v>1355</v>
      </c>
      <c r="I126" s="11" t="s">
        <v>1356</v>
      </c>
      <c r="J126" s="5" t="s">
        <v>1357</v>
      </c>
      <c r="K126" s="5" t="s">
        <v>1358</v>
      </c>
      <c r="L126" s="11" t="s">
        <v>1359</v>
      </c>
      <c r="M126" s="11" t="s">
        <v>1360</v>
      </c>
      <c r="N126" s="5" t="n">
        <f aca="false">LEN(L126)</f>
        <v>25</v>
      </c>
      <c r="O126" s="5" t="n">
        <f aca="false">LEN(M126)</f>
        <v>25</v>
      </c>
      <c r="P126" s="12" t="n">
        <f aca="false">IF(N126=0,"",(N126-LEN(SUBSTITUTE(SUBSTITUTE(L126,"G",""),"C","")))/N126)</f>
        <v>0.48</v>
      </c>
      <c r="Q126" s="12" t="n">
        <f aca="false">IF(O126=0,"",(O126-LEN(SUBSTITUTE(SUBSTITUTE(M126,"G",""),"C","")))/O126)</f>
        <v>0.48</v>
      </c>
      <c r="R126" s="5"/>
      <c r="S126" s="5" t="s">
        <v>342</v>
      </c>
      <c r="T126" s="5"/>
      <c r="U126" s="5" t="s">
        <v>343</v>
      </c>
      <c r="V126" s="5" t="s">
        <v>1315</v>
      </c>
      <c r="W126" s="5"/>
      <c r="X126" s="13" t="s">
        <v>345</v>
      </c>
      <c r="Y126" s="5"/>
    </row>
    <row r="127" customFormat="false" ht="15" hidden="false" customHeight="false" outlineLevel="0" collapsed="false">
      <c r="A127" s="5" t="s">
        <v>1361</v>
      </c>
      <c r="B127" s="5" t="s">
        <v>151</v>
      </c>
      <c r="C127" s="5" t="s">
        <v>152</v>
      </c>
      <c r="D127" s="6" t="s">
        <v>45</v>
      </c>
      <c r="E127" s="5" t="n">
        <v>7</v>
      </c>
      <c r="F127" s="5" t="s">
        <v>1362</v>
      </c>
      <c r="G127" s="11" t="s">
        <v>1363</v>
      </c>
      <c r="H127" s="5" t="s">
        <v>1364</v>
      </c>
      <c r="I127" s="11" t="s">
        <v>1365</v>
      </c>
      <c r="J127" s="5" t="s">
        <v>1366</v>
      </c>
      <c r="K127" s="5" t="s">
        <v>1367</v>
      </c>
      <c r="L127" s="11" t="s">
        <v>1368</v>
      </c>
      <c r="M127" s="11" t="s">
        <v>1369</v>
      </c>
      <c r="N127" s="5" t="n">
        <f aca="false">LEN(L127)</f>
        <v>25</v>
      </c>
      <c r="O127" s="5" t="n">
        <f aca="false">LEN(M127)</f>
        <v>25</v>
      </c>
      <c r="P127" s="12" t="n">
        <f aca="false">IF(N127=0,"",(N127-LEN(SUBSTITUTE(SUBSTITUTE(L127,"G",""),"C","")))/N127)</f>
        <v>0.4</v>
      </c>
      <c r="Q127" s="12" t="n">
        <f aca="false">IF(O127=0,"",(O127-LEN(SUBSTITUTE(SUBSTITUTE(M127,"G",""),"C","")))/O127)</f>
        <v>0.36</v>
      </c>
      <c r="R127" s="5"/>
      <c r="S127" s="5" t="s">
        <v>342</v>
      </c>
      <c r="T127" s="5"/>
      <c r="U127" s="5" t="s">
        <v>343</v>
      </c>
      <c r="V127" s="5" t="s">
        <v>1315</v>
      </c>
      <c r="W127" s="5"/>
      <c r="X127" s="13" t="s">
        <v>345</v>
      </c>
      <c r="Y127" s="5"/>
    </row>
    <row r="128" customFormat="false" ht="15" hidden="false" customHeight="false" outlineLevel="0" collapsed="false">
      <c r="A128" s="5" t="s">
        <v>1370</v>
      </c>
      <c r="B128" s="5" t="s">
        <v>151</v>
      </c>
      <c r="C128" s="5" t="s">
        <v>152</v>
      </c>
      <c r="D128" s="6" t="s">
        <v>45</v>
      </c>
      <c r="E128" s="5" t="n">
        <v>8</v>
      </c>
      <c r="F128" s="5" t="s">
        <v>1371</v>
      </c>
      <c r="G128" s="11" t="s">
        <v>1372</v>
      </c>
      <c r="H128" s="5" t="s">
        <v>1373</v>
      </c>
      <c r="I128" s="11" t="s">
        <v>1374</v>
      </c>
      <c r="J128" s="5" t="s">
        <v>1375</v>
      </c>
      <c r="K128" s="5" t="s">
        <v>1376</v>
      </c>
      <c r="L128" s="11" t="s">
        <v>1377</v>
      </c>
      <c r="M128" s="11" t="s">
        <v>1378</v>
      </c>
      <c r="N128" s="5" t="n">
        <f aca="false">LEN(L128)</f>
        <v>25</v>
      </c>
      <c r="O128" s="5" t="n">
        <f aca="false">LEN(M128)</f>
        <v>25</v>
      </c>
      <c r="P128" s="12" t="n">
        <f aca="false">IF(N128=0,"",(N128-LEN(SUBSTITUTE(SUBSTITUTE(L128,"G",""),"C","")))/N128)</f>
        <v>0.32</v>
      </c>
      <c r="Q128" s="12" t="n">
        <f aca="false">IF(O128=0,"",(O128-LEN(SUBSTITUTE(SUBSTITUTE(M128,"G",""),"C","")))/O128)</f>
        <v>0.16</v>
      </c>
      <c r="R128" s="5"/>
      <c r="S128" s="5" t="s">
        <v>342</v>
      </c>
      <c r="T128" s="5"/>
      <c r="U128" s="5" t="s">
        <v>343</v>
      </c>
      <c r="V128" s="5" t="s">
        <v>1315</v>
      </c>
      <c r="W128" s="5"/>
      <c r="X128" s="13" t="s">
        <v>345</v>
      </c>
      <c r="Y128" s="5"/>
    </row>
    <row r="129" customFormat="false" ht="15" hidden="false" customHeight="false" outlineLevel="0" collapsed="false">
      <c r="A129" s="5" t="s">
        <v>1379</v>
      </c>
      <c r="B129" s="5" t="s">
        <v>151</v>
      </c>
      <c r="C129" s="5" t="s">
        <v>152</v>
      </c>
      <c r="D129" s="6" t="s">
        <v>45</v>
      </c>
      <c r="E129" s="5" t="n">
        <v>9</v>
      </c>
      <c r="F129" s="5" t="s">
        <v>1380</v>
      </c>
      <c r="G129" s="11" t="s">
        <v>1381</v>
      </c>
      <c r="H129" s="5" t="s">
        <v>1382</v>
      </c>
      <c r="I129" s="11" t="s">
        <v>1383</v>
      </c>
      <c r="J129" s="5" t="s">
        <v>1384</v>
      </c>
      <c r="K129" s="5" t="s">
        <v>1385</v>
      </c>
      <c r="L129" s="11" t="s">
        <v>1386</v>
      </c>
      <c r="M129" s="11" t="s">
        <v>1387</v>
      </c>
      <c r="N129" s="5" t="n">
        <f aca="false">LEN(L129)</f>
        <v>25</v>
      </c>
      <c r="O129" s="5" t="n">
        <f aca="false">LEN(M129)</f>
        <v>25</v>
      </c>
      <c r="P129" s="12" t="n">
        <f aca="false">IF(N129=0,"",(N129-LEN(SUBSTITUTE(SUBSTITUTE(L129,"G",""),"C","")))/N129)</f>
        <v>0.24</v>
      </c>
      <c r="Q129" s="12" t="n">
        <f aca="false">IF(O129=0,"",(O129-LEN(SUBSTITUTE(SUBSTITUTE(M129,"G",""),"C","")))/O129)</f>
        <v>0.36</v>
      </c>
      <c r="R129" s="5"/>
      <c r="S129" s="5" t="s">
        <v>342</v>
      </c>
      <c r="T129" s="5"/>
      <c r="U129" s="5" t="s">
        <v>343</v>
      </c>
      <c r="V129" s="5" t="s">
        <v>1315</v>
      </c>
      <c r="W129" s="5"/>
      <c r="X129" s="13" t="s">
        <v>345</v>
      </c>
      <c r="Y129" s="5"/>
    </row>
    <row r="130" customFormat="false" ht="15" hidden="false" customHeight="false" outlineLevel="0" collapsed="false">
      <c r="A130" s="5" t="s">
        <v>1388</v>
      </c>
      <c r="B130" s="5" t="s">
        <v>151</v>
      </c>
      <c r="C130" s="5" t="s">
        <v>152</v>
      </c>
      <c r="D130" s="6" t="s">
        <v>45</v>
      </c>
      <c r="E130" s="5" t="n">
        <v>10</v>
      </c>
      <c r="F130" s="5" t="s">
        <v>1389</v>
      </c>
      <c r="G130" s="11" t="s">
        <v>1390</v>
      </c>
      <c r="H130" s="5" t="s">
        <v>1391</v>
      </c>
      <c r="I130" s="11" t="s">
        <v>1392</v>
      </c>
      <c r="J130" s="5" t="s">
        <v>1393</v>
      </c>
      <c r="K130" s="5" t="s">
        <v>1394</v>
      </c>
      <c r="L130" s="11" t="s">
        <v>1395</v>
      </c>
      <c r="M130" s="11" t="s">
        <v>1396</v>
      </c>
      <c r="N130" s="5" t="n">
        <f aca="false">LEN(L130)</f>
        <v>25</v>
      </c>
      <c r="O130" s="5" t="n">
        <f aca="false">LEN(M130)</f>
        <v>25</v>
      </c>
      <c r="P130" s="12" t="n">
        <f aca="false">IF(N130=0,"",(N130-LEN(SUBSTITUTE(SUBSTITUTE(L130,"G",""),"C","")))/N130)</f>
        <v>0.36</v>
      </c>
      <c r="Q130" s="12" t="n">
        <f aca="false">IF(O130=0,"",(O130-LEN(SUBSTITUTE(SUBSTITUTE(M130,"G",""),"C","")))/O130)</f>
        <v>0.24</v>
      </c>
      <c r="R130" s="5"/>
      <c r="S130" s="5" t="s">
        <v>342</v>
      </c>
      <c r="T130" s="5"/>
      <c r="U130" s="5" t="s">
        <v>343</v>
      </c>
      <c r="V130" s="5" t="s">
        <v>1315</v>
      </c>
      <c r="W130" s="5"/>
      <c r="X130" s="13" t="s">
        <v>345</v>
      </c>
      <c r="Y130" s="5"/>
    </row>
    <row r="131" customFormat="false" ht="15" hidden="false" customHeight="false" outlineLevel="0" collapsed="false">
      <c r="A131" s="5" t="s">
        <v>1397</v>
      </c>
      <c r="B131" s="5" t="s">
        <v>151</v>
      </c>
      <c r="C131" s="5" t="s">
        <v>152</v>
      </c>
      <c r="D131" s="6" t="s">
        <v>45</v>
      </c>
      <c r="E131" s="5" t="n">
        <v>11</v>
      </c>
      <c r="F131" s="5" t="s">
        <v>1398</v>
      </c>
      <c r="G131" s="11" t="s">
        <v>1399</v>
      </c>
      <c r="H131" s="5" t="s">
        <v>1400</v>
      </c>
      <c r="I131" s="11" t="s">
        <v>1401</v>
      </c>
      <c r="J131" s="5" t="s">
        <v>1402</v>
      </c>
      <c r="K131" s="5" t="s">
        <v>1403</v>
      </c>
      <c r="L131" s="11" t="s">
        <v>1404</v>
      </c>
      <c r="M131" s="11" t="s">
        <v>1405</v>
      </c>
      <c r="N131" s="5" t="n">
        <f aca="false">LEN(L131)</f>
        <v>25</v>
      </c>
      <c r="O131" s="5" t="n">
        <f aca="false">LEN(M131)</f>
        <v>25</v>
      </c>
      <c r="P131" s="12" t="n">
        <f aca="false">IF(N131=0,"",(N131-LEN(SUBSTITUTE(SUBSTITUTE(L131,"G",""),"C","")))/N131)</f>
        <v>0.52</v>
      </c>
      <c r="Q131" s="12" t="n">
        <f aca="false">IF(O131=0,"",(O131-LEN(SUBSTITUTE(SUBSTITUTE(M131,"G",""),"C","")))/O131)</f>
        <v>0.36</v>
      </c>
      <c r="R131" s="5"/>
      <c r="S131" s="5" t="s">
        <v>342</v>
      </c>
      <c r="T131" s="5"/>
      <c r="U131" s="5" t="s">
        <v>343</v>
      </c>
      <c r="V131" s="5" t="s">
        <v>1315</v>
      </c>
      <c r="W131" s="5"/>
      <c r="X131" s="13" t="s">
        <v>345</v>
      </c>
      <c r="Y131" s="5"/>
    </row>
    <row r="132" customFormat="false" ht="15" hidden="false" customHeight="false" outlineLevel="0" collapsed="false">
      <c r="A132" s="5" t="s">
        <v>1406</v>
      </c>
      <c r="B132" s="5" t="s">
        <v>151</v>
      </c>
      <c r="C132" s="5" t="s">
        <v>152</v>
      </c>
      <c r="D132" s="6" t="s">
        <v>45</v>
      </c>
      <c r="E132" s="5" t="n">
        <v>12</v>
      </c>
      <c r="F132" s="5" t="s">
        <v>1407</v>
      </c>
      <c r="G132" s="11" t="s">
        <v>1408</v>
      </c>
      <c r="H132" s="5" t="s">
        <v>1409</v>
      </c>
      <c r="I132" s="11" t="s">
        <v>1410</v>
      </c>
      <c r="J132" s="5" t="s">
        <v>1411</v>
      </c>
      <c r="K132" s="5" t="s">
        <v>1412</v>
      </c>
      <c r="L132" s="11" t="s">
        <v>1413</v>
      </c>
      <c r="M132" s="11" t="s">
        <v>1414</v>
      </c>
      <c r="N132" s="5" t="n">
        <f aca="false">LEN(L132)</f>
        <v>25</v>
      </c>
      <c r="O132" s="5" t="n">
        <f aca="false">LEN(M132)</f>
        <v>25</v>
      </c>
      <c r="P132" s="12" t="n">
        <f aca="false">IF(N132=0,"",(N132-LEN(SUBSTITUTE(SUBSTITUTE(L132,"G",""),"C","")))/N132)</f>
        <v>0.36</v>
      </c>
      <c r="Q132" s="12" t="n">
        <f aca="false">IF(O132=0,"",(O132-LEN(SUBSTITUTE(SUBSTITUTE(M132,"G",""),"C","")))/O132)</f>
        <v>0.48</v>
      </c>
      <c r="R132" s="5"/>
      <c r="S132" s="5" t="s">
        <v>342</v>
      </c>
      <c r="T132" s="5"/>
      <c r="U132" s="5" t="s">
        <v>343</v>
      </c>
      <c r="V132" s="5" t="s">
        <v>1315</v>
      </c>
      <c r="W132" s="5"/>
      <c r="X132" s="13" t="s">
        <v>345</v>
      </c>
      <c r="Y132" s="5"/>
    </row>
    <row r="133" customFormat="false" ht="15" hidden="false" customHeight="false" outlineLevel="0" collapsed="false">
      <c r="A133" s="5" t="s">
        <v>1415</v>
      </c>
      <c r="B133" s="5" t="s">
        <v>151</v>
      </c>
      <c r="C133" s="5" t="s">
        <v>152</v>
      </c>
      <c r="D133" s="6" t="s">
        <v>45</v>
      </c>
      <c r="E133" s="5" t="n">
        <v>13</v>
      </c>
      <c r="F133" s="5" t="s">
        <v>1416</v>
      </c>
      <c r="G133" s="11" t="s">
        <v>1417</v>
      </c>
      <c r="H133" s="5" t="s">
        <v>1418</v>
      </c>
      <c r="I133" s="11" t="s">
        <v>1419</v>
      </c>
      <c r="J133" s="5" t="s">
        <v>1420</v>
      </c>
      <c r="K133" s="5" t="s">
        <v>1421</v>
      </c>
      <c r="L133" s="11" t="s">
        <v>1422</v>
      </c>
      <c r="M133" s="11" t="s">
        <v>1423</v>
      </c>
      <c r="N133" s="5" t="n">
        <f aca="false">LEN(L133)</f>
        <v>25</v>
      </c>
      <c r="O133" s="5" t="n">
        <f aca="false">LEN(M133)</f>
        <v>25</v>
      </c>
      <c r="P133" s="12" t="n">
        <f aca="false">IF(N133=0,"",(N133-LEN(SUBSTITUTE(SUBSTITUTE(L133,"G",""),"C","")))/N133)</f>
        <v>0.44</v>
      </c>
      <c r="Q133" s="12" t="n">
        <f aca="false">IF(O133=0,"",(O133-LEN(SUBSTITUTE(SUBSTITUTE(M133,"G",""),"C","")))/O133)</f>
        <v>0.32</v>
      </c>
      <c r="R133" s="5"/>
      <c r="S133" s="5" t="s">
        <v>342</v>
      </c>
      <c r="T133" s="5"/>
      <c r="U133" s="5" t="s">
        <v>343</v>
      </c>
      <c r="V133" s="5" t="s">
        <v>1315</v>
      </c>
      <c r="W133" s="5"/>
      <c r="X133" s="13" t="s">
        <v>345</v>
      </c>
      <c r="Y133" s="5"/>
    </row>
    <row r="134" customFormat="false" ht="15" hidden="false" customHeight="false" outlineLevel="0" collapsed="false">
      <c r="A134" s="5" t="s">
        <v>1424</v>
      </c>
      <c r="B134" s="5" t="s">
        <v>151</v>
      </c>
      <c r="C134" s="5" t="s">
        <v>152</v>
      </c>
      <c r="D134" s="6" t="s">
        <v>45</v>
      </c>
      <c r="E134" s="5" t="n">
        <v>14</v>
      </c>
      <c r="F134" s="5" t="s">
        <v>1425</v>
      </c>
      <c r="G134" s="11" t="s">
        <v>1426</v>
      </c>
      <c r="H134" s="5" t="s">
        <v>1427</v>
      </c>
      <c r="I134" s="11" t="s">
        <v>1428</v>
      </c>
      <c r="J134" s="5" t="s">
        <v>1429</v>
      </c>
      <c r="K134" s="5" t="s">
        <v>1430</v>
      </c>
      <c r="L134" s="11" t="s">
        <v>1431</v>
      </c>
      <c r="M134" s="11" t="s">
        <v>1432</v>
      </c>
      <c r="N134" s="5" t="n">
        <f aca="false">LEN(L134)</f>
        <v>25</v>
      </c>
      <c r="O134" s="5" t="n">
        <f aca="false">LEN(M134)</f>
        <v>25</v>
      </c>
      <c r="P134" s="12" t="n">
        <f aca="false">IF(N134=0,"",(N134-LEN(SUBSTITUTE(SUBSTITUTE(L134,"G",""),"C","")))/N134)</f>
        <v>0.56</v>
      </c>
      <c r="Q134" s="12" t="n">
        <f aca="false">IF(O134=0,"",(O134-LEN(SUBSTITUTE(SUBSTITUTE(M134,"G",""),"C","")))/O134)</f>
        <v>0.6</v>
      </c>
      <c r="R134" s="5"/>
      <c r="S134" s="5" t="s">
        <v>342</v>
      </c>
      <c r="T134" s="5"/>
      <c r="U134" s="5" t="s">
        <v>343</v>
      </c>
      <c r="V134" s="5" t="s">
        <v>1315</v>
      </c>
      <c r="W134" s="5"/>
      <c r="X134" s="13" t="s">
        <v>345</v>
      </c>
      <c r="Y134" s="5"/>
    </row>
    <row r="135" customFormat="false" ht="15" hidden="false" customHeight="false" outlineLevel="0" collapsed="false">
      <c r="A135" s="5" t="s">
        <v>1433</v>
      </c>
      <c r="B135" s="5" t="s">
        <v>151</v>
      </c>
      <c r="C135" s="5" t="s">
        <v>152</v>
      </c>
      <c r="D135" s="6" t="s">
        <v>45</v>
      </c>
      <c r="E135" s="5" t="n">
        <v>15</v>
      </c>
      <c r="F135" s="5" t="s">
        <v>1434</v>
      </c>
      <c r="G135" s="11" t="s">
        <v>1435</v>
      </c>
      <c r="H135" s="5" t="s">
        <v>1436</v>
      </c>
      <c r="I135" s="11" t="s">
        <v>1437</v>
      </c>
      <c r="J135" s="5" t="s">
        <v>1438</v>
      </c>
      <c r="K135" s="5" t="s">
        <v>1439</v>
      </c>
      <c r="L135" s="11" t="s">
        <v>1440</v>
      </c>
      <c r="M135" s="11" t="s">
        <v>1441</v>
      </c>
      <c r="N135" s="5" t="n">
        <f aca="false">LEN(L135)</f>
        <v>25</v>
      </c>
      <c r="O135" s="5" t="n">
        <f aca="false">LEN(M135)</f>
        <v>25</v>
      </c>
      <c r="P135" s="12" t="n">
        <f aca="false">IF(N135=0,"",(N135-LEN(SUBSTITUTE(SUBSTITUTE(L135,"G",""),"C","")))/N135)</f>
        <v>0.32</v>
      </c>
      <c r="Q135" s="12" t="n">
        <f aca="false">IF(O135=0,"",(O135-LEN(SUBSTITUTE(SUBSTITUTE(M135,"G",""),"C","")))/O135)</f>
        <v>0.68</v>
      </c>
      <c r="R135" s="5"/>
      <c r="S135" s="5" t="s">
        <v>342</v>
      </c>
      <c r="T135" s="5"/>
      <c r="U135" s="5" t="s">
        <v>343</v>
      </c>
      <c r="V135" s="5" t="s">
        <v>1315</v>
      </c>
      <c r="W135" s="5"/>
      <c r="X135" s="13" t="s">
        <v>345</v>
      </c>
      <c r="Y135" s="5"/>
    </row>
    <row r="136" customFormat="false" ht="15" hidden="false" customHeight="false" outlineLevel="0" collapsed="false">
      <c r="A136" s="5" t="s">
        <v>1442</v>
      </c>
      <c r="B136" s="5" t="s">
        <v>151</v>
      </c>
      <c r="C136" s="5" t="s">
        <v>152</v>
      </c>
      <c r="D136" s="6" t="s">
        <v>45</v>
      </c>
      <c r="E136" s="5" t="n">
        <v>16</v>
      </c>
      <c r="F136" s="5" t="s">
        <v>1443</v>
      </c>
      <c r="G136" s="11" t="s">
        <v>1444</v>
      </c>
      <c r="H136" s="5" t="s">
        <v>1445</v>
      </c>
      <c r="I136" s="11" t="s">
        <v>1446</v>
      </c>
      <c r="J136" s="5" t="s">
        <v>1447</v>
      </c>
      <c r="K136" s="5" t="s">
        <v>1448</v>
      </c>
      <c r="L136" s="11" t="s">
        <v>1449</v>
      </c>
      <c r="M136" s="11" t="s">
        <v>1450</v>
      </c>
      <c r="N136" s="5" t="n">
        <f aca="false">LEN(L136)</f>
        <v>25</v>
      </c>
      <c r="O136" s="5" t="n">
        <f aca="false">LEN(M136)</f>
        <v>25</v>
      </c>
      <c r="P136" s="12" t="n">
        <f aca="false">IF(N136=0,"",(N136-LEN(SUBSTITUTE(SUBSTITUTE(L136,"G",""),"C","")))/N136)</f>
        <v>0.68</v>
      </c>
      <c r="Q136" s="12" t="n">
        <f aca="false">IF(O136=0,"",(O136-LEN(SUBSTITUTE(SUBSTITUTE(M136,"G",""),"C","")))/O136)</f>
        <v>0.68</v>
      </c>
      <c r="R136" s="5"/>
      <c r="S136" s="5" t="s">
        <v>342</v>
      </c>
      <c r="T136" s="5"/>
      <c r="U136" s="5" t="s">
        <v>343</v>
      </c>
      <c r="V136" s="5" t="s">
        <v>1315</v>
      </c>
      <c r="W136" s="5"/>
      <c r="X136" s="13" t="s">
        <v>345</v>
      </c>
      <c r="Y136" s="5"/>
    </row>
    <row r="137" customFormat="false" ht="15" hidden="false" customHeight="false" outlineLevel="0" collapsed="false">
      <c r="A137" s="5" t="s">
        <v>1451</v>
      </c>
      <c r="B137" s="5" t="s">
        <v>151</v>
      </c>
      <c r="C137" s="5" t="s">
        <v>152</v>
      </c>
      <c r="D137" s="6" t="s">
        <v>45</v>
      </c>
      <c r="E137" s="5" t="n">
        <v>17</v>
      </c>
      <c r="F137" s="5" t="s">
        <v>1452</v>
      </c>
      <c r="G137" s="11" t="s">
        <v>1453</v>
      </c>
      <c r="H137" s="5" t="s">
        <v>1454</v>
      </c>
      <c r="I137" s="11" t="s">
        <v>1455</v>
      </c>
      <c r="J137" s="5" t="s">
        <v>1456</v>
      </c>
      <c r="K137" s="5" t="s">
        <v>1457</v>
      </c>
      <c r="L137" s="11" t="s">
        <v>1458</v>
      </c>
      <c r="M137" s="11" t="s">
        <v>1459</v>
      </c>
      <c r="N137" s="5" t="n">
        <f aca="false">LEN(L137)</f>
        <v>25</v>
      </c>
      <c r="O137" s="5" t="n">
        <f aca="false">LEN(M137)</f>
        <v>25</v>
      </c>
      <c r="P137" s="12" t="n">
        <f aca="false">IF(N137=0,"",(N137-LEN(SUBSTITUTE(SUBSTITUTE(L137,"G",""),"C","")))/N137)</f>
        <v>0.56</v>
      </c>
      <c r="Q137" s="12" t="n">
        <f aca="false">IF(O137=0,"",(O137-LEN(SUBSTITUTE(SUBSTITUTE(M137,"G",""),"C","")))/O137)</f>
        <v>0.56</v>
      </c>
      <c r="R137" s="5"/>
      <c r="S137" s="5" t="s">
        <v>342</v>
      </c>
      <c r="T137" s="5"/>
      <c r="U137" s="5" t="s">
        <v>343</v>
      </c>
      <c r="V137" s="5" t="s">
        <v>1315</v>
      </c>
      <c r="W137" s="5"/>
      <c r="X137" s="13" t="s">
        <v>345</v>
      </c>
      <c r="Y137" s="5"/>
    </row>
    <row r="138" customFormat="false" ht="15" hidden="false" customHeight="false" outlineLevel="0" collapsed="false">
      <c r="A138" s="5" t="s">
        <v>1460</v>
      </c>
      <c r="B138" s="5" t="s">
        <v>151</v>
      </c>
      <c r="C138" s="5" t="s">
        <v>152</v>
      </c>
      <c r="D138" s="6" t="s">
        <v>45</v>
      </c>
      <c r="E138" s="5" t="n">
        <v>18</v>
      </c>
      <c r="F138" s="5" t="s">
        <v>1461</v>
      </c>
      <c r="G138" s="11" t="s">
        <v>1462</v>
      </c>
      <c r="H138" s="5" t="s">
        <v>1463</v>
      </c>
      <c r="I138" s="11" t="s">
        <v>1464</v>
      </c>
      <c r="J138" s="5" t="s">
        <v>1465</v>
      </c>
      <c r="K138" s="5" t="s">
        <v>1466</v>
      </c>
      <c r="L138" s="11" t="s">
        <v>1467</v>
      </c>
      <c r="M138" s="11" t="s">
        <v>1468</v>
      </c>
      <c r="N138" s="5" t="n">
        <f aca="false">LEN(L138)</f>
        <v>25</v>
      </c>
      <c r="O138" s="5" t="n">
        <f aca="false">LEN(M138)</f>
        <v>25</v>
      </c>
      <c r="P138" s="12" t="n">
        <f aca="false">IF(N138=0,"",(N138-LEN(SUBSTITUTE(SUBSTITUTE(L138,"G",""),"C","")))/N138)</f>
        <v>0.56</v>
      </c>
      <c r="Q138" s="12" t="n">
        <f aca="false">IF(O138=0,"",(O138-LEN(SUBSTITUTE(SUBSTITUTE(M138,"G",""),"C","")))/O138)</f>
        <v>0.64</v>
      </c>
      <c r="R138" s="5"/>
      <c r="S138" s="5" t="s">
        <v>342</v>
      </c>
      <c r="T138" s="5"/>
      <c r="U138" s="5" t="s">
        <v>343</v>
      </c>
      <c r="V138" s="5" t="s">
        <v>1315</v>
      </c>
      <c r="W138" s="5"/>
      <c r="X138" s="13" t="s">
        <v>345</v>
      </c>
      <c r="Y138" s="5"/>
    </row>
    <row r="139" customFormat="false" ht="15" hidden="false" customHeight="false" outlineLevel="0" collapsed="false">
      <c r="A139" s="5" t="s">
        <v>1469</v>
      </c>
      <c r="B139" s="5" t="s">
        <v>151</v>
      </c>
      <c r="C139" s="5" t="s">
        <v>152</v>
      </c>
      <c r="D139" s="6" t="s">
        <v>45</v>
      </c>
      <c r="E139" s="5" t="n">
        <v>19</v>
      </c>
      <c r="F139" s="5" t="s">
        <v>1470</v>
      </c>
      <c r="G139" s="11" t="s">
        <v>1471</v>
      </c>
      <c r="H139" s="5" t="s">
        <v>1472</v>
      </c>
      <c r="I139" s="11" t="s">
        <v>1473</v>
      </c>
      <c r="J139" s="5" t="s">
        <v>1474</v>
      </c>
      <c r="K139" s="5" t="s">
        <v>1475</v>
      </c>
      <c r="L139" s="11" t="s">
        <v>1476</v>
      </c>
      <c r="M139" s="11" t="s">
        <v>1477</v>
      </c>
      <c r="N139" s="5" t="n">
        <f aca="false">LEN(L139)</f>
        <v>25</v>
      </c>
      <c r="O139" s="5" t="n">
        <f aca="false">LEN(M139)</f>
        <v>25</v>
      </c>
      <c r="P139" s="12" t="n">
        <f aca="false">IF(N139=0,"",(N139-LEN(SUBSTITUTE(SUBSTITUTE(L139,"G",""),"C","")))/N139)</f>
        <v>0.72</v>
      </c>
      <c r="Q139" s="12" t="n">
        <f aca="false">IF(O139=0,"",(O139-LEN(SUBSTITUTE(SUBSTITUTE(M139,"G",""),"C","")))/O139)</f>
        <v>0.76</v>
      </c>
      <c r="R139" s="5"/>
      <c r="S139" s="5" t="s">
        <v>342</v>
      </c>
      <c r="T139" s="5"/>
      <c r="U139" s="5" t="s">
        <v>343</v>
      </c>
      <c r="V139" s="5" t="s">
        <v>1315</v>
      </c>
      <c r="W139" s="5"/>
      <c r="X139" s="13" t="s">
        <v>345</v>
      </c>
      <c r="Y139" s="5"/>
    </row>
    <row r="140" customFormat="false" ht="15" hidden="false" customHeight="false" outlineLevel="0" collapsed="false">
      <c r="A140" s="5" t="s">
        <v>1478</v>
      </c>
      <c r="B140" s="5" t="s">
        <v>151</v>
      </c>
      <c r="C140" s="5" t="s">
        <v>152</v>
      </c>
      <c r="D140" s="6" t="s">
        <v>45</v>
      </c>
      <c r="E140" s="5" t="n">
        <v>20</v>
      </c>
      <c r="F140" s="5" t="s">
        <v>1479</v>
      </c>
      <c r="G140" s="11" t="s">
        <v>1480</v>
      </c>
      <c r="H140" s="5" t="s">
        <v>1481</v>
      </c>
      <c r="I140" s="11" t="s">
        <v>1482</v>
      </c>
      <c r="J140" s="5" t="s">
        <v>1483</v>
      </c>
      <c r="K140" s="5" t="s">
        <v>1484</v>
      </c>
      <c r="L140" s="11" t="s">
        <v>1485</v>
      </c>
      <c r="M140" s="11" t="s">
        <v>1486</v>
      </c>
      <c r="N140" s="5" t="n">
        <f aca="false">LEN(L140)</f>
        <v>25</v>
      </c>
      <c r="O140" s="5" t="n">
        <f aca="false">LEN(M140)</f>
        <v>25</v>
      </c>
      <c r="P140" s="12" t="n">
        <f aca="false">IF(N140=0,"",(N140-LEN(SUBSTITUTE(SUBSTITUTE(L140,"G",""),"C","")))/N140)</f>
        <v>0.92</v>
      </c>
      <c r="Q140" s="12" t="n">
        <f aca="false">IF(O140=0,"",(O140-LEN(SUBSTITUTE(SUBSTITUTE(M140,"G",""),"C","")))/O140)</f>
        <v>0.88</v>
      </c>
      <c r="R140" s="5"/>
      <c r="S140" s="5" t="s">
        <v>342</v>
      </c>
      <c r="T140" s="5"/>
      <c r="U140" s="5" t="s">
        <v>343</v>
      </c>
      <c r="V140" s="5" t="s">
        <v>1315</v>
      </c>
      <c r="W140" s="5"/>
      <c r="X140" s="13" t="s">
        <v>345</v>
      </c>
      <c r="Y140" s="5"/>
    </row>
    <row r="141" customFormat="false" ht="15" hidden="false" customHeight="false" outlineLevel="0" collapsed="false">
      <c r="A141" s="5" t="s">
        <v>1487</v>
      </c>
      <c r="B141" s="5" t="s">
        <v>151</v>
      </c>
      <c r="C141" s="5" t="s">
        <v>152</v>
      </c>
      <c r="D141" s="6" t="s">
        <v>45</v>
      </c>
      <c r="E141" s="5" t="n">
        <v>21</v>
      </c>
      <c r="F141" s="5" t="s">
        <v>1488</v>
      </c>
      <c r="G141" s="11" t="s">
        <v>1489</v>
      </c>
      <c r="H141" s="5" t="s">
        <v>1490</v>
      </c>
      <c r="I141" s="11" t="s">
        <v>1491</v>
      </c>
      <c r="J141" s="5" t="s">
        <v>1492</v>
      </c>
      <c r="K141" s="5" t="s">
        <v>1493</v>
      </c>
      <c r="L141" s="11" t="s">
        <v>1494</v>
      </c>
      <c r="M141" s="11" t="s">
        <v>1495</v>
      </c>
      <c r="N141" s="5" t="n">
        <f aca="false">LEN(L141)</f>
        <v>25</v>
      </c>
      <c r="O141" s="5" t="n">
        <f aca="false">LEN(M141)</f>
        <v>25</v>
      </c>
      <c r="P141" s="12" t="n">
        <f aca="false">IF(N141=0,"",(N141-LEN(SUBSTITUTE(SUBSTITUTE(L141,"G",""),"C","")))/N141)</f>
        <v>0.8</v>
      </c>
      <c r="Q141" s="12" t="n">
        <f aca="false">IF(O141=0,"",(O141-LEN(SUBSTITUTE(SUBSTITUTE(M141,"G",""),"C","")))/O141)</f>
        <v>0.76</v>
      </c>
      <c r="R141" s="5"/>
      <c r="S141" s="5" t="s">
        <v>342</v>
      </c>
      <c r="T141" s="5"/>
      <c r="U141" s="5" t="s">
        <v>343</v>
      </c>
      <c r="V141" s="5" t="s">
        <v>1315</v>
      </c>
      <c r="W141" s="5"/>
      <c r="X141" s="13" t="s">
        <v>345</v>
      </c>
      <c r="Y141" s="5"/>
    </row>
    <row r="142" customFormat="false" ht="15" hidden="false" customHeight="false" outlineLevel="0" collapsed="false">
      <c r="A142" s="5" t="s">
        <v>1496</v>
      </c>
      <c r="B142" s="5" t="s">
        <v>159</v>
      </c>
      <c r="C142" s="5" t="s">
        <v>160</v>
      </c>
      <c r="D142" s="6" t="s">
        <v>45</v>
      </c>
      <c r="E142" s="5" t="n">
        <v>1</v>
      </c>
      <c r="F142" s="5" t="s">
        <v>1497</v>
      </c>
      <c r="G142" s="11" t="s">
        <v>1498</v>
      </c>
      <c r="H142" s="5" t="s">
        <v>1499</v>
      </c>
      <c r="I142" s="11" t="s">
        <v>1500</v>
      </c>
      <c r="J142" s="5" t="s">
        <v>1501</v>
      </c>
      <c r="K142" s="5" t="s">
        <v>1502</v>
      </c>
      <c r="L142" s="11" t="s">
        <v>1503</v>
      </c>
      <c r="M142" s="11" t="s">
        <v>1504</v>
      </c>
      <c r="N142" s="5" t="n">
        <f aca="false">LEN(L142)</f>
        <v>25</v>
      </c>
      <c r="O142" s="5" t="n">
        <f aca="false">LEN(M142)</f>
        <v>25</v>
      </c>
      <c r="P142" s="12" t="n">
        <f aca="false">IF(N142=0,"",(N142-LEN(SUBSTITUTE(SUBSTITUTE(L142,"G",""),"C","")))/N142)</f>
        <v>0.48</v>
      </c>
      <c r="Q142" s="12" t="n">
        <f aca="false">IF(O142=0,"",(O142-LEN(SUBSTITUTE(SUBSTITUTE(M142,"G",""),"C","")))/O142)</f>
        <v>0.36</v>
      </c>
      <c r="R142" s="5"/>
      <c r="S142" s="5" t="s">
        <v>342</v>
      </c>
      <c r="T142" s="5"/>
      <c r="U142" s="5" t="s">
        <v>343</v>
      </c>
      <c r="V142" s="5" t="s">
        <v>1505</v>
      </c>
      <c r="W142" s="5"/>
      <c r="X142" s="13" t="s">
        <v>345</v>
      </c>
      <c r="Y142" s="5"/>
    </row>
    <row r="143" customFormat="false" ht="15" hidden="false" customHeight="false" outlineLevel="0" collapsed="false">
      <c r="A143" s="5" t="s">
        <v>1506</v>
      </c>
      <c r="B143" s="5" t="s">
        <v>159</v>
      </c>
      <c r="C143" s="5" t="s">
        <v>160</v>
      </c>
      <c r="D143" s="6" t="s">
        <v>45</v>
      </c>
      <c r="E143" s="5" t="n">
        <v>2</v>
      </c>
      <c r="F143" s="5" t="s">
        <v>1507</v>
      </c>
      <c r="G143" s="11" t="s">
        <v>1508</v>
      </c>
      <c r="H143" s="5" t="s">
        <v>1509</v>
      </c>
      <c r="I143" s="11" t="s">
        <v>1510</v>
      </c>
      <c r="J143" s="5" t="s">
        <v>1501</v>
      </c>
      <c r="K143" s="5" t="s">
        <v>1502</v>
      </c>
      <c r="L143" s="11" t="s">
        <v>1511</v>
      </c>
      <c r="M143" s="11" t="s">
        <v>1512</v>
      </c>
      <c r="N143" s="5" t="n">
        <f aca="false">LEN(L143)</f>
        <v>25</v>
      </c>
      <c r="O143" s="5" t="n">
        <f aca="false">LEN(M143)</f>
        <v>25</v>
      </c>
      <c r="P143" s="12" t="n">
        <f aca="false">IF(N143=0,"",(N143-LEN(SUBSTITUTE(SUBSTITUTE(L143,"G",""),"C","")))/N143)</f>
        <v>0.88</v>
      </c>
      <c r="Q143" s="12" t="n">
        <f aca="false">IF(O143=0,"",(O143-LEN(SUBSTITUTE(SUBSTITUTE(M143,"G",""),"C","")))/O143)</f>
        <v>0.76</v>
      </c>
      <c r="R143" s="5"/>
      <c r="S143" s="5" t="s">
        <v>342</v>
      </c>
      <c r="T143" s="5"/>
      <c r="U143" s="5" t="s">
        <v>343</v>
      </c>
      <c r="V143" s="5" t="s">
        <v>1505</v>
      </c>
      <c r="W143" s="5"/>
      <c r="X143" s="13" t="s">
        <v>345</v>
      </c>
      <c r="Y143" s="5"/>
    </row>
    <row r="144" customFormat="false" ht="15" hidden="false" customHeight="false" outlineLevel="0" collapsed="false">
      <c r="A144" s="5" t="s">
        <v>1513</v>
      </c>
      <c r="B144" s="5" t="s">
        <v>159</v>
      </c>
      <c r="C144" s="5" t="s">
        <v>160</v>
      </c>
      <c r="D144" s="6" t="s">
        <v>45</v>
      </c>
      <c r="E144" s="5" t="n">
        <v>3</v>
      </c>
      <c r="F144" s="5" t="s">
        <v>1514</v>
      </c>
      <c r="G144" s="11" t="s">
        <v>1515</v>
      </c>
      <c r="H144" s="5" t="s">
        <v>1516</v>
      </c>
      <c r="I144" s="11" t="s">
        <v>1517</v>
      </c>
      <c r="J144" s="5" t="s">
        <v>1501</v>
      </c>
      <c r="K144" s="5" t="s">
        <v>1502</v>
      </c>
      <c r="L144" s="11" t="s">
        <v>1518</v>
      </c>
      <c r="M144" s="11" t="s">
        <v>1519</v>
      </c>
      <c r="N144" s="5" t="n">
        <f aca="false">LEN(L144)</f>
        <v>25</v>
      </c>
      <c r="O144" s="5" t="n">
        <f aca="false">LEN(M144)</f>
        <v>25</v>
      </c>
      <c r="P144" s="12" t="n">
        <f aca="false">IF(N144=0,"",(N144-LEN(SUBSTITUTE(SUBSTITUTE(L144,"G",""),"C","")))/N144)</f>
        <v>0.68</v>
      </c>
      <c r="Q144" s="12" t="n">
        <f aca="false">IF(O144=0,"",(O144-LEN(SUBSTITUTE(SUBSTITUTE(M144,"G",""),"C","")))/O144)</f>
        <v>0.72</v>
      </c>
      <c r="R144" s="5"/>
      <c r="S144" s="5" t="s">
        <v>342</v>
      </c>
      <c r="T144" s="5"/>
      <c r="U144" s="5" t="s">
        <v>343</v>
      </c>
      <c r="V144" s="5" t="s">
        <v>1505</v>
      </c>
      <c r="W144" s="5"/>
      <c r="X144" s="13" t="s">
        <v>345</v>
      </c>
      <c r="Y144" s="5"/>
    </row>
    <row r="145" customFormat="false" ht="15" hidden="false" customHeight="false" outlineLevel="0" collapsed="false">
      <c r="A145" s="5" t="s">
        <v>1520</v>
      </c>
      <c r="B145" s="5" t="s">
        <v>159</v>
      </c>
      <c r="C145" s="5" t="s">
        <v>160</v>
      </c>
      <c r="D145" s="6" t="s">
        <v>45</v>
      </c>
      <c r="E145" s="5" t="n">
        <v>4</v>
      </c>
      <c r="F145" s="5" t="s">
        <v>1521</v>
      </c>
      <c r="G145" s="11" t="s">
        <v>1522</v>
      </c>
      <c r="H145" s="5" t="s">
        <v>1523</v>
      </c>
      <c r="I145" s="11" t="s">
        <v>1524</v>
      </c>
      <c r="J145" s="5" t="s">
        <v>1501</v>
      </c>
      <c r="K145" s="5" t="s">
        <v>1502</v>
      </c>
      <c r="L145" s="11" t="s">
        <v>1525</v>
      </c>
      <c r="M145" s="11" t="s">
        <v>1526</v>
      </c>
      <c r="N145" s="5" t="n">
        <f aca="false">LEN(L145)</f>
        <v>25</v>
      </c>
      <c r="O145" s="5" t="n">
        <f aca="false">LEN(M145)</f>
        <v>25</v>
      </c>
      <c r="P145" s="12" t="n">
        <f aca="false">IF(N145=0,"",(N145-LEN(SUBSTITUTE(SUBSTITUTE(L145,"G",""),"C","")))/N145)</f>
        <v>0.92</v>
      </c>
      <c r="Q145" s="12" t="n">
        <f aca="false">IF(O145=0,"",(O145-LEN(SUBSTITUTE(SUBSTITUTE(M145,"G",""),"C","")))/O145)</f>
        <v>0.6</v>
      </c>
      <c r="R145" s="5"/>
      <c r="S145" s="5" t="s">
        <v>342</v>
      </c>
      <c r="T145" s="5"/>
      <c r="U145" s="5" t="s">
        <v>832</v>
      </c>
      <c r="V145" s="5" t="s">
        <v>1505</v>
      </c>
      <c r="W145" s="5"/>
      <c r="X145" s="8" t="s">
        <v>488</v>
      </c>
      <c r="Y145" s="8" t="s">
        <v>833</v>
      </c>
    </row>
    <row r="146" customFormat="false" ht="15" hidden="false" customHeight="false" outlineLevel="0" collapsed="false">
      <c r="A146" s="5" t="s">
        <v>1527</v>
      </c>
      <c r="B146" s="5" t="s">
        <v>159</v>
      </c>
      <c r="C146" s="5" t="s">
        <v>160</v>
      </c>
      <c r="D146" s="6" t="s">
        <v>45</v>
      </c>
      <c r="E146" s="5" t="n">
        <v>5</v>
      </c>
      <c r="F146" s="5" t="s">
        <v>1528</v>
      </c>
      <c r="G146" s="11" t="s">
        <v>1529</v>
      </c>
      <c r="H146" s="5" t="s">
        <v>1530</v>
      </c>
      <c r="I146" s="11" t="s">
        <v>1531</v>
      </c>
      <c r="J146" s="5" t="s">
        <v>1501</v>
      </c>
      <c r="K146" s="5" t="s">
        <v>1502</v>
      </c>
      <c r="L146" s="11" t="s">
        <v>1532</v>
      </c>
      <c r="M146" s="11" t="s">
        <v>1533</v>
      </c>
      <c r="N146" s="5" t="n">
        <f aca="false">LEN(L146)</f>
        <v>25</v>
      </c>
      <c r="O146" s="5" t="n">
        <f aca="false">LEN(M146)</f>
        <v>25</v>
      </c>
      <c r="P146" s="12" t="n">
        <f aca="false">IF(N146=0,"",(N146-LEN(SUBSTITUTE(SUBSTITUTE(L146,"G",""),"C","")))/N146)</f>
        <v>0.36</v>
      </c>
      <c r="Q146" s="12" t="n">
        <f aca="false">IF(O146=0,"",(O146-LEN(SUBSTITUTE(SUBSTITUTE(M146,"G",""),"C","")))/O146)</f>
        <v>0.56</v>
      </c>
      <c r="R146" s="5"/>
      <c r="S146" s="5" t="s">
        <v>342</v>
      </c>
      <c r="T146" s="5"/>
      <c r="U146" s="5" t="s">
        <v>832</v>
      </c>
      <c r="V146" s="5" t="s">
        <v>1505</v>
      </c>
      <c r="W146" s="5"/>
      <c r="X146" s="8" t="s">
        <v>383</v>
      </c>
      <c r="Y146" s="8" t="s">
        <v>833</v>
      </c>
    </row>
    <row r="147" customFormat="false" ht="15" hidden="false" customHeight="false" outlineLevel="0" collapsed="false">
      <c r="A147" s="5" t="s">
        <v>1534</v>
      </c>
      <c r="B147" s="5" t="s">
        <v>159</v>
      </c>
      <c r="C147" s="5" t="s">
        <v>160</v>
      </c>
      <c r="D147" s="6" t="s">
        <v>45</v>
      </c>
      <c r="E147" s="5" t="n">
        <v>6</v>
      </c>
      <c r="F147" s="5" t="s">
        <v>1535</v>
      </c>
      <c r="G147" s="11" t="s">
        <v>1536</v>
      </c>
      <c r="H147" s="5" t="s">
        <v>1537</v>
      </c>
      <c r="I147" s="11" t="s">
        <v>1538</v>
      </c>
      <c r="J147" s="5" t="s">
        <v>1501</v>
      </c>
      <c r="K147" s="5" t="s">
        <v>1502</v>
      </c>
      <c r="L147" s="11" t="s">
        <v>1539</v>
      </c>
      <c r="M147" s="11" t="s">
        <v>1540</v>
      </c>
      <c r="N147" s="5" t="n">
        <f aca="false">LEN(L147)</f>
        <v>25</v>
      </c>
      <c r="O147" s="5" t="n">
        <f aca="false">LEN(M147)</f>
        <v>25</v>
      </c>
      <c r="P147" s="12" t="n">
        <f aca="false">IF(N147=0,"",(N147-LEN(SUBSTITUTE(SUBSTITUTE(L147,"G",""),"C","")))/N147)</f>
        <v>0.72</v>
      </c>
      <c r="Q147" s="12" t="n">
        <f aca="false">IF(O147=0,"",(O147-LEN(SUBSTITUTE(SUBSTITUTE(M147,"G",""),"C","")))/O147)</f>
        <v>0.64</v>
      </c>
      <c r="R147" s="5"/>
      <c r="S147" s="5" t="s">
        <v>342</v>
      </c>
      <c r="T147" s="5"/>
      <c r="U147" s="5" t="s">
        <v>832</v>
      </c>
      <c r="V147" s="5" t="s">
        <v>1505</v>
      </c>
      <c r="W147" s="5"/>
      <c r="X147" s="8" t="s">
        <v>383</v>
      </c>
      <c r="Y147" s="8" t="s">
        <v>833</v>
      </c>
    </row>
    <row r="148" customFormat="false" ht="15" hidden="false" customHeight="false" outlineLevel="0" collapsed="false">
      <c r="A148" s="5" t="s">
        <v>1541</v>
      </c>
      <c r="B148" s="5" t="s">
        <v>166</v>
      </c>
      <c r="C148" s="5" t="s">
        <v>167</v>
      </c>
      <c r="D148" s="6" t="s">
        <v>45</v>
      </c>
      <c r="E148" s="5" t="n">
        <v>1</v>
      </c>
      <c r="F148" s="5" t="s">
        <v>1542</v>
      </c>
      <c r="G148" s="11" t="s">
        <v>1543</v>
      </c>
      <c r="H148" s="5" t="s">
        <v>1544</v>
      </c>
      <c r="I148" s="11" t="s">
        <v>1545</v>
      </c>
      <c r="J148" s="5" t="s">
        <v>1546</v>
      </c>
      <c r="K148" s="5" t="s">
        <v>1546</v>
      </c>
      <c r="L148" s="11" t="s">
        <v>1547</v>
      </c>
      <c r="M148" s="11" t="s">
        <v>1548</v>
      </c>
      <c r="N148" s="5" t="n">
        <f aca="false">LEN(L148)</f>
        <v>25</v>
      </c>
      <c r="O148" s="5" t="n">
        <f aca="false">LEN(M148)</f>
        <v>25</v>
      </c>
      <c r="P148" s="12" t="n">
        <f aca="false">IF(N148=0,"",(N148-LEN(SUBSTITUTE(SUBSTITUTE(L148,"G",""),"C","")))/N148)</f>
        <v>0.6</v>
      </c>
      <c r="Q148" s="12" t="n">
        <f aca="false">IF(O148=0,"",(O148-LEN(SUBSTITUTE(SUBSTITUTE(M148,"G",""),"C","")))/O148)</f>
        <v>0.48</v>
      </c>
      <c r="R148" s="5"/>
      <c r="S148" s="5" t="s">
        <v>342</v>
      </c>
      <c r="T148" s="5"/>
      <c r="U148" s="5" t="s">
        <v>343</v>
      </c>
      <c r="V148" s="5" t="s">
        <v>1549</v>
      </c>
      <c r="W148" s="5"/>
      <c r="X148" s="13" t="s">
        <v>345</v>
      </c>
      <c r="Y148" s="5"/>
    </row>
    <row r="149" customFormat="false" ht="15" hidden="false" customHeight="false" outlineLevel="0" collapsed="false">
      <c r="A149" s="5" t="s">
        <v>1550</v>
      </c>
      <c r="B149" s="5" t="s">
        <v>166</v>
      </c>
      <c r="C149" s="5" t="s">
        <v>167</v>
      </c>
      <c r="D149" s="6" t="s">
        <v>45</v>
      </c>
      <c r="E149" s="5" t="n">
        <v>2</v>
      </c>
      <c r="F149" s="5" t="s">
        <v>1551</v>
      </c>
      <c r="G149" s="11" t="s">
        <v>1552</v>
      </c>
      <c r="H149" s="5" t="s">
        <v>1553</v>
      </c>
      <c r="I149" s="11" t="s">
        <v>1554</v>
      </c>
      <c r="J149" s="5" t="s">
        <v>1546</v>
      </c>
      <c r="K149" s="5" t="s">
        <v>1546</v>
      </c>
      <c r="L149" s="11" t="s">
        <v>1555</v>
      </c>
      <c r="M149" s="11" t="s">
        <v>1556</v>
      </c>
      <c r="N149" s="5" t="n">
        <f aca="false">LEN(L149)</f>
        <v>25</v>
      </c>
      <c r="O149" s="5" t="n">
        <f aca="false">LEN(M149)</f>
        <v>25</v>
      </c>
      <c r="P149" s="12" t="n">
        <f aca="false">IF(N149=0,"",(N149-LEN(SUBSTITUTE(SUBSTITUTE(L149,"G",""),"C","")))/N149)</f>
        <v>0.44</v>
      </c>
      <c r="Q149" s="12" t="n">
        <f aca="false">IF(O149=0,"",(O149-LEN(SUBSTITUTE(SUBSTITUTE(M149,"G",""),"C","")))/O149)</f>
        <v>0.32</v>
      </c>
      <c r="R149" s="5"/>
      <c r="S149" s="5" t="s">
        <v>342</v>
      </c>
      <c r="T149" s="5"/>
      <c r="U149" s="5" t="s">
        <v>343</v>
      </c>
      <c r="V149" s="5" t="s">
        <v>1549</v>
      </c>
      <c r="W149" s="5"/>
      <c r="X149" s="13" t="s">
        <v>345</v>
      </c>
      <c r="Y149" s="5"/>
    </row>
    <row r="150" customFormat="false" ht="15" hidden="false" customHeight="false" outlineLevel="0" collapsed="false">
      <c r="A150" s="5" t="s">
        <v>1557</v>
      </c>
      <c r="B150" s="5" t="s">
        <v>166</v>
      </c>
      <c r="C150" s="5" t="s">
        <v>167</v>
      </c>
      <c r="D150" s="6" t="s">
        <v>45</v>
      </c>
      <c r="E150" s="5" t="n">
        <v>3</v>
      </c>
      <c r="F150" s="5" t="s">
        <v>1558</v>
      </c>
      <c r="G150" s="11" t="s">
        <v>1559</v>
      </c>
      <c r="H150" s="5" t="s">
        <v>1560</v>
      </c>
      <c r="I150" s="11" t="s">
        <v>1561</v>
      </c>
      <c r="J150" s="5" t="s">
        <v>1546</v>
      </c>
      <c r="K150" s="5" t="s">
        <v>1546</v>
      </c>
      <c r="L150" s="11" t="s">
        <v>1562</v>
      </c>
      <c r="M150" s="11" t="s">
        <v>1563</v>
      </c>
      <c r="N150" s="5" t="n">
        <f aca="false">LEN(L150)</f>
        <v>25</v>
      </c>
      <c r="O150" s="5" t="n">
        <f aca="false">LEN(M150)</f>
        <v>25</v>
      </c>
      <c r="P150" s="12" t="n">
        <f aca="false">IF(N150=0,"",(N150-LEN(SUBSTITUTE(SUBSTITUTE(L150,"G",""),"C","")))/N150)</f>
        <v>0.44</v>
      </c>
      <c r="Q150" s="12" t="n">
        <f aca="false">IF(O150=0,"",(O150-LEN(SUBSTITUTE(SUBSTITUTE(M150,"G",""),"C","")))/O150)</f>
        <v>0.48</v>
      </c>
      <c r="R150" s="5"/>
      <c r="S150" s="5" t="s">
        <v>342</v>
      </c>
      <c r="T150" s="5"/>
      <c r="U150" s="5" t="s">
        <v>606</v>
      </c>
      <c r="V150" s="5" t="s">
        <v>1549</v>
      </c>
      <c r="W150" s="5"/>
      <c r="X150" s="8" t="s">
        <v>488</v>
      </c>
      <c r="Y150" s="5"/>
    </row>
    <row r="151" customFormat="false" ht="15" hidden="false" customHeight="false" outlineLevel="0" collapsed="false">
      <c r="A151" s="5" t="s">
        <v>1564</v>
      </c>
      <c r="B151" s="5" t="s">
        <v>166</v>
      </c>
      <c r="C151" s="5" t="s">
        <v>167</v>
      </c>
      <c r="D151" s="6" t="s">
        <v>45</v>
      </c>
      <c r="E151" s="5" t="n">
        <v>4</v>
      </c>
      <c r="F151" s="5" t="s">
        <v>1565</v>
      </c>
      <c r="G151" s="11" t="s">
        <v>1566</v>
      </c>
      <c r="H151" s="5" t="s">
        <v>1567</v>
      </c>
      <c r="I151" s="11" t="s">
        <v>1568</v>
      </c>
      <c r="J151" s="5" t="s">
        <v>1546</v>
      </c>
      <c r="K151" s="5" t="s">
        <v>1546</v>
      </c>
      <c r="L151" s="11" t="s">
        <v>1569</v>
      </c>
      <c r="M151" s="11" t="s">
        <v>1570</v>
      </c>
      <c r="N151" s="5" t="n">
        <f aca="false">LEN(L151)</f>
        <v>25</v>
      </c>
      <c r="O151" s="5" t="n">
        <f aca="false">LEN(M151)</f>
        <v>25</v>
      </c>
      <c r="P151" s="12" t="n">
        <f aca="false">IF(N151=0,"",(N151-LEN(SUBSTITUTE(SUBSTITUTE(L151,"G",""),"C","")))/N151)</f>
        <v>0.32</v>
      </c>
      <c r="Q151" s="12" t="n">
        <f aca="false">IF(O151=0,"",(O151-LEN(SUBSTITUTE(SUBSTITUTE(M151,"G",""),"C","")))/O151)</f>
        <v>0.48</v>
      </c>
      <c r="R151" s="5"/>
      <c r="S151" s="5" t="s">
        <v>342</v>
      </c>
      <c r="T151" s="5"/>
      <c r="U151" s="5" t="s">
        <v>606</v>
      </c>
      <c r="V151" s="5" t="s">
        <v>1549</v>
      </c>
      <c r="W151" s="5"/>
      <c r="X151" s="8" t="s">
        <v>488</v>
      </c>
      <c r="Y151" s="5"/>
    </row>
    <row r="152" customFormat="false" ht="15" hidden="false" customHeight="false" outlineLevel="0" collapsed="false">
      <c r="A152" s="5" t="s">
        <v>1571</v>
      </c>
      <c r="B152" s="5" t="s">
        <v>166</v>
      </c>
      <c r="C152" s="5" t="s">
        <v>167</v>
      </c>
      <c r="D152" s="6" t="s">
        <v>45</v>
      </c>
      <c r="E152" s="5" t="n">
        <v>5</v>
      </c>
      <c r="F152" s="5" t="s">
        <v>1572</v>
      </c>
      <c r="G152" s="11" t="s">
        <v>1573</v>
      </c>
      <c r="H152" s="5" t="s">
        <v>1574</v>
      </c>
      <c r="I152" s="11" t="s">
        <v>1575</v>
      </c>
      <c r="J152" s="5" t="s">
        <v>1546</v>
      </c>
      <c r="K152" s="5" t="s">
        <v>1546</v>
      </c>
      <c r="L152" s="11" t="s">
        <v>1576</v>
      </c>
      <c r="M152" s="11" t="s">
        <v>1577</v>
      </c>
      <c r="N152" s="5" t="n">
        <f aca="false">LEN(L152)</f>
        <v>25</v>
      </c>
      <c r="O152" s="5" t="n">
        <f aca="false">LEN(M152)</f>
        <v>25</v>
      </c>
      <c r="P152" s="12" t="n">
        <f aca="false">IF(N152=0,"",(N152-LEN(SUBSTITUTE(SUBSTITUTE(L152,"G",""),"C","")))/N152)</f>
        <v>0.64</v>
      </c>
      <c r="Q152" s="12" t="n">
        <f aca="false">IF(O152=0,"",(O152-LEN(SUBSTITUTE(SUBSTITUTE(M152,"G",""),"C","")))/O152)</f>
        <v>0.76</v>
      </c>
      <c r="R152" s="5"/>
      <c r="S152" s="5" t="s">
        <v>342</v>
      </c>
      <c r="T152" s="5"/>
      <c r="U152" s="5" t="s">
        <v>343</v>
      </c>
      <c r="V152" s="5" t="s">
        <v>1549</v>
      </c>
      <c r="W152" s="5"/>
      <c r="X152" s="13" t="s">
        <v>345</v>
      </c>
      <c r="Y152" s="5"/>
    </row>
    <row r="153" customFormat="false" ht="15" hidden="false" customHeight="false" outlineLevel="0" collapsed="false">
      <c r="A153" s="5" t="s">
        <v>1578</v>
      </c>
      <c r="B153" s="5" t="s">
        <v>166</v>
      </c>
      <c r="C153" s="5" t="s">
        <v>167</v>
      </c>
      <c r="D153" s="6" t="s">
        <v>45</v>
      </c>
      <c r="E153" s="5" t="n">
        <v>6</v>
      </c>
      <c r="F153" s="5" t="s">
        <v>1579</v>
      </c>
      <c r="G153" s="11" t="s">
        <v>1580</v>
      </c>
      <c r="H153" s="5" t="s">
        <v>1581</v>
      </c>
      <c r="I153" s="11" t="s">
        <v>1582</v>
      </c>
      <c r="J153" s="5" t="s">
        <v>1546</v>
      </c>
      <c r="K153" s="5" t="s">
        <v>1546</v>
      </c>
      <c r="L153" s="11" t="s">
        <v>1583</v>
      </c>
      <c r="M153" s="11" t="s">
        <v>1584</v>
      </c>
      <c r="N153" s="5" t="n">
        <f aca="false">LEN(L153)</f>
        <v>25</v>
      </c>
      <c r="O153" s="5" t="n">
        <f aca="false">LEN(M153)</f>
        <v>25</v>
      </c>
      <c r="P153" s="12" t="n">
        <f aca="false">IF(N153=0,"",(N153-LEN(SUBSTITUTE(SUBSTITUTE(L153,"G",""),"C","")))/N153)</f>
        <v>0.96</v>
      </c>
      <c r="Q153" s="12" t="n">
        <f aca="false">IF(O153=0,"",(O153-LEN(SUBSTITUTE(SUBSTITUTE(M153,"G",""),"C","")))/O153)</f>
        <v>0.56</v>
      </c>
      <c r="R153" s="5"/>
      <c r="S153" s="5" t="s">
        <v>342</v>
      </c>
      <c r="T153" s="5"/>
      <c r="U153" s="5" t="s">
        <v>606</v>
      </c>
      <c r="V153" s="5" t="s">
        <v>1549</v>
      </c>
      <c r="W153" s="5"/>
      <c r="X153" s="8" t="s">
        <v>488</v>
      </c>
      <c r="Y153" s="5"/>
    </row>
    <row r="154" customFormat="false" ht="15" hidden="false" customHeight="false" outlineLevel="0" collapsed="false">
      <c r="A154" s="5" t="s">
        <v>1585</v>
      </c>
      <c r="B154" s="5" t="s">
        <v>166</v>
      </c>
      <c r="C154" s="5" t="s">
        <v>167</v>
      </c>
      <c r="D154" s="6" t="s">
        <v>45</v>
      </c>
      <c r="E154" s="5" t="n">
        <v>7</v>
      </c>
      <c r="F154" s="5" t="s">
        <v>1586</v>
      </c>
      <c r="G154" s="11" t="s">
        <v>1587</v>
      </c>
      <c r="H154" s="5" t="s">
        <v>1588</v>
      </c>
      <c r="I154" s="11" t="s">
        <v>1589</v>
      </c>
      <c r="J154" s="5" t="s">
        <v>1546</v>
      </c>
      <c r="K154" s="5" t="s">
        <v>1546</v>
      </c>
      <c r="L154" s="11" t="s">
        <v>1590</v>
      </c>
      <c r="M154" s="11" t="s">
        <v>1591</v>
      </c>
      <c r="N154" s="5" t="n">
        <f aca="false">LEN(L154)</f>
        <v>25</v>
      </c>
      <c r="O154" s="5" t="n">
        <f aca="false">LEN(M154)</f>
        <v>25</v>
      </c>
      <c r="P154" s="12" t="n">
        <f aca="false">IF(N154=0,"",(N154-LEN(SUBSTITUTE(SUBSTITUTE(L154,"G",""),"C","")))/N154)</f>
        <v>0.68</v>
      </c>
      <c r="Q154" s="12" t="n">
        <f aca="false">IF(O154=0,"",(O154-LEN(SUBSTITUTE(SUBSTITUTE(M154,"G",""),"C","")))/O154)</f>
        <v>0.72</v>
      </c>
      <c r="R154" s="5"/>
      <c r="S154" s="5" t="s">
        <v>342</v>
      </c>
      <c r="T154" s="5"/>
      <c r="U154" s="5" t="s">
        <v>343</v>
      </c>
      <c r="V154" s="5" t="s">
        <v>1549</v>
      </c>
      <c r="W154" s="5"/>
      <c r="X154" s="13" t="s">
        <v>345</v>
      </c>
      <c r="Y154" s="5"/>
    </row>
    <row r="155" customFormat="false" ht="15" hidden="false" customHeight="false" outlineLevel="0" collapsed="false">
      <c r="A155" s="5" t="s">
        <v>1592</v>
      </c>
      <c r="B155" s="5" t="s">
        <v>166</v>
      </c>
      <c r="C155" s="5" t="s">
        <v>167</v>
      </c>
      <c r="D155" s="6" t="s">
        <v>45</v>
      </c>
      <c r="E155" s="5" t="n">
        <v>8</v>
      </c>
      <c r="F155" s="5" t="s">
        <v>1593</v>
      </c>
      <c r="G155" s="11" t="s">
        <v>1594</v>
      </c>
      <c r="H155" s="5" t="s">
        <v>1595</v>
      </c>
      <c r="I155" s="11" t="s">
        <v>1596</v>
      </c>
      <c r="J155" s="5" t="s">
        <v>1546</v>
      </c>
      <c r="K155" s="5" t="s">
        <v>1546</v>
      </c>
      <c r="L155" s="11" t="s">
        <v>1597</v>
      </c>
      <c r="M155" s="11" t="s">
        <v>1598</v>
      </c>
      <c r="N155" s="5" t="n">
        <f aca="false">LEN(L155)</f>
        <v>25</v>
      </c>
      <c r="O155" s="5" t="n">
        <f aca="false">LEN(M155)</f>
        <v>25</v>
      </c>
      <c r="P155" s="12" t="n">
        <f aca="false">IF(N155=0,"",(N155-LEN(SUBSTITUTE(SUBSTITUTE(L155,"G",""),"C","")))/N155)</f>
        <v>0.64</v>
      </c>
      <c r="Q155" s="12" t="n">
        <f aca="false">IF(O155=0,"",(O155-LEN(SUBSTITUTE(SUBSTITUTE(M155,"G",""),"C","")))/O155)</f>
        <v>0.6</v>
      </c>
      <c r="R155" s="5"/>
      <c r="S155" s="5" t="s">
        <v>342</v>
      </c>
      <c r="T155" s="5"/>
      <c r="U155" s="5" t="s">
        <v>343</v>
      </c>
      <c r="V155" s="5" t="s">
        <v>1549</v>
      </c>
      <c r="W155" s="5"/>
      <c r="X155" s="13" t="s">
        <v>345</v>
      </c>
      <c r="Y155" s="5"/>
    </row>
    <row r="156" customFormat="false" ht="15" hidden="false" customHeight="false" outlineLevel="0" collapsed="false">
      <c r="A156" s="5" t="s">
        <v>1599</v>
      </c>
      <c r="B156" s="5" t="s">
        <v>166</v>
      </c>
      <c r="C156" s="5" t="s">
        <v>167</v>
      </c>
      <c r="D156" s="6" t="s">
        <v>45</v>
      </c>
      <c r="E156" s="5" t="n">
        <v>9</v>
      </c>
      <c r="F156" s="5" t="s">
        <v>1600</v>
      </c>
      <c r="G156" s="11" t="s">
        <v>1601</v>
      </c>
      <c r="H156" s="5" t="s">
        <v>1602</v>
      </c>
      <c r="I156" s="11" t="s">
        <v>1603</v>
      </c>
      <c r="J156" s="5" t="s">
        <v>1546</v>
      </c>
      <c r="K156" s="5" t="s">
        <v>1546</v>
      </c>
      <c r="L156" s="11" t="s">
        <v>1604</v>
      </c>
      <c r="M156" s="11" t="s">
        <v>1605</v>
      </c>
      <c r="N156" s="5" t="n">
        <f aca="false">LEN(L156)</f>
        <v>25</v>
      </c>
      <c r="O156" s="5" t="n">
        <f aca="false">LEN(M156)</f>
        <v>25</v>
      </c>
      <c r="P156" s="12" t="n">
        <f aca="false">IF(N156=0,"",(N156-LEN(SUBSTITUTE(SUBSTITUTE(L156,"G",""),"C","")))/N156)</f>
        <v>0.44</v>
      </c>
      <c r="Q156" s="12" t="n">
        <f aca="false">IF(O156=0,"",(O156-LEN(SUBSTITUTE(SUBSTITUTE(M156,"G",""),"C","")))/O156)</f>
        <v>0.8</v>
      </c>
      <c r="R156" s="5"/>
      <c r="S156" s="5" t="s">
        <v>342</v>
      </c>
      <c r="T156" s="5"/>
      <c r="U156" s="5" t="s">
        <v>606</v>
      </c>
      <c r="V156" s="5" t="s">
        <v>1549</v>
      </c>
      <c r="W156" s="5"/>
      <c r="X156" s="8" t="s">
        <v>383</v>
      </c>
      <c r="Y156" s="5"/>
    </row>
    <row r="157" customFormat="false" ht="15" hidden="false" customHeight="false" outlineLevel="0" collapsed="false">
      <c r="A157" s="5" t="s">
        <v>1606</v>
      </c>
      <c r="B157" s="5" t="s">
        <v>166</v>
      </c>
      <c r="C157" s="5" t="s">
        <v>167</v>
      </c>
      <c r="D157" s="6" t="s">
        <v>45</v>
      </c>
      <c r="E157" s="5" t="n">
        <v>10</v>
      </c>
      <c r="F157" s="5" t="s">
        <v>1607</v>
      </c>
      <c r="G157" s="11" t="s">
        <v>1608</v>
      </c>
      <c r="H157" s="5" t="s">
        <v>1609</v>
      </c>
      <c r="I157" s="11" t="s">
        <v>1610</v>
      </c>
      <c r="J157" s="5" t="s">
        <v>1546</v>
      </c>
      <c r="K157" s="5" t="s">
        <v>1546</v>
      </c>
      <c r="L157" s="11" t="s">
        <v>1611</v>
      </c>
      <c r="M157" s="11" t="s">
        <v>1612</v>
      </c>
      <c r="N157" s="5" t="n">
        <f aca="false">LEN(L157)</f>
        <v>25</v>
      </c>
      <c r="O157" s="5" t="n">
        <f aca="false">LEN(M157)</f>
        <v>25</v>
      </c>
      <c r="P157" s="12" t="n">
        <f aca="false">IF(N157=0,"",(N157-LEN(SUBSTITUTE(SUBSTITUTE(L157,"G",""),"C","")))/N157)</f>
        <v>0.36</v>
      </c>
      <c r="Q157" s="12" t="n">
        <f aca="false">IF(O157=0,"",(O157-LEN(SUBSTITUTE(SUBSTITUTE(M157,"G",""),"C","")))/O157)</f>
        <v>0.48</v>
      </c>
      <c r="R157" s="5"/>
      <c r="S157" s="5" t="s">
        <v>342</v>
      </c>
      <c r="T157" s="5"/>
      <c r="U157" s="5" t="s">
        <v>606</v>
      </c>
      <c r="V157" s="5" t="s">
        <v>1549</v>
      </c>
      <c r="W157" s="5"/>
      <c r="X157" s="8" t="s">
        <v>383</v>
      </c>
      <c r="Y157" s="5"/>
    </row>
    <row r="158" customFormat="false" ht="15" hidden="false" customHeight="false" outlineLevel="0" collapsed="false">
      <c r="A158" s="5" t="s">
        <v>1613</v>
      </c>
      <c r="B158" s="5" t="s">
        <v>166</v>
      </c>
      <c r="C158" s="5" t="s">
        <v>167</v>
      </c>
      <c r="D158" s="6" t="s">
        <v>45</v>
      </c>
      <c r="E158" s="5" t="n">
        <v>11</v>
      </c>
      <c r="F158" s="5" t="s">
        <v>1614</v>
      </c>
      <c r="G158" s="11" t="s">
        <v>1615</v>
      </c>
      <c r="H158" s="5" t="s">
        <v>1616</v>
      </c>
      <c r="I158" s="11" t="s">
        <v>1617</v>
      </c>
      <c r="J158" s="5" t="s">
        <v>1546</v>
      </c>
      <c r="K158" s="5" t="s">
        <v>1546</v>
      </c>
      <c r="L158" s="11" t="s">
        <v>1618</v>
      </c>
      <c r="M158" s="11" t="s">
        <v>1619</v>
      </c>
      <c r="N158" s="5" t="n">
        <f aca="false">LEN(L158)</f>
        <v>25</v>
      </c>
      <c r="O158" s="5" t="n">
        <f aca="false">LEN(M158)</f>
        <v>25</v>
      </c>
      <c r="P158" s="12" t="n">
        <f aca="false">IF(N158=0,"",(N158-LEN(SUBSTITUTE(SUBSTITUTE(L158,"G",""),"C","")))/N158)</f>
        <v>0.44</v>
      </c>
      <c r="Q158" s="12" t="n">
        <f aca="false">IF(O158=0,"",(O158-LEN(SUBSTITUTE(SUBSTITUTE(M158,"G",""),"C","")))/O158)</f>
        <v>0.52</v>
      </c>
      <c r="R158" s="5"/>
      <c r="S158" s="5" t="s">
        <v>342</v>
      </c>
      <c r="T158" s="5"/>
      <c r="U158" s="5" t="s">
        <v>606</v>
      </c>
      <c r="V158" s="5" t="s">
        <v>1549</v>
      </c>
      <c r="W158" s="5"/>
      <c r="X158" s="8" t="s">
        <v>393</v>
      </c>
      <c r="Y158" s="5"/>
    </row>
    <row r="159" customFormat="false" ht="15" hidden="false" customHeight="false" outlineLevel="0" collapsed="false">
      <c r="A159" s="5" t="s">
        <v>1620</v>
      </c>
      <c r="B159" s="5" t="s">
        <v>166</v>
      </c>
      <c r="C159" s="5" t="s">
        <v>167</v>
      </c>
      <c r="D159" s="6" t="s">
        <v>45</v>
      </c>
      <c r="E159" s="5" t="n">
        <v>12</v>
      </c>
      <c r="F159" s="5" t="s">
        <v>1621</v>
      </c>
      <c r="G159" s="11" t="s">
        <v>1622</v>
      </c>
      <c r="H159" s="5" t="s">
        <v>1623</v>
      </c>
      <c r="I159" s="11" t="s">
        <v>1624</v>
      </c>
      <c r="J159" s="5" t="s">
        <v>1546</v>
      </c>
      <c r="K159" s="5" t="s">
        <v>1546</v>
      </c>
      <c r="L159" s="11" t="s">
        <v>1625</v>
      </c>
      <c r="M159" s="11" t="s">
        <v>1626</v>
      </c>
      <c r="N159" s="5" t="n">
        <f aca="false">LEN(L159)</f>
        <v>25</v>
      </c>
      <c r="O159" s="5" t="n">
        <f aca="false">LEN(M159)</f>
        <v>25</v>
      </c>
      <c r="P159" s="12" t="n">
        <f aca="false">IF(N159=0,"",(N159-LEN(SUBSTITUTE(SUBSTITUTE(L159,"G",""),"C","")))/N159)</f>
        <v>0.52</v>
      </c>
      <c r="Q159" s="12" t="n">
        <f aca="false">IF(O159=0,"",(O159-LEN(SUBSTITUTE(SUBSTITUTE(M159,"G",""),"C","")))/O159)</f>
        <v>0.6</v>
      </c>
      <c r="R159" s="5"/>
      <c r="S159" s="5" t="s">
        <v>342</v>
      </c>
      <c r="T159" s="5"/>
      <c r="U159" s="5" t="s">
        <v>606</v>
      </c>
      <c r="V159" s="5" t="s">
        <v>1549</v>
      </c>
      <c r="W159" s="5"/>
      <c r="X159" s="8" t="s">
        <v>393</v>
      </c>
      <c r="Y159" s="5"/>
    </row>
    <row r="160" customFormat="false" ht="15" hidden="false" customHeight="false" outlineLevel="0" collapsed="false">
      <c r="A160" s="5" t="s">
        <v>1627</v>
      </c>
      <c r="B160" s="5" t="s">
        <v>171</v>
      </c>
      <c r="C160" s="5" t="s">
        <v>172</v>
      </c>
      <c r="D160" s="6" t="s">
        <v>45</v>
      </c>
      <c r="E160" s="5" t="n">
        <v>1</v>
      </c>
      <c r="F160" s="5" t="s">
        <v>1628</v>
      </c>
      <c r="G160" s="11" t="s">
        <v>1629</v>
      </c>
      <c r="H160" s="5" t="s">
        <v>1630</v>
      </c>
      <c r="I160" s="11" t="s">
        <v>1631</v>
      </c>
      <c r="J160" s="5" t="s">
        <v>1632</v>
      </c>
      <c r="K160" s="5" t="s">
        <v>1633</v>
      </c>
      <c r="L160" s="11" t="s">
        <v>1634</v>
      </c>
      <c r="M160" s="11" t="s">
        <v>1635</v>
      </c>
      <c r="N160" s="5" t="n">
        <f aca="false">LEN(L160)</f>
        <v>25</v>
      </c>
      <c r="O160" s="5" t="n">
        <f aca="false">LEN(M160)</f>
        <v>25</v>
      </c>
      <c r="P160" s="12" t="n">
        <f aca="false">IF(N160=0,"",(N160-LEN(SUBSTITUTE(SUBSTITUTE(L160,"G",""),"C","")))/N160)</f>
        <v>0.56</v>
      </c>
      <c r="Q160" s="12" t="n">
        <f aca="false">IF(O160=0,"",(O160-LEN(SUBSTITUTE(SUBSTITUTE(M160,"G",""),"C","")))/O160)</f>
        <v>0.52</v>
      </c>
      <c r="R160" s="5"/>
      <c r="S160" s="5" t="s">
        <v>342</v>
      </c>
      <c r="T160" s="5"/>
      <c r="U160" s="5" t="s">
        <v>343</v>
      </c>
      <c r="V160" s="5" t="s">
        <v>401</v>
      </c>
      <c r="W160" s="5"/>
      <c r="X160" s="13" t="s">
        <v>345</v>
      </c>
      <c r="Y160" s="5"/>
    </row>
    <row r="161" customFormat="false" ht="15" hidden="false" customHeight="false" outlineLevel="0" collapsed="false">
      <c r="A161" s="5" t="s">
        <v>1636</v>
      </c>
      <c r="B161" s="5" t="s">
        <v>171</v>
      </c>
      <c r="C161" s="5" t="s">
        <v>172</v>
      </c>
      <c r="D161" s="6" t="s">
        <v>45</v>
      </c>
      <c r="E161" s="5" t="n">
        <v>2</v>
      </c>
      <c r="F161" s="5" t="s">
        <v>1637</v>
      </c>
      <c r="G161" s="11" t="s">
        <v>1638</v>
      </c>
      <c r="H161" s="5" t="s">
        <v>1639</v>
      </c>
      <c r="I161" s="11" t="s">
        <v>1640</v>
      </c>
      <c r="J161" s="5" t="s">
        <v>1641</v>
      </c>
      <c r="K161" s="5" t="s">
        <v>1642</v>
      </c>
      <c r="L161" s="11" t="s">
        <v>1643</v>
      </c>
      <c r="M161" s="11" t="s">
        <v>1644</v>
      </c>
      <c r="N161" s="5" t="n">
        <f aca="false">LEN(L161)</f>
        <v>25</v>
      </c>
      <c r="O161" s="5" t="n">
        <f aca="false">LEN(M161)</f>
        <v>25</v>
      </c>
      <c r="P161" s="12" t="n">
        <f aca="false">IF(N161=0,"",(N161-LEN(SUBSTITUTE(SUBSTITUTE(L161,"G",""),"C","")))/N161)</f>
        <v>0.56</v>
      </c>
      <c r="Q161" s="12" t="n">
        <f aca="false">IF(O161=0,"",(O161-LEN(SUBSTITUTE(SUBSTITUTE(M161,"G",""),"C","")))/O161)</f>
        <v>0.48</v>
      </c>
      <c r="R161" s="5"/>
      <c r="S161" s="5" t="s">
        <v>342</v>
      </c>
      <c r="T161" s="5"/>
      <c r="U161" s="5" t="s">
        <v>343</v>
      </c>
      <c r="V161" s="5" t="s">
        <v>401</v>
      </c>
      <c r="W161" s="5"/>
      <c r="X161" s="13" t="s">
        <v>345</v>
      </c>
      <c r="Y161" s="5"/>
    </row>
    <row r="162" customFormat="false" ht="15" hidden="false" customHeight="false" outlineLevel="0" collapsed="false">
      <c r="A162" s="5" t="s">
        <v>1645</v>
      </c>
      <c r="B162" s="5" t="s">
        <v>171</v>
      </c>
      <c r="C162" s="5" t="s">
        <v>172</v>
      </c>
      <c r="D162" s="6" t="s">
        <v>45</v>
      </c>
      <c r="E162" s="5" t="n">
        <v>3</v>
      </c>
      <c r="F162" s="5" t="s">
        <v>1646</v>
      </c>
      <c r="G162" s="11" t="s">
        <v>1647</v>
      </c>
      <c r="H162" s="5" t="s">
        <v>1648</v>
      </c>
      <c r="I162" s="11" t="s">
        <v>1649</v>
      </c>
      <c r="J162" s="5" t="s">
        <v>1650</v>
      </c>
      <c r="K162" s="5" t="s">
        <v>1651</v>
      </c>
      <c r="L162" s="11" t="s">
        <v>1652</v>
      </c>
      <c r="M162" s="11" t="s">
        <v>1653</v>
      </c>
      <c r="N162" s="5" t="n">
        <f aca="false">LEN(L162)</f>
        <v>25</v>
      </c>
      <c r="O162" s="5" t="n">
        <f aca="false">LEN(M162)</f>
        <v>25</v>
      </c>
      <c r="P162" s="12" t="n">
        <f aca="false">IF(N162=0,"",(N162-LEN(SUBSTITUTE(SUBSTITUTE(L162,"G",""),"C","")))/N162)</f>
        <v>0.36</v>
      </c>
      <c r="Q162" s="12" t="n">
        <f aca="false">IF(O162=0,"",(O162-LEN(SUBSTITUTE(SUBSTITUTE(M162,"G",""),"C","")))/O162)</f>
        <v>0.44</v>
      </c>
      <c r="R162" s="5"/>
      <c r="S162" s="5" t="s">
        <v>342</v>
      </c>
      <c r="T162" s="5"/>
      <c r="U162" s="5" t="s">
        <v>343</v>
      </c>
      <c r="V162" s="5" t="s">
        <v>401</v>
      </c>
      <c r="W162" s="5"/>
      <c r="X162" s="13" t="s">
        <v>345</v>
      </c>
      <c r="Y162" s="5"/>
    </row>
    <row r="163" customFormat="false" ht="15" hidden="false" customHeight="false" outlineLevel="0" collapsed="false">
      <c r="A163" s="5" t="s">
        <v>1654</v>
      </c>
      <c r="B163" s="5" t="s">
        <v>171</v>
      </c>
      <c r="C163" s="5" t="s">
        <v>172</v>
      </c>
      <c r="D163" s="6" t="s">
        <v>45</v>
      </c>
      <c r="E163" s="5" t="n">
        <v>4</v>
      </c>
      <c r="F163" s="5" t="s">
        <v>1655</v>
      </c>
      <c r="G163" s="11" t="s">
        <v>1656</v>
      </c>
      <c r="H163" s="5" t="s">
        <v>1657</v>
      </c>
      <c r="I163" s="11" t="s">
        <v>1658</v>
      </c>
      <c r="J163" s="5" t="s">
        <v>1659</v>
      </c>
      <c r="K163" s="5" t="s">
        <v>1660</v>
      </c>
      <c r="L163" s="11" t="s">
        <v>1661</v>
      </c>
      <c r="M163" s="11" t="s">
        <v>1569</v>
      </c>
      <c r="N163" s="5" t="n">
        <f aca="false">LEN(L163)</f>
        <v>25</v>
      </c>
      <c r="O163" s="5" t="n">
        <f aca="false">LEN(M163)</f>
        <v>25</v>
      </c>
      <c r="P163" s="12" t="n">
        <f aca="false">IF(N163=0,"",(N163-LEN(SUBSTITUTE(SUBSTITUTE(L163,"G",""),"C","")))/N163)</f>
        <v>0.56</v>
      </c>
      <c r="Q163" s="12" t="n">
        <f aca="false">IF(O163=0,"",(O163-LEN(SUBSTITUTE(SUBSTITUTE(M163,"G",""),"C","")))/O163)</f>
        <v>0.32</v>
      </c>
      <c r="R163" s="5"/>
      <c r="S163" s="5" t="s">
        <v>342</v>
      </c>
      <c r="T163" s="5"/>
      <c r="U163" s="5" t="s">
        <v>343</v>
      </c>
      <c r="V163" s="5" t="s">
        <v>401</v>
      </c>
      <c r="W163" s="5"/>
      <c r="X163" s="13" t="s">
        <v>345</v>
      </c>
      <c r="Y163" s="5"/>
    </row>
    <row r="164" customFormat="false" ht="15" hidden="false" customHeight="false" outlineLevel="0" collapsed="false">
      <c r="A164" s="5" t="s">
        <v>1662</v>
      </c>
      <c r="B164" s="5" t="s">
        <v>171</v>
      </c>
      <c r="C164" s="5" t="s">
        <v>172</v>
      </c>
      <c r="D164" s="6" t="s">
        <v>45</v>
      </c>
      <c r="E164" s="5" t="n">
        <v>5</v>
      </c>
      <c r="F164" s="5" t="s">
        <v>1663</v>
      </c>
      <c r="G164" s="11" t="s">
        <v>1664</v>
      </c>
      <c r="H164" s="5" t="s">
        <v>1665</v>
      </c>
      <c r="I164" s="11" t="s">
        <v>1666</v>
      </c>
      <c r="J164" s="5" t="s">
        <v>1667</v>
      </c>
      <c r="K164" s="5" t="s">
        <v>1668</v>
      </c>
      <c r="L164" s="11" t="s">
        <v>1669</v>
      </c>
      <c r="M164" s="11" t="s">
        <v>1670</v>
      </c>
      <c r="N164" s="5" t="n">
        <f aca="false">LEN(L164)</f>
        <v>25</v>
      </c>
      <c r="O164" s="5" t="n">
        <f aca="false">LEN(M164)</f>
        <v>25</v>
      </c>
      <c r="P164" s="12" t="n">
        <f aca="false">IF(N164=0,"",(N164-LEN(SUBSTITUTE(SUBSTITUTE(L164,"G",""),"C","")))/N164)</f>
        <v>0.48</v>
      </c>
      <c r="Q164" s="12" t="n">
        <f aca="false">IF(O164=0,"",(O164-LEN(SUBSTITUTE(SUBSTITUTE(M164,"G",""),"C","")))/O164)</f>
        <v>0.4</v>
      </c>
      <c r="R164" s="5"/>
      <c r="S164" s="5" t="s">
        <v>342</v>
      </c>
      <c r="T164" s="5"/>
      <c r="U164" s="5" t="s">
        <v>343</v>
      </c>
      <c r="V164" s="5" t="s">
        <v>401</v>
      </c>
      <c r="W164" s="5"/>
      <c r="X164" s="13" t="s">
        <v>345</v>
      </c>
      <c r="Y164" s="5"/>
    </row>
    <row r="165" customFormat="false" ht="15" hidden="false" customHeight="false" outlineLevel="0" collapsed="false">
      <c r="A165" s="5" t="s">
        <v>1671</v>
      </c>
      <c r="B165" s="5" t="s">
        <v>171</v>
      </c>
      <c r="C165" s="5" t="s">
        <v>172</v>
      </c>
      <c r="D165" s="6" t="s">
        <v>45</v>
      </c>
      <c r="E165" s="5" t="n">
        <v>6</v>
      </c>
      <c r="F165" s="5" t="s">
        <v>1672</v>
      </c>
      <c r="G165" s="11" t="s">
        <v>1673</v>
      </c>
      <c r="H165" s="5" t="s">
        <v>1674</v>
      </c>
      <c r="I165" s="11" t="s">
        <v>1675</v>
      </c>
      <c r="J165" s="5" t="s">
        <v>1676</v>
      </c>
      <c r="K165" s="5" t="s">
        <v>1677</v>
      </c>
      <c r="L165" s="11" t="s">
        <v>1678</v>
      </c>
      <c r="M165" s="11" t="s">
        <v>1679</v>
      </c>
      <c r="N165" s="5" t="n">
        <f aca="false">LEN(L165)</f>
        <v>25</v>
      </c>
      <c r="O165" s="5" t="n">
        <f aca="false">LEN(M165)</f>
        <v>25</v>
      </c>
      <c r="P165" s="12" t="n">
        <f aca="false">IF(N165=0,"",(N165-LEN(SUBSTITUTE(SUBSTITUTE(L165,"G",""),"C","")))/N165)</f>
        <v>0.84</v>
      </c>
      <c r="Q165" s="12" t="n">
        <f aca="false">IF(O165=0,"",(O165-LEN(SUBSTITUTE(SUBSTITUTE(M165,"G",""),"C","")))/O165)</f>
        <v>0.8</v>
      </c>
      <c r="R165" s="5"/>
      <c r="S165" s="5" t="s">
        <v>342</v>
      </c>
      <c r="T165" s="5"/>
      <c r="U165" s="5" t="s">
        <v>343</v>
      </c>
      <c r="V165" s="5" t="s">
        <v>401</v>
      </c>
      <c r="W165" s="5"/>
      <c r="X165" s="13" t="s">
        <v>345</v>
      </c>
      <c r="Y165" s="5"/>
    </row>
    <row r="166" customFormat="false" ht="15" hidden="false" customHeight="false" outlineLevel="0" collapsed="false">
      <c r="A166" s="5" t="s">
        <v>1680</v>
      </c>
      <c r="B166" s="5" t="s">
        <v>171</v>
      </c>
      <c r="C166" s="5" t="s">
        <v>172</v>
      </c>
      <c r="D166" s="6" t="s">
        <v>45</v>
      </c>
      <c r="E166" s="5" t="n">
        <v>7</v>
      </c>
      <c r="F166" s="5" t="s">
        <v>1681</v>
      </c>
      <c r="G166" s="11" t="s">
        <v>1682</v>
      </c>
      <c r="H166" s="5" t="s">
        <v>1683</v>
      </c>
      <c r="I166" s="11" t="s">
        <v>1684</v>
      </c>
      <c r="J166" s="5" t="s">
        <v>1685</v>
      </c>
      <c r="K166" s="5" t="s">
        <v>1686</v>
      </c>
      <c r="L166" s="11" t="s">
        <v>1687</v>
      </c>
      <c r="M166" s="11" t="s">
        <v>1688</v>
      </c>
      <c r="N166" s="5" t="n">
        <f aca="false">LEN(L166)</f>
        <v>25</v>
      </c>
      <c r="O166" s="5" t="n">
        <f aca="false">LEN(M166)</f>
        <v>25</v>
      </c>
      <c r="P166" s="12" t="n">
        <f aca="false">IF(N166=0,"",(N166-LEN(SUBSTITUTE(SUBSTITUTE(L166,"G",""),"C","")))/N166)</f>
        <v>0.72</v>
      </c>
      <c r="Q166" s="12" t="n">
        <f aca="false">IF(O166=0,"",(O166-LEN(SUBSTITUTE(SUBSTITUTE(M166,"G",""),"C","")))/O166)</f>
        <v>0.8</v>
      </c>
      <c r="R166" s="5"/>
      <c r="S166" s="5" t="s">
        <v>342</v>
      </c>
      <c r="T166" s="5"/>
      <c r="U166" s="5" t="s">
        <v>343</v>
      </c>
      <c r="V166" s="5" t="s">
        <v>401</v>
      </c>
      <c r="W166" s="5"/>
      <c r="X166" s="13" t="s">
        <v>345</v>
      </c>
      <c r="Y166" s="5"/>
    </row>
    <row r="167" customFormat="false" ht="15" hidden="false" customHeight="false" outlineLevel="0" collapsed="false">
      <c r="A167" s="5" t="s">
        <v>1689</v>
      </c>
      <c r="B167" s="5" t="s">
        <v>171</v>
      </c>
      <c r="C167" s="5" t="s">
        <v>172</v>
      </c>
      <c r="D167" s="6" t="s">
        <v>45</v>
      </c>
      <c r="E167" s="5" t="n">
        <v>8</v>
      </c>
      <c r="F167" s="5" t="s">
        <v>1690</v>
      </c>
      <c r="G167" s="11" t="s">
        <v>1608</v>
      </c>
      <c r="H167" s="5" t="s">
        <v>1691</v>
      </c>
      <c r="I167" s="11" t="s">
        <v>1610</v>
      </c>
      <c r="J167" s="5" t="s">
        <v>1692</v>
      </c>
      <c r="K167" s="5" t="s">
        <v>1693</v>
      </c>
      <c r="L167" s="11" t="s">
        <v>1611</v>
      </c>
      <c r="M167" s="11" t="s">
        <v>1612</v>
      </c>
      <c r="N167" s="5" t="n">
        <f aca="false">LEN(L167)</f>
        <v>25</v>
      </c>
      <c r="O167" s="5" t="n">
        <f aca="false">LEN(M167)</f>
        <v>25</v>
      </c>
      <c r="P167" s="12" t="n">
        <f aca="false">IF(N167=0,"",(N167-LEN(SUBSTITUTE(SUBSTITUTE(L167,"G",""),"C","")))/N167)</f>
        <v>0.36</v>
      </c>
      <c r="Q167" s="12" t="n">
        <f aca="false">IF(O167=0,"",(O167-LEN(SUBSTITUTE(SUBSTITUTE(M167,"G",""),"C","")))/O167)</f>
        <v>0.48</v>
      </c>
      <c r="R167" s="5"/>
      <c r="S167" s="5" t="s">
        <v>342</v>
      </c>
      <c r="T167" s="5"/>
      <c r="U167" s="5" t="s">
        <v>382</v>
      </c>
      <c r="V167" s="5" t="s">
        <v>401</v>
      </c>
      <c r="W167" s="5"/>
      <c r="X167" s="8" t="s">
        <v>383</v>
      </c>
      <c r="Y167" s="5"/>
    </row>
    <row r="168" customFormat="false" ht="15" hidden="false" customHeight="false" outlineLevel="0" collapsed="false">
      <c r="A168" s="5" t="s">
        <v>1694</v>
      </c>
      <c r="B168" s="5" t="s">
        <v>173</v>
      </c>
      <c r="C168" s="5" t="s">
        <v>174</v>
      </c>
      <c r="D168" s="9" t="s">
        <v>155</v>
      </c>
      <c r="E168" s="5" t="n">
        <v>1</v>
      </c>
      <c r="F168" s="5" t="s">
        <v>1695</v>
      </c>
      <c r="G168" s="11" t="s">
        <v>1696</v>
      </c>
      <c r="H168" s="5" t="s">
        <v>1697</v>
      </c>
      <c r="I168" s="11" t="s">
        <v>1698</v>
      </c>
      <c r="J168" s="5" t="s">
        <v>1699</v>
      </c>
      <c r="K168" s="5" t="s">
        <v>1700</v>
      </c>
      <c r="L168" s="11" t="s">
        <v>1701</v>
      </c>
      <c r="M168" s="11" t="s">
        <v>1702</v>
      </c>
      <c r="N168" s="5" t="n">
        <f aca="false">LEN(L168)</f>
        <v>25</v>
      </c>
      <c r="O168" s="5" t="n">
        <f aca="false">LEN(M168)</f>
        <v>25</v>
      </c>
      <c r="P168" s="12" t="n">
        <f aca="false">IF(N168=0,"",(N168-LEN(SUBSTITUTE(SUBSTITUTE(L168,"G",""),"C","")))/N168)</f>
        <v>0.48</v>
      </c>
      <c r="Q168" s="12" t="n">
        <f aca="false">IF(O168=0,"",(O168-LEN(SUBSTITUTE(SUBSTITUTE(M168,"G",""),"C","")))/O168)</f>
        <v>0.6</v>
      </c>
      <c r="R168" s="5"/>
      <c r="S168" s="5" t="s">
        <v>342</v>
      </c>
      <c r="T168" s="5"/>
      <c r="U168" s="5" t="s">
        <v>382</v>
      </c>
      <c r="V168" s="5" t="s">
        <v>460</v>
      </c>
      <c r="W168" s="5"/>
      <c r="X168" s="8" t="s">
        <v>488</v>
      </c>
      <c r="Y168" s="5"/>
    </row>
    <row r="169" customFormat="false" ht="15" hidden="false" customHeight="false" outlineLevel="0" collapsed="false">
      <c r="A169" s="5" t="s">
        <v>1703</v>
      </c>
      <c r="B169" s="5" t="s">
        <v>173</v>
      </c>
      <c r="C169" s="5" t="s">
        <v>174</v>
      </c>
      <c r="D169" s="9" t="s">
        <v>155</v>
      </c>
      <c r="E169" s="5" t="n">
        <v>2</v>
      </c>
      <c r="F169" s="5" t="s">
        <v>1704</v>
      </c>
      <c r="G169" s="11" t="s">
        <v>1705</v>
      </c>
      <c r="H169" s="5" t="s">
        <v>1706</v>
      </c>
      <c r="I169" s="11" t="s">
        <v>1707</v>
      </c>
      <c r="J169" s="5" t="s">
        <v>1708</v>
      </c>
      <c r="K169" s="5" t="s">
        <v>1709</v>
      </c>
      <c r="L169" s="11" t="s">
        <v>1710</v>
      </c>
      <c r="M169" s="11" t="s">
        <v>1711</v>
      </c>
      <c r="N169" s="5" t="n">
        <f aca="false">LEN(L169)</f>
        <v>25</v>
      </c>
      <c r="O169" s="5" t="n">
        <f aca="false">LEN(M169)</f>
        <v>25</v>
      </c>
      <c r="P169" s="12" t="n">
        <f aca="false">IF(N169=0,"",(N169-LEN(SUBSTITUTE(SUBSTITUTE(L169,"G",""),"C","")))/N169)</f>
        <v>0.56</v>
      </c>
      <c r="Q169" s="12" t="n">
        <f aca="false">IF(O169=0,"",(O169-LEN(SUBSTITUTE(SUBSTITUTE(M169,"G",""),"C","")))/O169)</f>
        <v>0.44</v>
      </c>
      <c r="R169" s="5"/>
      <c r="S169" s="5" t="s">
        <v>342</v>
      </c>
      <c r="T169" s="5"/>
      <c r="U169" s="5" t="s">
        <v>382</v>
      </c>
      <c r="V169" s="5" t="s">
        <v>460</v>
      </c>
      <c r="W169" s="5"/>
      <c r="X169" s="8" t="s">
        <v>488</v>
      </c>
      <c r="Y169" s="5"/>
    </row>
    <row r="170" customFormat="false" ht="15" hidden="false" customHeight="false" outlineLevel="0" collapsed="false">
      <c r="A170" s="5" t="s">
        <v>1712</v>
      </c>
      <c r="B170" s="5" t="s">
        <v>173</v>
      </c>
      <c r="C170" s="5" t="s">
        <v>174</v>
      </c>
      <c r="D170" s="9" t="s">
        <v>155</v>
      </c>
      <c r="E170" s="5" t="n">
        <v>3</v>
      </c>
      <c r="F170" s="5" t="s">
        <v>1713</v>
      </c>
      <c r="G170" s="11" t="s">
        <v>1714</v>
      </c>
      <c r="H170" s="5" t="s">
        <v>1715</v>
      </c>
      <c r="I170" s="11" t="s">
        <v>1716</v>
      </c>
      <c r="J170" s="5" t="s">
        <v>1717</v>
      </c>
      <c r="K170" s="5" t="s">
        <v>1718</v>
      </c>
      <c r="L170" s="11" t="s">
        <v>1719</v>
      </c>
      <c r="M170" s="11" t="s">
        <v>1720</v>
      </c>
      <c r="N170" s="5" t="n">
        <f aca="false">LEN(L170)</f>
        <v>25</v>
      </c>
      <c r="O170" s="5" t="n">
        <f aca="false">LEN(M170)</f>
        <v>25</v>
      </c>
      <c r="P170" s="12" t="n">
        <f aca="false">IF(N170=0,"",(N170-LEN(SUBSTITUTE(SUBSTITUTE(L170,"G",""),"C","")))/N170)</f>
        <v>0.32</v>
      </c>
      <c r="Q170" s="12" t="n">
        <f aca="false">IF(O170=0,"",(O170-LEN(SUBSTITUTE(SUBSTITUTE(M170,"G",""),"C","")))/O170)</f>
        <v>0.4</v>
      </c>
      <c r="R170" s="5"/>
      <c r="S170" s="5" t="s">
        <v>342</v>
      </c>
      <c r="T170" s="5"/>
      <c r="U170" s="5" t="s">
        <v>343</v>
      </c>
      <c r="V170" s="5" t="s">
        <v>460</v>
      </c>
      <c r="W170" s="5"/>
      <c r="X170" s="13" t="s">
        <v>345</v>
      </c>
      <c r="Y170" s="5"/>
    </row>
    <row r="171" customFormat="false" ht="15" hidden="false" customHeight="false" outlineLevel="0" collapsed="false">
      <c r="A171" s="5" t="s">
        <v>1721</v>
      </c>
      <c r="B171" s="5" t="s">
        <v>173</v>
      </c>
      <c r="C171" s="5" t="s">
        <v>174</v>
      </c>
      <c r="D171" s="9" t="s">
        <v>155</v>
      </c>
      <c r="E171" s="5" t="n">
        <v>4</v>
      </c>
      <c r="F171" s="5" t="s">
        <v>1722</v>
      </c>
      <c r="G171" s="11" t="s">
        <v>1723</v>
      </c>
      <c r="H171" s="5" t="s">
        <v>1724</v>
      </c>
      <c r="I171" s="11" t="s">
        <v>1725</v>
      </c>
      <c r="J171" s="5" t="s">
        <v>1726</v>
      </c>
      <c r="K171" s="5" t="s">
        <v>1727</v>
      </c>
      <c r="L171" s="11" t="s">
        <v>1728</v>
      </c>
      <c r="M171" s="11" t="s">
        <v>1729</v>
      </c>
      <c r="N171" s="5" t="n">
        <f aca="false">LEN(L171)</f>
        <v>25</v>
      </c>
      <c r="O171" s="5" t="n">
        <f aca="false">LEN(M171)</f>
        <v>25</v>
      </c>
      <c r="P171" s="12" t="n">
        <f aca="false">IF(N171=0,"",(N171-LEN(SUBSTITUTE(SUBSTITUTE(L171,"G",""),"C","")))/N171)</f>
        <v>0.52</v>
      </c>
      <c r="Q171" s="12" t="n">
        <f aca="false">IF(O171=0,"",(O171-LEN(SUBSTITUTE(SUBSTITUTE(M171,"G",""),"C","")))/O171)</f>
        <v>0.44</v>
      </c>
      <c r="R171" s="5"/>
      <c r="S171" s="5" t="s">
        <v>342</v>
      </c>
      <c r="T171" s="5"/>
      <c r="U171" s="5" t="s">
        <v>382</v>
      </c>
      <c r="V171" s="5" t="s">
        <v>460</v>
      </c>
      <c r="W171" s="5"/>
      <c r="X171" s="8" t="s">
        <v>488</v>
      </c>
      <c r="Y171" s="5"/>
    </row>
    <row r="172" customFormat="false" ht="15" hidden="false" customHeight="false" outlineLevel="0" collapsed="false">
      <c r="A172" s="5" t="s">
        <v>1730</v>
      </c>
      <c r="B172" s="5" t="s">
        <v>173</v>
      </c>
      <c r="C172" s="5" t="s">
        <v>174</v>
      </c>
      <c r="D172" s="9" t="s">
        <v>155</v>
      </c>
      <c r="E172" s="5" t="n">
        <v>5</v>
      </c>
      <c r="F172" s="5" t="s">
        <v>1731</v>
      </c>
      <c r="G172" s="11" t="s">
        <v>1732</v>
      </c>
      <c r="H172" s="5" t="s">
        <v>1733</v>
      </c>
      <c r="I172" s="11" t="s">
        <v>1734</v>
      </c>
      <c r="J172" s="5" t="s">
        <v>1735</v>
      </c>
      <c r="K172" s="5" t="s">
        <v>1736</v>
      </c>
      <c r="L172" s="11" t="s">
        <v>1737</v>
      </c>
      <c r="M172" s="11" t="s">
        <v>1738</v>
      </c>
      <c r="N172" s="5" t="n">
        <f aca="false">LEN(L172)</f>
        <v>25</v>
      </c>
      <c r="O172" s="5" t="n">
        <f aca="false">LEN(M172)</f>
        <v>25</v>
      </c>
      <c r="P172" s="12" t="n">
        <f aca="false">IF(N172=0,"",(N172-LEN(SUBSTITUTE(SUBSTITUTE(L172,"G",""),"C","")))/N172)</f>
        <v>0.56</v>
      </c>
      <c r="Q172" s="12" t="n">
        <f aca="false">IF(O172=0,"",(O172-LEN(SUBSTITUTE(SUBSTITUTE(M172,"G",""),"C","")))/O172)</f>
        <v>0.44</v>
      </c>
      <c r="R172" s="5"/>
      <c r="S172" s="5" t="s">
        <v>342</v>
      </c>
      <c r="T172" s="5"/>
      <c r="U172" s="5" t="s">
        <v>382</v>
      </c>
      <c r="V172" s="5" t="s">
        <v>460</v>
      </c>
      <c r="W172" s="5"/>
      <c r="X172" s="8" t="s">
        <v>383</v>
      </c>
      <c r="Y172" s="5"/>
    </row>
    <row r="173" customFormat="false" ht="15" hidden="false" customHeight="false" outlineLevel="0" collapsed="false">
      <c r="A173" s="5" t="s">
        <v>1739</v>
      </c>
      <c r="B173" s="5" t="s">
        <v>181</v>
      </c>
      <c r="C173" s="5" t="s">
        <v>182</v>
      </c>
      <c r="D173" s="9" t="s">
        <v>155</v>
      </c>
      <c r="E173" s="5" t="n">
        <v>1</v>
      </c>
      <c r="F173" s="5" t="s">
        <v>1740</v>
      </c>
      <c r="G173" s="11" t="s">
        <v>1741</v>
      </c>
      <c r="H173" s="5" t="s">
        <v>1742</v>
      </c>
      <c r="I173" s="11" t="s">
        <v>1743</v>
      </c>
      <c r="J173" s="5" t="s">
        <v>1744</v>
      </c>
      <c r="K173" s="5" t="s">
        <v>1745</v>
      </c>
      <c r="L173" s="11" t="s">
        <v>1746</v>
      </c>
      <c r="M173" s="11" t="s">
        <v>1747</v>
      </c>
      <c r="N173" s="5" t="n">
        <f aca="false">LEN(L173)</f>
        <v>25</v>
      </c>
      <c r="O173" s="5" t="n">
        <f aca="false">LEN(M173)</f>
        <v>25</v>
      </c>
      <c r="P173" s="12" t="n">
        <f aca="false">IF(N173=0,"",(N173-LEN(SUBSTITUTE(SUBSTITUTE(L173,"G",""),"C","")))/N173)</f>
        <v>0.56</v>
      </c>
      <c r="Q173" s="12" t="n">
        <f aca="false">IF(O173=0,"",(O173-LEN(SUBSTITUTE(SUBSTITUTE(M173,"G",""),"C","")))/O173)</f>
        <v>0.44</v>
      </c>
      <c r="R173" s="5"/>
      <c r="S173" s="5" t="s">
        <v>342</v>
      </c>
      <c r="T173" s="5"/>
      <c r="U173" s="5" t="s">
        <v>382</v>
      </c>
      <c r="V173" s="5" t="s">
        <v>507</v>
      </c>
      <c r="W173" s="5"/>
      <c r="X173" s="8" t="s">
        <v>383</v>
      </c>
      <c r="Y173" s="5"/>
    </row>
    <row r="174" customFormat="false" ht="15" hidden="false" customHeight="false" outlineLevel="0" collapsed="false">
      <c r="A174" s="5" t="s">
        <v>1748</v>
      </c>
      <c r="B174" s="5" t="s">
        <v>181</v>
      </c>
      <c r="C174" s="5" t="s">
        <v>182</v>
      </c>
      <c r="D174" s="9" t="s">
        <v>155</v>
      </c>
      <c r="E174" s="5" t="n">
        <v>2</v>
      </c>
      <c r="F174" s="5" t="s">
        <v>1749</v>
      </c>
      <c r="G174" s="11" t="s">
        <v>1750</v>
      </c>
      <c r="H174" s="5" t="s">
        <v>1751</v>
      </c>
      <c r="I174" s="11" t="s">
        <v>1752</v>
      </c>
      <c r="J174" s="5" t="s">
        <v>1753</v>
      </c>
      <c r="K174" s="5" t="s">
        <v>1754</v>
      </c>
      <c r="L174" s="11" t="s">
        <v>1755</v>
      </c>
      <c r="M174" s="11" t="s">
        <v>1756</v>
      </c>
      <c r="N174" s="5" t="n">
        <f aca="false">LEN(L174)</f>
        <v>25</v>
      </c>
      <c r="O174" s="5" t="n">
        <f aca="false">LEN(M174)</f>
        <v>25</v>
      </c>
      <c r="P174" s="12" t="n">
        <f aca="false">IF(N174=0,"",(N174-LEN(SUBSTITUTE(SUBSTITUTE(L174,"G",""),"C","")))/N174)</f>
        <v>0.6</v>
      </c>
      <c r="Q174" s="12" t="n">
        <f aca="false">IF(O174=0,"",(O174-LEN(SUBSTITUTE(SUBSTITUTE(M174,"G",""),"C","")))/O174)</f>
        <v>0.68</v>
      </c>
      <c r="R174" s="5"/>
      <c r="S174" s="5" t="s">
        <v>342</v>
      </c>
      <c r="T174" s="5"/>
      <c r="U174" s="5" t="s">
        <v>382</v>
      </c>
      <c r="V174" s="5" t="s">
        <v>507</v>
      </c>
      <c r="W174" s="5"/>
      <c r="X174" s="8" t="s">
        <v>383</v>
      </c>
      <c r="Y174" s="5"/>
    </row>
    <row r="175" customFormat="false" ht="15" hidden="false" customHeight="false" outlineLevel="0" collapsed="false">
      <c r="A175" s="5" t="s">
        <v>1757</v>
      </c>
      <c r="B175" s="5" t="s">
        <v>181</v>
      </c>
      <c r="C175" s="5" t="s">
        <v>182</v>
      </c>
      <c r="D175" s="9" t="s">
        <v>155</v>
      </c>
      <c r="E175" s="5" t="n">
        <v>3</v>
      </c>
      <c r="F175" s="5" t="s">
        <v>1758</v>
      </c>
      <c r="G175" s="11" t="s">
        <v>1759</v>
      </c>
      <c r="H175" s="5" t="s">
        <v>1760</v>
      </c>
      <c r="I175" s="11" t="s">
        <v>1761</v>
      </c>
      <c r="J175" s="5" t="s">
        <v>1762</v>
      </c>
      <c r="K175" s="5" t="s">
        <v>1763</v>
      </c>
      <c r="L175" s="11" t="s">
        <v>1764</v>
      </c>
      <c r="M175" s="11" t="s">
        <v>1765</v>
      </c>
      <c r="N175" s="5" t="n">
        <f aca="false">LEN(L175)</f>
        <v>25</v>
      </c>
      <c r="O175" s="5" t="n">
        <f aca="false">LEN(M175)</f>
        <v>25</v>
      </c>
      <c r="P175" s="12" t="n">
        <f aca="false">IF(N175=0,"",(N175-LEN(SUBSTITUTE(SUBSTITUTE(L175,"G",""),"C","")))/N175)</f>
        <v>0.6</v>
      </c>
      <c r="Q175" s="12" t="n">
        <f aca="false">IF(O175=0,"",(O175-LEN(SUBSTITUTE(SUBSTITUTE(M175,"G",""),"C","")))/O175)</f>
        <v>0.52</v>
      </c>
      <c r="R175" s="5"/>
      <c r="S175" s="5" t="s">
        <v>342</v>
      </c>
      <c r="T175" s="5"/>
      <c r="U175" s="5" t="s">
        <v>382</v>
      </c>
      <c r="V175" s="5" t="s">
        <v>507</v>
      </c>
      <c r="W175" s="5"/>
      <c r="X175" s="8" t="s">
        <v>383</v>
      </c>
      <c r="Y175" s="5"/>
    </row>
    <row r="176" customFormat="false" ht="15" hidden="false" customHeight="false" outlineLevel="0" collapsed="false">
      <c r="A176" s="5" t="s">
        <v>1766</v>
      </c>
      <c r="B176" s="5" t="s">
        <v>181</v>
      </c>
      <c r="C176" s="5" t="s">
        <v>182</v>
      </c>
      <c r="D176" s="9" t="s">
        <v>155</v>
      </c>
      <c r="E176" s="5" t="n">
        <v>4</v>
      </c>
      <c r="F176" s="5" t="s">
        <v>1767</v>
      </c>
      <c r="G176" s="11" t="s">
        <v>1768</v>
      </c>
      <c r="H176" s="5" t="s">
        <v>1769</v>
      </c>
      <c r="I176" s="11" t="s">
        <v>1770</v>
      </c>
      <c r="J176" s="5" t="s">
        <v>1771</v>
      </c>
      <c r="K176" s="5" t="s">
        <v>1772</v>
      </c>
      <c r="L176" s="11" t="s">
        <v>1773</v>
      </c>
      <c r="M176" s="11" t="s">
        <v>1774</v>
      </c>
      <c r="N176" s="5" t="n">
        <f aca="false">LEN(L176)</f>
        <v>25</v>
      </c>
      <c r="O176" s="5" t="n">
        <f aca="false">LEN(M176)</f>
        <v>25</v>
      </c>
      <c r="P176" s="12" t="n">
        <f aca="false">IF(N176=0,"",(N176-LEN(SUBSTITUTE(SUBSTITUTE(L176,"G",""),"C","")))/N176)</f>
        <v>0.56</v>
      </c>
      <c r="Q176" s="12" t="n">
        <f aca="false">IF(O176=0,"",(O176-LEN(SUBSTITUTE(SUBSTITUTE(M176,"G",""),"C","")))/O176)</f>
        <v>0.44</v>
      </c>
      <c r="R176" s="5"/>
      <c r="S176" s="5" t="s">
        <v>342</v>
      </c>
      <c r="T176" s="5"/>
      <c r="U176" s="5" t="s">
        <v>382</v>
      </c>
      <c r="V176" s="5" t="s">
        <v>507</v>
      </c>
      <c r="W176" s="5"/>
      <c r="X176" s="8" t="s">
        <v>383</v>
      </c>
      <c r="Y176" s="5"/>
    </row>
    <row r="177" customFormat="false" ht="15" hidden="false" customHeight="false" outlineLevel="0" collapsed="false">
      <c r="A177" s="5" t="s">
        <v>1775</v>
      </c>
      <c r="B177" s="5" t="s">
        <v>181</v>
      </c>
      <c r="C177" s="5" t="s">
        <v>182</v>
      </c>
      <c r="D177" s="9" t="s">
        <v>155</v>
      </c>
      <c r="E177" s="5" t="n">
        <v>5</v>
      </c>
      <c r="F177" s="5" t="s">
        <v>1776</v>
      </c>
      <c r="G177" s="11" t="s">
        <v>1777</v>
      </c>
      <c r="H177" s="5" t="s">
        <v>1778</v>
      </c>
      <c r="I177" s="11" t="s">
        <v>1779</v>
      </c>
      <c r="J177" s="5" t="s">
        <v>1780</v>
      </c>
      <c r="K177" s="5" t="s">
        <v>1781</v>
      </c>
      <c r="L177" s="11" t="s">
        <v>1782</v>
      </c>
      <c r="M177" s="11" t="s">
        <v>1783</v>
      </c>
      <c r="N177" s="5" t="n">
        <f aca="false">LEN(L177)</f>
        <v>25</v>
      </c>
      <c r="O177" s="5" t="n">
        <f aca="false">LEN(M177)</f>
        <v>25</v>
      </c>
      <c r="P177" s="12" t="n">
        <f aca="false">IF(N177=0,"",(N177-LEN(SUBSTITUTE(SUBSTITUTE(L177,"G",""),"C","")))/N177)</f>
        <v>0.48</v>
      </c>
      <c r="Q177" s="12" t="n">
        <f aca="false">IF(O177=0,"",(O177-LEN(SUBSTITUTE(SUBSTITUTE(M177,"G",""),"C","")))/O177)</f>
        <v>0.56</v>
      </c>
      <c r="R177" s="5"/>
      <c r="S177" s="5" t="s">
        <v>342</v>
      </c>
      <c r="T177" s="5"/>
      <c r="U177" s="5" t="s">
        <v>382</v>
      </c>
      <c r="V177" s="5" t="s">
        <v>507</v>
      </c>
      <c r="W177" s="5"/>
      <c r="X177" s="8" t="s">
        <v>383</v>
      </c>
      <c r="Y177" s="5"/>
    </row>
    <row r="178" customFormat="false" ht="15" hidden="false" customHeight="false" outlineLevel="0" collapsed="false">
      <c r="A178" s="5" t="s">
        <v>1784</v>
      </c>
      <c r="B178" s="5" t="s">
        <v>181</v>
      </c>
      <c r="C178" s="5" t="s">
        <v>182</v>
      </c>
      <c r="D178" s="9" t="s">
        <v>155</v>
      </c>
      <c r="E178" s="5" t="n">
        <v>6</v>
      </c>
      <c r="F178" s="5" t="s">
        <v>1785</v>
      </c>
      <c r="G178" s="11" t="s">
        <v>1786</v>
      </c>
      <c r="H178" s="5" t="s">
        <v>1787</v>
      </c>
      <c r="I178" s="11" t="s">
        <v>1788</v>
      </c>
      <c r="J178" s="5" t="s">
        <v>1789</v>
      </c>
      <c r="K178" s="5" t="s">
        <v>1790</v>
      </c>
      <c r="L178" s="11" t="s">
        <v>1791</v>
      </c>
      <c r="M178" s="11" t="s">
        <v>1792</v>
      </c>
      <c r="N178" s="5" t="n">
        <f aca="false">LEN(L178)</f>
        <v>25</v>
      </c>
      <c r="O178" s="5" t="n">
        <f aca="false">LEN(M178)</f>
        <v>25</v>
      </c>
      <c r="P178" s="12" t="n">
        <f aca="false">IF(N178=0,"",(N178-LEN(SUBSTITUTE(SUBSTITUTE(L178,"G",""),"C","")))/N178)</f>
        <v>0.64</v>
      </c>
      <c r="Q178" s="12" t="n">
        <f aca="false">IF(O178=0,"",(O178-LEN(SUBSTITUTE(SUBSTITUTE(M178,"G",""),"C","")))/O178)</f>
        <v>0.48</v>
      </c>
      <c r="R178" s="5"/>
      <c r="S178" s="5" t="s">
        <v>342</v>
      </c>
      <c r="T178" s="5"/>
      <c r="U178" s="5" t="s">
        <v>382</v>
      </c>
      <c r="V178" s="5" t="s">
        <v>507</v>
      </c>
      <c r="W178" s="5"/>
      <c r="X178" s="8" t="s">
        <v>383</v>
      </c>
      <c r="Y178" s="5"/>
    </row>
    <row r="179" customFormat="false" ht="15" hidden="false" customHeight="false" outlineLevel="0" collapsed="false">
      <c r="A179" s="5" t="s">
        <v>1793</v>
      </c>
      <c r="B179" s="5" t="s">
        <v>181</v>
      </c>
      <c r="C179" s="5" t="s">
        <v>182</v>
      </c>
      <c r="D179" s="9" t="s">
        <v>155</v>
      </c>
      <c r="E179" s="5" t="n">
        <v>7</v>
      </c>
      <c r="F179" s="5" t="s">
        <v>1794</v>
      </c>
      <c r="G179" s="11" t="s">
        <v>1795</v>
      </c>
      <c r="H179" s="5" t="s">
        <v>1796</v>
      </c>
      <c r="I179" s="11" t="s">
        <v>1797</v>
      </c>
      <c r="J179" s="5" t="s">
        <v>1798</v>
      </c>
      <c r="K179" s="5" t="s">
        <v>1799</v>
      </c>
      <c r="L179" s="11" t="s">
        <v>1800</v>
      </c>
      <c r="M179" s="11" t="s">
        <v>1801</v>
      </c>
      <c r="N179" s="5" t="n">
        <f aca="false">LEN(L179)</f>
        <v>25</v>
      </c>
      <c r="O179" s="5" t="n">
        <f aca="false">LEN(M179)</f>
        <v>25</v>
      </c>
      <c r="P179" s="12" t="n">
        <f aca="false">IF(N179=0,"",(N179-LEN(SUBSTITUTE(SUBSTITUTE(L179,"G",""),"C","")))/N179)</f>
        <v>0.68</v>
      </c>
      <c r="Q179" s="12" t="n">
        <f aca="false">IF(O179=0,"",(O179-LEN(SUBSTITUTE(SUBSTITUTE(M179,"G",""),"C","")))/O179)</f>
        <v>0.72</v>
      </c>
      <c r="R179" s="5"/>
      <c r="S179" s="5" t="s">
        <v>342</v>
      </c>
      <c r="T179" s="5"/>
      <c r="U179" s="5" t="s">
        <v>382</v>
      </c>
      <c r="V179" s="5" t="s">
        <v>507</v>
      </c>
      <c r="W179" s="5"/>
      <c r="X179" s="8" t="s">
        <v>383</v>
      </c>
      <c r="Y179" s="5"/>
    </row>
    <row r="180" customFormat="false" ht="15" hidden="false" customHeight="false" outlineLevel="0" collapsed="false">
      <c r="A180" s="5" t="s">
        <v>1802</v>
      </c>
      <c r="B180" s="5" t="s">
        <v>181</v>
      </c>
      <c r="C180" s="5" t="s">
        <v>182</v>
      </c>
      <c r="D180" s="9" t="s">
        <v>155</v>
      </c>
      <c r="E180" s="5" t="n">
        <v>8</v>
      </c>
      <c r="F180" s="5" t="s">
        <v>1803</v>
      </c>
      <c r="G180" s="11" t="s">
        <v>1804</v>
      </c>
      <c r="H180" s="5" t="s">
        <v>1805</v>
      </c>
      <c r="I180" s="11" t="s">
        <v>1806</v>
      </c>
      <c r="J180" s="5" t="s">
        <v>1807</v>
      </c>
      <c r="K180" s="5" t="s">
        <v>1808</v>
      </c>
      <c r="L180" s="11" t="s">
        <v>1809</v>
      </c>
      <c r="M180" s="11" t="s">
        <v>1810</v>
      </c>
      <c r="N180" s="5" t="n">
        <f aca="false">LEN(L180)</f>
        <v>25</v>
      </c>
      <c r="O180" s="5" t="n">
        <f aca="false">LEN(M180)</f>
        <v>25</v>
      </c>
      <c r="P180" s="12" t="n">
        <f aca="false">IF(N180=0,"",(N180-LEN(SUBSTITUTE(SUBSTITUTE(L180,"G",""),"C","")))/N180)</f>
        <v>0.84</v>
      </c>
      <c r="Q180" s="12" t="n">
        <f aca="false">IF(O180=0,"",(O180-LEN(SUBSTITUTE(SUBSTITUTE(M180,"G",""),"C","")))/O180)</f>
        <v>0.52</v>
      </c>
      <c r="R180" s="5"/>
      <c r="S180" s="5" t="s">
        <v>342</v>
      </c>
      <c r="T180" s="5"/>
      <c r="U180" s="5" t="s">
        <v>382</v>
      </c>
      <c r="V180" s="5" t="s">
        <v>507</v>
      </c>
      <c r="W180" s="5"/>
      <c r="X180" s="8" t="s">
        <v>383</v>
      </c>
      <c r="Y180" s="5"/>
    </row>
    <row r="181" customFormat="false" ht="15" hidden="false" customHeight="false" outlineLevel="0" collapsed="false">
      <c r="A181" s="5" t="s">
        <v>1811</v>
      </c>
      <c r="B181" s="5" t="s">
        <v>181</v>
      </c>
      <c r="C181" s="5" t="s">
        <v>182</v>
      </c>
      <c r="D181" s="9" t="s">
        <v>155</v>
      </c>
      <c r="E181" s="5" t="n">
        <v>9</v>
      </c>
      <c r="F181" s="5" t="s">
        <v>1812</v>
      </c>
      <c r="G181" s="11" t="s">
        <v>1813</v>
      </c>
      <c r="H181" s="5" t="s">
        <v>1814</v>
      </c>
      <c r="I181" s="11" t="s">
        <v>1815</v>
      </c>
      <c r="J181" s="5" t="s">
        <v>1816</v>
      </c>
      <c r="K181" s="5" t="s">
        <v>1817</v>
      </c>
      <c r="L181" s="11" t="s">
        <v>1818</v>
      </c>
      <c r="M181" s="11" t="s">
        <v>1819</v>
      </c>
      <c r="N181" s="5" t="n">
        <f aca="false">LEN(L181)</f>
        <v>25</v>
      </c>
      <c r="O181" s="5" t="n">
        <f aca="false">LEN(M181)</f>
        <v>25</v>
      </c>
      <c r="P181" s="12" t="n">
        <f aca="false">IF(N181=0,"",(N181-LEN(SUBSTITUTE(SUBSTITUTE(L181,"G",""),"C","")))/N181)</f>
        <v>0.68</v>
      </c>
      <c r="Q181" s="12" t="n">
        <f aca="false">IF(O181=0,"",(O181-LEN(SUBSTITUTE(SUBSTITUTE(M181,"G",""),"C","")))/O181)</f>
        <v>0.68</v>
      </c>
      <c r="R181" s="5"/>
      <c r="S181" s="5" t="s">
        <v>342</v>
      </c>
      <c r="T181" s="5"/>
      <c r="U181" s="5" t="s">
        <v>382</v>
      </c>
      <c r="V181" s="5" t="s">
        <v>507</v>
      </c>
      <c r="W181" s="5"/>
      <c r="X181" s="8" t="s">
        <v>383</v>
      </c>
      <c r="Y181" s="5"/>
    </row>
    <row r="182" customFormat="false" ht="15" hidden="false" customHeight="false" outlineLevel="0" collapsed="false">
      <c r="A182" s="5" t="s">
        <v>1820</v>
      </c>
      <c r="B182" s="5" t="s">
        <v>181</v>
      </c>
      <c r="C182" s="5" t="s">
        <v>182</v>
      </c>
      <c r="D182" s="9" t="s">
        <v>155</v>
      </c>
      <c r="E182" s="5" t="n">
        <v>10</v>
      </c>
      <c r="F182" s="5" t="s">
        <v>1821</v>
      </c>
      <c r="G182" s="11" t="s">
        <v>1822</v>
      </c>
      <c r="H182" s="5" t="s">
        <v>1823</v>
      </c>
      <c r="I182" s="11" t="s">
        <v>1824</v>
      </c>
      <c r="J182" s="5" t="s">
        <v>1825</v>
      </c>
      <c r="K182" s="5" t="s">
        <v>1826</v>
      </c>
      <c r="L182" s="11" t="s">
        <v>1827</v>
      </c>
      <c r="M182" s="11" t="s">
        <v>1828</v>
      </c>
      <c r="N182" s="5" t="n">
        <f aca="false">LEN(L182)</f>
        <v>25</v>
      </c>
      <c r="O182" s="5" t="n">
        <f aca="false">LEN(M182)</f>
        <v>25</v>
      </c>
      <c r="P182" s="12" t="n">
        <f aca="false">IF(N182=0,"",(N182-LEN(SUBSTITUTE(SUBSTITUTE(L182,"G",""),"C","")))/N182)</f>
        <v>0.48</v>
      </c>
      <c r="Q182" s="12" t="n">
        <f aca="false">IF(O182=0,"",(O182-LEN(SUBSTITUTE(SUBSTITUTE(M182,"G",""),"C","")))/O182)</f>
        <v>0.64</v>
      </c>
      <c r="R182" s="5"/>
      <c r="S182" s="5" t="s">
        <v>342</v>
      </c>
      <c r="T182" s="5"/>
      <c r="U182" s="5" t="s">
        <v>382</v>
      </c>
      <c r="V182" s="5" t="s">
        <v>507</v>
      </c>
      <c r="W182" s="5"/>
      <c r="X182" s="8" t="s">
        <v>383</v>
      </c>
      <c r="Y182" s="5"/>
    </row>
    <row r="183" customFormat="false" ht="15" hidden="false" customHeight="false" outlineLevel="0" collapsed="false">
      <c r="A183" s="5" t="s">
        <v>1829</v>
      </c>
      <c r="B183" s="5" t="s">
        <v>183</v>
      </c>
      <c r="C183" s="5" t="s">
        <v>184</v>
      </c>
      <c r="D183" s="9" t="s">
        <v>155</v>
      </c>
      <c r="E183" s="5" t="n">
        <v>1</v>
      </c>
      <c r="F183" s="5" t="s">
        <v>1830</v>
      </c>
      <c r="G183" s="11" t="s">
        <v>1831</v>
      </c>
      <c r="H183" s="5" t="s">
        <v>1832</v>
      </c>
      <c r="I183" s="11" t="s">
        <v>1833</v>
      </c>
      <c r="J183" s="5" t="s">
        <v>1834</v>
      </c>
      <c r="K183" s="5" t="s">
        <v>1834</v>
      </c>
      <c r="L183" s="11" t="s">
        <v>1835</v>
      </c>
      <c r="M183" s="11" t="s">
        <v>1836</v>
      </c>
      <c r="N183" s="5" t="n">
        <f aca="false">LEN(L183)</f>
        <v>25</v>
      </c>
      <c r="O183" s="5" t="n">
        <f aca="false">LEN(M183)</f>
        <v>25</v>
      </c>
      <c r="P183" s="12" t="n">
        <f aca="false">IF(N183=0,"",(N183-LEN(SUBSTITUTE(SUBSTITUTE(L183,"G",""),"C","")))/N183)</f>
        <v>0.68</v>
      </c>
      <c r="Q183" s="12" t="n">
        <f aca="false">IF(O183=0,"",(O183-LEN(SUBSTITUTE(SUBSTITUTE(M183,"G",""),"C","")))/O183)</f>
        <v>0.76</v>
      </c>
      <c r="R183" s="5"/>
      <c r="S183" s="5" t="s">
        <v>342</v>
      </c>
      <c r="T183" s="5"/>
      <c r="U183" s="5" t="s">
        <v>343</v>
      </c>
      <c r="V183" s="5" t="s">
        <v>996</v>
      </c>
      <c r="W183" s="5"/>
      <c r="X183" s="13" t="s">
        <v>345</v>
      </c>
      <c r="Y183" s="5"/>
    </row>
    <row r="184" customFormat="false" ht="15" hidden="false" customHeight="false" outlineLevel="0" collapsed="false">
      <c r="A184" s="5" t="s">
        <v>1837</v>
      </c>
      <c r="B184" s="5" t="s">
        <v>183</v>
      </c>
      <c r="C184" s="5" t="s">
        <v>184</v>
      </c>
      <c r="D184" s="9" t="s">
        <v>155</v>
      </c>
      <c r="E184" s="5" t="n">
        <v>2</v>
      </c>
      <c r="F184" s="5" t="s">
        <v>1838</v>
      </c>
      <c r="G184" s="11" t="s">
        <v>1839</v>
      </c>
      <c r="H184" s="5" t="s">
        <v>1840</v>
      </c>
      <c r="I184" s="11" t="s">
        <v>1841</v>
      </c>
      <c r="J184" s="5" t="s">
        <v>1834</v>
      </c>
      <c r="K184" s="5" t="s">
        <v>1834</v>
      </c>
      <c r="L184" s="11" t="s">
        <v>1842</v>
      </c>
      <c r="M184" s="11" t="s">
        <v>1843</v>
      </c>
      <c r="N184" s="5" t="n">
        <f aca="false">LEN(L184)</f>
        <v>25</v>
      </c>
      <c r="O184" s="5" t="n">
        <f aca="false">LEN(M184)</f>
        <v>25</v>
      </c>
      <c r="P184" s="12" t="n">
        <f aca="false">IF(N184=0,"",(N184-LEN(SUBSTITUTE(SUBSTITUTE(L184,"G",""),"C","")))/N184)</f>
        <v>0.56</v>
      </c>
      <c r="Q184" s="12" t="n">
        <f aca="false">IF(O184=0,"",(O184-LEN(SUBSTITUTE(SUBSTITUTE(M184,"G",""),"C","")))/O184)</f>
        <v>0.64</v>
      </c>
      <c r="R184" s="5"/>
      <c r="S184" s="5" t="s">
        <v>342</v>
      </c>
      <c r="T184" s="5"/>
      <c r="U184" s="5" t="s">
        <v>343</v>
      </c>
      <c r="V184" s="5" t="s">
        <v>996</v>
      </c>
      <c r="W184" s="5"/>
      <c r="X184" s="13" t="s">
        <v>345</v>
      </c>
      <c r="Y184" s="5"/>
    </row>
    <row r="185" customFormat="false" ht="15" hidden="false" customHeight="false" outlineLevel="0" collapsed="false">
      <c r="A185" s="5" t="s">
        <v>1844</v>
      </c>
      <c r="B185" s="5" t="s">
        <v>183</v>
      </c>
      <c r="C185" s="5" t="s">
        <v>184</v>
      </c>
      <c r="D185" s="9" t="s">
        <v>155</v>
      </c>
      <c r="E185" s="5" t="n">
        <v>3</v>
      </c>
      <c r="F185" s="5" t="s">
        <v>1845</v>
      </c>
      <c r="G185" s="11" t="s">
        <v>1846</v>
      </c>
      <c r="H185" s="5" t="s">
        <v>1847</v>
      </c>
      <c r="I185" s="11" t="s">
        <v>1848</v>
      </c>
      <c r="J185" s="5" t="s">
        <v>1834</v>
      </c>
      <c r="K185" s="5" t="s">
        <v>1834</v>
      </c>
      <c r="L185" s="11" t="s">
        <v>1849</v>
      </c>
      <c r="M185" s="11" t="s">
        <v>1850</v>
      </c>
      <c r="N185" s="5" t="n">
        <f aca="false">LEN(L185)</f>
        <v>25</v>
      </c>
      <c r="O185" s="5" t="n">
        <f aca="false">LEN(M185)</f>
        <v>25</v>
      </c>
      <c r="P185" s="12" t="n">
        <f aca="false">IF(N185=0,"",(N185-LEN(SUBSTITUTE(SUBSTITUTE(L185,"G",""),"C","")))/N185)</f>
        <v>0.8</v>
      </c>
      <c r="Q185" s="12" t="n">
        <f aca="false">IF(O185=0,"",(O185-LEN(SUBSTITUTE(SUBSTITUTE(M185,"G",""),"C","")))/O185)</f>
        <v>0.72</v>
      </c>
      <c r="R185" s="5"/>
      <c r="S185" s="5" t="s">
        <v>342</v>
      </c>
      <c r="T185" s="5"/>
      <c r="U185" s="5" t="s">
        <v>606</v>
      </c>
      <c r="V185" s="5" t="s">
        <v>996</v>
      </c>
      <c r="W185" s="5"/>
      <c r="X185" s="8" t="s">
        <v>488</v>
      </c>
      <c r="Y185" s="5"/>
    </row>
    <row r="186" customFormat="false" ht="15" hidden="false" customHeight="false" outlineLevel="0" collapsed="false">
      <c r="A186" s="5" t="s">
        <v>1851</v>
      </c>
      <c r="B186" s="5" t="s">
        <v>183</v>
      </c>
      <c r="C186" s="5" t="s">
        <v>184</v>
      </c>
      <c r="D186" s="9" t="s">
        <v>155</v>
      </c>
      <c r="E186" s="5" t="n">
        <v>4</v>
      </c>
      <c r="F186" s="5" t="s">
        <v>1852</v>
      </c>
      <c r="G186" s="11" t="s">
        <v>1853</v>
      </c>
      <c r="H186" s="5" t="s">
        <v>1854</v>
      </c>
      <c r="I186" s="11" t="s">
        <v>1855</v>
      </c>
      <c r="J186" s="5" t="s">
        <v>1834</v>
      </c>
      <c r="K186" s="5" t="s">
        <v>1834</v>
      </c>
      <c r="L186" s="11" t="s">
        <v>1856</v>
      </c>
      <c r="M186" s="11" t="s">
        <v>1857</v>
      </c>
      <c r="N186" s="5" t="n">
        <f aca="false">LEN(L186)</f>
        <v>25</v>
      </c>
      <c r="O186" s="5" t="n">
        <f aca="false">LEN(M186)</f>
        <v>25</v>
      </c>
      <c r="P186" s="12" t="n">
        <f aca="false">IF(N186=0,"",(N186-LEN(SUBSTITUTE(SUBSTITUTE(L186,"G",""),"C","")))/N186)</f>
        <v>0.64</v>
      </c>
      <c r="Q186" s="12" t="n">
        <f aca="false">IF(O186=0,"",(O186-LEN(SUBSTITUTE(SUBSTITUTE(M186,"G",""),"C","")))/O186)</f>
        <v>0.76</v>
      </c>
      <c r="R186" s="5"/>
      <c r="S186" s="5" t="s">
        <v>342</v>
      </c>
      <c r="T186" s="5"/>
      <c r="U186" s="5" t="s">
        <v>606</v>
      </c>
      <c r="V186" s="5" t="s">
        <v>996</v>
      </c>
      <c r="W186" s="5"/>
      <c r="X186" s="8" t="s">
        <v>488</v>
      </c>
      <c r="Y186" s="5"/>
    </row>
    <row r="187" customFormat="false" ht="15" hidden="false" customHeight="false" outlineLevel="0" collapsed="false">
      <c r="A187" s="5" t="s">
        <v>1858</v>
      </c>
      <c r="B187" s="5" t="s">
        <v>183</v>
      </c>
      <c r="C187" s="5" t="s">
        <v>184</v>
      </c>
      <c r="D187" s="9" t="s">
        <v>155</v>
      </c>
      <c r="E187" s="5" t="n">
        <v>5</v>
      </c>
      <c r="F187" s="5" t="s">
        <v>1859</v>
      </c>
      <c r="G187" s="11" t="s">
        <v>1860</v>
      </c>
      <c r="H187" s="5" t="s">
        <v>1861</v>
      </c>
      <c r="I187" s="11" t="s">
        <v>1862</v>
      </c>
      <c r="J187" s="5" t="s">
        <v>1834</v>
      </c>
      <c r="K187" s="5" t="s">
        <v>1834</v>
      </c>
      <c r="L187" s="11" t="s">
        <v>1863</v>
      </c>
      <c r="M187" s="11" t="s">
        <v>1864</v>
      </c>
      <c r="N187" s="5" t="n">
        <f aca="false">LEN(L187)</f>
        <v>25</v>
      </c>
      <c r="O187" s="5" t="n">
        <f aca="false">LEN(M187)</f>
        <v>25</v>
      </c>
      <c r="P187" s="12" t="n">
        <f aca="false">IF(N187=0,"",(N187-LEN(SUBSTITUTE(SUBSTITUTE(L187,"G",""),"C","")))/N187)</f>
        <v>0.64</v>
      </c>
      <c r="Q187" s="12" t="n">
        <f aca="false">IF(O187=0,"",(O187-LEN(SUBSTITUTE(SUBSTITUTE(M187,"G",""),"C","")))/O187)</f>
        <v>0.36</v>
      </c>
      <c r="R187" s="5"/>
      <c r="S187" s="5" t="s">
        <v>342</v>
      </c>
      <c r="T187" s="5"/>
      <c r="U187" s="5" t="s">
        <v>606</v>
      </c>
      <c r="V187" s="5" t="s">
        <v>996</v>
      </c>
      <c r="W187" s="5"/>
      <c r="X187" s="8" t="s">
        <v>488</v>
      </c>
      <c r="Y187" s="5"/>
    </row>
    <row r="188" customFormat="false" ht="15" hidden="false" customHeight="false" outlineLevel="0" collapsed="false">
      <c r="A188" s="5" t="s">
        <v>1865</v>
      </c>
      <c r="B188" s="5" t="s">
        <v>183</v>
      </c>
      <c r="C188" s="5" t="s">
        <v>184</v>
      </c>
      <c r="D188" s="9" t="s">
        <v>155</v>
      </c>
      <c r="E188" s="5" t="n">
        <v>6</v>
      </c>
      <c r="F188" s="5" t="s">
        <v>1866</v>
      </c>
      <c r="G188" s="11" t="s">
        <v>1867</v>
      </c>
      <c r="H188" s="5" t="s">
        <v>1868</v>
      </c>
      <c r="I188" s="11" t="s">
        <v>1869</v>
      </c>
      <c r="J188" s="5" t="s">
        <v>1834</v>
      </c>
      <c r="K188" s="5" t="s">
        <v>1834</v>
      </c>
      <c r="L188" s="11" t="s">
        <v>1870</v>
      </c>
      <c r="M188" s="11" t="s">
        <v>1871</v>
      </c>
      <c r="N188" s="5" t="n">
        <f aca="false">LEN(L188)</f>
        <v>25</v>
      </c>
      <c r="O188" s="5" t="n">
        <f aca="false">LEN(M188)</f>
        <v>25</v>
      </c>
      <c r="P188" s="12" t="n">
        <f aca="false">IF(N188=0,"",(N188-LEN(SUBSTITUTE(SUBSTITUTE(L188,"G",""),"C","")))/N188)</f>
        <v>0.6</v>
      </c>
      <c r="Q188" s="12" t="n">
        <f aca="false">IF(O188=0,"",(O188-LEN(SUBSTITUTE(SUBSTITUTE(M188,"G",""),"C","")))/O188)</f>
        <v>0.6</v>
      </c>
      <c r="R188" s="5"/>
      <c r="S188" s="5" t="s">
        <v>342</v>
      </c>
      <c r="T188" s="5"/>
      <c r="U188" s="5" t="s">
        <v>343</v>
      </c>
      <c r="V188" s="5" t="s">
        <v>996</v>
      </c>
      <c r="W188" s="5"/>
      <c r="X188" s="13" t="s">
        <v>345</v>
      </c>
      <c r="Y188" s="5"/>
    </row>
    <row r="189" customFormat="false" ht="15" hidden="false" customHeight="false" outlineLevel="0" collapsed="false">
      <c r="A189" s="5" t="s">
        <v>1872</v>
      </c>
      <c r="B189" s="5" t="s">
        <v>183</v>
      </c>
      <c r="C189" s="5" t="s">
        <v>184</v>
      </c>
      <c r="D189" s="9" t="s">
        <v>155</v>
      </c>
      <c r="E189" s="5" t="n">
        <v>7</v>
      </c>
      <c r="F189" s="5" t="s">
        <v>1873</v>
      </c>
      <c r="G189" s="11" t="s">
        <v>1874</v>
      </c>
      <c r="H189" s="5" t="s">
        <v>1875</v>
      </c>
      <c r="I189" s="11" t="s">
        <v>1876</v>
      </c>
      <c r="J189" s="5" t="s">
        <v>1834</v>
      </c>
      <c r="K189" s="5" t="s">
        <v>1834</v>
      </c>
      <c r="L189" s="11" t="s">
        <v>1877</v>
      </c>
      <c r="M189" s="11" t="s">
        <v>1878</v>
      </c>
      <c r="N189" s="5" t="n">
        <f aca="false">LEN(L189)</f>
        <v>25</v>
      </c>
      <c r="O189" s="5" t="n">
        <f aca="false">LEN(M189)</f>
        <v>25</v>
      </c>
      <c r="P189" s="12" t="n">
        <f aca="false">IF(N189=0,"",(N189-LEN(SUBSTITUTE(SUBSTITUTE(L189,"G",""),"C","")))/N189)</f>
        <v>0.68</v>
      </c>
      <c r="Q189" s="12" t="n">
        <f aca="false">IF(O189=0,"",(O189-LEN(SUBSTITUTE(SUBSTITUTE(M189,"G",""),"C","")))/O189)</f>
        <v>0.52</v>
      </c>
      <c r="R189" s="5"/>
      <c r="S189" s="5" t="s">
        <v>342</v>
      </c>
      <c r="T189" s="5"/>
      <c r="U189" s="5" t="s">
        <v>343</v>
      </c>
      <c r="V189" s="5" t="s">
        <v>996</v>
      </c>
      <c r="W189" s="5"/>
      <c r="X189" s="13" t="s">
        <v>345</v>
      </c>
      <c r="Y189" s="5"/>
    </row>
    <row r="190" customFormat="false" ht="15" hidden="false" customHeight="false" outlineLevel="0" collapsed="false">
      <c r="A190" s="5" t="s">
        <v>1879</v>
      </c>
      <c r="B190" s="5" t="s">
        <v>183</v>
      </c>
      <c r="C190" s="5" t="s">
        <v>184</v>
      </c>
      <c r="D190" s="9" t="s">
        <v>155</v>
      </c>
      <c r="E190" s="5" t="n">
        <v>8</v>
      </c>
      <c r="F190" s="5" t="s">
        <v>1880</v>
      </c>
      <c r="G190" s="11" t="s">
        <v>1881</v>
      </c>
      <c r="H190" s="5" t="s">
        <v>1882</v>
      </c>
      <c r="I190" s="11" t="s">
        <v>1883</v>
      </c>
      <c r="J190" s="5" t="s">
        <v>1834</v>
      </c>
      <c r="K190" s="5" t="s">
        <v>1834</v>
      </c>
      <c r="L190" s="11" t="s">
        <v>1884</v>
      </c>
      <c r="M190" s="11" t="s">
        <v>1885</v>
      </c>
      <c r="N190" s="5" t="n">
        <f aca="false">LEN(L190)</f>
        <v>25</v>
      </c>
      <c r="O190" s="5" t="n">
        <f aca="false">LEN(M190)</f>
        <v>25</v>
      </c>
      <c r="P190" s="12" t="n">
        <f aca="false">IF(N190=0,"",(N190-LEN(SUBSTITUTE(SUBSTITUTE(L190,"G",""),"C","")))/N190)</f>
        <v>0.68</v>
      </c>
      <c r="Q190" s="12" t="n">
        <f aca="false">IF(O190=0,"",(O190-LEN(SUBSTITUTE(SUBSTITUTE(M190,"G",""),"C","")))/O190)</f>
        <v>0.68</v>
      </c>
      <c r="R190" s="5"/>
      <c r="S190" s="5" t="s">
        <v>342</v>
      </c>
      <c r="T190" s="5"/>
      <c r="U190" s="5" t="s">
        <v>343</v>
      </c>
      <c r="V190" s="5" t="s">
        <v>996</v>
      </c>
      <c r="W190" s="5"/>
      <c r="X190" s="13" t="s">
        <v>345</v>
      </c>
      <c r="Y190" s="5"/>
    </row>
    <row r="191" customFormat="false" ht="15" hidden="false" customHeight="false" outlineLevel="0" collapsed="false">
      <c r="A191" s="5" t="s">
        <v>1886</v>
      </c>
      <c r="B191" s="5" t="s">
        <v>189</v>
      </c>
      <c r="C191" s="5" t="s">
        <v>190</v>
      </c>
      <c r="D191" s="9" t="s">
        <v>155</v>
      </c>
      <c r="E191" s="5" t="n">
        <v>1</v>
      </c>
      <c r="F191" s="5" t="s">
        <v>1887</v>
      </c>
      <c r="G191" s="11" t="s">
        <v>1888</v>
      </c>
      <c r="H191" s="5" t="s">
        <v>1889</v>
      </c>
      <c r="I191" s="11" t="s">
        <v>1890</v>
      </c>
      <c r="J191" s="5" t="s">
        <v>1891</v>
      </c>
      <c r="K191" s="5" t="s">
        <v>1892</v>
      </c>
      <c r="L191" s="11" t="s">
        <v>1893</v>
      </c>
      <c r="M191" s="11" t="s">
        <v>1894</v>
      </c>
      <c r="N191" s="5" t="n">
        <f aca="false">LEN(L191)</f>
        <v>25</v>
      </c>
      <c r="O191" s="5" t="n">
        <f aca="false">LEN(M191)</f>
        <v>25</v>
      </c>
      <c r="P191" s="12" t="n">
        <f aca="false">IF(N191=0,"",(N191-LEN(SUBSTITUTE(SUBSTITUTE(L191,"G",""),"C","")))/N191)</f>
        <v>0.4</v>
      </c>
      <c r="Q191" s="12" t="n">
        <f aca="false">IF(O191=0,"",(O191-LEN(SUBSTITUTE(SUBSTITUTE(M191,"G",""),"C","")))/O191)</f>
        <v>0.28</v>
      </c>
      <c r="R191" s="5"/>
      <c r="S191" s="5" t="s">
        <v>342</v>
      </c>
      <c r="T191" s="5"/>
      <c r="U191" s="5" t="s">
        <v>382</v>
      </c>
      <c r="V191" s="5" t="s">
        <v>401</v>
      </c>
      <c r="W191" s="5"/>
      <c r="X191" s="8" t="s">
        <v>383</v>
      </c>
      <c r="Y191" s="5"/>
    </row>
    <row r="192" customFormat="false" ht="15" hidden="false" customHeight="false" outlineLevel="0" collapsed="false">
      <c r="A192" s="5" t="s">
        <v>1895</v>
      </c>
      <c r="B192" s="5" t="s">
        <v>189</v>
      </c>
      <c r="C192" s="5" t="s">
        <v>190</v>
      </c>
      <c r="D192" s="9" t="s">
        <v>155</v>
      </c>
      <c r="E192" s="5" t="n">
        <v>2</v>
      </c>
      <c r="F192" s="5" t="s">
        <v>1896</v>
      </c>
      <c r="G192" s="11" t="s">
        <v>1897</v>
      </c>
      <c r="H192" s="5" t="s">
        <v>1898</v>
      </c>
      <c r="I192" s="11" t="s">
        <v>1899</v>
      </c>
      <c r="J192" s="5" t="s">
        <v>1900</v>
      </c>
      <c r="K192" s="5" t="s">
        <v>1901</v>
      </c>
      <c r="L192" s="11" t="s">
        <v>1902</v>
      </c>
      <c r="M192" s="11" t="s">
        <v>1903</v>
      </c>
      <c r="N192" s="5" t="n">
        <f aca="false">LEN(L192)</f>
        <v>25</v>
      </c>
      <c r="O192" s="5" t="n">
        <f aca="false">LEN(M192)</f>
        <v>25</v>
      </c>
      <c r="P192" s="12" t="n">
        <f aca="false">IF(N192=0,"",(N192-LEN(SUBSTITUTE(SUBSTITUTE(L192,"G",""),"C","")))/N192)</f>
        <v>0.32</v>
      </c>
      <c r="Q192" s="12" t="n">
        <f aca="false">IF(O192=0,"",(O192-LEN(SUBSTITUTE(SUBSTITUTE(M192,"G",""),"C","")))/O192)</f>
        <v>0.44</v>
      </c>
      <c r="R192" s="5"/>
      <c r="S192" s="5" t="s">
        <v>342</v>
      </c>
      <c r="T192" s="5"/>
      <c r="U192" s="5" t="s">
        <v>382</v>
      </c>
      <c r="V192" s="5" t="s">
        <v>401</v>
      </c>
      <c r="W192" s="5"/>
      <c r="X192" s="8" t="s">
        <v>383</v>
      </c>
      <c r="Y192" s="5"/>
    </row>
    <row r="193" customFormat="false" ht="15" hidden="false" customHeight="false" outlineLevel="0" collapsed="false">
      <c r="A193" s="5" t="s">
        <v>1904</v>
      </c>
      <c r="B193" s="5" t="s">
        <v>189</v>
      </c>
      <c r="C193" s="5" t="s">
        <v>190</v>
      </c>
      <c r="D193" s="9" t="s">
        <v>155</v>
      </c>
      <c r="E193" s="5" t="n">
        <v>3</v>
      </c>
      <c r="F193" s="5" t="s">
        <v>1905</v>
      </c>
      <c r="G193" s="11" t="s">
        <v>1906</v>
      </c>
      <c r="H193" s="5" t="s">
        <v>1907</v>
      </c>
      <c r="I193" s="11" t="s">
        <v>1908</v>
      </c>
      <c r="J193" s="5" t="s">
        <v>1909</v>
      </c>
      <c r="K193" s="5" t="s">
        <v>1910</v>
      </c>
      <c r="L193" s="11" t="s">
        <v>1911</v>
      </c>
      <c r="M193" s="11" t="s">
        <v>1912</v>
      </c>
      <c r="N193" s="5" t="n">
        <f aca="false">LEN(L193)</f>
        <v>25</v>
      </c>
      <c r="O193" s="5" t="n">
        <f aca="false">LEN(M193)</f>
        <v>25</v>
      </c>
      <c r="P193" s="12" t="n">
        <f aca="false">IF(N193=0,"",(N193-LEN(SUBSTITUTE(SUBSTITUTE(L193,"G",""),"C","")))/N193)</f>
        <v>0.4</v>
      </c>
      <c r="Q193" s="12" t="n">
        <f aca="false">IF(O193=0,"",(O193-LEN(SUBSTITUTE(SUBSTITUTE(M193,"G",""),"C","")))/O193)</f>
        <v>0.32</v>
      </c>
      <c r="R193" s="5"/>
      <c r="S193" s="5" t="s">
        <v>342</v>
      </c>
      <c r="T193" s="5"/>
      <c r="U193" s="5" t="s">
        <v>382</v>
      </c>
      <c r="V193" s="5" t="s">
        <v>401</v>
      </c>
      <c r="W193" s="5"/>
      <c r="X193" s="8" t="s">
        <v>383</v>
      </c>
      <c r="Y193" s="5"/>
    </row>
    <row r="194" customFormat="false" ht="15" hidden="false" customHeight="false" outlineLevel="0" collapsed="false">
      <c r="A194" s="5" t="s">
        <v>1913</v>
      </c>
      <c r="B194" s="5" t="s">
        <v>191</v>
      </c>
      <c r="C194" s="5" t="s">
        <v>192</v>
      </c>
      <c r="D194" s="9" t="s">
        <v>155</v>
      </c>
      <c r="E194" s="5" t="n">
        <v>1</v>
      </c>
      <c r="F194" s="5" t="s">
        <v>1914</v>
      </c>
      <c r="G194" s="11" t="s">
        <v>1915</v>
      </c>
      <c r="H194" s="5" t="s">
        <v>1916</v>
      </c>
      <c r="I194" s="11" t="s">
        <v>1917</v>
      </c>
      <c r="J194" s="5" t="s">
        <v>1918</v>
      </c>
      <c r="K194" s="5" t="s">
        <v>1919</v>
      </c>
      <c r="L194" s="11" t="s">
        <v>1920</v>
      </c>
      <c r="M194" s="11" t="s">
        <v>1921</v>
      </c>
      <c r="N194" s="5" t="n">
        <f aca="false">LEN(L194)</f>
        <v>25</v>
      </c>
      <c r="O194" s="5" t="n">
        <f aca="false">LEN(M194)</f>
        <v>25</v>
      </c>
      <c r="P194" s="12" t="n">
        <f aca="false">IF(N194=0,"",(N194-LEN(SUBSTITUTE(SUBSTITUTE(L194,"G",""),"C","")))/N194)</f>
        <v>0.64</v>
      </c>
      <c r="Q194" s="12" t="n">
        <f aca="false">IF(O194=0,"",(O194-LEN(SUBSTITUTE(SUBSTITUTE(M194,"G",""),"C","")))/O194)</f>
        <v>0.6</v>
      </c>
      <c r="R194" s="5"/>
      <c r="S194" s="5" t="s">
        <v>342</v>
      </c>
      <c r="T194" s="5"/>
      <c r="U194" s="5" t="s">
        <v>343</v>
      </c>
      <c r="V194" s="5" t="s">
        <v>843</v>
      </c>
      <c r="W194" s="5"/>
      <c r="X194" s="13" t="s">
        <v>345</v>
      </c>
      <c r="Y194" s="5"/>
    </row>
    <row r="195" customFormat="false" ht="15" hidden="false" customHeight="false" outlineLevel="0" collapsed="false">
      <c r="A195" s="5" t="s">
        <v>1922</v>
      </c>
      <c r="B195" s="5" t="s">
        <v>191</v>
      </c>
      <c r="C195" s="5" t="s">
        <v>192</v>
      </c>
      <c r="D195" s="9" t="s">
        <v>155</v>
      </c>
      <c r="E195" s="5" t="n">
        <v>2</v>
      </c>
      <c r="F195" s="5" t="s">
        <v>1923</v>
      </c>
      <c r="G195" s="11" t="s">
        <v>1924</v>
      </c>
      <c r="H195" s="5" t="s">
        <v>1925</v>
      </c>
      <c r="I195" s="11" t="s">
        <v>1926</v>
      </c>
      <c r="J195" s="5" t="s">
        <v>1927</v>
      </c>
      <c r="K195" s="5" t="s">
        <v>1928</v>
      </c>
      <c r="L195" s="11" t="s">
        <v>1929</v>
      </c>
      <c r="M195" s="11" t="s">
        <v>1930</v>
      </c>
      <c r="N195" s="5" t="n">
        <f aca="false">LEN(L195)</f>
        <v>25</v>
      </c>
      <c r="O195" s="5" t="n">
        <f aca="false">LEN(M195)</f>
        <v>25</v>
      </c>
      <c r="P195" s="12" t="n">
        <f aca="false">IF(N195=0,"",(N195-LEN(SUBSTITUTE(SUBSTITUTE(L195,"G",""),"C","")))/N195)</f>
        <v>0.56</v>
      </c>
      <c r="Q195" s="12" t="n">
        <f aca="false">IF(O195=0,"",(O195-LEN(SUBSTITUTE(SUBSTITUTE(M195,"G",""),"C","")))/O195)</f>
        <v>0.6</v>
      </c>
      <c r="R195" s="5"/>
      <c r="S195" s="5" t="s">
        <v>342</v>
      </c>
      <c r="T195" s="5"/>
      <c r="U195" s="5" t="s">
        <v>343</v>
      </c>
      <c r="V195" s="5" t="s">
        <v>843</v>
      </c>
      <c r="W195" s="5"/>
      <c r="X195" s="13" t="s">
        <v>345</v>
      </c>
      <c r="Y195" s="5"/>
    </row>
    <row r="196" customFormat="false" ht="15" hidden="false" customHeight="false" outlineLevel="0" collapsed="false">
      <c r="A196" s="5" t="s">
        <v>1931</v>
      </c>
      <c r="B196" s="5" t="s">
        <v>191</v>
      </c>
      <c r="C196" s="5" t="s">
        <v>192</v>
      </c>
      <c r="D196" s="9" t="s">
        <v>155</v>
      </c>
      <c r="E196" s="5" t="n">
        <v>3</v>
      </c>
      <c r="F196" s="5" t="s">
        <v>1932</v>
      </c>
      <c r="G196" s="11" t="s">
        <v>1933</v>
      </c>
      <c r="H196" s="5" t="s">
        <v>1934</v>
      </c>
      <c r="I196" s="11" t="s">
        <v>1935</v>
      </c>
      <c r="J196" s="5" t="s">
        <v>1936</v>
      </c>
      <c r="K196" s="5" t="s">
        <v>1937</v>
      </c>
      <c r="L196" s="11" t="s">
        <v>1938</v>
      </c>
      <c r="M196" s="11" t="s">
        <v>1939</v>
      </c>
      <c r="N196" s="5" t="n">
        <f aca="false">LEN(L196)</f>
        <v>25</v>
      </c>
      <c r="O196" s="5" t="n">
        <f aca="false">LEN(M196)</f>
        <v>25</v>
      </c>
      <c r="P196" s="12" t="n">
        <f aca="false">IF(N196=0,"",(N196-LEN(SUBSTITUTE(SUBSTITUTE(L196,"G",""),"C","")))/N196)</f>
        <v>0.6</v>
      </c>
      <c r="Q196" s="12" t="n">
        <f aca="false">IF(O196=0,"",(O196-LEN(SUBSTITUTE(SUBSTITUTE(M196,"G",""),"C","")))/O196)</f>
        <v>0.64</v>
      </c>
      <c r="R196" s="5"/>
      <c r="S196" s="5" t="s">
        <v>342</v>
      </c>
      <c r="T196" s="5"/>
      <c r="U196" s="5" t="s">
        <v>382</v>
      </c>
      <c r="V196" s="5" t="s">
        <v>843</v>
      </c>
      <c r="W196" s="5"/>
      <c r="X196" s="8" t="s">
        <v>488</v>
      </c>
      <c r="Y196" s="5"/>
    </row>
    <row r="197" customFormat="false" ht="15" hidden="false" customHeight="false" outlineLevel="0" collapsed="false">
      <c r="A197" s="5" t="s">
        <v>1940</v>
      </c>
      <c r="B197" s="5" t="s">
        <v>191</v>
      </c>
      <c r="C197" s="5" t="s">
        <v>192</v>
      </c>
      <c r="D197" s="9" t="s">
        <v>155</v>
      </c>
      <c r="E197" s="5" t="n">
        <v>4</v>
      </c>
      <c r="F197" s="5" t="s">
        <v>1941</v>
      </c>
      <c r="G197" s="11" t="s">
        <v>1942</v>
      </c>
      <c r="H197" s="5" t="s">
        <v>1943</v>
      </c>
      <c r="I197" s="11" t="s">
        <v>1944</v>
      </c>
      <c r="J197" s="5" t="s">
        <v>1945</v>
      </c>
      <c r="K197" s="5" t="s">
        <v>1946</v>
      </c>
      <c r="L197" s="11" t="s">
        <v>1947</v>
      </c>
      <c r="M197" s="11" t="s">
        <v>1948</v>
      </c>
      <c r="N197" s="5" t="n">
        <f aca="false">LEN(L197)</f>
        <v>25</v>
      </c>
      <c r="O197" s="5" t="n">
        <f aca="false">LEN(M197)</f>
        <v>25</v>
      </c>
      <c r="P197" s="12" t="n">
        <f aca="false">IF(N197=0,"",(N197-LEN(SUBSTITUTE(SUBSTITUTE(L197,"G",""),"C","")))/N197)</f>
        <v>0.52</v>
      </c>
      <c r="Q197" s="12" t="n">
        <f aca="false">IF(O197=0,"",(O197-LEN(SUBSTITUTE(SUBSTITUTE(M197,"G",""),"C","")))/O197)</f>
        <v>0.64</v>
      </c>
      <c r="R197" s="5"/>
      <c r="S197" s="5" t="s">
        <v>342</v>
      </c>
      <c r="T197" s="5"/>
      <c r="U197" s="5" t="s">
        <v>382</v>
      </c>
      <c r="V197" s="5" t="s">
        <v>843</v>
      </c>
      <c r="W197" s="5"/>
      <c r="X197" s="8" t="s">
        <v>383</v>
      </c>
      <c r="Y197" s="5"/>
    </row>
    <row r="198" customFormat="false" ht="15" hidden="false" customHeight="false" outlineLevel="0" collapsed="false">
      <c r="A198" s="5" t="s">
        <v>1949</v>
      </c>
      <c r="B198" s="5" t="s">
        <v>197</v>
      </c>
      <c r="C198" s="5" t="s">
        <v>198</v>
      </c>
      <c r="D198" s="9" t="s">
        <v>155</v>
      </c>
      <c r="E198" s="5" t="n">
        <v>1</v>
      </c>
      <c r="F198" s="5" t="s">
        <v>1950</v>
      </c>
      <c r="G198" s="11" t="s">
        <v>1951</v>
      </c>
      <c r="H198" s="5" t="s">
        <v>1952</v>
      </c>
      <c r="I198" s="11" t="s">
        <v>1953</v>
      </c>
      <c r="J198" s="5" t="s">
        <v>1954</v>
      </c>
      <c r="K198" s="5" t="s">
        <v>1955</v>
      </c>
      <c r="L198" s="11" t="s">
        <v>1956</v>
      </c>
      <c r="M198" s="11" t="s">
        <v>1957</v>
      </c>
      <c r="N198" s="5" t="n">
        <f aca="false">LEN(L198)</f>
        <v>25</v>
      </c>
      <c r="O198" s="5" t="n">
        <f aca="false">LEN(M198)</f>
        <v>25</v>
      </c>
      <c r="P198" s="12" t="n">
        <f aca="false">IF(N198=0,"",(N198-LEN(SUBSTITUTE(SUBSTITUTE(L198,"G",""),"C","")))/N198)</f>
        <v>0.64</v>
      </c>
      <c r="Q198" s="12" t="n">
        <f aca="false">IF(O198=0,"",(O198-LEN(SUBSTITUTE(SUBSTITUTE(M198,"G",""),"C","")))/O198)</f>
        <v>0.96</v>
      </c>
      <c r="R198" s="5"/>
      <c r="S198" s="5" t="s">
        <v>342</v>
      </c>
      <c r="T198" s="5"/>
      <c r="U198" s="5" t="s">
        <v>343</v>
      </c>
      <c r="V198" s="5" t="s">
        <v>843</v>
      </c>
      <c r="W198" s="5"/>
      <c r="X198" s="13" t="s">
        <v>345</v>
      </c>
      <c r="Y198" s="5"/>
    </row>
    <row r="199" customFormat="false" ht="15" hidden="false" customHeight="false" outlineLevel="0" collapsed="false">
      <c r="A199" s="5" t="s">
        <v>1958</v>
      </c>
      <c r="B199" s="5" t="s">
        <v>197</v>
      </c>
      <c r="C199" s="5" t="s">
        <v>198</v>
      </c>
      <c r="D199" s="9" t="s">
        <v>155</v>
      </c>
      <c r="E199" s="5" t="n">
        <v>2</v>
      </c>
      <c r="F199" s="5" t="s">
        <v>1959</v>
      </c>
      <c r="G199" s="11" t="s">
        <v>1960</v>
      </c>
      <c r="H199" s="5" t="s">
        <v>1961</v>
      </c>
      <c r="I199" s="11" t="s">
        <v>1962</v>
      </c>
      <c r="J199" s="5" t="s">
        <v>1963</v>
      </c>
      <c r="K199" s="5" t="s">
        <v>1964</v>
      </c>
      <c r="L199" s="11" t="s">
        <v>1965</v>
      </c>
      <c r="M199" s="11" t="s">
        <v>1966</v>
      </c>
      <c r="N199" s="5" t="n">
        <f aca="false">LEN(L199)</f>
        <v>25</v>
      </c>
      <c r="O199" s="5" t="n">
        <f aca="false">LEN(M199)</f>
        <v>25</v>
      </c>
      <c r="P199" s="12" t="n">
        <f aca="false">IF(N199=0,"",(N199-LEN(SUBSTITUTE(SUBSTITUTE(L199,"G",""),"C","")))/N199)</f>
        <v>0.72</v>
      </c>
      <c r="Q199" s="12" t="n">
        <f aca="false">IF(O199=0,"",(O199-LEN(SUBSTITUTE(SUBSTITUTE(M199,"G",""),"C","")))/O199)</f>
        <v>0.6</v>
      </c>
      <c r="R199" s="5"/>
      <c r="S199" s="5" t="s">
        <v>342</v>
      </c>
      <c r="T199" s="5"/>
      <c r="U199" s="5" t="s">
        <v>343</v>
      </c>
      <c r="V199" s="5" t="s">
        <v>843</v>
      </c>
      <c r="W199" s="5"/>
      <c r="X199" s="13" t="s">
        <v>345</v>
      </c>
      <c r="Y199" s="5"/>
    </row>
    <row r="200" customFormat="false" ht="15" hidden="false" customHeight="false" outlineLevel="0" collapsed="false">
      <c r="A200" s="5" t="s">
        <v>1967</v>
      </c>
      <c r="B200" s="5" t="s">
        <v>197</v>
      </c>
      <c r="C200" s="5" t="s">
        <v>198</v>
      </c>
      <c r="D200" s="9" t="s">
        <v>155</v>
      </c>
      <c r="E200" s="5" t="n">
        <v>3</v>
      </c>
      <c r="F200" s="5" t="s">
        <v>1968</v>
      </c>
      <c r="G200" s="11" t="s">
        <v>1969</v>
      </c>
      <c r="H200" s="5" t="s">
        <v>1970</v>
      </c>
      <c r="I200" s="11" t="s">
        <v>1971</v>
      </c>
      <c r="J200" s="5" t="s">
        <v>1972</v>
      </c>
      <c r="K200" s="5" t="s">
        <v>1973</v>
      </c>
      <c r="L200" s="11" t="s">
        <v>1974</v>
      </c>
      <c r="M200" s="11" t="s">
        <v>1975</v>
      </c>
      <c r="N200" s="5" t="n">
        <f aca="false">LEN(L200)</f>
        <v>25</v>
      </c>
      <c r="O200" s="5" t="n">
        <f aca="false">LEN(M200)</f>
        <v>25</v>
      </c>
      <c r="P200" s="12" t="n">
        <f aca="false">IF(N200=0,"",(N200-LEN(SUBSTITUTE(SUBSTITUTE(L200,"G",""),"C","")))/N200)</f>
        <v>0.68</v>
      </c>
      <c r="Q200" s="12" t="n">
        <f aca="false">IF(O200=0,"",(O200-LEN(SUBSTITUTE(SUBSTITUTE(M200,"G",""),"C","")))/O200)</f>
        <v>0.64</v>
      </c>
      <c r="R200" s="5"/>
      <c r="S200" s="5" t="s">
        <v>342</v>
      </c>
      <c r="T200" s="5"/>
      <c r="U200" s="5" t="s">
        <v>382</v>
      </c>
      <c r="V200" s="5" t="s">
        <v>843</v>
      </c>
      <c r="W200" s="5"/>
      <c r="X200" s="8" t="s">
        <v>488</v>
      </c>
      <c r="Y200" s="5"/>
    </row>
    <row r="201" customFormat="false" ht="15" hidden="false" customHeight="false" outlineLevel="0" collapsed="false">
      <c r="A201" s="5" t="s">
        <v>1976</v>
      </c>
      <c r="B201" s="5" t="s">
        <v>197</v>
      </c>
      <c r="C201" s="5" t="s">
        <v>198</v>
      </c>
      <c r="D201" s="9" t="s">
        <v>155</v>
      </c>
      <c r="E201" s="5" t="n">
        <v>4</v>
      </c>
      <c r="F201" s="5" t="s">
        <v>1977</v>
      </c>
      <c r="G201" s="11" t="s">
        <v>1978</v>
      </c>
      <c r="H201" s="5" t="s">
        <v>1979</v>
      </c>
      <c r="I201" s="11" t="s">
        <v>1980</v>
      </c>
      <c r="J201" s="5" t="s">
        <v>1981</v>
      </c>
      <c r="K201" s="5" t="s">
        <v>1982</v>
      </c>
      <c r="L201" s="11" t="s">
        <v>1983</v>
      </c>
      <c r="M201" s="11" t="s">
        <v>1984</v>
      </c>
      <c r="N201" s="5" t="n">
        <f aca="false">LEN(L201)</f>
        <v>25</v>
      </c>
      <c r="O201" s="5" t="n">
        <f aca="false">LEN(M201)</f>
        <v>25</v>
      </c>
      <c r="P201" s="12" t="n">
        <f aca="false">IF(N201=0,"",(N201-LEN(SUBSTITUTE(SUBSTITUTE(L201,"G",""),"C","")))/N201)</f>
        <v>0.72</v>
      </c>
      <c r="Q201" s="12" t="n">
        <f aca="false">IF(O201=0,"",(O201-LEN(SUBSTITUTE(SUBSTITUTE(M201,"G",""),"C","")))/O201)</f>
        <v>0.64</v>
      </c>
      <c r="R201" s="5"/>
      <c r="S201" s="5" t="s">
        <v>342</v>
      </c>
      <c r="T201" s="5"/>
      <c r="U201" s="5" t="s">
        <v>382</v>
      </c>
      <c r="V201" s="5" t="s">
        <v>843</v>
      </c>
      <c r="W201" s="5"/>
      <c r="X201" s="8" t="s">
        <v>383</v>
      </c>
      <c r="Y201" s="5"/>
    </row>
    <row r="202" customFormat="false" ht="15" hidden="false" customHeight="false" outlineLevel="0" collapsed="false">
      <c r="A202" s="5" t="s">
        <v>1985</v>
      </c>
      <c r="B202" s="5" t="s">
        <v>203</v>
      </c>
      <c r="C202" s="5" t="s">
        <v>204</v>
      </c>
      <c r="D202" s="9" t="s">
        <v>155</v>
      </c>
      <c r="E202" s="5" t="n">
        <v>1</v>
      </c>
      <c r="F202" s="5" t="s">
        <v>1986</v>
      </c>
      <c r="G202" s="11" t="s">
        <v>1987</v>
      </c>
      <c r="H202" s="5" t="s">
        <v>1988</v>
      </c>
      <c r="I202" s="11" t="s">
        <v>1989</v>
      </c>
      <c r="J202" s="5" t="s">
        <v>1990</v>
      </c>
      <c r="K202" s="5" t="s">
        <v>1991</v>
      </c>
      <c r="L202" s="11" t="s">
        <v>1992</v>
      </c>
      <c r="M202" s="11" t="s">
        <v>1993</v>
      </c>
      <c r="N202" s="5" t="n">
        <f aca="false">LEN(L202)</f>
        <v>25</v>
      </c>
      <c r="O202" s="5" t="n">
        <f aca="false">LEN(M202)</f>
        <v>25</v>
      </c>
      <c r="P202" s="12" t="n">
        <f aca="false">IF(N202=0,"",(N202-LEN(SUBSTITUTE(SUBSTITUTE(L202,"G",""),"C","")))/N202)</f>
        <v>0.6</v>
      </c>
      <c r="Q202" s="12" t="n">
        <f aca="false">IF(O202=0,"",(O202-LEN(SUBSTITUTE(SUBSTITUTE(M202,"G",""),"C","")))/O202)</f>
        <v>0.52</v>
      </c>
      <c r="R202" s="5"/>
      <c r="S202" s="5" t="s">
        <v>342</v>
      </c>
      <c r="T202" s="5"/>
      <c r="U202" s="5" t="s">
        <v>382</v>
      </c>
      <c r="V202" s="5" t="s">
        <v>1069</v>
      </c>
      <c r="W202" s="5"/>
      <c r="X202" s="8" t="s">
        <v>383</v>
      </c>
      <c r="Y202" s="5"/>
    </row>
    <row r="203" customFormat="false" ht="15" hidden="false" customHeight="false" outlineLevel="0" collapsed="false">
      <c r="A203" s="5" t="s">
        <v>1994</v>
      </c>
      <c r="B203" s="5" t="s">
        <v>203</v>
      </c>
      <c r="C203" s="5" t="s">
        <v>204</v>
      </c>
      <c r="D203" s="9" t="s">
        <v>155</v>
      </c>
      <c r="E203" s="5" t="n">
        <v>2</v>
      </c>
      <c r="F203" s="5" t="s">
        <v>1995</v>
      </c>
      <c r="G203" s="11" t="s">
        <v>1996</v>
      </c>
      <c r="H203" s="5" t="s">
        <v>1997</v>
      </c>
      <c r="I203" s="11" t="s">
        <v>1998</v>
      </c>
      <c r="J203" s="5" t="s">
        <v>1999</v>
      </c>
      <c r="K203" s="5" t="s">
        <v>2000</v>
      </c>
      <c r="L203" s="11" t="s">
        <v>2001</v>
      </c>
      <c r="M203" s="11" t="s">
        <v>2002</v>
      </c>
      <c r="N203" s="5" t="n">
        <f aca="false">LEN(L203)</f>
        <v>25</v>
      </c>
      <c r="O203" s="5" t="n">
        <f aca="false">LEN(M203)</f>
        <v>25</v>
      </c>
      <c r="P203" s="12" t="n">
        <f aca="false">IF(N203=0,"",(N203-LEN(SUBSTITUTE(SUBSTITUTE(L203,"G",""),"C","")))/N203)</f>
        <v>0.72</v>
      </c>
      <c r="Q203" s="12" t="n">
        <f aca="false">IF(O203=0,"",(O203-LEN(SUBSTITUTE(SUBSTITUTE(M203,"G",""),"C","")))/O203)</f>
        <v>0.8</v>
      </c>
      <c r="R203" s="5"/>
      <c r="S203" s="5" t="s">
        <v>342</v>
      </c>
      <c r="T203" s="5"/>
      <c r="U203" s="5" t="s">
        <v>382</v>
      </c>
      <c r="V203" s="5" t="s">
        <v>1069</v>
      </c>
      <c r="W203" s="5"/>
      <c r="X203" s="8" t="s">
        <v>383</v>
      </c>
      <c r="Y203" s="5"/>
    </row>
    <row r="204" customFormat="false" ht="15" hidden="false" customHeight="false" outlineLevel="0" collapsed="false">
      <c r="A204" s="5" t="s">
        <v>2003</v>
      </c>
      <c r="B204" s="5" t="s">
        <v>203</v>
      </c>
      <c r="C204" s="5" t="s">
        <v>204</v>
      </c>
      <c r="D204" s="9" t="s">
        <v>155</v>
      </c>
      <c r="E204" s="5" t="n">
        <v>3</v>
      </c>
      <c r="F204" s="5" t="s">
        <v>2004</v>
      </c>
      <c r="G204" s="11" t="s">
        <v>2005</v>
      </c>
      <c r="H204" s="5" t="s">
        <v>2006</v>
      </c>
      <c r="I204" s="11" t="s">
        <v>2007</v>
      </c>
      <c r="J204" s="5" t="s">
        <v>2008</v>
      </c>
      <c r="K204" s="5" t="s">
        <v>2009</v>
      </c>
      <c r="L204" s="11" t="s">
        <v>2010</v>
      </c>
      <c r="M204" s="11" t="s">
        <v>2011</v>
      </c>
      <c r="N204" s="5" t="n">
        <f aca="false">LEN(L204)</f>
        <v>25</v>
      </c>
      <c r="O204" s="5" t="n">
        <f aca="false">LEN(M204)</f>
        <v>25</v>
      </c>
      <c r="P204" s="12" t="n">
        <f aca="false">IF(N204=0,"",(N204-LEN(SUBSTITUTE(SUBSTITUTE(L204,"G",""),"C","")))/N204)</f>
        <v>0.68</v>
      </c>
      <c r="Q204" s="12" t="n">
        <f aca="false">IF(O204=0,"",(O204-LEN(SUBSTITUTE(SUBSTITUTE(M204,"G",""),"C","")))/O204)</f>
        <v>0.6</v>
      </c>
      <c r="R204" s="5"/>
      <c r="S204" s="5" t="s">
        <v>342</v>
      </c>
      <c r="T204" s="5"/>
      <c r="U204" s="5" t="s">
        <v>382</v>
      </c>
      <c r="V204" s="5" t="s">
        <v>1069</v>
      </c>
      <c r="W204" s="5"/>
      <c r="X204" s="8" t="s">
        <v>383</v>
      </c>
      <c r="Y204" s="5"/>
    </row>
    <row r="205" customFormat="false" ht="15" hidden="false" customHeight="false" outlineLevel="0" collapsed="false">
      <c r="A205" s="5" t="s">
        <v>2012</v>
      </c>
      <c r="B205" s="5" t="s">
        <v>203</v>
      </c>
      <c r="C205" s="5" t="s">
        <v>204</v>
      </c>
      <c r="D205" s="9" t="s">
        <v>155</v>
      </c>
      <c r="E205" s="5" t="n">
        <v>4</v>
      </c>
      <c r="F205" s="5" t="s">
        <v>2013</v>
      </c>
      <c r="G205" s="11" t="s">
        <v>2014</v>
      </c>
      <c r="H205" s="5" t="s">
        <v>2015</v>
      </c>
      <c r="I205" s="11" t="s">
        <v>2016</v>
      </c>
      <c r="J205" s="5" t="s">
        <v>2017</v>
      </c>
      <c r="K205" s="5" t="s">
        <v>2018</v>
      </c>
      <c r="L205" s="11" t="s">
        <v>2019</v>
      </c>
      <c r="M205" s="11" t="s">
        <v>2020</v>
      </c>
      <c r="N205" s="5" t="n">
        <f aca="false">LEN(L205)</f>
        <v>25</v>
      </c>
      <c r="O205" s="5" t="n">
        <f aca="false">LEN(M205)</f>
        <v>25</v>
      </c>
      <c r="P205" s="12" t="n">
        <f aca="false">IF(N205=0,"",(N205-LEN(SUBSTITUTE(SUBSTITUTE(L205,"G",""),"C","")))/N205)</f>
        <v>0.88</v>
      </c>
      <c r="Q205" s="12" t="n">
        <f aca="false">IF(O205=0,"",(O205-LEN(SUBSTITUTE(SUBSTITUTE(M205,"G",""),"C","")))/O205)</f>
        <v>0.84</v>
      </c>
      <c r="R205" s="5"/>
      <c r="S205" s="5" t="s">
        <v>342</v>
      </c>
      <c r="T205" s="5"/>
      <c r="U205" s="5" t="s">
        <v>382</v>
      </c>
      <c r="V205" s="5" t="s">
        <v>1069</v>
      </c>
      <c r="W205" s="5"/>
      <c r="X205" s="8" t="s">
        <v>383</v>
      </c>
      <c r="Y205" s="5"/>
    </row>
    <row r="206" customFormat="false" ht="15" hidden="false" customHeight="false" outlineLevel="0" collapsed="false">
      <c r="A206" s="5" t="s">
        <v>2021</v>
      </c>
      <c r="B206" s="5" t="s">
        <v>203</v>
      </c>
      <c r="C206" s="5" t="s">
        <v>204</v>
      </c>
      <c r="D206" s="9" t="s">
        <v>155</v>
      </c>
      <c r="E206" s="5" t="n">
        <v>5</v>
      </c>
      <c r="F206" s="5" t="s">
        <v>2022</v>
      </c>
      <c r="G206" s="11" t="s">
        <v>2023</v>
      </c>
      <c r="H206" s="5" t="s">
        <v>2024</v>
      </c>
      <c r="I206" s="11" t="s">
        <v>2025</v>
      </c>
      <c r="J206" s="5" t="s">
        <v>2026</v>
      </c>
      <c r="K206" s="5" t="s">
        <v>2027</v>
      </c>
      <c r="L206" s="11" t="s">
        <v>2028</v>
      </c>
      <c r="M206" s="11" t="s">
        <v>2029</v>
      </c>
      <c r="N206" s="5" t="n">
        <f aca="false">LEN(L206)</f>
        <v>25</v>
      </c>
      <c r="O206" s="5" t="n">
        <f aca="false">LEN(M206)</f>
        <v>25</v>
      </c>
      <c r="P206" s="12" t="n">
        <f aca="false">IF(N206=0,"",(N206-LEN(SUBSTITUTE(SUBSTITUTE(L206,"G",""),"C","")))/N206)</f>
        <v>0.76</v>
      </c>
      <c r="Q206" s="12" t="n">
        <f aca="false">IF(O206=0,"",(O206-LEN(SUBSTITUTE(SUBSTITUTE(M206,"G",""),"C","")))/O206)</f>
        <v>0.84</v>
      </c>
      <c r="R206" s="5"/>
      <c r="S206" s="5" t="s">
        <v>342</v>
      </c>
      <c r="T206" s="5"/>
      <c r="U206" s="5" t="s">
        <v>382</v>
      </c>
      <c r="V206" s="5" t="s">
        <v>1069</v>
      </c>
      <c r="W206" s="5"/>
      <c r="X206" s="8" t="s">
        <v>383</v>
      </c>
      <c r="Y206" s="5"/>
    </row>
    <row r="207" customFormat="false" ht="15" hidden="false" customHeight="false" outlineLevel="0" collapsed="false">
      <c r="A207" s="5" t="s">
        <v>2030</v>
      </c>
      <c r="B207" s="5" t="s">
        <v>203</v>
      </c>
      <c r="C207" s="5" t="s">
        <v>204</v>
      </c>
      <c r="D207" s="9" t="s">
        <v>155</v>
      </c>
      <c r="E207" s="5" t="n">
        <v>6</v>
      </c>
      <c r="F207" s="5" t="s">
        <v>2031</v>
      </c>
      <c r="G207" s="11" t="s">
        <v>2032</v>
      </c>
      <c r="H207" s="5" t="s">
        <v>2033</v>
      </c>
      <c r="I207" s="11" t="s">
        <v>2034</v>
      </c>
      <c r="J207" s="5" t="s">
        <v>2035</v>
      </c>
      <c r="K207" s="5" t="s">
        <v>2036</v>
      </c>
      <c r="L207" s="11" t="s">
        <v>2037</v>
      </c>
      <c r="M207" s="11" t="s">
        <v>2038</v>
      </c>
      <c r="N207" s="5" t="n">
        <f aca="false">LEN(L207)</f>
        <v>25</v>
      </c>
      <c r="O207" s="5" t="n">
        <f aca="false">LEN(M207)</f>
        <v>25</v>
      </c>
      <c r="P207" s="12" t="n">
        <f aca="false">IF(N207=0,"",(N207-LEN(SUBSTITUTE(SUBSTITUTE(L207,"G",""),"C","")))/N207)</f>
        <v>0.48</v>
      </c>
      <c r="Q207" s="12" t="n">
        <f aca="false">IF(O207=0,"",(O207-LEN(SUBSTITUTE(SUBSTITUTE(M207,"G",""),"C","")))/O207)</f>
        <v>0.52</v>
      </c>
      <c r="R207" s="5"/>
      <c r="S207" s="5" t="s">
        <v>342</v>
      </c>
      <c r="T207" s="5"/>
      <c r="U207" s="5" t="s">
        <v>382</v>
      </c>
      <c r="V207" s="5" t="s">
        <v>1069</v>
      </c>
      <c r="W207" s="5"/>
      <c r="X207" s="8" t="s">
        <v>383</v>
      </c>
      <c r="Y207" s="5"/>
    </row>
    <row r="208" customFormat="false" ht="15" hidden="false" customHeight="false" outlineLevel="0" collapsed="false">
      <c r="A208" s="5" t="s">
        <v>2039</v>
      </c>
      <c r="B208" s="5" t="s">
        <v>205</v>
      </c>
      <c r="C208" s="5" t="s">
        <v>206</v>
      </c>
      <c r="D208" s="9" t="s">
        <v>155</v>
      </c>
      <c r="E208" s="5" t="n">
        <v>1</v>
      </c>
      <c r="F208" s="5" t="s">
        <v>2040</v>
      </c>
      <c r="G208" s="11" t="s">
        <v>2041</v>
      </c>
      <c r="H208" s="5" t="s">
        <v>2042</v>
      </c>
      <c r="I208" s="11" t="s">
        <v>2043</v>
      </c>
      <c r="J208" s="5" t="s">
        <v>2044</v>
      </c>
      <c r="K208" s="5" t="s">
        <v>2045</v>
      </c>
      <c r="L208" s="11" t="s">
        <v>2046</v>
      </c>
      <c r="M208" s="11" t="s">
        <v>2047</v>
      </c>
      <c r="N208" s="5" t="n">
        <f aca="false">LEN(L208)</f>
        <v>25</v>
      </c>
      <c r="O208" s="5" t="n">
        <f aca="false">LEN(M208)</f>
        <v>25</v>
      </c>
      <c r="P208" s="12" t="n">
        <f aca="false">IF(N208=0,"",(N208-LEN(SUBSTITUTE(SUBSTITUTE(L208,"G",""),"C","")))/N208)</f>
        <v>0.6</v>
      </c>
      <c r="Q208" s="12" t="n">
        <f aca="false">IF(O208=0,"",(O208-LEN(SUBSTITUTE(SUBSTITUTE(M208,"G",""),"C","")))/O208)</f>
        <v>0.52</v>
      </c>
      <c r="R208" s="5"/>
      <c r="S208" s="5" t="s">
        <v>342</v>
      </c>
      <c r="T208" s="5"/>
      <c r="U208" s="5" t="s">
        <v>382</v>
      </c>
      <c r="V208" s="5" t="s">
        <v>1069</v>
      </c>
      <c r="W208" s="5"/>
      <c r="X208" s="8" t="s">
        <v>383</v>
      </c>
      <c r="Y208" s="5"/>
    </row>
    <row r="209" customFormat="false" ht="15" hidden="false" customHeight="false" outlineLevel="0" collapsed="false">
      <c r="A209" s="5" t="s">
        <v>2048</v>
      </c>
      <c r="B209" s="5" t="s">
        <v>205</v>
      </c>
      <c r="C209" s="5" t="s">
        <v>206</v>
      </c>
      <c r="D209" s="9" t="s">
        <v>155</v>
      </c>
      <c r="E209" s="5" t="n">
        <v>2</v>
      </c>
      <c r="F209" s="5" t="s">
        <v>2049</v>
      </c>
      <c r="G209" s="11" t="s">
        <v>2050</v>
      </c>
      <c r="H209" s="5" t="s">
        <v>2051</v>
      </c>
      <c r="I209" s="11" t="s">
        <v>2052</v>
      </c>
      <c r="J209" s="5" t="s">
        <v>2053</v>
      </c>
      <c r="K209" s="5" t="s">
        <v>2054</v>
      </c>
      <c r="L209" s="11" t="s">
        <v>2055</v>
      </c>
      <c r="M209" s="11" t="s">
        <v>2056</v>
      </c>
      <c r="N209" s="5" t="n">
        <f aca="false">LEN(L209)</f>
        <v>25</v>
      </c>
      <c r="O209" s="5" t="n">
        <f aca="false">LEN(M209)</f>
        <v>25</v>
      </c>
      <c r="P209" s="12" t="n">
        <f aca="false">IF(N209=0,"",(N209-LEN(SUBSTITUTE(SUBSTITUTE(L209,"G",""),"C","")))/N209)</f>
        <v>0.56</v>
      </c>
      <c r="Q209" s="12" t="n">
        <f aca="false">IF(O209=0,"",(O209-LEN(SUBSTITUTE(SUBSTITUTE(M209,"G",""),"C","")))/O209)</f>
        <v>0.76</v>
      </c>
      <c r="R209" s="5"/>
      <c r="S209" s="5" t="s">
        <v>342</v>
      </c>
      <c r="T209" s="5"/>
      <c r="U209" s="5" t="s">
        <v>382</v>
      </c>
      <c r="V209" s="5" t="s">
        <v>1069</v>
      </c>
      <c r="W209" s="5"/>
      <c r="X209" s="8" t="s">
        <v>383</v>
      </c>
      <c r="Y209" s="5"/>
    </row>
    <row r="210" customFormat="false" ht="15" hidden="false" customHeight="false" outlineLevel="0" collapsed="false">
      <c r="A210" s="5" t="s">
        <v>2057</v>
      </c>
      <c r="B210" s="5" t="s">
        <v>205</v>
      </c>
      <c r="C210" s="5" t="s">
        <v>206</v>
      </c>
      <c r="D210" s="9" t="s">
        <v>155</v>
      </c>
      <c r="E210" s="5" t="n">
        <v>3</v>
      </c>
      <c r="F210" s="5" t="s">
        <v>2058</v>
      </c>
      <c r="G210" s="11" t="s">
        <v>2059</v>
      </c>
      <c r="H210" s="5" t="s">
        <v>2060</v>
      </c>
      <c r="I210" s="11" t="s">
        <v>2061</v>
      </c>
      <c r="J210" s="5" t="s">
        <v>2062</v>
      </c>
      <c r="K210" s="5" t="s">
        <v>2063</v>
      </c>
      <c r="L210" s="11" t="s">
        <v>2064</v>
      </c>
      <c r="M210" s="11" t="s">
        <v>2065</v>
      </c>
      <c r="N210" s="5" t="n">
        <f aca="false">LEN(L210)</f>
        <v>25</v>
      </c>
      <c r="O210" s="5" t="n">
        <f aca="false">LEN(M210)</f>
        <v>25</v>
      </c>
      <c r="P210" s="12" t="n">
        <f aca="false">IF(N210=0,"",(N210-LEN(SUBSTITUTE(SUBSTITUTE(L210,"G",""),"C","")))/N210)</f>
        <v>0.52</v>
      </c>
      <c r="Q210" s="12" t="n">
        <f aca="false">IF(O210=0,"",(O210-LEN(SUBSTITUTE(SUBSTITUTE(M210,"G",""),"C","")))/O210)</f>
        <v>0.76</v>
      </c>
      <c r="R210" s="5"/>
      <c r="S210" s="5" t="s">
        <v>342</v>
      </c>
      <c r="T210" s="5"/>
      <c r="U210" s="5" t="s">
        <v>382</v>
      </c>
      <c r="V210" s="5" t="s">
        <v>1069</v>
      </c>
      <c r="W210" s="5"/>
      <c r="X210" s="8" t="s">
        <v>383</v>
      </c>
      <c r="Y210" s="5"/>
    </row>
    <row r="211" customFormat="false" ht="15" hidden="false" customHeight="false" outlineLevel="0" collapsed="false">
      <c r="A211" s="5" t="s">
        <v>2066</v>
      </c>
      <c r="B211" s="5" t="s">
        <v>205</v>
      </c>
      <c r="C211" s="5" t="s">
        <v>206</v>
      </c>
      <c r="D211" s="9" t="s">
        <v>155</v>
      </c>
      <c r="E211" s="5" t="n">
        <v>4</v>
      </c>
      <c r="F211" s="5" t="s">
        <v>2067</v>
      </c>
      <c r="G211" s="11" t="s">
        <v>2068</v>
      </c>
      <c r="H211" s="5" t="s">
        <v>2069</v>
      </c>
      <c r="I211" s="11" t="s">
        <v>2070</v>
      </c>
      <c r="J211" s="5" t="s">
        <v>2071</v>
      </c>
      <c r="K211" s="5" t="s">
        <v>2072</v>
      </c>
      <c r="L211" s="11" t="s">
        <v>2073</v>
      </c>
      <c r="M211" s="11" t="s">
        <v>2074</v>
      </c>
      <c r="N211" s="5" t="n">
        <f aca="false">LEN(L211)</f>
        <v>25</v>
      </c>
      <c r="O211" s="5" t="n">
        <f aca="false">LEN(M211)</f>
        <v>25</v>
      </c>
      <c r="P211" s="12" t="n">
        <f aca="false">IF(N211=0,"",(N211-LEN(SUBSTITUTE(SUBSTITUTE(L211,"G",""),"C","")))/N211)</f>
        <v>0.8</v>
      </c>
      <c r="Q211" s="12" t="n">
        <f aca="false">IF(O211=0,"",(O211-LEN(SUBSTITUTE(SUBSTITUTE(M211,"G",""),"C","")))/O211)</f>
        <v>0.6</v>
      </c>
      <c r="R211" s="5"/>
      <c r="S211" s="5" t="s">
        <v>342</v>
      </c>
      <c r="T211" s="5"/>
      <c r="U211" s="5" t="s">
        <v>382</v>
      </c>
      <c r="V211" s="5" t="s">
        <v>1069</v>
      </c>
      <c r="W211" s="5"/>
      <c r="X211" s="8" t="s">
        <v>383</v>
      </c>
      <c r="Y211" s="5"/>
    </row>
    <row r="212" customFormat="false" ht="15" hidden="false" customHeight="false" outlineLevel="0" collapsed="false">
      <c r="A212" s="5" t="s">
        <v>2075</v>
      </c>
      <c r="B212" s="5" t="s">
        <v>205</v>
      </c>
      <c r="C212" s="5" t="s">
        <v>206</v>
      </c>
      <c r="D212" s="9" t="s">
        <v>155</v>
      </c>
      <c r="E212" s="5" t="n">
        <v>5</v>
      </c>
      <c r="F212" s="5" t="s">
        <v>2076</v>
      </c>
      <c r="G212" s="11" t="s">
        <v>2077</v>
      </c>
      <c r="H212" s="5" t="s">
        <v>2078</v>
      </c>
      <c r="I212" s="11" t="s">
        <v>2079</v>
      </c>
      <c r="J212" s="5" t="s">
        <v>2080</v>
      </c>
      <c r="K212" s="5" t="s">
        <v>2081</v>
      </c>
      <c r="L212" s="11" t="s">
        <v>2082</v>
      </c>
      <c r="M212" s="11" t="s">
        <v>2083</v>
      </c>
      <c r="N212" s="5" t="n">
        <f aca="false">LEN(L212)</f>
        <v>25</v>
      </c>
      <c r="O212" s="5" t="n">
        <f aca="false">LEN(M212)</f>
        <v>25</v>
      </c>
      <c r="P212" s="12" t="n">
        <f aca="false">IF(N212=0,"",(N212-LEN(SUBSTITUTE(SUBSTITUTE(L212,"G",""),"C","")))/N212)</f>
        <v>0.56</v>
      </c>
      <c r="Q212" s="12" t="n">
        <f aca="false">IF(O212=0,"",(O212-LEN(SUBSTITUTE(SUBSTITUTE(M212,"G",""),"C","")))/O212)</f>
        <v>0.72</v>
      </c>
      <c r="R212" s="5"/>
      <c r="S212" s="5" t="s">
        <v>342</v>
      </c>
      <c r="T212" s="5"/>
      <c r="U212" s="5" t="s">
        <v>382</v>
      </c>
      <c r="V212" s="5" t="s">
        <v>1069</v>
      </c>
      <c r="W212" s="5"/>
      <c r="X212" s="8" t="s">
        <v>383</v>
      </c>
      <c r="Y212" s="5"/>
    </row>
    <row r="213" customFormat="false" ht="15" hidden="false" customHeight="false" outlineLevel="0" collapsed="false">
      <c r="A213" s="5" t="s">
        <v>2084</v>
      </c>
      <c r="B213" s="5" t="s">
        <v>205</v>
      </c>
      <c r="C213" s="5" t="s">
        <v>206</v>
      </c>
      <c r="D213" s="9" t="s">
        <v>155</v>
      </c>
      <c r="E213" s="5" t="n">
        <v>6</v>
      </c>
      <c r="F213" s="5" t="s">
        <v>2085</v>
      </c>
      <c r="G213" s="11" t="s">
        <v>2086</v>
      </c>
      <c r="H213" s="5" t="s">
        <v>2087</v>
      </c>
      <c r="I213" s="11" t="s">
        <v>2088</v>
      </c>
      <c r="J213" s="5" t="s">
        <v>2089</v>
      </c>
      <c r="K213" s="5" t="s">
        <v>2090</v>
      </c>
      <c r="L213" s="11" t="s">
        <v>2091</v>
      </c>
      <c r="M213" s="11" t="s">
        <v>2092</v>
      </c>
      <c r="N213" s="5" t="n">
        <f aca="false">LEN(L213)</f>
        <v>25</v>
      </c>
      <c r="O213" s="5" t="n">
        <f aca="false">LEN(M213)</f>
        <v>25</v>
      </c>
      <c r="P213" s="12" t="n">
        <f aca="false">IF(N213=0,"",(N213-LEN(SUBSTITUTE(SUBSTITUTE(L213,"G",""),"C","")))/N213)</f>
        <v>0.84</v>
      </c>
      <c r="Q213" s="12" t="n">
        <f aca="false">IF(O213=0,"",(O213-LEN(SUBSTITUTE(SUBSTITUTE(M213,"G",""),"C","")))/O213)</f>
        <v>0.76</v>
      </c>
      <c r="R213" s="5"/>
      <c r="S213" s="5" t="s">
        <v>342</v>
      </c>
      <c r="T213" s="5"/>
      <c r="U213" s="5" t="s">
        <v>382</v>
      </c>
      <c r="V213" s="5" t="s">
        <v>1069</v>
      </c>
      <c r="W213" s="5"/>
      <c r="X213" s="8" t="s">
        <v>383</v>
      </c>
      <c r="Y213" s="5"/>
    </row>
    <row r="214" customFormat="false" ht="15" hidden="false" customHeight="false" outlineLevel="0" collapsed="false">
      <c r="A214" s="5" t="s">
        <v>2093</v>
      </c>
      <c r="B214" s="5" t="s">
        <v>207</v>
      </c>
      <c r="C214" s="5" t="s">
        <v>208</v>
      </c>
      <c r="D214" s="9" t="s">
        <v>155</v>
      </c>
      <c r="E214" s="5" t="n">
        <v>1</v>
      </c>
      <c r="F214" s="5" t="s">
        <v>2094</v>
      </c>
      <c r="G214" s="11" t="s">
        <v>2095</v>
      </c>
      <c r="H214" s="5" t="s">
        <v>2096</v>
      </c>
      <c r="I214" s="11" t="s">
        <v>2097</v>
      </c>
      <c r="J214" s="5" t="s">
        <v>2098</v>
      </c>
      <c r="K214" s="5" t="s">
        <v>2099</v>
      </c>
      <c r="L214" s="11" t="s">
        <v>2100</v>
      </c>
      <c r="M214" s="11" t="s">
        <v>2101</v>
      </c>
      <c r="N214" s="5" t="n">
        <f aca="false">LEN(L214)</f>
        <v>25</v>
      </c>
      <c r="O214" s="5" t="n">
        <f aca="false">LEN(M214)</f>
        <v>25</v>
      </c>
      <c r="P214" s="12" t="n">
        <f aca="false">IF(N214=0,"",(N214-LEN(SUBSTITUTE(SUBSTITUTE(L214,"G",""),"C","")))/N214)</f>
        <v>0.8</v>
      </c>
      <c r="Q214" s="12" t="n">
        <f aca="false">IF(O214=0,"",(O214-LEN(SUBSTITUTE(SUBSTITUTE(M214,"G",""),"C","")))/O214)</f>
        <v>0.84</v>
      </c>
      <c r="R214" s="5"/>
      <c r="S214" s="5" t="s">
        <v>342</v>
      </c>
      <c r="T214" s="5"/>
      <c r="U214" s="5" t="s">
        <v>343</v>
      </c>
      <c r="V214" s="5" t="s">
        <v>2102</v>
      </c>
      <c r="W214" s="5"/>
      <c r="X214" s="13" t="s">
        <v>345</v>
      </c>
      <c r="Y214" s="5"/>
    </row>
    <row r="215" customFormat="false" ht="15" hidden="false" customHeight="false" outlineLevel="0" collapsed="false">
      <c r="A215" s="5" t="s">
        <v>2103</v>
      </c>
      <c r="B215" s="5" t="s">
        <v>207</v>
      </c>
      <c r="C215" s="5" t="s">
        <v>208</v>
      </c>
      <c r="D215" s="9" t="s">
        <v>155</v>
      </c>
      <c r="E215" s="5" t="n">
        <v>2</v>
      </c>
      <c r="F215" s="5" t="s">
        <v>2104</v>
      </c>
      <c r="G215" s="11" t="s">
        <v>2105</v>
      </c>
      <c r="H215" s="5" t="s">
        <v>2106</v>
      </c>
      <c r="I215" s="11" t="s">
        <v>2107</v>
      </c>
      <c r="J215" s="5" t="s">
        <v>2108</v>
      </c>
      <c r="K215" s="5" t="s">
        <v>2109</v>
      </c>
      <c r="L215" s="11" t="s">
        <v>2110</v>
      </c>
      <c r="M215" s="11" t="s">
        <v>2111</v>
      </c>
      <c r="N215" s="5" t="n">
        <f aca="false">LEN(L215)</f>
        <v>25</v>
      </c>
      <c r="O215" s="5" t="n">
        <f aca="false">LEN(M215)</f>
        <v>25</v>
      </c>
      <c r="P215" s="12" t="n">
        <f aca="false">IF(N215=0,"",(N215-LEN(SUBSTITUTE(SUBSTITUTE(L215,"G",""),"C","")))/N215)</f>
        <v>0.72</v>
      </c>
      <c r="Q215" s="12" t="n">
        <f aca="false">IF(O215=0,"",(O215-LEN(SUBSTITUTE(SUBSTITUTE(M215,"G",""),"C","")))/O215)</f>
        <v>0.52</v>
      </c>
      <c r="R215" s="5"/>
      <c r="S215" s="5" t="s">
        <v>342</v>
      </c>
      <c r="T215" s="5"/>
      <c r="U215" s="5" t="s">
        <v>343</v>
      </c>
      <c r="V215" s="5" t="s">
        <v>2102</v>
      </c>
      <c r="W215" s="5"/>
      <c r="X215" s="13" t="s">
        <v>345</v>
      </c>
      <c r="Y215" s="5"/>
    </row>
    <row r="216" customFormat="false" ht="15" hidden="false" customHeight="false" outlineLevel="0" collapsed="false">
      <c r="A216" s="5" t="s">
        <v>2112</v>
      </c>
      <c r="B216" s="5" t="s">
        <v>207</v>
      </c>
      <c r="C216" s="5" t="s">
        <v>208</v>
      </c>
      <c r="D216" s="9" t="s">
        <v>155</v>
      </c>
      <c r="E216" s="5" t="n">
        <v>3</v>
      </c>
      <c r="F216" s="5" t="s">
        <v>2113</v>
      </c>
      <c r="G216" s="11" t="s">
        <v>2114</v>
      </c>
      <c r="H216" s="5" t="s">
        <v>2115</v>
      </c>
      <c r="I216" s="11" t="s">
        <v>2116</v>
      </c>
      <c r="J216" s="5" t="s">
        <v>2117</v>
      </c>
      <c r="K216" s="5" t="s">
        <v>2118</v>
      </c>
      <c r="L216" s="11" t="s">
        <v>2119</v>
      </c>
      <c r="M216" s="11" t="s">
        <v>2120</v>
      </c>
      <c r="N216" s="5" t="n">
        <f aca="false">LEN(L216)</f>
        <v>25</v>
      </c>
      <c r="O216" s="5" t="n">
        <f aca="false">LEN(M216)</f>
        <v>25</v>
      </c>
      <c r="P216" s="12" t="n">
        <f aca="false">IF(N216=0,"",(N216-LEN(SUBSTITUTE(SUBSTITUTE(L216,"G",""),"C","")))/N216)</f>
        <v>0.64</v>
      </c>
      <c r="Q216" s="12" t="n">
        <f aca="false">IF(O216=0,"",(O216-LEN(SUBSTITUTE(SUBSTITUTE(M216,"G",""),"C","")))/O216)</f>
        <v>0.92</v>
      </c>
      <c r="R216" s="5"/>
      <c r="S216" s="5" t="s">
        <v>342</v>
      </c>
      <c r="T216" s="5"/>
      <c r="U216" s="5" t="s">
        <v>382</v>
      </c>
      <c r="V216" s="5" t="s">
        <v>2102</v>
      </c>
      <c r="W216" s="5"/>
      <c r="X216" s="8" t="s">
        <v>383</v>
      </c>
      <c r="Y216" s="5"/>
    </row>
    <row r="217" customFormat="false" ht="15" hidden="false" customHeight="false" outlineLevel="0" collapsed="false">
      <c r="A217" s="5" t="s">
        <v>2121</v>
      </c>
      <c r="B217" s="5" t="s">
        <v>207</v>
      </c>
      <c r="C217" s="5" t="s">
        <v>208</v>
      </c>
      <c r="D217" s="9" t="s">
        <v>155</v>
      </c>
      <c r="E217" s="5" t="n">
        <v>4</v>
      </c>
      <c r="F217" s="5" t="s">
        <v>2122</v>
      </c>
      <c r="G217" s="11" t="s">
        <v>2123</v>
      </c>
      <c r="H217" s="5" t="s">
        <v>2124</v>
      </c>
      <c r="I217" s="11" t="s">
        <v>2125</v>
      </c>
      <c r="J217" s="5" t="s">
        <v>2126</v>
      </c>
      <c r="K217" s="5" t="s">
        <v>2127</v>
      </c>
      <c r="L217" s="11" t="s">
        <v>2128</v>
      </c>
      <c r="M217" s="11" t="s">
        <v>2129</v>
      </c>
      <c r="N217" s="5" t="n">
        <f aca="false">LEN(L217)</f>
        <v>25</v>
      </c>
      <c r="O217" s="5" t="n">
        <f aca="false">LEN(M217)</f>
        <v>25</v>
      </c>
      <c r="P217" s="12" t="n">
        <f aca="false">IF(N217=0,"",(N217-LEN(SUBSTITUTE(SUBSTITUTE(L217,"G",""),"C","")))/N217)</f>
        <v>0.6</v>
      </c>
      <c r="Q217" s="12" t="n">
        <f aca="false">IF(O217=0,"",(O217-LEN(SUBSTITUTE(SUBSTITUTE(M217,"G",""),"C","")))/O217)</f>
        <v>0.52</v>
      </c>
      <c r="R217" s="5"/>
      <c r="S217" s="5" t="s">
        <v>342</v>
      </c>
      <c r="T217" s="5"/>
      <c r="U217" s="5" t="s">
        <v>382</v>
      </c>
      <c r="V217" s="5" t="s">
        <v>2102</v>
      </c>
      <c r="W217" s="5"/>
      <c r="X217" s="8" t="s">
        <v>383</v>
      </c>
      <c r="Y217" s="5"/>
    </row>
    <row r="218" customFormat="false" ht="15" hidden="false" customHeight="false" outlineLevel="0" collapsed="false">
      <c r="A218" s="5" t="s">
        <v>2130</v>
      </c>
      <c r="B218" s="5" t="s">
        <v>213</v>
      </c>
      <c r="C218" s="5" t="s">
        <v>214</v>
      </c>
      <c r="D218" s="9" t="s">
        <v>155</v>
      </c>
      <c r="E218" s="5" t="n">
        <v>1</v>
      </c>
      <c r="F218" s="5" t="s">
        <v>2131</v>
      </c>
      <c r="G218" s="11" t="s">
        <v>2132</v>
      </c>
      <c r="H218" s="5" t="s">
        <v>2133</v>
      </c>
      <c r="I218" s="11" t="s">
        <v>2134</v>
      </c>
      <c r="J218" s="5" t="s">
        <v>2135</v>
      </c>
      <c r="K218" s="5" t="s">
        <v>2136</v>
      </c>
      <c r="L218" s="11" t="s">
        <v>2137</v>
      </c>
      <c r="M218" s="11" t="s">
        <v>2138</v>
      </c>
      <c r="N218" s="5" t="n">
        <f aca="false">LEN(L218)</f>
        <v>25</v>
      </c>
      <c r="O218" s="5" t="n">
        <f aca="false">LEN(M218)</f>
        <v>25</v>
      </c>
      <c r="P218" s="12" t="n">
        <f aca="false">IF(N218=0,"",(N218-LEN(SUBSTITUTE(SUBSTITUTE(L218,"G",""),"C","")))/N218)</f>
        <v>0.48</v>
      </c>
      <c r="Q218" s="12" t="n">
        <f aca="false">IF(O218=0,"",(O218-LEN(SUBSTITUTE(SUBSTITUTE(M218,"G",""),"C","")))/O218)</f>
        <v>0.4</v>
      </c>
      <c r="R218" s="5"/>
      <c r="S218" s="5" t="s">
        <v>342</v>
      </c>
      <c r="T218" s="5"/>
      <c r="U218" s="5" t="s">
        <v>382</v>
      </c>
      <c r="V218" s="5" t="s">
        <v>401</v>
      </c>
      <c r="W218" s="5"/>
      <c r="X218" s="8" t="s">
        <v>383</v>
      </c>
      <c r="Y218" s="5"/>
    </row>
    <row r="219" customFormat="false" ht="15" hidden="false" customHeight="false" outlineLevel="0" collapsed="false">
      <c r="A219" s="5" t="s">
        <v>2139</v>
      </c>
      <c r="B219" s="5" t="s">
        <v>213</v>
      </c>
      <c r="C219" s="5" t="s">
        <v>214</v>
      </c>
      <c r="D219" s="9" t="s">
        <v>155</v>
      </c>
      <c r="E219" s="5" t="n">
        <v>2</v>
      </c>
      <c r="F219" s="5" t="s">
        <v>2140</v>
      </c>
      <c r="G219" s="11" t="s">
        <v>2141</v>
      </c>
      <c r="H219" s="5" t="s">
        <v>2142</v>
      </c>
      <c r="I219" s="11" t="s">
        <v>2143</v>
      </c>
      <c r="J219" s="5" t="s">
        <v>2144</v>
      </c>
      <c r="K219" s="5" t="s">
        <v>2145</v>
      </c>
      <c r="L219" s="11" t="s">
        <v>2146</v>
      </c>
      <c r="M219" s="11" t="s">
        <v>2147</v>
      </c>
      <c r="N219" s="5" t="n">
        <f aca="false">LEN(L219)</f>
        <v>25</v>
      </c>
      <c r="O219" s="5" t="n">
        <f aca="false">LEN(M219)</f>
        <v>25</v>
      </c>
      <c r="P219" s="12" t="n">
        <f aca="false">IF(N219=0,"",(N219-LEN(SUBSTITUTE(SUBSTITUTE(L219,"G",""),"C","")))/N219)</f>
        <v>0.48</v>
      </c>
      <c r="Q219" s="12" t="n">
        <f aca="false">IF(O219=0,"",(O219-LEN(SUBSTITUTE(SUBSTITUTE(M219,"G",""),"C","")))/O219)</f>
        <v>0.4</v>
      </c>
      <c r="R219" s="5"/>
      <c r="S219" s="5" t="s">
        <v>342</v>
      </c>
      <c r="T219" s="5"/>
      <c r="U219" s="5" t="s">
        <v>382</v>
      </c>
      <c r="V219" s="5" t="s">
        <v>401</v>
      </c>
      <c r="W219" s="5"/>
      <c r="X219" s="8" t="s">
        <v>383</v>
      </c>
      <c r="Y219" s="5"/>
    </row>
    <row r="220" customFormat="false" ht="15" hidden="false" customHeight="false" outlineLevel="0" collapsed="false">
      <c r="A220" s="5" t="s">
        <v>2148</v>
      </c>
      <c r="B220" s="5" t="s">
        <v>213</v>
      </c>
      <c r="C220" s="5" t="s">
        <v>214</v>
      </c>
      <c r="D220" s="9" t="s">
        <v>155</v>
      </c>
      <c r="E220" s="5" t="n">
        <v>3</v>
      </c>
      <c r="F220" s="5" t="s">
        <v>2149</v>
      </c>
      <c r="G220" s="11" t="s">
        <v>2150</v>
      </c>
      <c r="H220" s="5" t="s">
        <v>2151</v>
      </c>
      <c r="I220" s="11" t="s">
        <v>2152</v>
      </c>
      <c r="J220" s="5" t="s">
        <v>2153</v>
      </c>
      <c r="K220" s="5" t="s">
        <v>2154</v>
      </c>
      <c r="L220" s="11" t="s">
        <v>2155</v>
      </c>
      <c r="M220" s="11" t="s">
        <v>2156</v>
      </c>
      <c r="N220" s="5" t="n">
        <f aca="false">LEN(L220)</f>
        <v>25</v>
      </c>
      <c r="O220" s="5" t="n">
        <f aca="false">LEN(M220)</f>
        <v>25</v>
      </c>
      <c r="P220" s="12" t="n">
        <f aca="false">IF(N220=0,"",(N220-LEN(SUBSTITUTE(SUBSTITUTE(L220,"G",""),"C","")))/N220)</f>
        <v>0.4</v>
      </c>
      <c r="Q220" s="12" t="n">
        <f aca="false">IF(O220=0,"",(O220-LEN(SUBSTITUTE(SUBSTITUTE(M220,"G",""),"C","")))/O220)</f>
        <v>0.36</v>
      </c>
      <c r="R220" s="5"/>
      <c r="S220" s="5" t="s">
        <v>342</v>
      </c>
      <c r="T220" s="5"/>
      <c r="U220" s="5" t="s">
        <v>382</v>
      </c>
      <c r="V220" s="5" t="s">
        <v>401</v>
      </c>
      <c r="W220" s="5"/>
      <c r="X220" s="8" t="s">
        <v>383</v>
      </c>
      <c r="Y220" s="5"/>
    </row>
    <row r="221" customFormat="false" ht="15" hidden="false" customHeight="false" outlineLevel="0" collapsed="false">
      <c r="A221" s="5" t="s">
        <v>2157</v>
      </c>
      <c r="B221" s="5" t="s">
        <v>213</v>
      </c>
      <c r="C221" s="5" t="s">
        <v>214</v>
      </c>
      <c r="D221" s="9" t="s">
        <v>155</v>
      </c>
      <c r="E221" s="5" t="n">
        <v>4</v>
      </c>
      <c r="F221" s="5" t="s">
        <v>2158</v>
      </c>
      <c r="G221" s="11" t="s">
        <v>2159</v>
      </c>
      <c r="H221" s="5" t="s">
        <v>2160</v>
      </c>
      <c r="I221" s="11" t="s">
        <v>2161</v>
      </c>
      <c r="J221" s="5" t="s">
        <v>2162</v>
      </c>
      <c r="K221" s="5" t="s">
        <v>2163</v>
      </c>
      <c r="L221" s="11" t="s">
        <v>2164</v>
      </c>
      <c r="M221" s="11" t="s">
        <v>2165</v>
      </c>
      <c r="N221" s="5" t="n">
        <f aca="false">LEN(L221)</f>
        <v>25</v>
      </c>
      <c r="O221" s="5" t="n">
        <f aca="false">LEN(M221)</f>
        <v>25</v>
      </c>
      <c r="P221" s="12" t="n">
        <f aca="false">IF(N221=0,"",(N221-LEN(SUBSTITUTE(SUBSTITUTE(L221,"G",""),"C","")))/N221)</f>
        <v>0.32</v>
      </c>
      <c r="Q221" s="12" t="n">
        <f aca="false">IF(O221=0,"",(O221-LEN(SUBSTITUTE(SUBSTITUTE(M221,"G",""),"C","")))/O221)</f>
        <v>0.56</v>
      </c>
      <c r="R221" s="5"/>
      <c r="S221" s="5" t="s">
        <v>342</v>
      </c>
      <c r="T221" s="5"/>
      <c r="U221" s="5" t="s">
        <v>382</v>
      </c>
      <c r="V221" s="5" t="s">
        <v>401</v>
      </c>
      <c r="W221" s="5"/>
      <c r="X221" s="8" t="s">
        <v>383</v>
      </c>
      <c r="Y221" s="5"/>
    </row>
    <row r="222" customFormat="false" ht="15" hidden="false" customHeight="false" outlineLevel="0" collapsed="false">
      <c r="A222" s="5" t="s">
        <v>2166</v>
      </c>
      <c r="B222" s="5" t="s">
        <v>213</v>
      </c>
      <c r="C222" s="5" t="s">
        <v>214</v>
      </c>
      <c r="D222" s="9" t="s">
        <v>155</v>
      </c>
      <c r="E222" s="5" t="n">
        <v>5</v>
      </c>
      <c r="F222" s="5" t="s">
        <v>2167</v>
      </c>
      <c r="G222" s="11" t="s">
        <v>2168</v>
      </c>
      <c r="H222" s="5" t="s">
        <v>2169</v>
      </c>
      <c r="I222" s="11" t="s">
        <v>2170</v>
      </c>
      <c r="J222" s="5" t="s">
        <v>2171</v>
      </c>
      <c r="K222" s="5" t="s">
        <v>2172</v>
      </c>
      <c r="L222" s="11" t="s">
        <v>2173</v>
      </c>
      <c r="M222" s="11" t="s">
        <v>2174</v>
      </c>
      <c r="N222" s="5" t="n">
        <f aca="false">LEN(L222)</f>
        <v>25</v>
      </c>
      <c r="O222" s="5" t="n">
        <f aca="false">LEN(M222)</f>
        <v>25</v>
      </c>
      <c r="P222" s="12" t="n">
        <f aca="false">IF(N222=0,"",(N222-LEN(SUBSTITUTE(SUBSTITUTE(L222,"G",""),"C","")))/N222)</f>
        <v>0.36</v>
      </c>
      <c r="Q222" s="12" t="n">
        <f aca="false">IF(O222=0,"",(O222-LEN(SUBSTITUTE(SUBSTITUTE(M222,"G",""),"C","")))/O222)</f>
        <v>0.28</v>
      </c>
      <c r="R222" s="5"/>
      <c r="S222" s="5" t="s">
        <v>342</v>
      </c>
      <c r="T222" s="5"/>
      <c r="U222" s="5" t="s">
        <v>382</v>
      </c>
      <c r="V222" s="5" t="s">
        <v>401</v>
      </c>
      <c r="W222" s="5"/>
      <c r="X222" s="8" t="s">
        <v>383</v>
      </c>
      <c r="Y222" s="5"/>
    </row>
    <row r="223" customFormat="false" ht="15" hidden="false" customHeight="false" outlineLevel="0" collapsed="false">
      <c r="A223" s="5" t="s">
        <v>2175</v>
      </c>
      <c r="B223" s="5" t="s">
        <v>213</v>
      </c>
      <c r="C223" s="5" t="s">
        <v>214</v>
      </c>
      <c r="D223" s="9" t="s">
        <v>155</v>
      </c>
      <c r="E223" s="5" t="n">
        <v>6</v>
      </c>
      <c r="F223" s="5" t="s">
        <v>2176</v>
      </c>
      <c r="G223" s="11" t="s">
        <v>2177</v>
      </c>
      <c r="H223" s="5" t="s">
        <v>2178</v>
      </c>
      <c r="I223" s="11" t="s">
        <v>2179</v>
      </c>
      <c r="J223" s="5" t="s">
        <v>2180</v>
      </c>
      <c r="K223" s="5" t="s">
        <v>2181</v>
      </c>
      <c r="L223" s="11" t="s">
        <v>2182</v>
      </c>
      <c r="M223" s="11" t="s">
        <v>2183</v>
      </c>
      <c r="N223" s="5" t="n">
        <f aca="false">LEN(L223)</f>
        <v>25</v>
      </c>
      <c r="O223" s="5" t="n">
        <f aca="false">LEN(M223)</f>
        <v>25</v>
      </c>
      <c r="P223" s="12" t="n">
        <f aca="false">IF(N223=0,"",(N223-LEN(SUBSTITUTE(SUBSTITUTE(L223,"G",""),"C","")))/N223)</f>
        <v>0.48</v>
      </c>
      <c r="Q223" s="12" t="n">
        <f aca="false">IF(O223=0,"",(O223-LEN(SUBSTITUTE(SUBSTITUTE(M223,"G",""),"C","")))/O223)</f>
        <v>0.12</v>
      </c>
      <c r="R223" s="5"/>
      <c r="S223" s="5" t="s">
        <v>342</v>
      </c>
      <c r="T223" s="5"/>
      <c r="U223" s="5" t="s">
        <v>382</v>
      </c>
      <c r="V223" s="5" t="s">
        <v>401</v>
      </c>
      <c r="W223" s="5"/>
      <c r="X223" s="8" t="s">
        <v>383</v>
      </c>
      <c r="Y223" s="5"/>
    </row>
    <row r="224" customFormat="false" ht="15" hidden="false" customHeight="false" outlineLevel="0" collapsed="false">
      <c r="A224" s="5" t="s">
        <v>2184</v>
      </c>
      <c r="B224" s="5" t="s">
        <v>213</v>
      </c>
      <c r="C224" s="5" t="s">
        <v>214</v>
      </c>
      <c r="D224" s="9" t="s">
        <v>155</v>
      </c>
      <c r="E224" s="5" t="n">
        <v>7</v>
      </c>
      <c r="F224" s="5" t="s">
        <v>2185</v>
      </c>
      <c r="G224" s="11" t="s">
        <v>2186</v>
      </c>
      <c r="H224" s="5" t="s">
        <v>2187</v>
      </c>
      <c r="I224" s="11" t="s">
        <v>2188</v>
      </c>
      <c r="J224" s="5" t="s">
        <v>2189</v>
      </c>
      <c r="K224" s="5" t="s">
        <v>2190</v>
      </c>
      <c r="L224" s="11" t="s">
        <v>2191</v>
      </c>
      <c r="M224" s="11" t="s">
        <v>2192</v>
      </c>
      <c r="N224" s="5" t="n">
        <f aca="false">LEN(L224)</f>
        <v>25</v>
      </c>
      <c r="O224" s="5" t="n">
        <f aca="false">LEN(M224)</f>
        <v>25</v>
      </c>
      <c r="P224" s="12" t="n">
        <f aca="false">IF(N224=0,"",(N224-LEN(SUBSTITUTE(SUBSTITUTE(L224,"G",""),"C","")))/N224)</f>
        <v>0.28</v>
      </c>
      <c r="Q224" s="12" t="n">
        <f aca="false">IF(O224=0,"",(O224-LEN(SUBSTITUTE(SUBSTITUTE(M224,"G",""),"C","")))/O224)</f>
        <v>0.36</v>
      </c>
      <c r="R224" s="5"/>
      <c r="S224" s="5" t="s">
        <v>342</v>
      </c>
      <c r="T224" s="5"/>
      <c r="U224" s="5" t="s">
        <v>382</v>
      </c>
      <c r="V224" s="5" t="s">
        <v>401</v>
      </c>
      <c r="W224" s="5"/>
      <c r="X224" s="8" t="s">
        <v>383</v>
      </c>
      <c r="Y224" s="5"/>
    </row>
    <row r="225" customFormat="false" ht="15" hidden="false" customHeight="false" outlineLevel="0" collapsed="false">
      <c r="A225" s="5" t="s">
        <v>2193</v>
      </c>
      <c r="B225" s="5" t="s">
        <v>213</v>
      </c>
      <c r="C225" s="5" t="s">
        <v>214</v>
      </c>
      <c r="D225" s="9" t="s">
        <v>155</v>
      </c>
      <c r="E225" s="5" t="n">
        <v>8</v>
      </c>
      <c r="F225" s="5" t="s">
        <v>2194</v>
      </c>
      <c r="G225" s="11" t="s">
        <v>2195</v>
      </c>
      <c r="H225" s="5" t="s">
        <v>2196</v>
      </c>
      <c r="I225" s="11" t="s">
        <v>2197</v>
      </c>
      <c r="J225" s="5" t="s">
        <v>2198</v>
      </c>
      <c r="K225" s="5" t="s">
        <v>2199</v>
      </c>
      <c r="L225" s="11" t="s">
        <v>2200</v>
      </c>
      <c r="M225" s="11" t="s">
        <v>2201</v>
      </c>
      <c r="N225" s="5" t="n">
        <f aca="false">LEN(L225)</f>
        <v>25</v>
      </c>
      <c r="O225" s="5" t="n">
        <f aca="false">LEN(M225)</f>
        <v>25</v>
      </c>
      <c r="P225" s="12" t="n">
        <f aca="false">IF(N225=0,"",(N225-LEN(SUBSTITUTE(SUBSTITUTE(L225,"G",""),"C","")))/N225)</f>
        <v>0.64</v>
      </c>
      <c r="Q225" s="12" t="n">
        <f aca="false">IF(O225=0,"",(O225-LEN(SUBSTITUTE(SUBSTITUTE(M225,"G",""),"C","")))/O225)</f>
        <v>0.4</v>
      </c>
      <c r="R225" s="5"/>
      <c r="S225" s="5" t="s">
        <v>342</v>
      </c>
      <c r="T225" s="5"/>
      <c r="U225" s="5" t="s">
        <v>382</v>
      </c>
      <c r="V225" s="5" t="s">
        <v>401</v>
      </c>
      <c r="W225" s="5"/>
      <c r="X225" s="8" t="s">
        <v>383</v>
      </c>
      <c r="Y225" s="5"/>
    </row>
    <row r="226" customFormat="false" ht="15" hidden="false" customHeight="false" outlineLevel="0" collapsed="false">
      <c r="A226" s="5" t="s">
        <v>2202</v>
      </c>
      <c r="B226" s="5" t="s">
        <v>215</v>
      </c>
      <c r="C226" s="5" t="s">
        <v>216</v>
      </c>
      <c r="D226" s="9" t="s">
        <v>155</v>
      </c>
      <c r="E226" s="5" t="n">
        <v>1</v>
      </c>
      <c r="F226" s="5" t="s">
        <v>2203</v>
      </c>
      <c r="G226" s="11" t="s">
        <v>2204</v>
      </c>
      <c r="H226" s="5" t="s">
        <v>2205</v>
      </c>
      <c r="I226" s="11" t="s">
        <v>2206</v>
      </c>
      <c r="J226" s="5" t="s">
        <v>2207</v>
      </c>
      <c r="K226" s="5" t="s">
        <v>2208</v>
      </c>
      <c r="L226" s="11" t="s">
        <v>2209</v>
      </c>
      <c r="M226" s="11" t="s">
        <v>2210</v>
      </c>
      <c r="N226" s="5" t="n">
        <f aca="false">LEN(L226)</f>
        <v>25</v>
      </c>
      <c r="O226" s="5" t="n">
        <f aca="false">LEN(M226)</f>
        <v>25</v>
      </c>
      <c r="P226" s="12" t="n">
        <f aca="false">IF(N226=0,"",(N226-LEN(SUBSTITUTE(SUBSTITUTE(L226,"G",""),"C","")))/N226)</f>
        <v>0.6</v>
      </c>
      <c r="Q226" s="12" t="n">
        <f aca="false">IF(O226=0,"",(O226-LEN(SUBSTITUTE(SUBSTITUTE(M226,"G",""),"C","")))/O226)</f>
        <v>0.56</v>
      </c>
      <c r="R226" s="5"/>
      <c r="S226" s="5" t="s">
        <v>342</v>
      </c>
      <c r="T226" s="5"/>
      <c r="U226" s="5" t="s">
        <v>382</v>
      </c>
      <c r="V226" s="5" t="s">
        <v>2102</v>
      </c>
      <c r="W226" s="5"/>
      <c r="X226" s="8" t="s">
        <v>383</v>
      </c>
      <c r="Y226" s="5"/>
    </row>
    <row r="227" customFormat="false" ht="15" hidden="false" customHeight="false" outlineLevel="0" collapsed="false">
      <c r="A227" s="5" t="s">
        <v>2211</v>
      </c>
      <c r="B227" s="5" t="s">
        <v>215</v>
      </c>
      <c r="C227" s="5" t="s">
        <v>216</v>
      </c>
      <c r="D227" s="9" t="s">
        <v>155</v>
      </c>
      <c r="E227" s="5" t="n">
        <v>2</v>
      </c>
      <c r="F227" s="5" t="s">
        <v>2212</v>
      </c>
      <c r="G227" s="11" t="s">
        <v>2213</v>
      </c>
      <c r="H227" s="5" t="s">
        <v>2214</v>
      </c>
      <c r="I227" s="11" t="s">
        <v>2215</v>
      </c>
      <c r="J227" s="5" t="s">
        <v>2216</v>
      </c>
      <c r="K227" s="5" t="s">
        <v>2217</v>
      </c>
      <c r="L227" s="11" t="s">
        <v>2218</v>
      </c>
      <c r="M227" s="11" t="s">
        <v>2219</v>
      </c>
      <c r="N227" s="5" t="n">
        <f aca="false">LEN(L227)</f>
        <v>25</v>
      </c>
      <c r="O227" s="5" t="n">
        <f aca="false">LEN(M227)</f>
        <v>25</v>
      </c>
      <c r="P227" s="12" t="n">
        <f aca="false">IF(N227=0,"",(N227-LEN(SUBSTITUTE(SUBSTITUTE(L227,"G",""),"C","")))/N227)</f>
        <v>0.52</v>
      </c>
      <c r="Q227" s="12" t="n">
        <f aca="false">IF(O227=0,"",(O227-LEN(SUBSTITUTE(SUBSTITUTE(M227,"G",""),"C","")))/O227)</f>
        <v>0.68</v>
      </c>
      <c r="R227" s="5"/>
      <c r="S227" s="5" t="s">
        <v>342</v>
      </c>
      <c r="T227" s="5"/>
      <c r="U227" s="5" t="s">
        <v>382</v>
      </c>
      <c r="V227" s="5" t="s">
        <v>2102</v>
      </c>
      <c r="W227" s="5"/>
      <c r="X227" s="8" t="s">
        <v>383</v>
      </c>
      <c r="Y227" s="5"/>
    </row>
    <row r="228" customFormat="false" ht="15" hidden="false" customHeight="false" outlineLevel="0" collapsed="false">
      <c r="A228" s="5" t="s">
        <v>2220</v>
      </c>
      <c r="B228" s="5" t="s">
        <v>215</v>
      </c>
      <c r="C228" s="5" t="s">
        <v>216</v>
      </c>
      <c r="D228" s="9" t="s">
        <v>155</v>
      </c>
      <c r="E228" s="5" t="n">
        <v>3</v>
      </c>
      <c r="F228" s="5" t="s">
        <v>2221</v>
      </c>
      <c r="G228" s="11" t="s">
        <v>2222</v>
      </c>
      <c r="H228" s="5" t="s">
        <v>2223</v>
      </c>
      <c r="I228" s="11" t="s">
        <v>2224</v>
      </c>
      <c r="J228" s="5" t="s">
        <v>2225</v>
      </c>
      <c r="K228" s="5" t="s">
        <v>2226</v>
      </c>
      <c r="L228" s="11" t="s">
        <v>2227</v>
      </c>
      <c r="M228" s="11" t="s">
        <v>2228</v>
      </c>
      <c r="N228" s="5" t="n">
        <f aca="false">LEN(L228)</f>
        <v>25</v>
      </c>
      <c r="O228" s="5" t="n">
        <f aca="false">LEN(M228)</f>
        <v>25</v>
      </c>
      <c r="P228" s="12" t="n">
        <f aca="false">IF(N228=0,"",(N228-LEN(SUBSTITUTE(SUBSTITUTE(L228,"G",""),"C","")))/N228)</f>
        <v>0.64</v>
      </c>
      <c r="Q228" s="12" t="n">
        <f aca="false">IF(O228=0,"",(O228-LEN(SUBSTITUTE(SUBSTITUTE(M228,"G",""),"C","")))/O228)</f>
        <v>0.48</v>
      </c>
      <c r="R228" s="5"/>
      <c r="S228" s="5" t="s">
        <v>342</v>
      </c>
      <c r="T228" s="5"/>
      <c r="U228" s="5" t="s">
        <v>382</v>
      </c>
      <c r="V228" s="5" t="s">
        <v>2102</v>
      </c>
      <c r="W228" s="5"/>
      <c r="X228" s="8" t="s">
        <v>383</v>
      </c>
      <c r="Y228" s="5"/>
    </row>
    <row r="229" customFormat="false" ht="15" hidden="false" customHeight="false" outlineLevel="0" collapsed="false">
      <c r="A229" s="5" t="s">
        <v>2229</v>
      </c>
      <c r="B229" s="5" t="s">
        <v>215</v>
      </c>
      <c r="C229" s="5" t="s">
        <v>216</v>
      </c>
      <c r="D229" s="9" t="s">
        <v>155</v>
      </c>
      <c r="E229" s="5" t="n">
        <v>4</v>
      </c>
      <c r="F229" s="5" t="s">
        <v>2230</v>
      </c>
      <c r="G229" s="11" t="s">
        <v>2231</v>
      </c>
      <c r="H229" s="5" t="s">
        <v>2232</v>
      </c>
      <c r="I229" s="11" t="s">
        <v>2233</v>
      </c>
      <c r="J229" s="5" t="s">
        <v>2234</v>
      </c>
      <c r="K229" s="5" t="s">
        <v>2235</v>
      </c>
      <c r="L229" s="11" t="s">
        <v>2236</v>
      </c>
      <c r="M229" s="11" t="s">
        <v>2237</v>
      </c>
      <c r="N229" s="5" t="n">
        <f aca="false">LEN(L229)</f>
        <v>25</v>
      </c>
      <c r="O229" s="5" t="n">
        <f aca="false">LEN(M229)</f>
        <v>25</v>
      </c>
      <c r="P229" s="12" t="n">
        <f aca="false">IF(N229=0,"",(N229-LEN(SUBSTITUTE(SUBSTITUTE(L229,"G",""),"C","")))/N229)</f>
        <v>0.48</v>
      </c>
      <c r="Q229" s="12" t="n">
        <f aca="false">IF(O229=0,"",(O229-LEN(SUBSTITUTE(SUBSTITUTE(M229,"G",""),"C","")))/O229)</f>
        <v>0.52</v>
      </c>
      <c r="R229" s="5"/>
      <c r="S229" s="5" t="s">
        <v>342</v>
      </c>
      <c r="T229" s="5"/>
      <c r="U229" s="5" t="s">
        <v>382</v>
      </c>
      <c r="V229" s="5" t="s">
        <v>2102</v>
      </c>
      <c r="W229" s="5"/>
      <c r="X229" s="8" t="s">
        <v>383</v>
      </c>
      <c r="Y229" s="5"/>
    </row>
    <row r="230" customFormat="false" ht="15" hidden="false" customHeight="false" outlineLevel="0" collapsed="false">
      <c r="A230" s="5" t="s">
        <v>2238</v>
      </c>
      <c r="B230" s="5" t="s">
        <v>217</v>
      </c>
      <c r="C230" s="5" t="s">
        <v>152</v>
      </c>
      <c r="D230" s="9" t="s">
        <v>155</v>
      </c>
      <c r="E230" s="5" t="n">
        <v>1</v>
      </c>
      <c r="F230" s="5" t="s">
        <v>2239</v>
      </c>
      <c r="G230" s="11" t="s">
        <v>2240</v>
      </c>
      <c r="H230" s="5" t="s">
        <v>2241</v>
      </c>
      <c r="I230" s="11" t="s">
        <v>2242</v>
      </c>
      <c r="J230" s="5" t="s">
        <v>2243</v>
      </c>
      <c r="K230" s="5" t="s">
        <v>2244</v>
      </c>
      <c r="L230" s="11" t="s">
        <v>2245</v>
      </c>
      <c r="M230" s="11" t="s">
        <v>2246</v>
      </c>
      <c r="N230" s="5" t="n">
        <f aca="false">LEN(L230)</f>
        <v>25</v>
      </c>
      <c r="O230" s="5" t="n">
        <f aca="false">LEN(M230)</f>
        <v>25</v>
      </c>
      <c r="P230" s="12" t="n">
        <f aca="false">IF(N230=0,"",(N230-LEN(SUBSTITUTE(SUBSTITUTE(L230,"G",""),"C","")))/N230)</f>
        <v>0.64</v>
      </c>
      <c r="Q230" s="12" t="n">
        <f aca="false">IF(O230=0,"",(O230-LEN(SUBSTITUTE(SUBSTITUTE(M230,"G",""),"C","")))/O230)</f>
        <v>0.6</v>
      </c>
      <c r="R230" s="5"/>
      <c r="S230" s="5" t="s">
        <v>342</v>
      </c>
      <c r="T230" s="5"/>
      <c r="U230" s="5" t="s">
        <v>343</v>
      </c>
      <c r="V230" s="5" t="s">
        <v>1505</v>
      </c>
      <c r="W230" s="5"/>
      <c r="X230" s="13" t="s">
        <v>345</v>
      </c>
      <c r="Y230" s="5"/>
    </row>
    <row r="231" customFormat="false" ht="15" hidden="false" customHeight="false" outlineLevel="0" collapsed="false">
      <c r="A231" s="5" t="s">
        <v>2247</v>
      </c>
      <c r="B231" s="5" t="s">
        <v>217</v>
      </c>
      <c r="C231" s="5" t="s">
        <v>152</v>
      </c>
      <c r="D231" s="9" t="s">
        <v>155</v>
      </c>
      <c r="E231" s="5" t="n">
        <v>2</v>
      </c>
      <c r="F231" s="5" t="s">
        <v>2248</v>
      </c>
      <c r="G231" s="11" t="s">
        <v>2249</v>
      </c>
      <c r="H231" s="5" t="s">
        <v>2250</v>
      </c>
      <c r="I231" s="11" t="s">
        <v>2251</v>
      </c>
      <c r="J231" s="5" t="s">
        <v>2252</v>
      </c>
      <c r="K231" s="5" t="s">
        <v>2253</v>
      </c>
      <c r="L231" s="11" t="s">
        <v>2254</v>
      </c>
      <c r="M231" s="11" t="s">
        <v>2255</v>
      </c>
      <c r="N231" s="5" t="n">
        <f aca="false">LEN(L231)</f>
        <v>25</v>
      </c>
      <c r="O231" s="5" t="n">
        <f aca="false">LEN(M231)</f>
        <v>25</v>
      </c>
      <c r="P231" s="12" t="n">
        <f aca="false">IF(N231=0,"",(N231-LEN(SUBSTITUTE(SUBSTITUTE(L231,"G",""),"C","")))/N231)</f>
        <v>0.64</v>
      </c>
      <c r="Q231" s="12" t="n">
        <f aca="false">IF(O231=0,"",(O231-LEN(SUBSTITUTE(SUBSTITUTE(M231,"G",""),"C","")))/O231)</f>
        <v>0.52</v>
      </c>
      <c r="R231" s="5"/>
      <c r="S231" s="5" t="s">
        <v>342</v>
      </c>
      <c r="T231" s="5"/>
      <c r="U231" s="5" t="s">
        <v>343</v>
      </c>
      <c r="V231" s="5" t="s">
        <v>1505</v>
      </c>
      <c r="W231" s="5"/>
      <c r="X231" s="13" t="s">
        <v>345</v>
      </c>
      <c r="Y231" s="5"/>
    </row>
    <row r="232" customFormat="false" ht="15" hidden="false" customHeight="false" outlineLevel="0" collapsed="false">
      <c r="A232" s="5" t="s">
        <v>2256</v>
      </c>
      <c r="B232" s="5" t="s">
        <v>217</v>
      </c>
      <c r="C232" s="5" t="s">
        <v>152</v>
      </c>
      <c r="D232" s="9" t="s">
        <v>155</v>
      </c>
      <c r="E232" s="5" t="n">
        <v>3</v>
      </c>
      <c r="F232" s="5" t="s">
        <v>2257</v>
      </c>
      <c r="G232" s="11" t="s">
        <v>2258</v>
      </c>
      <c r="H232" s="5" t="s">
        <v>2259</v>
      </c>
      <c r="I232" s="11" t="s">
        <v>2260</v>
      </c>
      <c r="J232" s="5" t="s">
        <v>2261</v>
      </c>
      <c r="K232" s="5" t="s">
        <v>2262</v>
      </c>
      <c r="L232" s="11" t="s">
        <v>2263</v>
      </c>
      <c r="M232" s="11" t="s">
        <v>2264</v>
      </c>
      <c r="N232" s="5" t="n">
        <f aca="false">LEN(L232)</f>
        <v>25</v>
      </c>
      <c r="O232" s="5" t="n">
        <f aca="false">LEN(M232)</f>
        <v>25</v>
      </c>
      <c r="P232" s="12" t="n">
        <f aca="false">IF(N232=0,"",(N232-LEN(SUBSTITUTE(SUBSTITUTE(L232,"G",""),"C","")))/N232)</f>
        <v>0.6</v>
      </c>
      <c r="Q232" s="12" t="n">
        <f aca="false">IF(O232=0,"",(O232-LEN(SUBSTITUTE(SUBSTITUTE(M232,"G",""),"C","")))/O232)</f>
        <v>0.44</v>
      </c>
      <c r="R232" s="5"/>
      <c r="S232" s="5" t="s">
        <v>342</v>
      </c>
      <c r="T232" s="5"/>
      <c r="U232" s="5" t="s">
        <v>343</v>
      </c>
      <c r="V232" s="5" t="s">
        <v>1505</v>
      </c>
      <c r="W232" s="5"/>
      <c r="X232" s="13" t="s">
        <v>345</v>
      </c>
      <c r="Y232" s="5"/>
    </row>
    <row r="233" customFormat="false" ht="15" hidden="false" customHeight="false" outlineLevel="0" collapsed="false">
      <c r="A233" s="5" t="s">
        <v>2265</v>
      </c>
      <c r="B233" s="5" t="s">
        <v>217</v>
      </c>
      <c r="C233" s="5" t="s">
        <v>152</v>
      </c>
      <c r="D233" s="9" t="s">
        <v>155</v>
      </c>
      <c r="E233" s="5" t="n">
        <v>4</v>
      </c>
      <c r="F233" s="5" t="s">
        <v>2266</v>
      </c>
      <c r="G233" s="11" t="s">
        <v>2267</v>
      </c>
      <c r="H233" s="5" t="s">
        <v>2268</v>
      </c>
      <c r="I233" s="11" t="s">
        <v>2269</v>
      </c>
      <c r="J233" s="5" t="s">
        <v>2270</v>
      </c>
      <c r="K233" s="5" t="s">
        <v>2271</v>
      </c>
      <c r="L233" s="11" t="s">
        <v>2272</v>
      </c>
      <c r="M233" s="11" t="s">
        <v>2273</v>
      </c>
      <c r="N233" s="5" t="n">
        <f aca="false">LEN(L233)</f>
        <v>25</v>
      </c>
      <c r="O233" s="5" t="n">
        <f aca="false">LEN(M233)</f>
        <v>25</v>
      </c>
      <c r="P233" s="12" t="n">
        <f aca="false">IF(N233=0,"",(N233-LEN(SUBSTITUTE(SUBSTITUTE(L233,"G",""),"C","")))/N233)</f>
        <v>0.44</v>
      </c>
      <c r="Q233" s="12" t="n">
        <f aca="false">IF(O233=0,"",(O233-LEN(SUBSTITUTE(SUBSTITUTE(M233,"G",""),"C","")))/O233)</f>
        <v>0.48</v>
      </c>
      <c r="R233" s="5"/>
      <c r="S233" s="5" t="s">
        <v>342</v>
      </c>
      <c r="T233" s="5"/>
      <c r="U233" s="5" t="s">
        <v>343</v>
      </c>
      <c r="V233" s="5" t="s">
        <v>1505</v>
      </c>
      <c r="W233" s="5"/>
      <c r="X233" s="13" t="s">
        <v>345</v>
      </c>
      <c r="Y233" s="5"/>
    </row>
    <row r="234" customFormat="false" ht="15" hidden="false" customHeight="false" outlineLevel="0" collapsed="false">
      <c r="A234" s="5" t="s">
        <v>2274</v>
      </c>
      <c r="B234" s="5" t="s">
        <v>217</v>
      </c>
      <c r="C234" s="5" t="s">
        <v>152</v>
      </c>
      <c r="D234" s="9" t="s">
        <v>155</v>
      </c>
      <c r="E234" s="5" t="n">
        <v>5</v>
      </c>
      <c r="F234" s="5" t="s">
        <v>2275</v>
      </c>
      <c r="G234" s="11" t="s">
        <v>2276</v>
      </c>
      <c r="H234" s="5" t="s">
        <v>2277</v>
      </c>
      <c r="I234" s="11" t="s">
        <v>2278</v>
      </c>
      <c r="J234" s="5" t="s">
        <v>2279</v>
      </c>
      <c r="K234" s="5" t="s">
        <v>2280</v>
      </c>
      <c r="L234" s="11" t="s">
        <v>2281</v>
      </c>
      <c r="M234" s="11" t="s">
        <v>2282</v>
      </c>
      <c r="N234" s="5" t="n">
        <f aca="false">LEN(L234)</f>
        <v>25</v>
      </c>
      <c r="O234" s="5" t="n">
        <f aca="false">LEN(M234)</f>
        <v>25</v>
      </c>
      <c r="P234" s="12" t="n">
        <f aca="false">IF(N234=0,"",(N234-LEN(SUBSTITUTE(SUBSTITUTE(L234,"G",""),"C","")))/N234)</f>
        <v>0.56</v>
      </c>
      <c r="Q234" s="12" t="n">
        <f aca="false">IF(O234=0,"",(O234-LEN(SUBSTITUTE(SUBSTITUTE(M234,"G",""),"C","")))/O234)</f>
        <v>0.36</v>
      </c>
      <c r="R234" s="5"/>
      <c r="S234" s="5" t="s">
        <v>342</v>
      </c>
      <c r="T234" s="5"/>
      <c r="U234" s="5" t="s">
        <v>343</v>
      </c>
      <c r="V234" s="5" t="s">
        <v>1505</v>
      </c>
      <c r="W234" s="5"/>
      <c r="X234" s="13" t="s">
        <v>345</v>
      </c>
      <c r="Y234" s="5"/>
    </row>
    <row r="235" customFormat="false" ht="15" hidden="false" customHeight="false" outlineLevel="0" collapsed="false">
      <c r="A235" s="5" t="s">
        <v>2283</v>
      </c>
      <c r="B235" s="5" t="s">
        <v>217</v>
      </c>
      <c r="C235" s="5" t="s">
        <v>152</v>
      </c>
      <c r="D235" s="9" t="s">
        <v>155</v>
      </c>
      <c r="E235" s="5" t="n">
        <v>6</v>
      </c>
      <c r="F235" s="5" t="s">
        <v>2284</v>
      </c>
      <c r="G235" s="11" t="s">
        <v>2285</v>
      </c>
      <c r="H235" s="5" t="s">
        <v>2286</v>
      </c>
      <c r="I235" s="11" t="s">
        <v>2287</v>
      </c>
      <c r="J235" s="5" t="s">
        <v>2288</v>
      </c>
      <c r="K235" s="5" t="s">
        <v>2289</v>
      </c>
      <c r="L235" s="11" t="s">
        <v>2290</v>
      </c>
      <c r="M235" s="11" t="s">
        <v>2291</v>
      </c>
      <c r="N235" s="5" t="n">
        <f aca="false">LEN(L235)</f>
        <v>25</v>
      </c>
      <c r="O235" s="5" t="n">
        <f aca="false">LEN(M235)</f>
        <v>25</v>
      </c>
      <c r="P235" s="12" t="n">
        <f aca="false">IF(N235=0,"",(N235-LEN(SUBSTITUTE(SUBSTITUTE(L235,"G",""),"C","")))/N235)</f>
        <v>0.6</v>
      </c>
      <c r="Q235" s="12" t="n">
        <f aca="false">IF(O235=0,"",(O235-LEN(SUBSTITUTE(SUBSTITUTE(M235,"G",""),"C","")))/O235)</f>
        <v>0.64</v>
      </c>
      <c r="R235" s="5"/>
      <c r="S235" s="5" t="s">
        <v>342</v>
      </c>
      <c r="T235" s="5"/>
      <c r="U235" s="5" t="s">
        <v>343</v>
      </c>
      <c r="V235" s="5" t="s">
        <v>1505</v>
      </c>
      <c r="W235" s="5"/>
      <c r="X235" s="13" t="s">
        <v>345</v>
      </c>
      <c r="Y235" s="5"/>
    </row>
    <row r="236" customFormat="false" ht="15" hidden="false" customHeight="false" outlineLevel="0" collapsed="false">
      <c r="A236" s="5" t="s">
        <v>2292</v>
      </c>
      <c r="B236" s="5" t="s">
        <v>218</v>
      </c>
      <c r="C236" s="5" t="s">
        <v>219</v>
      </c>
      <c r="D236" s="9" t="s">
        <v>155</v>
      </c>
      <c r="E236" s="5" t="n">
        <v>1</v>
      </c>
      <c r="F236" s="5" t="s">
        <v>2293</v>
      </c>
      <c r="G236" s="11" t="s">
        <v>2294</v>
      </c>
      <c r="H236" s="5" t="s">
        <v>2295</v>
      </c>
      <c r="I236" s="11" t="s">
        <v>2296</v>
      </c>
      <c r="J236" s="5" t="s">
        <v>2297</v>
      </c>
      <c r="K236" s="5" t="s">
        <v>2298</v>
      </c>
      <c r="L236" s="11" t="s">
        <v>2299</v>
      </c>
      <c r="M236" s="11" t="s">
        <v>2300</v>
      </c>
      <c r="N236" s="5" t="n">
        <f aca="false">LEN(L236)</f>
        <v>25</v>
      </c>
      <c r="O236" s="5" t="n">
        <f aca="false">LEN(M236)</f>
        <v>25</v>
      </c>
      <c r="P236" s="12" t="n">
        <f aca="false">IF(N236=0,"",(N236-LEN(SUBSTITUTE(SUBSTITUTE(L236,"G",""),"C","")))/N236)</f>
        <v>0.32</v>
      </c>
      <c r="Q236" s="12" t="n">
        <f aca="false">IF(O236=0,"",(O236-LEN(SUBSTITUTE(SUBSTITUTE(M236,"G",""),"C","")))/O236)</f>
        <v>0.6</v>
      </c>
      <c r="R236" s="5"/>
      <c r="S236" s="5" t="s">
        <v>342</v>
      </c>
      <c r="T236" s="5"/>
      <c r="U236" s="5" t="s">
        <v>382</v>
      </c>
      <c r="V236" s="5" t="s">
        <v>344</v>
      </c>
      <c r="W236" s="5"/>
      <c r="X236" s="8" t="s">
        <v>383</v>
      </c>
      <c r="Y236" s="5"/>
    </row>
    <row r="237" customFormat="false" ht="15" hidden="false" customHeight="false" outlineLevel="0" collapsed="false">
      <c r="A237" s="5" t="s">
        <v>2301</v>
      </c>
      <c r="B237" s="5" t="s">
        <v>218</v>
      </c>
      <c r="C237" s="5" t="s">
        <v>219</v>
      </c>
      <c r="D237" s="9" t="s">
        <v>155</v>
      </c>
      <c r="E237" s="5" t="n">
        <v>2</v>
      </c>
      <c r="F237" s="5" t="s">
        <v>2302</v>
      </c>
      <c r="G237" s="11" t="s">
        <v>2303</v>
      </c>
      <c r="H237" s="5" t="s">
        <v>2304</v>
      </c>
      <c r="I237" s="11" t="s">
        <v>2305</v>
      </c>
      <c r="J237" s="5" t="s">
        <v>2306</v>
      </c>
      <c r="K237" s="5" t="s">
        <v>2307</v>
      </c>
      <c r="L237" s="11" t="s">
        <v>2308</v>
      </c>
      <c r="M237" s="11" t="s">
        <v>2309</v>
      </c>
      <c r="N237" s="5" t="n">
        <f aca="false">LEN(L237)</f>
        <v>25</v>
      </c>
      <c r="O237" s="5" t="n">
        <f aca="false">LEN(M237)</f>
        <v>25</v>
      </c>
      <c r="P237" s="12" t="n">
        <f aca="false">IF(N237=0,"",(N237-LEN(SUBSTITUTE(SUBSTITUTE(L237,"G",""),"C","")))/N237)</f>
        <v>0.48</v>
      </c>
      <c r="Q237" s="12" t="n">
        <f aca="false">IF(O237=0,"",(O237-LEN(SUBSTITUTE(SUBSTITUTE(M237,"G",""),"C","")))/O237)</f>
        <v>0.44</v>
      </c>
      <c r="R237" s="5"/>
      <c r="S237" s="5" t="s">
        <v>342</v>
      </c>
      <c r="T237" s="5"/>
      <c r="U237" s="5" t="s">
        <v>382</v>
      </c>
      <c r="V237" s="5" t="s">
        <v>344</v>
      </c>
      <c r="W237" s="5"/>
      <c r="X237" s="8" t="s">
        <v>383</v>
      </c>
      <c r="Y237" s="5"/>
    </row>
    <row r="238" customFormat="false" ht="15" hidden="false" customHeight="false" outlineLevel="0" collapsed="false">
      <c r="A238" s="5" t="s">
        <v>2310</v>
      </c>
      <c r="B238" s="5" t="s">
        <v>218</v>
      </c>
      <c r="C238" s="5" t="s">
        <v>219</v>
      </c>
      <c r="D238" s="9" t="s">
        <v>155</v>
      </c>
      <c r="E238" s="5" t="n">
        <v>3</v>
      </c>
      <c r="F238" s="5" t="s">
        <v>2311</v>
      </c>
      <c r="G238" s="11" t="s">
        <v>2312</v>
      </c>
      <c r="H238" s="5" t="s">
        <v>2313</v>
      </c>
      <c r="I238" s="11" t="s">
        <v>2314</v>
      </c>
      <c r="J238" s="5" t="s">
        <v>2315</v>
      </c>
      <c r="K238" s="5" t="s">
        <v>2316</v>
      </c>
      <c r="L238" s="11" t="s">
        <v>2317</v>
      </c>
      <c r="M238" s="11" t="s">
        <v>2318</v>
      </c>
      <c r="N238" s="5" t="n">
        <f aca="false">LEN(L238)</f>
        <v>25</v>
      </c>
      <c r="O238" s="5" t="n">
        <f aca="false">LEN(M238)</f>
        <v>25</v>
      </c>
      <c r="P238" s="12" t="n">
        <f aca="false">IF(N238=0,"",(N238-LEN(SUBSTITUTE(SUBSTITUTE(L238,"G",""),"C","")))/N238)</f>
        <v>0.44</v>
      </c>
      <c r="Q238" s="12" t="n">
        <f aca="false">IF(O238=0,"",(O238-LEN(SUBSTITUTE(SUBSTITUTE(M238,"G",""),"C","")))/O238)</f>
        <v>0.36</v>
      </c>
      <c r="R238" s="5"/>
      <c r="S238" s="5" t="s">
        <v>342</v>
      </c>
      <c r="T238" s="5"/>
      <c r="U238" s="5" t="s">
        <v>382</v>
      </c>
      <c r="V238" s="5" t="s">
        <v>344</v>
      </c>
      <c r="W238" s="5"/>
      <c r="X238" s="8" t="s">
        <v>383</v>
      </c>
      <c r="Y238" s="5"/>
    </row>
    <row r="239" customFormat="false" ht="15" hidden="false" customHeight="false" outlineLevel="0" collapsed="false">
      <c r="A239" s="5" t="s">
        <v>2319</v>
      </c>
      <c r="B239" s="5" t="s">
        <v>218</v>
      </c>
      <c r="C239" s="5" t="s">
        <v>219</v>
      </c>
      <c r="D239" s="9" t="s">
        <v>155</v>
      </c>
      <c r="E239" s="5" t="n">
        <v>4</v>
      </c>
      <c r="F239" s="5" t="s">
        <v>2320</v>
      </c>
      <c r="G239" s="11" t="s">
        <v>2321</v>
      </c>
      <c r="H239" s="5" t="s">
        <v>2322</v>
      </c>
      <c r="I239" s="11" t="s">
        <v>2323</v>
      </c>
      <c r="J239" s="5" t="s">
        <v>2324</v>
      </c>
      <c r="K239" s="5" t="s">
        <v>2325</v>
      </c>
      <c r="L239" s="11" t="s">
        <v>2326</v>
      </c>
      <c r="M239" s="11" t="s">
        <v>2327</v>
      </c>
      <c r="N239" s="5" t="n">
        <f aca="false">LEN(L239)</f>
        <v>25</v>
      </c>
      <c r="O239" s="5" t="n">
        <f aca="false">LEN(M239)</f>
        <v>25</v>
      </c>
      <c r="P239" s="12" t="n">
        <f aca="false">IF(N239=0,"",(N239-LEN(SUBSTITUTE(SUBSTITUTE(L239,"G",""),"C","")))/N239)</f>
        <v>0.6</v>
      </c>
      <c r="Q239" s="12" t="n">
        <f aca="false">IF(O239=0,"",(O239-LEN(SUBSTITUTE(SUBSTITUTE(M239,"G",""),"C","")))/O239)</f>
        <v>0.52</v>
      </c>
      <c r="R239" s="5"/>
      <c r="S239" s="5" t="s">
        <v>342</v>
      </c>
      <c r="T239" s="5"/>
      <c r="U239" s="5" t="s">
        <v>382</v>
      </c>
      <c r="V239" s="5" t="s">
        <v>344</v>
      </c>
      <c r="W239" s="5"/>
      <c r="X239" s="8" t="s">
        <v>383</v>
      </c>
      <c r="Y239" s="5"/>
    </row>
    <row r="240" customFormat="false" ht="15" hidden="false" customHeight="false" outlineLevel="0" collapsed="false">
      <c r="A240" s="5" t="s">
        <v>2328</v>
      </c>
      <c r="B240" s="5" t="s">
        <v>218</v>
      </c>
      <c r="C240" s="5" t="s">
        <v>219</v>
      </c>
      <c r="D240" s="9" t="s">
        <v>155</v>
      </c>
      <c r="E240" s="5" t="n">
        <v>5</v>
      </c>
      <c r="F240" s="5" t="s">
        <v>2329</v>
      </c>
      <c r="G240" s="11" t="s">
        <v>2330</v>
      </c>
      <c r="H240" s="5" t="s">
        <v>2331</v>
      </c>
      <c r="I240" s="11" t="s">
        <v>2332</v>
      </c>
      <c r="J240" s="5" t="s">
        <v>2333</v>
      </c>
      <c r="K240" s="5" t="s">
        <v>2334</v>
      </c>
      <c r="L240" s="11" t="s">
        <v>2335</v>
      </c>
      <c r="M240" s="11" t="s">
        <v>2336</v>
      </c>
      <c r="N240" s="5" t="n">
        <f aca="false">LEN(L240)</f>
        <v>25</v>
      </c>
      <c r="O240" s="5" t="n">
        <f aca="false">LEN(M240)</f>
        <v>25</v>
      </c>
      <c r="P240" s="12" t="n">
        <f aca="false">IF(N240=0,"",(N240-LEN(SUBSTITUTE(SUBSTITUTE(L240,"G",""),"C","")))/N240)</f>
        <v>0.52</v>
      </c>
      <c r="Q240" s="12" t="n">
        <f aca="false">IF(O240=0,"",(O240-LEN(SUBSTITUTE(SUBSTITUTE(M240,"G",""),"C","")))/O240)</f>
        <v>0.52</v>
      </c>
      <c r="R240" s="5"/>
      <c r="S240" s="5" t="s">
        <v>342</v>
      </c>
      <c r="T240" s="5"/>
      <c r="U240" s="5" t="s">
        <v>382</v>
      </c>
      <c r="V240" s="5" t="s">
        <v>344</v>
      </c>
      <c r="W240" s="5"/>
      <c r="X240" s="8" t="s">
        <v>383</v>
      </c>
      <c r="Y240" s="5"/>
    </row>
    <row r="241" customFormat="false" ht="15" hidden="false" customHeight="false" outlineLevel="0" collapsed="false">
      <c r="A241" s="5" t="s">
        <v>2337</v>
      </c>
      <c r="B241" s="5" t="s">
        <v>218</v>
      </c>
      <c r="C241" s="5" t="s">
        <v>219</v>
      </c>
      <c r="D241" s="9" t="s">
        <v>155</v>
      </c>
      <c r="E241" s="5" t="n">
        <v>6</v>
      </c>
      <c r="F241" s="5" t="s">
        <v>2338</v>
      </c>
      <c r="G241" s="11" t="s">
        <v>2339</v>
      </c>
      <c r="H241" s="5" t="s">
        <v>2340</v>
      </c>
      <c r="I241" s="11" t="s">
        <v>2341</v>
      </c>
      <c r="J241" s="5" t="s">
        <v>2342</v>
      </c>
      <c r="K241" s="5" t="s">
        <v>2343</v>
      </c>
      <c r="L241" s="11" t="s">
        <v>2344</v>
      </c>
      <c r="M241" s="11" t="s">
        <v>2345</v>
      </c>
      <c r="N241" s="5" t="n">
        <f aca="false">LEN(L241)</f>
        <v>25</v>
      </c>
      <c r="O241" s="5" t="n">
        <f aca="false">LEN(M241)</f>
        <v>25</v>
      </c>
      <c r="P241" s="12" t="n">
        <f aca="false">IF(N241=0,"",(N241-LEN(SUBSTITUTE(SUBSTITUTE(L241,"G",""),"C","")))/N241)</f>
        <v>0.4</v>
      </c>
      <c r="Q241" s="12" t="n">
        <f aca="false">IF(O241=0,"",(O241-LEN(SUBSTITUTE(SUBSTITUTE(M241,"G",""),"C","")))/O241)</f>
        <v>0.44</v>
      </c>
      <c r="R241" s="5"/>
      <c r="S241" s="5" t="s">
        <v>342</v>
      </c>
      <c r="T241" s="5"/>
      <c r="U241" s="5" t="s">
        <v>382</v>
      </c>
      <c r="V241" s="5" t="s">
        <v>344</v>
      </c>
      <c r="W241" s="5"/>
      <c r="X241" s="8" t="s">
        <v>383</v>
      </c>
      <c r="Y241" s="5"/>
    </row>
    <row r="242" customFormat="false" ht="15" hidden="false" customHeight="false" outlineLevel="0" collapsed="false">
      <c r="A242" s="5" t="s">
        <v>2346</v>
      </c>
      <c r="B242" s="5" t="s">
        <v>221</v>
      </c>
      <c r="C242" s="5" t="s">
        <v>222</v>
      </c>
      <c r="D242" s="9" t="s">
        <v>155</v>
      </c>
      <c r="E242" s="5" t="n">
        <v>1</v>
      </c>
      <c r="F242" s="5" t="s">
        <v>2347</v>
      </c>
      <c r="G242" s="11" t="s">
        <v>2348</v>
      </c>
      <c r="H242" s="5" t="s">
        <v>2349</v>
      </c>
      <c r="I242" s="11" t="s">
        <v>2350</v>
      </c>
      <c r="J242" s="5" t="s">
        <v>2351</v>
      </c>
      <c r="K242" s="5" t="s">
        <v>2352</v>
      </c>
      <c r="L242" s="11" t="s">
        <v>2353</v>
      </c>
      <c r="M242" s="11" t="s">
        <v>2354</v>
      </c>
      <c r="N242" s="5" t="n">
        <f aca="false">LEN(L242)</f>
        <v>25</v>
      </c>
      <c r="O242" s="5" t="n">
        <f aca="false">LEN(M242)</f>
        <v>25</v>
      </c>
      <c r="P242" s="12" t="n">
        <f aca="false">IF(N242=0,"",(N242-LEN(SUBSTITUTE(SUBSTITUTE(L242,"G",""),"C","")))/N242)</f>
        <v>0.44</v>
      </c>
      <c r="Q242" s="12" t="n">
        <f aca="false">IF(O242=0,"",(O242-LEN(SUBSTITUTE(SUBSTITUTE(M242,"G",""),"C","")))/O242)</f>
        <v>0.56</v>
      </c>
      <c r="R242" s="5"/>
      <c r="S242" s="5" t="s">
        <v>342</v>
      </c>
      <c r="T242" s="5"/>
      <c r="U242" s="5" t="s">
        <v>343</v>
      </c>
      <c r="V242" s="5" t="s">
        <v>843</v>
      </c>
      <c r="W242" s="5"/>
      <c r="X242" s="13" t="s">
        <v>345</v>
      </c>
      <c r="Y242" s="5"/>
    </row>
    <row r="243" customFormat="false" ht="15" hidden="false" customHeight="false" outlineLevel="0" collapsed="false">
      <c r="A243" s="5" t="s">
        <v>2355</v>
      </c>
      <c r="B243" s="5" t="s">
        <v>221</v>
      </c>
      <c r="C243" s="5" t="s">
        <v>222</v>
      </c>
      <c r="D243" s="9" t="s">
        <v>155</v>
      </c>
      <c r="E243" s="5" t="n">
        <v>2</v>
      </c>
      <c r="F243" s="5" t="s">
        <v>2356</v>
      </c>
      <c r="G243" s="11" t="s">
        <v>2357</v>
      </c>
      <c r="H243" s="5" t="s">
        <v>2358</v>
      </c>
      <c r="I243" s="11" t="s">
        <v>2359</v>
      </c>
      <c r="J243" s="5" t="s">
        <v>2360</v>
      </c>
      <c r="K243" s="5" t="s">
        <v>2361</v>
      </c>
      <c r="L243" s="11" t="s">
        <v>2362</v>
      </c>
      <c r="M243" s="11" t="s">
        <v>2363</v>
      </c>
      <c r="N243" s="5" t="n">
        <f aca="false">LEN(L243)</f>
        <v>25</v>
      </c>
      <c r="O243" s="5" t="n">
        <f aca="false">LEN(M243)</f>
        <v>25</v>
      </c>
      <c r="P243" s="12" t="n">
        <f aca="false">IF(N243=0,"",(N243-LEN(SUBSTITUTE(SUBSTITUTE(L243,"G",""),"C","")))/N243)</f>
        <v>0.68</v>
      </c>
      <c r="Q243" s="12" t="n">
        <f aca="false">IF(O243=0,"",(O243-LEN(SUBSTITUTE(SUBSTITUTE(M243,"G",""),"C","")))/O243)</f>
        <v>0.6</v>
      </c>
      <c r="R243" s="5"/>
      <c r="S243" s="5" t="s">
        <v>342</v>
      </c>
      <c r="T243" s="5"/>
      <c r="U243" s="5" t="s">
        <v>343</v>
      </c>
      <c r="V243" s="5" t="s">
        <v>843</v>
      </c>
      <c r="W243" s="5"/>
      <c r="X243" s="13" t="s">
        <v>345</v>
      </c>
      <c r="Y243" s="5"/>
    </row>
    <row r="244" customFormat="false" ht="15" hidden="false" customHeight="false" outlineLevel="0" collapsed="false">
      <c r="A244" s="5" t="s">
        <v>2364</v>
      </c>
      <c r="B244" s="5" t="s">
        <v>221</v>
      </c>
      <c r="C244" s="5" t="s">
        <v>222</v>
      </c>
      <c r="D244" s="9" t="s">
        <v>155</v>
      </c>
      <c r="E244" s="5" t="n">
        <v>3</v>
      </c>
      <c r="F244" s="5" t="s">
        <v>2365</v>
      </c>
      <c r="G244" s="11" t="s">
        <v>2366</v>
      </c>
      <c r="H244" s="5" t="s">
        <v>2367</v>
      </c>
      <c r="I244" s="11" t="s">
        <v>2368</v>
      </c>
      <c r="J244" s="5" t="s">
        <v>2369</v>
      </c>
      <c r="K244" s="5" t="s">
        <v>2370</v>
      </c>
      <c r="L244" s="11" t="s">
        <v>2371</v>
      </c>
      <c r="M244" s="11" t="s">
        <v>2372</v>
      </c>
      <c r="N244" s="5" t="n">
        <f aca="false">LEN(L244)</f>
        <v>25</v>
      </c>
      <c r="O244" s="5" t="n">
        <f aca="false">LEN(M244)</f>
        <v>25</v>
      </c>
      <c r="P244" s="12" t="n">
        <f aca="false">IF(N244=0,"",(N244-LEN(SUBSTITUTE(SUBSTITUTE(L244,"G",""),"C","")))/N244)</f>
        <v>0.48</v>
      </c>
      <c r="Q244" s="12" t="n">
        <f aca="false">IF(O244=0,"",(O244-LEN(SUBSTITUTE(SUBSTITUTE(M244,"G",""),"C","")))/O244)</f>
        <v>0.56</v>
      </c>
      <c r="R244" s="5"/>
      <c r="S244" s="5" t="s">
        <v>342</v>
      </c>
      <c r="T244" s="5"/>
      <c r="U244" s="5" t="s">
        <v>343</v>
      </c>
      <c r="V244" s="5" t="s">
        <v>843</v>
      </c>
      <c r="W244" s="5"/>
      <c r="X244" s="13" t="s">
        <v>345</v>
      </c>
      <c r="Y244" s="5"/>
    </row>
    <row r="245" customFormat="false" ht="15" hidden="false" customHeight="false" outlineLevel="0" collapsed="false">
      <c r="A245" s="5" t="s">
        <v>2373</v>
      </c>
      <c r="B245" s="5" t="s">
        <v>221</v>
      </c>
      <c r="C245" s="5" t="s">
        <v>222</v>
      </c>
      <c r="D245" s="9" t="s">
        <v>155</v>
      </c>
      <c r="E245" s="5" t="n">
        <v>4</v>
      </c>
      <c r="F245" s="5" t="s">
        <v>2374</v>
      </c>
      <c r="G245" s="11" t="s">
        <v>2375</v>
      </c>
      <c r="H245" s="5" t="s">
        <v>2376</v>
      </c>
      <c r="I245" s="11" t="s">
        <v>2377</v>
      </c>
      <c r="J245" s="5" t="s">
        <v>2378</v>
      </c>
      <c r="K245" s="5" t="s">
        <v>2379</v>
      </c>
      <c r="L245" s="11" t="s">
        <v>2380</v>
      </c>
      <c r="M245" s="11" t="s">
        <v>2381</v>
      </c>
      <c r="N245" s="5" t="n">
        <f aca="false">LEN(L245)</f>
        <v>25</v>
      </c>
      <c r="O245" s="5" t="n">
        <f aca="false">LEN(M245)</f>
        <v>25</v>
      </c>
      <c r="P245" s="12" t="n">
        <f aca="false">IF(N245=0,"",(N245-LEN(SUBSTITUTE(SUBSTITUTE(L245,"G",""),"C","")))/N245)</f>
        <v>0.84</v>
      </c>
      <c r="Q245" s="12" t="n">
        <f aca="false">IF(O245=0,"",(O245-LEN(SUBSTITUTE(SUBSTITUTE(M245,"G",""),"C","")))/O245)</f>
        <v>0.36</v>
      </c>
      <c r="R245" s="5"/>
      <c r="S245" s="5" t="s">
        <v>342</v>
      </c>
      <c r="T245" s="5"/>
      <c r="U245" s="5" t="s">
        <v>343</v>
      </c>
      <c r="V245" s="5" t="s">
        <v>843</v>
      </c>
      <c r="W245" s="5"/>
      <c r="X245" s="13" t="s">
        <v>345</v>
      </c>
      <c r="Y245" s="5"/>
    </row>
    <row r="246" customFormat="false" ht="15" hidden="false" customHeight="false" outlineLevel="0" collapsed="false">
      <c r="A246" s="5" t="s">
        <v>2382</v>
      </c>
      <c r="B246" s="5" t="s">
        <v>227</v>
      </c>
      <c r="C246" s="5" t="s">
        <v>228</v>
      </c>
      <c r="D246" s="10" t="s">
        <v>229</v>
      </c>
      <c r="E246" s="5" t="n">
        <v>1</v>
      </c>
      <c r="F246" s="5" t="s">
        <v>2383</v>
      </c>
      <c r="G246" s="11" t="s">
        <v>2384</v>
      </c>
      <c r="H246" s="5" t="s">
        <v>2385</v>
      </c>
      <c r="I246" s="11" t="s">
        <v>2386</v>
      </c>
      <c r="J246" s="5" t="s">
        <v>2387</v>
      </c>
      <c r="K246" s="5" t="s">
        <v>2388</v>
      </c>
      <c r="L246" s="11" t="s">
        <v>2389</v>
      </c>
      <c r="M246" s="11" t="s">
        <v>2390</v>
      </c>
      <c r="N246" s="5" t="n">
        <f aca="false">LEN(L246)</f>
        <v>25</v>
      </c>
      <c r="O246" s="5" t="n">
        <f aca="false">LEN(M246)</f>
        <v>25</v>
      </c>
      <c r="P246" s="12" t="n">
        <f aca="false">IF(N246=0,"",(N246-LEN(SUBSTITUTE(SUBSTITUTE(L246,"G",""),"C","")))/N246)</f>
        <v>0.72</v>
      </c>
      <c r="Q246" s="12" t="n">
        <f aca="false">IF(O246=0,"",(O246-LEN(SUBSTITUTE(SUBSTITUTE(M246,"G",""),"C","")))/O246)</f>
        <v>0.6</v>
      </c>
      <c r="R246" s="5"/>
      <c r="S246" s="5" t="s">
        <v>342</v>
      </c>
      <c r="T246" s="5"/>
      <c r="U246" s="5" t="s">
        <v>382</v>
      </c>
      <c r="V246" s="5" t="s">
        <v>507</v>
      </c>
      <c r="W246" s="5"/>
      <c r="X246" s="8" t="s">
        <v>383</v>
      </c>
      <c r="Y246" s="5"/>
    </row>
    <row r="247" customFormat="false" ht="15" hidden="false" customHeight="false" outlineLevel="0" collapsed="false">
      <c r="A247" s="5" t="s">
        <v>2391</v>
      </c>
      <c r="B247" s="5" t="s">
        <v>227</v>
      </c>
      <c r="C247" s="5" t="s">
        <v>228</v>
      </c>
      <c r="D247" s="10" t="s">
        <v>229</v>
      </c>
      <c r="E247" s="5" t="n">
        <v>2</v>
      </c>
      <c r="F247" s="5" t="s">
        <v>2392</v>
      </c>
      <c r="G247" s="11" t="s">
        <v>2393</v>
      </c>
      <c r="H247" s="5" t="s">
        <v>2394</v>
      </c>
      <c r="I247" s="11" t="s">
        <v>2395</v>
      </c>
      <c r="J247" s="5" t="s">
        <v>2396</v>
      </c>
      <c r="K247" s="5" t="s">
        <v>2397</v>
      </c>
      <c r="L247" s="11" t="s">
        <v>2398</v>
      </c>
      <c r="M247" s="11" t="s">
        <v>2399</v>
      </c>
      <c r="N247" s="5" t="n">
        <f aca="false">LEN(L247)</f>
        <v>25</v>
      </c>
      <c r="O247" s="5" t="n">
        <f aca="false">LEN(M247)</f>
        <v>25</v>
      </c>
      <c r="P247" s="12" t="n">
        <f aca="false">IF(N247=0,"",(N247-LEN(SUBSTITUTE(SUBSTITUTE(L247,"G",""),"C","")))/N247)</f>
        <v>0.72</v>
      </c>
      <c r="Q247" s="12" t="n">
        <f aca="false">IF(O247=0,"",(O247-LEN(SUBSTITUTE(SUBSTITUTE(M247,"G",""),"C","")))/O247)</f>
        <v>0.6</v>
      </c>
      <c r="R247" s="5"/>
      <c r="S247" s="5" t="s">
        <v>342</v>
      </c>
      <c r="T247" s="5"/>
      <c r="U247" s="5" t="s">
        <v>382</v>
      </c>
      <c r="V247" s="5" t="s">
        <v>507</v>
      </c>
      <c r="W247" s="5"/>
      <c r="X247" s="8" t="s">
        <v>383</v>
      </c>
      <c r="Y247" s="5"/>
    </row>
    <row r="248" customFormat="false" ht="15" hidden="false" customHeight="false" outlineLevel="0" collapsed="false">
      <c r="A248" s="5" t="s">
        <v>2400</v>
      </c>
      <c r="B248" s="5" t="s">
        <v>227</v>
      </c>
      <c r="C248" s="5" t="s">
        <v>228</v>
      </c>
      <c r="D248" s="10" t="s">
        <v>229</v>
      </c>
      <c r="E248" s="5" t="n">
        <v>3</v>
      </c>
      <c r="F248" s="5" t="s">
        <v>2401</v>
      </c>
      <c r="G248" s="11" t="s">
        <v>2402</v>
      </c>
      <c r="H248" s="5" t="s">
        <v>2403</v>
      </c>
      <c r="I248" s="11" t="s">
        <v>2404</v>
      </c>
      <c r="J248" s="5" t="s">
        <v>2405</v>
      </c>
      <c r="K248" s="5" t="s">
        <v>2406</v>
      </c>
      <c r="L248" s="11" t="s">
        <v>2407</v>
      </c>
      <c r="M248" s="11" t="s">
        <v>2408</v>
      </c>
      <c r="N248" s="5" t="n">
        <f aca="false">LEN(L248)</f>
        <v>25</v>
      </c>
      <c r="O248" s="5" t="n">
        <f aca="false">LEN(M248)</f>
        <v>25</v>
      </c>
      <c r="P248" s="12" t="n">
        <f aca="false">IF(N248=0,"",(N248-LEN(SUBSTITUTE(SUBSTITUTE(L248,"G",""),"C","")))/N248)</f>
        <v>0.48</v>
      </c>
      <c r="Q248" s="12" t="n">
        <f aca="false">IF(O248=0,"",(O248-LEN(SUBSTITUTE(SUBSTITUTE(M248,"G",""),"C","")))/O248)</f>
        <v>0.64</v>
      </c>
      <c r="R248" s="5"/>
      <c r="S248" s="5" t="s">
        <v>342</v>
      </c>
      <c r="T248" s="5"/>
      <c r="U248" s="5" t="s">
        <v>382</v>
      </c>
      <c r="V248" s="5" t="s">
        <v>507</v>
      </c>
      <c r="W248" s="5"/>
      <c r="X248" s="8" t="s">
        <v>383</v>
      </c>
      <c r="Y248" s="5"/>
    </row>
    <row r="249" customFormat="false" ht="15" hidden="false" customHeight="false" outlineLevel="0" collapsed="false">
      <c r="A249" s="5" t="s">
        <v>2409</v>
      </c>
      <c r="B249" s="5" t="s">
        <v>227</v>
      </c>
      <c r="C249" s="5" t="s">
        <v>228</v>
      </c>
      <c r="D249" s="10" t="s">
        <v>229</v>
      </c>
      <c r="E249" s="5" t="n">
        <v>4</v>
      </c>
      <c r="F249" s="5" t="s">
        <v>2410</v>
      </c>
      <c r="G249" s="11" t="s">
        <v>2411</v>
      </c>
      <c r="H249" s="5" t="s">
        <v>2412</v>
      </c>
      <c r="I249" s="11" t="s">
        <v>2413</v>
      </c>
      <c r="J249" s="5" t="s">
        <v>2414</v>
      </c>
      <c r="K249" s="5" t="s">
        <v>2415</v>
      </c>
      <c r="L249" s="11" t="s">
        <v>2416</v>
      </c>
      <c r="M249" s="11" t="s">
        <v>2417</v>
      </c>
      <c r="N249" s="5" t="n">
        <f aca="false">LEN(L249)</f>
        <v>25</v>
      </c>
      <c r="O249" s="5" t="n">
        <f aca="false">LEN(M249)</f>
        <v>25</v>
      </c>
      <c r="P249" s="12" t="n">
        <f aca="false">IF(N249=0,"",(N249-LEN(SUBSTITUTE(SUBSTITUTE(L249,"G",""),"C","")))/N249)</f>
        <v>0.52</v>
      </c>
      <c r="Q249" s="12" t="n">
        <f aca="false">IF(O249=0,"",(O249-LEN(SUBSTITUTE(SUBSTITUTE(M249,"G",""),"C","")))/O249)</f>
        <v>0.56</v>
      </c>
      <c r="R249" s="5"/>
      <c r="S249" s="5" t="s">
        <v>342</v>
      </c>
      <c r="T249" s="5"/>
      <c r="U249" s="5" t="s">
        <v>382</v>
      </c>
      <c r="V249" s="5" t="s">
        <v>507</v>
      </c>
      <c r="W249" s="5"/>
      <c r="X249" s="8" t="s">
        <v>383</v>
      </c>
      <c r="Y249" s="5"/>
    </row>
    <row r="250" customFormat="false" ht="15" hidden="false" customHeight="false" outlineLevel="0" collapsed="false">
      <c r="A250" s="5" t="s">
        <v>2418</v>
      </c>
      <c r="B250" s="5" t="s">
        <v>227</v>
      </c>
      <c r="C250" s="5" t="s">
        <v>228</v>
      </c>
      <c r="D250" s="10" t="s">
        <v>229</v>
      </c>
      <c r="E250" s="5" t="n">
        <v>5</v>
      </c>
      <c r="F250" s="5" t="s">
        <v>2419</v>
      </c>
      <c r="G250" s="11" t="s">
        <v>2420</v>
      </c>
      <c r="H250" s="5" t="s">
        <v>2421</v>
      </c>
      <c r="I250" s="11" t="s">
        <v>2422</v>
      </c>
      <c r="J250" s="5" t="s">
        <v>2423</v>
      </c>
      <c r="K250" s="5" t="s">
        <v>2424</v>
      </c>
      <c r="L250" s="11" t="s">
        <v>2425</v>
      </c>
      <c r="M250" s="11" t="s">
        <v>2426</v>
      </c>
      <c r="N250" s="5" t="n">
        <f aca="false">LEN(L250)</f>
        <v>25</v>
      </c>
      <c r="O250" s="5" t="n">
        <f aca="false">LEN(M250)</f>
        <v>25</v>
      </c>
      <c r="P250" s="12" t="n">
        <f aca="false">IF(N250=0,"",(N250-LEN(SUBSTITUTE(SUBSTITUTE(L250,"G",""),"C","")))/N250)</f>
        <v>0.48</v>
      </c>
      <c r="Q250" s="12" t="n">
        <f aca="false">IF(O250=0,"",(O250-LEN(SUBSTITUTE(SUBSTITUTE(M250,"G",""),"C","")))/O250)</f>
        <v>0.6</v>
      </c>
      <c r="R250" s="5"/>
      <c r="S250" s="5" t="s">
        <v>342</v>
      </c>
      <c r="T250" s="5"/>
      <c r="U250" s="5" t="s">
        <v>382</v>
      </c>
      <c r="V250" s="5" t="s">
        <v>507</v>
      </c>
      <c r="W250" s="5"/>
      <c r="X250" s="8" t="s">
        <v>383</v>
      </c>
      <c r="Y250" s="5"/>
    </row>
    <row r="251" customFormat="false" ht="15" hidden="false" customHeight="false" outlineLevel="0" collapsed="false">
      <c r="A251" s="5" t="s">
        <v>2427</v>
      </c>
      <c r="B251" s="5" t="s">
        <v>227</v>
      </c>
      <c r="C251" s="5" t="s">
        <v>228</v>
      </c>
      <c r="D251" s="10" t="s">
        <v>229</v>
      </c>
      <c r="E251" s="5" t="n">
        <v>6</v>
      </c>
      <c r="F251" s="5" t="s">
        <v>2428</v>
      </c>
      <c r="G251" s="11" t="s">
        <v>2429</v>
      </c>
      <c r="H251" s="5" t="s">
        <v>2430</v>
      </c>
      <c r="I251" s="11" t="s">
        <v>2431</v>
      </c>
      <c r="J251" s="5" t="s">
        <v>2432</v>
      </c>
      <c r="K251" s="5" t="s">
        <v>2433</v>
      </c>
      <c r="L251" s="11" t="s">
        <v>2434</v>
      </c>
      <c r="M251" s="11" t="s">
        <v>2435</v>
      </c>
      <c r="N251" s="5" t="n">
        <f aca="false">LEN(L251)</f>
        <v>25</v>
      </c>
      <c r="O251" s="5" t="n">
        <f aca="false">LEN(M251)</f>
        <v>25</v>
      </c>
      <c r="P251" s="12" t="n">
        <f aca="false">IF(N251=0,"",(N251-LEN(SUBSTITUTE(SUBSTITUTE(L251,"G",""),"C","")))/N251)</f>
        <v>0.8</v>
      </c>
      <c r="Q251" s="12" t="n">
        <f aca="false">IF(O251=0,"",(O251-LEN(SUBSTITUTE(SUBSTITUTE(M251,"G",""),"C","")))/O251)</f>
        <v>0.56</v>
      </c>
      <c r="R251" s="5"/>
      <c r="S251" s="5" t="s">
        <v>342</v>
      </c>
      <c r="T251" s="5"/>
      <c r="U251" s="5" t="s">
        <v>382</v>
      </c>
      <c r="V251" s="5" t="s">
        <v>507</v>
      </c>
      <c r="W251" s="5"/>
      <c r="X251" s="8" t="s">
        <v>383</v>
      </c>
      <c r="Y251" s="5"/>
    </row>
    <row r="252" customFormat="false" ht="15" hidden="false" customHeight="false" outlineLevel="0" collapsed="false">
      <c r="A252" s="5" t="s">
        <v>2436</v>
      </c>
      <c r="B252" s="5" t="s">
        <v>227</v>
      </c>
      <c r="C252" s="5" t="s">
        <v>228</v>
      </c>
      <c r="D252" s="10" t="s">
        <v>229</v>
      </c>
      <c r="E252" s="5" t="n">
        <v>7</v>
      </c>
      <c r="F252" s="5" t="s">
        <v>2437</v>
      </c>
      <c r="G252" s="11" t="s">
        <v>2438</v>
      </c>
      <c r="H252" s="5" t="s">
        <v>2439</v>
      </c>
      <c r="I252" s="11" t="s">
        <v>2440</v>
      </c>
      <c r="J252" s="5" t="s">
        <v>2441</v>
      </c>
      <c r="K252" s="5" t="s">
        <v>2442</v>
      </c>
      <c r="L252" s="11" t="s">
        <v>2443</v>
      </c>
      <c r="M252" s="11" t="s">
        <v>2444</v>
      </c>
      <c r="N252" s="5" t="n">
        <f aca="false">LEN(L252)</f>
        <v>25</v>
      </c>
      <c r="O252" s="5" t="n">
        <f aca="false">LEN(M252)</f>
        <v>25</v>
      </c>
      <c r="P252" s="12" t="n">
        <f aca="false">IF(N252=0,"",(N252-LEN(SUBSTITUTE(SUBSTITUTE(L252,"G",""),"C","")))/N252)</f>
        <v>0.72</v>
      </c>
      <c r="Q252" s="12" t="n">
        <f aca="false">IF(O252=0,"",(O252-LEN(SUBSTITUTE(SUBSTITUTE(M252,"G",""),"C","")))/O252)</f>
        <v>0.44</v>
      </c>
      <c r="R252" s="5"/>
      <c r="S252" s="5" t="s">
        <v>342</v>
      </c>
      <c r="T252" s="5"/>
      <c r="U252" s="5" t="s">
        <v>382</v>
      </c>
      <c r="V252" s="5" t="s">
        <v>507</v>
      </c>
      <c r="W252" s="5"/>
      <c r="X252" s="8" t="s">
        <v>383</v>
      </c>
      <c r="Y252" s="5"/>
    </row>
    <row r="253" customFormat="false" ht="15" hidden="false" customHeight="false" outlineLevel="0" collapsed="false">
      <c r="A253" s="5" t="s">
        <v>2445</v>
      </c>
      <c r="B253" s="5" t="s">
        <v>227</v>
      </c>
      <c r="C253" s="5" t="s">
        <v>228</v>
      </c>
      <c r="D253" s="10" t="s">
        <v>229</v>
      </c>
      <c r="E253" s="5" t="n">
        <v>8</v>
      </c>
      <c r="F253" s="5" t="s">
        <v>2446</v>
      </c>
      <c r="G253" s="11" t="s">
        <v>2447</v>
      </c>
      <c r="H253" s="5" t="s">
        <v>2448</v>
      </c>
      <c r="I253" s="11" t="s">
        <v>2449</v>
      </c>
      <c r="J253" s="5" t="s">
        <v>2450</v>
      </c>
      <c r="K253" s="5" t="s">
        <v>2451</v>
      </c>
      <c r="L253" s="11" t="s">
        <v>2452</v>
      </c>
      <c r="M253" s="11" t="s">
        <v>2453</v>
      </c>
      <c r="N253" s="5" t="n">
        <f aca="false">LEN(L253)</f>
        <v>25</v>
      </c>
      <c r="O253" s="5" t="n">
        <f aca="false">LEN(M253)</f>
        <v>25</v>
      </c>
      <c r="P253" s="12" t="n">
        <f aca="false">IF(N253=0,"",(N253-LEN(SUBSTITUTE(SUBSTITUTE(L253,"G",""),"C","")))/N253)</f>
        <v>0.48</v>
      </c>
      <c r="Q253" s="12" t="n">
        <f aca="false">IF(O253=0,"",(O253-LEN(SUBSTITUTE(SUBSTITUTE(M253,"G",""),"C","")))/O253)</f>
        <v>0.48</v>
      </c>
      <c r="R253" s="5"/>
      <c r="S253" s="5" t="s">
        <v>342</v>
      </c>
      <c r="T253" s="5"/>
      <c r="U253" s="5" t="s">
        <v>382</v>
      </c>
      <c r="V253" s="5" t="s">
        <v>507</v>
      </c>
      <c r="W253" s="5"/>
      <c r="X253" s="8" t="s">
        <v>383</v>
      </c>
      <c r="Y253" s="5"/>
    </row>
    <row r="254" customFormat="false" ht="15" hidden="false" customHeight="false" outlineLevel="0" collapsed="false">
      <c r="A254" s="5" t="s">
        <v>2454</v>
      </c>
      <c r="B254" s="5" t="s">
        <v>227</v>
      </c>
      <c r="C254" s="5" t="s">
        <v>228</v>
      </c>
      <c r="D254" s="10" t="s">
        <v>229</v>
      </c>
      <c r="E254" s="5" t="n">
        <v>9</v>
      </c>
      <c r="F254" s="5" t="s">
        <v>2455</v>
      </c>
      <c r="G254" s="11" t="s">
        <v>2456</v>
      </c>
      <c r="H254" s="5" t="s">
        <v>2457</v>
      </c>
      <c r="I254" s="11" t="s">
        <v>2458</v>
      </c>
      <c r="J254" s="5" t="s">
        <v>2459</v>
      </c>
      <c r="K254" s="5" t="s">
        <v>2460</v>
      </c>
      <c r="L254" s="11" t="s">
        <v>2461</v>
      </c>
      <c r="M254" s="11" t="s">
        <v>2462</v>
      </c>
      <c r="N254" s="5" t="n">
        <f aca="false">LEN(L254)</f>
        <v>25</v>
      </c>
      <c r="O254" s="5" t="n">
        <f aca="false">LEN(M254)</f>
        <v>25</v>
      </c>
      <c r="P254" s="12" t="n">
        <f aca="false">IF(N254=0,"",(N254-LEN(SUBSTITUTE(SUBSTITUTE(L254,"G",""),"C","")))/N254)</f>
        <v>0.56</v>
      </c>
      <c r="Q254" s="12" t="n">
        <f aca="false">IF(O254=0,"",(O254-LEN(SUBSTITUTE(SUBSTITUTE(M254,"G",""),"C","")))/O254)</f>
        <v>0.64</v>
      </c>
      <c r="R254" s="5"/>
      <c r="S254" s="5" t="s">
        <v>342</v>
      </c>
      <c r="T254" s="5"/>
      <c r="U254" s="5" t="s">
        <v>382</v>
      </c>
      <c r="V254" s="5" t="s">
        <v>507</v>
      </c>
      <c r="W254" s="5"/>
      <c r="X254" s="8" t="s">
        <v>383</v>
      </c>
      <c r="Y254" s="5"/>
    </row>
    <row r="255" customFormat="false" ht="15" hidden="false" customHeight="false" outlineLevel="0" collapsed="false">
      <c r="A255" s="5" t="s">
        <v>2463</v>
      </c>
      <c r="B255" s="5" t="s">
        <v>227</v>
      </c>
      <c r="C255" s="5" t="s">
        <v>228</v>
      </c>
      <c r="D255" s="10" t="s">
        <v>229</v>
      </c>
      <c r="E255" s="5" t="n">
        <v>10</v>
      </c>
      <c r="F255" s="5" t="s">
        <v>2464</v>
      </c>
      <c r="G255" s="11" t="s">
        <v>2465</v>
      </c>
      <c r="H255" s="5" t="s">
        <v>2466</v>
      </c>
      <c r="I255" s="11" t="s">
        <v>2467</v>
      </c>
      <c r="J255" s="5" t="s">
        <v>2468</v>
      </c>
      <c r="K255" s="5" t="s">
        <v>2469</v>
      </c>
      <c r="L255" s="11" t="s">
        <v>2470</v>
      </c>
      <c r="M255" s="11" t="s">
        <v>2471</v>
      </c>
      <c r="N255" s="5" t="n">
        <f aca="false">LEN(L255)</f>
        <v>25</v>
      </c>
      <c r="O255" s="5" t="n">
        <f aca="false">LEN(M255)</f>
        <v>25</v>
      </c>
      <c r="P255" s="12" t="n">
        <f aca="false">IF(N255=0,"",(N255-LEN(SUBSTITUTE(SUBSTITUTE(L255,"G",""),"C","")))/N255)</f>
        <v>0.28</v>
      </c>
      <c r="Q255" s="12" t="n">
        <f aca="false">IF(O255=0,"",(O255-LEN(SUBSTITUTE(SUBSTITUTE(M255,"G",""),"C","")))/O255)</f>
        <v>0.4</v>
      </c>
      <c r="R255" s="5"/>
      <c r="S255" s="5" t="s">
        <v>342</v>
      </c>
      <c r="T255" s="5"/>
      <c r="U255" s="5" t="s">
        <v>382</v>
      </c>
      <c r="V255" s="5" t="s">
        <v>507</v>
      </c>
      <c r="W255" s="5"/>
      <c r="X255" s="8" t="s">
        <v>383</v>
      </c>
      <c r="Y255" s="5"/>
    </row>
    <row r="256" customFormat="false" ht="15" hidden="false" customHeight="false" outlineLevel="0" collapsed="false">
      <c r="A256" s="5" t="s">
        <v>2472</v>
      </c>
      <c r="B256" s="5" t="s">
        <v>231</v>
      </c>
      <c r="C256" s="5" t="s">
        <v>232</v>
      </c>
      <c r="D256" s="10" t="s">
        <v>229</v>
      </c>
      <c r="E256" s="5" t="n">
        <v>1</v>
      </c>
      <c r="F256" s="5" t="s">
        <v>2473</v>
      </c>
      <c r="G256" s="11" t="s">
        <v>2474</v>
      </c>
      <c r="H256" s="5" t="s">
        <v>2475</v>
      </c>
      <c r="I256" s="11" t="s">
        <v>2476</v>
      </c>
      <c r="J256" s="5" t="s">
        <v>2477</v>
      </c>
      <c r="K256" s="5" t="s">
        <v>2477</v>
      </c>
      <c r="L256" s="11" t="s">
        <v>2478</v>
      </c>
      <c r="M256" s="11" t="s">
        <v>2479</v>
      </c>
      <c r="N256" s="5" t="n">
        <f aca="false">LEN(L256)</f>
        <v>25</v>
      </c>
      <c r="O256" s="5" t="n">
        <f aca="false">LEN(M256)</f>
        <v>25</v>
      </c>
      <c r="P256" s="12" t="n">
        <f aca="false">IF(N256=0,"",(N256-LEN(SUBSTITUTE(SUBSTITUTE(L256,"G",""),"C","")))/N256)</f>
        <v>0.48</v>
      </c>
      <c r="Q256" s="12" t="n">
        <f aca="false">IF(O256=0,"",(O256-LEN(SUBSTITUTE(SUBSTITUTE(M256,"G",""),"C","")))/O256)</f>
        <v>0.8</v>
      </c>
      <c r="R256" s="5"/>
      <c r="S256" s="5" t="s">
        <v>342</v>
      </c>
      <c r="T256" s="5"/>
      <c r="U256" s="5" t="s">
        <v>343</v>
      </c>
      <c r="V256" s="5" t="s">
        <v>598</v>
      </c>
      <c r="W256" s="5"/>
      <c r="X256" s="13" t="s">
        <v>345</v>
      </c>
      <c r="Y256" s="5"/>
    </row>
    <row r="257" customFormat="false" ht="15" hidden="false" customHeight="false" outlineLevel="0" collapsed="false">
      <c r="A257" s="5" t="s">
        <v>2480</v>
      </c>
      <c r="B257" s="5" t="s">
        <v>231</v>
      </c>
      <c r="C257" s="5" t="s">
        <v>232</v>
      </c>
      <c r="D257" s="10" t="s">
        <v>229</v>
      </c>
      <c r="E257" s="5" t="n">
        <v>2</v>
      </c>
      <c r="F257" s="5" t="s">
        <v>2481</v>
      </c>
      <c r="G257" s="11" t="s">
        <v>2482</v>
      </c>
      <c r="H257" s="5" t="s">
        <v>2483</v>
      </c>
      <c r="I257" s="11" t="s">
        <v>2484</v>
      </c>
      <c r="J257" s="5" t="s">
        <v>2477</v>
      </c>
      <c r="K257" s="5" t="s">
        <v>2477</v>
      </c>
      <c r="L257" s="11" t="s">
        <v>2485</v>
      </c>
      <c r="M257" s="11" t="s">
        <v>2486</v>
      </c>
      <c r="N257" s="5" t="n">
        <f aca="false">LEN(L257)</f>
        <v>25</v>
      </c>
      <c r="O257" s="5" t="n">
        <f aca="false">LEN(M257)</f>
        <v>25</v>
      </c>
      <c r="P257" s="12" t="n">
        <f aca="false">IF(N257=0,"",(N257-LEN(SUBSTITUTE(SUBSTITUTE(L257,"G",""),"C","")))/N257)</f>
        <v>0.84</v>
      </c>
      <c r="Q257" s="12" t="n">
        <f aca="false">IF(O257=0,"",(O257-LEN(SUBSTITUTE(SUBSTITUTE(M257,"G",""),"C","")))/O257)</f>
        <v>0.68</v>
      </c>
      <c r="R257" s="5"/>
      <c r="S257" s="5" t="s">
        <v>342</v>
      </c>
      <c r="T257" s="5"/>
      <c r="U257" s="5" t="s">
        <v>343</v>
      </c>
      <c r="V257" s="5" t="s">
        <v>598</v>
      </c>
      <c r="W257" s="5"/>
      <c r="X257" s="13" t="s">
        <v>345</v>
      </c>
      <c r="Y257" s="5"/>
    </row>
    <row r="258" customFormat="false" ht="15" hidden="false" customHeight="false" outlineLevel="0" collapsed="false">
      <c r="A258" s="5" t="s">
        <v>2487</v>
      </c>
      <c r="B258" s="5" t="s">
        <v>231</v>
      </c>
      <c r="C258" s="5" t="s">
        <v>232</v>
      </c>
      <c r="D258" s="10" t="s">
        <v>229</v>
      </c>
      <c r="E258" s="5" t="n">
        <v>3</v>
      </c>
      <c r="F258" s="5" t="s">
        <v>2488</v>
      </c>
      <c r="G258" s="11" t="s">
        <v>2489</v>
      </c>
      <c r="H258" s="5" t="s">
        <v>2490</v>
      </c>
      <c r="I258" s="11" t="s">
        <v>2491</v>
      </c>
      <c r="J258" s="5" t="s">
        <v>2477</v>
      </c>
      <c r="K258" s="5" t="s">
        <v>2477</v>
      </c>
      <c r="L258" s="11" t="s">
        <v>2492</v>
      </c>
      <c r="M258" s="11" t="s">
        <v>2493</v>
      </c>
      <c r="N258" s="5" t="n">
        <f aca="false">LEN(L258)</f>
        <v>25</v>
      </c>
      <c r="O258" s="5" t="n">
        <f aca="false">LEN(M258)</f>
        <v>25</v>
      </c>
      <c r="P258" s="12" t="n">
        <f aca="false">IF(N258=0,"",(N258-LEN(SUBSTITUTE(SUBSTITUTE(L258,"G",""),"C","")))/N258)</f>
        <v>0.68</v>
      </c>
      <c r="Q258" s="12" t="n">
        <f aca="false">IF(O258=0,"",(O258-LEN(SUBSTITUTE(SUBSTITUTE(M258,"G",""),"C","")))/O258)</f>
        <v>0.6</v>
      </c>
      <c r="R258" s="5"/>
      <c r="S258" s="5" t="s">
        <v>342</v>
      </c>
      <c r="T258" s="5"/>
      <c r="U258" s="5" t="s">
        <v>343</v>
      </c>
      <c r="V258" s="5" t="s">
        <v>598</v>
      </c>
      <c r="W258" s="5"/>
      <c r="X258" s="13" t="s">
        <v>345</v>
      </c>
      <c r="Y258" s="5"/>
    </row>
    <row r="259" customFormat="false" ht="15" hidden="false" customHeight="false" outlineLevel="0" collapsed="false">
      <c r="A259" s="5" t="s">
        <v>2494</v>
      </c>
      <c r="B259" s="5" t="s">
        <v>231</v>
      </c>
      <c r="C259" s="5" t="s">
        <v>232</v>
      </c>
      <c r="D259" s="10" t="s">
        <v>229</v>
      </c>
      <c r="E259" s="5" t="n">
        <v>4</v>
      </c>
      <c r="F259" s="5" t="s">
        <v>2495</v>
      </c>
      <c r="G259" s="11" t="s">
        <v>2496</v>
      </c>
      <c r="H259" s="5" t="s">
        <v>2497</v>
      </c>
      <c r="I259" s="11" t="s">
        <v>2498</v>
      </c>
      <c r="J259" s="5" t="s">
        <v>2477</v>
      </c>
      <c r="K259" s="5" t="s">
        <v>2477</v>
      </c>
      <c r="L259" s="11" t="s">
        <v>2499</v>
      </c>
      <c r="M259" s="11" t="s">
        <v>2500</v>
      </c>
      <c r="N259" s="5" t="n">
        <f aca="false">LEN(L259)</f>
        <v>25</v>
      </c>
      <c r="O259" s="5" t="n">
        <f aca="false">LEN(M259)</f>
        <v>25</v>
      </c>
      <c r="P259" s="12" t="n">
        <f aca="false">IF(N259=0,"",(N259-LEN(SUBSTITUTE(SUBSTITUTE(L259,"G",""),"C","")))/N259)</f>
        <v>0.44</v>
      </c>
      <c r="Q259" s="12" t="n">
        <f aca="false">IF(O259=0,"",(O259-LEN(SUBSTITUTE(SUBSTITUTE(M259,"G",""),"C","")))/O259)</f>
        <v>0.44</v>
      </c>
      <c r="R259" s="5"/>
      <c r="S259" s="5" t="s">
        <v>342</v>
      </c>
      <c r="T259" s="5"/>
      <c r="U259" s="5" t="s">
        <v>343</v>
      </c>
      <c r="V259" s="5" t="s">
        <v>598</v>
      </c>
      <c r="W259" s="5"/>
      <c r="X259" s="13" t="s">
        <v>345</v>
      </c>
      <c r="Y259" s="5"/>
    </row>
    <row r="260" customFormat="false" ht="15" hidden="false" customHeight="false" outlineLevel="0" collapsed="false">
      <c r="A260" s="5" t="s">
        <v>2501</v>
      </c>
      <c r="B260" s="5" t="s">
        <v>231</v>
      </c>
      <c r="C260" s="5" t="s">
        <v>232</v>
      </c>
      <c r="D260" s="10" t="s">
        <v>229</v>
      </c>
      <c r="E260" s="5" t="n">
        <v>5</v>
      </c>
      <c r="F260" s="5" t="s">
        <v>2502</v>
      </c>
      <c r="G260" s="11" t="s">
        <v>2503</v>
      </c>
      <c r="H260" s="5" t="s">
        <v>2504</v>
      </c>
      <c r="I260" s="11" t="s">
        <v>2505</v>
      </c>
      <c r="J260" s="5" t="s">
        <v>2477</v>
      </c>
      <c r="K260" s="5" t="s">
        <v>2477</v>
      </c>
      <c r="L260" s="11" t="s">
        <v>2506</v>
      </c>
      <c r="M260" s="11" t="s">
        <v>2507</v>
      </c>
      <c r="N260" s="5" t="n">
        <f aca="false">LEN(L260)</f>
        <v>25</v>
      </c>
      <c r="O260" s="5" t="n">
        <f aca="false">LEN(M260)</f>
        <v>25</v>
      </c>
      <c r="P260" s="12" t="n">
        <f aca="false">IF(N260=0,"",(N260-LEN(SUBSTITUTE(SUBSTITUTE(L260,"G",""),"C","")))/N260)</f>
        <v>0.52</v>
      </c>
      <c r="Q260" s="12" t="n">
        <f aca="false">IF(O260=0,"",(O260-LEN(SUBSTITUTE(SUBSTITUTE(M260,"G",""),"C","")))/O260)</f>
        <v>0.6</v>
      </c>
      <c r="R260" s="5"/>
      <c r="S260" s="5" t="s">
        <v>342</v>
      </c>
      <c r="T260" s="5"/>
      <c r="U260" s="5" t="s">
        <v>606</v>
      </c>
      <c r="V260" s="5" t="s">
        <v>598</v>
      </c>
      <c r="W260" s="5"/>
      <c r="X260" s="8" t="s">
        <v>393</v>
      </c>
      <c r="Y260" s="5"/>
    </row>
    <row r="261" customFormat="false" ht="15" hidden="false" customHeight="false" outlineLevel="0" collapsed="false">
      <c r="A261" s="5" t="s">
        <v>2508</v>
      </c>
      <c r="B261" s="5" t="s">
        <v>231</v>
      </c>
      <c r="C261" s="5" t="s">
        <v>232</v>
      </c>
      <c r="D261" s="10" t="s">
        <v>229</v>
      </c>
      <c r="E261" s="5" t="n">
        <v>6</v>
      </c>
      <c r="F261" s="5" t="s">
        <v>2509</v>
      </c>
      <c r="G261" s="11" t="s">
        <v>2510</v>
      </c>
      <c r="H261" s="5" t="s">
        <v>2511</v>
      </c>
      <c r="I261" s="11" t="s">
        <v>2512</v>
      </c>
      <c r="J261" s="5" t="s">
        <v>2477</v>
      </c>
      <c r="K261" s="5" t="s">
        <v>2477</v>
      </c>
      <c r="L261" s="11" t="s">
        <v>2513</v>
      </c>
      <c r="M261" s="11" t="s">
        <v>2514</v>
      </c>
      <c r="N261" s="5" t="n">
        <f aca="false">LEN(L261)</f>
        <v>25</v>
      </c>
      <c r="O261" s="5" t="n">
        <f aca="false">LEN(M261)</f>
        <v>25</v>
      </c>
      <c r="P261" s="12" t="n">
        <f aca="false">IF(N261=0,"",(N261-LEN(SUBSTITUTE(SUBSTITUTE(L261,"G",""),"C","")))/N261)</f>
        <v>0.4</v>
      </c>
      <c r="Q261" s="12" t="n">
        <f aca="false">IF(O261=0,"",(O261-LEN(SUBSTITUTE(SUBSTITUTE(M261,"G",""),"C","")))/O261)</f>
        <v>0.32</v>
      </c>
      <c r="R261" s="5"/>
      <c r="S261" s="5" t="s">
        <v>342</v>
      </c>
      <c r="T261" s="5"/>
      <c r="U261" s="5" t="s">
        <v>606</v>
      </c>
      <c r="V261" s="5" t="s">
        <v>598</v>
      </c>
      <c r="W261" s="5"/>
      <c r="X261" s="8" t="s">
        <v>383</v>
      </c>
      <c r="Y261" s="5"/>
    </row>
    <row r="262" customFormat="false" ht="15" hidden="false" customHeight="false" outlineLevel="0" collapsed="false">
      <c r="A262" s="5" t="s">
        <v>2515</v>
      </c>
      <c r="B262" s="5" t="s">
        <v>231</v>
      </c>
      <c r="C262" s="5" t="s">
        <v>232</v>
      </c>
      <c r="D262" s="10" t="s">
        <v>229</v>
      </c>
      <c r="E262" s="5" t="n">
        <v>7</v>
      </c>
      <c r="F262" s="5" t="s">
        <v>2516</v>
      </c>
      <c r="G262" s="11" t="s">
        <v>2517</v>
      </c>
      <c r="H262" s="5" t="s">
        <v>2518</v>
      </c>
      <c r="I262" s="11" t="s">
        <v>2519</v>
      </c>
      <c r="J262" s="5" t="s">
        <v>2477</v>
      </c>
      <c r="K262" s="5" t="s">
        <v>2477</v>
      </c>
      <c r="L262" s="11" t="s">
        <v>2520</v>
      </c>
      <c r="M262" s="11" t="s">
        <v>2521</v>
      </c>
      <c r="N262" s="5" t="n">
        <f aca="false">LEN(L262)</f>
        <v>25</v>
      </c>
      <c r="O262" s="5" t="n">
        <f aca="false">LEN(M262)</f>
        <v>25</v>
      </c>
      <c r="P262" s="12" t="n">
        <f aca="false">IF(N262=0,"",(N262-LEN(SUBSTITUTE(SUBSTITUTE(L262,"G",""),"C","")))/N262)</f>
        <v>0.52</v>
      </c>
      <c r="Q262" s="12" t="n">
        <f aca="false">IF(O262=0,"",(O262-LEN(SUBSTITUTE(SUBSTITUTE(M262,"G",""),"C","")))/O262)</f>
        <v>0.44</v>
      </c>
      <c r="R262" s="5"/>
      <c r="S262" s="5" t="s">
        <v>342</v>
      </c>
      <c r="T262" s="5"/>
      <c r="U262" s="5" t="s">
        <v>606</v>
      </c>
      <c r="V262" s="5" t="s">
        <v>598</v>
      </c>
      <c r="W262" s="5"/>
      <c r="X262" s="8" t="s">
        <v>383</v>
      </c>
      <c r="Y262" s="5"/>
    </row>
    <row r="263" customFormat="false" ht="15" hidden="false" customHeight="false" outlineLevel="0" collapsed="false">
      <c r="A263" s="5" t="s">
        <v>2522</v>
      </c>
      <c r="B263" s="5" t="s">
        <v>238</v>
      </c>
      <c r="C263" s="5" t="s">
        <v>239</v>
      </c>
      <c r="D263" s="10" t="s">
        <v>229</v>
      </c>
      <c r="E263" s="5" t="n">
        <v>1</v>
      </c>
      <c r="F263" s="5" t="s">
        <v>2523</v>
      </c>
      <c r="G263" s="11" t="s">
        <v>2524</v>
      </c>
      <c r="H263" s="5" t="s">
        <v>2525</v>
      </c>
      <c r="I263" s="11" t="s">
        <v>2526</v>
      </c>
      <c r="J263" s="5" t="s">
        <v>2527</v>
      </c>
      <c r="K263" s="5" t="s">
        <v>2528</v>
      </c>
      <c r="L263" s="11" t="s">
        <v>2529</v>
      </c>
      <c r="M263" s="11" t="s">
        <v>2530</v>
      </c>
      <c r="N263" s="5" t="n">
        <f aca="false">LEN(L263)</f>
        <v>25</v>
      </c>
      <c r="O263" s="5" t="n">
        <f aca="false">LEN(M263)</f>
        <v>25</v>
      </c>
      <c r="P263" s="12" t="n">
        <f aca="false">IF(N263=0,"",(N263-LEN(SUBSTITUTE(SUBSTITUTE(L263,"G",""),"C","")))/N263)</f>
        <v>0.68</v>
      </c>
      <c r="Q263" s="12" t="n">
        <f aca="false">IF(O263=0,"",(O263-LEN(SUBSTITUTE(SUBSTITUTE(M263,"G",""),"C","")))/O263)</f>
        <v>0.84</v>
      </c>
      <c r="R263" s="5"/>
      <c r="S263" s="5" t="s">
        <v>342</v>
      </c>
      <c r="T263" s="5"/>
      <c r="U263" s="5" t="s">
        <v>343</v>
      </c>
      <c r="V263" s="5" t="s">
        <v>843</v>
      </c>
      <c r="W263" s="5"/>
      <c r="X263" s="13" t="s">
        <v>345</v>
      </c>
      <c r="Y263" s="5"/>
    </row>
    <row r="264" customFormat="false" ht="15" hidden="false" customHeight="false" outlineLevel="0" collapsed="false">
      <c r="A264" s="5" t="s">
        <v>2531</v>
      </c>
      <c r="B264" s="5" t="s">
        <v>238</v>
      </c>
      <c r="C264" s="5" t="s">
        <v>239</v>
      </c>
      <c r="D264" s="10" t="s">
        <v>229</v>
      </c>
      <c r="E264" s="5" t="n">
        <v>2</v>
      </c>
      <c r="F264" s="5" t="s">
        <v>2532</v>
      </c>
      <c r="G264" s="11" t="s">
        <v>2533</v>
      </c>
      <c r="H264" s="5" t="s">
        <v>2534</v>
      </c>
      <c r="I264" s="11" t="s">
        <v>2535</v>
      </c>
      <c r="J264" s="5" t="s">
        <v>2536</v>
      </c>
      <c r="K264" s="5" t="s">
        <v>2537</v>
      </c>
      <c r="L264" s="11" t="s">
        <v>2538</v>
      </c>
      <c r="M264" s="11" t="s">
        <v>2539</v>
      </c>
      <c r="N264" s="5" t="n">
        <f aca="false">LEN(L264)</f>
        <v>25</v>
      </c>
      <c r="O264" s="5" t="n">
        <f aca="false">LEN(M264)</f>
        <v>25</v>
      </c>
      <c r="P264" s="12" t="n">
        <f aca="false">IF(N264=0,"",(N264-LEN(SUBSTITUTE(SUBSTITUTE(L264,"G",""),"C","")))/N264)</f>
        <v>0.6</v>
      </c>
      <c r="Q264" s="12" t="n">
        <f aca="false">IF(O264=0,"",(O264-LEN(SUBSTITUTE(SUBSTITUTE(M264,"G",""),"C","")))/O264)</f>
        <v>0.28</v>
      </c>
      <c r="R264" s="5"/>
      <c r="S264" s="5" t="s">
        <v>342</v>
      </c>
      <c r="T264" s="5"/>
      <c r="U264" s="5" t="s">
        <v>382</v>
      </c>
      <c r="V264" s="5" t="s">
        <v>843</v>
      </c>
      <c r="W264" s="5"/>
      <c r="X264" s="8" t="s">
        <v>488</v>
      </c>
      <c r="Y264" s="5"/>
    </row>
    <row r="265" customFormat="false" ht="15" hidden="false" customHeight="false" outlineLevel="0" collapsed="false">
      <c r="A265" s="5" t="s">
        <v>2540</v>
      </c>
      <c r="B265" s="5" t="s">
        <v>238</v>
      </c>
      <c r="C265" s="5" t="s">
        <v>239</v>
      </c>
      <c r="D265" s="10" t="s">
        <v>229</v>
      </c>
      <c r="E265" s="5" t="n">
        <v>3</v>
      </c>
      <c r="F265" s="5" t="s">
        <v>2541</v>
      </c>
      <c r="G265" s="11" t="s">
        <v>2542</v>
      </c>
      <c r="H265" s="5" t="s">
        <v>2543</v>
      </c>
      <c r="I265" s="11" t="s">
        <v>2544</v>
      </c>
      <c r="J265" s="5" t="s">
        <v>2545</v>
      </c>
      <c r="K265" s="5" t="s">
        <v>2546</v>
      </c>
      <c r="L265" s="11" t="s">
        <v>2547</v>
      </c>
      <c r="M265" s="11" t="s">
        <v>2548</v>
      </c>
      <c r="N265" s="5" t="n">
        <f aca="false">LEN(L265)</f>
        <v>25</v>
      </c>
      <c r="O265" s="5" t="n">
        <f aca="false">LEN(M265)</f>
        <v>25</v>
      </c>
      <c r="P265" s="12" t="n">
        <f aca="false">IF(N265=0,"",(N265-LEN(SUBSTITUTE(SUBSTITUTE(L265,"G",""),"C","")))/N265)</f>
        <v>0.36</v>
      </c>
      <c r="Q265" s="12" t="n">
        <f aca="false">IF(O265=0,"",(O265-LEN(SUBSTITUTE(SUBSTITUTE(M265,"G",""),"C","")))/O265)</f>
        <v>0.56</v>
      </c>
      <c r="R265" s="5"/>
      <c r="S265" s="5" t="s">
        <v>342</v>
      </c>
      <c r="T265" s="5"/>
      <c r="U265" s="5" t="s">
        <v>343</v>
      </c>
      <c r="V265" s="5" t="s">
        <v>843</v>
      </c>
      <c r="W265" s="5"/>
      <c r="X265" s="13" t="s">
        <v>345</v>
      </c>
      <c r="Y265" s="5"/>
    </row>
    <row r="266" customFormat="false" ht="15" hidden="false" customHeight="false" outlineLevel="0" collapsed="false">
      <c r="A266" s="5" t="s">
        <v>2549</v>
      </c>
      <c r="B266" s="5" t="s">
        <v>238</v>
      </c>
      <c r="C266" s="5" t="s">
        <v>239</v>
      </c>
      <c r="D266" s="10" t="s">
        <v>229</v>
      </c>
      <c r="E266" s="5" t="n">
        <v>4</v>
      </c>
      <c r="F266" s="5" t="s">
        <v>2550</v>
      </c>
      <c r="G266" s="11" t="s">
        <v>2551</v>
      </c>
      <c r="H266" s="5" t="s">
        <v>2552</v>
      </c>
      <c r="I266" s="11" t="s">
        <v>2553</v>
      </c>
      <c r="J266" s="5" t="s">
        <v>2554</v>
      </c>
      <c r="K266" s="5" t="s">
        <v>2555</v>
      </c>
      <c r="L266" s="11" t="s">
        <v>2556</v>
      </c>
      <c r="M266" s="11" t="s">
        <v>2557</v>
      </c>
      <c r="N266" s="5" t="n">
        <f aca="false">LEN(L266)</f>
        <v>25</v>
      </c>
      <c r="O266" s="5" t="n">
        <f aca="false">LEN(M266)</f>
        <v>25</v>
      </c>
      <c r="P266" s="12" t="n">
        <f aca="false">IF(N266=0,"",(N266-LEN(SUBSTITUTE(SUBSTITUTE(L266,"G",""),"C","")))/N266)</f>
        <v>0.68</v>
      </c>
      <c r="Q266" s="12" t="n">
        <f aca="false">IF(O266=0,"",(O266-LEN(SUBSTITUTE(SUBSTITUTE(M266,"G",""),"C","")))/O266)</f>
        <v>0.6</v>
      </c>
      <c r="R266" s="5"/>
      <c r="S266" s="5" t="s">
        <v>342</v>
      </c>
      <c r="T266" s="5"/>
      <c r="U266" s="5" t="s">
        <v>382</v>
      </c>
      <c r="V266" s="5" t="s">
        <v>843</v>
      </c>
      <c r="W266" s="5"/>
      <c r="X266" s="8" t="s">
        <v>393</v>
      </c>
      <c r="Y266" s="5"/>
    </row>
    <row r="267" customFormat="false" ht="15" hidden="false" customHeight="false" outlineLevel="0" collapsed="false">
      <c r="A267" s="5" t="s">
        <v>2558</v>
      </c>
      <c r="B267" s="5" t="s">
        <v>244</v>
      </c>
      <c r="C267" s="5" t="s">
        <v>245</v>
      </c>
      <c r="D267" s="10" t="s">
        <v>229</v>
      </c>
      <c r="E267" s="5" t="n">
        <v>1</v>
      </c>
      <c r="F267" s="5" t="s">
        <v>2559</v>
      </c>
      <c r="G267" s="11" t="s">
        <v>2560</v>
      </c>
      <c r="H267" s="5" t="s">
        <v>2561</v>
      </c>
      <c r="I267" s="11" t="s">
        <v>2562</v>
      </c>
      <c r="J267" s="5" t="s">
        <v>2563</v>
      </c>
      <c r="K267" s="5" t="s">
        <v>2564</v>
      </c>
      <c r="L267" s="11" t="s">
        <v>2565</v>
      </c>
      <c r="M267" s="11" t="s">
        <v>2566</v>
      </c>
      <c r="N267" s="5" t="n">
        <f aca="false">LEN(L267)</f>
        <v>25</v>
      </c>
      <c r="O267" s="5" t="n">
        <f aca="false">LEN(M267)</f>
        <v>25</v>
      </c>
      <c r="P267" s="12" t="n">
        <f aca="false">IF(N267=0,"",(N267-LEN(SUBSTITUTE(SUBSTITUTE(L267,"G",""),"C","")))/N267)</f>
        <v>0.44</v>
      </c>
      <c r="Q267" s="12" t="n">
        <f aca="false">IF(O267=0,"",(O267-LEN(SUBSTITUTE(SUBSTITUTE(M267,"G",""),"C","")))/O267)</f>
        <v>0.64</v>
      </c>
      <c r="R267" s="5"/>
      <c r="S267" s="5" t="s">
        <v>342</v>
      </c>
      <c r="T267" s="5"/>
      <c r="U267" s="5" t="s">
        <v>343</v>
      </c>
      <c r="V267" s="5" t="s">
        <v>843</v>
      </c>
      <c r="W267" s="5"/>
      <c r="X267" s="13" t="s">
        <v>345</v>
      </c>
      <c r="Y267" s="5"/>
    </row>
    <row r="268" customFormat="false" ht="15" hidden="false" customHeight="false" outlineLevel="0" collapsed="false">
      <c r="A268" s="5" t="s">
        <v>2567</v>
      </c>
      <c r="B268" s="5" t="s">
        <v>244</v>
      </c>
      <c r="C268" s="5" t="s">
        <v>245</v>
      </c>
      <c r="D268" s="10" t="s">
        <v>229</v>
      </c>
      <c r="E268" s="5" t="n">
        <v>2</v>
      </c>
      <c r="F268" s="5" t="s">
        <v>2568</v>
      </c>
      <c r="G268" s="11" t="s">
        <v>2569</v>
      </c>
      <c r="H268" s="5" t="s">
        <v>2570</v>
      </c>
      <c r="I268" s="11" t="s">
        <v>2571</v>
      </c>
      <c r="J268" s="5" t="s">
        <v>2572</v>
      </c>
      <c r="K268" s="5" t="s">
        <v>2573</v>
      </c>
      <c r="L268" s="11" t="s">
        <v>2574</v>
      </c>
      <c r="M268" s="11" t="s">
        <v>2575</v>
      </c>
      <c r="N268" s="5" t="n">
        <f aca="false">LEN(L268)</f>
        <v>25</v>
      </c>
      <c r="O268" s="5" t="n">
        <f aca="false">LEN(M268)</f>
        <v>25</v>
      </c>
      <c r="P268" s="12" t="n">
        <f aca="false">IF(N268=0,"",(N268-LEN(SUBSTITUTE(SUBSTITUTE(L268,"G",""),"C","")))/N268)</f>
        <v>0.4</v>
      </c>
      <c r="Q268" s="12" t="n">
        <f aca="false">IF(O268=0,"",(O268-LEN(SUBSTITUTE(SUBSTITUTE(M268,"G",""),"C","")))/O268)</f>
        <v>0.76</v>
      </c>
      <c r="R268" s="5"/>
      <c r="S268" s="5" t="s">
        <v>342</v>
      </c>
      <c r="T268" s="5"/>
      <c r="U268" s="5" t="s">
        <v>343</v>
      </c>
      <c r="V268" s="5" t="s">
        <v>843</v>
      </c>
      <c r="W268" s="5"/>
      <c r="X268" s="13" t="s">
        <v>345</v>
      </c>
      <c r="Y268" s="5"/>
    </row>
    <row r="269" customFormat="false" ht="15" hidden="false" customHeight="false" outlineLevel="0" collapsed="false">
      <c r="A269" s="5" t="s">
        <v>2576</v>
      </c>
      <c r="B269" s="5" t="s">
        <v>244</v>
      </c>
      <c r="C269" s="5" t="s">
        <v>245</v>
      </c>
      <c r="D269" s="10" t="s">
        <v>229</v>
      </c>
      <c r="E269" s="5" t="n">
        <v>3</v>
      </c>
      <c r="F269" s="5" t="s">
        <v>2577</v>
      </c>
      <c r="G269" s="11" t="s">
        <v>2578</v>
      </c>
      <c r="H269" s="5" t="s">
        <v>2579</v>
      </c>
      <c r="I269" s="11" t="s">
        <v>2580</v>
      </c>
      <c r="J269" s="5" t="s">
        <v>2581</v>
      </c>
      <c r="K269" s="5" t="s">
        <v>2582</v>
      </c>
      <c r="L269" s="11" t="s">
        <v>2583</v>
      </c>
      <c r="M269" s="11" t="s">
        <v>2584</v>
      </c>
      <c r="N269" s="5" t="n">
        <f aca="false">LEN(L269)</f>
        <v>25</v>
      </c>
      <c r="O269" s="5" t="n">
        <f aca="false">LEN(M269)</f>
        <v>25</v>
      </c>
      <c r="P269" s="12" t="n">
        <f aca="false">IF(N269=0,"",(N269-LEN(SUBSTITUTE(SUBSTITUTE(L269,"G",""),"C","")))/N269)</f>
        <v>0.44</v>
      </c>
      <c r="Q269" s="12" t="n">
        <f aca="false">IF(O269=0,"",(O269-LEN(SUBSTITUTE(SUBSTITUTE(M269,"G",""),"C","")))/O269)</f>
        <v>0.6</v>
      </c>
      <c r="R269" s="5"/>
      <c r="S269" s="5" t="s">
        <v>342</v>
      </c>
      <c r="T269" s="5"/>
      <c r="U269" s="5" t="s">
        <v>343</v>
      </c>
      <c r="V269" s="5" t="s">
        <v>843</v>
      </c>
      <c r="W269" s="5"/>
      <c r="X269" s="13" t="s">
        <v>345</v>
      </c>
      <c r="Y269" s="5"/>
    </row>
    <row r="270" customFormat="false" ht="15" hidden="false" customHeight="false" outlineLevel="0" collapsed="false">
      <c r="A270" s="5" t="s">
        <v>2585</v>
      </c>
      <c r="B270" s="5" t="s">
        <v>244</v>
      </c>
      <c r="C270" s="5" t="s">
        <v>245</v>
      </c>
      <c r="D270" s="10" t="s">
        <v>229</v>
      </c>
      <c r="E270" s="5" t="n">
        <v>4</v>
      </c>
      <c r="F270" s="5" t="s">
        <v>2586</v>
      </c>
      <c r="G270" s="11" t="s">
        <v>2587</v>
      </c>
      <c r="H270" s="5" t="s">
        <v>2588</v>
      </c>
      <c r="I270" s="11" t="s">
        <v>2589</v>
      </c>
      <c r="J270" s="5" t="s">
        <v>2590</v>
      </c>
      <c r="K270" s="5" t="s">
        <v>2591</v>
      </c>
      <c r="L270" s="11" t="s">
        <v>2592</v>
      </c>
      <c r="M270" s="11" t="s">
        <v>2593</v>
      </c>
      <c r="N270" s="5" t="n">
        <f aca="false">LEN(L270)</f>
        <v>25</v>
      </c>
      <c r="O270" s="5" t="n">
        <f aca="false">LEN(M270)</f>
        <v>25</v>
      </c>
      <c r="P270" s="12" t="n">
        <f aca="false">IF(N270=0,"",(N270-LEN(SUBSTITUTE(SUBSTITUTE(L270,"G",""),"C","")))/N270)</f>
        <v>0.64</v>
      </c>
      <c r="Q270" s="12" t="n">
        <f aca="false">IF(O270=0,"",(O270-LEN(SUBSTITUTE(SUBSTITUTE(M270,"G",""),"C","")))/O270)</f>
        <v>0.76</v>
      </c>
      <c r="R270" s="5"/>
      <c r="S270" s="5" t="s">
        <v>342</v>
      </c>
      <c r="T270" s="5"/>
      <c r="U270" s="5" t="s">
        <v>382</v>
      </c>
      <c r="V270" s="5" t="s">
        <v>843</v>
      </c>
      <c r="W270" s="5"/>
      <c r="X270" s="8" t="s">
        <v>393</v>
      </c>
      <c r="Y270" s="5"/>
    </row>
    <row r="271" customFormat="false" ht="15" hidden="false" customHeight="false" outlineLevel="0" collapsed="false">
      <c r="A271" s="5" t="s">
        <v>2594</v>
      </c>
      <c r="B271" s="5" t="s">
        <v>244</v>
      </c>
      <c r="C271" s="5" t="s">
        <v>245</v>
      </c>
      <c r="D271" s="10" t="s">
        <v>229</v>
      </c>
      <c r="E271" s="5" t="n">
        <v>5</v>
      </c>
      <c r="F271" s="5" t="s">
        <v>2595</v>
      </c>
      <c r="G271" s="11" t="s">
        <v>2596</v>
      </c>
      <c r="H271" s="5" t="s">
        <v>2597</v>
      </c>
      <c r="I271" s="11" t="s">
        <v>2598</v>
      </c>
      <c r="J271" s="5" t="s">
        <v>2599</v>
      </c>
      <c r="K271" s="5" t="s">
        <v>2600</v>
      </c>
      <c r="L271" s="11" t="s">
        <v>2601</v>
      </c>
      <c r="M271" s="11" t="s">
        <v>2602</v>
      </c>
      <c r="N271" s="5" t="n">
        <f aca="false">LEN(L271)</f>
        <v>25</v>
      </c>
      <c r="O271" s="5" t="n">
        <f aca="false">LEN(M271)</f>
        <v>25</v>
      </c>
      <c r="P271" s="12" t="n">
        <f aca="false">IF(N271=0,"",(N271-LEN(SUBSTITUTE(SUBSTITUTE(L271,"G",""),"C","")))/N271)</f>
        <v>0.44</v>
      </c>
      <c r="Q271" s="12" t="n">
        <f aca="false">IF(O271=0,"",(O271-LEN(SUBSTITUTE(SUBSTITUTE(M271,"G",""),"C","")))/O271)</f>
        <v>0.6</v>
      </c>
      <c r="R271" s="5"/>
      <c r="S271" s="5" t="s">
        <v>342</v>
      </c>
      <c r="T271" s="5"/>
      <c r="U271" s="5" t="s">
        <v>382</v>
      </c>
      <c r="V271" s="5" t="s">
        <v>843</v>
      </c>
      <c r="W271" s="5"/>
      <c r="X271" s="8" t="s">
        <v>393</v>
      </c>
      <c r="Y271" s="5"/>
    </row>
    <row r="272" customFormat="false" ht="15" hidden="false" customHeight="false" outlineLevel="0" collapsed="false">
      <c r="A272" s="5" t="s">
        <v>2603</v>
      </c>
      <c r="B272" s="5" t="s">
        <v>250</v>
      </c>
      <c r="C272" s="5" t="s">
        <v>251</v>
      </c>
      <c r="D272" s="10" t="s">
        <v>229</v>
      </c>
      <c r="E272" s="5" t="n">
        <v>1</v>
      </c>
      <c r="F272" s="5" t="s">
        <v>2604</v>
      </c>
      <c r="G272" s="11" t="s">
        <v>2605</v>
      </c>
      <c r="H272" s="5" t="s">
        <v>2606</v>
      </c>
      <c r="I272" s="11" t="s">
        <v>2607</v>
      </c>
      <c r="J272" s="5" t="s">
        <v>2608</v>
      </c>
      <c r="K272" s="5" t="s">
        <v>2609</v>
      </c>
      <c r="L272" s="11" t="s">
        <v>2610</v>
      </c>
      <c r="M272" s="11" t="s">
        <v>2611</v>
      </c>
      <c r="N272" s="5" t="n">
        <f aca="false">LEN(L272)</f>
        <v>25</v>
      </c>
      <c r="O272" s="5" t="n">
        <f aca="false">LEN(M272)</f>
        <v>25</v>
      </c>
      <c r="P272" s="12" t="n">
        <f aca="false">IF(N272=0,"",(N272-LEN(SUBSTITUTE(SUBSTITUTE(L272,"G",""),"C","")))/N272)</f>
        <v>0.72</v>
      </c>
      <c r="Q272" s="12" t="n">
        <f aca="false">IF(O272=0,"",(O272-LEN(SUBSTITUTE(SUBSTITUTE(M272,"G",""),"C","")))/O272)</f>
        <v>0.68</v>
      </c>
      <c r="R272" s="5"/>
      <c r="S272" s="5" t="s">
        <v>342</v>
      </c>
      <c r="T272" s="5"/>
      <c r="U272" s="5" t="s">
        <v>343</v>
      </c>
      <c r="V272" s="5" t="s">
        <v>843</v>
      </c>
      <c r="W272" s="5"/>
      <c r="X272" s="13" t="s">
        <v>345</v>
      </c>
      <c r="Y272" s="5"/>
    </row>
    <row r="273" customFormat="false" ht="15" hidden="false" customHeight="false" outlineLevel="0" collapsed="false">
      <c r="A273" s="5" t="s">
        <v>2612</v>
      </c>
      <c r="B273" s="5" t="s">
        <v>250</v>
      </c>
      <c r="C273" s="5" t="s">
        <v>251</v>
      </c>
      <c r="D273" s="10" t="s">
        <v>229</v>
      </c>
      <c r="E273" s="5" t="n">
        <v>2</v>
      </c>
      <c r="F273" s="5" t="s">
        <v>2613</v>
      </c>
      <c r="G273" s="11" t="s">
        <v>2614</v>
      </c>
      <c r="H273" s="5" t="s">
        <v>2615</v>
      </c>
      <c r="I273" s="11" t="s">
        <v>2616</v>
      </c>
      <c r="J273" s="5" t="s">
        <v>2617</v>
      </c>
      <c r="K273" s="5" t="s">
        <v>2618</v>
      </c>
      <c r="L273" s="11" t="s">
        <v>2619</v>
      </c>
      <c r="M273" s="11" t="s">
        <v>2620</v>
      </c>
      <c r="N273" s="5" t="n">
        <f aca="false">LEN(L273)</f>
        <v>25</v>
      </c>
      <c r="O273" s="5" t="n">
        <f aca="false">LEN(M273)</f>
        <v>25</v>
      </c>
      <c r="P273" s="12" t="n">
        <f aca="false">IF(N273=0,"",(N273-LEN(SUBSTITUTE(SUBSTITUTE(L273,"G",""),"C","")))/N273)</f>
        <v>0.68</v>
      </c>
      <c r="Q273" s="12" t="n">
        <f aca="false">IF(O273=0,"",(O273-LEN(SUBSTITUTE(SUBSTITUTE(M273,"G",""),"C","")))/O273)</f>
        <v>0.84</v>
      </c>
      <c r="R273" s="5"/>
      <c r="S273" s="5" t="s">
        <v>342</v>
      </c>
      <c r="T273" s="5"/>
      <c r="U273" s="5" t="s">
        <v>382</v>
      </c>
      <c r="V273" s="5" t="s">
        <v>843</v>
      </c>
      <c r="W273" s="5"/>
      <c r="X273" s="8" t="s">
        <v>488</v>
      </c>
      <c r="Y273" s="5"/>
    </row>
    <row r="274" customFormat="false" ht="15" hidden="false" customHeight="false" outlineLevel="0" collapsed="false">
      <c r="A274" s="5" t="s">
        <v>2621</v>
      </c>
      <c r="B274" s="5" t="s">
        <v>250</v>
      </c>
      <c r="C274" s="5" t="s">
        <v>251</v>
      </c>
      <c r="D274" s="10" t="s">
        <v>229</v>
      </c>
      <c r="E274" s="5" t="n">
        <v>3</v>
      </c>
      <c r="F274" s="5" t="s">
        <v>2622</v>
      </c>
      <c r="G274" s="11" t="s">
        <v>2623</v>
      </c>
      <c r="H274" s="5" t="s">
        <v>2624</v>
      </c>
      <c r="I274" s="11" t="s">
        <v>2625</v>
      </c>
      <c r="J274" s="5" t="s">
        <v>2626</v>
      </c>
      <c r="K274" s="5" t="s">
        <v>2627</v>
      </c>
      <c r="L274" s="11" t="s">
        <v>2628</v>
      </c>
      <c r="M274" s="11" t="s">
        <v>2629</v>
      </c>
      <c r="N274" s="5" t="n">
        <f aca="false">LEN(L274)</f>
        <v>25</v>
      </c>
      <c r="O274" s="5" t="n">
        <f aca="false">LEN(M274)</f>
        <v>25</v>
      </c>
      <c r="P274" s="12" t="n">
        <f aca="false">IF(N274=0,"",(N274-LEN(SUBSTITUTE(SUBSTITUTE(L274,"G",""),"C","")))/N274)</f>
        <v>0.8</v>
      </c>
      <c r="Q274" s="12" t="n">
        <f aca="false">IF(O274=0,"",(O274-LEN(SUBSTITUTE(SUBSTITUTE(M274,"G",""),"C","")))/O274)</f>
        <v>0.72</v>
      </c>
      <c r="R274" s="5"/>
      <c r="S274" s="5" t="s">
        <v>342</v>
      </c>
      <c r="T274" s="5"/>
      <c r="U274" s="5" t="s">
        <v>343</v>
      </c>
      <c r="V274" s="5" t="s">
        <v>843</v>
      </c>
      <c r="W274" s="5"/>
      <c r="X274" s="13" t="s">
        <v>345</v>
      </c>
      <c r="Y274" s="5"/>
    </row>
    <row r="275" customFormat="false" ht="15" hidden="false" customHeight="false" outlineLevel="0" collapsed="false">
      <c r="A275" s="5" t="s">
        <v>2630</v>
      </c>
      <c r="B275" s="5" t="s">
        <v>250</v>
      </c>
      <c r="C275" s="5" t="s">
        <v>251</v>
      </c>
      <c r="D275" s="10" t="s">
        <v>229</v>
      </c>
      <c r="E275" s="5" t="n">
        <v>4</v>
      </c>
      <c r="F275" s="5" t="s">
        <v>2631</v>
      </c>
      <c r="G275" s="11" t="s">
        <v>2632</v>
      </c>
      <c r="H275" s="5" t="s">
        <v>2633</v>
      </c>
      <c r="I275" s="11" t="s">
        <v>2634</v>
      </c>
      <c r="J275" s="5" t="s">
        <v>2635</v>
      </c>
      <c r="K275" s="5" t="s">
        <v>2636</v>
      </c>
      <c r="L275" s="11" t="s">
        <v>2637</v>
      </c>
      <c r="M275" s="11" t="s">
        <v>2638</v>
      </c>
      <c r="N275" s="5" t="n">
        <f aca="false">LEN(L275)</f>
        <v>25</v>
      </c>
      <c r="O275" s="5" t="n">
        <f aca="false">LEN(M275)</f>
        <v>25</v>
      </c>
      <c r="P275" s="12" t="n">
        <f aca="false">IF(N275=0,"",(N275-LEN(SUBSTITUTE(SUBSTITUTE(L275,"G",""),"C","")))/N275)</f>
        <v>0.76</v>
      </c>
      <c r="Q275" s="12" t="n">
        <f aca="false">IF(O275=0,"",(O275-LEN(SUBSTITUTE(SUBSTITUTE(M275,"G",""),"C","")))/O275)</f>
        <v>0.92</v>
      </c>
      <c r="R275" s="5"/>
      <c r="S275" s="5" t="s">
        <v>342</v>
      </c>
      <c r="T275" s="5"/>
      <c r="U275" s="5" t="s">
        <v>382</v>
      </c>
      <c r="V275" s="5" t="s">
        <v>843</v>
      </c>
      <c r="W275" s="5"/>
      <c r="X275" s="8" t="s">
        <v>393</v>
      </c>
      <c r="Y275" s="5"/>
    </row>
    <row r="276" customFormat="false" ht="15" hidden="false" customHeight="false" outlineLevel="0" collapsed="false">
      <c r="A276" s="5" t="s">
        <v>2639</v>
      </c>
      <c r="B276" s="5" t="s">
        <v>256</v>
      </c>
      <c r="C276" s="5" t="s">
        <v>257</v>
      </c>
      <c r="D276" s="10" t="s">
        <v>229</v>
      </c>
      <c r="E276" s="5" t="n">
        <v>1</v>
      </c>
      <c r="F276" s="5" t="s">
        <v>2640</v>
      </c>
      <c r="G276" s="11" t="s">
        <v>2641</v>
      </c>
      <c r="H276" s="5" t="s">
        <v>2642</v>
      </c>
      <c r="I276" s="11" t="s">
        <v>2643</v>
      </c>
      <c r="J276" s="5" t="s">
        <v>2644</v>
      </c>
      <c r="K276" s="5" t="s">
        <v>2645</v>
      </c>
      <c r="L276" s="11" t="s">
        <v>2646</v>
      </c>
      <c r="M276" s="11" t="s">
        <v>2647</v>
      </c>
      <c r="N276" s="5" t="n">
        <f aca="false">LEN(L276)</f>
        <v>25</v>
      </c>
      <c r="O276" s="5" t="n">
        <f aca="false">LEN(M276)</f>
        <v>25</v>
      </c>
      <c r="P276" s="12" t="n">
        <f aca="false">IF(N276=0,"",(N276-LEN(SUBSTITUTE(SUBSTITUTE(L276,"G",""),"C","")))/N276)</f>
        <v>0.24</v>
      </c>
      <c r="Q276" s="12" t="n">
        <f aca="false">IF(O276=0,"",(O276-LEN(SUBSTITUTE(SUBSTITUTE(M276,"G",""),"C","")))/O276)</f>
        <v>0.28</v>
      </c>
      <c r="R276" s="5"/>
      <c r="S276" s="5" t="s">
        <v>342</v>
      </c>
      <c r="T276" s="5"/>
      <c r="U276" s="5" t="s">
        <v>382</v>
      </c>
      <c r="V276" s="5" t="s">
        <v>1069</v>
      </c>
      <c r="W276" s="5"/>
      <c r="X276" s="8" t="s">
        <v>383</v>
      </c>
      <c r="Y276" s="5"/>
    </row>
    <row r="277" customFormat="false" ht="15" hidden="false" customHeight="false" outlineLevel="0" collapsed="false">
      <c r="A277" s="5" t="s">
        <v>2648</v>
      </c>
      <c r="B277" s="5" t="s">
        <v>256</v>
      </c>
      <c r="C277" s="5" t="s">
        <v>257</v>
      </c>
      <c r="D277" s="10" t="s">
        <v>229</v>
      </c>
      <c r="E277" s="5" t="n">
        <v>2</v>
      </c>
      <c r="F277" s="5" t="s">
        <v>2649</v>
      </c>
      <c r="G277" s="11" t="s">
        <v>2650</v>
      </c>
      <c r="H277" s="5" t="s">
        <v>2651</v>
      </c>
      <c r="I277" s="11" t="s">
        <v>2652</v>
      </c>
      <c r="J277" s="5" t="s">
        <v>2653</v>
      </c>
      <c r="K277" s="5" t="s">
        <v>2654</v>
      </c>
      <c r="L277" s="11" t="s">
        <v>2655</v>
      </c>
      <c r="M277" s="11" t="s">
        <v>2656</v>
      </c>
      <c r="N277" s="5" t="n">
        <f aca="false">LEN(L277)</f>
        <v>25</v>
      </c>
      <c r="O277" s="5" t="n">
        <f aca="false">LEN(M277)</f>
        <v>25</v>
      </c>
      <c r="P277" s="12" t="n">
        <f aca="false">IF(N277=0,"",(N277-LEN(SUBSTITUTE(SUBSTITUTE(L277,"G",""),"C","")))/N277)</f>
        <v>0.4</v>
      </c>
      <c r="Q277" s="12" t="n">
        <f aca="false">IF(O277=0,"",(O277-LEN(SUBSTITUTE(SUBSTITUTE(M277,"G",""),"C","")))/O277)</f>
        <v>0.52</v>
      </c>
      <c r="R277" s="5"/>
      <c r="S277" s="5" t="s">
        <v>342</v>
      </c>
      <c r="T277" s="5"/>
      <c r="U277" s="5" t="s">
        <v>382</v>
      </c>
      <c r="V277" s="5" t="s">
        <v>1069</v>
      </c>
      <c r="W277" s="5"/>
      <c r="X277" s="8" t="s">
        <v>383</v>
      </c>
      <c r="Y277" s="5"/>
    </row>
    <row r="278" customFormat="false" ht="15" hidden="false" customHeight="false" outlineLevel="0" collapsed="false">
      <c r="A278" s="5" t="s">
        <v>2657</v>
      </c>
      <c r="B278" s="5" t="s">
        <v>256</v>
      </c>
      <c r="C278" s="5" t="s">
        <v>257</v>
      </c>
      <c r="D278" s="10" t="s">
        <v>229</v>
      </c>
      <c r="E278" s="5" t="n">
        <v>3</v>
      </c>
      <c r="F278" s="5" t="s">
        <v>2658</v>
      </c>
      <c r="G278" s="11" t="s">
        <v>2659</v>
      </c>
      <c r="H278" s="5" t="s">
        <v>2660</v>
      </c>
      <c r="I278" s="11" t="s">
        <v>2661</v>
      </c>
      <c r="J278" s="5" t="s">
        <v>2662</v>
      </c>
      <c r="K278" s="5" t="s">
        <v>2663</v>
      </c>
      <c r="L278" s="11" t="s">
        <v>2664</v>
      </c>
      <c r="M278" s="11" t="s">
        <v>2665</v>
      </c>
      <c r="N278" s="5" t="n">
        <f aca="false">LEN(L278)</f>
        <v>25</v>
      </c>
      <c r="O278" s="5" t="n">
        <f aca="false">LEN(M278)</f>
        <v>25</v>
      </c>
      <c r="P278" s="12" t="n">
        <f aca="false">IF(N278=0,"",(N278-LEN(SUBSTITUTE(SUBSTITUTE(L278,"G",""),"C","")))/N278)</f>
        <v>0.48</v>
      </c>
      <c r="Q278" s="12" t="n">
        <f aca="false">IF(O278=0,"",(O278-LEN(SUBSTITUTE(SUBSTITUTE(M278,"G",""),"C","")))/O278)</f>
        <v>0.48</v>
      </c>
      <c r="R278" s="5"/>
      <c r="S278" s="5" t="s">
        <v>342</v>
      </c>
      <c r="T278" s="5"/>
      <c r="U278" s="5" t="s">
        <v>382</v>
      </c>
      <c r="V278" s="5" t="s">
        <v>1069</v>
      </c>
      <c r="W278" s="5"/>
      <c r="X278" s="8" t="s">
        <v>383</v>
      </c>
      <c r="Y278" s="5"/>
    </row>
    <row r="279" customFormat="false" ht="15" hidden="false" customHeight="false" outlineLevel="0" collapsed="false">
      <c r="A279" s="5" t="s">
        <v>2666</v>
      </c>
      <c r="B279" s="5" t="s">
        <v>256</v>
      </c>
      <c r="C279" s="5" t="s">
        <v>257</v>
      </c>
      <c r="D279" s="10" t="s">
        <v>229</v>
      </c>
      <c r="E279" s="5" t="n">
        <v>4</v>
      </c>
      <c r="F279" s="5" t="s">
        <v>2667</v>
      </c>
      <c r="G279" s="11" t="s">
        <v>2668</v>
      </c>
      <c r="H279" s="5" t="s">
        <v>2669</v>
      </c>
      <c r="I279" s="11" t="s">
        <v>2670</v>
      </c>
      <c r="J279" s="5" t="s">
        <v>2671</v>
      </c>
      <c r="K279" s="5" t="s">
        <v>2672</v>
      </c>
      <c r="L279" s="11" t="s">
        <v>2673</v>
      </c>
      <c r="M279" s="11" t="s">
        <v>2674</v>
      </c>
      <c r="N279" s="5" t="n">
        <f aca="false">LEN(L279)</f>
        <v>25</v>
      </c>
      <c r="O279" s="5" t="n">
        <f aca="false">LEN(M279)</f>
        <v>25</v>
      </c>
      <c r="P279" s="12" t="n">
        <f aca="false">IF(N279=0,"",(N279-LEN(SUBSTITUTE(SUBSTITUTE(L279,"G",""),"C","")))/N279)</f>
        <v>0.48</v>
      </c>
      <c r="Q279" s="12" t="n">
        <f aca="false">IF(O279=0,"",(O279-LEN(SUBSTITUTE(SUBSTITUTE(M279,"G",""),"C","")))/O279)</f>
        <v>0.6</v>
      </c>
      <c r="R279" s="5"/>
      <c r="S279" s="5" t="s">
        <v>342</v>
      </c>
      <c r="T279" s="5"/>
      <c r="U279" s="5" t="s">
        <v>382</v>
      </c>
      <c r="V279" s="5" t="s">
        <v>1069</v>
      </c>
      <c r="W279" s="5"/>
      <c r="X279" s="8" t="s">
        <v>383</v>
      </c>
      <c r="Y279" s="5"/>
    </row>
    <row r="280" customFormat="false" ht="15" hidden="false" customHeight="false" outlineLevel="0" collapsed="false">
      <c r="A280" s="5" t="s">
        <v>2675</v>
      </c>
      <c r="B280" s="5" t="s">
        <v>256</v>
      </c>
      <c r="C280" s="5" t="s">
        <v>257</v>
      </c>
      <c r="D280" s="10" t="s">
        <v>229</v>
      </c>
      <c r="E280" s="5" t="n">
        <v>5</v>
      </c>
      <c r="F280" s="5" t="s">
        <v>2676</v>
      </c>
      <c r="G280" s="11" t="s">
        <v>2677</v>
      </c>
      <c r="H280" s="5" t="s">
        <v>2678</v>
      </c>
      <c r="I280" s="11" t="s">
        <v>2679</v>
      </c>
      <c r="J280" s="5" t="s">
        <v>2680</v>
      </c>
      <c r="K280" s="5" t="s">
        <v>2681</v>
      </c>
      <c r="L280" s="11" t="s">
        <v>2682</v>
      </c>
      <c r="M280" s="11" t="s">
        <v>2683</v>
      </c>
      <c r="N280" s="5" t="n">
        <f aca="false">LEN(L280)</f>
        <v>25</v>
      </c>
      <c r="O280" s="5" t="n">
        <f aca="false">LEN(M280)</f>
        <v>25</v>
      </c>
      <c r="P280" s="12" t="n">
        <f aca="false">IF(N280=0,"",(N280-LEN(SUBSTITUTE(SUBSTITUTE(L280,"G",""),"C","")))/N280)</f>
        <v>0.64</v>
      </c>
      <c r="Q280" s="12" t="n">
        <f aca="false">IF(O280=0,"",(O280-LEN(SUBSTITUTE(SUBSTITUTE(M280,"G",""),"C","")))/O280)</f>
        <v>0.68</v>
      </c>
      <c r="R280" s="5"/>
      <c r="S280" s="5" t="s">
        <v>342</v>
      </c>
      <c r="T280" s="5"/>
      <c r="U280" s="5" t="s">
        <v>382</v>
      </c>
      <c r="V280" s="5" t="s">
        <v>1069</v>
      </c>
      <c r="W280" s="5"/>
      <c r="X280" s="8" t="s">
        <v>383</v>
      </c>
      <c r="Y280" s="5"/>
    </row>
    <row r="281" customFormat="false" ht="15" hidden="false" customHeight="false" outlineLevel="0" collapsed="false">
      <c r="A281" s="5" t="s">
        <v>2684</v>
      </c>
      <c r="B281" s="5" t="s">
        <v>256</v>
      </c>
      <c r="C281" s="5" t="s">
        <v>257</v>
      </c>
      <c r="D281" s="10" t="s">
        <v>229</v>
      </c>
      <c r="E281" s="5" t="n">
        <v>6</v>
      </c>
      <c r="F281" s="5" t="s">
        <v>2685</v>
      </c>
      <c r="G281" s="11" t="s">
        <v>2686</v>
      </c>
      <c r="H281" s="5" t="s">
        <v>2687</v>
      </c>
      <c r="I281" s="11" t="s">
        <v>2688</v>
      </c>
      <c r="J281" s="5" t="s">
        <v>2689</v>
      </c>
      <c r="K281" s="5" t="s">
        <v>2690</v>
      </c>
      <c r="L281" s="11" t="s">
        <v>2691</v>
      </c>
      <c r="M281" s="11" t="s">
        <v>2692</v>
      </c>
      <c r="N281" s="5" t="n">
        <f aca="false">LEN(L281)</f>
        <v>25</v>
      </c>
      <c r="O281" s="5" t="n">
        <f aca="false">LEN(M281)</f>
        <v>25</v>
      </c>
      <c r="P281" s="12" t="n">
        <f aca="false">IF(N281=0,"",(N281-LEN(SUBSTITUTE(SUBSTITUTE(L281,"G",""),"C","")))/N281)</f>
        <v>0.36</v>
      </c>
      <c r="Q281" s="12" t="n">
        <f aca="false">IF(O281=0,"",(O281-LEN(SUBSTITUTE(SUBSTITUTE(M281,"G",""),"C","")))/O281)</f>
        <v>0.56</v>
      </c>
      <c r="R281" s="5"/>
      <c r="S281" s="5" t="s">
        <v>342</v>
      </c>
      <c r="T281" s="5"/>
      <c r="U281" s="5" t="s">
        <v>382</v>
      </c>
      <c r="V281" s="5" t="s">
        <v>1069</v>
      </c>
      <c r="W281" s="5"/>
      <c r="X281" s="8" t="s">
        <v>383</v>
      </c>
      <c r="Y281" s="5"/>
    </row>
    <row r="282" customFormat="false" ht="15" hidden="false" customHeight="false" outlineLevel="0" collapsed="false">
      <c r="A282" s="5" t="s">
        <v>2693</v>
      </c>
      <c r="B282" s="5" t="s">
        <v>258</v>
      </c>
      <c r="C282" s="5" t="s">
        <v>259</v>
      </c>
      <c r="D282" s="10" t="s">
        <v>229</v>
      </c>
      <c r="E282" s="5" t="n">
        <v>1</v>
      </c>
      <c r="F282" s="5" t="s">
        <v>2694</v>
      </c>
      <c r="G282" s="11" t="s">
        <v>2695</v>
      </c>
      <c r="H282" s="5" t="s">
        <v>2696</v>
      </c>
      <c r="I282" s="11" t="s">
        <v>2697</v>
      </c>
      <c r="J282" s="5" t="s">
        <v>2698</v>
      </c>
      <c r="K282" s="5" t="s">
        <v>2699</v>
      </c>
      <c r="L282" s="11" t="s">
        <v>2700</v>
      </c>
      <c r="M282" s="11" t="s">
        <v>2701</v>
      </c>
      <c r="N282" s="5" t="n">
        <f aca="false">LEN(L282)</f>
        <v>25</v>
      </c>
      <c r="O282" s="5" t="n">
        <f aca="false">LEN(M282)</f>
        <v>25</v>
      </c>
      <c r="P282" s="12" t="n">
        <f aca="false">IF(N282=0,"",(N282-LEN(SUBSTITUTE(SUBSTITUTE(L282,"G",""),"C","")))/N282)</f>
        <v>0.76</v>
      </c>
      <c r="Q282" s="12" t="n">
        <f aca="false">IF(O282=0,"",(O282-LEN(SUBSTITUTE(SUBSTITUTE(M282,"G",""),"C","")))/O282)</f>
        <v>0.72</v>
      </c>
      <c r="R282" s="5"/>
      <c r="S282" s="5" t="s">
        <v>342</v>
      </c>
      <c r="T282" s="5"/>
      <c r="U282" s="5" t="s">
        <v>382</v>
      </c>
      <c r="V282" s="5" t="s">
        <v>2102</v>
      </c>
      <c r="W282" s="5"/>
      <c r="X282" s="8" t="s">
        <v>383</v>
      </c>
      <c r="Y282" s="5"/>
    </row>
    <row r="283" customFormat="false" ht="15" hidden="false" customHeight="false" outlineLevel="0" collapsed="false">
      <c r="A283" s="5" t="s">
        <v>2702</v>
      </c>
      <c r="B283" s="5" t="s">
        <v>258</v>
      </c>
      <c r="C283" s="5" t="s">
        <v>259</v>
      </c>
      <c r="D283" s="10" t="s">
        <v>229</v>
      </c>
      <c r="E283" s="5" t="n">
        <v>2</v>
      </c>
      <c r="F283" s="5" t="s">
        <v>2703</v>
      </c>
      <c r="G283" s="11" t="s">
        <v>2704</v>
      </c>
      <c r="H283" s="5" t="s">
        <v>2705</v>
      </c>
      <c r="I283" s="11" t="s">
        <v>2706</v>
      </c>
      <c r="J283" s="5" t="s">
        <v>2707</v>
      </c>
      <c r="K283" s="5" t="s">
        <v>2708</v>
      </c>
      <c r="L283" s="11" t="s">
        <v>2709</v>
      </c>
      <c r="M283" s="11" t="s">
        <v>2710</v>
      </c>
      <c r="N283" s="5" t="n">
        <f aca="false">LEN(L283)</f>
        <v>25</v>
      </c>
      <c r="O283" s="5" t="n">
        <f aca="false">LEN(M283)</f>
        <v>25</v>
      </c>
      <c r="P283" s="12" t="n">
        <f aca="false">IF(N283=0,"",(N283-LEN(SUBSTITUTE(SUBSTITUTE(L283,"G",""),"C","")))/N283)</f>
        <v>0.72</v>
      </c>
      <c r="Q283" s="12" t="n">
        <f aca="false">IF(O283=0,"",(O283-LEN(SUBSTITUTE(SUBSTITUTE(M283,"G",""),"C","")))/O283)</f>
        <v>0.84</v>
      </c>
      <c r="R283" s="5"/>
      <c r="S283" s="5" t="s">
        <v>342</v>
      </c>
      <c r="T283" s="5"/>
      <c r="U283" s="5" t="s">
        <v>382</v>
      </c>
      <c r="V283" s="5" t="s">
        <v>2102</v>
      </c>
      <c r="W283" s="5"/>
      <c r="X283" s="8" t="s">
        <v>383</v>
      </c>
      <c r="Y283" s="5"/>
    </row>
    <row r="284" customFormat="false" ht="15" hidden="false" customHeight="false" outlineLevel="0" collapsed="false">
      <c r="A284" s="5" t="s">
        <v>2711</v>
      </c>
      <c r="B284" s="5" t="s">
        <v>258</v>
      </c>
      <c r="C284" s="5" t="s">
        <v>259</v>
      </c>
      <c r="D284" s="10" t="s">
        <v>229</v>
      </c>
      <c r="E284" s="5" t="n">
        <v>3</v>
      </c>
      <c r="F284" s="5" t="s">
        <v>2712</v>
      </c>
      <c r="G284" s="11" t="s">
        <v>2713</v>
      </c>
      <c r="H284" s="5" t="s">
        <v>2714</v>
      </c>
      <c r="I284" s="11" t="s">
        <v>2715</v>
      </c>
      <c r="J284" s="5" t="s">
        <v>2716</v>
      </c>
      <c r="K284" s="5" t="s">
        <v>2717</v>
      </c>
      <c r="L284" s="11" t="s">
        <v>2718</v>
      </c>
      <c r="M284" s="11" t="s">
        <v>2719</v>
      </c>
      <c r="N284" s="5" t="n">
        <f aca="false">LEN(L284)</f>
        <v>25</v>
      </c>
      <c r="O284" s="5" t="n">
        <f aca="false">LEN(M284)</f>
        <v>25</v>
      </c>
      <c r="P284" s="12" t="n">
        <f aca="false">IF(N284=0,"",(N284-LEN(SUBSTITUTE(SUBSTITUTE(L284,"G",""),"C","")))/N284)</f>
        <v>0.68</v>
      </c>
      <c r="Q284" s="12" t="n">
        <f aca="false">IF(O284=0,"",(O284-LEN(SUBSTITUTE(SUBSTITUTE(M284,"G",""),"C","")))/O284)</f>
        <v>0.76</v>
      </c>
      <c r="R284" s="5"/>
      <c r="S284" s="5" t="s">
        <v>342</v>
      </c>
      <c r="T284" s="5"/>
      <c r="U284" s="5" t="s">
        <v>382</v>
      </c>
      <c r="V284" s="5" t="s">
        <v>2102</v>
      </c>
      <c r="W284" s="5"/>
      <c r="X284" s="8" t="s">
        <v>383</v>
      </c>
      <c r="Y284" s="5"/>
    </row>
    <row r="285" customFormat="false" ht="15" hidden="false" customHeight="false" outlineLevel="0" collapsed="false">
      <c r="A285" s="5" t="s">
        <v>2720</v>
      </c>
      <c r="B285" s="5" t="s">
        <v>258</v>
      </c>
      <c r="C285" s="5" t="s">
        <v>259</v>
      </c>
      <c r="D285" s="10" t="s">
        <v>229</v>
      </c>
      <c r="E285" s="5" t="n">
        <v>4</v>
      </c>
      <c r="F285" s="5" t="s">
        <v>2721</v>
      </c>
      <c r="G285" s="11" t="s">
        <v>2722</v>
      </c>
      <c r="H285" s="5" t="s">
        <v>2723</v>
      </c>
      <c r="I285" s="11" t="s">
        <v>2724</v>
      </c>
      <c r="J285" s="5" t="s">
        <v>2725</v>
      </c>
      <c r="K285" s="5" t="s">
        <v>2726</v>
      </c>
      <c r="L285" s="11" t="s">
        <v>2727</v>
      </c>
      <c r="M285" s="11" t="s">
        <v>2728</v>
      </c>
      <c r="N285" s="5" t="n">
        <f aca="false">LEN(L285)</f>
        <v>25</v>
      </c>
      <c r="O285" s="5" t="n">
        <f aca="false">LEN(M285)</f>
        <v>25</v>
      </c>
      <c r="P285" s="12" t="n">
        <f aca="false">IF(N285=0,"",(N285-LEN(SUBSTITUTE(SUBSTITUTE(L285,"G",""),"C","")))/N285)</f>
        <v>0.88</v>
      </c>
      <c r="Q285" s="12" t="n">
        <f aca="false">IF(O285=0,"",(O285-LEN(SUBSTITUTE(SUBSTITUTE(M285,"G",""),"C","")))/O285)</f>
        <v>0.84</v>
      </c>
      <c r="R285" s="5"/>
      <c r="S285" s="5" t="s">
        <v>342</v>
      </c>
      <c r="T285" s="5"/>
      <c r="U285" s="5" t="s">
        <v>382</v>
      </c>
      <c r="V285" s="5" t="s">
        <v>2102</v>
      </c>
      <c r="W285" s="5"/>
      <c r="X285" s="8" t="s">
        <v>383</v>
      </c>
      <c r="Y285" s="5"/>
    </row>
    <row r="286" customFormat="false" ht="15" hidden="false" customHeight="false" outlineLevel="0" collapsed="false">
      <c r="A286" s="5" t="s">
        <v>2729</v>
      </c>
      <c r="B286" s="5" t="s">
        <v>260</v>
      </c>
      <c r="C286" s="5" t="s">
        <v>261</v>
      </c>
      <c r="D286" s="10" t="s">
        <v>229</v>
      </c>
      <c r="E286" s="5" t="n">
        <v>1</v>
      </c>
      <c r="F286" s="5" t="s">
        <v>2730</v>
      </c>
      <c r="G286" s="11" t="s">
        <v>2731</v>
      </c>
      <c r="H286" s="5" t="s">
        <v>2732</v>
      </c>
      <c r="I286" s="11" t="s">
        <v>2733</v>
      </c>
      <c r="J286" s="5" t="s">
        <v>2734</v>
      </c>
      <c r="K286" s="5" t="s">
        <v>2735</v>
      </c>
      <c r="L286" s="11" t="s">
        <v>2736</v>
      </c>
      <c r="M286" s="11" t="s">
        <v>2737</v>
      </c>
      <c r="N286" s="5" t="n">
        <f aca="false">LEN(L286)</f>
        <v>25</v>
      </c>
      <c r="O286" s="5" t="n">
        <f aca="false">LEN(M286)</f>
        <v>25</v>
      </c>
      <c r="P286" s="12" t="n">
        <f aca="false">IF(N286=0,"",(N286-LEN(SUBSTITUTE(SUBSTITUTE(L286,"G",""),"C","")))/N286)</f>
        <v>0.32</v>
      </c>
      <c r="Q286" s="12" t="n">
        <f aca="false">IF(O286=0,"",(O286-LEN(SUBSTITUTE(SUBSTITUTE(M286,"G",""),"C","")))/O286)</f>
        <v>0.44</v>
      </c>
      <c r="R286" s="5"/>
      <c r="S286" s="5" t="s">
        <v>342</v>
      </c>
      <c r="T286" s="5"/>
      <c r="U286" s="5" t="s">
        <v>343</v>
      </c>
      <c r="V286" s="5" t="s">
        <v>401</v>
      </c>
      <c r="W286" s="5"/>
      <c r="X286" s="13" t="s">
        <v>345</v>
      </c>
      <c r="Y286" s="5"/>
    </row>
    <row r="287" customFormat="false" ht="15" hidden="false" customHeight="false" outlineLevel="0" collapsed="false">
      <c r="A287" s="5" t="s">
        <v>2738</v>
      </c>
      <c r="B287" s="5" t="s">
        <v>260</v>
      </c>
      <c r="C287" s="5" t="s">
        <v>261</v>
      </c>
      <c r="D287" s="10" t="s">
        <v>229</v>
      </c>
      <c r="E287" s="5" t="n">
        <v>2</v>
      </c>
      <c r="F287" s="5" t="s">
        <v>2739</v>
      </c>
      <c r="G287" s="11" t="s">
        <v>2740</v>
      </c>
      <c r="H287" s="5" t="s">
        <v>2741</v>
      </c>
      <c r="I287" s="11" t="s">
        <v>2742</v>
      </c>
      <c r="J287" s="5" t="s">
        <v>2743</v>
      </c>
      <c r="K287" s="5" t="s">
        <v>2744</v>
      </c>
      <c r="L287" s="11" t="s">
        <v>2745</v>
      </c>
      <c r="M287" s="11" t="s">
        <v>2746</v>
      </c>
      <c r="N287" s="5" t="n">
        <f aca="false">LEN(L287)</f>
        <v>25</v>
      </c>
      <c r="O287" s="5" t="n">
        <f aca="false">LEN(M287)</f>
        <v>25</v>
      </c>
      <c r="P287" s="12" t="n">
        <f aca="false">IF(N287=0,"",(N287-LEN(SUBSTITUTE(SUBSTITUTE(L287,"G",""),"C","")))/N287)</f>
        <v>0.4</v>
      </c>
      <c r="Q287" s="12" t="n">
        <f aca="false">IF(O287=0,"",(O287-LEN(SUBSTITUTE(SUBSTITUTE(M287,"G",""),"C","")))/O287)</f>
        <v>0.4</v>
      </c>
      <c r="R287" s="5"/>
      <c r="S287" s="5" t="s">
        <v>342</v>
      </c>
      <c r="T287" s="5"/>
      <c r="U287" s="5" t="s">
        <v>343</v>
      </c>
      <c r="V287" s="5" t="s">
        <v>401</v>
      </c>
      <c r="W287" s="5"/>
      <c r="X287" s="13" t="s">
        <v>345</v>
      </c>
      <c r="Y287" s="5"/>
    </row>
    <row r="288" customFormat="false" ht="15" hidden="false" customHeight="false" outlineLevel="0" collapsed="false">
      <c r="A288" s="5" t="s">
        <v>2747</v>
      </c>
      <c r="B288" s="5" t="s">
        <v>260</v>
      </c>
      <c r="C288" s="5" t="s">
        <v>261</v>
      </c>
      <c r="D288" s="10" t="s">
        <v>229</v>
      </c>
      <c r="E288" s="5" t="n">
        <v>3</v>
      </c>
      <c r="F288" s="5" t="s">
        <v>2748</v>
      </c>
      <c r="G288" s="11" t="s">
        <v>2749</v>
      </c>
      <c r="H288" s="5" t="s">
        <v>2750</v>
      </c>
      <c r="I288" s="11" t="s">
        <v>2751</v>
      </c>
      <c r="J288" s="5" t="s">
        <v>2752</v>
      </c>
      <c r="K288" s="5" t="s">
        <v>2753</v>
      </c>
      <c r="L288" s="11" t="s">
        <v>2754</v>
      </c>
      <c r="M288" s="11" t="s">
        <v>2755</v>
      </c>
      <c r="N288" s="5" t="n">
        <f aca="false">LEN(L288)</f>
        <v>25</v>
      </c>
      <c r="O288" s="5" t="n">
        <f aca="false">LEN(M288)</f>
        <v>25</v>
      </c>
      <c r="P288" s="12" t="n">
        <f aca="false">IF(N288=0,"",(N288-LEN(SUBSTITUTE(SUBSTITUTE(L288,"G",""),"C","")))/N288)</f>
        <v>0.48</v>
      </c>
      <c r="Q288" s="12" t="n">
        <f aca="false">IF(O288=0,"",(O288-LEN(SUBSTITUTE(SUBSTITUTE(M288,"G",""),"C","")))/O288)</f>
        <v>0.4</v>
      </c>
      <c r="R288" s="5"/>
      <c r="S288" s="5" t="s">
        <v>342</v>
      </c>
      <c r="T288" s="5"/>
      <c r="U288" s="5" t="s">
        <v>343</v>
      </c>
      <c r="V288" s="5" t="s">
        <v>401</v>
      </c>
      <c r="W288" s="5"/>
      <c r="X288" s="13" t="s">
        <v>345</v>
      </c>
      <c r="Y288" s="5"/>
    </row>
    <row r="289" customFormat="false" ht="15" hidden="false" customHeight="false" outlineLevel="0" collapsed="false">
      <c r="A289" s="5" t="s">
        <v>2756</v>
      </c>
      <c r="B289" s="5" t="s">
        <v>260</v>
      </c>
      <c r="C289" s="5" t="s">
        <v>261</v>
      </c>
      <c r="D289" s="10" t="s">
        <v>229</v>
      </c>
      <c r="E289" s="5" t="n">
        <v>4</v>
      </c>
      <c r="F289" s="5" t="s">
        <v>2757</v>
      </c>
      <c r="G289" s="11" t="s">
        <v>2758</v>
      </c>
      <c r="H289" s="5" t="s">
        <v>2759</v>
      </c>
      <c r="I289" s="11" t="s">
        <v>2760</v>
      </c>
      <c r="J289" s="5" t="s">
        <v>2761</v>
      </c>
      <c r="K289" s="5" t="s">
        <v>2762</v>
      </c>
      <c r="L289" s="11" t="s">
        <v>2763</v>
      </c>
      <c r="M289" s="11" t="s">
        <v>2764</v>
      </c>
      <c r="N289" s="5" t="n">
        <f aca="false">LEN(L289)</f>
        <v>25</v>
      </c>
      <c r="O289" s="5" t="n">
        <f aca="false">LEN(M289)</f>
        <v>25</v>
      </c>
      <c r="P289" s="12" t="n">
        <f aca="false">IF(N289=0,"",(N289-LEN(SUBSTITUTE(SUBSTITUTE(L289,"G",""),"C","")))/N289)</f>
        <v>0.32</v>
      </c>
      <c r="Q289" s="12" t="n">
        <f aca="false">IF(O289=0,"",(O289-LEN(SUBSTITUTE(SUBSTITUTE(M289,"G",""),"C","")))/O289)</f>
        <v>0.64</v>
      </c>
      <c r="R289" s="5"/>
      <c r="S289" s="5" t="s">
        <v>342</v>
      </c>
      <c r="T289" s="5"/>
      <c r="U289" s="5" t="s">
        <v>343</v>
      </c>
      <c r="V289" s="5" t="s">
        <v>401</v>
      </c>
      <c r="W289" s="5"/>
      <c r="X289" s="13" t="s">
        <v>345</v>
      </c>
      <c r="Y289" s="5"/>
    </row>
    <row r="290" customFormat="false" ht="15" hidden="false" customHeight="false" outlineLevel="0" collapsed="false">
      <c r="A290" s="5" t="s">
        <v>2765</v>
      </c>
      <c r="B290" s="5" t="s">
        <v>260</v>
      </c>
      <c r="C290" s="5" t="s">
        <v>261</v>
      </c>
      <c r="D290" s="10" t="s">
        <v>229</v>
      </c>
      <c r="E290" s="5" t="n">
        <v>5</v>
      </c>
      <c r="F290" s="5" t="s">
        <v>2766</v>
      </c>
      <c r="G290" s="11" t="s">
        <v>2767</v>
      </c>
      <c r="H290" s="5" t="s">
        <v>2768</v>
      </c>
      <c r="I290" s="11" t="s">
        <v>2769</v>
      </c>
      <c r="J290" s="5" t="s">
        <v>2770</v>
      </c>
      <c r="K290" s="5" t="s">
        <v>2771</v>
      </c>
      <c r="L290" s="11" t="s">
        <v>2772</v>
      </c>
      <c r="M290" s="11" t="s">
        <v>2773</v>
      </c>
      <c r="N290" s="5" t="n">
        <f aca="false">LEN(L290)</f>
        <v>25</v>
      </c>
      <c r="O290" s="5" t="n">
        <f aca="false">LEN(M290)</f>
        <v>25</v>
      </c>
      <c r="P290" s="12" t="n">
        <f aca="false">IF(N290=0,"",(N290-LEN(SUBSTITUTE(SUBSTITUTE(L290,"G",""),"C","")))/N290)</f>
        <v>0.24</v>
      </c>
      <c r="Q290" s="12" t="n">
        <f aca="false">IF(O290=0,"",(O290-LEN(SUBSTITUTE(SUBSTITUTE(M290,"G",""),"C","")))/O290)</f>
        <v>0.4</v>
      </c>
      <c r="R290" s="5"/>
      <c r="S290" s="5" t="s">
        <v>342</v>
      </c>
      <c r="T290" s="5"/>
      <c r="U290" s="5" t="s">
        <v>343</v>
      </c>
      <c r="V290" s="5" t="s">
        <v>401</v>
      </c>
      <c r="W290" s="5"/>
      <c r="X290" s="13" t="s">
        <v>345</v>
      </c>
      <c r="Y290" s="5"/>
    </row>
    <row r="291" customFormat="false" ht="15" hidden="false" customHeight="false" outlineLevel="0" collapsed="false">
      <c r="A291" s="5" t="s">
        <v>2774</v>
      </c>
      <c r="B291" s="5" t="s">
        <v>260</v>
      </c>
      <c r="C291" s="5" t="s">
        <v>261</v>
      </c>
      <c r="D291" s="10" t="s">
        <v>229</v>
      </c>
      <c r="E291" s="5" t="n">
        <v>6</v>
      </c>
      <c r="F291" s="5" t="s">
        <v>2775</v>
      </c>
      <c r="G291" s="11" t="s">
        <v>2776</v>
      </c>
      <c r="H291" s="5" t="s">
        <v>2777</v>
      </c>
      <c r="I291" s="11" t="s">
        <v>2778</v>
      </c>
      <c r="J291" s="5" t="s">
        <v>2779</v>
      </c>
      <c r="K291" s="5" t="s">
        <v>2780</v>
      </c>
      <c r="L291" s="11" t="s">
        <v>2781</v>
      </c>
      <c r="M291" s="11" t="s">
        <v>2782</v>
      </c>
      <c r="N291" s="5" t="n">
        <f aca="false">LEN(L291)</f>
        <v>25</v>
      </c>
      <c r="O291" s="5" t="n">
        <f aca="false">LEN(M291)</f>
        <v>25</v>
      </c>
      <c r="P291" s="12" t="n">
        <f aca="false">IF(N291=0,"",(N291-LEN(SUBSTITUTE(SUBSTITUTE(L291,"G",""),"C","")))/N291)</f>
        <v>0.32</v>
      </c>
      <c r="Q291" s="12" t="n">
        <f aca="false">IF(O291=0,"",(O291-LEN(SUBSTITUTE(SUBSTITUTE(M291,"G",""),"C","")))/O291)</f>
        <v>0.32</v>
      </c>
      <c r="R291" s="5"/>
      <c r="S291" s="5" t="s">
        <v>342</v>
      </c>
      <c r="T291" s="5"/>
      <c r="U291" s="5" t="s">
        <v>343</v>
      </c>
      <c r="V291" s="5" t="s">
        <v>401</v>
      </c>
      <c r="W291" s="5"/>
      <c r="X291" s="13" t="s">
        <v>345</v>
      </c>
      <c r="Y291" s="5"/>
    </row>
    <row r="292" customFormat="false" ht="15" hidden="false" customHeight="false" outlineLevel="0" collapsed="false">
      <c r="A292" s="5" t="s">
        <v>2783</v>
      </c>
      <c r="B292" s="5" t="s">
        <v>260</v>
      </c>
      <c r="C292" s="5" t="s">
        <v>261</v>
      </c>
      <c r="D292" s="10" t="s">
        <v>229</v>
      </c>
      <c r="E292" s="5" t="n">
        <v>7</v>
      </c>
      <c r="F292" s="5" t="s">
        <v>2784</v>
      </c>
      <c r="G292" s="11" t="s">
        <v>2785</v>
      </c>
      <c r="H292" s="5" t="s">
        <v>2786</v>
      </c>
      <c r="I292" s="11" t="s">
        <v>2787</v>
      </c>
      <c r="J292" s="5" t="s">
        <v>2788</v>
      </c>
      <c r="K292" s="5" t="s">
        <v>2789</v>
      </c>
      <c r="L292" s="11" t="s">
        <v>2790</v>
      </c>
      <c r="M292" s="11" t="s">
        <v>2791</v>
      </c>
      <c r="N292" s="5" t="n">
        <f aca="false">LEN(L292)</f>
        <v>25</v>
      </c>
      <c r="O292" s="5" t="n">
        <f aca="false">LEN(M292)</f>
        <v>25</v>
      </c>
      <c r="P292" s="12" t="n">
        <f aca="false">IF(N292=0,"",(N292-LEN(SUBSTITUTE(SUBSTITUTE(L292,"G",""),"C","")))/N292)</f>
        <v>0.24</v>
      </c>
      <c r="Q292" s="12" t="n">
        <f aca="false">IF(O292=0,"",(O292-LEN(SUBSTITUTE(SUBSTITUTE(M292,"G",""),"C","")))/O292)</f>
        <v>0.36</v>
      </c>
      <c r="R292" s="5"/>
      <c r="S292" s="5" t="s">
        <v>342</v>
      </c>
      <c r="T292" s="5"/>
      <c r="U292" s="5" t="s">
        <v>343</v>
      </c>
      <c r="V292" s="5" t="s">
        <v>401</v>
      </c>
      <c r="W292" s="5"/>
      <c r="X292" s="13" t="s">
        <v>345</v>
      </c>
      <c r="Y292" s="5"/>
    </row>
    <row r="293" customFormat="false" ht="15" hidden="false" customHeight="false" outlineLevel="0" collapsed="false">
      <c r="A293" s="5" t="s">
        <v>2792</v>
      </c>
      <c r="B293" s="5" t="s">
        <v>260</v>
      </c>
      <c r="C293" s="5" t="s">
        <v>261</v>
      </c>
      <c r="D293" s="10" t="s">
        <v>229</v>
      </c>
      <c r="E293" s="5" t="n">
        <v>8</v>
      </c>
      <c r="F293" s="5" t="s">
        <v>2793</v>
      </c>
      <c r="G293" s="11" t="s">
        <v>2794</v>
      </c>
      <c r="H293" s="5" t="s">
        <v>2795</v>
      </c>
      <c r="I293" s="11" t="s">
        <v>2796</v>
      </c>
      <c r="J293" s="5" t="s">
        <v>2797</v>
      </c>
      <c r="K293" s="5" t="s">
        <v>2798</v>
      </c>
      <c r="L293" s="11" t="s">
        <v>2799</v>
      </c>
      <c r="M293" s="11" t="s">
        <v>2800</v>
      </c>
      <c r="N293" s="5" t="n">
        <f aca="false">LEN(L293)</f>
        <v>25</v>
      </c>
      <c r="O293" s="5" t="n">
        <f aca="false">LEN(M293)</f>
        <v>25</v>
      </c>
      <c r="P293" s="12" t="n">
        <f aca="false">IF(N293=0,"",(N293-LEN(SUBSTITUTE(SUBSTITUTE(L293,"G",""),"C","")))/N293)</f>
        <v>0.32</v>
      </c>
      <c r="Q293" s="12" t="n">
        <f aca="false">IF(O293=0,"",(O293-LEN(SUBSTITUTE(SUBSTITUTE(M293,"G",""),"C","")))/O293)</f>
        <v>0.2</v>
      </c>
      <c r="R293" s="5"/>
      <c r="S293" s="5" t="s">
        <v>342</v>
      </c>
      <c r="T293" s="5"/>
      <c r="U293" s="5" t="s">
        <v>343</v>
      </c>
      <c r="V293" s="5" t="s">
        <v>401</v>
      </c>
      <c r="W293" s="5"/>
      <c r="X293" s="13" t="s">
        <v>345</v>
      </c>
      <c r="Y293" s="5"/>
    </row>
    <row r="294" customFormat="false" ht="15" hidden="false" customHeight="false" outlineLevel="0" collapsed="false">
      <c r="A294" s="5" t="s">
        <v>2801</v>
      </c>
      <c r="B294" s="5" t="s">
        <v>265</v>
      </c>
      <c r="C294" s="5" t="s">
        <v>266</v>
      </c>
      <c r="D294" s="10" t="s">
        <v>229</v>
      </c>
      <c r="E294" s="5" t="n">
        <v>1</v>
      </c>
      <c r="F294" s="5" t="s">
        <v>2802</v>
      </c>
      <c r="G294" s="11" t="s">
        <v>2803</v>
      </c>
      <c r="H294" s="5" t="s">
        <v>2804</v>
      </c>
      <c r="I294" s="11" t="s">
        <v>2805</v>
      </c>
      <c r="J294" s="5" t="s">
        <v>2806</v>
      </c>
      <c r="K294" s="5" t="s">
        <v>2807</v>
      </c>
      <c r="L294" s="11" t="s">
        <v>2808</v>
      </c>
      <c r="M294" s="11" t="s">
        <v>2809</v>
      </c>
      <c r="N294" s="5" t="n">
        <f aca="false">LEN(L294)</f>
        <v>25</v>
      </c>
      <c r="O294" s="5" t="n">
        <f aca="false">LEN(M294)</f>
        <v>25</v>
      </c>
      <c r="P294" s="12" t="n">
        <f aca="false">IF(N294=0,"",(N294-LEN(SUBSTITUTE(SUBSTITUTE(L294,"G",""),"C","")))/N294)</f>
        <v>0.44</v>
      </c>
      <c r="Q294" s="12" t="n">
        <f aca="false">IF(O294=0,"",(O294-LEN(SUBSTITUTE(SUBSTITUTE(M294,"G",""),"C","")))/O294)</f>
        <v>0.56</v>
      </c>
      <c r="R294" s="5"/>
      <c r="S294" s="5" t="s">
        <v>342</v>
      </c>
      <c r="T294" s="5"/>
      <c r="U294" s="5" t="s">
        <v>343</v>
      </c>
      <c r="V294" s="5" t="s">
        <v>1124</v>
      </c>
      <c r="W294" s="5"/>
      <c r="X294" s="13" t="s">
        <v>345</v>
      </c>
      <c r="Y294" s="5"/>
    </row>
    <row r="295" customFormat="false" ht="15" hidden="false" customHeight="false" outlineLevel="0" collapsed="false">
      <c r="A295" s="5" t="s">
        <v>2810</v>
      </c>
      <c r="B295" s="5" t="s">
        <v>265</v>
      </c>
      <c r="C295" s="5" t="s">
        <v>266</v>
      </c>
      <c r="D295" s="10" t="s">
        <v>229</v>
      </c>
      <c r="E295" s="5" t="n">
        <v>2</v>
      </c>
      <c r="F295" s="5" t="s">
        <v>2811</v>
      </c>
      <c r="G295" s="11" t="s">
        <v>2812</v>
      </c>
      <c r="H295" s="5" t="s">
        <v>2813</v>
      </c>
      <c r="I295" s="11" t="s">
        <v>2814</v>
      </c>
      <c r="J295" s="5" t="s">
        <v>2806</v>
      </c>
      <c r="K295" s="5" t="s">
        <v>2807</v>
      </c>
      <c r="L295" s="11" t="s">
        <v>2815</v>
      </c>
      <c r="M295" s="11" t="s">
        <v>2816</v>
      </c>
      <c r="N295" s="5" t="n">
        <f aca="false">LEN(L295)</f>
        <v>25</v>
      </c>
      <c r="O295" s="5" t="n">
        <f aca="false">LEN(M295)</f>
        <v>25</v>
      </c>
      <c r="P295" s="12" t="n">
        <f aca="false">IF(N295=0,"",(N295-LEN(SUBSTITUTE(SUBSTITUTE(L295,"G",""),"C","")))/N295)</f>
        <v>0.44</v>
      </c>
      <c r="Q295" s="12" t="n">
        <f aca="false">IF(O295=0,"",(O295-LEN(SUBSTITUTE(SUBSTITUTE(M295,"G",""),"C","")))/O295)</f>
        <v>0.52</v>
      </c>
      <c r="R295" s="5"/>
      <c r="S295" s="5" t="s">
        <v>342</v>
      </c>
      <c r="T295" s="5"/>
      <c r="U295" s="5" t="s">
        <v>832</v>
      </c>
      <c r="V295" s="5" t="s">
        <v>1124</v>
      </c>
      <c r="W295" s="5"/>
      <c r="X295" s="8" t="s">
        <v>488</v>
      </c>
      <c r="Y295" s="8" t="s">
        <v>833</v>
      </c>
    </row>
    <row r="296" customFormat="false" ht="15" hidden="false" customHeight="false" outlineLevel="0" collapsed="false">
      <c r="A296" s="5" t="s">
        <v>2817</v>
      </c>
      <c r="B296" s="5" t="s">
        <v>265</v>
      </c>
      <c r="C296" s="5" t="s">
        <v>266</v>
      </c>
      <c r="D296" s="10" t="s">
        <v>229</v>
      </c>
      <c r="E296" s="5" t="n">
        <v>3</v>
      </c>
      <c r="F296" s="5" t="s">
        <v>2818</v>
      </c>
      <c r="G296" s="11" t="s">
        <v>2819</v>
      </c>
      <c r="H296" s="5" t="s">
        <v>2820</v>
      </c>
      <c r="I296" s="11" t="s">
        <v>2821</v>
      </c>
      <c r="J296" s="5" t="s">
        <v>2806</v>
      </c>
      <c r="K296" s="5" t="s">
        <v>2807</v>
      </c>
      <c r="L296" s="11" t="s">
        <v>1661</v>
      </c>
      <c r="M296" s="11" t="s">
        <v>1569</v>
      </c>
      <c r="N296" s="5" t="n">
        <f aca="false">LEN(L296)</f>
        <v>25</v>
      </c>
      <c r="O296" s="5" t="n">
        <f aca="false">LEN(M296)</f>
        <v>25</v>
      </c>
      <c r="P296" s="12" t="n">
        <f aca="false">IF(N296=0,"",(N296-LEN(SUBSTITUTE(SUBSTITUTE(L296,"G",""),"C","")))/N296)</f>
        <v>0.56</v>
      </c>
      <c r="Q296" s="12" t="n">
        <f aca="false">IF(O296=0,"",(O296-LEN(SUBSTITUTE(SUBSTITUTE(M296,"G",""),"C","")))/O296)</f>
        <v>0.32</v>
      </c>
      <c r="R296" s="5"/>
      <c r="S296" s="5" t="s">
        <v>342</v>
      </c>
      <c r="T296" s="5"/>
      <c r="U296" s="5" t="s">
        <v>343</v>
      </c>
      <c r="V296" s="5" t="s">
        <v>1124</v>
      </c>
      <c r="W296" s="5"/>
      <c r="X296" s="13" t="s">
        <v>345</v>
      </c>
      <c r="Y296" s="5"/>
    </row>
    <row r="297" customFormat="false" ht="15" hidden="false" customHeight="false" outlineLevel="0" collapsed="false">
      <c r="A297" s="5" t="s">
        <v>2822</v>
      </c>
      <c r="B297" s="5" t="s">
        <v>265</v>
      </c>
      <c r="C297" s="5" t="s">
        <v>266</v>
      </c>
      <c r="D297" s="10" t="s">
        <v>229</v>
      </c>
      <c r="E297" s="5" t="n">
        <v>4</v>
      </c>
      <c r="F297" s="5" t="s">
        <v>2823</v>
      </c>
      <c r="G297" s="11" t="s">
        <v>2824</v>
      </c>
      <c r="H297" s="5" t="s">
        <v>2825</v>
      </c>
      <c r="I297" s="11" t="s">
        <v>2826</v>
      </c>
      <c r="J297" s="5" t="s">
        <v>2806</v>
      </c>
      <c r="K297" s="5" t="s">
        <v>2807</v>
      </c>
      <c r="L297" s="11" t="s">
        <v>2827</v>
      </c>
      <c r="M297" s="11" t="s">
        <v>1532</v>
      </c>
      <c r="N297" s="5" t="n">
        <f aca="false">LEN(L297)</f>
        <v>25</v>
      </c>
      <c r="O297" s="5" t="n">
        <f aca="false">LEN(M297)</f>
        <v>25</v>
      </c>
      <c r="P297" s="12" t="n">
        <f aca="false">IF(N297=0,"",(N297-LEN(SUBSTITUTE(SUBSTITUTE(L297,"G",""),"C","")))/N297)</f>
        <v>0.44</v>
      </c>
      <c r="Q297" s="12" t="n">
        <f aca="false">IF(O297=0,"",(O297-LEN(SUBSTITUTE(SUBSTITUTE(M297,"G",""),"C","")))/O297)</f>
        <v>0.36</v>
      </c>
      <c r="R297" s="5"/>
      <c r="S297" s="5" t="s">
        <v>342</v>
      </c>
      <c r="T297" s="5"/>
      <c r="U297" s="5" t="s">
        <v>832</v>
      </c>
      <c r="V297" s="5" t="s">
        <v>1124</v>
      </c>
      <c r="W297" s="5"/>
      <c r="X297" s="8" t="s">
        <v>488</v>
      </c>
      <c r="Y297" s="8" t="s">
        <v>833</v>
      </c>
    </row>
    <row r="298" customFormat="false" ht="15" hidden="false" customHeight="false" outlineLevel="0" collapsed="false">
      <c r="A298" s="5" t="s">
        <v>2828</v>
      </c>
      <c r="B298" s="5" t="s">
        <v>265</v>
      </c>
      <c r="C298" s="5" t="s">
        <v>266</v>
      </c>
      <c r="D298" s="10" t="s">
        <v>229</v>
      </c>
      <c r="E298" s="5" t="n">
        <v>5</v>
      </c>
      <c r="F298" s="5" t="s">
        <v>2829</v>
      </c>
      <c r="G298" s="11" t="s">
        <v>2830</v>
      </c>
      <c r="H298" s="5" t="s">
        <v>2831</v>
      </c>
      <c r="I298" s="11" t="s">
        <v>2832</v>
      </c>
      <c r="J298" s="5" t="s">
        <v>2806</v>
      </c>
      <c r="K298" s="5" t="s">
        <v>2807</v>
      </c>
      <c r="L298" s="11" t="s">
        <v>2833</v>
      </c>
      <c r="M298" s="11" t="s">
        <v>2834</v>
      </c>
      <c r="N298" s="5" t="n">
        <f aca="false">LEN(L298)</f>
        <v>25</v>
      </c>
      <c r="O298" s="5" t="n">
        <f aca="false">LEN(M298)</f>
        <v>25</v>
      </c>
      <c r="P298" s="12" t="n">
        <f aca="false">IF(N298=0,"",(N298-LEN(SUBSTITUTE(SUBSTITUTE(L298,"G",""),"C","")))/N298)</f>
        <v>0.76</v>
      </c>
      <c r="Q298" s="12" t="n">
        <f aca="false">IF(O298=0,"",(O298-LEN(SUBSTITUTE(SUBSTITUTE(M298,"G",""),"C","")))/O298)</f>
        <v>0.8</v>
      </c>
      <c r="R298" s="5"/>
      <c r="S298" s="5" t="s">
        <v>342</v>
      </c>
      <c r="T298" s="5"/>
      <c r="U298" s="5" t="s">
        <v>343</v>
      </c>
      <c r="V298" s="5" t="s">
        <v>1124</v>
      </c>
      <c r="W298" s="5"/>
      <c r="X298" s="13" t="s">
        <v>345</v>
      </c>
      <c r="Y298" s="5"/>
    </row>
    <row r="299" customFormat="false" ht="15" hidden="false" customHeight="false" outlineLevel="0" collapsed="false">
      <c r="A299" s="5" t="s">
        <v>2835</v>
      </c>
      <c r="B299" s="5" t="s">
        <v>265</v>
      </c>
      <c r="C299" s="5" t="s">
        <v>266</v>
      </c>
      <c r="D299" s="10" t="s">
        <v>229</v>
      </c>
      <c r="E299" s="5" t="n">
        <v>6</v>
      </c>
      <c r="F299" s="5" t="s">
        <v>2836</v>
      </c>
      <c r="G299" s="11" t="s">
        <v>2837</v>
      </c>
      <c r="H299" s="5" t="s">
        <v>2838</v>
      </c>
      <c r="I299" s="11" t="s">
        <v>2839</v>
      </c>
      <c r="J299" s="5" t="s">
        <v>2806</v>
      </c>
      <c r="K299" s="5" t="s">
        <v>2807</v>
      </c>
      <c r="L299" s="11" t="s">
        <v>2840</v>
      </c>
      <c r="M299" s="11" t="s">
        <v>2841</v>
      </c>
      <c r="N299" s="5" t="n">
        <f aca="false">LEN(L299)</f>
        <v>25</v>
      </c>
      <c r="O299" s="5" t="n">
        <f aca="false">LEN(M299)</f>
        <v>25</v>
      </c>
      <c r="P299" s="12" t="n">
        <f aca="false">IF(N299=0,"",(N299-LEN(SUBSTITUTE(SUBSTITUTE(L299,"G",""),"C","")))/N299)</f>
        <v>0.48</v>
      </c>
      <c r="Q299" s="12" t="n">
        <f aca="false">IF(O299=0,"",(O299-LEN(SUBSTITUTE(SUBSTITUTE(M299,"G",""),"C","")))/O299)</f>
        <v>0.52</v>
      </c>
      <c r="R299" s="5"/>
      <c r="S299" s="5" t="s">
        <v>342</v>
      </c>
      <c r="T299" s="5"/>
      <c r="U299" s="5" t="s">
        <v>832</v>
      </c>
      <c r="V299" s="5" t="s">
        <v>1124</v>
      </c>
      <c r="W299" s="5"/>
      <c r="X299" s="8" t="s">
        <v>393</v>
      </c>
      <c r="Y299" s="8" t="s">
        <v>833</v>
      </c>
    </row>
    <row r="300" customFormat="false" ht="15" hidden="false" customHeight="false" outlineLevel="0" collapsed="false">
      <c r="A300" s="5" t="s">
        <v>2842</v>
      </c>
      <c r="B300" s="5" t="s">
        <v>268</v>
      </c>
      <c r="C300" s="5" t="s">
        <v>269</v>
      </c>
      <c r="D300" s="10" t="s">
        <v>229</v>
      </c>
      <c r="E300" s="5" t="n">
        <v>1</v>
      </c>
      <c r="F300" s="5" t="s">
        <v>2843</v>
      </c>
      <c r="G300" s="11" t="s">
        <v>2844</v>
      </c>
      <c r="H300" s="5" t="s">
        <v>2845</v>
      </c>
      <c r="I300" s="11" t="s">
        <v>2846</v>
      </c>
      <c r="J300" s="5" t="s">
        <v>2847</v>
      </c>
      <c r="K300" s="5" t="s">
        <v>2848</v>
      </c>
      <c r="L300" s="11" t="s">
        <v>2849</v>
      </c>
      <c r="M300" s="11" t="s">
        <v>2850</v>
      </c>
      <c r="N300" s="5" t="n">
        <f aca="false">LEN(L300)</f>
        <v>25</v>
      </c>
      <c r="O300" s="5" t="n">
        <f aca="false">LEN(M300)</f>
        <v>25</v>
      </c>
      <c r="P300" s="12" t="n">
        <f aca="false">IF(N300=0,"",(N300-LEN(SUBSTITUTE(SUBSTITUTE(L300,"G",""),"C","")))/N300)</f>
        <v>0.32</v>
      </c>
      <c r="Q300" s="12" t="n">
        <f aca="false">IF(O300=0,"",(O300-LEN(SUBSTITUTE(SUBSTITUTE(M300,"G",""),"C","")))/O300)</f>
        <v>0.68</v>
      </c>
      <c r="R300" s="5"/>
      <c r="S300" s="5" t="s">
        <v>342</v>
      </c>
      <c r="T300" s="5"/>
      <c r="U300" s="5" t="s">
        <v>606</v>
      </c>
      <c r="V300" s="5" t="s">
        <v>1124</v>
      </c>
      <c r="W300" s="5"/>
      <c r="X300" s="8" t="s">
        <v>383</v>
      </c>
      <c r="Y300" s="5"/>
    </row>
    <row r="301" customFormat="false" ht="15" hidden="false" customHeight="false" outlineLevel="0" collapsed="false">
      <c r="A301" s="5" t="s">
        <v>2851</v>
      </c>
      <c r="B301" s="5" t="s">
        <v>268</v>
      </c>
      <c r="C301" s="5" t="s">
        <v>269</v>
      </c>
      <c r="D301" s="10" t="s">
        <v>229</v>
      </c>
      <c r="E301" s="5" t="n">
        <v>2</v>
      </c>
      <c r="F301" s="5" t="s">
        <v>2852</v>
      </c>
      <c r="G301" s="11" t="s">
        <v>2853</v>
      </c>
      <c r="H301" s="5" t="s">
        <v>2854</v>
      </c>
      <c r="I301" s="11" t="s">
        <v>2855</v>
      </c>
      <c r="J301" s="5" t="s">
        <v>2847</v>
      </c>
      <c r="K301" s="5" t="s">
        <v>2848</v>
      </c>
      <c r="L301" s="11" t="s">
        <v>2856</v>
      </c>
      <c r="M301" s="11" t="s">
        <v>2857</v>
      </c>
      <c r="N301" s="5" t="n">
        <f aca="false">LEN(L301)</f>
        <v>25</v>
      </c>
      <c r="O301" s="5" t="n">
        <f aca="false">LEN(M301)</f>
        <v>25</v>
      </c>
      <c r="P301" s="12" t="n">
        <f aca="false">IF(N301=0,"",(N301-LEN(SUBSTITUTE(SUBSTITUTE(L301,"G",""),"C","")))/N301)</f>
        <v>0.44</v>
      </c>
      <c r="Q301" s="12" t="n">
        <f aca="false">IF(O301=0,"",(O301-LEN(SUBSTITUTE(SUBSTITUTE(M301,"G",""),"C","")))/O301)</f>
        <v>0.68</v>
      </c>
      <c r="R301" s="5"/>
      <c r="S301" s="5" t="s">
        <v>342</v>
      </c>
      <c r="T301" s="5"/>
      <c r="U301" s="5" t="s">
        <v>832</v>
      </c>
      <c r="V301" s="5" t="s">
        <v>1124</v>
      </c>
      <c r="W301" s="5"/>
      <c r="X301" s="8" t="s">
        <v>383</v>
      </c>
      <c r="Y301" s="8" t="s">
        <v>833</v>
      </c>
    </row>
    <row r="302" customFormat="false" ht="15" hidden="false" customHeight="false" outlineLevel="0" collapsed="false">
      <c r="A302" s="5" t="s">
        <v>2858</v>
      </c>
      <c r="B302" s="5" t="s">
        <v>268</v>
      </c>
      <c r="C302" s="5" t="s">
        <v>269</v>
      </c>
      <c r="D302" s="10" t="s">
        <v>229</v>
      </c>
      <c r="E302" s="5" t="n">
        <v>3</v>
      </c>
      <c r="F302" s="5" t="s">
        <v>2859</v>
      </c>
      <c r="G302" s="11" t="s">
        <v>2860</v>
      </c>
      <c r="H302" s="5" t="s">
        <v>2861</v>
      </c>
      <c r="I302" s="11" t="s">
        <v>2862</v>
      </c>
      <c r="J302" s="5" t="s">
        <v>2847</v>
      </c>
      <c r="K302" s="5" t="s">
        <v>2848</v>
      </c>
      <c r="L302" s="11" t="s">
        <v>2863</v>
      </c>
      <c r="M302" s="11" t="s">
        <v>2864</v>
      </c>
      <c r="N302" s="5" t="n">
        <f aca="false">LEN(L302)</f>
        <v>25</v>
      </c>
      <c r="O302" s="5" t="n">
        <f aca="false">LEN(M302)</f>
        <v>25</v>
      </c>
      <c r="P302" s="12" t="n">
        <f aca="false">IF(N302=0,"",(N302-LEN(SUBSTITUTE(SUBSTITUTE(L302,"G",""),"C","")))/N302)</f>
        <v>0.52</v>
      </c>
      <c r="Q302" s="12" t="n">
        <f aca="false">IF(O302=0,"",(O302-LEN(SUBSTITUTE(SUBSTITUTE(M302,"G",""),"C","")))/O302)</f>
        <v>0.4</v>
      </c>
      <c r="R302" s="5"/>
      <c r="S302" s="5" t="s">
        <v>342</v>
      </c>
      <c r="T302" s="5"/>
      <c r="U302" s="5" t="s">
        <v>832</v>
      </c>
      <c r="V302" s="5" t="s">
        <v>1124</v>
      </c>
      <c r="W302" s="5"/>
      <c r="X302" s="8" t="s">
        <v>383</v>
      </c>
      <c r="Y302" s="8" t="s">
        <v>833</v>
      </c>
    </row>
    <row r="303" customFormat="false" ht="15" hidden="false" customHeight="false" outlineLevel="0" collapsed="false">
      <c r="A303" s="5" t="s">
        <v>2865</v>
      </c>
      <c r="B303" s="5" t="s">
        <v>268</v>
      </c>
      <c r="C303" s="5" t="s">
        <v>269</v>
      </c>
      <c r="D303" s="10" t="s">
        <v>229</v>
      </c>
      <c r="E303" s="5" t="n">
        <v>4</v>
      </c>
      <c r="F303" s="5" t="s">
        <v>2866</v>
      </c>
      <c r="G303" s="11" t="s">
        <v>2867</v>
      </c>
      <c r="H303" s="5" t="s">
        <v>2868</v>
      </c>
      <c r="I303" s="11" t="s">
        <v>2869</v>
      </c>
      <c r="J303" s="5" t="s">
        <v>2847</v>
      </c>
      <c r="K303" s="5" t="s">
        <v>2848</v>
      </c>
      <c r="L303" s="11" t="s">
        <v>2870</v>
      </c>
      <c r="M303" s="11" t="s">
        <v>2871</v>
      </c>
      <c r="N303" s="5" t="n">
        <f aca="false">LEN(L303)</f>
        <v>25</v>
      </c>
      <c r="O303" s="5" t="n">
        <f aca="false">LEN(M303)</f>
        <v>25</v>
      </c>
      <c r="P303" s="12" t="n">
        <f aca="false">IF(N303=0,"",(N303-LEN(SUBSTITUTE(SUBSTITUTE(L303,"G",""),"C","")))/N303)</f>
        <v>0.2</v>
      </c>
      <c r="Q303" s="12" t="n">
        <f aca="false">IF(O303=0,"",(O303-LEN(SUBSTITUTE(SUBSTITUTE(M303,"G",""),"C","")))/O303)</f>
        <v>0.48</v>
      </c>
      <c r="R303" s="5"/>
      <c r="S303" s="5" t="s">
        <v>342</v>
      </c>
      <c r="T303" s="5"/>
      <c r="U303" s="5" t="s">
        <v>832</v>
      </c>
      <c r="V303" s="5" t="s">
        <v>1124</v>
      </c>
      <c r="W303" s="5"/>
      <c r="X303" s="8" t="s">
        <v>383</v>
      </c>
      <c r="Y303" s="8" t="s">
        <v>833</v>
      </c>
    </row>
    <row r="304" customFormat="false" ht="15" hidden="false" customHeight="false" outlineLevel="0" collapsed="false">
      <c r="A304" s="5" t="s">
        <v>2872</v>
      </c>
      <c r="B304" s="5" t="s">
        <v>268</v>
      </c>
      <c r="C304" s="5" t="s">
        <v>269</v>
      </c>
      <c r="D304" s="10" t="s">
        <v>229</v>
      </c>
      <c r="E304" s="5" t="n">
        <v>5</v>
      </c>
      <c r="F304" s="5" t="s">
        <v>2873</v>
      </c>
      <c r="G304" s="11" t="s">
        <v>2874</v>
      </c>
      <c r="H304" s="5" t="s">
        <v>2875</v>
      </c>
      <c r="I304" s="11" t="s">
        <v>2876</v>
      </c>
      <c r="J304" s="5" t="s">
        <v>2847</v>
      </c>
      <c r="K304" s="5" t="s">
        <v>2848</v>
      </c>
      <c r="L304" s="11" t="s">
        <v>2877</v>
      </c>
      <c r="M304" s="11" t="s">
        <v>2878</v>
      </c>
      <c r="N304" s="5" t="n">
        <f aca="false">LEN(L304)</f>
        <v>25</v>
      </c>
      <c r="O304" s="5" t="n">
        <f aca="false">LEN(M304)</f>
        <v>25</v>
      </c>
      <c r="P304" s="12" t="n">
        <f aca="false">IF(N304=0,"",(N304-LEN(SUBSTITUTE(SUBSTITUTE(L304,"G",""),"C","")))/N304)</f>
        <v>0.4</v>
      </c>
      <c r="Q304" s="12" t="n">
        <f aca="false">IF(O304=0,"",(O304-LEN(SUBSTITUTE(SUBSTITUTE(M304,"G",""),"C","")))/O304)</f>
        <v>0.28</v>
      </c>
      <c r="R304" s="5"/>
      <c r="S304" s="5" t="s">
        <v>342</v>
      </c>
      <c r="T304" s="5"/>
      <c r="U304" s="5" t="s">
        <v>832</v>
      </c>
      <c r="V304" s="5" t="s">
        <v>1124</v>
      </c>
      <c r="W304" s="5"/>
      <c r="X304" s="8" t="s">
        <v>383</v>
      </c>
      <c r="Y304" s="8" t="s">
        <v>833</v>
      </c>
    </row>
    <row r="305" customFormat="false" ht="15" hidden="false" customHeight="false" outlineLevel="0" collapsed="false">
      <c r="A305" s="5" t="s">
        <v>2879</v>
      </c>
      <c r="B305" s="5" t="s">
        <v>268</v>
      </c>
      <c r="C305" s="5" t="s">
        <v>269</v>
      </c>
      <c r="D305" s="10" t="s">
        <v>229</v>
      </c>
      <c r="E305" s="5" t="n">
        <v>6</v>
      </c>
      <c r="F305" s="5" t="s">
        <v>2880</v>
      </c>
      <c r="G305" s="11" t="s">
        <v>2881</v>
      </c>
      <c r="H305" s="5" t="s">
        <v>2882</v>
      </c>
      <c r="I305" s="11" t="s">
        <v>2883</v>
      </c>
      <c r="J305" s="5" t="s">
        <v>2847</v>
      </c>
      <c r="K305" s="5" t="s">
        <v>2848</v>
      </c>
      <c r="L305" s="11" t="s">
        <v>2884</v>
      </c>
      <c r="M305" s="11" t="s">
        <v>2885</v>
      </c>
      <c r="N305" s="5" t="n">
        <f aca="false">LEN(L305)</f>
        <v>25</v>
      </c>
      <c r="O305" s="5" t="n">
        <f aca="false">LEN(M305)</f>
        <v>25</v>
      </c>
      <c r="P305" s="12" t="n">
        <f aca="false">IF(N305=0,"",(N305-LEN(SUBSTITUTE(SUBSTITUTE(L305,"G",""),"C","")))/N305)</f>
        <v>0.28</v>
      </c>
      <c r="Q305" s="12" t="n">
        <f aca="false">IF(O305=0,"",(O305-LEN(SUBSTITUTE(SUBSTITUTE(M305,"G",""),"C","")))/O305)</f>
        <v>0.2</v>
      </c>
      <c r="R305" s="5"/>
      <c r="S305" s="5" t="s">
        <v>342</v>
      </c>
      <c r="T305" s="5"/>
      <c r="U305" s="5" t="s">
        <v>832</v>
      </c>
      <c r="V305" s="5" t="s">
        <v>1124</v>
      </c>
      <c r="W305" s="5"/>
      <c r="X305" s="8" t="s">
        <v>383</v>
      </c>
      <c r="Y305" s="8" t="s">
        <v>833</v>
      </c>
    </row>
    <row r="306" customFormat="false" ht="15" hidden="false" customHeight="false" outlineLevel="0" collapsed="false">
      <c r="A306" s="5" t="s">
        <v>2886</v>
      </c>
      <c r="B306" s="5" t="s">
        <v>272</v>
      </c>
      <c r="C306" s="5" t="s">
        <v>273</v>
      </c>
      <c r="D306" s="10" t="s">
        <v>229</v>
      </c>
      <c r="E306" s="5" t="n">
        <v>1</v>
      </c>
      <c r="F306" s="5" t="s">
        <v>2887</v>
      </c>
      <c r="G306" s="11" t="s">
        <v>2888</v>
      </c>
      <c r="H306" s="5" t="s">
        <v>2889</v>
      </c>
      <c r="I306" s="11" t="s">
        <v>2890</v>
      </c>
      <c r="J306" s="5" t="s">
        <v>2891</v>
      </c>
      <c r="K306" s="5" t="s">
        <v>2892</v>
      </c>
      <c r="L306" s="11" t="s">
        <v>2893</v>
      </c>
      <c r="M306" s="11" t="s">
        <v>2894</v>
      </c>
      <c r="N306" s="5" t="n">
        <f aca="false">LEN(L306)</f>
        <v>25</v>
      </c>
      <c r="O306" s="5" t="n">
        <f aca="false">LEN(M306)</f>
        <v>25</v>
      </c>
      <c r="P306" s="12" t="n">
        <f aca="false">IF(N306=0,"",(N306-LEN(SUBSTITUTE(SUBSTITUTE(L306,"G",""),"C","")))/N306)</f>
        <v>0.28</v>
      </c>
      <c r="Q306" s="12" t="n">
        <f aca="false">IF(O306=0,"",(O306-LEN(SUBSTITUTE(SUBSTITUTE(M306,"G",""),"C","")))/O306)</f>
        <v>0.52</v>
      </c>
      <c r="R306" s="5"/>
      <c r="S306" s="5" t="s">
        <v>342</v>
      </c>
      <c r="T306" s="5"/>
      <c r="U306" s="5" t="s">
        <v>343</v>
      </c>
      <c r="V306" s="5" t="s">
        <v>1124</v>
      </c>
      <c r="W306" s="5"/>
      <c r="X306" s="13" t="s">
        <v>345</v>
      </c>
      <c r="Y306" s="5"/>
    </row>
    <row r="307" customFormat="false" ht="15" hidden="false" customHeight="false" outlineLevel="0" collapsed="false">
      <c r="A307" s="5" t="s">
        <v>2895</v>
      </c>
      <c r="B307" s="5" t="s">
        <v>272</v>
      </c>
      <c r="C307" s="5" t="s">
        <v>273</v>
      </c>
      <c r="D307" s="10" t="s">
        <v>229</v>
      </c>
      <c r="E307" s="5" t="n">
        <v>2</v>
      </c>
      <c r="F307" s="5" t="s">
        <v>2896</v>
      </c>
      <c r="G307" s="11" t="s">
        <v>2897</v>
      </c>
      <c r="H307" s="5" t="s">
        <v>2898</v>
      </c>
      <c r="I307" s="11" t="s">
        <v>2899</v>
      </c>
      <c r="J307" s="5" t="s">
        <v>2891</v>
      </c>
      <c r="K307" s="5" t="s">
        <v>2892</v>
      </c>
      <c r="L307" s="11" t="s">
        <v>2900</v>
      </c>
      <c r="M307" s="11" t="s">
        <v>2901</v>
      </c>
      <c r="N307" s="5" t="n">
        <f aca="false">LEN(L307)</f>
        <v>25</v>
      </c>
      <c r="O307" s="5" t="n">
        <f aca="false">LEN(M307)</f>
        <v>25</v>
      </c>
      <c r="P307" s="12" t="n">
        <f aca="false">IF(N307=0,"",(N307-LEN(SUBSTITUTE(SUBSTITUTE(L307,"G",""),"C","")))/N307)</f>
        <v>0.48</v>
      </c>
      <c r="Q307" s="12" t="n">
        <f aca="false">IF(O307=0,"",(O307-LEN(SUBSTITUTE(SUBSTITUTE(M307,"G",""),"C","")))/O307)</f>
        <v>0.52</v>
      </c>
      <c r="R307" s="5"/>
      <c r="S307" s="5" t="s">
        <v>342</v>
      </c>
      <c r="T307" s="5"/>
      <c r="U307" s="5" t="s">
        <v>343</v>
      </c>
      <c r="V307" s="5" t="s">
        <v>1124</v>
      </c>
      <c r="W307" s="5"/>
      <c r="X307" s="13" t="s">
        <v>345</v>
      </c>
      <c r="Y307" s="5"/>
    </row>
    <row r="308" customFormat="false" ht="15" hidden="false" customHeight="false" outlineLevel="0" collapsed="false">
      <c r="A308" s="5" t="s">
        <v>2902</v>
      </c>
      <c r="B308" s="5" t="s">
        <v>272</v>
      </c>
      <c r="C308" s="5" t="s">
        <v>273</v>
      </c>
      <c r="D308" s="10" t="s">
        <v>229</v>
      </c>
      <c r="E308" s="5" t="n">
        <v>3</v>
      </c>
      <c r="F308" s="5" t="s">
        <v>2903</v>
      </c>
      <c r="G308" s="11" t="s">
        <v>2904</v>
      </c>
      <c r="H308" s="5" t="s">
        <v>2905</v>
      </c>
      <c r="I308" s="11" t="s">
        <v>2906</v>
      </c>
      <c r="J308" s="5" t="s">
        <v>2891</v>
      </c>
      <c r="K308" s="5" t="s">
        <v>2892</v>
      </c>
      <c r="L308" s="11" t="s">
        <v>2907</v>
      </c>
      <c r="M308" s="11" t="s">
        <v>2908</v>
      </c>
      <c r="N308" s="5" t="n">
        <f aca="false">LEN(L308)</f>
        <v>25</v>
      </c>
      <c r="O308" s="5" t="n">
        <f aca="false">LEN(M308)</f>
        <v>25</v>
      </c>
      <c r="P308" s="12" t="n">
        <f aca="false">IF(N308=0,"",(N308-LEN(SUBSTITUTE(SUBSTITUTE(L308,"G",""),"C","")))/N308)</f>
        <v>0.44</v>
      </c>
      <c r="Q308" s="12" t="n">
        <f aca="false">IF(O308=0,"",(O308-LEN(SUBSTITUTE(SUBSTITUTE(M308,"G",""),"C","")))/O308)</f>
        <v>0.52</v>
      </c>
      <c r="R308" s="5"/>
      <c r="S308" s="5" t="s">
        <v>342</v>
      </c>
      <c r="T308" s="5"/>
      <c r="U308" s="5" t="s">
        <v>343</v>
      </c>
      <c r="V308" s="5" t="s">
        <v>1124</v>
      </c>
      <c r="W308" s="5"/>
      <c r="X308" s="13" t="s">
        <v>345</v>
      </c>
      <c r="Y308" s="5"/>
    </row>
    <row r="309" customFormat="false" ht="15" hidden="false" customHeight="false" outlineLevel="0" collapsed="false">
      <c r="A309" s="5" t="s">
        <v>2909</v>
      </c>
      <c r="B309" s="5" t="s">
        <v>272</v>
      </c>
      <c r="C309" s="5" t="s">
        <v>273</v>
      </c>
      <c r="D309" s="10" t="s">
        <v>229</v>
      </c>
      <c r="E309" s="5" t="n">
        <v>4</v>
      </c>
      <c r="F309" s="5" t="s">
        <v>2910</v>
      </c>
      <c r="G309" s="11" t="s">
        <v>2911</v>
      </c>
      <c r="H309" s="5" t="s">
        <v>2912</v>
      </c>
      <c r="I309" s="11" t="s">
        <v>2913</v>
      </c>
      <c r="J309" s="5" t="s">
        <v>2891</v>
      </c>
      <c r="K309" s="5" t="s">
        <v>2892</v>
      </c>
      <c r="L309" s="11" t="s">
        <v>2914</v>
      </c>
      <c r="M309" s="11" t="s">
        <v>2915</v>
      </c>
      <c r="N309" s="5" t="n">
        <f aca="false">LEN(L309)</f>
        <v>25</v>
      </c>
      <c r="O309" s="5" t="n">
        <f aca="false">LEN(M309)</f>
        <v>25</v>
      </c>
      <c r="P309" s="12" t="n">
        <f aca="false">IF(N309=0,"",(N309-LEN(SUBSTITUTE(SUBSTITUTE(L309,"G",""),"C","")))/N309)</f>
        <v>0.52</v>
      </c>
      <c r="Q309" s="12" t="n">
        <f aca="false">IF(O309=0,"",(O309-LEN(SUBSTITUTE(SUBSTITUTE(M309,"G",""),"C","")))/O309)</f>
        <v>0.56</v>
      </c>
      <c r="R309" s="5"/>
      <c r="S309" s="5" t="s">
        <v>342</v>
      </c>
      <c r="T309" s="5"/>
      <c r="U309" s="5" t="s">
        <v>343</v>
      </c>
      <c r="V309" s="5" t="s">
        <v>1124</v>
      </c>
      <c r="W309" s="5"/>
      <c r="X309" s="13" t="s">
        <v>345</v>
      </c>
      <c r="Y309" s="5"/>
    </row>
    <row r="310" customFormat="false" ht="15" hidden="false" customHeight="false" outlineLevel="0" collapsed="false">
      <c r="A310" s="5" t="s">
        <v>2916</v>
      </c>
      <c r="B310" s="5" t="s">
        <v>272</v>
      </c>
      <c r="C310" s="5" t="s">
        <v>273</v>
      </c>
      <c r="D310" s="10" t="s">
        <v>229</v>
      </c>
      <c r="E310" s="5" t="n">
        <v>5</v>
      </c>
      <c r="F310" s="5" t="s">
        <v>2917</v>
      </c>
      <c r="G310" s="11" t="s">
        <v>2918</v>
      </c>
      <c r="H310" s="5" t="s">
        <v>2919</v>
      </c>
      <c r="I310" s="11" t="s">
        <v>2920</v>
      </c>
      <c r="J310" s="5" t="s">
        <v>2891</v>
      </c>
      <c r="K310" s="5" t="s">
        <v>2892</v>
      </c>
      <c r="L310" s="11" t="s">
        <v>2921</v>
      </c>
      <c r="M310" s="11" t="s">
        <v>2922</v>
      </c>
      <c r="N310" s="5" t="n">
        <f aca="false">LEN(L310)</f>
        <v>25</v>
      </c>
      <c r="O310" s="5" t="n">
        <f aca="false">LEN(M310)</f>
        <v>25</v>
      </c>
      <c r="P310" s="12" t="n">
        <f aca="false">IF(N310=0,"",(N310-LEN(SUBSTITUTE(SUBSTITUTE(L310,"G",""),"C","")))/N310)</f>
        <v>0.4</v>
      </c>
      <c r="Q310" s="12" t="n">
        <f aca="false">IF(O310=0,"",(O310-LEN(SUBSTITUTE(SUBSTITUTE(M310,"G",""),"C","")))/O310)</f>
        <v>0.4</v>
      </c>
      <c r="R310" s="5"/>
      <c r="S310" s="5" t="s">
        <v>342</v>
      </c>
      <c r="T310" s="5"/>
      <c r="U310" s="5" t="s">
        <v>832</v>
      </c>
      <c r="V310" s="5" t="s">
        <v>1124</v>
      </c>
      <c r="W310" s="5"/>
      <c r="X310" s="8" t="s">
        <v>393</v>
      </c>
      <c r="Y310" s="8" t="s">
        <v>833</v>
      </c>
    </row>
    <row r="311" customFormat="false" ht="15" hidden="false" customHeight="false" outlineLevel="0" collapsed="false">
      <c r="A311" s="5" t="s">
        <v>2923</v>
      </c>
      <c r="B311" s="5" t="s">
        <v>272</v>
      </c>
      <c r="C311" s="5" t="s">
        <v>273</v>
      </c>
      <c r="D311" s="10" t="s">
        <v>229</v>
      </c>
      <c r="E311" s="5" t="n">
        <v>6</v>
      </c>
      <c r="F311" s="5" t="s">
        <v>2924</v>
      </c>
      <c r="G311" s="11" t="s">
        <v>2925</v>
      </c>
      <c r="H311" s="5" t="s">
        <v>2926</v>
      </c>
      <c r="I311" s="11" t="s">
        <v>2927</v>
      </c>
      <c r="J311" s="5" t="s">
        <v>2891</v>
      </c>
      <c r="K311" s="5" t="s">
        <v>2892</v>
      </c>
      <c r="L311" s="11" t="s">
        <v>2928</v>
      </c>
      <c r="M311" s="11" t="s">
        <v>2929</v>
      </c>
      <c r="N311" s="5" t="n">
        <f aca="false">LEN(L311)</f>
        <v>25</v>
      </c>
      <c r="O311" s="5" t="n">
        <f aca="false">LEN(M311)</f>
        <v>25</v>
      </c>
      <c r="P311" s="12" t="n">
        <f aca="false">IF(N311=0,"",(N311-LEN(SUBSTITUTE(SUBSTITUTE(L311,"G",""),"C","")))/N311)</f>
        <v>0.52</v>
      </c>
      <c r="Q311" s="12" t="n">
        <f aca="false">IF(O311=0,"",(O311-LEN(SUBSTITUTE(SUBSTITUTE(M311,"G",""),"C","")))/O311)</f>
        <v>0.4</v>
      </c>
      <c r="R311" s="5"/>
      <c r="S311" s="5" t="s">
        <v>342</v>
      </c>
      <c r="T311" s="5"/>
      <c r="U311" s="5" t="s">
        <v>832</v>
      </c>
      <c r="V311" s="5" t="s">
        <v>1124</v>
      </c>
      <c r="W311" s="5"/>
      <c r="X311" s="8" t="s">
        <v>393</v>
      </c>
      <c r="Y311" s="8" t="s">
        <v>833</v>
      </c>
    </row>
    <row r="312" customFormat="false" ht="15" hidden="false" customHeight="false" outlineLevel="0" collapsed="false">
      <c r="A312" s="5" t="s">
        <v>2930</v>
      </c>
      <c r="B312" s="5" t="s">
        <v>280</v>
      </c>
      <c r="C312" s="5" t="s">
        <v>281</v>
      </c>
      <c r="D312" s="10" t="s">
        <v>229</v>
      </c>
      <c r="E312" s="5" t="n">
        <v>1</v>
      </c>
      <c r="F312" s="5" t="s">
        <v>2931</v>
      </c>
      <c r="G312" s="11" t="s">
        <v>2932</v>
      </c>
      <c r="H312" s="5" t="s">
        <v>2933</v>
      </c>
      <c r="I312" s="11" t="s">
        <v>2934</v>
      </c>
      <c r="J312" s="5" t="s">
        <v>2935</v>
      </c>
      <c r="K312" s="5" t="s">
        <v>2936</v>
      </c>
      <c r="L312" s="11" t="s">
        <v>2937</v>
      </c>
      <c r="M312" s="11" t="s">
        <v>2938</v>
      </c>
      <c r="N312" s="5" t="n">
        <f aca="false">LEN(L312)</f>
        <v>25</v>
      </c>
      <c r="O312" s="5" t="n">
        <f aca="false">LEN(M312)</f>
        <v>25</v>
      </c>
      <c r="P312" s="12" t="n">
        <f aca="false">IF(N312=0,"",(N312-LEN(SUBSTITUTE(SUBSTITUTE(L312,"G",""),"C","")))/N312)</f>
        <v>0.2</v>
      </c>
      <c r="Q312" s="12" t="n">
        <f aca="false">IF(O312=0,"",(O312-LEN(SUBSTITUTE(SUBSTITUTE(M312,"G",""),"C","")))/O312)</f>
        <v>0.28</v>
      </c>
      <c r="R312" s="5"/>
      <c r="S312" s="5" t="s">
        <v>342</v>
      </c>
      <c r="T312" s="5"/>
      <c r="U312" s="5" t="s">
        <v>606</v>
      </c>
      <c r="V312" s="5" t="s">
        <v>1124</v>
      </c>
      <c r="W312" s="5"/>
      <c r="X312" s="8" t="s">
        <v>383</v>
      </c>
      <c r="Y312" s="5"/>
    </row>
    <row r="313" customFormat="false" ht="15" hidden="false" customHeight="false" outlineLevel="0" collapsed="false">
      <c r="A313" s="5" t="s">
        <v>2939</v>
      </c>
      <c r="B313" s="5" t="s">
        <v>280</v>
      </c>
      <c r="C313" s="5" t="s">
        <v>281</v>
      </c>
      <c r="D313" s="10" t="s">
        <v>229</v>
      </c>
      <c r="E313" s="5" t="n">
        <v>2</v>
      </c>
      <c r="F313" s="5" t="s">
        <v>2940</v>
      </c>
      <c r="G313" s="11" t="s">
        <v>2941</v>
      </c>
      <c r="H313" s="5" t="s">
        <v>2942</v>
      </c>
      <c r="I313" s="11" t="s">
        <v>2943</v>
      </c>
      <c r="J313" s="5" t="s">
        <v>2935</v>
      </c>
      <c r="K313" s="5" t="s">
        <v>2936</v>
      </c>
      <c r="L313" s="11" t="s">
        <v>2944</v>
      </c>
      <c r="M313" s="11" t="s">
        <v>2945</v>
      </c>
      <c r="N313" s="5" t="n">
        <f aca="false">LEN(L313)</f>
        <v>25</v>
      </c>
      <c r="O313" s="5" t="n">
        <f aca="false">LEN(M313)</f>
        <v>25</v>
      </c>
      <c r="P313" s="12" t="n">
        <f aca="false">IF(N313=0,"",(N313-LEN(SUBSTITUTE(SUBSTITUTE(L313,"G",""),"C","")))/N313)</f>
        <v>0.36</v>
      </c>
      <c r="Q313" s="12" t="n">
        <f aca="false">IF(O313=0,"",(O313-LEN(SUBSTITUTE(SUBSTITUTE(M313,"G",""),"C","")))/O313)</f>
        <v>0.56</v>
      </c>
      <c r="R313" s="5"/>
      <c r="S313" s="5" t="s">
        <v>342</v>
      </c>
      <c r="T313" s="5"/>
      <c r="U313" s="5" t="s">
        <v>832</v>
      </c>
      <c r="V313" s="5" t="s">
        <v>1124</v>
      </c>
      <c r="W313" s="5"/>
      <c r="X313" s="8" t="s">
        <v>383</v>
      </c>
      <c r="Y313" s="8" t="s">
        <v>833</v>
      </c>
    </row>
    <row r="314" customFormat="false" ht="15" hidden="false" customHeight="false" outlineLevel="0" collapsed="false">
      <c r="A314" s="5" t="s">
        <v>2946</v>
      </c>
      <c r="B314" s="5" t="s">
        <v>280</v>
      </c>
      <c r="C314" s="5" t="s">
        <v>281</v>
      </c>
      <c r="D314" s="10" t="s">
        <v>229</v>
      </c>
      <c r="E314" s="5" t="n">
        <v>3</v>
      </c>
      <c r="F314" s="5" t="s">
        <v>2947</v>
      </c>
      <c r="G314" s="11" t="s">
        <v>2948</v>
      </c>
      <c r="H314" s="5" t="s">
        <v>2949</v>
      </c>
      <c r="I314" s="11" t="s">
        <v>2950</v>
      </c>
      <c r="J314" s="5" t="s">
        <v>2935</v>
      </c>
      <c r="K314" s="5" t="s">
        <v>2936</v>
      </c>
      <c r="L314" s="11" t="s">
        <v>2951</v>
      </c>
      <c r="M314" s="11" t="s">
        <v>2952</v>
      </c>
      <c r="N314" s="5" t="n">
        <f aca="false">LEN(L314)</f>
        <v>25</v>
      </c>
      <c r="O314" s="5" t="n">
        <f aca="false">LEN(M314)</f>
        <v>25</v>
      </c>
      <c r="P314" s="12" t="n">
        <f aca="false">IF(N314=0,"",(N314-LEN(SUBSTITUTE(SUBSTITUTE(L314,"G",""),"C","")))/N314)</f>
        <v>0.4</v>
      </c>
      <c r="Q314" s="12" t="n">
        <f aca="false">IF(O314=0,"",(O314-LEN(SUBSTITUTE(SUBSTITUTE(M314,"G",""),"C","")))/O314)</f>
        <v>0.32</v>
      </c>
      <c r="R314" s="5"/>
      <c r="S314" s="5" t="s">
        <v>342</v>
      </c>
      <c r="T314" s="5"/>
      <c r="U314" s="5" t="s">
        <v>832</v>
      </c>
      <c r="V314" s="5" t="s">
        <v>1124</v>
      </c>
      <c r="W314" s="5"/>
      <c r="X314" s="8" t="s">
        <v>383</v>
      </c>
      <c r="Y314" s="8" t="s">
        <v>833</v>
      </c>
    </row>
    <row r="315" customFormat="false" ht="15" hidden="false" customHeight="false" outlineLevel="0" collapsed="false">
      <c r="A315" s="5" t="s">
        <v>2953</v>
      </c>
      <c r="B315" s="5" t="s">
        <v>282</v>
      </c>
      <c r="C315" s="5" t="s">
        <v>283</v>
      </c>
      <c r="D315" s="10" t="s">
        <v>229</v>
      </c>
      <c r="E315" s="5" t="n">
        <v>1</v>
      </c>
      <c r="F315" s="5" t="s">
        <v>2954</v>
      </c>
      <c r="G315" s="11" t="s">
        <v>2955</v>
      </c>
      <c r="H315" s="5" t="s">
        <v>2956</v>
      </c>
      <c r="I315" s="11" t="s">
        <v>2957</v>
      </c>
      <c r="J315" s="5" t="s">
        <v>2958</v>
      </c>
      <c r="K315" s="5" t="s">
        <v>2959</v>
      </c>
      <c r="L315" s="11" t="s">
        <v>2960</v>
      </c>
      <c r="M315" s="11" t="s">
        <v>2961</v>
      </c>
      <c r="N315" s="5" t="n">
        <f aca="false">LEN(L315)</f>
        <v>25</v>
      </c>
      <c r="O315" s="5" t="n">
        <f aca="false">LEN(M315)</f>
        <v>25</v>
      </c>
      <c r="P315" s="12" t="n">
        <f aca="false">IF(N315=0,"",(N315-LEN(SUBSTITUTE(SUBSTITUTE(L315,"G",""),"C","")))/N315)</f>
        <v>0.28</v>
      </c>
      <c r="Q315" s="12" t="n">
        <f aca="false">IF(O315=0,"",(O315-LEN(SUBSTITUTE(SUBSTITUTE(M315,"G",""),"C","")))/O315)</f>
        <v>0.56</v>
      </c>
      <c r="R315" s="5"/>
      <c r="S315" s="5" t="s">
        <v>342</v>
      </c>
      <c r="T315" s="5"/>
      <c r="U315" s="5" t="s">
        <v>382</v>
      </c>
      <c r="V315" s="5" t="s">
        <v>401</v>
      </c>
      <c r="W315" s="5"/>
      <c r="X315" s="8" t="s">
        <v>488</v>
      </c>
      <c r="Y315" s="5"/>
    </row>
    <row r="316" customFormat="false" ht="15" hidden="false" customHeight="false" outlineLevel="0" collapsed="false">
      <c r="A316" s="5" t="s">
        <v>2962</v>
      </c>
      <c r="B316" s="5" t="s">
        <v>282</v>
      </c>
      <c r="C316" s="5" t="s">
        <v>283</v>
      </c>
      <c r="D316" s="10" t="s">
        <v>229</v>
      </c>
      <c r="E316" s="5" t="n">
        <v>2</v>
      </c>
      <c r="F316" s="5" t="s">
        <v>2963</v>
      </c>
      <c r="G316" s="11" t="s">
        <v>2964</v>
      </c>
      <c r="H316" s="5" t="s">
        <v>2965</v>
      </c>
      <c r="I316" s="11" t="s">
        <v>2966</v>
      </c>
      <c r="J316" s="5" t="s">
        <v>2967</v>
      </c>
      <c r="K316" s="5" t="s">
        <v>2968</v>
      </c>
      <c r="L316" s="11" t="s">
        <v>2969</v>
      </c>
      <c r="M316" s="11" t="s">
        <v>2970</v>
      </c>
      <c r="N316" s="5" t="n">
        <f aca="false">LEN(L316)</f>
        <v>25</v>
      </c>
      <c r="O316" s="5" t="n">
        <f aca="false">LEN(M316)</f>
        <v>25</v>
      </c>
      <c r="P316" s="12" t="n">
        <f aca="false">IF(N316=0,"",(N316-LEN(SUBSTITUTE(SUBSTITUTE(L316,"G",""),"C","")))/N316)</f>
        <v>0.48</v>
      </c>
      <c r="Q316" s="12" t="n">
        <f aca="false">IF(O316=0,"",(O316-LEN(SUBSTITUTE(SUBSTITUTE(M316,"G",""),"C","")))/O316)</f>
        <v>0.52</v>
      </c>
      <c r="R316" s="5"/>
      <c r="S316" s="5" t="s">
        <v>342</v>
      </c>
      <c r="T316" s="5"/>
      <c r="U316" s="5" t="s">
        <v>343</v>
      </c>
      <c r="V316" s="5" t="s">
        <v>401</v>
      </c>
      <c r="W316" s="5"/>
      <c r="X316" s="13" t="s">
        <v>345</v>
      </c>
      <c r="Y316" s="5"/>
    </row>
    <row r="317" customFormat="false" ht="15" hidden="false" customHeight="false" outlineLevel="0" collapsed="false">
      <c r="A317" s="5" t="s">
        <v>2971</v>
      </c>
      <c r="B317" s="5" t="s">
        <v>282</v>
      </c>
      <c r="C317" s="5" t="s">
        <v>283</v>
      </c>
      <c r="D317" s="10" t="s">
        <v>229</v>
      </c>
      <c r="E317" s="5" t="n">
        <v>3</v>
      </c>
      <c r="F317" s="5" t="s">
        <v>2972</v>
      </c>
      <c r="G317" s="11" t="s">
        <v>2973</v>
      </c>
      <c r="H317" s="5" t="s">
        <v>2974</v>
      </c>
      <c r="I317" s="11" t="s">
        <v>2975</v>
      </c>
      <c r="J317" s="5" t="s">
        <v>2976</v>
      </c>
      <c r="K317" s="5" t="s">
        <v>2977</v>
      </c>
      <c r="L317" s="11" t="s">
        <v>2978</v>
      </c>
      <c r="M317" s="11" t="s">
        <v>2979</v>
      </c>
      <c r="N317" s="5" t="n">
        <f aca="false">LEN(L317)</f>
        <v>25</v>
      </c>
      <c r="O317" s="5" t="n">
        <f aca="false">LEN(M317)</f>
        <v>25</v>
      </c>
      <c r="P317" s="12" t="n">
        <f aca="false">IF(N317=0,"",(N317-LEN(SUBSTITUTE(SUBSTITUTE(L317,"G",""),"C","")))/N317)</f>
        <v>0.36</v>
      </c>
      <c r="Q317" s="12" t="n">
        <f aca="false">IF(O317=0,"",(O317-LEN(SUBSTITUTE(SUBSTITUTE(M317,"G",""),"C","")))/O317)</f>
        <v>0.52</v>
      </c>
      <c r="R317" s="5"/>
      <c r="S317" s="5" t="s">
        <v>342</v>
      </c>
      <c r="T317" s="5"/>
      <c r="U317" s="5" t="s">
        <v>343</v>
      </c>
      <c r="V317" s="5" t="s">
        <v>401</v>
      </c>
      <c r="W317" s="5"/>
      <c r="X317" s="13" t="s">
        <v>345</v>
      </c>
      <c r="Y317" s="5"/>
    </row>
    <row r="318" customFormat="false" ht="15" hidden="false" customHeight="false" outlineLevel="0" collapsed="false">
      <c r="A318" s="5" t="s">
        <v>2980</v>
      </c>
      <c r="B318" s="5" t="s">
        <v>282</v>
      </c>
      <c r="C318" s="5" t="s">
        <v>283</v>
      </c>
      <c r="D318" s="10" t="s">
        <v>229</v>
      </c>
      <c r="E318" s="5" t="n">
        <v>4</v>
      </c>
      <c r="F318" s="5" t="s">
        <v>2981</v>
      </c>
      <c r="G318" s="11" t="s">
        <v>2982</v>
      </c>
      <c r="H318" s="5" t="s">
        <v>2983</v>
      </c>
      <c r="I318" s="11" t="s">
        <v>2984</v>
      </c>
      <c r="J318" s="5" t="s">
        <v>2985</v>
      </c>
      <c r="K318" s="5" t="s">
        <v>2986</v>
      </c>
      <c r="L318" s="11" t="s">
        <v>2987</v>
      </c>
      <c r="M318" s="11" t="s">
        <v>2988</v>
      </c>
      <c r="N318" s="5" t="n">
        <f aca="false">LEN(L318)</f>
        <v>25</v>
      </c>
      <c r="O318" s="5" t="n">
        <f aca="false">LEN(M318)</f>
        <v>25</v>
      </c>
      <c r="P318" s="12" t="n">
        <f aca="false">IF(N318=0,"",(N318-LEN(SUBSTITUTE(SUBSTITUTE(L318,"G",""),"C","")))/N318)</f>
        <v>0.56</v>
      </c>
      <c r="Q318" s="12" t="n">
        <f aca="false">IF(O318=0,"",(O318-LEN(SUBSTITUTE(SUBSTITUTE(M318,"G",""),"C","")))/O318)</f>
        <v>0.56</v>
      </c>
      <c r="R318" s="5"/>
      <c r="S318" s="5" t="s">
        <v>342</v>
      </c>
      <c r="T318" s="5"/>
      <c r="U318" s="5" t="s">
        <v>382</v>
      </c>
      <c r="V318" s="5" t="s">
        <v>401</v>
      </c>
      <c r="W318" s="5"/>
      <c r="X318" s="8" t="s">
        <v>383</v>
      </c>
      <c r="Y318" s="5"/>
    </row>
    <row r="319" customFormat="false" ht="15" hidden="false" customHeight="false" outlineLevel="0" collapsed="false">
      <c r="A319" s="5" t="s">
        <v>2989</v>
      </c>
      <c r="B319" s="5" t="s">
        <v>282</v>
      </c>
      <c r="C319" s="5" t="s">
        <v>283</v>
      </c>
      <c r="D319" s="10" t="s">
        <v>229</v>
      </c>
      <c r="E319" s="5" t="n">
        <v>5</v>
      </c>
      <c r="F319" s="5" t="s">
        <v>2990</v>
      </c>
      <c r="G319" s="11" t="s">
        <v>2991</v>
      </c>
      <c r="H319" s="5" t="s">
        <v>2992</v>
      </c>
      <c r="I319" s="11" t="s">
        <v>2993</v>
      </c>
      <c r="J319" s="5" t="s">
        <v>2994</v>
      </c>
      <c r="K319" s="5" t="s">
        <v>2995</v>
      </c>
      <c r="L319" s="11" t="s">
        <v>2996</v>
      </c>
      <c r="M319" s="11" t="s">
        <v>2997</v>
      </c>
      <c r="N319" s="5" t="n">
        <f aca="false">LEN(L319)</f>
        <v>25</v>
      </c>
      <c r="O319" s="5" t="n">
        <f aca="false">LEN(M319)</f>
        <v>25</v>
      </c>
      <c r="P319" s="12" t="n">
        <f aca="false">IF(N319=0,"",(N319-LEN(SUBSTITUTE(SUBSTITUTE(L319,"G",""),"C","")))/N319)</f>
        <v>0.44</v>
      </c>
      <c r="Q319" s="12" t="n">
        <f aca="false">IF(O319=0,"",(O319-LEN(SUBSTITUTE(SUBSTITUTE(M319,"G",""),"C","")))/O319)</f>
        <v>0.48</v>
      </c>
      <c r="R319" s="5"/>
      <c r="S319" s="5" t="s">
        <v>342</v>
      </c>
      <c r="T319" s="5"/>
      <c r="U319" s="5" t="s">
        <v>382</v>
      </c>
      <c r="V319" s="5" t="s">
        <v>401</v>
      </c>
      <c r="W319" s="5"/>
      <c r="X319" s="8" t="s">
        <v>383</v>
      </c>
      <c r="Y319" s="5"/>
    </row>
    <row r="320" customFormat="false" ht="15" hidden="false" customHeight="false" outlineLevel="0" collapsed="false">
      <c r="A320" s="5" t="s">
        <v>2998</v>
      </c>
      <c r="B320" s="5" t="s">
        <v>282</v>
      </c>
      <c r="C320" s="5" t="s">
        <v>283</v>
      </c>
      <c r="D320" s="10" t="s">
        <v>229</v>
      </c>
      <c r="E320" s="5" t="n">
        <v>6</v>
      </c>
      <c r="F320" s="5" t="s">
        <v>2999</v>
      </c>
      <c r="G320" s="11" t="s">
        <v>3000</v>
      </c>
      <c r="H320" s="5" t="s">
        <v>3001</v>
      </c>
      <c r="I320" s="11" t="s">
        <v>3002</v>
      </c>
      <c r="J320" s="5" t="s">
        <v>3003</v>
      </c>
      <c r="K320" s="5" t="s">
        <v>3004</v>
      </c>
      <c r="L320" s="11" t="s">
        <v>3005</v>
      </c>
      <c r="M320" s="11" t="s">
        <v>3006</v>
      </c>
      <c r="N320" s="5" t="n">
        <f aca="false">LEN(L320)</f>
        <v>25</v>
      </c>
      <c r="O320" s="5" t="n">
        <f aca="false">LEN(M320)</f>
        <v>25</v>
      </c>
      <c r="P320" s="12" t="n">
        <f aca="false">IF(N320=0,"",(N320-LEN(SUBSTITUTE(SUBSTITUTE(L320,"G",""),"C","")))/N320)</f>
        <v>0.32</v>
      </c>
      <c r="Q320" s="12" t="n">
        <f aca="false">IF(O320=0,"",(O320-LEN(SUBSTITUTE(SUBSTITUTE(M320,"G",""),"C","")))/O320)</f>
        <v>0.28</v>
      </c>
      <c r="R320" s="5"/>
      <c r="S320" s="5" t="s">
        <v>342</v>
      </c>
      <c r="T320" s="5"/>
      <c r="U320" s="5" t="s">
        <v>382</v>
      </c>
      <c r="V320" s="5" t="s">
        <v>401</v>
      </c>
      <c r="W320" s="5"/>
      <c r="X320" s="8" t="s">
        <v>393</v>
      </c>
      <c r="Y320" s="5"/>
    </row>
    <row r="321" customFormat="false" ht="15" hidden="false" customHeight="false" outlineLevel="0" collapsed="false">
      <c r="A321" s="5" t="s">
        <v>3007</v>
      </c>
      <c r="B321" s="5" t="s">
        <v>282</v>
      </c>
      <c r="C321" s="5" t="s">
        <v>283</v>
      </c>
      <c r="D321" s="10" t="s">
        <v>229</v>
      </c>
      <c r="E321" s="5" t="n">
        <v>7</v>
      </c>
      <c r="F321" s="5" t="s">
        <v>3008</v>
      </c>
      <c r="G321" s="11" t="s">
        <v>3009</v>
      </c>
      <c r="H321" s="5" t="s">
        <v>3010</v>
      </c>
      <c r="I321" s="11" t="s">
        <v>3011</v>
      </c>
      <c r="J321" s="5" t="s">
        <v>3012</v>
      </c>
      <c r="K321" s="5" t="s">
        <v>3013</v>
      </c>
      <c r="L321" s="11" t="s">
        <v>3014</v>
      </c>
      <c r="M321" s="11" t="s">
        <v>3015</v>
      </c>
      <c r="N321" s="5" t="n">
        <f aca="false">LEN(L321)</f>
        <v>25</v>
      </c>
      <c r="O321" s="5" t="n">
        <f aca="false">LEN(M321)</f>
        <v>25</v>
      </c>
      <c r="P321" s="12" t="n">
        <f aca="false">IF(N321=0,"",(N321-LEN(SUBSTITUTE(SUBSTITUTE(L321,"G",""),"C","")))/N321)</f>
        <v>0.52</v>
      </c>
      <c r="Q321" s="12" t="n">
        <f aca="false">IF(O321=0,"",(O321-LEN(SUBSTITUTE(SUBSTITUTE(M321,"G",""),"C","")))/O321)</f>
        <v>0.32</v>
      </c>
      <c r="R321" s="5"/>
      <c r="S321" s="5" t="s">
        <v>342</v>
      </c>
      <c r="T321" s="5"/>
      <c r="U321" s="5" t="s">
        <v>382</v>
      </c>
      <c r="V321" s="5" t="s">
        <v>401</v>
      </c>
      <c r="W321" s="5"/>
      <c r="X321" s="8" t="s">
        <v>383</v>
      </c>
      <c r="Y321" s="5"/>
    </row>
    <row r="322" customFormat="false" ht="15" hidden="false" customHeight="false" outlineLevel="0" collapsed="false">
      <c r="A322" s="5" t="s">
        <v>3016</v>
      </c>
      <c r="B322" s="5" t="s">
        <v>282</v>
      </c>
      <c r="C322" s="5" t="s">
        <v>283</v>
      </c>
      <c r="D322" s="10" t="s">
        <v>229</v>
      </c>
      <c r="E322" s="5" t="n">
        <v>8</v>
      </c>
      <c r="F322" s="5" t="s">
        <v>3017</v>
      </c>
      <c r="G322" s="11" t="s">
        <v>3018</v>
      </c>
      <c r="H322" s="5" t="s">
        <v>3019</v>
      </c>
      <c r="I322" s="11" t="s">
        <v>3020</v>
      </c>
      <c r="J322" s="5" t="s">
        <v>3021</v>
      </c>
      <c r="K322" s="5" t="s">
        <v>3022</v>
      </c>
      <c r="L322" s="11" t="s">
        <v>3023</v>
      </c>
      <c r="M322" s="11" t="s">
        <v>3024</v>
      </c>
      <c r="N322" s="5" t="n">
        <f aca="false">LEN(L322)</f>
        <v>25</v>
      </c>
      <c r="O322" s="5" t="n">
        <f aca="false">LEN(M322)</f>
        <v>25</v>
      </c>
      <c r="P322" s="12" t="n">
        <f aca="false">IF(N322=0,"",(N322-LEN(SUBSTITUTE(SUBSTITUTE(L322,"G",""),"C","")))/N322)</f>
        <v>0.4</v>
      </c>
      <c r="Q322" s="12" t="n">
        <f aca="false">IF(O322=0,"",(O322-LEN(SUBSTITUTE(SUBSTITUTE(M322,"G",""),"C","")))/O322)</f>
        <v>0.4</v>
      </c>
      <c r="R322" s="5"/>
      <c r="S322" s="5" t="s">
        <v>342</v>
      </c>
      <c r="T322" s="5"/>
      <c r="U322" s="5" t="s">
        <v>382</v>
      </c>
      <c r="V322" s="5" t="s">
        <v>401</v>
      </c>
      <c r="W322" s="5"/>
      <c r="X322" s="8" t="s">
        <v>393</v>
      </c>
      <c r="Y322" s="5"/>
    </row>
    <row r="323" customFormat="false" ht="15" hidden="false" customHeight="false" outlineLevel="0" collapsed="false">
      <c r="A323" s="5" t="s">
        <v>3025</v>
      </c>
      <c r="B323" s="5" t="s">
        <v>288</v>
      </c>
      <c r="C323" s="5" t="s">
        <v>289</v>
      </c>
      <c r="D323" s="10" t="s">
        <v>229</v>
      </c>
      <c r="E323" s="5" t="n">
        <v>1</v>
      </c>
      <c r="F323" s="5" t="s">
        <v>3026</v>
      </c>
      <c r="G323" s="11" t="s">
        <v>3027</v>
      </c>
      <c r="H323" s="5" t="s">
        <v>3028</v>
      </c>
      <c r="I323" s="11" t="s">
        <v>3029</v>
      </c>
      <c r="J323" s="5" t="s">
        <v>3030</v>
      </c>
      <c r="K323" s="5" t="s">
        <v>3031</v>
      </c>
      <c r="L323" s="11" t="s">
        <v>3032</v>
      </c>
      <c r="M323" s="11" t="s">
        <v>3033</v>
      </c>
      <c r="N323" s="5" t="n">
        <f aca="false">LEN(L323)</f>
        <v>25</v>
      </c>
      <c r="O323" s="5" t="n">
        <f aca="false">LEN(M323)</f>
        <v>25</v>
      </c>
      <c r="P323" s="12" t="n">
        <f aca="false">IF(N323=0,"",(N323-LEN(SUBSTITUTE(SUBSTITUTE(L323,"G",""),"C","")))/N323)</f>
        <v>0.52</v>
      </c>
      <c r="Q323" s="12" t="n">
        <f aca="false">IF(O323=0,"",(O323-LEN(SUBSTITUTE(SUBSTITUTE(M323,"G",""),"C","")))/O323)</f>
        <v>0.64</v>
      </c>
      <c r="R323" s="5"/>
      <c r="S323" s="5" t="s">
        <v>342</v>
      </c>
      <c r="T323" s="5"/>
      <c r="U323" s="5" t="s">
        <v>343</v>
      </c>
      <c r="V323" s="5" t="s">
        <v>344</v>
      </c>
      <c r="W323" s="5"/>
      <c r="X323" s="13" t="s">
        <v>345</v>
      </c>
      <c r="Y323" s="5"/>
    </row>
    <row r="324" customFormat="false" ht="15" hidden="false" customHeight="false" outlineLevel="0" collapsed="false">
      <c r="A324" s="5" t="s">
        <v>3034</v>
      </c>
      <c r="B324" s="5" t="s">
        <v>288</v>
      </c>
      <c r="C324" s="5" t="s">
        <v>289</v>
      </c>
      <c r="D324" s="10" t="s">
        <v>229</v>
      </c>
      <c r="E324" s="5" t="n">
        <v>2</v>
      </c>
      <c r="F324" s="5" t="s">
        <v>3035</v>
      </c>
      <c r="G324" s="11" t="s">
        <v>3036</v>
      </c>
      <c r="H324" s="5" t="s">
        <v>3037</v>
      </c>
      <c r="I324" s="11" t="s">
        <v>3038</v>
      </c>
      <c r="J324" s="5" t="s">
        <v>3039</v>
      </c>
      <c r="K324" s="5" t="s">
        <v>3040</v>
      </c>
      <c r="L324" s="11" t="s">
        <v>3041</v>
      </c>
      <c r="M324" s="11" t="s">
        <v>3042</v>
      </c>
      <c r="N324" s="5" t="n">
        <f aca="false">LEN(L324)</f>
        <v>25</v>
      </c>
      <c r="O324" s="5" t="n">
        <f aca="false">LEN(M324)</f>
        <v>25</v>
      </c>
      <c r="P324" s="12" t="n">
        <f aca="false">IF(N324=0,"",(N324-LEN(SUBSTITUTE(SUBSTITUTE(L324,"G",""),"C","")))/N324)</f>
        <v>0.52</v>
      </c>
      <c r="Q324" s="12" t="n">
        <f aca="false">IF(O324=0,"",(O324-LEN(SUBSTITUTE(SUBSTITUTE(M324,"G",""),"C","")))/O324)</f>
        <v>0.52</v>
      </c>
      <c r="R324" s="5"/>
      <c r="S324" s="5" t="s">
        <v>342</v>
      </c>
      <c r="T324" s="5"/>
      <c r="U324" s="5" t="s">
        <v>382</v>
      </c>
      <c r="V324" s="5" t="s">
        <v>344</v>
      </c>
      <c r="W324" s="5"/>
      <c r="X324" s="8" t="s">
        <v>488</v>
      </c>
      <c r="Y324" s="5"/>
    </row>
    <row r="325" customFormat="false" ht="15" hidden="false" customHeight="false" outlineLevel="0" collapsed="false">
      <c r="A325" s="5" t="s">
        <v>3043</v>
      </c>
      <c r="B325" s="5" t="s">
        <v>288</v>
      </c>
      <c r="C325" s="5" t="s">
        <v>289</v>
      </c>
      <c r="D325" s="10" t="s">
        <v>229</v>
      </c>
      <c r="E325" s="5" t="n">
        <v>3</v>
      </c>
      <c r="F325" s="5" t="s">
        <v>3044</v>
      </c>
      <c r="G325" s="11" t="s">
        <v>3045</v>
      </c>
      <c r="H325" s="5" t="s">
        <v>3046</v>
      </c>
      <c r="I325" s="11" t="s">
        <v>3047</v>
      </c>
      <c r="J325" s="5" t="s">
        <v>3048</v>
      </c>
      <c r="K325" s="5" t="s">
        <v>3049</v>
      </c>
      <c r="L325" s="11" t="s">
        <v>3050</v>
      </c>
      <c r="M325" s="11" t="s">
        <v>3051</v>
      </c>
      <c r="N325" s="5" t="n">
        <f aca="false">LEN(L325)</f>
        <v>25</v>
      </c>
      <c r="O325" s="5" t="n">
        <f aca="false">LEN(M325)</f>
        <v>25</v>
      </c>
      <c r="P325" s="12" t="n">
        <f aca="false">IF(N325=0,"",(N325-LEN(SUBSTITUTE(SUBSTITUTE(L325,"G",""),"C","")))/N325)</f>
        <v>0.6</v>
      </c>
      <c r="Q325" s="12" t="n">
        <f aca="false">IF(O325=0,"",(O325-LEN(SUBSTITUTE(SUBSTITUTE(M325,"G",""),"C","")))/O325)</f>
        <v>0.72</v>
      </c>
      <c r="R325" s="5"/>
      <c r="S325" s="5" t="s">
        <v>342</v>
      </c>
      <c r="T325" s="5"/>
      <c r="U325" s="5" t="s">
        <v>343</v>
      </c>
      <c r="V325" s="5" t="s">
        <v>344</v>
      </c>
      <c r="W325" s="5"/>
      <c r="X325" s="13" t="s">
        <v>345</v>
      </c>
      <c r="Y325" s="5"/>
    </row>
    <row r="326" customFormat="false" ht="15" hidden="false" customHeight="false" outlineLevel="0" collapsed="false">
      <c r="A326" s="5" t="s">
        <v>3052</v>
      </c>
      <c r="B326" s="5" t="s">
        <v>288</v>
      </c>
      <c r="C326" s="5" t="s">
        <v>289</v>
      </c>
      <c r="D326" s="10" t="s">
        <v>229</v>
      </c>
      <c r="E326" s="5" t="n">
        <v>4</v>
      </c>
      <c r="F326" s="5" t="s">
        <v>3053</v>
      </c>
      <c r="G326" s="11" t="s">
        <v>3054</v>
      </c>
      <c r="H326" s="5" t="s">
        <v>3055</v>
      </c>
      <c r="I326" s="11" t="s">
        <v>3056</v>
      </c>
      <c r="J326" s="5" t="s">
        <v>3057</v>
      </c>
      <c r="K326" s="5" t="s">
        <v>3058</v>
      </c>
      <c r="L326" s="11" t="s">
        <v>3059</v>
      </c>
      <c r="M326" s="11" t="s">
        <v>3060</v>
      </c>
      <c r="N326" s="5" t="n">
        <f aca="false">LEN(L326)</f>
        <v>25</v>
      </c>
      <c r="O326" s="5" t="n">
        <f aca="false">LEN(M326)</f>
        <v>25</v>
      </c>
      <c r="P326" s="12" t="n">
        <f aca="false">IF(N326=0,"",(N326-LEN(SUBSTITUTE(SUBSTITUTE(L326,"G",""),"C","")))/N326)</f>
        <v>0.52</v>
      </c>
      <c r="Q326" s="12" t="n">
        <f aca="false">IF(O326=0,"",(O326-LEN(SUBSTITUTE(SUBSTITUTE(M326,"G",""),"C","")))/O326)</f>
        <v>0.6</v>
      </c>
      <c r="R326" s="5"/>
      <c r="S326" s="5" t="s">
        <v>342</v>
      </c>
      <c r="T326" s="5"/>
      <c r="U326" s="5" t="s">
        <v>343</v>
      </c>
      <c r="V326" s="5" t="s">
        <v>344</v>
      </c>
      <c r="W326" s="5"/>
      <c r="X326" s="13" t="s">
        <v>345</v>
      </c>
      <c r="Y326" s="5"/>
    </row>
    <row r="327" customFormat="false" ht="15" hidden="false" customHeight="false" outlineLevel="0" collapsed="false">
      <c r="A327" s="5" t="s">
        <v>3061</v>
      </c>
      <c r="B327" s="5" t="s">
        <v>288</v>
      </c>
      <c r="C327" s="5" t="s">
        <v>289</v>
      </c>
      <c r="D327" s="10" t="s">
        <v>229</v>
      </c>
      <c r="E327" s="5" t="n">
        <v>5</v>
      </c>
      <c r="F327" s="5" t="s">
        <v>3062</v>
      </c>
      <c r="G327" s="11" t="s">
        <v>3063</v>
      </c>
      <c r="H327" s="5" t="s">
        <v>3064</v>
      </c>
      <c r="I327" s="11" t="s">
        <v>3065</v>
      </c>
      <c r="J327" s="5" t="s">
        <v>3066</v>
      </c>
      <c r="K327" s="5" t="s">
        <v>3067</v>
      </c>
      <c r="L327" s="11" t="s">
        <v>3068</v>
      </c>
      <c r="M327" s="11" t="s">
        <v>3069</v>
      </c>
      <c r="N327" s="5" t="n">
        <f aca="false">LEN(L327)</f>
        <v>25</v>
      </c>
      <c r="O327" s="5" t="n">
        <f aca="false">LEN(M327)</f>
        <v>25</v>
      </c>
      <c r="P327" s="12" t="n">
        <f aca="false">IF(N327=0,"",(N327-LEN(SUBSTITUTE(SUBSTITUTE(L327,"G",""),"C","")))/N327)</f>
        <v>0.52</v>
      </c>
      <c r="Q327" s="12" t="n">
        <f aca="false">IF(O327=0,"",(O327-LEN(SUBSTITUTE(SUBSTITUTE(M327,"G",""),"C","")))/O327)</f>
        <v>0.44</v>
      </c>
      <c r="R327" s="5"/>
      <c r="S327" s="5" t="s">
        <v>342</v>
      </c>
      <c r="T327" s="5"/>
      <c r="U327" s="5" t="s">
        <v>382</v>
      </c>
      <c r="V327" s="5" t="s">
        <v>344</v>
      </c>
      <c r="W327" s="5"/>
      <c r="X327" s="8" t="s">
        <v>488</v>
      </c>
      <c r="Y327" s="5"/>
    </row>
    <row r="328" customFormat="false" ht="15" hidden="false" customHeight="false" outlineLevel="0" collapsed="false">
      <c r="A328" s="5" t="s">
        <v>3070</v>
      </c>
      <c r="B328" s="5" t="s">
        <v>288</v>
      </c>
      <c r="C328" s="5" t="s">
        <v>289</v>
      </c>
      <c r="D328" s="10" t="s">
        <v>229</v>
      </c>
      <c r="E328" s="5" t="n">
        <v>6</v>
      </c>
      <c r="F328" s="5" t="s">
        <v>3071</v>
      </c>
      <c r="G328" s="11" t="s">
        <v>3072</v>
      </c>
      <c r="H328" s="5" t="s">
        <v>3073</v>
      </c>
      <c r="I328" s="11" t="s">
        <v>3074</v>
      </c>
      <c r="J328" s="5" t="s">
        <v>3075</v>
      </c>
      <c r="K328" s="5" t="s">
        <v>3076</v>
      </c>
      <c r="L328" s="11" t="s">
        <v>3077</v>
      </c>
      <c r="M328" s="11" t="s">
        <v>3078</v>
      </c>
      <c r="N328" s="5" t="n">
        <f aca="false">LEN(L328)</f>
        <v>25</v>
      </c>
      <c r="O328" s="5" t="n">
        <f aca="false">LEN(M328)</f>
        <v>25</v>
      </c>
      <c r="P328" s="12" t="n">
        <f aca="false">IF(N328=0,"",(N328-LEN(SUBSTITUTE(SUBSTITUTE(L328,"G",""),"C","")))/N328)</f>
        <v>0.32</v>
      </c>
      <c r="Q328" s="12" t="n">
        <f aca="false">IF(O328=0,"",(O328-LEN(SUBSTITUTE(SUBSTITUTE(M328,"G",""),"C","")))/O328)</f>
        <v>0.44</v>
      </c>
      <c r="R328" s="5"/>
      <c r="S328" s="5" t="s">
        <v>342</v>
      </c>
      <c r="T328" s="5"/>
      <c r="U328" s="5" t="s">
        <v>382</v>
      </c>
      <c r="V328" s="5" t="s">
        <v>344</v>
      </c>
      <c r="W328" s="5"/>
      <c r="X328" s="8" t="s">
        <v>488</v>
      </c>
      <c r="Y328" s="5"/>
    </row>
    <row r="329" customFormat="false" ht="15" hidden="false" customHeight="false" outlineLevel="0" collapsed="false">
      <c r="A329" s="5" t="s">
        <v>3079</v>
      </c>
      <c r="B329" s="5" t="s">
        <v>288</v>
      </c>
      <c r="C329" s="5" t="s">
        <v>289</v>
      </c>
      <c r="D329" s="10" t="s">
        <v>229</v>
      </c>
      <c r="E329" s="5" t="n">
        <v>7</v>
      </c>
      <c r="F329" s="5" t="s">
        <v>3080</v>
      </c>
      <c r="G329" s="11" t="s">
        <v>3081</v>
      </c>
      <c r="H329" s="5" t="s">
        <v>3082</v>
      </c>
      <c r="I329" s="11" t="s">
        <v>3083</v>
      </c>
      <c r="J329" s="5" t="s">
        <v>3084</v>
      </c>
      <c r="K329" s="5" t="s">
        <v>3085</v>
      </c>
      <c r="L329" s="11" t="s">
        <v>3086</v>
      </c>
      <c r="M329" s="11" t="s">
        <v>3087</v>
      </c>
      <c r="N329" s="5" t="n">
        <f aca="false">LEN(L329)</f>
        <v>25</v>
      </c>
      <c r="O329" s="5" t="n">
        <f aca="false">LEN(M329)</f>
        <v>25</v>
      </c>
      <c r="P329" s="12" t="n">
        <f aca="false">IF(N329=0,"",(N329-LEN(SUBSTITUTE(SUBSTITUTE(L329,"G",""),"C","")))/N329)</f>
        <v>0.32</v>
      </c>
      <c r="Q329" s="12" t="n">
        <f aca="false">IF(O329=0,"",(O329-LEN(SUBSTITUTE(SUBSTITUTE(M329,"G",""),"C","")))/O329)</f>
        <v>0.44</v>
      </c>
      <c r="R329" s="5"/>
      <c r="S329" s="5" t="s">
        <v>342</v>
      </c>
      <c r="T329" s="5"/>
      <c r="U329" s="5" t="s">
        <v>343</v>
      </c>
      <c r="V329" s="5" t="s">
        <v>344</v>
      </c>
      <c r="W329" s="5"/>
      <c r="X329" s="13" t="s">
        <v>345</v>
      </c>
      <c r="Y329" s="5"/>
    </row>
    <row r="330" customFormat="false" ht="15" hidden="false" customHeight="false" outlineLevel="0" collapsed="false">
      <c r="A330" s="5" t="s">
        <v>3088</v>
      </c>
      <c r="B330" s="5" t="s">
        <v>288</v>
      </c>
      <c r="C330" s="5" t="s">
        <v>289</v>
      </c>
      <c r="D330" s="10" t="s">
        <v>229</v>
      </c>
      <c r="E330" s="5" t="n">
        <v>8</v>
      </c>
      <c r="F330" s="5" t="s">
        <v>3089</v>
      </c>
      <c r="G330" s="11" t="s">
        <v>3090</v>
      </c>
      <c r="H330" s="5" t="s">
        <v>3091</v>
      </c>
      <c r="I330" s="11" t="s">
        <v>3092</v>
      </c>
      <c r="J330" s="5" t="s">
        <v>3093</v>
      </c>
      <c r="K330" s="5" t="s">
        <v>3094</v>
      </c>
      <c r="L330" s="11" t="s">
        <v>3095</v>
      </c>
      <c r="M330" s="11" t="s">
        <v>3096</v>
      </c>
      <c r="N330" s="5" t="n">
        <f aca="false">LEN(L330)</f>
        <v>25</v>
      </c>
      <c r="O330" s="5" t="n">
        <f aca="false">LEN(M330)</f>
        <v>25</v>
      </c>
      <c r="P330" s="12" t="n">
        <f aca="false">IF(N330=0,"",(N330-LEN(SUBSTITUTE(SUBSTITUTE(L330,"G",""),"C","")))/N330)</f>
        <v>0.44</v>
      </c>
      <c r="Q330" s="12" t="n">
        <f aca="false">IF(O330=0,"",(O330-LEN(SUBSTITUTE(SUBSTITUTE(M330,"G",""),"C","")))/O330)</f>
        <v>0.36</v>
      </c>
      <c r="R330" s="5"/>
      <c r="S330" s="5" t="s">
        <v>342</v>
      </c>
      <c r="T330" s="5"/>
      <c r="U330" s="5" t="s">
        <v>382</v>
      </c>
      <c r="V330" s="5" t="s">
        <v>344</v>
      </c>
      <c r="W330" s="5"/>
      <c r="X330" s="8" t="s">
        <v>393</v>
      </c>
      <c r="Y330" s="5"/>
    </row>
    <row r="331" customFormat="false" ht="15" hidden="false" customHeight="false" outlineLevel="0" collapsed="false">
      <c r="A331" s="5" t="s">
        <v>3097</v>
      </c>
      <c r="B331" s="5" t="s">
        <v>295</v>
      </c>
      <c r="C331" s="5" t="s">
        <v>296</v>
      </c>
      <c r="D331" s="10" t="s">
        <v>229</v>
      </c>
      <c r="E331" s="5" t="n">
        <v>1</v>
      </c>
      <c r="F331" s="5" t="s">
        <v>3098</v>
      </c>
      <c r="G331" s="11" t="s">
        <v>3099</v>
      </c>
      <c r="H331" s="5" t="s">
        <v>3100</v>
      </c>
      <c r="I331" s="11" t="s">
        <v>3101</v>
      </c>
      <c r="J331" s="5" t="s">
        <v>3102</v>
      </c>
      <c r="K331" s="5" t="s">
        <v>3103</v>
      </c>
      <c r="L331" s="11" t="s">
        <v>3104</v>
      </c>
      <c r="M331" s="11" t="s">
        <v>3105</v>
      </c>
      <c r="N331" s="5" t="n">
        <f aca="false">LEN(L331)</f>
        <v>25</v>
      </c>
      <c r="O331" s="5" t="n">
        <f aca="false">LEN(M331)</f>
        <v>25</v>
      </c>
      <c r="P331" s="12" t="n">
        <f aca="false">IF(N331=0,"",(N331-LEN(SUBSTITUTE(SUBSTITUTE(L331,"G",""),"C","")))/N331)</f>
        <v>0.36</v>
      </c>
      <c r="Q331" s="12" t="n">
        <f aca="false">IF(O331=0,"",(O331-LEN(SUBSTITUTE(SUBSTITUTE(M331,"G",""),"C","")))/O331)</f>
        <v>0.4</v>
      </c>
      <c r="R331" s="5"/>
      <c r="S331" s="5" t="s">
        <v>342</v>
      </c>
      <c r="T331" s="5"/>
      <c r="U331" s="5" t="s">
        <v>343</v>
      </c>
      <c r="V331" s="5" t="s">
        <v>2102</v>
      </c>
      <c r="W331" s="5"/>
      <c r="X331" s="13" t="s">
        <v>345</v>
      </c>
      <c r="Y331" s="5"/>
    </row>
    <row r="332" customFormat="false" ht="15" hidden="false" customHeight="false" outlineLevel="0" collapsed="false">
      <c r="A332" s="5" t="s">
        <v>3106</v>
      </c>
      <c r="B332" s="5" t="s">
        <v>295</v>
      </c>
      <c r="C332" s="5" t="s">
        <v>296</v>
      </c>
      <c r="D332" s="10" t="s">
        <v>229</v>
      </c>
      <c r="E332" s="5" t="n">
        <v>2</v>
      </c>
      <c r="F332" s="5" t="s">
        <v>3107</v>
      </c>
      <c r="G332" s="11" t="s">
        <v>3108</v>
      </c>
      <c r="H332" s="5" t="s">
        <v>3109</v>
      </c>
      <c r="I332" s="11" t="s">
        <v>3110</v>
      </c>
      <c r="J332" s="5" t="s">
        <v>3111</v>
      </c>
      <c r="K332" s="5" t="s">
        <v>3112</v>
      </c>
      <c r="L332" s="11" t="s">
        <v>3113</v>
      </c>
      <c r="M332" s="11" t="s">
        <v>3114</v>
      </c>
      <c r="N332" s="5" t="n">
        <f aca="false">LEN(L332)</f>
        <v>25</v>
      </c>
      <c r="O332" s="5" t="n">
        <f aca="false">LEN(M332)</f>
        <v>25</v>
      </c>
      <c r="P332" s="12" t="n">
        <f aca="false">IF(N332=0,"",(N332-LEN(SUBSTITUTE(SUBSTITUTE(L332,"G",""),"C","")))/N332)</f>
        <v>0.48</v>
      </c>
      <c r="Q332" s="12" t="n">
        <f aca="false">IF(O332=0,"",(O332-LEN(SUBSTITUTE(SUBSTITUTE(M332,"G",""),"C","")))/O332)</f>
        <v>0.16</v>
      </c>
      <c r="R332" s="5"/>
      <c r="S332" s="5" t="s">
        <v>342</v>
      </c>
      <c r="T332" s="5"/>
      <c r="U332" s="5" t="s">
        <v>343</v>
      </c>
      <c r="V332" s="5" t="s">
        <v>2102</v>
      </c>
      <c r="W332" s="5"/>
      <c r="X332" s="13" t="s">
        <v>345</v>
      </c>
      <c r="Y332" s="5"/>
    </row>
    <row r="333" customFormat="false" ht="15" hidden="false" customHeight="false" outlineLevel="0" collapsed="false">
      <c r="A333" s="5" t="s">
        <v>3115</v>
      </c>
      <c r="B333" s="5" t="s">
        <v>295</v>
      </c>
      <c r="C333" s="5" t="s">
        <v>296</v>
      </c>
      <c r="D333" s="10" t="s">
        <v>229</v>
      </c>
      <c r="E333" s="5" t="n">
        <v>3</v>
      </c>
      <c r="F333" s="5" t="s">
        <v>3116</v>
      </c>
      <c r="G333" s="11" t="s">
        <v>3117</v>
      </c>
      <c r="H333" s="5" t="s">
        <v>3118</v>
      </c>
      <c r="I333" s="11" t="s">
        <v>3119</v>
      </c>
      <c r="J333" s="5" t="s">
        <v>3120</v>
      </c>
      <c r="K333" s="5" t="s">
        <v>3121</v>
      </c>
      <c r="L333" s="11" t="s">
        <v>3122</v>
      </c>
      <c r="M333" s="11" t="s">
        <v>3123</v>
      </c>
      <c r="N333" s="5" t="n">
        <f aca="false">LEN(L333)</f>
        <v>25</v>
      </c>
      <c r="O333" s="5" t="n">
        <f aca="false">LEN(M333)</f>
        <v>25</v>
      </c>
      <c r="P333" s="12" t="n">
        <f aca="false">IF(N333=0,"",(N333-LEN(SUBSTITUTE(SUBSTITUTE(L333,"G",""),"C","")))/N333)</f>
        <v>0.4</v>
      </c>
      <c r="Q333" s="12" t="n">
        <f aca="false">IF(O333=0,"",(O333-LEN(SUBSTITUTE(SUBSTITUTE(M333,"G",""),"C","")))/O333)</f>
        <v>0.64</v>
      </c>
      <c r="R333" s="5"/>
      <c r="S333" s="5" t="s">
        <v>342</v>
      </c>
      <c r="T333" s="5"/>
      <c r="U333" s="5" t="s">
        <v>343</v>
      </c>
      <c r="V333" s="5" t="s">
        <v>2102</v>
      </c>
      <c r="W333" s="5"/>
      <c r="X333" s="13" t="s">
        <v>345</v>
      </c>
      <c r="Y333" s="5"/>
    </row>
    <row r="334" customFormat="false" ht="15" hidden="false" customHeight="false" outlineLevel="0" collapsed="false">
      <c r="A334" s="5" t="s">
        <v>3124</v>
      </c>
      <c r="B334" s="5" t="s">
        <v>295</v>
      </c>
      <c r="C334" s="5" t="s">
        <v>296</v>
      </c>
      <c r="D334" s="10" t="s">
        <v>229</v>
      </c>
      <c r="E334" s="5" t="n">
        <v>4</v>
      </c>
      <c r="F334" s="5" t="s">
        <v>3125</v>
      </c>
      <c r="G334" s="11" t="s">
        <v>3126</v>
      </c>
      <c r="H334" s="5" t="s">
        <v>3127</v>
      </c>
      <c r="I334" s="11" t="s">
        <v>3128</v>
      </c>
      <c r="J334" s="5" t="s">
        <v>3129</v>
      </c>
      <c r="K334" s="5" t="s">
        <v>3130</v>
      </c>
      <c r="L334" s="11" t="s">
        <v>3131</v>
      </c>
      <c r="M334" s="11" t="s">
        <v>3132</v>
      </c>
      <c r="N334" s="5" t="n">
        <f aca="false">LEN(L334)</f>
        <v>25</v>
      </c>
      <c r="O334" s="5" t="n">
        <f aca="false">LEN(M334)</f>
        <v>25</v>
      </c>
      <c r="P334" s="12" t="n">
        <f aca="false">IF(N334=0,"",(N334-LEN(SUBSTITUTE(SUBSTITUTE(L334,"G",""),"C","")))/N334)</f>
        <v>0.48</v>
      </c>
      <c r="Q334" s="12" t="n">
        <f aca="false">IF(O334=0,"",(O334-LEN(SUBSTITUTE(SUBSTITUTE(M334,"G",""),"C","")))/O334)</f>
        <v>0.6</v>
      </c>
      <c r="R334" s="5"/>
      <c r="S334" s="5" t="s">
        <v>342</v>
      </c>
      <c r="T334" s="5"/>
      <c r="U334" s="5" t="s">
        <v>343</v>
      </c>
      <c r="V334" s="5" t="s">
        <v>2102</v>
      </c>
      <c r="W334" s="5"/>
      <c r="X334" s="13" t="s">
        <v>345</v>
      </c>
      <c r="Y334" s="5"/>
    </row>
    <row r="335" customFormat="false" ht="15" hidden="false" customHeight="false" outlineLevel="0" collapsed="false">
      <c r="A335" s="5" t="s">
        <v>3133</v>
      </c>
      <c r="B335" s="5" t="s">
        <v>300</v>
      </c>
      <c r="C335" s="5" t="s">
        <v>301</v>
      </c>
      <c r="D335" s="10" t="s">
        <v>229</v>
      </c>
      <c r="E335" s="5" t="n">
        <v>1</v>
      </c>
      <c r="F335" s="5" t="s">
        <v>3134</v>
      </c>
      <c r="G335" s="11" t="s">
        <v>3135</v>
      </c>
      <c r="H335" s="5" t="s">
        <v>3136</v>
      </c>
      <c r="I335" s="11" t="s">
        <v>3137</v>
      </c>
      <c r="J335" s="5" t="s">
        <v>3138</v>
      </c>
      <c r="K335" s="5" t="s">
        <v>3139</v>
      </c>
      <c r="L335" s="11" t="s">
        <v>3140</v>
      </c>
      <c r="M335" s="11" t="s">
        <v>3141</v>
      </c>
      <c r="N335" s="5" t="n">
        <f aca="false">LEN(L335)</f>
        <v>25</v>
      </c>
      <c r="O335" s="5" t="n">
        <f aca="false">LEN(M335)</f>
        <v>25</v>
      </c>
      <c r="P335" s="12" t="n">
        <f aca="false">IF(N335=0,"",(N335-LEN(SUBSTITUTE(SUBSTITUTE(L335,"G",""),"C","")))/N335)</f>
        <v>0.44</v>
      </c>
      <c r="Q335" s="12" t="n">
        <f aca="false">IF(O335=0,"",(O335-LEN(SUBSTITUTE(SUBSTITUTE(M335,"G",""),"C","")))/O335)</f>
        <v>0.6</v>
      </c>
      <c r="R335" s="5"/>
      <c r="S335" s="5" t="s">
        <v>342</v>
      </c>
      <c r="T335" s="5"/>
      <c r="U335" s="5" t="s">
        <v>343</v>
      </c>
      <c r="V335" s="5" t="s">
        <v>401</v>
      </c>
      <c r="W335" s="5"/>
      <c r="X335" s="13" t="s">
        <v>345</v>
      </c>
      <c r="Y335" s="5"/>
    </row>
    <row r="336" customFormat="false" ht="15" hidden="false" customHeight="false" outlineLevel="0" collapsed="false">
      <c r="A336" s="5" t="s">
        <v>3142</v>
      </c>
      <c r="B336" s="5" t="s">
        <v>300</v>
      </c>
      <c r="C336" s="5" t="s">
        <v>301</v>
      </c>
      <c r="D336" s="10" t="s">
        <v>229</v>
      </c>
      <c r="E336" s="5" t="n">
        <v>2</v>
      </c>
      <c r="F336" s="5" t="s">
        <v>3143</v>
      </c>
      <c r="G336" s="11" t="s">
        <v>3144</v>
      </c>
      <c r="H336" s="5" t="s">
        <v>3145</v>
      </c>
      <c r="I336" s="11" t="s">
        <v>3146</v>
      </c>
      <c r="J336" s="5" t="s">
        <v>3147</v>
      </c>
      <c r="K336" s="5" t="s">
        <v>3148</v>
      </c>
      <c r="L336" s="11" t="s">
        <v>3149</v>
      </c>
      <c r="M336" s="11" t="s">
        <v>3150</v>
      </c>
      <c r="N336" s="5" t="n">
        <f aca="false">LEN(L336)</f>
        <v>25</v>
      </c>
      <c r="O336" s="5" t="n">
        <f aca="false">LEN(M336)</f>
        <v>25</v>
      </c>
      <c r="P336" s="12" t="n">
        <f aca="false">IF(N336=0,"",(N336-LEN(SUBSTITUTE(SUBSTITUTE(L336,"G",""),"C","")))/N336)</f>
        <v>0.52</v>
      </c>
      <c r="Q336" s="12" t="n">
        <f aca="false">IF(O336=0,"",(O336-LEN(SUBSTITUTE(SUBSTITUTE(M336,"G",""),"C","")))/O336)</f>
        <v>0.56</v>
      </c>
      <c r="R336" s="5"/>
      <c r="S336" s="5" t="s">
        <v>342</v>
      </c>
      <c r="T336" s="5"/>
      <c r="U336" s="5" t="s">
        <v>343</v>
      </c>
      <c r="V336" s="5" t="s">
        <v>401</v>
      </c>
      <c r="W336" s="5"/>
      <c r="X336" s="13" t="s">
        <v>345</v>
      </c>
      <c r="Y336" s="5"/>
    </row>
    <row r="337" customFormat="false" ht="15" hidden="false" customHeight="false" outlineLevel="0" collapsed="false">
      <c r="A337" s="5" t="s">
        <v>3151</v>
      </c>
      <c r="B337" s="5" t="s">
        <v>300</v>
      </c>
      <c r="C337" s="5" t="s">
        <v>301</v>
      </c>
      <c r="D337" s="10" t="s">
        <v>229</v>
      </c>
      <c r="E337" s="5" t="n">
        <v>3</v>
      </c>
      <c r="F337" s="5" t="s">
        <v>3152</v>
      </c>
      <c r="G337" s="11" t="s">
        <v>3153</v>
      </c>
      <c r="H337" s="5" t="s">
        <v>3154</v>
      </c>
      <c r="I337" s="11" t="s">
        <v>3155</v>
      </c>
      <c r="J337" s="5" t="s">
        <v>3156</v>
      </c>
      <c r="K337" s="5" t="s">
        <v>3157</v>
      </c>
      <c r="L337" s="11" t="s">
        <v>3158</v>
      </c>
      <c r="M337" s="11" t="s">
        <v>3159</v>
      </c>
      <c r="N337" s="5" t="n">
        <f aca="false">LEN(L337)</f>
        <v>25</v>
      </c>
      <c r="O337" s="5" t="n">
        <f aca="false">LEN(M337)</f>
        <v>25</v>
      </c>
      <c r="P337" s="12" t="n">
        <f aca="false">IF(N337=0,"",(N337-LEN(SUBSTITUTE(SUBSTITUTE(L337,"G",""),"C","")))/N337)</f>
        <v>0.52</v>
      </c>
      <c r="Q337" s="12" t="n">
        <f aca="false">IF(O337=0,"",(O337-LEN(SUBSTITUTE(SUBSTITUTE(M337,"G",""),"C","")))/O337)</f>
        <v>0.4</v>
      </c>
      <c r="R337" s="5"/>
      <c r="S337" s="5" t="s">
        <v>342</v>
      </c>
      <c r="T337" s="5"/>
      <c r="U337" s="5" t="s">
        <v>343</v>
      </c>
      <c r="V337" s="5" t="s">
        <v>401</v>
      </c>
      <c r="W337" s="5"/>
      <c r="X337" s="13" t="s">
        <v>345</v>
      </c>
      <c r="Y337" s="5"/>
    </row>
    <row r="338" customFormat="false" ht="15" hidden="false" customHeight="false" outlineLevel="0" collapsed="false">
      <c r="A338" s="5" t="s">
        <v>3160</v>
      </c>
      <c r="B338" s="5" t="s">
        <v>300</v>
      </c>
      <c r="C338" s="5" t="s">
        <v>301</v>
      </c>
      <c r="D338" s="10" t="s">
        <v>229</v>
      </c>
      <c r="E338" s="5" t="n">
        <v>4</v>
      </c>
      <c r="F338" s="5" t="s">
        <v>3161</v>
      </c>
      <c r="G338" s="11" t="s">
        <v>3162</v>
      </c>
      <c r="H338" s="5" t="s">
        <v>3163</v>
      </c>
      <c r="I338" s="11" t="s">
        <v>3164</v>
      </c>
      <c r="J338" s="5" t="s">
        <v>3165</v>
      </c>
      <c r="K338" s="5" t="s">
        <v>3166</v>
      </c>
      <c r="L338" s="11" t="s">
        <v>3167</v>
      </c>
      <c r="M338" s="11" t="s">
        <v>3168</v>
      </c>
      <c r="N338" s="5" t="n">
        <f aca="false">LEN(L338)</f>
        <v>25</v>
      </c>
      <c r="O338" s="5" t="n">
        <f aca="false">LEN(M338)</f>
        <v>25</v>
      </c>
      <c r="P338" s="12" t="n">
        <f aca="false">IF(N338=0,"",(N338-LEN(SUBSTITUTE(SUBSTITUTE(L338,"G",""),"C","")))/N338)</f>
        <v>0.64</v>
      </c>
      <c r="Q338" s="12" t="n">
        <f aca="false">IF(O338=0,"",(O338-LEN(SUBSTITUTE(SUBSTITUTE(M338,"G",""),"C","")))/O338)</f>
        <v>0.44</v>
      </c>
      <c r="R338" s="5"/>
      <c r="S338" s="5" t="s">
        <v>342</v>
      </c>
      <c r="T338" s="5"/>
      <c r="U338" s="5" t="s">
        <v>343</v>
      </c>
      <c r="V338" s="5" t="s">
        <v>401</v>
      </c>
      <c r="W338" s="5"/>
      <c r="X338" s="13" t="s">
        <v>345</v>
      </c>
      <c r="Y338" s="5"/>
    </row>
    <row r="339" customFormat="false" ht="15" hidden="false" customHeight="false" outlineLevel="0" collapsed="false">
      <c r="A339" s="5" t="s">
        <v>3169</v>
      </c>
      <c r="B339" s="5" t="s">
        <v>300</v>
      </c>
      <c r="C339" s="5" t="s">
        <v>301</v>
      </c>
      <c r="D339" s="10" t="s">
        <v>229</v>
      </c>
      <c r="E339" s="5" t="n">
        <v>5</v>
      </c>
      <c r="F339" s="5" t="s">
        <v>3170</v>
      </c>
      <c r="G339" s="11" t="s">
        <v>3171</v>
      </c>
      <c r="H339" s="5" t="s">
        <v>3172</v>
      </c>
      <c r="I339" s="11" t="s">
        <v>3173</v>
      </c>
      <c r="J339" s="5" t="s">
        <v>3174</v>
      </c>
      <c r="K339" s="5" t="s">
        <v>3175</v>
      </c>
      <c r="L339" s="11" t="s">
        <v>3176</v>
      </c>
      <c r="M339" s="11" t="s">
        <v>3177</v>
      </c>
      <c r="N339" s="5" t="n">
        <f aca="false">LEN(L339)</f>
        <v>25</v>
      </c>
      <c r="O339" s="5" t="n">
        <f aca="false">LEN(M339)</f>
        <v>25</v>
      </c>
      <c r="P339" s="12" t="n">
        <f aca="false">IF(N339=0,"",(N339-LEN(SUBSTITUTE(SUBSTITUTE(L339,"G",""),"C","")))/N339)</f>
        <v>0.52</v>
      </c>
      <c r="Q339" s="12" t="n">
        <f aca="false">IF(O339=0,"",(O339-LEN(SUBSTITUTE(SUBSTITUTE(M339,"G",""),"C","")))/O339)</f>
        <v>0.44</v>
      </c>
      <c r="R339" s="5"/>
      <c r="S339" s="5" t="s">
        <v>342</v>
      </c>
      <c r="T339" s="5"/>
      <c r="U339" s="5" t="s">
        <v>343</v>
      </c>
      <c r="V339" s="5" t="s">
        <v>401</v>
      </c>
      <c r="W339" s="5"/>
      <c r="X339" s="13" t="s">
        <v>345</v>
      </c>
      <c r="Y339" s="5"/>
    </row>
    <row r="340" customFormat="false" ht="15" hidden="false" customHeight="false" outlineLevel="0" collapsed="false">
      <c r="A340" s="5" t="s">
        <v>3178</v>
      </c>
      <c r="B340" s="5" t="s">
        <v>300</v>
      </c>
      <c r="C340" s="5" t="s">
        <v>301</v>
      </c>
      <c r="D340" s="10" t="s">
        <v>229</v>
      </c>
      <c r="E340" s="5" t="n">
        <v>6</v>
      </c>
      <c r="F340" s="5" t="s">
        <v>3179</v>
      </c>
      <c r="G340" s="11" t="s">
        <v>3180</v>
      </c>
      <c r="H340" s="5" t="s">
        <v>3181</v>
      </c>
      <c r="I340" s="11" t="s">
        <v>3182</v>
      </c>
      <c r="J340" s="5" t="s">
        <v>3183</v>
      </c>
      <c r="K340" s="5" t="s">
        <v>3184</v>
      </c>
      <c r="L340" s="11" t="s">
        <v>3185</v>
      </c>
      <c r="M340" s="11" t="s">
        <v>3186</v>
      </c>
      <c r="N340" s="5" t="n">
        <f aca="false">LEN(L340)</f>
        <v>25</v>
      </c>
      <c r="O340" s="5" t="n">
        <f aca="false">LEN(M340)</f>
        <v>24</v>
      </c>
      <c r="P340" s="12" t="n">
        <f aca="false">IF(N340=0,"",(N340-LEN(SUBSTITUTE(SUBSTITUTE(L340,"G",""),"C","")))/N340)</f>
        <v>0.28</v>
      </c>
      <c r="Q340" s="12" t="n">
        <f aca="false">IF(O340=0,"",(O340-LEN(SUBSTITUTE(SUBSTITUTE(M340,"G",""),"C","")))/O340)</f>
        <v>0.583333333333333</v>
      </c>
      <c r="R340" s="5"/>
      <c r="S340" s="5" t="s">
        <v>342</v>
      </c>
      <c r="T340" s="5"/>
      <c r="U340" s="5" t="s">
        <v>343</v>
      </c>
      <c r="V340" s="5" t="s">
        <v>401</v>
      </c>
      <c r="W340" s="5"/>
      <c r="X340" s="13" t="s">
        <v>345</v>
      </c>
      <c r="Y340" s="8" t="s">
        <v>3187</v>
      </c>
    </row>
    <row r="341" customFormat="false" ht="15" hidden="false" customHeight="false" outlineLevel="0" collapsed="false">
      <c r="A341" s="5" t="s">
        <v>3188</v>
      </c>
      <c r="B341" s="5" t="s">
        <v>300</v>
      </c>
      <c r="C341" s="5" t="s">
        <v>301</v>
      </c>
      <c r="D341" s="10" t="s">
        <v>229</v>
      </c>
      <c r="E341" s="5" t="n">
        <v>7</v>
      </c>
      <c r="F341" s="5" t="s">
        <v>3189</v>
      </c>
      <c r="G341" s="11" t="s">
        <v>3190</v>
      </c>
      <c r="H341" s="5" t="s">
        <v>3191</v>
      </c>
      <c r="I341" s="11" t="s">
        <v>3192</v>
      </c>
      <c r="J341" s="5" t="s">
        <v>3193</v>
      </c>
      <c r="K341" s="5" t="s">
        <v>3194</v>
      </c>
      <c r="L341" s="11" t="s">
        <v>3195</v>
      </c>
      <c r="M341" s="11" t="s">
        <v>3196</v>
      </c>
      <c r="N341" s="5" t="n">
        <f aca="false">LEN(L341)</f>
        <v>25</v>
      </c>
      <c r="O341" s="5" t="n">
        <f aca="false">LEN(M341)</f>
        <v>25</v>
      </c>
      <c r="P341" s="12" t="n">
        <f aca="false">IF(N341=0,"",(N341-LEN(SUBSTITUTE(SUBSTITUTE(L341,"G",""),"C","")))/N341)</f>
        <v>0.36</v>
      </c>
      <c r="Q341" s="12" t="n">
        <f aca="false">IF(O341=0,"",(O341-LEN(SUBSTITUTE(SUBSTITUTE(M341,"G",""),"C","")))/O341)</f>
        <v>0.44</v>
      </c>
      <c r="R341" s="5"/>
      <c r="S341" s="5" t="s">
        <v>342</v>
      </c>
      <c r="T341" s="5"/>
      <c r="U341" s="5" t="s">
        <v>382</v>
      </c>
      <c r="V341" s="5" t="s">
        <v>401</v>
      </c>
      <c r="W341" s="5"/>
      <c r="X341" s="8" t="s">
        <v>393</v>
      </c>
      <c r="Y341" s="5"/>
    </row>
    <row r="342" customFormat="false" ht="15" hidden="false" customHeight="false" outlineLevel="0" collapsed="false">
      <c r="A342" s="5" t="s">
        <v>3197</v>
      </c>
      <c r="B342" s="5" t="s">
        <v>300</v>
      </c>
      <c r="C342" s="5" t="s">
        <v>301</v>
      </c>
      <c r="D342" s="10" t="s">
        <v>229</v>
      </c>
      <c r="E342" s="5" t="n">
        <v>8</v>
      </c>
      <c r="F342" s="5" t="s">
        <v>3198</v>
      </c>
      <c r="G342" s="11" t="s">
        <v>3199</v>
      </c>
      <c r="H342" s="5" t="s">
        <v>3200</v>
      </c>
      <c r="I342" s="11" t="s">
        <v>3201</v>
      </c>
      <c r="J342" s="5" t="s">
        <v>3202</v>
      </c>
      <c r="K342" s="5" t="s">
        <v>3203</v>
      </c>
      <c r="L342" s="11" t="s">
        <v>3204</v>
      </c>
      <c r="M342" s="11" t="s">
        <v>3205</v>
      </c>
      <c r="N342" s="5" t="n">
        <f aca="false">LEN(L342)</f>
        <v>25</v>
      </c>
      <c r="O342" s="5" t="n">
        <f aca="false">LEN(M342)</f>
        <v>25</v>
      </c>
      <c r="P342" s="12" t="n">
        <f aca="false">IF(N342=0,"",(N342-LEN(SUBSTITUTE(SUBSTITUTE(L342,"G",""),"C","")))/N342)</f>
        <v>0.68</v>
      </c>
      <c r="Q342" s="12" t="n">
        <f aca="false">IF(O342=0,"",(O342-LEN(SUBSTITUTE(SUBSTITUTE(M342,"G",""),"C","")))/O342)</f>
        <v>0.44</v>
      </c>
      <c r="R342" s="5"/>
      <c r="S342" s="5" t="s">
        <v>342</v>
      </c>
      <c r="T342" s="5"/>
      <c r="U342" s="5" t="s">
        <v>382</v>
      </c>
      <c r="V342" s="5" t="s">
        <v>401</v>
      </c>
      <c r="W342" s="5"/>
      <c r="X342" s="8" t="s">
        <v>383</v>
      </c>
      <c r="Y342" s="5"/>
    </row>
    <row r="343" customFormat="false" ht="15" hidden="false" customHeight="false" outlineLevel="0" collapsed="false">
      <c r="A343" s="5" t="s">
        <v>3206</v>
      </c>
      <c r="B343" s="5" t="s">
        <v>306</v>
      </c>
      <c r="C343" s="5" t="s">
        <v>307</v>
      </c>
      <c r="D343" s="10" t="s">
        <v>229</v>
      </c>
      <c r="E343" s="5" t="n">
        <v>1</v>
      </c>
      <c r="F343" s="5" t="s">
        <v>3207</v>
      </c>
      <c r="G343" s="11" t="s">
        <v>3208</v>
      </c>
      <c r="H343" s="5" t="s">
        <v>3209</v>
      </c>
      <c r="I343" s="11" t="s">
        <v>3210</v>
      </c>
      <c r="J343" s="5" t="s">
        <v>3211</v>
      </c>
      <c r="K343" s="5" t="s">
        <v>3211</v>
      </c>
      <c r="L343" s="11" t="s">
        <v>3212</v>
      </c>
      <c r="M343" s="11" t="s">
        <v>3213</v>
      </c>
      <c r="N343" s="5" t="n">
        <f aca="false">LEN(L343)</f>
        <v>25</v>
      </c>
      <c r="O343" s="5" t="n">
        <f aca="false">LEN(M343)</f>
        <v>25</v>
      </c>
      <c r="P343" s="12" t="n">
        <f aca="false">IF(N343=0,"",(N343-LEN(SUBSTITUTE(SUBSTITUTE(L343,"G",""),"C","")))/N343)</f>
        <v>0.56</v>
      </c>
      <c r="Q343" s="12" t="n">
        <f aca="false">IF(O343=0,"",(O343-LEN(SUBSTITUTE(SUBSTITUTE(M343,"G",""),"C","")))/O343)</f>
        <v>0.6</v>
      </c>
      <c r="R343" s="5"/>
      <c r="S343" s="5" t="s">
        <v>342</v>
      </c>
      <c r="T343" s="5"/>
      <c r="U343" s="5" t="s">
        <v>343</v>
      </c>
      <c r="V343" s="5" t="s">
        <v>996</v>
      </c>
      <c r="W343" s="5"/>
      <c r="X343" s="13" t="s">
        <v>345</v>
      </c>
      <c r="Y343" s="5"/>
    </row>
    <row r="344" customFormat="false" ht="15" hidden="false" customHeight="false" outlineLevel="0" collapsed="false">
      <c r="A344" s="5" t="s">
        <v>3214</v>
      </c>
      <c r="B344" s="5" t="s">
        <v>306</v>
      </c>
      <c r="C344" s="5" t="s">
        <v>307</v>
      </c>
      <c r="D344" s="10" t="s">
        <v>229</v>
      </c>
      <c r="E344" s="5" t="n">
        <v>2</v>
      </c>
      <c r="F344" s="5" t="s">
        <v>3215</v>
      </c>
      <c r="G344" s="11" t="s">
        <v>3216</v>
      </c>
      <c r="H344" s="5" t="s">
        <v>3217</v>
      </c>
      <c r="I344" s="11" t="s">
        <v>3218</v>
      </c>
      <c r="J344" s="5" t="s">
        <v>3211</v>
      </c>
      <c r="K344" s="5" t="s">
        <v>3211</v>
      </c>
      <c r="L344" s="11" t="s">
        <v>3219</v>
      </c>
      <c r="M344" s="11" t="s">
        <v>3220</v>
      </c>
      <c r="N344" s="5" t="n">
        <f aca="false">LEN(L344)</f>
        <v>25</v>
      </c>
      <c r="O344" s="5" t="n">
        <f aca="false">LEN(M344)</f>
        <v>25</v>
      </c>
      <c r="P344" s="12" t="n">
        <f aca="false">IF(N344=0,"",(N344-LEN(SUBSTITUTE(SUBSTITUTE(L344,"G",""),"C","")))/N344)</f>
        <v>0.88</v>
      </c>
      <c r="Q344" s="12" t="n">
        <f aca="false">IF(O344=0,"",(O344-LEN(SUBSTITUTE(SUBSTITUTE(M344,"G",""),"C","")))/O344)</f>
        <v>0.76</v>
      </c>
      <c r="R344" s="5"/>
      <c r="S344" s="5" t="s">
        <v>342</v>
      </c>
      <c r="T344" s="5"/>
      <c r="U344" s="5" t="s">
        <v>343</v>
      </c>
      <c r="V344" s="5" t="s">
        <v>996</v>
      </c>
      <c r="W344" s="5"/>
      <c r="X344" s="13" t="s">
        <v>345</v>
      </c>
      <c r="Y344" s="5"/>
    </row>
    <row r="345" customFormat="false" ht="15" hidden="false" customHeight="false" outlineLevel="0" collapsed="false">
      <c r="A345" s="5" t="s">
        <v>3221</v>
      </c>
      <c r="B345" s="5" t="s">
        <v>306</v>
      </c>
      <c r="C345" s="5" t="s">
        <v>307</v>
      </c>
      <c r="D345" s="10" t="s">
        <v>229</v>
      </c>
      <c r="E345" s="5" t="n">
        <v>3</v>
      </c>
      <c r="F345" s="5" t="s">
        <v>3222</v>
      </c>
      <c r="G345" s="11" t="s">
        <v>3223</v>
      </c>
      <c r="H345" s="5" t="s">
        <v>3224</v>
      </c>
      <c r="I345" s="11" t="s">
        <v>3225</v>
      </c>
      <c r="J345" s="5" t="s">
        <v>3211</v>
      </c>
      <c r="K345" s="5" t="s">
        <v>3211</v>
      </c>
      <c r="L345" s="11" t="s">
        <v>3226</v>
      </c>
      <c r="M345" s="11" t="s">
        <v>3227</v>
      </c>
      <c r="N345" s="5" t="n">
        <f aca="false">LEN(L345)</f>
        <v>25</v>
      </c>
      <c r="O345" s="5" t="n">
        <f aca="false">LEN(M345)</f>
        <v>25</v>
      </c>
      <c r="P345" s="12" t="n">
        <f aca="false">IF(N345=0,"",(N345-LEN(SUBSTITUTE(SUBSTITUTE(L345,"G",""),"C","")))/N345)</f>
        <v>0.52</v>
      </c>
      <c r="Q345" s="12" t="n">
        <f aca="false">IF(O345=0,"",(O345-LEN(SUBSTITUTE(SUBSTITUTE(M345,"G",""),"C","")))/O345)</f>
        <v>0.6</v>
      </c>
      <c r="R345" s="5"/>
      <c r="S345" s="5" t="s">
        <v>342</v>
      </c>
      <c r="T345" s="5"/>
      <c r="U345" s="5" t="s">
        <v>343</v>
      </c>
      <c r="V345" s="5" t="s">
        <v>996</v>
      </c>
      <c r="W345" s="5"/>
      <c r="X345" s="13" t="s">
        <v>345</v>
      </c>
      <c r="Y345" s="5"/>
    </row>
    <row r="346" customFormat="false" ht="15" hidden="false" customHeight="false" outlineLevel="0" collapsed="false">
      <c r="A346" s="5" t="s">
        <v>3228</v>
      </c>
      <c r="B346" s="5" t="s">
        <v>306</v>
      </c>
      <c r="C346" s="5" t="s">
        <v>307</v>
      </c>
      <c r="D346" s="10" t="s">
        <v>229</v>
      </c>
      <c r="E346" s="5" t="n">
        <v>4</v>
      </c>
      <c r="F346" s="5" t="s">
        <v>3229</v>
      </c>
      <c r="G346" s="11" t="s">
        <v>3230</v>
      </c>
      <c r="H346" s="5" t="s">
        <v>3231</v>
      </c>
      <c r="I346" s="11" t="s">
        <v>3232</v>
      </c>
      <c r="J346" s="5" t="s">
        <v>3211</v>
      </c>
      <c r="K346" s="5" t="s">
        <v>3211</v>
      </c>
      <c r="L346" s="11" t="s">
        <v>3233</v>
      </c>
      <c r="M346" s="11" t="s">
        <v>3234</v>
      </c>
      <c r="N346" s="5" t="n">
        <f aca="false">LEN(L346)</f>
        <v>25</v>
      </c>
      <c r="O346" s="5" t="n">
        <f aca="false">LEN(M346)</f>
        <v>25</v>
      </c>
      <c r="P346" s="12" t="n">
        <f aca="false">IF(N346=0,"",(N346-LEN(SUBSTITUTE(SUBSTITUTE(L346,"G",""),"C","")))/N346)</f>
        <v>0.28</v>
      </c>
      <c r="Q346" s="12" t="n">
        <f aca="false">IF(O346=0,"",(O346-LEN(SUBSTITUTE(SUBSTITUTE(M346,"G",""),"C","")))/O346)</f>
        <v>0.24</v>
      </c>
      <c r="R346" s="5"/>
      <c r="S346" s="5" t="s">
        <v>342</v>
      </c>
      <c r="T346" s="5"/>
      <c r="U346" s="5" t="s">
        <v>343</v>
      </c>
      <c r="V346" s="5" t="s">
        <v>996</v>
      </c>
      <c r="W346" s="5"/>
      <c r="X346" s="13" t="s">
        <v>345</v>
      </c>
      <c r="Y346" s="5"/>
    </row>
    <row r="347" customFormat="false" ht="15" hidden="false" customHeight="false" outlineLevel="0" collapsed="false">
      <c r="A347" s="5" t="s">
        <v>3235</v>
      </c>
      <c r="B347" s="5" t="s">
        <v>306</v>
      </c>
      <c r="C347" s="5" t="s">
        <v>307</v>
      </c>
      <c r="D347" s="10" t="s">
        <v>229</v>
      </c>
      <c r="E347" s="5" t="n">
        <v>5</v>
      </c>
      <c r="F347" s="5" t="s">
        <v>3236</v>
      </c>
      <c r="G347" s="11" t="s">
        <v>3237</v>
      </c>
      <c r="H347" s="5" t="s">
        <v>3238</v>
      </c>
      <c r="I347" s="11" t="s">
        <v>3239</v>
      </c>
      <c r="J347" s="5" t="s">
        <v>3211</v>
      </c>
      <c r="K347" s="5" t="s">
        <v>3211</v>
      </c>
      <c r="L347" s="11" t="s">
        <v>3240</v>
      </c>
      <c r="M347" s="11" t="s">
        <v>3241</v>
      </c>
      <c r="N347" s="5" t="n">
        <f aca="false">LEN(L347)</f>
        <v>25</v>
      </c>
      <c r="O347" s="5" t="n">
        <f aca="false">LEN(M347)</f>
        <v>25</v>
      </c>
      <c r="P347" s="12" t="n">
        <f aca="false">IF(N347=0,"",(N347-LEN(SUBSTITUTE(SUBSTITUTE(L347,"G",""),"C","")))/N347)</f>
        <v>0.88</v>
      </c>
      <c r="Q347" s="12" t="n">
        <f aca="false">IF(O347=0,"",(O347-LEN(SUBSTITUTE(SUBSTITUTE(M347,"G",""),"C","")))/O347)</f>
        <v>0.6</v>
      </c>
      <c r="R347" s="5"/>
      <c r="S347" s="5" t="s">
        <v>342</v>
      </c>
      <c r="T347" s="5"/>
      <c r="U347" s="5" t="s">
        <v>606</v>
      </c>
      <c r="V347" s="5" t="s">
        <v>996</v>
      </c>
      <c r="W347" s="5"/>
      <c r="X347" s="8" t="s">
        <v>488</v>
      </c>
      <c r="Y347" s="5"/>
    </row>
    <row r="348" customFormat="false" ht="15" hidden="false" customHeight="false" outlineLevel="0" collapsed="false">
      <c r="A348" s="5" t="s">
        <v>3242</v>
      </c>
      <c r="B348" s="5" t="s">
        <v>306</v>
      </c>
      <c r="C348" s="5" t="s">
        <v>307</v>
      </c>
      <c r="D348" s="10" t="s">
        <v>229</v>
      </c>
      <c r="E348" s="5" t="n">
        <v>6</v>
      </c>
      <c r="F348" s="5" t="s">
        <v>3243</v>
      </c>
      <c r="G348" s="11" t="s">
        <v>3244</v>
      </c>
      <c r="H348" s="5" t="s">
        <v>3245</v>
      </c>
      <c r="I348" s="11" t="s">
        <v>3246</v>
      </c>
      <c r="J348" s="5" t="s">
        <v>3211</v>
      </c>
      <c r="K348" s="5" t="s">
        <v>3211</v>
      </c>
      <c r="L348" s="11" t="s">
        <v>3247</v>
      </c>
      <c r="M348" s="11" t="s">
        <v>3248</v>
      </c>
      <c r="N348" s="5" t="n">
        <f aca="false">LEN(L348)</f>
        <v>25</v>
      </c>
      <c r="O348" s="5" t="n">
        <f aca="false">LEN(M348)</f>
        <v>25</v>
      </c>
      <c r="P348" s="12" t="n">
        <f aca="false">IF(N348=0,"",(N348-LEN(SUBSTITUTE(SUBSTITUTE(L348,"G",""),"C","")))/N348)</f>
        <v>0.6</v>
      </c>
      <c r="Q348" s="12" t="n">
        <f aca="false">IF(O348=0,"",(O348-LEN(SUBSTITUTE(SUBSTITUTE(M348,"G",""),"C","")))/O348)</f>
        <v>0.24</v>
      </c>
      <c r="R348" s="5"/>
      <c r="S348" s="5" t="s">
        <v>342</v>
      </c>
      <c r="T348" s="5"/>
      <c r="U348" s="5" t="s">
        <v>606</v>
      </c>
      <c r="V348" s="5" t="s">
        <v>996</v>
      </c>
      <c r="W348" s="5"/>
      <c r="X348" s="8" t="s">
        <v>383</v>
      </c>
      <c r="Y348" s="5"/>
    </row>
    <row r="349" customFormat="false" ht="15" hidden="false" customHeight="false" outlineLevel="0" collapsed="false">
      <c r="A349" s="5" t="s">
        <v>3249</v>
      </c>
      <c r="B349" s="5" t="s">
        <v>306</v>
      </c>
      <c r="C349" s="5" t="s">
        <v>307</v>
      </c>
      <c r="D349" s="10" t="s">
        <v>229</v>
      </c>
      <c r="E349" s="5" t="n">
        <v>7</v>
      </c>
      <c r="F349" s="5" t="s">
        <v>3250</v>
      </c>
      <c r="G349" s="11" t="s">
        <v>3251</v>
      </c>
      <c r="H349" s="5" t="s">
        <v>3252</v>
      </c>
      <c r="I349" s="11" t="s">
        <v>3253</v>
      </c>
      <c r="J349" s="5" t="s">
        <v>3211</v>
      </c>
      <c r="K349" s="5" t="s">
        <v>3211</v>
      </c>
      <c r="L349" s="11" t="s">
        <v>3254</v>
      </c>
      <c r="M349" s="11" t="s">
        <v>3255</v>
      </c>
      <c r="N349" s="5" t="n">
        <f aca="false">LEN(L349)</f>
        <v>25</v>
      </c>
      <c r="O349" s="5" t="n">
        <f aca="false">LEN(M349)</f>
        <v>25</v>
      </c>
      <c r="P349" s="12" t="n">
        <f aca="false">IF(N349=0,"",(N349-LEN(SUBSTITUTE(SUBSTITUTE(L349,"G",""),"C","")))/N349)</f>
        <v>0.56</v>
      </c>
      <c r="Q349" s="12" t="n">
        <f aca="false">IF(O349=0,"",(O349-LEN(SUBSTITUTE(SUBSTITUTE(M349,"G",""),"C","")))/O349)</f>
        <v>0.52</v>
      </c>
      <c r="R349" s="5"/>
      <c r="S349" s="5" t="s">
        <v>342</v>
      </c>
      <c r="T349" s="5"/>
      <c r="U349" s="5" t="s">
        <v>606</v>
      </c>
      <c r="V349" s="5" t="s">
        <v>996</v>
      </c>
      <c r="W349" s="5"/>
      <c r="X349" s="8" t="s">
        <v>393</v>
      </c>
      <c r="Y349" s="5"/>
    </row>
    <row r="350" customFormat="false" ht="15" hidden="false" customHeight="false" outlineLevel="0" collapsed="false">
      <c r="A350" s="5" t="s">
        <v>3256</v>
      </c>
      <c r="B350" s="5" t="s">
        <v>306</v>
      </c>
      <c r="C350" s="5" t="s">
        <v>307</v>
      </c>
      <c r="D350" s="10" t="s">
        <v>229</v>
      </c>
      <c r="E350" s="5" t="n">
        <v>8</v>
      </c>
      <c r="F350" s="5" t="s">
        <v>3257</v>
      </c>
      <c r="G350" s="11" t="s">
        <v>3258</v>
      </c>
      <c r="H350" s="5" t="s">
        <v>3259</v>
      </c>
      <c r="I350" s="11" t="s">
        <v>3260</v>
      </c>
      <c r="J350" s="5" t="s">
        <v>3211</v>
      </c>
      <c r="K350" s="5" t="s">
        <v>3211</v>
      </c>
      <c r="L350" s="11" t="s">
        <v>3261</v>
      </c>
      <c r="M350" s="11" t="s">
        <v>3262</v>
      </c>
      <c r="N350" s="5" t="n">
        <f aca="false">LEN(L350)</f>
        <v>25</v>
      </c>
      <c r="O350" s="5" t="n">
        <f aca="false">LEN(M350)</f>
        <v>25</v>
      </c>
      <c r="P350" s="12" t="n">
        <f aca="false">IF(N350=0,"",(N350-LEN(SUBSTITUTE(SUBSTITUTE(L350,"G",""),"C","")))/N350)</f>
        <v>0.64</v>
      </c>
      <c r="Q350" s="12" t="n">
        <f aca="false">IF(O350=0,"",(O350-LEN(SUBSTITUTE(SUBSTITUTE(M350,"G",""),"C","")))/O350)</f>
        <v>0.64</v>
      </c>
      <c r="R350" s="5"/>
      <c r="S350" s="5" t="s">
        <v>342</v>
      </c>
      <c r="T350" s="5"/>
      <c r="U350" s="5" t="s">
        <v>606</v>
      </c>
      <c r="V350" s="5" t="s">
        <v>996</v>
      </c>
      <c r="W350" s="5"/>
      <c r="X350" s="8" t="s">
        <v>393</v>
      </c>
      <c r="Y350" s="5"/>
    </row>
  </sheetData>
  <autoFilter ref="A1:Y3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16"/>
    <col collapsed="false" customWidth="true" hidden="false" outlineLevel="0" max="4" min="4" style="0" width="60"/>
    <col collapsed="false" customWidth="true" hidden="false" outlineLevel="0" max="5" min="5" style="0" width="22"/>
    <col collapsed="false" customWidth="true" hidden="false" outlineLevel="0" max="6" min="6" style="0" width="10"/>
    <col collapsed="false" customWidth="true" hidden="false" outlineLevel="0" max="7" min="7" style="0" width="12"/>
    <col collapsed="false" customWidth="true" hidden="false" outlineLevel="0" max="8" min="8" style="0" width="90"/>
  </cols>
  <sheetData>
    <row r="1" customFormat="false" ht="31.5" hidden="false" customHeight="true" outlineLevel="0" collapsed="false">
      <c r="A1" s="3" t="s">
        <v>3263</v>
      </c>
      <c r="B1" s="3" t="s">
        <v>12</v>
      </c>
      <c r="C1" s="3" t="s">
        <v>14</v>
      </c>
      <c r="D1" s="3" t="s">
        <v>3264</v>
      </c>
      <c r="E1" s="3" t="s">
        <v>3265</v>
      </c>
      <c r="F1" s="3" t="s">
        <v>3266</v>
      </c>
      <c r="G1" s="3" t="s">
        <v>3267</v>
      </c>
      <c r="H1" s="3" t="s">
        <v>3268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6"/>
    <col collapsed="false" customWidth="true" hidden="false" outlineLevel="0" max="3" min="3" style="0" width="26"/>
    <col collapsed="false" customWidth="true" hidden="false" outlineLevel="0" max="5" min="4" style="0" width="10"/>
    <col collapsed="false" customWidth="true" hidden="false" outlineLevel="0" max="6" min="6" style="0" width="26"/>
    <col collapsed="false" customWidth="true" hidden="false" outlineLevel="0" max="8" min="7" style="0" width="10"/>
  </cols>
  <sheetData>
    <row r="1" customFormat="false" ht="31.5" hidden="false" customHeight="true" outlineLevel="0" collapsed="false">
      <c r="A1" s="3" t="s">
        <v>18</v>
      </c>
      <c r="B1" s="3" t="s">
        <v>3269</v>
      </c>
      <c r="C1" s="3" t="s">
        <v>3270</v>
      </c>
      <c r="D1" s="3" t="s">
        <v>3271</v>
      </c>
      <c r="E1" s="3" t="s">
        <v>3272</v>
      </c>
      <c r="F1" s="3" t="s">
        <v>3273</v>
      </c>
      <c r="G1" s="3" t="s">
        <v>3274</v>
      </c>
      <c r="H1" s="3" t="s">
        <v>3275</v>
      </c>
    </row>
    <row r="2" customFormat="false" ht="15" hidden="false" customHeight="false" outlineLevel="0" collapsed="false">
      <c r="A2" s="6" t="s">
        <v>45</v>
      </c>
      <c r="B2" s="5" t="s">
        <v>46</v>
      </c>
      <c r="C2" s="11" t="s">
        <v>3276</v>
      </c>
      <c r="D2" s="11" t="s">
        <v>3277</v>
      </c>
      <c r="E2" s="11" t="s">
        <v>3278</v>
      </c>
      <c r="F2" s="11" t="s">
        <v>3279</v>
      </c>
      <c r="G2" s="5" t="n">
        <f aca="false">COUNTIF(Probe_Sets!$I:$I,A2)</f>
        <v>21</v>
      </c>
      <c r="H2" s="5" t="n">
        <f aca="false">SUMIF(Probe_Sets!$I:$I,A2,Probe_Sets!$K:$K)</f>
        <v>166</v>
      </c>
    </row>
    <row r="3" customFormat="false" ht="15" hidden="false" customHeight="false" outlineLevel="0" collapsed="false">
      <c r="A3" s="9" t="s">
        <v>155</v>
      </c>
      <c r="B3" s="5" t="s">
        <v>177</v>
      </c>
      <c r="C3" s="11" t="s">
        <v>3280</v>
      </c>
      <c r="D3" s="11" t="s">
        <v>3277</v>
      </c>
      <c r="E3" s="11" t="s">
        <v>3277</v>
      </c>
      <c r="F3" s="11" t="s">
        <v>3281</v>
      </c>
      <c r="G3" s="5" t="n">
        <f aca="false">COUNTIF(Probe_Sets!$I:$I,A3)</f>
        <v>14</v>
      </c>
      <c r="H3" s="5" t="n">
        <f aca="false">SUMIF(Probe_Sets!$I:$I,A3,Probe_Sets!$K:$K)</f>
        <v>78</v>
      </c>
    </row>
    <row r="4" customFormat="false" ht="15" hidden="false" customHeight="false" outlineLevel="0" collapsed="false">
      <c r="A4" s="10" t="s">
        <v>229</v>
      </c>
      <c r="B4" s="5" t="s">
        <v>230</v>
      </c>
      <c r="C4" s="11" t="s">
        <v>3282</v>
      </c>
      <c r="D4" s="11" t="s">
        <v>3283</v>
      </c>
      <c r="E4" s="11" t="s">
        <v>3283</v>
      </c>
      <c r="F4" s="11" t="s">
        <v>3284</v>
      </c>
      <c r="G4" s="5" t="n">
        <f aca="false">COUNTIF(Probe_Sets!$I:$I,A4)</f>
        <v>17</v>
      </c>
      <c r="H4" s="5" t="n">
        <f aca="false">SUMIF(Probe_Sets!$I:$I,A4,Probe_Sets!$K:$K)</f>
        <v>105</v>
      </c>
    </row>
    <row r="5" customFormat="false" ht="15" hidden="false" customHeight="false" outlineLevel="0" collapsed="false">
      <c r="A5" s="14" t="s">
        <v>3285</v>
      </c>
      <c r="B5" s="5" t="s">
        <v>3286</v>
      </c>
      <c r="C5" s="11" t="s">
        <v>3287</v>
      </c>
      <c r="D5" s="11" t="s">
        <v>3277</v>
      </c>
      <c r="E5" s="11" t="s">
        <v>3288</v>
      </c>
      <c r="F5" s="11" t="s">
        <v>3289</v>
      </c>
      <c r="G5" s="5" t="n">
        <f aca="false">COUNTIF(Probe_Sets!$I:$I,A5)</f>
        <v>0</v>
      </c>
      <c r="H5" s="5" t="n">
        <f aca="false">SUMIF(Probe_Sets!$I:$I,A5,Probe_Sets!$K:$K)</f>
        <v>0</v>
      </c>
    </row>
    <row r="6" customFormat="false" ht="15" hidden="false" customHeight="false" outlineLevel="0" collapsed="false">
      <c r="A6" s="15" t="s">
        <v>3290</v>
      </c>
      <c r="B6" s="5" t="s">
        <v>3291</v>
      </c>
      <c r="C6" s="11" t="s">
        <v>3292</v>
      </c>
      <c r="D6" s="11" t="s">
        <v>3277</v>
      </c>
      <c r="E6" s="11" t="s">
        <v>3277</v>
      </c>
      <c r="F6" s="11" t="s">
        <v>3293</v>
      </c>
      <c r="G6" s="5" t="n">
        <f aca="false">COUNTIF(Probe_Sets!$I:$I,A6)</f>
        <v>0</v>
      </c>
      <c r="H6" s="5" t="n">
        <f aca="false">SUMIF(Probe_Sets!$I:$I,A6,Probe_Sets!$K:$K)</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2026-10-03T20:52:21Z</dcterms:created>
  <dc:creator>openpyxl</dc:creator>
  <dc:description/>
  <dc:language>en-US</dc:language>
  <cp:lastModifiedBy/>
  <dcterms:modified xsi:type="dcterms:W3CDTF">2026-10-03T20:52:21Z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