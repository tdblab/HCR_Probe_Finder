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be_Sets" sheetId="2" state="visible" r:id="rId4"/>
    <sheet name="Probe_Pairs" sheetId="3" state="visible" r:id="rId5"/>
    <sheet name="Templates" sheetId="4" state="visible" r:id="rId6"/>
    <sheet name="Amplifier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<sst xmlns="http://schemas.openxmlformats.org/spreadsheetml/2006/main" count="127" uniqueCount="111">
  <si>
    <t xml:space="preserve">HCR probe sets designed by NEW PERSON</t>
  </si>
  <si>
    <t xml:space="preserve">This file holds one person's HCR probe sets. Every designer has their own file in the data folder of the HCR probe database, all with the same layout, and the probe finder viewer is built from all of them together.</t>
  </si>
  <si>
    <t xml:space="preserve">Sheets</t>
  </si>
  <si>
    <t xml:space="preserve">Probe_Sets has one row per gene × amplifier set; its pair counts come from Probe_Pairs, which has one row per P1/P2 pair linked by Set_ID. Templates holds target sequences if you have them (optional). Amplifiers is the reference list of initiator and spacer sequences, the same in every file.</t>
  </si>
  <si>
    <t xml:space="preserve">Set IDs</t>
  </si>
  <si>
    <t xml:space="preserve">Set IDs in this file start with "XX-" so they never clash with other people's files. Pair IDs are the Set_ID plus a two-digit pair number.</t>
  </si>
  <si>
    <t xml:space="preserve">Columns for you to fill in</t>
  </si>
  <si>
    <t xml:space="preserve">Headers in dark yellow are input columns (Status, Tube / location, Order date, Vendor / order ID, Notes); Status has a drop-down list. The other columns were filled when the file was built and checked: amplifier and P1/P2 were read from each oligo's own initiator, P1 and P2 were paired by position on the genome or template, and binding arms were matched against the NCBI B. anynana CDS (genome_cds.fa). Check notes summarizes anything worth a look; the pair-level detail is in the Pair flag column of Probe_Pairs.</t>
  </si>
  <si>
    <t xml:space="preserve">How to start your own file</t>
  </si>
  <si>
    <t xml:space="preserve">1. Copy this file into the data folder of the HCR probe database and rename it with your name, for example "Alex.xlsx". 2. Pick a short prefix for your Set IDs (for example AX-) and use it in place of XX-. 3. In Probe_Sets, fill one row per gene × amplifier: Set_ID, Designed by (your name, the same in every row), Gene (short), Organism, LOC / GeneID if you know it, and Amplifier; Fluorophore and the pair counts fill themselves. 4. In Probe_Pairs, fill one row per pair: Pair_ID, Set_ID, Gene, Amplifier, Pair #, and the P1 and P2 names and full sequences (initiator + spacer + binding arm, 45 nt). The binding arms, arm lengths and GC% are calculated from the sequences. 5. Delete the grey example rows, save, and ask whoever maintains the viewer to rebuild it. Columns with dark-blue headers that you leave empty (genome LOC, confidence, check notes) are filled when the sets are checked.</t>
  </si>
  <si>
    <t xml:space="preserve">Set_ID</t>
  </si>
  <si>
    <t xml:space="preserve">Designed by</t>
  </si>
  <si>
    <t xml:space="preserve">Gene (short)</t>
  </si>
  <si>
    <t xml:space="preserve">Gene / protein name</t>
  </si>
  <si>
    <t xml:space="preserve">Organism</t>
  </si>
  <si>
    <t xml:space="preserve">LOC / GeneID</t>
  </si>
  <si>
    <t xml:space="preserve">NCBI accession</t>
  </si>
  <si>
    <t xml:space="preserve">Other ID</t>
  </si>
  <si>
    <t xml:space="preserve">Amplifier</t>
  </si>
  <si>
    <t xml:space="preserve">Fluorophore</t>
  </si>
  <si>
    <t xml:space="preserve"># pairs</t>
  </si>
  <si>
    <t xml:space="preserve"># pairs verified on template</t>
  </si>
  <si>
    <t xml:space="preserve">Same gene also on</t>
  </si>
  <si>
    <t xml:space="preserve">Names used in source files</t>
  </si>
  <si>
    <t xml:space="preserve">Source files</t>
  </si>
  <si>
    <t xml:space="preserve">Template(s)</t>
  </si>
  <si>
    <t xml:space="preserve">LOC source</t>
  </si>
  <si>
    <t xml:space="preserve">Genome LOC (genome_cds.fa match)</t>
  </si>
  <si>
    <t xml:space="preserve"># pairs verified in genome</t>
  </si>
  <si>
    <t xml:space="preserve">Genome confidence</t>
  </si>
  <si>
    <t xml:space="preserve">NCBI protein name (genome_cds.fa)</t>
  </si>
  <si>
    <t xml:space="preserve">Name in ncbi_annotation_ultimate.csv</t>
  </si>
  <si>
    <t xml:space="preserve">XP accession(s) of genome LOC</t>
  </si>
  <si>
    <t xml:space="preserve">Check notes</t>
  </si>
  <si>
    <t xml:space="preserve">Status</t>
  </si>
  <si>
    <t xml:space="preserve">Tube / location</t>
  </si>
  <si>
    <t xml:space="preserve">Order date</t>
  </si>
  <si>
    <t xml:space="preserve">Vendor / order ID</t>
  </si>
  <si>
    <t xml:space="preserve">Notes</t>
  </si>
  <si>
    <t xml:space="preserve">XX-001</t>
  </si>
  <si>
    <t xml:space="preserve">Your name</t>
  </si>
  <si>
    <t xml:space="preserve">example-gene</t>
  </si>
  <si>
    <t xml:space="preserve">(protein name if known)</t>
  </si>
  <si>
    <t xml:space="preserve">Bicyclus anynana</t>
  </si>
  <si>
    <t xml:space="preserve">B1</t>
  </si>
  <si>
    <t xml:space="preserve">Designed</t>
  </si>
  <si>
    <t xml:space="preserve">Box 3, slot A4</t>
  </si>
  <si>
    <t xml:space="preserve">Example row: delete before use</t>
  </si>
  <si>
    <t xml:space="preserve">Pair_ID</t>
  </si>
  <si>
    <t xml:space="preserve">Gene</t>
  </si>
  <si>
    <t xml:space="preserve">Pair #</t>
  </si>
  <si>
    <t xml:space="preserve">P1 standard name</t>
  </si>
  <si>
    <t xml:space="preserve">P1 sequence (5′→3′)</t>
  </si>
  <si>
    <t xml:space="preserve">P2 standard name</t>
  </si>
  <si>
    <t xml:space="preserve">P2 sequence (5′→3′)</t>
  </si>
  <si>
    <t xml:space="preserve">P1 original name(s)</t>
  </si>
  <si>
    <t xml:space="preserve">P2 original name(s)</t>
  </si>
  <si>
    <t xml:space="preserve">P1 binding arm</t>
  </si>
  <si>
    <t xml:space="preserve">P2 binding arm</t>
  </si>
  <si>
    <t xml:space="preserve">P1 arm length</t>
  </si>
  <si>
    <t xml:space="preserve">P2 arm length</t>
  </si>
  <si>
    <t xml:space="preserve">P1 arm GC%</t>
  </si>
  <si>
    <t xml:space="preserve">P2 arm GC%</t>
  </si>
  <si>
    <t xml:space="preserve">Template</t>
  </si>
  <si>
    <t xml:space="preserve">Template match</t>
  </si>
  <si>
    <t xml:space="preserve">Site start on template (nt)</t>
  </si>
  <si>
    <t xml:space="preserve">Paired by</t>
  </si>
  <si>
    <t xml:space="preserve">Pool / order (as recorded)</t>
  </si>
  <si>
    <t xml:space="preserve">Genome match (to set LOC)</t>
  </si>
  <si>
    <t xml:space="preserve">Pair flag</t>
  </si>
  <si>
    <t xml:space="preserve">XX-001-01</t>
  </si>
  <si>
    <t xml:space="preserve">example-gene_B1_P1_01</t>
  </si>
  <si>
    <t xml:space="preserve">GAGGAGGGCAGCAAACGGAATCCGCTGCTCGAACACCTCGAAGTC</t>
  </si>
  <si>
    <t xml:space="preserve">example-gene_B1_P2_01</t>
  </si>
  <si>
    <t xml:space="preserve">CGTCGAAGTACTCGCGGTACTCCTTTAGAAGAGTCTTCCTTTACG</t>
  </si>
  <si>
    <t xml:space="preserve">Template_ID</t>
  </si>
  <si>
    <t xml:space="preserve">Header as written in source</t>
  </si>
  <si>
    <t xml:space="preserve">Source file</t>
  </si>
  <si>
    <t xml:space="preserve">Length (nt)</t>
  </si>
  <si>
    <t xml:space="preserve"># pairs assigned here</t>
  </si>
  <si>
    <t xml:space="preserve">Sequence (sense, 5′→3′)</t>
  </si>
  <si>
    <t xml:space="preserve">Fluorophore (lab default)</t>
  </si>
  <si>
    <t xml:space="preserve">P1 5′ initiator half</t>
  </si>
  <si>
    <t xml:space="preserve">P1 spacer</t>
  </si>
  <si>
    <t xml:space="preserve">P2 spacer</t>
  </si>
  <si>
    <t xml:space="preserve">P2 3′ initiator half</t>
  </si>
  <si>
    <t xml:space="preserve"># sets in this file</t>
  </si>
  <si>
    <t xml:space="preserve"># pairs in this file</t>
  </si>
  <si>
    <t xml:space="preserve">AF546</t>
  </si>
  <si>
    <t xml:space="preserve">GAGGAGGGCAGCAAACGG</t>
  </si>
  <si>
    <t xml:space="preserve">AA</t>
  </si>
  <si>
    <t xml:space="preserve">TA</t>
  </si>
  <si>
    <t xml:space="preserve">GAAGAGTCTTCCTTTACG</t>
  </si>
  <si>
    <t xml:space="preserve">B2</t>
  </si>
  <si>
    <t xml:space="preserve">AF647</t>
  </si>
  <si>
    <t xml:space="preserve">CCTCGTAAATCCTCATCA</t>
  </si>
  <si>
    <t xml:space="preserve">ATCATCCAGTAAACCGCC</t>
  </si>
  <si>
    <t xml:space="preserve">B3</t>
  </si>
  <si>
    <t xml:space="preserve">AF488</t>
  </si>
  <si>
    <t xml:space="preserve">GTCCCTGCCTCTATATCT</t>
  </si>
  <si>
    <t xml:space="preserve">TT</t>
  </si>
  <si>
    <t xml:space="preserve">CCACTCAACTTTAACCCG</t>
  </si>
  <si>
    <t xml:space="preserve">B4</t>
  </si>
  <si>
    <t xml:space="preserve">AF514</t>
  </si>
  <si>
    <t xml:space="preserve">CCTCAACCTACCTCCAAC</t>
  </si>
  <si>
    <t xml:space="preserve">AT</t>
  </si>
  <si>
    <t xml:space="preserve">TCTCACCATATTCGCTTC</t>
  </si>
  <si>
    <t xml:space="preserve">B5</t>
  </si>
  <si>
    <t xml:space="preserve">AF594</t>
  </si>
  <si>
    <t xml:space="preserve">CTCACTCCCAATCTCTAT</t>
  </si>
  <si>
    <t xml:space="preserve">CTACCCTACAAATCCAAT</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</si>
</sst>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color rgb="FFFFFFFF"/>
      <name val="Arial"/>
      <family val="0"/>
      <charset val="1"/>
    </font>
    <font>
      <i val="true"/>
      <sz val="10"/>
      <color rgb="FF7F7F7F"/>
      <name val="Arial"/>
      <family val="0"/>
      <charset val="1"/>
    </font>
    <font>
      <i val="true"/>
      <sz val="9"/>
      <color rgb="FF7F7F7F"/>
      <name val="Courier New"/>
      <family val="0"/>
      <charset val="1"/>
    </font>
    <font>
      <sz val="9"/>
      <name val="Courier New"/>
      <family val="0"/>
      <charset val="1"/>
    </font>
  </fonts>
  <fills count="9">
    <fill>
      <patternFill patternType="none"/>
    </fill>
    <fill>
      <patternFill patternType="gray125"/>
    </fill>
    <fill>
      <patternFill patternType="solid">
        <fgColor rgb="FFBF8F00"/>
        <bgColor rgb="FFED7D31"/>
      </patternFill>
    </fill>
    <fill>
      <patternFill patternType="solid">
        <fgColor rgb="FF1F3864"/>
        <bgColor rgb="FF333333"/>
      </patternFill>
    </fill>
    <fill>
      <patternFill patternType="solid">
        <fgColor rgb="FFF4B084"/>
        <bgColor rgb="FFFFD966"/>
      </patternFill>
    </fill>
    <fill>
      <patternFill patternType="solid">
        <fgColor rgb="FFC00000"/>
        <bgColor rgb="FF800000"/>
      </patternFill>
    </fill>
    <fill>
      <patternFill patternType="solid">
        <fgColor rgb="FF70AD47"/>
        <bgColor rgb="FF339966"/>
      </patternFill>
    </fill>
    <fill>
      <patternFill patternType="solid">
        <fgColor rgb="FFFFD966"/>
        <bgColor rgb="FFF4B084"/>
      </patternFill>
    </fill>
    <fill>
      <patternFill patternType="solid">
        <fgColor rgb="FFED7D31"/>
        <bgColor rgb="FFFF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084"/>
      <rgbColor rgb="FFCC99FF"/>
      <rgbColor rgb="FFFFD966"/>
      <rgbColor rgb="FF3366FF"/>
      <rgbColor rgb="FF33CCCC"/>
      <rgbColor rgb="FF99CC00"/>
      <rgbColor rgb="FFFFCC00"/>
      <rgbColor rgb="FFBF8F00"/>
      <rgbColor rgb="FFED7D31"/>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30" hidden="false" customHeight="tru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45" hidden="false" customHeight="tru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30" hidden="false" customHeight="true" outlineLevel="0" collapsed="false">
      <c r="A8" s="2" t="s">
        <v>5</v>
      </c>
    </row>
    <row r="9" customFormat="false" ht="15" hidden="false" customHeight="false" outlineLevel="0" collapsed="false">
      <c r="A9" s="2"/>
    </row>
    <row r="10" customFormat="false" ht="15" hidden="false" customHeight="false" outlineLevel="0" collapsed="false">
      <c r="A10" s="1" t="s">
        <v>6</v>
      </c>
    </row>
    <row r="11" customFormat="false" ht="75" hidden="false" customHeight="true" outlineLevel="0" collapsed="false">
      <c r="A11" s="2" t="s">
        <v>7</v>
      </c>
    </row>
    <row r="12" customFormat="false" ht="15" hidden="false" customHeight="false" outlineLevel="0" collapsed="false">
      <c r="A12" s="2"/>
    </row>
    <row r="13" customFormat="false" ht="15" hidden="false" customHeight="false" outlineLevel="0" collapsed="false">
      <c r="A13" s="1" t="s">
        <v>8</v>
      </c>
    </row>
    <row r="14" customFormat="false" ht="120" hidden="false" customHeight="true" outlineLevel="0" collapsed="false">
      <c r="A14"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20"/>
    <col collapsed="false" customWidth="true" hidden="false" outlineLevel="0" max="4" min="4" style="0" width="34"/>
    <col collapsed="false" customWidth="true" hidden="false" outlineLevel="0" max="6" min="5" style="0" width="16"/>
    <col collapsed="false" customWidth="true" hidden="false" outlineLevel="0" max="7" min="7" style="0" width="17"/>
    <col collapsed="false" customWidth="true" hidden="false" outlineLevel="0" max="8" min="8" style="0" width="18"/>
    <col collapsed="false" customWidth="true" hidden="false" outlineLevel="0" max="9" min="9" style="0" width="10"/>
    <col collapsed="false" customWidth="true" hidden="false" outlineLevel="0" max="10" min="10" style="0" width="11"/>
    <col collapsed="false" customWidth="true" hidden="false" outlineLevel="0" max="11" min="11" style="0" width="8"/>
    <col collapsed="false" customWidth="true" hidden="false" outlineLevel="0" max="12" min="12" style="0" width="11"/>
    <col collapsed="false" customWidth="true" hidden="false" outlineLevel="0" max="13" min="13" style="0" width="13"/>
    <col collapsed="false" customWidth="true" hidden="false" outlineLevel="0" max="14" min="14" style="0" width="28"/>
    <col collapsed="false" customWidth="true" hidden="false" outlineLevel="0" max="15" min="15" style="0" width="30"/>
    <col collapsed="false" customWidth="true" hidden="false" outlineLevel="0" max="16" min="16" style="0" width="12"/>
    <col collapsed="false" customWidth="true" hidden="false" outlineLevel="0" max="18" min="17" style="0" width="17"/>
    <col collapsed="false" customWidth="true" hidden="false" outlineLevel="0" max="20" min="19" style="0" width="11"/>
    <col collapsed="false" customWidth="true" hidden="false" outlineLevel="0" max="22" min="21" style="0" width="34"/>
    <col collapsed="false" customWidth="true" hidden="false" outlineLevel="0" max="23" min="23" style="0" width="30"/>
    <col collapsed="false" customWidth="true" hidden="false" outlineLevel="0" max="24" min="24" style="0" width="40"/>
    <col collapsed="false" customWidth="true" hidden="false" outlineLevel="0" max="25" min="25" style="0" width="12"/>
    <col collapsed="false" customWidth="true" hidden="false" outlineLevel="0" max="26" min="26" style="0" width="16"/>
    <col collapsed="false" customWidth="true" hidden="false" outlineLevel="0" max="27" min="27" style="0" width="12"/>
    <col collapsed="false" customWidth="true" hidden="false" outlineLevel="0" max="28" min="28" style="0" width="16"/>
    <col collapsed="false" customWidth="true" hidden="false" outlineLevel="0" max="29" min="29" style="0" width="34"/>
  </cols>
  <sheetData>
    <row r="1" customFormat="false" ht="31.5" hidden="false" customHeight="true" outlineLevel="0" collapsed="false">
      <c r="A1" s="3" t="s">
        <v>10</v>
      </c>
      <c r="B1" s="3" t="s">
        <v>11</v>
      </c>
      <c r="C1" s="3" t="s">
        <v>12</v>
      </c>
      <c r="D1" s="4" t="s">
        <v>13</v>
      </c>
      <c r="E1" s="3" t="s">
        <v>14</v>
      </c>
      <c r="F1" s="3" t="s">
        <v>15</v>
      </c>
      <c r="G1" s="4" t="s">
        <v>16</v>
      </c>
      <c r="H1" s="4" t="s">
        <v>17</v>
      </c>
      <c r="I1" s="3" t="s">
        <v>18</v>
      </c>
      <c r="J1" s="4" t="s">
        <v>19</v>
      </c>
      <c r="K1" s="4" t="s">
        <v>20</v>
      </c>
      <c r="L1" s="4" t="s">
        <v>21</v>
      </c>
      <c r="M1" s="4" t="s">
        <v>22</v>
      </c>
      <c r="N1" s="4" t="s">
        <v>23</v>
      </c>
      <c r="O1" s="4" t="s">
        <v>24</v>
      </c>
      <c r="P1" s="4" t="s">
        <v>25</v>
      </c>
      <c r="Q1" s="4" t="s">
        <v>26</v>
      </c>
      <c r="R1" s="4" t="s">
        <v>27</v>
      </c>
      <c r="S1" s="4" t="s">
        <v>28</v>
      </c>
      <c r="T1" s="4" t="s">
        <v>29</v>
      </c>
      <c r="U1" s="4" t="s">
        <v>30</v>
      </c>
      <c r="V1" s="4" t="s">
        <v>31</v>
      </c>
      <c r="W1" s="4" t="s">
        <v>32</v>
      </c>
      <c r="X1" s="4" t="s">
        <v>33</v>
      </c>
      <c r="Y1" s="3" t="s">
        <v>34</v>
      </c>
      <c r="Z1" s="3" t="s">
        <v>35</v>
      </c>
      <c r="AA1" s="3" t="s">
        <v>36</v>
      </c>
      <c r="AB1" s="3" t="s">
        <v>37</v>
      </c>
      <c r="AC1" s="3" t="s">
        <v>38</v>
      </c>
    </row>
    <row r="2" customFormat="false" ht="15" hidden="false" customHeight="false" outlineLevel="0" collapsed="false">
      <c r="A2" s="5" t="s">
        <v>39</v>
      </c>
      <c r="B2" s="5" t="s">
        <v>40</v>
      </c>
      <c r="C2" s="5" t="s">
        <v>41</v>
      </c>
      <c r="D2" s="5" t="s">
        <v>42</v>
      </c>
      <c r="E2" s="5" t="s">
        <v>43</v>
      </c>
      <c r="F2" s="5"/>
      <c r="G2" s="5"/>
      <c r="H2" s="5"/>
      <c r="I2" s="5" t="s">
        <v>44</v>
      </c>
      <c r="J2" s="5" t="str">
        <f aca="false">IFERROR(VLOOKUP(I2,Amplifiers!$A:$B,2,FALSE()),"")</f>
        <v>AF546</v>
      </c>
      <c r="K2" s="5" t="n">
        <f aca="false">COUNTIF(Probe_Pairs!$B:$B,A2)</f>
        <v>1</v>
      </c>
      <c r="L2" s="5" t="n">
        <f aca="false">COUNTIFS(Probe_Pairs!$B:$B,A2,Probe_Pairs!$S:$S,"Both halves")</f>
        <v>0</v>
      </c>
      <c r="M2" s="5"/>
      <c r="N2" s="5"/>
      <c r="O2" s="5"/>
      <c r="P2" s="5"/>
      <c r="Q2" s="5"/>
      <c r="R2" s="5"/>
      <c r="S2" s="5" t="str">
        <f aca="false">IF(R2="","",COUNTIFS(Probe_Pairs!$B:$B,A2,Probe_Pairs!$X:$X,"Both halves"))</f>
        <v/>
      </c>
      <c r="T2" s="5" t="str">
        <f aca="false">IF(R2="","",IF(S2*2&gt;=K2,"High","Low"))</f>
        <v/>
      </c>
      <c r="U2" s="5"/>
      <c r="V2" s="5"/>
      <c r="W2" s="5"/>
      <c r="X2" s="5"/>
      <c r="Y2" s="5" t="s">
        <v>45</v>
      </c>
      <c r="Z2" s="5" t="s">
        <v>46</v>
      </c>
      <c r="AA2" s="5"/>
      <c r="AB2" s="5"/>
      <c r="AC2" s="5" t="s">
        <v>47</v>
      </c>
    </row>
    <row r="3" customFormat="false" ht="15" hidden="false" customHeight="false" outlineLevel="0" collapsed="false">
      <c r="J3" s="6" t="str">
        <f aca="false">IF(I3="","",IFERROR(VLOOKUP(I3,Amplifiers!$A:$B,2,FALSE()),""))</f>
        <v/>
      </c>
    </row>
    <row r="4" customFormat="false" ht="15" hidden="false" customHeight="false" outlineLevel="0" collapsed="false">
      <c r="J4" s="6" t="str">
        <f aca="false">IF(I4="","",IFERROR(VLOOKUP(I4,Amplifiers!$A:$B,2,FALSE()),""))</f>
        <v/>
      </c>
    </row>
    <row r="5" customFormat="false" ht="15" hidden="false" customHeight="false" outlineLevel="0" collapsed="false">
      <c r="J5" s="6" t="str">
        <f aca="false">IF(I5="","",IFERROR(VLOOKUP(I5,Amplifiers!$A:$B,2,FALSE()),""))</f>
        <v/>
      </c>
    </row>
    <row r="6" customFormat="false" ht="15" hidden="false" customHeight="false" outlineLevel="0" collapsed="false">
      <c r="J6" s="6" t="str">
        <f aca="false">IF(I6="","",IFERROR(VLOOKUP(I6,Amplifiers!$A:$B,2,FALSE()),""))</f>
        <v/>
      </c>
    </row>
    <row r="7" customFormat="false" ht="15" hidden="false" customHeight="false" outlineLevel="0" collapsed="false">
      <c r="J7" s="6" t="str">
        <f aca="false">IF(I7="","",IFERROR(VLOOKUP(I7,Amplifiers!$A:$B,2,FALSE()),""))</f>
        <v/>
      </c>
    </row>
    <row r="8" customFormat="false" ht="15" hidden="false" customHeight="false" outlineLevel="0" collapsed="false">
      <c r="J8" s="6" t="str">
        <f aca="false">IF(I8="","",IFERROR(VLOOKUP(I8,Amplifiers!$A:$B,2,FALSE()),""))</f>
        <v/>
      </c>
    </row>
    <row r="9" customFormat="false" ht="15" hidden="false" customHeight="false" outlineLevel="0" collapsed="false">
      <c r="J9" s="6" t="str">
        <f aca="false">IF(I9="","",IFERROR(VLOOKUP(I9,Amplifiers!$A:$B,2,FALSE()),""))</f>
        <v/>
      </c>
    </row>
    <row r="10" customFormat="false" ht="15" hidden="false" customHeight="false" outlineLevel="0" collapsed="false">
      <c r="J10" s="6" t="str">
        <f aca="false">IF(I10="","",IFERROR(VLOOKUP(I10,Amplifiers!$A:$B,2,FALSE()),""))</f>
        <v/>
      </c>
    </row>
    <row r="11" customFormat="false" ht="15" hidden="false" customHeight="false" outlineLevel="0" collapsed="false">
      <c r="J11" s="6" t="str">
        <f aca="false">IF(I11="","",IFERROR(VLOOKUP(I11,Amplifiers!$A:$B,2,FALSE()),""))</f>
        <v/>
      </c>
    </row>
    <row r="12" customFormat="false" ht="15" hidden="false" customHeight="false" outlineLevel="0" collapsed="false">
      <c r="J12" s="6" t="str">
        <f aca="false">IF(I12="","",IFERROR(VLOOKUP(I12,Amplifiers!$A:$B,2,FALSE()),""))</f>
        <v/>
      </c>
    </row>
    <row r="13" customFormat="false" ht="15" hidden="false" customHeight="false" outlineLevel="0" collapsed="false">
      <c r="J13" s="6" t="str">
        <f aca="false">IF(I13="","",IFERROR(VLOOKUP(I13,Amplifiers!$A:$B,2,FALSE()),""))</f>
        <v/>
      </c>
    </row>
    <row r="14" customFormat="false" ht="15" hidden="false" customHeight="false" outlineLevel="0" collapsed="false">
      <c r="J14" s="6" t="str">
        <f aca="false">IF(I14="","",IFERROR(VLOOKUP(I14,Amplifiers!$A:$B,2,FALSE()),""))</f>
        <v/>
      </c>
    </row>
    <row r="15" customFormat="false" ht="15" hidden="false" customHeight="false" outlineLevel="0" collapsed="false">
      <c r="J15" s="6" t="str">
        <f aca="false">IF(I15="","",IFERROR(VLOOKUP(I15,Amplifiers!$A:$B,2,FALSE()),""))</f>
        <v/>
      </c>
    </row>
    <row r="16" customFormat="false" ht="15" hidden="false" customHeight="false" outlineLevel="0" collapsed="false">
      <c r="J16" s="6" t="str">
        <f aca="false">IF(I16="","",IFERROR(VLOOKUP(I16,Amplifiers!$A:$B,2,FALSE()),""))</f>
        <v/>
      </c>
    </row>
    <row r="17" customFormat="false" ht="15" hidden="false" customHeight="false" outlineLevel="0" collapsed="false">
      <c r="J17" s="6" t="str">
        <f aca="false">IF(I17="","",IFERROR(VLOOKUP(I17,Amplifiers!$A:$B,2,FALSE()),""))</f>
        <v/>
      </c>
    </row>
    <row r="18" customFormat="false" ht="15" hidden="false" customHeight="false" outlineLevel="0" collapsed="false">
      <c r="J18" s="6" t="str">
        <f aca="false">IF(I18="","",IFERROR(VLOOKUP(I18,Amplifiers!$A:$B,2,FALSE()),""))</f>
        <v/>
      </c>
    </row>
    <row r="19" customFormat="false" ht="15" hidden="false" customHeight="false" outlineLevel="0" collapsed="false">
      <c r="J19" s="6" t="str">
        <f aca="false">IF(I19="","",IFERROR(VLOOKUP(I19,Amplifiers!$A:$B,2,FALSE()),""))</f>
        <v/>
      </c>
    </row>
    <row r="20" customFormat="false" ht="15" hidden="false" customHeight="false" outlineLevel="0" collapsed="false">
      <c r="J20" s="6" t="str">
        <f aca="false">IF(I20="","",IFERROR(VLOOKUP(I20,Amplifiers!$A:$B,2,FALSE()),""))</f>
        <v/>
      </c>
    </row>
    <row r="21" customFormat="false" ht="15" hidden="false" customHeight="false" outlineLevel="0" collapsed="false">
      <c r="J21" s="6" t="str">
        <f aca="false">IF(I21="","",IFERROR(VLOOKUP(I21,Amplifiers!$A:$B,2,FALSE()),""))</f>
        <v/>
      </c>
    </row>
    <row r="22" customFormat="false" ht="15" hidden="false" customHeight="false" outlineLevel="0" collapsed="false">
      <c r="J22" s="6" t="str">
        <f aca="false">IF(I22="","",IFERROR(VLOOKUP(I22,Amplifiers!$A:$B,2,FALSE()),""))</f>
        <v/>
      </c>
    </row>
    <row r="23" customFormat="false" ht="15" hidden="false" customHeight="false" outlineLevel="0" collapsed="false">
      <c r="J23" s="6" t="str">
        <f aca="false">IF(I23="","",IFERROR(VLOOKUP(I23,Amplifiers!$A:$B,2,FALSE()),""))</f>
        <v/>
      </c>
    </row>
    <row r="24" customFormat="false" ht="15" hidden="false" customHeight="false" outlineLevel="0" collapsed="false">
      <c r="J24" s="6" t="str">
        <f aca="false">IF(I24="","",IFERROR(VLOOKUP(I24,Amplifiers!$A:$B,2,FALSE()),""))</f>
        <v/>
      </c>
    </row>
    <row r="25" customFormat="false" ht="15" hidden="false" customHeight="false" outlineLevel="0" collapsed="false">
      <c r="J25" s="6" t="str">
        <f aca="false">IF(I25="","",IFERROR(VLOOKUP(I25,Amplifiers!$A:$B,2,FALSE()),""))</f>
        <v/>
      </c>
    </row>
    <row r="26" customFormat="false" ht="15" hidden="false" customHeight="false" outlineLevel="0" collapsed="false">
      <c r="J26" s="6" t="str">
        <f aca="false">IF(I26="","",IFERROR(VLOOKUP(I26,Amplifiers!$A:$B,2,FALSE()),""))</f>
        <v/>
      </c>
    </row>
    <row r="27" customFormat="false" ht="15" hidden="false" customHeight="false" outlineLevel="0" collapsed="false">
      <c r="J27" s="6" t="str">
        <f aca="false">IF(I27="","",IFERROR(VLOOKUP(I27,Amplifiers!$A:$B,2,FALSE()),""))</f>
        <v/>
      </c>
    </row>
    <row r="28" customFormat="false" ht="15" hidden="false" customHeight="false" outlineLevel="0" collapsed="false">
      <c r="J28" s="6" t="str">
        <f aca="false">IF(I28="","",IFERROR(VLOOKUP(I28,Amplifiers!$A:$B,2,FALSE()),""))</f>
        <v/>
      </c>
    </row>
    <row r="29" customFormat="false" ht="15" hidden="false" customHeight="false" outlineLevel="0" collapsed="false">
      <c r="J29" s="6" t="str">
        <f aca="false">IF(I29="","",IFERROR(VLOOKUP(I29,Amplifiers!$A:$B,2,FALSE()),""))</f>
        <v/>
      </c>
    </row>
    <row r="30" customFormat="false" ht="15" hidden="false" customHeight="false" outlineLevel="0" collapsed="false">
      <c r="J30" s="6" t="str">
        <f aca="false">IF(I30="","",IFERROR(VLOOKUP(I30,Amplifiers!$A:$B,2,FALSE()),""))</f>
        <v/>
      </c>
    </row>
    <row r="31" customFormat="false" ht="15" hidden="false" customHeight="false" outlineLevel="0" collapsed="false">
      <c r="J31" s="6" t="str">
        <f aca="false">IF(I31="","",IFERROR(VLOOKUP(I31,Amplifiers!$A:$B,2,FALSE()),""))</f>
        <v/>
      </c>
    </row>
    <row r="32" customFormat="false" ht="15" hidden="false" customHeight="false" outlineLevel="0" collapsed="false">
      <c r="J32" s="6" t="str">
        <f aca="false">IF(I32="","",IFERROR(VLOOKUP(I32,Amplifiers!$A:$B,2,FALSE()),""))</f>
        <v/>
      </c>
    </row>
    <row r="33" customFormat="false" ht="15" hidden="false" customHeight="false" outlineLevel="0" collapsed="false">
      <c r="J33" s="6" t="str">
        <f aca="false">IF(I33="","",IFERROR(VLOOKUP(I33,Amplifiers!$A:$B,2,FALSE()),""))</f>
        <v/>
      </c>
    </row>
    <row r="34" customFormat="false" ht="15" hidden="false" customHeight="false" outlineLevel="0" collapsed="false">
      <c r="J34" s="6" t="str">
        <f aca="false">IF(I34="","",IFERROR(VLOOKUP(I34,Amplifiers!$A:$B,2,FALSE()),""))</f>
        <v/>
      </c>
    </row>
    <row r="35" customFormat="false" ht="15" hidden="false" customHeight="false" outlineLevel="0" collapsed="false">
      <c r="J35" s="6" t="str">
        <f aca="false">IF(I35="","",IFERROR(VLOOKUP(I35,Amplifiers!$A:$B,2,FALSE()),""))</f>
        <v/>
      </c>
    </row>
    <row r="36" customFormat="false" ht="15" hidden="false" customHeight="false" outlineLevel="0" collapsed="false">
      <c r="J36" s="6" t="str">
        <f aca="false">IF(I36="","",IFERROR(VLOOKUP(I36,Amplifiers!$A:$B,2,FALSE()),""))</f>
        <v/>
      </c>
    </row>
    <row r="37" customFormat="false" ht="15" hidden="false" customHeight="false" outlineLevel="0" collapsed="false">
      <c r="J37" s="6" t="str">
        <f aca="false">IF(I37="","",IFERROR(VLOOKUP(I37,Amplifiers!$A:$B,2,FALSE()),""))</f>
        <v/>
      </c>
    </row>
    <row r="38" customFormat="false" ht="15" hidden="false" customHeight="false" outlineLevel="0" collapsed="false">
      <c r="J38" s="6" t="str">
        <f aca="false">IF(I38="","",IFERROR(VLOOKUP(I38,Amplifiers!$A:$B,2,FALSE()),""))</f>
        <v/>
      </c>
    </row>
    <row r="39" customFormat="false" ht="15" hidden="false" customHeight="false" outlineLevel="0" collapsed="false">
      <c r="J39" s="6" t="str">
        <f aca="false">IF(I39="","",IFERROR(VLOOKUP(I39,Amplifiers!$A:$B,2,FALSE()),""))</f>
        <v/>
      </c>
    </row>
    <row r="40" customFormat="false" ht="15" hidden="false" customHeight="false" outlineLevel="0" collapsed="false">
      <c r="J40" s="6" t="str">
        <f aca="false">IF(I40="","",IFERROR(VLOOKUP(I40,Amplifiers!$A:$B,2,FALSE()),""))</f>
        <v/>
      </c>
    </row>
    <row r="41" customFormat="false" ht="15" hidden="false" customHeight="false" outlineLevel="0" collapsed="false">
      <c r="J41" s="6" t="str">
        <f aca="false">IF(I41="","",IFERROR(VLOOKUP(I41,Amplifiers!$A:$B,2,FALSE()),""))</f>
        <v/>
      </c>
    </row>
    <row r="42" customFormat="false" ht="15" hidden="false" customHeight="false" outlineLevel="0" collapsed="false">
      <c r="J42" s="6" t="str">
        <f aca="false">IF(I42="","",IFERROR(VLOOKUP(I42,Amplifiers!$A:$B,2,FALSE()),""))</f>
        <v/>
      </c>
    </row>
    <row r="43" customFormat="false" ht="15" hidden="false" customHeight="false" outlineLevel="0" collapsed="false">
      <c r="J43" s="6" t="str">
        <f aca="false">IF(I43="","",IFERROR(VLOOKUP(I43,Amplifiers!$A:$B,2,FALSE()),""))</f>
        <v/>
      </c>
    </row>
    <row r="44" customFormat="false" ht="15" hidden="false" customHeight="false" outlineLevel="0" collapsed="false">
      <c r="J44" s="6" t="str">
        <f aca="false">IF(I44="","",IFERROR(VLOOKUP(I44,Amplifiers!$A:$B,2,FALSE()),""))</f>
        <v/>
      </c>
    </row>
    <row r="45" customFormat="false" ht="15" hidden="false" customHeight="false" outlineLevel="0" collapsed="false">
      <c r="J45" s="6" t="str">
        <f aca="false">IF(I45="","",IFERROR(VLOOKUP(I45,Amplifiers!$A:$B,2,FALSE()),""))</f>
        <v/>
      </c>
    </row>
    <row r="46" customFormat="false" ht="15" hidden="false" customHeight="false" outlineLevel="0" collapsed="false">
      <c r="J46" s="6" t="str">
        <f aca="false">IF(I46="","",IFERROR(VLOOKUP(I46,Amplifiers!$A:$B,2,FALSE()),""))</f>
        <v/>
      </c>
    </row>
    <row r="47" customFormat="false" ht="15" hidden="false" customHeight="false" outlineLevel="0" collapsed="false">
      <c r="J47" s="6" t="str">
        <f aca="false">IF(I47="","",IFERROR(VLOOKUP(I47,Amplifiers!$A:$B,2,FALSE()),""))</f>
        <v/>
      </c>
    </row>
    <row r="48" customFormat="false" ht="15" hidden="false" customHeight="false" outlineLevel="0" collapsed="false">
      <c r="J48" s="6" t="str">
        <f aca="false">IF(I48="","",IFERROR(VLOOKUP(I48,Amplifiers!$A:$B,2,FALSE()),""))</f>
        <v/>
      </c>
    </row>
    <row r="49" customFormat="false" ht="15" hidden="false" customHeight="false" outlineLevel="0" collapsed="false">
      <c r="J49" s="6" t="str">
        <f aca="false">IF(I49="","",IFERROR(VLOOKUP(I49,Amplifiers!$A:$B,2,FALSE()),""))</f>
        <v/>
      </c>
    </row>
    <row r="50" customFormat="false" ht="15" hidden="false" customHeight="false" outlineLevel="0" collapsed="false">
      <c r="J50" s="6" t="str">
        <f aca="false">IF(I50="","",IFERROR(VLOOKUP(I50,Amplifiers!$A:$B,2,FALSE()),""))</f>
        <v/>
      </c>
    </row>
    <row r="51" customFormat="false" ht="15" hidden="false" customHeight="false" outlineLevel="0" collapsed="false">
      <c r="J51" s="6" t="str">
        <f aca="false">IF(I51="","",IFERROR(VLOOKUP(I51,Amplifiers!$A:$B,2,FALSE()),""))</f>
        <v/>
      </c>
    </row>
    <row r="52" customFormat="false" ht="15" hidden="false" customHeight="false" outlineLevel="0" collapsed="false">
      <c r="J52" s="6" t="str">
        <f aca="false">IF(I52="","",IFERROR(VLOOKUP(I52,Amplifiers!$A:$B,2,FALSE()),""))</f>
        <v/>
      </c>
    </row>
    <row r="53" customFormat="false" ht="15" hidden="false" customHeight="false" outlineLevel="0" collapsed="false">
      <c r="J53" s="6" t="str">
        <f aca="false">IF(I53="","",IFERROR(VLOOKUP(I53,Amplifiers!$A:$B,2,FALSE()),""))</f>
        <v/>
      </c>
    </row>
    <row r="54" customFormat="false" ht="15" hidden="false" customHeight="false" outlineLevel="0" collapsed="false">
      <c r="J54" s="6" t="str">
        <f aca="false">IF(I54="","",IFERROR(VLOOKUP(I54,Amplifiers!$A:$B,2,FALSE()),""))</f>
        <v/>
      </c>
    </row>
    <row r="55" customFormat="false" ht="15" hidden="false" customHeight="false" outlineLevel="0" collapsed="false">
      <c r="J55" s="6" t="str">
        <f aca="false">IF(I55="","",IFERROR(VLOOKUP(I55,Amplifiers!$A:$B,2,FALSE()),""))</f>
        <v/>
      </c>
    </row>
    <row r="56" customFormat="false" ht="15" hidden="false" customHeight="false" outlineLevel="0" collapsed="false">
      <c r="J56" s="6" t="str">
        <f aca="false">IF(I56="","",IFERROR(VLOOKUP(I56,Amplifiers!$A:$B,2,FALSE()),""))</f>
        <v/>
      </c>
    </row>
    <row r="57" customFormat="false" ht="15" hidden="false" customHeight="false" outlineLevel="0" collapsed="false">
      <c r="J57" s="6" t="str">
        <f aca="false">IF(I57="","",IFERROR(VLOOKUP(I57,Amplifiers!$A:$B,2,FALSE()),""))</f>
        <v/>
      </c>
    </row>
    <row r="58" customFormat="false" ht="15" hidden="false" customHeight="false" outlineLevel="0" collapsed="false">
      <c r="J58" s="6" t="str">
        <f aca="false">IF(I58="","",IFERROR(VLOOKUP(I58,Amplifiers!$A:$B,2,FALSE()),""))</f>
        <v/>
      </c>
    </row>
    <row r="59" customFormat="false" ht="15" hidden="false" customHeight="false" outlineLevel="0" collapsed="false">
      <c r="J59" s="6" t="str">
        <f aca="false">IF(I59="","",IFERROR(VLOOKUP(I59,Amplifiers!$A:$B,2,FALSE()),""))</f>
        <v/>
      </c>
    </row>
    <row r="60" customFormat="false" ht="15" hidden="false" customHeight="false" outlineLevel="0" collapsed="false">
      <c r="J60" s="6" t="str">
        <f aca="false">IF(I60="","",IFERROR(VLOOKUP(I60,Amplifiers!$A:$B,2,FALSE()),""))</f>
        <v/>
      </c>
    </row>
    <row r="61" customFormat="false" ht="15" hidden="false" customHeight="false" outlineLevel="0" collapsed="false">
      <c r="J61" s="6" t="str">
        <f aca="false">IF(I61="","",IFERROR(VLOOKUP(I61,Amplifiers!$A:$B,2,FALSE()),""))</f>
        <v/>
      </c>
    </row>
    <row r="62" customFormat="false" ht="15" hidden="false" customHeight="false" outlineLevel="0" collapsed="false">
      <c r="J62" s="6" t="str">
        <f aca="false">IF(I62="","",IFERROR(VLOOKUP(I62,Amplifiers!$A:$B,2,FALSE()),""))</f>
        <v/>
      </c>
    </row>
    <row r="63" customFormat="false" ht="15" hidden="false" customHeight="false" outlineLevel="0" collapsed="false">
      <c r="J63" s="6" t="str">
        <f aca="false">IF(I63="","",IFERROR(VLOOKUP(I63,Amplifiers!$A:$B,2,FALSE()),""))</f>
        <v/>
      </c>
    </row>
    <row r="64" customFormat="false" ht="15" hidden="false" customHeight="false" outlineLevel="0" collapsed="false">
      <c r="J64" s="6" t="str">
        <f aca="false">IF(I64="","",IFERROR(VLOOKUP(I64,Amplifiers!$A:$B,2,FALSE()),""))</f>
        <v/>
      </c>
    </row>
    <row r="65" customFormat="false" ht="15" hidden="false" customHeight="false" outlineLevel="0" collapsed="false">
      <c r="J65" s="6" t="str">
        <f aca="false">IF(I65="","",IFERROR(VLOOKUP(I65,Amplifiers!$A:$B,2,FALSE()),""))</f>
        <v/>
      </c>
    </row>
    <row r="66" customFormat="false" ht="15" hidden="false" customHeight="false" outlineLevel="0" collapsed="false">
      <c r="J66" s="6" t="str">
        <f aca="false">IF(I66="","",IFERROR(VLOOKUP(I66,Amplifiers!$A:$B,2,FALSE()),""))</f>
        <v/>
      </c>
    </row>
    <row r="67" customFormat="false" ht="15" hidden="false" customHeight="false" outlineLevel="0" collapsed="false">
      <c r="J67" s="6" t="str">
        <f aca="false">IF(I67="","",IFERROR(VLOOKUP(I67,Amplifiers!$A:$B,2,FALSE()),""))</f>
        <v/>
      </c>
    </row>
    <row r="68" customFormat="false" ht="15" hidden="false" customHeight="false" outlineLevel="0" collapsed="false">
      <c r="J68" s="6" t="str">
        <f aca="false">IF(I68="","",IFERROR(VLOOKUP(I68,Amplifiers!$A:$B,2,FALSE()),""))</f>
        <v/>
      </c>
    </row>
    <row r="69" customFormat="false" ht="15" hidden="false" customHeight="false" outlineLevel="0" collapsed="false">
      <c r="J69" s="6" t="str">
        <f aca="false">IF(I69="","",IFERROR(VLOOKUP(I69,Amplifiers!$A:$B,2,FALSE()),""))</f>
        <v/>
      </c>
    </row>
    <row r="70" customFormat="false" ht="15" hidden="false" customHeight="false" outlineLevel="0" collapsed="false">
      <c r="J70" s="6" t="str">
        <f aca="false">IF(I70="","",IFERROR(VLOOKUP(I70,Amplifiers!$A:$B,2,FALSE()),""))</f>
        <v/>
      </c>
    </row>
    <row r="71" customFormat="false" ht="15" hidden="false" customHeight="false" outlineLevel="0" collapsed="false">
      <c r="J71" s="6" t="str">
        <f aca="false">IF(I71="","",IFERROR(VLOOKUP(I71,Amplifiers!$A:$B,2,FALSE()),""))</f>
        <v/>
      </c>
    </row>
    <row r="72" customFormat="false" ht="15" hidden="false" customHeight="false" outlineLevel="0" collapsed="false">
      <c r="J72" s="6" t="str">
        <f aca="false">IF(I72="","",IFERROR(VLOOKUP(I72,Amplifiers!$A:$B,2,FALSE()),""))</f>
        <v/>
      </c>
    </row>
    <row r="73" customFormat="false" ht="15" hidden="false" customHeight="false" outlineLevel="0" collapsed="false">
      <c r="J73" s="6" t="str">
        <f aca="false">IF(I73="","",IFERROR(VLOOKUP(I73,Amplifiers!$A:$B,2,FALSE()),""))</f>
        <v/>
      </c>
    </row>
    <row r="74" customFormat="false" ht="15" hidden="false" customHeight="false" outlineLevel="0" collapsed="false">
      <c r="J74" s="6" t="str">
        <f aca="false">IF(I74="","",IFERROR(VLOOKUP(I74,Amplifiers!$A:$B,2,FALSE()),""))</f>
        <v/>
      </c>
    </row>
    <row r="75" customFormat="false" ht="15" hidden="false" customHeight="false" outlineLevel="0" collapsed="false">
      <c r="J75" s="6" t="str">
        <f aca="false">IF(I75="","",IFERROR(VLOOKUP(I75,Amplifiers!$A:$B,2,FALSE()),""))</f>
        <v/>
      </c>
    </row>
    <row r="76" customFormat="false" ht="15" hidden="false" customHeight="false" outlineLevel="0" collapsed="false">
      <c r="J76" s="6" t="str">
        <f aca="false">IF(I76="","",IFERROR(VLOOKUP(I76,Amplifiers!$A:$B,2,FALSE()),""))</f>
        <v/>
      </c>
    </row>
    <row r="77" customFormat="false" ht="15" hidden="false" customHeight="false" outlineLevel="0" collapsed="false">
      <c r="J77" s="6" t="str">
        <f aca="false">IF(I77="","",IFERROR(VLOOKUP(I77,Amplifiers!$A:$B,2,FALSE()),""))</f>
        <v/>
      </c>
    </row>
    <row r="78" customFormat="false" ht="15" hidden="false" customHeight="false" outlineLevel="0" collapsed="false">
      <c r="J78" s="6" t="str">
        <f aca="false">IF(I78="","",IFERROR(VLOOKUP(I78,Amplifiers!$A:$B,2,FALSE()),""))</f>
        <v/>
      </c>
    </row>
    <row r="79" customFormat="false" ht="15" hidden="false" customHeight="false" outlineLevel="0" collapsed="false">
      <c r="J79" s="6" t="str">
        <f aca="false">IF(I79="","",IFERROR(VLOOKUP(I79,Amplifiers!$A:$B,2,FALSE()),""))</f>
        <v/>
      </c>
    </row>
    <row r="80" customFormat="false" ht="15" hidden="false" customHeight="false" outlineLevel="0" collapsed="false">
      <c r="J80" s="6" t="str">
        <f aca="false">IF(I80="","",IFERROR(VLOOKUP(I80,Amplifiers!$A:$B,2,FALSE()),""))</f>
        <v/>
      </c>
    </row>
    <row r="81" customFormat="false" ht="15" hidden="false" customHeight="false" outlineLevel="0" collapsed="false">
      <c r="J81" s="6" t="str">
        <f aca="false">IF(I81="","",IFERROR(VLOOKUP(I81,Amplifiers!$A:$B,2,FALSE()),""))</f>
        <v/>
      </c>
    </row>
    <row r="82" customFormat="false" ht="15" hidden="false" customHeight="false" outlineLevel="0" collapsed="false">
      <c r="J82" s="6" t="str">
        <f aca="false">IF(I82="","",IFERROR(VLOOKUP(I82,Amplifiers!$A:$B,2,FALSE()),""))</f>
        <v/>
      </c>
    </row>
    <row r="83" customFormat="false" ht="15" hidden="false" customHeight="false" outlineLevel="0" collapsed="false">
      <c r="J83" s="6" t="str">
        <f aca="false">IF(I83="","",IFERROR(VLOOKUP(I83,Amplifiers!$A:$B,2,FALSE()),""))</f>
        <v/>
      </c>
    </row>
    <row r="84" customFormat="false" ht="15" hidden="false" customHeight="false" outlineLevel="0" collapsed="false">
      <c r="J84" s="6" t="str">
        <f aca="false">IF(I84="","",IFERROR(VLOOKUP(I84,Amplifiers!$A:$B,2,FALSE()),""))</f>
        <v/>
      </c>
    </row>
    <row r="85" customFormat="false" ht="15" hidden="false" customHeight="false" outlineLevel="0" collapsed="false">
      <c r="J85" s="6" t="str">
        <f aca="false">IF(I85="","",IFERROR(VLOOKUP(I85,Amplifiers!$A:$B,2,FALSE()),""))</f>
        <v/>
      </c>
    </row>
    <row r="86" customFormat="false" ht="15" hidden="false" customHeight="false" outlineLevel="0" collapsed="false">
      <c r="J86" s="6" t="str">
        <f aca="false">IF(I86="","",IFERROR(VLOOKUP(I86,Amplifiers!$A:$B,2,FALSE()),""))</f>
        <v/>
      </c>
    </row>
    <row r="87" customFormat="false" ht="15" hidden="false" customHeight="false" outlineLevel="0" collapsed="false">
      <c r="J87" s="6" t="str">
        <f aca="false">IF(I87="","",IFERROR(VLOOKUP(I87,Amplifiers!$A:$B,2,FALSE()),""))</f>
        <v/>
      </c>
    </row>
    <row r="88" customFormat="false" ht="15" hidden="false" customHeight="false" outlineLevel="0" collapsed="false">
      <c r="J88" s="6" t="str">
        <f aca="false">IF(I88="","",IFERROR(VLOOKUP(I88,Amplifiers!$A:$B,2,FALSE()),""))</f>
        <v/>
      </c>
    </row>
    <row r="89" customFormat="false" ht="15" hidden="false" customHeight="false" outlineLevel="0" collapsed="false">
      <c r="J89" s="6" t="str">
        <f aca="false">IF(I89="","",IFERROR(VLOOKUP(I89,Amplifiers!$A:$B,2,FALSE()),""))</f>
        <v/>
      </c>
    </row>
    <row r="90" customFormat="false" ht="15" hidden="false" customHeight="false" outlineLevel="0" collapsed="false">
      <c r="J90" s="6" t="str">
        <f aca="false">IF(I90="","",IFERROR(VLOOKUP(I90,Amplifiers!$A:$B,2,FALSE()),""))</f>
        <v/>
      </c>
    </row>
    <row r="91" customFormat="false" ht="15" hidden="false" customHeight="false" outlineLevel="0" collapsed="false">
      <c r="J91" s="6" t="str">
        <f aca="false">IF(I91="","",IFERROR(VLOOKUP(I91,Amplifiers!$A:$B,2,FALSE()),""))</f>
        <v/>
      </c>
    </row>
    <row r="92" customFormat="false" ht="15" hidden="false" customHeight="false" outlineLevel="0" collapsed="false">
      <c r="J92" s="6" t="str">
        <f aca="false">IF(I92="","",IFERROR(VLOOKUP(I92,Amplifiers!$A:$B,2,FALSE()),""))</f>
        <v/>
      </c>
    </row>
    <row r="93" customFormat="false" ht="15" hidden="false" customHeight="false" outlineLevel="0" collapsed="false">
      <c r="J93" s="6" t="str">
        <f aca="false">IF(I93="","",IFERROR(VLOOKUP(I93,Amplifiers!$A:$B,2,FALSE()),""))</f>
        <v/>
      </c>
    </row>
    <row r="94" customFormat="false" ht="15" hidden="false" customHeight="false" outlineLevel="0" collapsed="false">
      <c r="J94" s="6" t="str">
        <f aca="false">IF(I94="","",IFERROR(VLOOKUP(I94,Amplifiers!$A:$B,2,FALSE()),""))</f>
        <v/>
      </c>
    </row>
    <row r="95" customFormat="false" ht="15" hidden="false" customHeight="false" outlineLevel="0" collapsed="false">
      <c r="J95" s="6" t="str">
        <f aca="false">IF(I95="","",IFERROR(VLOOKUP(I95,Amplifiers!$A:$B,2,FALSE()),""))</f>
        <v/>
      </c>
    </row>
    <row r="96" customFormat="false" ht="15" hidden="false" customHeight="false" outlineLevel="0" collapsed="false">
      <c r="J96" s="6" t="str">
        <f aca="false">IF(I96="","",IFERROR(VLOOKUP(I96,Amplifiers!$A:$B,2,FALSE()),""))</f>
        <v/>
      </c>
    </row>
    <row r="97" customFormat="false" ht="15" hidden="false" customHeight="false" outlineLevel="0" collapsed="false">
      <c r="J97" s="6" t="str">
        <f aca="false">IF(I97="","",IFERROR(VLOOKUP(I97,Amplifiers!$A:$B,2,FALSE()),""))</f>
        <v/>
      </c>
    </row>
    <row r="98" customFormat="false" ht="15" hidden="false" customHeight="false" outlineLevel="0" collapsed="false">
      <c r="J98" s="6" t="str">
        <f aca="false">IF(I98="","",IFERROR(VLOOKUP(I98,Amplifiers!$A:$B,2,FALSE()),""))</f>
        <v/>
      </c>
    </row>
    <row r="99" customFormat="false" ht="15" hidden="false" customHeight="false" outlineLevel="0" collapsed="false">
      <c r="J99" s="6" t="str">
        <f aca="false">IF(I99="","",IFERROR(VLOOKUP(I99,Amplifiers!$A:$B,2,FALSE()),""))</f>
        <v/>
      </c>
    </row>
    <row r="100" customFormat="false" ht="15" hidden="false" customHeight="false" outlineLevel="0" collapsed="false">
      <c r="J100" s="6" t="str">
        <f aca="false">IF(I100="","",IFERROR(VLOOKUP(I100,Amplifiers!$A:$B,2,FALSE()),""))</f>
        <v/>
      </c>
    </row>
    <row r="101" customFormat="false" ht="15" hidden="false" customHeight="false" outlineLevel="0" collapsed="false">
      <c r="J101" s="6" t="str">
        <f aca="false">IF(I101="","",IFERROR(VLOOKUP(I101,Amplifiers!$A:$B,2,FALSE()),""))</f>
        <v/>
      </c>
    </row>
    <row r="102" customFormat="false" ht="15" hidden="false" customHeight="false" outlineLevel="0" collapsed="false">
      <c r="J102" s="6" t="str">
        <f aca="false">IF(I102="","",IFERROR(VLOOKUP(I102,Amplifiers!$A:$B,2,FALSE()),""))</f>
        <v/>
      </c>
    </row>
    <row r="103" customFormat="false" ht="15" hidden="false" customHeight="false" outlineLevel="0" collapsed="false">
      <c r="J103" s="6" t="str">
        <f aca="false">IF(I103="","",IFERROR(VLOOKUP(I103,Amplifiers!$A:$B,2,FALSE()),""))</f>
        <v/>
      </c>
    </row>
    <row r="104" customFormat="false" ht="15" hidden="false" customHeight="false" outlineLevel="0" collapsed="false">
      <c r="J104" s="6" t="str">
        <f aca="false">IF(I104="","",IFERROR(VLOOKUP(I104,Amplifiers!$A:$B,2,FALSE()),""))</f>
        <v/>
      </c>
    </row>
    <row r="105" customFormat="false" ht="15" hidden="false" customHeight="false" outlineLevel="0" collapsed="false">
      <c r="J105" s="6" t="str">
        <f aca="false">IF(I105="","",IFERROR(VLOOKUP(I105,Amplifiers!$A:$B,2,FALSE()),""))</f>
        <v/>
      </c>
    </row>
    <row r="106" customFormat="false" ht="15" hidden="false" customHeight="false" outlineLevel="0" collapsed="false">
      <c r="J106" s="6" t="str">
        <f aca="false">IF(I106="","",IFERROR(VLOOKUP(I106,Amplifiers!$A:$B,2,FALSE()),""))</f>
        <v/>
      </c>
    </row>
    <row r="107" customFormat="false" ht="15" hidden="false" customHeight="false" outlineLevel="0" collapsed="false">
      <c r="J107" s="6" t="str">
        <f aca="false">IF(I107="","",IFERROR(VLOOKUP(I107,Amplifiers!$A:$B,2,FALSE()),""))</f>
        <v/>
      </c>
    </row>
    <row r="108" customFormat="false" ht="15" hidden="false" customHeight="false" outlineLevel="0" collapsed="false">
      <c r="J108" s="6" t="str">
        <f aca="false">IF(I108="","",IFERROR(VLOOKUP(I108,Amplifiers!$A:$B,2,FALSE()),""))</f>
        <v/>
      </c>
    </row>
    <row r="109" customFormat="false" ht="15" hidden="false" customHeight="false" outlineLevel="0" collapsed="false">
      <c r="J109" s="6" t="str">
        <f aca="false">IF(I109="","",IFERROR(VLOOKUP(I109,Amplifiers!$A:$B,2,FALSE()),""))</f>
        <v/>
      </c>
    </row>
    <row r="110" customFormat="false" ht="15" hidden="false" customHeight="false" outlineLevel="0" collapsed="false">
      <c r="J110" s="6" t="str">
        <f aca="false">IF(I110="","",IFERROR(VLOOKUP(I110,Amplifiers!$A:$B,2,FALSE()),""))</f>
        <v/>
      </c>
    </row>
    <row r="111" customFormat="false" ht="15" hidden="false" customHeight="false" outlineLevel="0" collapsed="false">
      <c r="J111" s="6" t="str">
        <f aca="false">IF(I111="","",IFERROR(VLOOKUP(I111,Amplifiers!$A:$B,2,FALSE()),""))</f>
        <v/>
      </c>
    </row>
    <row r="112" customFormat="false" ht="15" hidden="false" customHeight="false" outlineLevel="0" collapsed="false">
      <c r="J112" s="6" t="str">
        <f aca="false">IF(I112="","",IFERROR(VLOOKUP(I112,Amplifiers!$A:$B,2,FALSE()),""))</f>
        <v/>
      </c>
    </row>
    <row r="113" customFormat="false" ht="15" hidden="false" customHeight="false" outlineLevel="0" collapsed="false">
      <c r="J113" s="6" t="str">
        <f aca="false">IF(I113="","",IFERROR(VLOOKUP(I113,Amplifiers!$A:$B,2,FALSE()),""))</f>
        <v/>
      </c>
    </row>
    <row r="114" customFormat="false" ht="15" hidden="false" customHeight="false" outlineLevel="0" collapsed="false">
      <c r="J114" s="6" t="str">
        <f aca="false">IF(I114="","",IFERROR(VLOOKUP(I114,Amplifiers!$A:$B,2,FALSE()),""))</f>
        <v/>
      </c>
    </row>
    <row r="115" customFormat="false" ht="15" hidden="false" customHeight="false" outlineLevel="0" collapsed="false">
      <c r="J115" s="6" t="str">
        <f aca="false">IF(I115="","",IFERROR(VLOOKUP(I115,Amplifiers!$A:$B,2,FALSE()),""))</f>
        <v/>
      </c>
    </row>
    <row r="116" customFormat="false" ht="15" hidden="false" customHeight="false" outlineLevel="0" collapsed="false">
      <c r="J116" s="6" t="str">
        <f aca="false">IF(I116="","",IFERROR(VLOOKUP(I116,Amplifiers!$A:$B,2,FALSE()),""))</f>
        <v/>
      </c>
    </row>
    <row r="117" customFormat="false" ht="15" hidden="false" customHeight="false" outlineLevel="0" collapsed="false">
      <c r="J117" s="6" t="str">
        <f aca="false">IF(I117="","",IFERROR(VLOOKUP(I117,Amplifiers!$A:$B,2,FALSE()),""))</f>
        <v/>
      </c>
    </row>
    <row r="118" customFormat="false" ht="15" hidden="false" customHeight="false" outlineLevel="0" collapsed="false">
      <c r="J118" s="6" t="str">
        <f aca="false">IF(I118="","",IFERROR(VLOOKUP(I118,Amplifiers!$A:$B,2,FALSE()),""))</f>
        <v/>
      </c>
    </row>
    <row r="119" customFormat="false" ht="15" hidden="false" customHeight="false" outlineLevel="0" collapsed="false">
      <c r="J119" s="6" t="str">
        <f aca="false">IF(I119="","",IFERROR(VLOOKUP(I119,Amplifiers!$A:$B,2,FALSE()),""))</f>
        <v/>
      </c>
    </row>
    <row r="120" customFormat="false" ht="15" hidden="false" customHeight="false" outlineLevel="0" collapsed="false">
      <c r="J120" s="6" t="str">
        <f aca="false">IF(I120="","",IFERROR(VLOOKUP(I120,Amplifiers!$A:$B,2,FALSE()),""))</f>
        <v/>
      </c>
    </row>
    <row r="121" customFormat="false" ht="15" hidden="false" customHeight="false" outlineLevel="0" collapsed="false">
      <c r="J121" s="6" t="str">
        <f aca="false">IF(I121="","",IFERROR(VLOOKUP(I121,Amplifiers!$A:$B,2,FALSE()),""))</f>
        <v/>
      </c>
    </row>
    <row r="122" customFormat="false" ht="15" hidden="false" customHeight="false" outlineLevel="0" collapsed="false">
      <c r="J122" s="6" t="str">
        <f aca="false">IF(I122="","",IFERROR(VLOOKUP(I122,Amplifiers!$A:$B,2,FALSE()),""))</f>
        <v/>
      </c>
    </row>
    <row r="123" customFormat="false" ht="15" hidden="false" customHeight="false" outlineLevel="0" collapsed="false">
      <c r="J123" s="6" t="str">
        <f aca="false">IF(I123="","",IFERROR(VLOOKUP(I123,Amplifiers!$A:$B,2,FALSE()),""))</f>
        <v/>
      </c>
    </row>
    <row r="124" customFormat="false" ht="15" hidden="false" customHeight="false" outlineLevel="0" collapsed="false">
      <c r="J124" s="6" t="str">
        <f aca="false">IF(I124="","",IFERROR(VLOOKUP(I124,Amplifiers!$A:$B,2,FALSE()),""))</f>
        <v/>
      </c>
    </row>
    <row r="125" customFormat="false" ht="15" hidden="false" customHeight="false" outlineLevel="0" collapsed="false">
      <c r="J125" s="6" t="str">
        <f aca="false">IF(I125="","",IFERROR(VLOOKUP(I125,Amplifiers!$A:$B,2,FALSE()),""))</f>
        <v/>
      </c>
    </row>
    <row r="126" customFormat="false" ht="15" hidden="false" customHeight="false" outlineLevel="0" collapsed="false">
      <c r="J126" s="6" t="str">
        <f aca="false">IF(I126="","",IFERROR(VLOOKUP(I126,Amplifiers!$A:$B,2,FALSE()),""))</f>
        <v/>
      </c>
    </row>
    <row r="127" customFormat="false" ht="15" hidden="false" customHeight="false" outlineLevel="0" collapsed="false">
      <c r="J127" s="6" t="str">
        <f aca="false">IF(I127="","",IFERROR(VLOOKUP(I127,Amplifiers!$A:$B,2,FALSE()),""))</f>
        <v/>
      </c>
    </row>
    <row r="128" customFormat="false" ht="15" hidden="false" customHeight="false" outlineLevel="0" collapsed="false">
      <c r="J128" s="6" t="str">
        <f aca="false">IF(I128="","",IFERROR(VLOOKUP(I128,Amplifiers!$A:$B,2,FALSE()),""))</f>
        <v/>
      </c>
    </row>
    <row r="129" customFormat="false" ht="15" hidden="false" customHeight="false" outlineLevel="0" collapsed="false">
      <c r="J129" s="6" t="str">
        <f aca="false">IF(I129="","",IFERROR(VLOOKUP(I129,Amplifiers!$A:$B,2,FALSE()),""))</f>
        <v/>
      </c>
    </row>
    <row r="130" customFormat="false" ht="15" hidden="false" customHeight="false" outlineLevel="0" collapsed="false">
      <c r="J130" s="6" t="str">
        <f aca="false">IF(I130="","",IFERROR(VLOOKUP(I130,Amplifiers!$A:$B,2,FALSE()),""))</f>
        <v/>
      </c>
    </row>
    <row r="131" customFormat="false" ht="15" hidden="false" customHeight="false" outlineLevel="0" collapsed="false">
      <c r="J131" s="6" t="str">
        <f aca="false">IF(I131="","",IFERROR(VLOOKUP(I131,Amplifiers!$A:$B,2,FALSE()),""))</f>
        <v/>
      </c>
    </row>
    <row r="132" customFormat="false" ht="15" hidden="false" customHeight="false" outlineLevel="0" collapsed="false">
      <c r="J132" s="6" t="str">
        <f aca="false">IF(I132="","",IFERROR(VLOOKUP(I132,Amplifiers!$A:$B,2,FALSE()),""))</f>
        <v/>
      </c>
    </row>
    <row r="133" customFormat="false" ht="15" hidden="false" customHeight="false" outlineLevel="0" collapsed="false">
      <c r="J133" s="6" t="str">
        <f aca="false">IF(I133="","",IFERROR(VLOOKUP(I133,Amplifiers!$A:$B,2,FALSE()),""))</f>
        <v/>
      </c>
    </row>
    <row r="134" customFormat="false" ht="15" hidden="false" customHeight="false" outlineLevel="0" collapsed="false">
      <c r="J134" s="6" t="str">
        <f aca="false">IF(I134="","",IFERROR(VLOOKUP(I134,Amplifiers!$A:$B,2,FALSE()),""))</f>
        <v/>
      </c>
    </row>
    <row r="135" customFormat="false" ht="15" hidden="false" customHeight="false" outlineLevel="0" collapsed="false">
      <c r="J135" s="6" t="str">
        <f aca="false">IF(I135="","",IFERROR(VLOOKUP(I135,Amplifiers!$A:$B,2,FALSE()),""))</f>
        <v/>
      </c>
    </row>
    <row r="136" customFormat="false" ht="15" hidden="false" customHeight="false" outlineLevel="0" collapsed="false">
      <c r="J136" s="6" t="str">
        <f aca="false">IF(I136="","",IFERROR(VLOOKUP(I136,Amplifiers!$A:$B,2,FALSE()),""))</f>
        <v/>
      </c>
    </row>
    <row r="137" customFormat="false" ht="15" hidden="false" customHeight="false" outlineLevel="0" collapsed="false">
      <c r="J137" s="6" t="str">
        <f aca="false">IF(I137="","",IFERROR(VLOOKUP(I137,Amplifiers!$A:$B,2,FALSE()),""))</f>
        <v/>
      </c>
    </row>
    <row r="138" customFormat="false" ht="15" hidden="false" customHeight="false" outlineLevel="0" collapsed="false">
      <c r="J138" s="6" t="str">
        <f aca="false">IF(I138="","",IFERROR(VLOOKUP(I138,Amplifiers!$A:$B,2,FALSE()),""))</f>
        <v/>
      </c>
    </row>
    <row r="139" customFormat="false" ht="15" hidden="false" customHeight="false" outlineLevel="0" collapsed="false">
      <c r="J139" s="6" t="str">
        <f aca="false">IF(I139="","",IFERROR(VLOOKUP(I139,Amplifiers!$A:$B,2,FALSE()),""))</f>
        <v/>
      </c>
    </row>
    <row r="140" customFormat="false" ht="15" hidden="false" customHeight="false" outlineLevel="0" collapsed="false">
      <c r="J140" s="6" t="str">
        <f aca="false">IF(I140="","",IFERROR(VLOOKUP(I140,Amplifiers!$A:$B,2,FALSE()),""))</f>
        <v/>
      </c>
    </row>
    <row r="141" customFormat="false" ht="15" hidden="false" customHeight="false" outlineLevel="0" collapsed="false">
      <c r="J141" s="6" t="str">
        <f aca="false">IF(I141="","",IFERROR(VLOOKUP(I141,Amplifiers!$A:$B,2,FALSE()),""))</f>
        <v/>
      </c>
    </row>
    <row r="142" customFormat="false" ht="15" hidden="false" customHeight="false" outlineLevel="0" collapsed="false">
      <c r="J142" s="6" t="str">
        <f aca="false">IF(I142="","",IFERROR(VLOOKUP(I142,Amplifiers!$A:$B,2,FALSE()),""))</f>
        <v/>
      </c>
    </row>
    <row r="143" customFormat="false" ht="15" hidden="false" customHeight="false" outlineLevel="0" collapsed="false">
      <c r="J143" s="6" t="str">
        <f aca="false">IF(I143="","",IFERROR(VLOOKUP(I143,Amplifiers!$A:$B,2,FALSE()),""))</f>
        <v/>
      </c>
    </row>
    <row r="144" customFormat="false" ht="15" hidden="false" customHeight="false" outlineLevel="0" collapsed="false">
      <c r="J144" s="6" t="str">
        <f aca="false">IF(I144="","",IFERROR(VLOOKUP(I144,Amplifiers!$A:$B,2,FALSE()),""))</f>
        <v/>
      </c>
    </row>
    <row r="145" customFormat="false" ht="15" hidden="false" customHeight="false" outlineLevel="0" collapsed="false">
      <c r="J145" s="6" t="str">
        <f aca="false">IF(I145="","",IFERROR(VLOOKUP(I145,Amplifiers!$A:$B,2,FALSE()),""))</f>
        <v/>
      </c>
    </row>
    <row r="146" customFormat="false" ht="15" hidden="false" customHeight="false" outlineLevel="0" collapsed="false">
      <c r="J146" s="6" t="str">
        <f aca="false">IF(I146="","",IFERROR(VLOOKUP(I146,Amplifiers!$A:$B,2,FALSE()),""))</f>
        <v/>
      </c>
    </row>
    <row r="147" customFormat="false" ht="15" hidden="false" customHeight="false" outlineLevel="0" collapsed="false">
      <c r="J147" s="6" t="str">
        <f aca="false">IF(I147="","",IFERROR(VLOOKUP(I147,Amplifiers!$A:$B,2,FALSE()),""))</f>
        <v/>
      </c>
    </row>
    <row r="148" customFormat="false" ht="15" hidden="false" customHeight="false" outlineLevel="0" collapsed="false">
      <c r="J148" s="6" t="str">
        <f aca="false">IF(I148="","",IFERROR(VLOOKUP(I148,Amplifiers!$A:$B,2,FALSE()),""))</f>
        <v/>
      </c>
    </row>
    <row r="149" customFormat="false" ht="15" hidden="false" customHeight="false" outlineLevel="0" collapsed="false">
      <c r="J149" s="6" t="str">
        <f aca="false">IF(I149="","",IFERROR(VLOOKUP(I149,Amplifiers!$A:$B,2,FALSE()),""))</f>
        <v/>
      </c>
    </row>
    <row r="150" customFormat="false" ht="15" hidden="false" customHeight="false" outlineLevel="0" collapsed="false">
      <c r="J150" s="6" t="str">
        <f aca="false">IF(I150="","",IFERROR(VLOOKUP(I150,Amplifiers!$A:$B,2,FALSE()),""))</f>
        <v/>
      </c>
    </row>
    <row r="151" customFormat="false" ht="15" hidden="false" customHeight="false" outlineLevel="0" collapsed="false">
      <c r="J151" s="6" t="str">
        <f aca="false">IF(I151="","",IFERROR(VLOOKUP(I151,Amplifiers!$A:$B,2,FALSE()),""))</f>
        <v/>
      </c>
    </row>
    <row r="152" customFormat="false" ht="15" hidden="false" customHeight="false" outlineLevel="0" collapsed="false">
      <c r="J152" s="6" t="str">
        <f aca="false">IF(I152="","",IFERROR(VLOOKUP(I152,Amplifiers!$A:$B,2,FALSE()),""))</f>
        <v/>
      </c>
    </row>
    <row r="153" customFormat="false" ht="15" hidden="false" customHeight="false" outlineLevel="0" collapsed="false">
      <c r="J153" s="6" t="str">
        <f aca="false">IF(I153="","",IFERROR(VLOOKUP(I153,Amplifiers!$A:$B,2,FALSE()),""))</f>
        <v/>
      </c>
    </row>
    <row r="154" customFormat="false" ht="15" hidden="false" customHeight="false" outlineLevel="0" collapsed="false">
      <c r="J154" s="6" t="str">
        <f aca="false">IF(I154="","",IFERROR(VLOOKUP(I154,Amplifiers!$A:$B,2,FALSE()),""))</f>
        <v/>
      </c>
    </row>
    <row r="155" customFormat="false" ht="15" hidden="false" customHeight="false" outlineLevel="0" collapsed="false">
      <c r="J155" s="6" t="str">
        <f aca="false">IF(I155="","",IFERROR(VLOOKUP(I155,Amplifiers!$A:$B,2,FALSE()),""))</f>
        <v/>
      </c>
    </row>
    <row r="156" customFormat="false" ht="15" hidden="false" customHeight="false" outlineLevel="0" collapsed="false">
      <c r="J156" s="6" t="str">
        <f aca="false">IF(I156="","",IFERROR(VLOOKUP(I156,Amplifiers!$A:$B,2,FALSE()),""))</f>
        <v/>
      </c>
    </row>
    <row r="157" customFormat="false" ht="15" hidden="false" customHeight="false" outlineLevel="0" collapsed="false">
      <c r="J157" s="6" t="str">
        <f aca="false">IF(I157="","",IFERROR(VLOOKUP(I157,Amplifiers!$A:$B,2,FALSE()),""))</f>
        <v/>
      </c>
    </row>
    <row r="158" customFormat="false" ht="15" hidden="false" customHeight="false" outlineLevel="0" collapsed="false">
      <c r="J158" s="6" t="str">
        <f aca="false">IF(I158="","",IFERROR(VLOOKUP(I158,Amplifiers!$A:$B,2,FALSE()),""))</f>
        <v/>
      </c>
    </row>
    <row r="159" customFormat="false" ht="15" hidden="false" customHeight="false" outlineLevel="0" collapsed="false">
      <c r="J159" s="6" t="str">
        <f aca="false">IF(I159="","",IFERROR(VLOOKUP(I159,Amplifiers!$A:$B,2,FALSE()),""))</f>
        <v/>
      </c>
    </row>
    <row r="160" customFormat="false" ht="15" hidden="false" customHeight="false" outlineLevel="0" collapsed="false">
      <c r="J160" s="6" t="str">
        <f aca="false">IF(I160="","",IFERROR(VLOOKUP(I160,Amplifiers!$A:$B,2,FALSE()),""))</f>
        <v/>
      </c>
    </row>
    <row r="161" customFormat="false" ht="15" hidden="false" customHeight="false" outlineLevel="0" collapsed="false">
      <c r="J161" s="6" t="str">
        <f aca="false">IF(I161="","",IFERROR(VLOOKUP(I161,Amplifiers!$A:$B,2,FALSE()),""))</f>
        <v/>
      </c>
    </row>
    <row r="162" customFormat="false" ht="15" hidden="false" customHeight="false" outlineLevel="0" collapsed="false">
      <c r="J162" s="6" t="str">
        <f aca="false">IF(I162="","",IFERROR(VLOOKUP(I162,Amplifiers!$A:$B,2,FALSE()),""))</f>
        <v/>
      </c>
    </row>
    <row r="163" customFormat="false" ht="15" hidden="false" customHeight="false" outlineLevel="0" collapsed="false">
      <c r="J163" s="6" t="str">
        <f aca="false">IF(I163="","",IFERROR(VLOOKUP(I163,Amplifiers!$A:$B,2,FALSE()),""))</f>
        <v/>
      </c>
    </row>
    <row r="164" customFormat="false" ht="15" hidden="false" customHeight="false" outlineLevel="0" collapsed="false">
      <c r="J164" s="6" t="str">
        <f aca="false">IF(I164="","",IFERROR(VLOOKUP(I164,Amplifiers!$A:$B,2,FALSE()),""))</f>
        <v/>
      </c>
    </row>
    <row r="165" customFormat="false" ht="15" hidden="false" customHeight="false" outlineLevel="0" collapsed="false">
      <c r="J165" s="6" t="str">
        <f aca="false">IF(I165="","",IFERROR(VLOOKUP(I165,Amplifiers!$A:$B,2,FALSE()),""))</f>
        <v/>
      </c>
    </row>
    <row r="166" customFormat="false" ht="15" hidden="false" customHeight="false" outlineLevel="0" collapsed="false">
      <c r="J166" s="6" t="str">
        <f aca="false">IF(I166="","",IFERROR(VLOOKUP(I166,Amplifiers!$A:$B,2,FALSE()),""))</f>
        <v/>
      </c>
    </row>
    <row r="167" customFormat="false" ht="15" hidden="false" customHeight="false" outlineLevel="0" collapsed="false">
      <c r="J167" s="6" t="str">
        <f aca="false">IF(I167="","",IFERROR(VLOOKUP(I167,Amplifiers!$A:$B,2,FALSE()),""))</f>
        <v/>
      </c>
    </row>
    <row r="168" customFormat="false" ht="15" hidden="false" customHeight="false" outlineLevel="0" collapsed="false">
      <c r="J168" s="6" t="str">
        <f aca="false">IF(I168="","",IFERROR(VLOOKUP(I168,Amplifiers!$A:$B,2,FALSE()),""))</f>
        <v/>
      </c>
    </row>
    <row r="169" customFormat="false" ht="15" hidden="false" customHeight="false" outlineLevel="0" collapsed="false">
      <c r="J169" s="6" t="str">
        <f aca="false">IF(I169="","",IFERROR(VLOOKUP(I169,Amplifiers!$A:$B,2,FALSE()),""))</f>
        <v/>
      </c>
    </row>
    <row r="170" customFormat="false" ht="15" hidden="false" customHeight="false" outlineLevel="0" collapsed="false">
      <c r="J170" s="6" t="str">
        <f aca="false">IF(I170="","",IFERROR(VLOOKUP(I170,Amplifiers!$A:$B,2,FALSE()),""))</f>
        <v/>
      </c>
    </row>
    <row r="171" customFormat="false" ht="15" hidden="false" customHeight="false" outlineLevel="0" collapsed="false">
      <c r="J171" s="6" t="str">
        <f aca="false">IF(I171="","",IFERROR(VLOOKUP(I171,Amplifiers!$A:$B,2,FALSE()),""))</f>
        <v/>
      </c>
    </row>
    <row r="172" customFormat="false" ht="15" hidden="false" customHeight="false" outlineLevel="0" collapsed="false">
      <c r="J172" s="6" t="str">
        <f aca="false">IF(I172="","",IFERROR(VLOOKUP(I172,Amplifiers!$A:$B,2,FALSE()),""))</f>
        <v/>
      </c>
    </row>
    <row r="173" customFormat="false" ht="15" hidden="false" customHeight="false" outlineLevel="0" collapsed="false">
      <c r="J173" s="6" t="str">
        <f aca="false">IF(I173="","",IFERROR(VLOOKUP(I173,Amplifiers!$A:$B,2,FALSE()),""))</f>
        <v/>
      </c>
    </row>
    <row r="174" customFormat="false" ht="15" hidden="false" customHeight="false" outlineLevel="0" collapsed="false">
      <c r="J174" s="6" t="str">
        <f aca="false">IF(I174="","",IFERROR(VLOOKUP(I174,Amplifiers!$A:$B,2,FALSE()),""))</f>
        <v/>
      </c>
    </row>
    <row r="175" customFormat="false" ht="15" hidden="false" customHeight="false" outlineLevel="0" collapsed="false">
      <c r="J175" s="6" t="str">
        <f aca="false">IF(I175="","",IFERROR(VLOOKUP(I175,Amplifiers!$A:$B,2,FALSE()),""))</f>
        <v/>
      </c>
    </row>
    <row r="176" customFormat="false" ht="15" hidden="false" customHeight="false" outlineLevel="0" collapsed="false">
      <c r="J176" s="6" t="str">
        <f aca="false">IF(I176="","",IFERROR(VLOOKUP(I176,Amplifiers!$A:$B,2,FALSE()),""))</f>
        <v/>
      </c>
    </row>
    <row r="177" customFormat="false" ht="15" hidden="false" customHeight="false" outlineLevel="0" collapsed="false">
      <c r="J177" s="6" t="str">
        <f aca="false">IF(I177="","",IFERROR(VLOOKUP(I177,Amplifiers!$A:$B,2,FALSE()),""))</f>
        <v/>
      </c>
    </row>
    <row r="178" customFormat="false" ht="15" hidden="false" customHeight="false" outlineLevel="0" collapsed="false">
      <c r="J178" s="6" t="str">
        <f aca="false">IF(I178="","",IFERROR(VLOOKUP(I178,Amplifiers!$A:$B,2,FALSE()),""))</f>
        <v/>
      </c>
    </row>
    <row r="179" customFormat="false" ht="15" hidden="false" customHeight="false" outlineLevel="0" collapsed="false">
      <c r="J179" s="6" t="str">
        <f aca="false">IF(I179="","",IFERROR(VLOOKUP(I179,Amplifiers!$A:$B,2,FALSE()),""))</f>
        <v/>
      </c>
    </row>
    <row r="180" customFormat="false" ht="15" hidden="false" customHeight="false" outlineLevel="0" collapsed="false">
      <c r="J180" s="6" t="str">
        <f aca="false">IF(I180="","",IFERROR(VLOOKUP(I180,Amplifiers!$A:$B,2,FALSE()),""))</f>
        <v/>
      </c>
    </row>
    <row r="181" customFormat="false" ht="15" hidden="false" customHeight="false" outlineLevel="0" collapsed="false">
      <c r="J181" s="6" t="str">
        <f aca="false">IF(I181="","",IFERROR(VLOOKUP(I181,Amplifiers!$A:$B,2,FALSE()),""))</f>
        <v/>
      </c>
    </row>
    <row r="182" customFormat="false" ht="15" hidden="false" customHeight="false" outlineLevel="0" collapsed="false">
      <c r="J182" s="6" t="str">
        <f aca="false">IF(I182="","",IFERROR(VLOOKUP(I182,Amplifiers!$A:$B,2,FALSE()),""))</f>
        <v/>
      </c>
    </row>
    <row r="183" customFormat="false" ht="15" hidden="false" customHeight="false" outlineLevel="0" collapsed="false">
      <c r="J183" s="6" t="str">
        <f aca="false">IF(I183="","",IFERROR(VLOOKUP(I183,Amplifiers!$A:$B,2,FALSE()),""))</f>
        <v/>
      </c>
    </row>
    <row r="184" customFormat="false" ht="15" hidden="false" customHeight="false" outlineLevel="0" collapsed="false">
      <c r="J184" s="6" t="str">
        <f aca="false">IF(I184="","",IFERROR(VLOOKUP(I184,Amplifiers!$A:$B,2,FALSE()),""))</f>
        <v/>
      </c>
    </row>
    <row r="185" customFormat="false" ht="15" hidden="false" customHeight="false" outlineLevel="0" collapsed="false">
      <c r="J185" s="6" t="str">
        <f aca="false">IF(I185="","",IFERROR(VLOOKUP(I185,Amplifiers!$A:$B,2,FALSE()),""))</f>
        <v/>
      </c>
    </row>
    <row r="186" customFormat="false" ht="15" hidden="false" customHeight="false" outlineLevel="0" collapsed="false">
      <c r="J186" s="6" t="str">
        <f aca="false">IF(I186="","",IFERROR(VLOOKUP(I186,Amplifiers!$A:$B,2,FALSE()),""))</f>
        <v/>
      </c>
    </row>
    <row r="187" customFormat="false" ht="15" hidden="false" customHeight="false" outlineLevel="0" collapsed="false">
      <c r="J187" s="6" t="str">
        <f aca="false">IF(I187="","",IFERROR(VLOOKUP(I187,Amplifiers!$A:$B,2,FALSE()),""))</f>
        <v/>
      </c>
    </row>
    <row r="188" customFormat="false" ht="15" hidden="false" customHeight="false" outlineLevel="0" collapsed="false">
      <c r="J188" s="6" t="str">
        <f aca="false">IF(I188="","",IFERROR(VLOOKUP(I188,Amplifiers!$A:$B,2,FALSE()),""))</f>
        <v/>
      </c>
    </row>
    <row r="189" customFormat="false" ht="15" hidden="false" customHeight="false" outlineLevel="0" collapsed="false">
      <c r="J189" s="6" t="str">
        <f aca="false">IF(I189="","",IFERROR(VLOOKUP(I189,Amplifiers!$A:$B,2,FALSE()),""))</f>
        <v/>
      </c>
    </row>
    <row r="190" customFormat="false" ht="15" hidden="false" customHeight="false" outlineLevel="0" collapsed="false">
      <c r="J190" s="6" t="str">
        <f aca="false">IF(I190="","",IFERROR(VLOOKUP(I190,Amplifiers!$A:$B,2,FALSE()),""))</f>
        <v/>
      </c>
    </row>
    <row r="191" customFormat="false" ht="15" hidden="false" customHeight="false" outlineLevel="0" collapsed="false">
      <c r="J191" s="6" t="str">
        <f aca="false">IF(I191="","",IFERROR(VLOOKUP(I191,Amplifiers!$A:$B,2,FALSE()),""))</f>
        <v/>
      </c>
    </row>
    <row r="192" customFormat="false" ht="15" hidden="false" customHeight="false" outlineLevel="0" collapsed="false">
      <c r="J192" s="6" t="str">
        <f aca="false">IF(I192="","",IFERROR(VLOOKUP(I192,Amplifiers!$A:$B,2,FALSE()),""))</f>
        <v/>
      </c>
    </row>
    <row r="193" customFormat="false" ht="15" hidden="false" customHeight="false" outlineLevel="0" collapsed="false">
      <c r="J193" s="6" t="str">
        <f aca="false">IF(I193="","",IFERROR(VLOOKUP(I193,Amplifiers!$A:$B,2,FALSE()),""))</f>
        <v/>
      </c>
    </row>
    <row r="194" customFormat="false" ht="15" hidden="false" customHeight="false" outlineLevel="0" collapsed="false">
      <c r="J194" s="6" t="str">
        <f aca="false">IF(I194="","",IFERROR(VLOOKUP(I194,Amplifiers!$A:$B,2,FALSE()),""))</f>
        <v/>
      </c>
    </row>
    <row r="195" customFormat="false" ht="15" hidden="false" customHeight="false" outlineLevel="0" collapsed="false">
      <c r="J195" s="6" t="str">
        <f aca="false">IF(I195="","",IFERROR(VLOOKUP(I195,Amplifiers!$A:$B,2,FALSE()),""))</f>
        <v/>
      </c>
    </row>
    <row r="196" customFormat="false" ht="15" hidden="false" customHeight="false" outlineLevel="0" collapsed="false">
      <c r="J196" s="6" t="str">
        <f aca="false">IF(I196="","",IFERROR(VLOOKUP(I196,Amplifiers!$A:$B,2,FALSE()),""))</f>
        <v/>
      </c>
    </row>
    <row r="197" customFormat="false" ht="15" hidden="false" customHeight="false" outlineLevel="0" collapsed="false">
      <c r="J197" s="6" t="str">
        <f aca="false">IF(I197="","",IFERROR(VLOOKUP(I197,Amplifiers!$A:$B,2,FALSE()),""))</f>
        <v/>
      </c>
    </row>
    <row r="198" customFormat="false" ht="15" hidden="false" customHeight="false" outlineLevel="0" collapsed="false">
      <c r="J198" s="6" t="str">
        <f aca="false">IF(I198="","",IFERROR(VLOOKUP(I198,Amplifiers!$A:$B,2,FALSE()),""))</f>
        <v/>
      </c>
    </row>
    <row r="199" customFormat="false" ht="15" hidden="false" customHeight="false" outlineLevel="0" collapsed="false">
      <c r="J199" s="6" t="str">
        <f aca="false">IF(I199="","",IFERROR(VLOOKUP(I199,Amplifiers!$A:$B,2,FALSE()),""))</f>
        <v/>
      </c>
    </row>
    <row r="200" customFormat="false" ht="15" hidden="false" customHeight="false" outlineLevel="0" collapsed="false">
      <c r="J200" s="6" t="str">
        <f aca="false">IF(I200="","",IFERROR(VLOOKUP(I200,Amplifiers!$A:$B,2,FALSE()),""))</f>
        <v/>
      </c>
    </row>
  </sheetData>
  <dataValidations count="2">
    <dataValidation allowBlank="true" errorStyle="stop" operator="between" showDropDown="false" showErrorMessage="false" showInputMessage="false" sqref="Y2:Y1200" type="list">
      <formula1>"Designed,Ordered,In stock,Validated,Failed,Retired"</formula1>
      <formula2>0</formula2>
    </dataValidation>
    <dataValidation allowBlank="true" errorStyle="stop" operator="between" showDropDown="false" showErrorMessage="false" showInputMessage="false" sqref="I2:I1200" type="list">
      <formula1>"B1,B2,B3,B4,B5"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8"/>
    <col collapsed="false" customWidth="true" hidden="false" outlineLevel="0" max="4" min="4" style="0" width="9"/>
    <col collapsed="false" customWidth="true" hidden="false" outlineLevel="0" max="5" min="5" style="0" width="6"/>
    <col collapsed="false" customWidth="true" hidden="false" outlineLevel="0" max="6" min="6" style="0" width="26"/>
    <col collapsed="false" customWidth="true" hidden="false" outlineLevel="0" max="7" min="7" style="0" width="52"/>
    <col collapsed="false" customWidth="true" hidden="false" outlineLevel="0" max="8" min="8" style="0" width="26"/>
    <col collapsed="false" customWidth="true" hidden="false" outlineLevel="0" max="9" min="9" style="0" width="52"/>
    <col collapsed="false" customWidth="true" hidden="false" outlineLevel="0" max="11" min="10" style="0" width="26"/>
    <col collapsed="false" customWidth="true" hidden="false" outlineLevel="0" max="13" min="12" style="0" width="30"/>
    <col collapsed="false" customWidth="true" hidden="false" outlineLevel="0" max="17" min="14" style="0" width="8"/>
    <col collapsed="false" customWidth="true" hidden="false" outlineLevel="0" max="18" min="18" style="0" width="9"/>
    <col collapsed="false" customWidth="true" hidden="false" outlineLevel="0" max="19" min="19" style="0" width="12"/>
    <col collapsed="false" customWidth="true" hidden="false" outlineLevel="0" max="20" min="20" style="0" width="10"/>
    <col collapsed="false" customWidth="true" hidden="false" outlineLevel="0" max="21" min="21" style="0" width="15"/>
    <col collapsed="false" customWidth="true" hidden="false" outlineLevel="0" max="22" min="22" style="0" width="34"/>
    <col collapsed="false" customWidth="true" hidden="false" outlineLevel="0" max="23" min="23" style="0" width="30"/>
    <col collapsed="false" customWidth="true" hidden="false" outlineLevel="0" max="24" min="24" style="0" width="14"/>
    <col collapsed="false" customWidth="true" hidden="false" outlineLevel="0" max="25" min="25" style="0" width="40"/>
  </cols>
  <sheetData>
    <row r="1" customFormat="false" ht="31.5" hidden="false" customHeight="true" outlineLevel="0" collapsed="false">
      <c r="A1" s="3" t="s">
        <v>48</v>
      </c>
      <c r="B1" s="3" t="s">
        <v>10</v>
      </c>
      <c r="C1" s="3" t="s">
        <v>49</v>
      </c>
      <c r="D1" s="3" t="s">
        <v>18</v>
      </c>
      <c r="E1" s="3" t="s">
        <v>50</v>
      </c>
      <c r="F1" s="3" t="s">
        <v>51</v>
      </c>
      <c r="G1" s="3" t="s">
        <v>52</v>
      </c>
      <c r="H1" s="3" t="s">
        <v>53</v>
      </c>
      <c r="I1" s="3" t="s">
        <v>54</v>
      </c>
      <c r="J1" s="4" t="s">
        <v>55</v>
      </c>
      <c r="K1" s="4" t="s">
        <v>56</v>
      </c>
      <c r="L1" s="4" t="s">
        <v>57</v>
      </c>
      <c r="M1" s="4" t="s">
        <v>58</v>
      </c>
      <c r="N1" s="4" t="s">
        <v>59</v>
      </c>
      <c r="O1" s="4" t="s">
        <v>60</v>
      </c>
      <c r="P1" s="4" t="s">
        <v>61</v>
      </c>
      <c r="Q1" s="4" t="s">
        <v>62</v>
      </c>
      <c r="R1" s="4" t="s">
        <v>63</v>
      </c>
      <c r="S1" s="4" t="s">
        <v>64</v>
      </c>
      <c r="T1" s="4" t="s">
        <v>65</v>
      </c>
      <c r="U1" s="4" t="s">
        <v>66</v>
      </c>
      <c r="V1" s="4" t="s">
        <v>24</v>
      </c>
      <c r="W1" s="4" t="s">
        <v>67</v>
      </c>
      <c r="X1" s="4" t="s">
        <v>68</v>
      </c>
      <c r="Y1" s="4" t="s">
        <v>69</v>
      </c>
    </row>
    <row r="2" customFormat="false" ht="15" hidden="false" customHeight="false" outlineLevel="0" collapsed="false">
      <c r="A2" s="5" t="s">
        <v>70</v>
      </c>
      <c r="B2" s="5" t="s">
        <v>39</v>
      </c>
      <c r="C2" s="5" t="s">
        <v>41</v>
      </c>
      <c r="D2" s="5" t="s">
        <v>44</v>
      </c>
      <c r="E2" s="5" t="n">
        <v>1</v>
      </c>
      <c r="F2" s="5" t="s">
        <v>71</v>
      </c>
      <c r="G2" s="7" t="s">
        <v>72</v>
      </c>
      <c r="H2" s="5" t="s">
        <v>73</v>
      </c>
      <c r="I2" s="7" t="s">
        <v>74</v>
      </c>
      <c r="L2" s="5" t="str">
        <f aca="false">IF(G2="","",MID(G2,21,LEN(G2)-20))</f>
        <v>TCCGCTGCTCGAACACCTCGAAGTC</v>
      </c>
      <c r="M2" s="5" t="str">
        <f aca="false">IF(I2="","",LEFT(I2,LEN(I2)-20))</f>
        <v>CGTCGAAGTACTCGCGGTACTCCTT</v>
      </c>
      <c r="N2" s="5" t="n">
        <f aca="false">LEN(L2)</f>
        <v>25</v>
      </c>
      <c r="O2" s="5" t="n">
        <f aca="false">LEN(M2)</f>
        <v>25</v>
      </c>
      <c r="P2" s="8" t="n">
        <f aca="false">IF(N2=0,"",(N2-LEN(SUBSTITUTE(SUBSTITUTE(L2,"G",""),"C","")))/N2)</f>
        <v>0.6</v>
      </c>
      <c r="Q2" s="8" t="n">
        <f aca="false">IF(O2=0,"",(O2-LEN(SUBSTITUTE(SUBSTITUTE(M2,"G",""),"C","")))/O2)</f>
        <v>0.56</v>
      </c>
    </row>
    <row r="3" customFormat="false" ht="15" hidden="false" customHeight="false" outlineLevel="0" collapsed="false">
      <c r="L3" s="6" t="str">
        <f aca="false">IF(G3="","",MID(G3,21,LEN(G3)-20))</f>
        <v/>
      </c>
      <c r="M3" s="6" t="str">
        <f aca="false">IF(I3="","",LEFT(I3,LEN(I3)-20))</f>
        <v/>
      </c>
      <c r="N3" s="6" t="n">
        <f aca="false">LEN(L3)</f>
        <v>0</v>
      </c>
      <c r="O3" s="6" t="n">
        <f aca="false">LEN(M3)</f>
        <v>0</v>
      </c>
      <c r="P3" s="9" t="str">
        <f aca="false">IF(N3=0,"",(N3-LEN(SUBSTITUTE(SUBSTITUTE(L3,"G",""),"C","")))/N3)</f>
        <v/>
      </c>
      <c r="Q3" s="9" t="str">
        <f aca="false">IF(O3=0,"",(O3-LEN(SUBSTITUTE(SUBSTITUTE(M3,"G",""),"C","")))/O3)</f>
        <v/>
      </c>
    </row>
    <row r="4" customFormat="false" ht="15" hidden="false" customHeight="false" outlineLevel="0" collapsed="false">
      <c r="L4" s="6" t="str">
        <f aca="false">IF(G4="","",MID(G4,21,LEN(G4)-20))</f>
        <v/>
      </c>
      <c r="M4" s="6" t="str">
        <f aca="false">IF(I4="","",LEFT(I4,LEN(I4)-20))</f>
        <v/>
      </c>
      <c r="N4" s="6" t="n">
        <f aca="false">LEN(L4)</f>
        <v>0</v>
      </c>
      <c r="O4" s="6" t="n">
        <f aca="false">LEN(M4)</f>
        <v>0</v>
      </c>
      <c r="P4" s="9" t="str">
        <f aca="false">IF(N4=0,"",(N4-LEN(SUBSTITUTE(SUBSTITUTE(L4,"G",""),"C","")))/N4)</f>
        <v/>
      </c>
      <c r="Q4" s="9" t="str">
        <f aca="false">IF(O4=0,"",(O4-LEN(SUBSTITUTE(SUBSTITUTE(M4,"G",""),"C","")))/O4)</f>
        <v/>
      </c>
    </row>
    <row r="5" customFormat="false" ht="15" hidden="false" customHeight="false" outlineLevel="0" collapsed="false">
      <c r="L5" s="6" t="str">
        <f aca="false">IF(G5="","",MID(G5,21,LEN(G5)-20))</f>
        <v/>
      </c>
      <c r="M5" s="6" t="str">
        <f aca="false">IF(I5="","",LEFT(I5,LEN(I5)-20))</f>
        <v/>
      </c>
      <c r="N5" s="6" t="n">
        <f aca="false">LEN(L5)</f>
        <v>0</v>
      </c>
      <c r="O5" s="6" t="n">
        <f aca="false">LEN(M5)</f>
        <v>0</v>
      </c>
      <c r="P5" s="9" t="str">
        <f aca="false">IF(N5=0,"",(N5-LEN(SUBSTITUTE(SUBSTITUTE(L5,"G",""),"C","")))/N5)</f>
        <v/>
      </c>
      <c r="Q5" s="9" t="str">
        <f aca="false">IF(O5=0,"",(O5-LEN(SUBSTITUTE(SUBSTITUTE(M5,"G",""),"C","")))/O5)</f>
        <v/>
      </c>
    </row>
    <row r="6" customFormat="false" ht="15" hidden="false" customHeight="false" outlineLevel="0" collapsed="false">
      <c r="L6" s="6" t="str">
        <f aca="false">IF(G6="","",MID(G6,21,LEN(G6)-20))</f>
        <v/>
      </c>
      <c r="M6" s="6" t="str">
        <f aca="false">IF(I6="","",LEFT(I6,LEN(I6)-20))</f>
        <v/>
      </c>
      <c r="N6" s="6" t="n">
        <f aca="false">LEN(L6)</f>
        <v>0</v>
      </c>
      <c r="O6" s="6" t="n">
        <f aca="false">LEN(M6)</f>
        <v>0</v>
      </c>
      <c r="P6" s="9" t="str">
        <f aca="false">IF(N6=0,"",(N6-LEN(SUBSTITUTE(SUBSTITUTE(L6,"G",""),"C","")))/N6)</f>
        <v/>
      </c>
      <c r="Q6" s="9" t="str">
        <f aca="false">IF(O6=0,"",(O6-LEN(SUBSTITUTE(SUBSTITUTE(M6,"G",""),"C","")))/O6)</f>
        <v/>
      </c>
    </row>
    <row r="7" customFormat="false" ht="15" hidden="false" customHeight="false" outlineLevel="0" collapsed="false">
      <c r="L7" s="6" t="str">
        <f aca="false">IF(G7="","",MID(G7,21,LEN(G7)-20))</f>
        <v/>
      </c>
      <c r="M7" s="6" t="str">
        <f aca="false">IF(I7="","",LEFT(I7,LEN(I7)-20))</f>
        <v/>
      </c>
      <c r="N7" s="6" t="n">
        <f aca="false">LEN(L7)</f>
        <v>0</v>
      </c>
      <c r="O7" s="6" t="n">
        <f aca="false">LEN(M7)</f>
        <v>0</v>
      </c>
      <c r="P7" s="9" t="str">
        <f aca="false">IF(N7=0,"",(N7-LEN(SUBSTITUTE(SUBSTITUTE(L7,"G",""),"C","")))/N7)</f>
        <v/>
      </c>
      <c r="Q7" s="9" t="str">
        <f aca="false">IF(O7=0,"",(O7-LEN(SUBSTITUTE(SUBSTITUTE(M7,"G",""),"C","")))/O7)</f>
        <v/>
      </c>
    </row>
    <row r="8" customFormat="false" ht="15" hidden="false" customHeight="false" outlineLevel="0" collapsed="false">
      <c r="L8" s="6" t="str">
        <f aca="false">IF(G8="","",MID(G8,21,LEN(G8)-20))</f>
        <v/>
      </c>
      <c r="M8" s="6" t="str">
        <f aca="false">IF(I8="","",LEFT(I8,LEN(I8)-20))</f>
        <v/>
      </c>
      <c r="N8" s="6" t="n">
        <f aca="false">LEN(L8)</f>
        <v>0</v>
      </c>
      <c r="O8" s="6" t="n">
        <f aca="false">LEN(M8)</f>
        <v>0</v>
      </c>
      <c r="P8" s="9" t="str">
        <f aca="false">IF(N8=0,"",(N8-LEN(SUBSTITUTE(SUBSTITUTE(L8,"G",""),"C","")))/N8)</f>
        <v/>
      </c>
      <c r="Q8" s="9" t="str">
        <f aca="false">IF(O8=0,"",(O8-LEN(SUBSTITUTE(SUBSTITUTE(M8,"G",""),"C","")))/O8)</f>
        <v/>
      </c>
    </row>
    <row r="9" customFormat="false" ht="15" hidden="false" customHeight="false" outlineLevel="0" collapsed="false">
      <c r="L9" s="6" t="str">
        <f aca="false">IF(G9="","",MID(G9,21,LEN(G9)-20))</f>
        <v/>
      </c>
      <c r="M9" s="6" t="str">
        <f aca="false">IF(I9="","",LEFT(I9,LEN(I9)-20))</f>
        <v/>
      </c>
      <c r="N9" s="6" t="n">
        <f aca="false">LEN(L9)</f>
        <v>0</v>
      </c>
      <c r="O9" s="6" t="n">
        <f aca="false">LEN(M9)</f>
        <v>0</v>
      </c>
      <c r="P9" s="9" t="str">
        <f aca="false">IF(N9=0,"",(N9-LEN(SUBSTITUTE(SUBSTITUTE(L9,"G",""),"C","")))/N9)</f>
        <v/>
      </c>
      <c r="Q9" s="9" t="str">
        <f aca="false">IF(O9=0,"",(O9-LEN(SUBSTITUTE(SUBSTITUTE(M9,"G",""),"C","")))/O9)</f>
        <v/>
      </c>
    </row>
    <row r="10" customFormat="false" ht="15" hidden="false" customHeight="false" outlineLevel="0" collapsed="false">
      <c r="L10" s="6" t="str">
        <f aca="false">IF(G10="","",MID(G10,21,LEN(G10)-20))</f>
        <v/>
      </c>
      <c r="M10" s="6" t="str">
        <f aca="false">IF(I10="","",LEFT(I10,LEN(I10)-20))</f>
        <v/>
      </c>
      <c r="N10" s="6" t="n">
        <f aca="false">LEN(L10)</f>
        <v>0</v>
      </c>
      <c r="O10" s="6" t="n">
        <f aca="false">LEN(M10)</f>
        <v>0</v>
      </c>
      <c r="P10" s="9" t="str">
        <f aca="false">IF(N10=0,"",(N10-LEN(SUBSTITUTE(SUBSTITUTE(L10,"G",""),"C","")))/N10)</f>
        <v/>
      </c>
      <c r="Q10" s="9" t="str">
        <f aca="false">IF(O10=0,"",(O10-LEN(SUBSTITUTE(SUBSTITUTE(M10,"G",""),"C","")))/O10)</f>
        <v/>
      </c>
    </row>
    <row r="11" customFormat="false" ht="15" hidden="false" customHeight="false" outlineLevel="0" collapsed="false">
      <c r="L11" s="6" t="str">
        <f aca="false">IF(G11="","",MID(G11,21,LEN(G11)-20))</f>
        <v/>
      </c>
      <c r="M11" s="6" t="str">
        <f aca="false">IF(I11="","",LEFT(I11,LEN(I11)-20))</f>
        <v/>
      </c>
      <c r="N11" s="6" t="n">
        <f aca="false">LEN(L11)</f>
        <v>0</v>
      </c>
      <c r="O11" s="6" t="n">
        <f aca="false">LEN(M11)</f>
        <v>0</v>
      </c>
      <c r="P11" s="9" t="str">
        <f aca="false">IF(N11=0,"",(N11-LEN(SUBSTITUTE(SUBSTITUTE(L11,"G",""),"C","")))/N11)</f>
        <v/>
      </c>
      <c r="Q11" s="9" t="str">
        <f aca="false">IF(O11=0,"",(O11-LEN(SUBSTITUTE(SUBSTITUTE(M11,"G",""),"C","")))/O11)</f>
        <v/>
      </c>
    </row>
    <row r="12" customFormat="false" ht="15" hidden="false" customHeight="false" outlineLevel="0" collapsed="false">
      <c r="L12" s="6" t="str">
        <f aca="false">IF(G12="","",MID(G12,21,LEN(G12)-20))</f>
        <v/>
      </c>
      <c r="M12" s="6" t="str">
        <f aca="false">IF(I12="","",LEFT(I12,LEN(I12)-20))</f>
        <v/>
      </c>
      <c r="N12" s="6" t="n">
        <f aca="false">LEN(L12)</f>
        <v>0</v>
      </c>
      <c r="O12" s="6" t="n">
        <f aca="false">LEN(M12)</f>
        <v>0</v>
      </c>
      <c r="P12" s="9" t="str">
        <f aca="false">IF(N12=0,"",(N12-LEN(SUBSTITUTE(SUBSTITUTE(L12,"G",""),"C","")))/N12)</f>
        <v/>
      </c>
      <c r="Q12" s="9" t="str">
        <f aca="false">IF(O12=0,"",(O12-LEN(SUBSTITUTE(SUBSTITUTE(M12,"G",""),"C","")))/O12)</f>
        <v/>
      </c>
    </row>
    <row r="13" customFormat="false" ht="15" hidden="false" customHeight="false" outlineLevel="0" collapsed="false">
      <c r="L13" s="6" t="str">
        <f aca="false">IF(G13="","",MID(G13,21,LEN(G13)-20))</f>
        <v/>
      </c>
      <c r="M13" s="6" t="str">
        <f aca="false">IF(I13="","",LEFT(I13,LEN(I13)-20))</f>
        <v/>
      </c>
      <c r="N13" s="6" t="n">
        <f aca="false">LEN(L13)</f>
        <v>0</v>
      </c>
      <c r="O13" s="6" t="n">
        <f aca="false">LEN(M13)</f>
        <v>0</v>
      </c>
      <c r="P13" s="9" t="str">
        <f aca="false">IF(N13=0,"",(N13-LEN(SUBSTITUTE(SUBSTITUTE(L13,"G",""),"C","")))/N13)</f>
        <v/>
      </c>
      <c r="Q13" s="9" t="str">
        <f aca="false">IF(O13=0,"",(O13-LEN(SUBSTITUTE(SUBSTITUTE(M13,"G",""),"C","")))/O13)</f>
        <v/>
      </c>
    </row>
    <row r="14" customFormat="false" ht="15" hidden="false" customHeight="false" outlineLevel="0" collapsed="false">
      <c r="L14" s="6" t="str">
        <f aca="false">IF(G14="","",MID(G14,21,LEN(G14)-20))</f>
        <v/>
      </c>
      <c r="M14" s="6" t="str">
        <f aca="false">IF(I14="","",LEFT(I14,LEN(I14)-20))</f>
        <v/>
      </c>
      <c r="N14" s="6" t="n">
        <f aca="false">LEN(L14)</f>
        <v>0</v>
      </c>
      <c r="O14" s="6" t="n">
        <f aca="false">LEN(M14)</f>
        <v>0</v>
      </c>
      <c r="P14" s="9" t="str">
        <f aca="false">IF(N14=0,"",(N14-LEN(SUBSTITUTE(SUBSTITUTE(L14,"G",""),"C","")))/N14)</f>
        <v/>
      </c>
      <c r="Q14" s="9" t="str">
        <f aca="false">IF(O14=0,"",(O14-LEN(SUBSTITUTE(SUBSTITUTE(M14,"G",""),"C","")))/O14)</f>
        <v/>
      </c>
    </row>
    <row r="15" customFormat="false" ht="15" hidden="false" customHeight="false" outlineLevel="0" collapsed="false">
      <c r="L15" s="6" t="str">
        <f aca="false">IF(G15="","",MID(G15,21,LEN(G15)-20))</f>
        <v/>
      </c>
      <c r="M15" s="6" t="str">
        <f aca="false">IF(I15="","",LEFT(I15,LEN(I15)-20))</f>
        <v/>
      </c>
      <c r="N15" s="6" t="n">
        <f aca="false">LEN(L15)</f>
        <v>0</v>
      </c>
      <c r="O15" s="6" t="n">
        <f aca="false">LEN(M15)</f>
        <v>0</v>
      </c>
      <c r="P15" s="9" t="str">
        <f aca="false">IF(N15=0,"",(N15-LEN(SUBSTITUTE(SUBSTITUTE(L15,"G",""),"C","")))/N15)</f>
        <v/>
      </c>
      <c r="Q15" s="9" t="str">
        <f aca="false">IF(O15=0,"",(O15-LEN(SUBSTITUTE(SUBSTITUTE(M15,"G",""),"C","")))/O15)</f>
        <v/>
      </c>
    </row>
    <row r="16" customFormat="false" ht="15" hidden="false" customHeight="false" outlineLevel="0" collapsed="false">
      <c r="L16" s="6" t="str">
        <f aca="false">IF(G16="","",MID(G16,21,LEN(G16)-20))</f>
        <v/>
      </c>
      <c r="M16" s="6" t="str">
        <f aca="false">IF(I16="","",LEFT(I16,LEN(I16)-20))</f>
        <v/>
      </c>
      <c r="N16" s="6" t="n">
        <f aca="false">LEN(L16)</f>
        <v>0</v>
      </c>
      <c r="O16" s="6" t="n">
        <f aca="false">LEN(M16)</f>
        <v>0</v>
      </c>
      <c r="P16" s="9" t="str">
        <f aca="false">IF(N16=0,"",(N16-LEN(SUBSTITUTE(SUBSTITUTE(L16,"G",""),"C","")))/N16)</f>
        <v/>
      </c>
      <c r="Q16" s="9" t="str">
        <f aca="false">IF(O16=0,"",(O16-LEN(SUBSTITUTE(SUBSTITUTE(M16,"G",""),"C","")))/O16)</f>
        <v/>
      </c>
    </row>
    <row r="17" customFormat="false" ht="15" hidden="false" customHeight="false" outlineLevel="0" collapsed="false">
      <c r="L17" s="6" t="str">
        <f aca="false">IF(G17="","",MID(G17,21,LEN(G17)-20))</f>
        <v/>
      </c>
      <c r="M17" s="6" t="str">
        <f aca="false">IF(I17="","",LEFT(I17,LEN(I17)-20))</f>
        <v/>
      </c>
      <c r="N17" s="6" t="n">
        <f aca="false">LEN(L17)</f>
        <v>0</v>
      </c>
      <c r="O17" s="6" t="n">
        <f aca="false">LEN(M17)</f>
        <v>0</v>
      </c>
      <c r="P17" s="9" t="str">
        <f aca="false">IF(N17=0,"",(N17-LEN(SUBSTITUTE(SUBSTITUTE(L17,"G",""),"C","")))/N17)</f>
        <v/>
      </c>
      <c r="Q17" s="9" t="str">
        <f aca="false">IF(O17=0,"",(O17-LEN(SUBSTITUTE(SUBSTITUTE(M17,"G",""),"C","")))/O17)</f>
        <v/>
      </c>
    </row>
    <row r="18" customFormat="false" ht="15" hidden="false" customHeight="false" outlineLevel="0" collapsed="false">
      <c r="L18" s="6" t="str">
        <f aca="false">IF(G18="","",MID(G18,21,LEN(G18)-20))</f>
        <v/>
      </c>
      <c r="M18" s="6" t="str">
        <f aca="false">IF(I18="","",LEFT(I18,LEN(I18)-20))</f>
        <v/>
      </c>
      <c r="N18" s="6" t="n">
        <f aca="false">LEN(L18)</f>
        <v>0</v>
      </c>
      <c r="O18" s="6" t="n">
        <f aca="false">LEN(M18)</f>
        <v>0</v>
      </c>
      <c r="P18" s="9" t="str">
        <f aca="false">IF(N18=0,"",(N18-LEN(SUBSTITUTE(SUBSTITUTE(L18,"G",""),"C","")))/N18)</f>
        <v/>
      </c>
      <c r="Q18" s="9" t="str">
        <f aca="false">IF(O18=0,"",(O18-LEN(SUBSTITUTE(SUBSTITUTE(M18,"G",""),"C","")))/O18)</f>
        <v/>
      </c>
    </row>
    <row r="19" customFormat="false" ht="15" hidden="false" customHeight="false" outlineLevel="0" collapsed="false">
      <c r="L19" s="6" t="str">
        <f aca="false">IF(G19="","",MID(G19,21,LEN(G19)-20))</f>
        <v/>
      </c>
      <c r="M19" s="6" t="str">
        <f aca="false">IF(I19="","",LEFT(I19,LEN(I19)-20))</f>
        <v/>
      </c>
      <c r="N19" s="6" t="n">
        <f aca="false">LEN(L19)</f>
        <v>0</v>
      </c>
      <c r="O19" s="6" t="n">
        <f aca="false">LEN(M19)</f>
        <v>0</v>
      </c>
      <c r="P19" s="9" t="str">
        <f aca="false">IF(N19=0,"",(N19-LEN(SUBSTITUTE(SUBSTITUTE(L19,"G",""),"C","")))/N19)</f>
        <v/>
      </c>
      <c r="Q19" s="9" t="str">
        <f aca="false">IF(O19=0,"",(O19-LEN(SUBSTITUTE(SUBSTITUTE(M19,"G",""),"C","")))/O19)</f>
        <v/>
      </c>
    </row>
    <row r="20" customFormat="false" ht="15" hidden="false" customHeight="false" outlineLevel="0" collapsed="false">
      <c r="L20" s="6" t="str">
        <f aca="false">IF(G20="","",MID(G20,21,LEN(G20)-20))</f>
        <v/>
      </c>
      <c r="M20" s="6" t="str">
        <f aca="false">IF(I20="","",LEFT(I20,LEN(I20)-20))</f>
        <v/>
      </c>
      <c r="N20" s="6" t="n">
        <f aca="false">LEN(L20)</f>
        <v>0</v>
      </c>
      <c r="O20" s="6" t="n">
        <f aca="false">LEN(M20)</f>
        <v>0</v>
      </c>
      <c r="P20" s="9" t="str">
        <f aca="false">IF(N20=0,"",(N20-LEN(SUBSTITUTE(SUBSTITUTE(L20,"G",""),"C","")))/N20)</f>
        <v/>
      </c>
      <c r="Q20" s="9" t="str">
        <f aca="false">IF(O20=0,"",(O20-LEN(SUBSTITUTE(SUBSTITUTE(M20,"G",""),"C","")))/O20)</f>
        <v/>
      </c>
    </row>
    <row r="21" customFormat="false" ht="15" hidden="false" customHeight="false" outlineLevel="0" collapsed="false">
      <c r="L21" s="6" t="str">
        <f aca="false">IF(G21="","",MID(G21,21,LEN(G21)-20))</f>
        <v/>
      </c>
      <c r="M21" s="6" t="str">
        <f aca="false">IF(I21="","",LEFT(I21,LEN(I21)-20))</f>
        <v/>
      </c>
      <c r="N21" s="6" t="n">
        <f aca="false">LEN(L21)</f>
        <v>0</v>
      </c>
      <c r="O21" s="6" t="n">
        <f aca="false">LEN(M21)</f>
        <v>0</v>
      </c>
      <c r="P21" s="9" t="str">
        <f aca="false">IF(N21=0,"",(N21-LEN(SUBSTITUTE(SUBSTITUTE(L21,"G",""),"C","")))/N21)</f>
        <v/>
      </c>
      <c r="Q21" s="9" t="str">
        <f aca="false">IF(O21=0,"",(O21-LEN(SUBSTITUTE(SUBSTITUTE(M21,"G",""),"C","")))/O21)</f>
        <v/>
      </c>
    </row>
    <row r="22" customFormat="false" ht="15" hidden="false" customHeight="false" outlineLevel="0" collapsed="false">
      <c r="L22" s="6" t="str">
        <f aca="false">IF(G22="","",MID(G22,21,LEN(G22)-20))</f>
        <v/>
      </c>
      <c r="M22" s="6" t="str">
        <f aca="false">IF(I22="","",LEFT(I22,LEN(I22)-20))</f>
        <v/>
      </c>
      <c r="N22" s="6" t="n">
        <f aca="false">LEN(L22)</f>
        <v>0</v>
      </c>
      <c r="O22" s="6" t="n">
        <f aca="false">LEN(M22)</f>
        <v>0</v>
      </c>
      <c r="P22" s="9" t="str">
        <f aca="false">IF(N22=0,"",(N22-LEN(SUBSTITUTE(SUBSTITUTE(L22,"G",""),"C","")))/N22)</f>
        <v/>
      </c>
      <c r="Q22" s="9" t="str">
        <f aca="false">IF(O22=0,"",(O22-LEN(SUBSTITUTE(SUBSTITUTE(M22,"G",""),"C","")))/O22)</f>
        <v/>
      </c>
    </row>
    <row r="23" customFormat="false" ht="15" hidden="false" customHeight="false" outlineLevel="0" collapsed="false">
      <c r="L23" s="6" t="str">
        <f aca="false">IF(G23="","",MID(G23,21,LEN(G23)-20))</f>
        <v/>
      </c>
      <c r="M23" s="6" t="str">
        <f aca="false">IF(I23="","",LEFT(I23,LEN(I23)-20))</f>
        <v/>
      </c>
      <c r="N23" s="6" t="n">
        <f aca="false">LEN(L23)</f>
        <v>0</v>
      </c>
      <c r="O23" s="6" t="n">
        <f aca="false">LEN(M23)</f>
        <v>0</v>
      </c>
      <c r="P23" s="9" t="str">
        <f aca="false">IF(N23=0,"",(N23-LEN(SUBSTITUTE(SUBSTITUTE(L23,"G",""),"C","")))/N23)</f>
        <v/>
      </c>
      <c r="Q23" s="9" t="str">
        <f aca="false">IF(O23=0,"",(O23-LEN(SUBSTITUTE(SUBSTITUTE(M23,"G",""),"C","")))/O23)</f>
        <v/>
      </c>
    </row>
    <row r="24" customFormat="false" ht="15" hidden="false" customHeight="false" outlineLevel="0" collapsed="false">
      <c r="L24" s="6" t="str">
        <f aca="false">IF(G24="","",MID(G24,21,LEN(G24)-20))</f>
        <v/>
      </c>
      <c r="M24" s="6" t="str">
        <f aca="false">IF(I24="","",LEFT(I24,LEN(I24)-20))</f>
        <v/>
      </c>
      <c r="N24" s="6" t="n">
        <f aca="false">LEN(L24)</f>
        <v>0</v>
      </c>
      <c r="O24" s="6" t="n">
        <f aca="false">LEN(M24)</f>
        <v>0</v>
      </c>
      <c r="P24" s="9" t="str">
        <f aca="false">IF(N24=0,"",(N24-LEN(SUBSTITUTE(SUBSTITUTE(L24,"G",""),"C","")))/N24)</f>
        <v/>
      </c>
      <c r="Q24" s="9" t="str">
        <f aca="false">IF(O24=0,"",(O24-LEN(SUBSTITUTE(SUBSTITUTE(M24,"G",""),"C","")))/O24)</f>
        <v/>
      </c>
    </row>
    <row r="25" customFormat="false" ht="15" hidden="false" customHeight="false" outlineLevel="0" collapsed="false">
      <c r="L25" s="6" t="str">
        <f aca="false">IF(G25="","",MID(G25,21,LEN(G25)-20))</f>
        <v/>
      </c>
      <c r="M25" s="6" t="str">
        <f aca="false">IF(I25="","",LEFT(I25,LEN(I25)-20))</f>
        <v/>
      </c>
      <c r="N25" s="6" t="n">
        <f aca="false">LEN(L25)</f>
        <v>0</v>
      </c>
      <c r="O25" s="6" t="n">
        <f aca="false">LEN(M25)</f>
        <v>0</v>
      </c>
      <c r="P25" s="9" t="str">
        <f aca="false">IF(N25=0,"",(N25-LEN(SUBSTITUTE(SUBSTITUTE(L25,"G",""),"C","")))/N25)</f>
        <v/>
      </c>
      <c r="Q25" s="9" t="str">
        <f aca="false">IF(O25=0,"",(O25-LEN(SUBSTITUTE(SUBSTITUTE(M25,"G",""),"C","")))/O25)</f>
        <v/>
      </c>
    </row>
    <row r="26" customFormat="false" ht="15" hidden="false" customHeight="false" outlineLevel="0" collapsed="false">
      <c r="L26" s="6" t="str">
        <f aca="false">IF(G26="","",MID(G26,21,LEN(G26)-20))</f>
        <v/>
      </c>
      <c r="M26" s="6" t="str">
        <f aca="false">IF(I26="","",LEFT(I26,LEN(I26)-20))</f>
        <v/>
      </c>
      <c r="N26" s="6" t="n">
        <f aca="false">LEN(L26)</f>
        <v>0</v>
      </c>
      <c r="O26" s="6" t="n">
        <f aca="false">LEN(M26)</f>
        <v>0</v>
      </c>
      <c r="P26" s="9" t="str">
        <f aca="false">IF(N26=0,"",(N26-LEN(SUBSTITUTE(SUBSTITUTE(L26,"G",""),"C","")))/N26)</f>
        <v/>
      </c>
      <c r="Q26" s="9" t="str">
        <f aca="false">IF(O26=0,"",(O26-LEN(SUBSTITUTE(SUBSTITUTE(M26,"G",""),"C","")))/O26)</f>
        <v/>
      </c>
    </row>
    <row r="27" customFormat="false" ht="15" hidden="false" customHeight="false" outlineLevel="0" collapsed="false">
      <c r="L27" s="6" t="str">
        <f aca="false">IF(G27="","",MID(G27,21,LEN(G27)-20))</f>
        <v/>
      </c>
      <c r="M27" s="6" t="str">
        <f aca="false">IF(I27="","",LEFT(I27,LEN(I27)-20))</f>
        <v/>
      </c>
      <c r="N27" s="6" t="n">
        <f aca="false">LEN(L27)</f>
        <v>0</v>
      </c>
      <c r="O27" s="6" t="n">
        <f aca="false">LEN(M27)</f>
        <v>0</v>
      </c>
      <c r="P27" s="9" t="str">
        <f aca="false">IF(N27=0,"",(N27-LEN(SUBSTITUTE(SUBSTITUTE(L27,"G",""),"C","")))/N27)</f>
        <v/>
      </c>
      <c r="Q27" s="9" t="str">
        <f aca="false">IF(O27=0,"",(O27-LEN(SUBSTITUTE(SUBSTITUTE(M27,"G",""),"C","")))/O27)</f>
        <v/>
      </c>
    </row>
    <row r="28" customFormat="false" ht="15" hidden="false" customHeight="false" outlineLevel="0" collapsed="false">
      <c r="L28" s="6" t="str">
        <f aca="false">IF(G28="","",MID(G28,21,LEN(G28)-20))</f>
        <v/>
      </c>
      <c r="M28" s="6" t="str">
        <f aca="false">IF(I28="","",LEFT(I28,LEN(I28)-20))</f>
        <v/>
      </c>
      <c r="N28" s="6" t="n">
        <f aca="false">LEN(L28)</f>
        <v>0</v>
      </c>
      <c r="O28" s="6" t="n">
        <f aca="false">LEN(M28)</f>
        <v>0</v>
      </c>
      <c r="P28" s="9" t="str">
        <f aca="false">IF(N28=0,"",(N28-LEN(SUBSTITUTE(SUBSTITUTE(L28,"G",""),"C","")))/N28)</f>
        <v/>
      </c>
      <c r="Q28" s="9" t="str">
        <f aca="false">IF(O28=0,"",(O28-LEN(SUBSTITUTE(SUBSTITUTE(M28,"G",""),"C","")))/O28)</f>
        <v/>
      </c>
    </row>
    <row r="29" customFormat="false" ht="15" hidden="false" customHeight="false" outlineLevel="0" collapsed="false">
      <c r="L29" s="6" t="str">
        <f aca="false">IF(G29="","",MID(G29,21,LEN(G29)-20))</f>
        <v/>
      </c>
      <c r="M29" s="6" t="str">
        <f aca="false">IF(I29="","",LEFT(I29,LEN(I29)-20))</f>
        <v/>
      </c>
      <c r="N29" s="6" t="n">
        <f aca="false">LEN(L29)</f>
        <v>0</v>
      </c>
      <c r="O29" s="6" t="n">
        <f aca="false">LEN(M29)</f>
        <v>0</v>
      </c>
      <c r="P29" s="9" t="str">
        <f aca="false">IF(N29=0,"",(N29-LEN(SUBSTITUTE(SUBSTITUTE(L29,"G",""),"C","")))/N29)</f>
        <v/>
      </c>
      <c r="Q29" s="9" t="str">
        <f aca="false">IF(O29=0,"",(O29-LEN(SUBSTITUTE(SUBSTITUTE(M29,"G",""),"C","")))/O29)</f>
        <v/>
      </c>
    </row>
    <row r="30" customFormat="false" ht="15" hidden="false" customHeight="false" outlineLevel="0" collapsed="false">
      <c r="L30" s="6" t="str">
        <f aca="false">IF(G30="","",MID(G30,21,LEN(G30)-20))</f>
        <v/>
      </c>
      <c r="M30" s="6" t="str">
        <f aca="false">IF(I30="","",LEFT(I30,LEN(I30)-20))</f>
        <v/>
      </c>
      <c r="N30" s="6" t="n">
        <f aca="false">LEN(L30)</f>
        <v>0</v>
      </c>
      <c r="O30" s="6" t="n">
        <f aca="false">LEN(M30)</f>
        <v>0</v>
      </c>
      <c r="P30" s="9" t="str">
        <f aca="false">IF(N30=0,"",(N30-LEN(SUBSTITUTE(SUBSTITUTE(L30,"G",""),"C","")))/N30)</f>
        <v/>
      </c>
      <c r="Q30" s="9" t="str">
        <f aca="false">IF(O30=0,"",(O30-LEN(SUBSTITUTE(SUBSTITUTE(M30,"G",""),"C","")))/O30)</f>
        <v/>
      </c>
    </row>
    <row r="31" customFormat="false" ht="15" hidden="false" customHeight="false" outlineLevel="0" collapsed="false">
      <c r="L31" s="6" t="str">
        <f aca="false">IF(G31="","",MID(G31,21,LEN(G31)-20))</f>
        <v/>
      </c>
      <c r="M31" s="6" t="str">
        <f aca="false">IF(I31="","",LEFT(I31,LEN(I31)-20))</f>
        <v/>
      </c>
      <c r="N31" s="6" t="n">
        <f aca="false">LEN(L31)</f>
        <v>0</v>
      </c>
      <c r="O31" s="6" t="n">
        <f aca="false">LEN(M31)</f>
        <v>0</v>
      </c>
      <c r="P31" s="9" t="str">
        <f aca="false">IF(N31=0,"",(N31-LEN(SUBSTITUTE(SUBSTITUTE(L31,"G",""),"C","")))/N31)</f>
        <v/>
      </c>
      <c r="Q31" s="9" t="str">
        <f aca="false">IF(O31=0,"",(O31-LEN(SUBSTITUTE(SUBSTITUTE(M31,"G",""),"C","")))/O31)</f>
        <v/>
      </c>
    </row>
    <row r="32" customFormat="false" ht="15" hidden="false" customHeight="false" outlineLevel="0" collapsed="false">
      <c r="L32" s="6" t="str">
        <f aca="false">IF(G32="","",MID(G32,21,LEN(G32)-20))</f>
        <v/>
      </c>
      <c r="M32" s="6" t="str">
        <f aca="false">IF(I32="","",LEFT(I32,LEN(I32)-20))</f>
        <v/>
      </c>
      <c r="N32" s="6" t="n">
        <f aca="false">LEN(L32)</f>
        <v>0</v>
      </c>
      <c r="O32" s="6" t="n">
        <f aca="false">LEN(M32)</f>
        <v>0</v>
      </c>
      <c r="P32" s="9" t="str">
        <f aca="false">IF(N32=0,"",(N32-LEN(SUBSTITUTE(SUBSTITUTE(L32,"G",""),"C","")))/N32)</f>
        <v/>
      </c>
      <c r="Q32" s="9" t="str">
        <f aca="false">IF(O32=0,"",(O32-LEN(SUBSTITUTE(SUBSTITUTE(M32,"G",""),"C","")))/O32)</f>
        <v/>
      </c>
    </row>
    <row r="33" customFormat="false" ht="15" hidden="false" customHeight="false" outlineLevel="0" collapsed="false">
      <c r="L33" s="6" t="str">
        <f aca="false">IF(G33="","",MID(G33,21,LEN(G33)-20))</f>
        <v/>
      </c>
      <c r="M33" s="6" t="str">
        <f aca="false">IF(I33="","",LEFT(I33,LEN(I33)-20))</f>
        <v/>
      </c>
      <c r="N33" s="6" t="n">
        <f aca="false">LEN(L33)</f>
        <v>0</v>
      </c>
      <c r="O33" s="6" t="n">
        <f aca="false">LEN(M33)</f>
        <v>0</v>
      </c>
      <c r="P33" s="9" t="str">
        <f aca="false">IF(N33=0,"",(N33-LEN(SUBSTITUTE(SUBSTITUTE(L33,"G",""),"C","")))/N33)</f>
        <v/>
      </c>
      <c r="Q33" s="9" t="str">
        <f aca="false">IF(O33=0,"",(O33-LEN(SUBSTITUTE(SUBSTITUTE(M33,"G",""),"C","")))/O33)</f>
        <v/>
      </c>
    </row>
    <row r="34" customFormat="false" ht="15" hidden="false" customHeight="false" outlineLevel="0" collapsed="false">
      <c r="L34" s="6" t="str">
        <f aca="false">IF(G34="","",MID(G34,21,LEN(G34)-20))</f>
        <v/>
      </c>
      <c r="M34" s="6" t="str">
        <f aca="false">IF(I34="","",LEFT(I34,LEN(I34)-20))</f>
        <v/>
      </c>
      <c r="N34" s="6" t="n">
        <f aca="false">LEN(L34)</f>
        <v>0</v>
      </c>
      <c r="O34" s="6" t="n">
        <f aca="false">LEN(M34)</f>
        <v>0</v>
      </c>
      <c r="P34" s="9" t="str">
        <f aca="false">IF(N34=0,"",(N34-LEN(SUBSTITUTE(SUBSTITUTE(L34,"G",""),"C","")))/N34)</f>
        <v/>
      </c>
      <c r="Q34" s="9" t="str">
        <f aca="false">IF(O34=0,"",(O34-LEN(SUBSTITUTE(SUBSTITUTE(M34,"G",""),"C","")))/O34)</f>
        <v/>
      </c>
    </row>
    <row r="35" customFormat="false" ht="15" hidden="false" customHeight="false" outlineLevel="0" collapsed="false">
      <c r="L35" s="6" t="str">
        <f aca="false">IF(G35="","",MID(G35,21,LEN(G35)-20))</f>
        <v/>
      </c>
      <c r="M35" s="6" t="str">
        <f aca="false">IF(I35="","",LEFT(I35,LEN(I35)-20))</f>
        <v/>
      </c>
      <c r="N35" s="6" t="n">
        <f aca="false">LEN(L35)</f>
        <v>0</v>
      </c>
      <c r="O35" s="6" t="n">
        <f aca="false">LEN(M35)</f>
        <v>0</v>
      </c>
      <c r="P35" s="9" t="str">
        <f aca="false">IF(N35=0,"",(N35-LEN(SUBSTITUTE(SUBSTITUTE(L35,"G",""),"C","")))/N35)</f>
        <v/>
      </c>
      <c r="Q35" s="9" t="str">
        <f aca="false">IF(O35=0,"",(O35-LEN(SUBSTITUTE(SUBSTITUTE(M35,"G",""),"C","")))/O35)</f>
        <v/>
      </c>
    </row>
    <row r="36" customFormat="false" ht="15" hidden="false" customHeight="false" outlineLevel="0" collapsed="false">
      <c r="L36" s="6" t="str">
        <f aca="false">IF(G36="","",MID(G36,21,LEN(G36)-20))</f>
        <v/>
      </c>
      <c r="M36" s="6" t="str">
        <f aca="false">IF(I36="","",LEFT(I36,LEN(I36)-20))</f>
        <v/>
      </c>
      <c r="N36" s="6" t="n">
        <f aca="false">LEN(L36)</f>
        <v>0</v>
      </c>
      <c r="O36" s="6" t="n">
        <f aca="false">LEN(M36)</f>
        <v>0</v>
      </c>
      <c r="P36" s="9" t="str">
        <f aca="false">IF(N36=0,"",(N36-LEN(SUBSTITUTE(SUBSTITUTE(L36,"G",""),"C","")))/N36)</f>
        <v/>
      </c>
      <c r="Q36" s="9" t="str">
        <f aca="false">IF(O36=0,"",(O36-LEN(SUBSTITUTE(SUBSTITUTE(M36,"G",""),"C","")))/O36)</f>
        <v/>
      </c>
    </row>
    <row r="37" customFormat="false" ht="15" hidden="false" customHeight="false" outlineLevel="0" collapsed="false">
      <c r="L37" s="6" t="str">
        <f aca="false">IF(G37="","",MID(G37,21,LEN(G37)-20))</f>
        <v/>
      </c>
      <c r="M37" s="6" t="str">
        <f aca="false">IF(I37="","",LEFT(I37,LEN(I37)-20))</f>
        <v/>
      </c>
      <c r="N37" s="6" t="n">
        <f aca="false">LEN(L37)</f>
        <v>0</v>
      </c>
      <c r="O37" s="6" t="n">
        <f aca="false">LEN(M37)</f>
        <v>0</v>
      </c>
      <c r="P37" s="9" t="str">
        <f aca="false">IF(N37=0,"",(N37-LEN(SUBSTITUTE(SUBSTITUTE(L37,"G",""),"C","")))/N37)</f>
        <v/>
      </c>
      <c r="Q37" s="9" t="str">
        <f aca="false">IF(O37=0,"",(O37-LEN(SUBSTITUTE(SUBSTITUTE(M37,"G",""),"C","")))/O37)</f>
        <v/>
      </c>
    </row>
    <row r="38" customFormat="false" ht="15" hidden="false" customHeight="false" outlineLevel="0" collapsed="false">
      <c r="L38" s="6" t="str">
        <f aca="false">IF(G38="","",MID(G38,21,LEN(G38)-20))</f>
        <v/>
      </c>
      <c r="M38" s="6" t="str">
        <f aca="false">IF(I38="","",LEFT(I38,LEN(I38)-20))</f>
        <v/>
      </c>
      <c r="N38" s="6" t="n">
        <f aca="false">LEN(L38)</f>
        <v>0</v>
      </c>
      <c r="O38" s="6" t="n">
        <f aca="false">LEN(M38)</f>
        <v>0</v>
      </c>
      <c r="P38" s="9" t="str">
        <f aca="false">IF(N38=0,"",(N38-LEN(SUBSTITUTE(SUBSTITUTE(L38,"G",""),"C","")))/N38)</f>
        <v/>
      </c>
      <c r="Q38" s="9" t="str">
        <f aca="false">IF(O38=0,"",(O38-LEN(SUBSTITUTE(SUBSTITUTE(M38,"G",""),"C","")))/O38)</f>
        <v/>
      </c>
    </row>
    <row r="39" customFormat="false" ht="15" hidden="false" customHeight="false" outlineLevel="0" collapsed="false">
      <c r="L39" s="6" t="str">
        <f aca="false">IF(G39="","",MID(G39,21,LEN(G39)-20))</f>
        <v/>
      </c>
      <c r="M39" s="6" t="str">
        <f aca="false">IF(I39="","",LEFT(I39,LEN(I39)-20))</f>
        <v/>
      </c>
      <c r="N39" s="6" t="n">
        <f aca="false">LEN(L39)</f>
        <v>0</v>
      </c>
      <c r="O39" s="6" t="n">
        <f aca="false">LEN(M39)</f>
        <v>0</v>
      </c>
      <c r="P39" s="9" t="str">
        <f aca="false">IF(N39=0,"",(N39-LEN(SUBSTITUTE(SUBSTITUTE(L39,"G",""),"C","")))/N39)</f>
        <v/>
      </c>
      <c r="Q39" s="9" t="str">
        <f aca="false">IF(O39=0,"",(O39-LEN(SUBSTITUTE(SUBSTITUTE(M39,"G",""),"C","")))/O39)</f>
        <v/>
      </c>
    </row>
    <row r="40" customFormat="false" ht="15" hidden="false" customHeight="false" outlineLevel="0" collapsed="false">
      <c r="L40" s="6" t="str">
        <f aca="false">IF(G40="","",MID(G40,21,LEN(G40)-20))</f>
        <v/>
      </c>
      <c r="M40" s="6" t="str">
        <f aca="false">IF(I40="","",LEFT(I40,LEN(I40)-20))</f>
        <v/>
      </c>
      <c r="N40" s="6" t="n">
        <f aca="false">LEN(L40)</f>
        <v>0</v>
      </c>
      <c r="O40" s="6" t="n">
        <f aca="false">LEN(M40)</f>
        <v>0</v>
      </c>
      <c r="P40" s="9" t="str">
        <f aca="false">IF(N40=0,"",(N40-LEN(SUBSTITUTE(SUBSTITUTE(L40,"G",""),"C","")))/N40)</f>
        <v/>
      </c>
      <c r="Q40" s="9" t="str">
        <f aca="false">IF(O40=0,"",(O40-LEN(SUBSTITUTE(SUBSTITUTE(M40,"G",""),"C","")))/O40)</f>
        <v/>
      </c>
    </row>
    <row r="41" customFormat="false" ht="15" hidden="false" customHeight="false" outlineLevel="0" collapsed="false">
      <c r="L41" s="6" t="str">
        <f aca="false">IF(G41="","",MID(G41,21,LEN(G41)-20))</f>
        <v/>
      </c>
      <c r="M41" s="6" t="str">
        <f aca="false">IF(I41="","",LEFT(I41,LEN(I41)-20))</f>
        <v/>
      </c>
      <c r="N41" s="6" t="n">
        <f aca="false">LEN(L41)</f>
        <v>0</v>
      </c>
      <c r="O41" s="6" t="n">
        <f aca="false">LEN(M41)</f>
        <v>0</v>
      </c>
      <c r="P41" s="9" t="str">
        <f aca="false">IF(N41=0,"",(N41-LEN(SUBSTITUTE(SUBSTITUTE(L41,"G",""),"C","")))/N41)</f>
        <v/>
      </c>
      <c r="Q41" s="9" t="str">
        <f aca="false">IF(O41=0,"",(O41-LEN(SUBSTITUTE(SUBSTITUTE(M41,"G",""),"C","")))/O41)</f>
        <v/>
      </c>
    </row>
    <row r="42" customFormat="false" ht="15" hidden="false" customHeight="false" outlineLevel="0" collapsed="false">
      <c r="L42" s="6" t="str">
        <f aca="false">IF(G42="","",MID(G42,21,LEN(G42)-20))</f>
        <v/>
      </c>
      <c r="M42" s="6" t="str">
        <f aca="false">IF(I42="","",LEFT(I42,LEN(I42)-20))</f>
        <v/>
      </c>
      <c r="N42" s="6" t="n">
        <f aca="false">LEN(L42)</f>
        <v>0</v>
      </c>
      <c r="O42" s="6" t="n">
        <f aca="false">LEN(M42)</f>
        <v>0</v>
      </c>
      <c r="P42" s="9" t="str">
        <f aca="false">IF(N42=0,"",(N42-LEN(SUBSTITUTE(SUBSTITUTE(L42,"G",""),"C","")))/N42)</f>
        <v/>
      </c>
      <c r="Q42" s="9" t="str">
        <f aca="false">IF(O42=0,"",(O42-LEN(SUBSTITUTE(SUBSTITUTE(M42,"G",""),"C","")))/O42)</f>
        <v/>
      </c>
    </row>
    <row r="43" customFormat="false" ht="15" hidden="false" customHeight="false" outlineLevel="0" collapsed="false">
      <c r="L43" s="6" t="str">
        <f aca="false">IF(G43="","",MID(G43,21,LEN(G43)-20))</f>
        <v/>
      </c>
      <c r="M43" s="6" t="str">
        <f aca="false">IF(I43="","",LEFT(I43,LEN(I43)-20))</f>
        <v/>
      </c>
      <c r="N43" s="6" t="n">
        <f aca="false">LEN(L43)</f>
        <v>0</v>
      </c>
      <c r="O43" s="6" t="n">
        <f aca="false">LEN(M43)</f>
        <v>0</v>
      </c>
      <c r="P43" s="9" t="str">
        <f aca="false">IF(N43=0,"",(N43-LEN(SUBSTITUTE(SUBSTITUTE(L43,"G",""),"C","")))/N43)</f>
        <v/>
      </c>
      <c r="Q43" s="9" t="str">
        <f aca="false">IF(O43=0,"",(O43-LEN(SUBSTITUTE(SUBSTITUTE(M43,"G",""),"C","")))/O43)</f>
        <v/>
      </c>
    </row>
    <row r="44" customFormat="false" ht="15" hidden="false" customHeight="false" outlineLevel="0" collapsed="false">
      <c r="L44" s="6" t="str">
        <f aca="false">IF(G44="","",MID(G44,21,LEN(G44)-20))</f>
        <v/>
      </c>
      <c r="M44" s="6" t="str">
        <f aca="false">IF(I44="","",LEFT(I44,LEN(I44)-20))</f>
        <v/>
      </c>
      <c r="N44" s="6" t="n">
        <f aca="false">LEN(L44)</f>
        <v>0</v>
      </c>
      <c r="O44" s="6" t="n">
        <f aca="false">LEN(M44)</f>
        <v>0</v>
      </c>
      <c r="P44" s="9" t="str">
        <f aca="false">IF(N44=0,"",(N44-LEN(SUBSTITUTE(SUBSTITUTE(L44,"G",""),"C","")))/N44)</f>
        <v/>
      </c>
      <c r="Q44" s="9" t="str">
        <f aca="false">IF(O44=0,"",(O44-LEN(SUBSTITUTE(SUBSTITUTE(M44,"G",""),"C","")))/O44)</f>
        <v/>
      </c>
    </row>
    <row r="45" customFormat="false" ht="15" hidden="false" customHeight="false" outlineLevel="0" collapsed="false">
      <c r="L45" s="6" t="str">
        <f aca="false">IF(G45="","",MID(G45,21,LEN(G45)-20))</f>
        <v/>
      </c>
      <c r="M45" s="6" t="str">
        <f aca="false">IF(I45="","",LEFT(I45,LEN(I45)-20))</f>
        <v/>
      </c>
      <c r="N45" s="6" t="n">
        <f aca="false">LEN(L45)</f>
        <v>0</v>
      </c>
      <c r="O45" s="6" t="n">
        <f aca="false">LEN(M45)</f>
        <v>0</v>
      </c>
      <c r="P45" s="9" t="str">
        <f aca="false">IF(N45=0,"",(N45-LEN(SUBSTITUTE(SUBSTITUTE(L45,"G",""),"C","")))/N45)</f>
        <v/>
      </c>
      <c r="Q45" s="9" t="str">
        <f aca="false">IF(O45=0,"",(O45-LEN(SUBSTITUTE(SUBSTITUTE(M45,"G",""),"C","")))/O45)</f>
        <v/>
      </c>
    </row>
    <row r="46" customFormat="false" ht="15" hidden="false" customHeight="false" outlineLevel="0" collapsed="false">
      <c r="L46" s="6" t="str">
        <f aca="false">IF(G46="","",MID(G46,21,LEN(G46)-20))</f>
        <v/>
      </c>
      <c r="M46" s="6" t="str">
        <f aca="false">IF(I46="","",LEFT(I46,LEN(I46)-20))</f>
        <v/>
      </c>
      <c r="N46" s="6" t="n">
        <f aca="false">LEN(L46)</f>
        <v>0</v>
      </c>
      <c r="O46" s="6" t="n">
        <f aca="false">LEN(M46)</f>
        <v>0</v>
      </c>
      <c r="P46" s="9" t="str">
        <f aca="false">IF(N46=0,"",(N46-LEN(SUBSTITUTE(SUBSTITUTE(L46,"G",""),"C","")))/N46)</f>
        <v/>
      </c>
      <c r="Q46" s="9" t="str">
        <f aca="false">IF(O46=0,"",(O46-LEN(SUBSTITUTE(SUBSTITUTE(M46,"G",""),"C","")))/O46)</f>
        <v/>
      </c>
    </row>
    <row r="47" customFormat="false" ht="15" hidden="false" customHeight="false" outlineLevel="0" collapsed="false">
      <c r="L47" s="6" t="str">
        <f aca="false">IF(G47="","",MID(G47,21,LEN(G47)-20))</f>
        <v/>
      </c>
      <c r="M47" s="6" t="str">
        <f aca="false">IF(I47="","",LEFT(I47,LEN(I47)-20))</f>
        <v/>
      </c>
      <c r="N47" s="6" t="n">
        <f aca="false">LEN(L47)</f>
        <v>0</v>
      </c>
      <c r="O47" s="6" t="n">
        <f aca="false">LEN(M47)</f>
        <v>0</v>
      </c>
      <c r="P47" s="9" t="str">
        <f aca="false">IF(N47=0,"",(N47-LEN(SUBSTITUTE(SUBSTITUTE(L47,"G",""),"C","")))/N47)</f>
        <v/>
      </c>
      <c r="Q47" s="9" t="str">
        <f aca="false">IF(O47=0,"",(O47-LEN(SUBSTITUTE(SUBSTITUTE(M47,"G",""),"C","")))/O47)</f>
        <v/>
      </c>
    </row>
    <row r="48" customFormat="false" ht="15" hidden="false" customHeight="false" outlineLevel="0" collapsed="false">
      <c r="L48" s="6" t="str">
        <f aca="false">IF(G48="","",MID(G48,21,LEN(G48)-20))</f>
        <v/>
      </c>
      <c r="M48" s="6" t="str">
        <f aca="false">IF(I48="","",LEFT(I48,LEN(I48)-20))</f>
        <v/>
      </c>
      <c r="N48" s="6" t="n">
        <f aca="false">LEN(L48)</f>
        <v>0</v>
      </c>
      <c r="O48" s="6" t="n">
        <f aca="false">LEN(M48)</f>
        <v>0</v>
      </c>
      <c r="P48" s="9" t="str">
        <f aca="false">IF(N48=0,"",(N48-LEN(SUBSTITUTE(SUBSTITUTE(L48,"G",""),"C","")))/N48)</f>
        <v/>
      </c>
      <c r="Q48" s="9" t="str">
        <f aca="false">IF(O48=0,"",(O48-LEN(SUBSTITUTE(SUBSTITUTE(M48,"G",""),"C","")))/O48)</f>
        <v/>
      </c>
    </row>
    <row r="49" customFormat="false" ht="15" hidden="false" customHeight="false" outlineLevel="0" collapsed="false">
      <c r="L49" s="6" t="str">
        <f aca="false">IF(G49="","",MID(G49,21,LEN(G49)-20))</f>
        <v/>
      </c>
      <c r="M49" s="6" t="str">
        <f aca="false">IF(I49="","",LEFT(I49,LEN(I49)-20))</f>
        <v/>
      </c>
      <c r="N49" s="6" t="n">
        <f aca="false">LEN(L49)</f>
        <v>0</v>
      </c>
      <c r="O49" s="6" t="n">
        <f aca="false">LEN(M49)</f>
        <v>0</v>
      </c>
      <c r="P49" s="9" t="str">
        <f aca="false">IF(N49=0,"",(N49-LEN(SUBSTITUTE(SUBSTITUTE(L49,"G",""),"C","")))/N49)</f>
        <v/>
      </c>
      <c r="Q49" s="9" t="str">
        <f aca="false">IF(O49=0,"",(O49-LEN(SUBSTITUTE(SUBSTITUTE(M49,"G",""),"C","")))/O49)</f>
        <v/>
      </c>
    </row>
    <row r="50" customFormat="false" ht="15" hidden="false" customHeight="false" outlineLevel="0" collapsed="false">
      <c r="L50" s="6" t="str">
        <f aca="false">IF(G50="","",MID(G50,21,LEN(G50)-20))</f>
        <v/>
      </c>
      <c r="M50" s="6" t="str">
        <f aca="false">IF(I50="","",LEFT(I50,LEN(I50)-20))</f>
        <v/>
      </c>
      <c r="N50" s="6" t="n">
        <f aca="false">LEN(L50)</f>
        <v>0</v>
      </c>
      <c r="O50" s="6" t="n">
        <f aca="false">LEN(M50)</f>
        <v>0</v>
      </c>
      <c r="P50" s="9" t="str">
        <f aca="false">IF(N50=0,"",(N50-LEN(SUBSTITUTE(SUBSTITUTE(L50,"G",""),"C","")))/N50)</f>
        <v/>
      </c>
      <c r="Q50" s="9" t="str">
        <f aca="false">IF(O50=0,"",(O50-LEN(SUBSTITUTE(SUBSTITUTE(M50,"G",""),"C","")))/O50)</f>
        <v/>
      </c>
    </row>
    <row r="51" customFormat="false" ht="15" hidden="false" customHeight="false" outlineLevel="0" collapsed="false">
      <c r="L51" s="6" t="str">
        <f aca="false">IF(G51="","",MID(G51,21,LEN(G51)-20))</f>
        <v/>
      </c>
      <c r="M51" s="6" t="str">
        <f aca="false">IF(I51="","",LEFT(I51,LEN(I51)-20))</f>
        <v/>
      </c>
      <c r="N51" s="6" t="n">
        <f aca="false">LEN(L51)</f>
        <v>0</v>
      </c>
      <c r="O51" s="6" t="n">
        <f aca="false">LEN(M51)</f>
        <v>0</v>
      </c>
      <c r="P51" s="9" t="str">
        <f aca="false">IF(N51=0,"",(N51-LEN(SUBSTITUTE(SUBSTITUTE(L51,"G",""),"C","")))/N51)</f>
        <v/>
      </c>
      <c r="Q51" s="9" t="str">
        <f aca="false">IF(O51=0,"",(O51-LEN(SUBSTITUTE(SUBSTITUTE(M51,"G",""),"C","")))/O51)</f>
        <v/>
      </c>
    </row>
    <row r="52" customFormat="false" ht="15" hidden="false" customHeight="false" outlineLevel="0" collapsed="false">
      <c r="L52" s="6" t="str">
        <f aca="false">IF(G52="","",MID(G52,21,LEN(G52)-20))</f>
        <v/>
      </c>
      <c r="M52" s="6" t="str">
        <f aca="false">IF(I52="","",LEFT(I52,LEN(I52)-20))</f>
        <v/>
      </c>
      <c r="N52" s="6" t="n">
        <f aca="false">LEN(L52)</f>
        <v>0</v>
      </c>
      <c r="O52" s="6" t="n">
        <f aca="false">LEN(M52)</f>
        <v>0</v>
      </c>
      <c r="P52" s="9" t="str">
        <f aca="false">IF(N52=0,"",(N52-LEN(SUBSTITUTE(SUBSTITUTE(L52,"G",""),"C","")))/N52)</f>
        <v/>
      </c>
      <c r="Q52" s="9" t="str">
        <f aca="false">IF(O52=0,"",(O52-LEN(SUBSTITUTE(SUBSTITUTE(M52,"G",""),"C","")))/O52)</f>
        <v/>
      </c>
    </row>
    <row r="53" customFormat="false" ht="15" hidden="false" customHeight="false" outlineLevel="0" collapsed="false">
      <c r="L53" s="6" t="str">
        <f aca="false">IF(G53="","",MID(G53,21,LEN(G53)-20))</f>
        <v/>
      </c>
      <c r="M53" s="6" t="str">
        <f aca="false">IF(I53="","",LEFT(I53,LEN(I53)-20))</f>
        <v/>
      </c>
      <c r="N53" s="6" t="n">
        <f aca="false">LEN(L53)</f>
        <v>0</v>
      </c>
      <c r="O53" s="6" t="n">
        <f aca="false">LEN(M53)</f>
        <v>0</v>
      </c>
      <c r="P53" s="9" t="str">
        <f aca="false">IF(N53=0,"",(N53-LEN(SUBSTITUTE(SUBSTITUTE(L53,"G",""),"C","")))/N53)</f>
        <v/>
      </c>
      <c r="Q53" s="9" t="str">
        <f aca="false">IF(O53=0,"",(O53-LEN(SUBSTITUTE(SUBSTITUTE(M53,"G",""),"C","")))/O53)</f>
        <v/>
      </c>
    </row>
    <row r="54" customFormat="false" ht="15" hidden="false" customHeight="false" outlineLevel="0" collapsed="false">
      <c r="L54" s="6" t="str">
        <f aca="false">IF(G54="","",MID(G54,21,LEN(G54)-20))</f>
        <v/>
      </c>
      <c r="M54" s="6" t="str">
        <f aca="false">IF(I54="","",LEFT(I54,LEN(I54)-20))</f>
        <v/>
      </c>
      <c r="N54" s="6" t="n">
        <f aca="false">LEN(L54)</f>
        <v>0</v>
      </c>
      <c r="O54" s="6" t="n">
        <f aca="false">LEN(M54)</f>
        <v>0</v>
      </c>
      <c r="P54" s="9" t="str">
        <f aca="false">IF(N54=0,"",(N54-LEN(SUBSTITUTE(SUBSTITUTE(L54,"G",""),"C","")))/N54)</f>
        <v/>
      </c>
      <c r="Q54" s="9" t="str">
        <f aca="false">IF(O54=0,"",(O54-LEN(SUBSTITUTE(SUBSTITUTE(M54,"G",""),"C","")))/O54)</f>
        <v/>
      </c>
    </row>
    <row r="55" customFormat="false" ht="15" hidden="false" customHeight="false" outlineLevel="0" collapsed="false">
      <c r="L55" s="6" t="str">
        <f aca="false">IF(G55="","",MID(G55,21,LEN(G55)-20))</f>
        <v/>
      </c>
      <c r="M55" s="6" t="str">
        <f aca="false">IF(I55="","",LEFT(I55,LEN(I55)-20))</f>
        <v/>
      </c>
      <c r="N55" s="6" t="n">
        <f aca="false">LEN(L55)</f>
        <v>0</v>
      </c>
      <c r="O55" s="6" t="n">
        <f aca="false">LEN(M55)</f>
        <v>0</v>
      </c>
      <c r="P55" s="9" t="str">
        <f aca="false">IF(N55=0,"",(N55-LEN(SUBSTITUTE(SUBSTITUTE(L55,"G",""),"C","")))/N55)</f>
        <v/>
      </c>
      <c r="Q55" s="9" t="str">
        <f aca="false">IF(O55=0,"",(O55-LEN(SUBSTITUTE(SUBSTITUTE(M55,"G",""),"C","")))/O55)</f>
        <v/>
      </c>
    </row>
    <row r="56" customFormat="false" ht="15" hidden="false" customHeight="false" outlineLevel="0" collapsed="false">
      <c r="L56" s="6" t="str">
        <f aca="false">IF(G56="","",MID(G56,21,LEN(G56)-20))</f>
        <v/>
      </c>
      <c r="M56" s="6" t="str">
        <f aca="false">IF(I56="","",LEFT(I56,LEN(I56)-20))</f>
        <v/>
      </c>
      <c r="N56" s="6" t="n">
        <f aca="false">LEN(L56)</f>
        <v>0</v>
      </c>
      <c r="O56" s="6" t="n">
        <f aca="false">LEN(M56)</f>
        <v>0</v>
      </c>
      <c r="P56" s="9" t="str">
        <f aca="false">IF(N56=0,"",(N56-LEN(SUBSTITUTE(SUBSTITUTE(L56,"G",""),"C","")))/N56)</f>
        <v/>
      </c>
      <c r="Q56" s="9" t="str">
        <f aca="false">IF(O56=0,"",(O56-LEN(SUBSTITUTE(SUBSTITUTE(M56,"G",""),"C","")))/O56)</f>
        <v/>
      </c>
    </row>
    <row r="57" customFormat="false" ht="15" hidden="false" customHeight="false" outlineLevel="0" collapsed="false">
      <c r="L57" s="6" t="str">
        <f aca="false">IF(G57="","",MID(G57,21,LEN(G57)-20))</f>
        <v/>
      </c>
      <c r="M57" s="6" t="str">
        <f aca="false">IF(I57="","",LEFT(I57,LEN(I57)-20))</f>
        <v/>
      </c>
      <c r="N57" s="6" t="n">
        <f aca="false">LEN(L57)</f>
        <v>0</v>
      </c>
      <c r="O57" s="6" t="n">
        <f aca="false">LEN(M57)</f>
        <v>0</v>
      </c>
      <c r="P57" s="9" t="str">
        <f aca="false">IF(N57=0,"",(N57-LEN(SUBSTITUTE(SUBSTITUTE(L57,"G",""),"C","")))/N57)</f>
        <v/>
      </c>
      <c r="Q57" s="9" t="str">
        <f aca="false">IF(O57=0,"",(O57-LEN(SUBSTITUTE(SUBSTITUTE(M57,"G",""),"C","")))/O57)</f>
        <v/>
      </c>
    </row>
    <row r="58" customFormat="false" ht="15" hidden="false" customHeight="false" outlineLevel="0" collapsed="false">
      <c r="L58" s="6" t="str">
        <f aca="false">IF(G58="","",MID(G58,21,LEN(G58)-20))</f>
        <v/>
      </c>
      <c r="M58" s="6" t="str">
        <f aca="false">IF(I58="","",LEFT(I58,LEN(I58)-20))</f>
        <v/>
      </c>
      <c r="N58" s="6" t="n">
        <f aca="false">LEN(L58)</f>
        <v>0</v>
      </c>
      <c r="O58" s="6" t="n">
        <f aca="false">LEN(M58)</f>
        <v>0</v>
      </c>
      <c r="P58" s="9" t="str">
        <f aca="false">IF(N58=0,"",(N58-LEN(SUBSTITUTE(SUBSTITUTE(L58,"G",""),"C","")))/N58)</f>
        <v/>
      </c>
      <c r="Q58" s="9" t="str">
        <f aca="false">IF(O58=0,"",(O58-LEN(SUBSTITUTE(SUBSTITUTE(M58,"G",""),"C","")))/O58)</f>
        <v/>
      </c>
    </row>
    <row r="59" customFormat="false" ht="15" hidden="false" customHeight="false" outlineLevel="0" collapsed="false">
      <c r="L59" s="6" t="str">
        <f aca="false">IF(G59="","",MID(G59,21,LEN(G59)-20))</f>
        <v/>
      </c>
      <c r="M59" s="6" t="str">
        <f aca="false">IF(I59="","",LEFT(I59,LEN(I59)-20))</f>
        <v/>
      </c>
      <c r="N59" s="6" t="n">
        <f aca="false">LEN(L59)</f>
        <v>0</v>
      </c>
      <c r="O59" s="6" t="n">
        <f aca="false">LEN(M59)</f>
        <v>0</v>
      </c>
      <c r="P59" s="9" t="str">
        <f aca="false">IF(N59=0,"",(N59-LEN(SUBSTITUTE(SUBSTITUTE(L59,"G",""),"C","")))/N59)</f>
        <v/>
      </c>
      <c r="Q59" s="9" t="str">
        <f aca="false">IF(O59=0,"",(O59-LEN(SUBSTITUTE(SUBSTITUTE(M59,"G",""),"C","")))/O59)</f>
        <v/>
      </c>
    </row>
    <row r="60" customFormat="false" ht="15" hidden="false" customHeight="false" outlineLevel="0" collapsed="false">
      <c r="L60" s="6" t="str">
        <f aca="false">IF(G60="","",MID(G60,21,LEN(G60)-20))</f>
        <v/>
      </c>
      <c r="M60" s="6" t="str">
        <f aca="false">IF(I60="","",LEFT(I60,LEN(I60)-20))</f>
        <v/>
      </c>
      <c r="N60" s="6" t="n">
        <f aca="false">LEN(L60)</f>
        <v>0</v>
      </c>
      <c r="O60" s="6" t="n">
        <f aca="false">LEN(M60)</f>
        <v>0</v>
      </c>
      <c r="P60" s="9" t="str">
        <f aca="false">IF(N60=0,"",(N60-LEN(SUBSTITUTE(SUBSTITUTE(L60,"G",""),"C","")))/N60)</f>
        <v/>
      </c>
      <c r="Q60" s="9" t="str">
        <f aca="false">IF(O60=0,"",(O60-LEN(SUBSTITUTE(SUBSTITUTE(M60,"G",""),"C","")))/O60)</f>
        <v/>
      </c>
    </row>
    <row r="61" customFormat="false" ht="15" hidden="false" customHeight="false" outlineLevel="0" collapsed="false">
      <c r="L61" s="6" t="str">
        <f aca="false">IF(G61="","",MID(G61,21,LEN(G61)-20))</f>
        <v/>
      </c>
      <c r="M61" s="6" t="str">
        <f aca="false">IF(I61="","",LEFT(I61,LEN(I61)-20))</f>
        <v/>
      </c>
      <c r="N61" s="6" t="n">
        <f aca="false">LEN(L61)</f>
        <v>0</v>
      </c>
      <c r="O61" s="6" t="n">
        <f aca="false">LEN(M61)</f>
        <v>0</v>
      </c>
      <c r="P61" s="9" t="str">
        <f aca="false">IF(N61=0,"",(N61-LEN(SUBSTITUTE(SUBSTITUTE(L61,"G",""),"C","")))/N61)</f>
        <v/>
      </c>
      <c r="Q61" s="9" t="str">
        <f aca="false">IF(O61=0,"",(O61-LEN(SUBSTITUTE(SUBSTITUTE(M61,"G",""),"C","")))/O61)</f>
        <v/>
      </c>
    </row>
    <row r="62" customFormat="false" ht="15" hidden="false" customHeight="false" outlineLevel="0" collapsed="false">
      <c r="L62" s="6" t="str">
        <f aca="false">IF(G62="","",MID(G62,21,LEN(G62)-20))</f>
        <v/>
      </c>
      <c r="M62" s="6" t="str">
        <f aca="false">IF(I62="","",LEFT(I62,LEN(I62)-20))</f>
        <v/>
      </c>
      <c r="N62" s="6" t="n">
        <f aca="false">LEN(L62)</f>
        <v>0</v>
      </c>
      <c r="O62" s="6" t="n">
        <f aca="false">LEN(M62)</f>
        <v>0</v>
      </c>
      <c r="P62" s="9" t="str">
        <f aca="false">IF(N62=0,"",(N62-LEN(SUBSTITUTE(SUBSTITUTE(L62,"G",""),"C","")))/N62)</f>
        <v/>
      </c>
      <c r="Q62" s="9" t="str">
        <f aca="false">IF(O62=0,"",(O62-LEN(SUBSTITUTE(SUBSTITUTE(M62,"G",""),"C","")))/O62)</f>
        <v/>
      </c>
    </row>
    <row r="63" customFormat="false" ht="15" hidden="false" customHeight="false" outlineLevel="0" collapsed="false">
      <c r="L63" s="6" t="str">
        <f aca="false">IF(G63="","",MID(G63,21,LEN(G63)-20))</f>
        <v/>
      </c>
      <c r="M63" s="6" t="str">
        <f aca="false">IF(I63="","",LEFT(I63,LEN(I63)-20))</f>
        <v/>
      </c>
      <c r="N63" s="6" t="n">
        <f aca="false">LEN(L63)</f>
        <v>0</v>
      </c>
      <c r="O63" s="6" t="n">
        <f aca="false">LEN(M63)</f>
        <v>0</v>
      </c>
      <c r="P63" s="9" t="str">
        <f aca="false">IF(N63=0,"",(N63-LEN(SUBSTITUTE(SUBSTITUTE(L63,"G",""),"C","")))/N63)</f>
        <v/>
      </c>
      <c r="Q63" s="9" t="str">
        <f aca="false">IF(O63=0,"",(O63-LEN(SUBSTITUTE(SUBSTITUTE(M63,"G",""),"C","")))/O63)</f>
        <v/>
      </c>
    </row>
    <row r="64" customFormat="false" ht="15" hidden="false" customHeight="false" outlineLevel="0" collapsed="false">
      <c r="L64" s="6" t="str">
        <f aca="false">IF(G64="","",MID(G64,21,LEN(G64)-20))</f>
        <v/>
      </c>
      <c r="M64" s="6" t="str">
        <f aca="false">IF(I64="","",LEFT(I64,LEN(I64)-20))</f>
        <v/>
      </c>
      <c r="N64" s="6" t="n">
        <f aca="false">LEN(L64)</f>
        <v>0</v>
      </c>
      <c r="O64" s="6" t="n">
        <f aca="false">LEN(M64)</f>
        <v>0</v>
      </c>
      <c r="P64" s="9" t="str">
        <f aca="false">IF(N64=0,"",(N64-LEN(SUBSTITUTE(SUBSTITUTE(L64,"G",""),"C","")))/N64)</f>
        <v/>
      </c>
      <c r="Q64" s="9" t="str">
        <f aca="false">IF(O64=0,"",(O64-LEN(SUBSTITUTE(SUBSTITUTE(M64,"G",""),"C","")))/O64)</f>
        <v/>
      </c>
    </row>
    <row r="65" customFormat="false" ht="15" hidden="false" customHeight="false" outlineLevel="0" collapsed="false">
      <c r="L65" s="6" t="str">
        <f aca="false">IF(G65="","",MID(G65,21,LEN(G65)-20))</f>
        <v/>
      </c>
      <c r="M65" s="6" t="str">
        <f aca="false">IF(I65="","",LEFT(I65,LEN(I65)-20))</f>
        <v/>
      </c>
      <c r="N65" s="6" t="n">
        <f aca="false">LEN(L65)</f>
        <v>0</v>
      </c>
      <c r="O65" s="6" t="n">
        <f aca="false">LEN(M65)</f>
        <v>0</v>
      </c>
      <c r="P65" s="9" t="str">
        <f aca="false">IF(N65=0,"",(N65-LEN(SUBSTITUTE(SUBSTITUTE(L65,"G",""),"C","")))/N65)</f>
        <v/>
      </c>
      <c r="Q65" s="9" t="str">
        <f aca="false">IF(O65=0,"",(O65-LEN(SUBSTITUTE(SUBSTITUTE(M65,"G",""),"C","")))/O65)</f>
        <v/>
      </c>
    </row>
    <row r="66" customFormat="false" ht="15" hidden="false" customHeight="false" outlineLevel="0" collapsed="false">
      <c r="L66" s="6" t="str">
        <f aca="false">IF(G66="","",MID(G66,21,LEN(G66)-20))</f>
        <v/>
      </c>
      <c r="M66" s="6" t="str">
        <f aca="false">IF(I66="","",LEFT(I66,LEN(I66)-20))</f>
        <v/>
      </c>
      <c r="N66" s="6" t="n">
        <f aca="false">LEN(L66)</f>
        <v>0</v>
      </c>
      <c r="O66" s="6" t="n">
        <f aca="false">LEN(M66)</f>
        <v>0</v>
      </c>
      <c r="P66" s="9" t="str">
        <f aca="false">IF(N66=0,"",(N66-LEN(SUBSTITUTE(SUBSTITUTE(L66,"G",""),"C","")))/N66)</f>
        <v/>
      </c>
      <c r="Q66" s="9" t="str">
        <f aca="false">IF(O66=0,"",(O66-LEN(SUBSTITUTE(SUBSTITUTE(M66,"G",""),"C","")))/O66)</f>
        <v/>
      </c>
    </row>
    <row r="67" customFormat="false" ht="15" hidden="false" customHeight="false" outlineLevel="0" collapsed="false">
      <c r="L67" s="6" t="str">
        <f aca="false">IF(G67="","",MID(G67,21,LEN(G67)-20))</f>
        <v/>
      </c>
      <c r="M67" s="6" t="str">
        <f aca="false">IF(I67="","",LEFT(I67,LEN(I67)-20))</f>
        <v/>
      </c>
      <c r="N67" s="6" t="n">
        <f aca="false">LEN(L67)</f>
        <v>0</v>
      </c>
      <c r="O67" s="6" t="n">
        <f aca="false">LEN(M67)</f>
        <v>0</v>
      </c>
      <c r="P67" s="9" t="str">
        <f aca="false">IF(N67=0,"",(N67-LEN(SUBSTITUTE(SUBSTITUTE(L67,"G",""),"C","")))/N67)</f>
        <v/>
      </c>
      <c r="Q67" s="9" t="str">
        <f aca="false">IF(O67=0,"",(O67-LEN(SUBSTITUTE(SUBSTITUTE(M67,"G",""),"C","")))/O67)</f>
        <v/>
      </c>
    </row>
    <row r="68" customFormat="false" ht="15" hidden="false" customHeight="false" outlineLevel="0" collapsed="false">
      <c r="L68" s="6" t="str">
        <f aca="false">IF(G68="","",MID(G68,21,LEN(G68)-20))</f>
        <v/>
      </c>
      <c r="M68" s="6" t="str">
        <f aca="false">IF(I68="","",LEFT(I68,LEN(I68)-20))</f>
        <v/>
      </c>
      <c r="N68" s="6" t="n">
        <f aca="false">LEN(L68)</f>
        <v>0</v>
      </c>
      <c r="O68" s="6" t="n">
        <f aca="false">LEN(M68)</f>
        <v>0</v>
      </c>
      <c r="P68" s="9" t="str">
        <f aca="false">IF(N68=0,"",(N68-LEN(SUBSTITUTE(SUBSTITUTE(L68,"G",""),"C","")))/N68)</f>
        <v/>
      </c>
      <c r="Q68" s="9" t="str">
        <f aca="false">IF(O68=0,"",(O68-LEN(SUBSTITUTE(SUBSTITUTE(M68,"G",""),"C","")))/O68)</f>
        <v/>
      </c>
    </row>
    <row r="69" customFormat="false" ht="15" hidden="false" customHeight="false" outlineLevel="0" collapsed="false">
      <c r="L69" s="6" t="str">
        <f aca="false">IF(G69="","",MID(G69,21,LEN(G69)-20))</f>
        <v/>
      </c>
      <c r="M69" s="6" t="str">
        <f aca="false">IF(I69="","",LEFT(I69,LEN(I69)-20))</f>
        <v/>
      </c>
      <c r="N69" s="6" t="n">
        <f aca="false">LEN(L69)</f>
        <v>0</v>
      </c>
      <c r="O69" s="6" t="n">
        <f aca="false">LEN(M69)</f>
        <v>0</v>
      </c>
      <c r="P69" s="9" t="str">
        <f aca="false">IF(N69=0,"",(N69-LEN(SUBSTITUTE(SUBSTITUTE(L69,"G",""),"C","")))/N69)</f>
        <v/>
      </c>
      <c r="Q69" s="9" t="str">
        <f aca="false">IF(O69=0,"",(O69-LEN(SUBSTITUTE(SUBSTITUTE(M69,"G",""),"C","")))/O69)</f>
        <v/>
      </c>
    </row>
    <row r="70" customFormat="false" ht="15" hidden="false" customHeight="false" outlineLevel="0" collapsed="false">
      <c r="L70" s="6" t="str">
        <f aca="false">IF(G70="","",MID(G70,21,LEN(G70)-20))</f>
        <v/>
      </c>
      <c r="M70" s="6" t="str">
        <f aca="false">IF(I70="","",LEFT(I70,LEN(I70)-20))</f>
        <v/>
      </c>
      <c r="N70" s="6" t="n">
        <f aca="false">LEN(L70)</f>
        <v>0</v>
      </c>
      <c r="O70" s="6" t="n">
        <f aca="false">LEN(M70)</f>
        <v>0</v>
      </c>
      <c r="P70" s="9" t="str">
        <f aca="false">IF(N70=0,"",(N70-LEN(SUBSTITUTE(SUBSTITUTE(L70,"G",""),"C","")))/N70)</f>
        <v/>
      </c>
      <c r="Q70" s="9" t="str">
        <f aca="false">IF(O70=0,"",(O70-LEN(SUBSTITUTE(SUBSTITUTE(M70,"G",""),"C","")))/O70)</f>
        <v/>
      </c>
    </row>
    <row r="71" customFormat="false" ht="15" hidden="false" customHeight="false" outlineLevel="0" collapsed="false">
      <c r="L71" s="6" t="str">
        <f aca="false">IF(G71="","",MID(G71,21,LEN(G71)-20))</f>
        <v/>
      </c>
      <c r="M71" s="6" t="str">
        <f aca="false">IF(I71="","",LEFT(I71,LEN(I71)-20))</f>
        <v/>
      </c>
      <c r="N71" s="6" t="n">
        <f aca="false">LEN(L71)</f>
        <v>0</v>
      </c>
      <c r="O71" s="6" t="n">
        <f aca="false">LEN(M71)</f>
        <v>0</v>
      </c>
      <c r="P71" s="9" t="str">
        <f aca="false">IF(N71=0,"",(N71-LEN(SUBSTITUTE(SUBSTITUTE(L71,"G",""),"C","")))/N71)</f>
        <v/>
      </c>
      <c r="Q71" s="9" t="str">
        <f aca="false">IF(O71=0,"",(O71-LEN(SUBSTITUTE(SUBSTITUTE(M71,"G",""),"C","")))/O71)</f>
        <v/>
      </c>
    </row>
    <row r="72" customFormat="false" ht="15" hidden="false" customHeight="false" outlineLevel="0" collapsed="false">
      <c r="L72" s="6" t="str">
        <f aca="false">IF(G72="","",MID(G72,21,LEN(G72)-20))</f>
        <v/>
      </c>
      <c r="M72" s="6" t="str">
        <f aca="false">IF(I72="","",LEFT(I72,LEN(I72)-20))</f>
        <v/>
      </c>
      <c r="N72" s="6" t="n">
        <f aca="false">LEN(L72)</f>
        <v>0</v>
      </c>
      <c r="O72" s="6" t="n">
        <f aca="false">LEN(M72)</f>
        <v>0</v>
      </c>
      <c r="P72" s="9" t="str">
        <f aca="false">IF(N72=0,"",(N72-LEN(SUBSTITUTE(SUBSTITUTE(L72,"G",""),"C","")))/N72)</f>
        <v/>
      </c>
      <c r="Q72" s="9" t="str">
        <f aca="false">IF(O72=0,"",(O72-LEN(SUBSTITUTE(SUBSTITUTE(M72,"G",""),"C","")))/O72)</f>
        <v/>
      </c>
    </row>
    <row r="73" customFormat="false" ht="15" hidden="false" customHeight="false" outlineLevel="0" collapsed="false">
      <c r="L73" s="6" t="str">
        <f aca="false">IF(G73="","",MID(G73,21,LEN(G73)-20))</f>
        <v/>
      </c>
      <c r="M73" s="6" t="str">
        <f aca="false">IF(I73="","",LEFT(I73,LEN(I73)-20))</f>
        <v/>
      </c>
      <c r="N73" s="6" t="n">
        <f aca="false">LEN(L73)</f>
        <v>0</v>
      </c>
      <c r="O73" s="6" t="n">
        <f aca="false">LEN(M73)</f>
        <v>0</v>
      </c>
      <c r="P73" s="9" t="str">
        <f aca="false">IF(N73=0,"",(N73-LEN(SUBSTITUTE(SUBSTITUTE(L73,"G",""),"C","")))/N73)</f>
        <v/>
      </c>
      <c r="Q73" s="9" t="str">
        <f aca="false">IF(O73=0,"",(O73-LEN(SUBSTITUTE(SUBSTITUTE(M73,"G",""),"C","")))/O73)</f>
        <v/>
      </c>
    </row>
    <row r="74" customFormat="false" ht="15" hidden="false" customHeight="false" outlineLevel="0" collapsed="false">
      <c r="L74" s="6" t="str">
        <f aca="false">IF(G74="","",MID(G74,21,LEN(G74)-20))</f>
        <v/>
      </c>
      <c r="M74" s="6" t="str">
        <f aca="false">IF(I74="","",LEFT(I74,LEN(I74)-20))</f>
        <v/>
      </c>
      <c r="N74" s="6" t="n">
        <f aca="false">LEN(L74)</f>
        <v>0</v>
      </c>
      <c r="O74" s="6" t="n">
        <f aca="false">LEN(M74)</f>
        <v>0</v>
      </c>
      <c r="P74" s="9" t="str">
        <f aca="false">IF(N74=0,"",(N74-LEN(SUBSTITUTE(SUBSTITUTE(L74,"G",""),"C","")))/N74)</f>
        <v/>
      </c>
      <c r="Q74" s="9" t="str">
        <f aca="false">IF(O74=0,"",(O74-LEN(SUBSTITUTE(SUBSTITUTE(M74,"G",""),"C","")))/O74)</f>
        <v/>
      </c>
    </row>
    <row r="75" customFormat="false" ht="15" hidden="false" customHeight="false" outlineLevel="0" collapsed="false">
      <c r="L75" s="6" t="str">
        <f aca="false">IF(G75="","",MID(G75,21,LEN(G75)-20))</f>
        <v/>
      </c>
      <c r="M75" s="6" t="str">
        <f aca="false">IF(I75="","",LEFT(I75,LEN(I75)-20))</f>
        <v/>
      </c>
      <c r="N75" s="6" t="n">
        <f aca="false">LEN(L75)</f>
        <v>0</v>
      </c>
      <c r="O75" s="6" t="n">
        <f aca="false">LEN(M75)</f>
        <v>0</v>
      </c>
      <c r="P75" s="9" t="str">
        <f aca="false">IF(N75=0,"",(N75-LEN(SUBSTITUTE(SUBSTITUTE(L75,"G",""),"C","")))/N75)</f>
        <v/>
      </c>
      <c r="Q75" s="9" t="str">
        <f aca="false">IF(O75=0,"",(O75-LEN(SUBSTITUTE(SUBSTITUTE(M75,"G",""),"C","")))/O75)</f>
        <v/>
      </c>
    </row>
    <row r="76" customFormat="false" ht="15" hidden="false" customHeight="false" outlineLevel="0" collapsed="false">
      <c r="L76" s="6" t="str">
        <f aca="false">IF(G76="","",MID(G76,21,LEN(G76)-20))</f>
        <v/>
      </c>
      <c r="M76" s="6" t="str">
        <f aca="false">IF(I76="","",LEFT(I76,LEN(I76)-20))</f>
        <v/>
      </c>
      <c r="N76" s="6" t="n">
        <f aca="false">LEN(L76)</f>
        <v>0</v>
      </c>
      <c r="O76" s="6" t="n">
        <f aca="false">LEN(M76)</f>
        <v>0</v>
      </c>
      <c r="P76" s="9" t="str">
        <f aca="false">IF(N76=0,"",(N76-LEN(SUBSTITUTE(SUBSTITUTE(L76,"G",""),"C","")))/N76)</f>
        <v/>
      </c>
      <c r="Q76" s="9" t="str">
        <f aca="false">IF(O76=0,"",(O76-LEN(SUBSTITUTE(SUBSTITUTE(M76,"G",""),"C","")))/O76)</f>
        <v/>
      </c>
    </row>
    <row r="77" customFormat="false" ht="15" hidden="false" customHeight="false" outlineLevel="0" collapsed="false">
      <c r="L77" s="6" t="str">
        <f aca="false">IF(G77="","",MID(G77,21,LEN(G77)-20))</f>
        <v/>
      </c>
      <c r="M77" s="6" t="str">
        <f aca="false">IF(I77="","",LEFT(I77,LEN(I77)-20))</f>
        <v/>
      </c>
      <c r="N77" s="6" t="n">
        <f aca="false">LEN(L77)</f>
        <v>0</v>
      </c>
      <c r="O77" s="6" t="n">
        <f aca="false">LEN(M77)</f>
        <v>0</v>
      </c>
      <c r="P77" s="9" t="str">
        <f aca="false">IF(N77=0,"",(N77-LEN(SUBSTITUTE(SUBSTITUTE(L77,"G",""),"C","")))/N77)</f>
        <v/>
      </c>
      <c r="Q77" s="9" t="str">
        <f aca="false">IF(O77=0,"",(O77-LEN(SUBSTITUTE(SUBSTITUTE(M77,"G",""),"C","")))/O77)</f>
        <v/>
      </c>
    </row>
    <row r="78" customFormat="false" ht="15" hidden="false" customHeight="false" outlineLevel="0" collapsed="false">
      <c r="L78" s="6" t="str">
        <f aca="false">IF(G78="","",MID(G78,21,LEN(G78)-20))</f>
        <v/>
      </c>
      <c r="M78" s="6" t="str">
        <f aca="false">IF(I78="","",LEFT(I78,LEN(I78)-20))</f>
        <v/>
      </c>
      <c r="N78" s="6" t="n">
        <f aca="false">LEN(L78)</f>
        <v>0</v>
      </c>
      <c r="O78" s="6" t="n">
        <f aca="false">LEN(M78)</f>
        <v>0</v>
      </c>
      <c r="P78" s="9" t="str">
        <f aca="false">IF(N78=0,"",(N78-LEN(SUBSTITUTE(SUBSTITUTE(L78,"G",""),"C","")))/N78)</f>
        <v/>
      </c>
      <c r="Q78" s="9" t="str">
        <f aca="false">IF(O78=0,"",(O78-LEN(SUBSTITUTE(SUBSTITUTE(M78,"G",""),"C","")))/O78)</f>
        <v/>
      </c>
    </row>
    <row r="79" customFormat="false" ht="15" hidden="false" customHeight="false" outlineLevel="0" collapsed="false">
      <c r="L79" s="6" t="str">
        <f aca="false">IF(G79="","",MID(G79,21,LEN(G79)-20))</f>
        <v/>
      </c>
      <c r="M79" s="6" t="str">
        <f aca="false">IF(I79="","",LEFT(I79,LEN(I79)-20))</f>
        <v/>
      </c>
      <c r="N79" s="6" t="n">
        <f aca="false">LEN(L79)</f>
        <v>0</v>
      </c>
      <c r="O79" s="6" t="n">
        <f aca="false">LEN(M79)</f>
        <v>0</v>
      </c>
      <c r="P79" s="9" t="str">
        <f aca="false">IF(N79=0,"",(N79-LEN(SUBSTITUTE(SUBSTITUTE(L79,"G",""),"C","")))/N79)</f>
        <v/>
      </c>
      <c r="Q79" s="9" t="str">
        <f aca="false">IF(O79=0,"",(O79-LEN(SUBSTITUTE(SUBSTITUTE(M79,"G",""),"C","")))/O79)</f>
        <v/>
      </c>
    </row>
    <row r="80" customFormat="false" ht="15" hidden="false" customHeight="false" outlineLevel="0" collapsed="false">
      <c r="L80" s="6" t="str">
        <f aca="false">IF(G80="","",MID(G80,21,LEN(G80)-20))</f>
        <v/>
      </c>
      <c r="M80" s="6" t="str">
        <f aca="false">IF(I80="","",LEFT(I80,LEN(I80)-20))</f>
        <v/>
      </c>
      <c r="N80" s="6" t="n">
        <f aca="false">LEN(L80)</f>
        <v>0</v>
      </c>
      <c r="O80" s="6" t="n">
        <f aca="false">LEN(M80)</f>
        <v>0</v>
      </c>
      <c r="P80" s="9" t="str">
        <f aca="false">IF(N80=0,"",(N80-LEN(SUBSTITUTE(SUBSTITUTE(L80,"G",""),"C","")))/N80)</f>
        <v/>
      </c>
      <c r="Q80" s="9" t="str">
        <f aca="false">IF(O80=0,"",(O80-LEN(SUBSTITUTE(SUBSTITUTE(M80,"G",""),"C","")))/O80)</f>
        <v/>
      </c>
    </row>
    <row r="81" customFormat="false" ht="15" hidden="false" customHeight="false" outlineLevel="0" collapsed="false">
      <c r="L81" s="6" t="str">
        <f aca="false">IF(G81="","",MID(G81,21,LEN(G81)-20))</f>
        <v/>
      </c>
      <c r="M81" s="6" t="str">
        <f aca="false">IF(I81="","",LEFT(I81,LEN(I81)-20))</f>
        <v/>
      </c>
      <c r="N81" s="6" t="n">
        <f aca="false">LEN(L81)</f>
        <v>0</v>
      </c>
      <c r="O81" s="6" t="n">
        <f aca="false">LEN(M81)</f>
        <v>0</v>
      </c>
      <c r="P81" s="9" t="str">
        <f aca="false">IF(N81=0,"",(N81-LEN(SUBSTITUTE(SUBSTITUTE(L81,"G",""),"C","")))/N81)</f>
        <v/>
      </c>
      <c r="Q81" s="9" t="str">
        <f aca="false">IF(O81=0,"",(O81-LEN(SUBSTITUTE(SUBSTITUTE(M81,"G",""),"C","")))/O81)</f>
        <v/>
      </c>
    </row>
    <row r="82" customFormat="false" ht="15" hidden="false" customHeight="false" outlineLevel="0" collapsed="false">
      <c r="L82" s="6" t="str">
        <f aca="false">IF(G82="","",MID(G82,21,LEN(G82)-20))</f>
        <v/>
      </c>
      <c r="M82" s="6" t="str">
        <f aca="false">IF(I82="","",LEFT(I82,LEN(I82)-20))</f>
        <v/>
      </c>
      <c r="N82" s="6" t="n">
        <f aca="false">LEN(L82)</f>
        <v>0</v>
      </c>
      <c r="O82" s="6" t="n">
        <f aca="false">LEN(M82)</f>
        <v>0</v>
      </c>
      <c r="P82" s="9" t="str">
        <f aca="false">IF(N82=0,"",(N82-LEN(SUBSTITUTE(SUBSTITUTE(L82,"G",""),"C","")))/N82)</f>
        <v/>
      </c>
      <c r="Q82" s="9" t="str">
        <f aca="false">IF(O82=0,"",(O82-LEN(SUBSTITUTE(SUBSTITUTE(M82,"G",""),"C","")))/O82)</f>
        <v/>
      </c>
    </row>
    <row r="83" customFormat="false" ht="15" hidden="false" customHeight="false" outlineLevel="0" collapsed="false">
      <c r="L83" s="6" t="str">
        <f aca="false">IF(G83="","",MID(G83,21,LEN(G83)-20))</f>
        <v/>
      </c>
      <c r="M83" s="6" t="str">
        <f aca="false">IF(I83="","",LEFT(I83,LEN(I83)-20))</f>
        <v/>
      </c>
      <c r="N83" s="6" t="n">
        <f aca="false">LEN(L83)</f>
        <v>0</v>
      </c>
      <c r="O83" s="6" t="n">
        <f aca="false">LEN(M83)</f>
        <v>0</v>
      </c>
      <c r="P83" s="9" t="str">
        <f aca="false">IF(N83=0,"",(N83-LEN(SUBSTITUTE(SUBSTITUTE(L83,"G",""),"C","")))/N83)</f>
        <v/>
      </c>
      <c r="Q83" s="9" t="str">
        <f aca="false">IF(O83=0,"",(O83-LEN(SUBSTITUTE(SUBSTITUTE(M83,"G",""),"C","")))/O83)</f>
        <v/>
      </c>
    </row>
    <row r="84" customFormat="false" ht="15" hidden="false" customHeight="false" outlineLevel="0" collapsed="false">
      <c r="L84" s="6" t="str">
        <f aca="false">IF(G84="","",MID(G84,21,LEN(G84)-20))</f>
        <v/>
      </c>
      <c r="M84" s="6" t="str">
        <f aca="false">IF(I84="","",LEFT(I84,LEN(I84)-20))</f>
        <v/>
      </c>
      <c r="N84" s="6" t="n">
        <f aca="false">LEN(L84)</f>
        <v>0</v>
      </c>
      <c r="O84" s="6" t="n">
        <f aca="false">LEN(M84)</f>
        <v>0</v>
      </c>
      <c r="P84" s="9" t="str">
        <f aca="false">IF(N84=0,"",(N84-LEN(SUBSTITUTE(SUBSTITUTE(L84,"G",""),"C","")))/N84)</f>
        <v/>
      </c>
      <c r="Q84" s="9" t="str">
        <f aca="false">IF(O84=0,"",(O84-LEN(SUBSTITUTE(SUBSTITUTE(M84,"G",""),"C","")))/O84)</f>
        <v/>
      </c>
    </row>
    <row r="85" customFormat="false" ht="15" hidden="false" customHeight="false" outlineLevel="0" collapsed="false">
      <c r="L85" s="6" t="str">
        <f aca="false">IF(G85="","",MID(G85,21,LEN(G85)-20))</f>
        <v/>
      </c>
      <c r="M85" s="6" t="str">
        <f aca="false">IF(I85="","",LEFT(I85,LEN(I85)-20))</f>
        <v/>
      </c>
      <c r="N85" s="6" t="n">
        <f aca="false">LEN(L85)</f>
        <v>0</v>
      </c>
      <c r="O85" s="6" t="n">
        <f aca="false">LEN(M85)</f>
        <v>0</v>
      </c>
      <c r="P85" s="9" t="str">
        <f aca="false">IF(N85=0,"",(N85-LEN(SUBSTITUTE(SUBSTITUTE(L85,"G",""),"C","")))/N85)</f>
        <v/>
      </c>
      <c r="Q85" s="9" t="str">
        <f aca="false">IF(O85=0,"",(O85-LEN(SUBSTITUTE(SUBSTITUTE(M85,"G",""),"C","")))/O85)</f>
        <v/>
      </c>
    </row>
    <row r="86" customFormat="false" ht="15" hidden="false" customHeight="false" outlineLevel="0" collapsed="false">
      <c r="L86" s="6" t="str">
        <f aca="false">IF(G86="","",MID(G86,21,LEN(G86)-20))</f>
        <v/>
      </c>
      <c r="M86" s="6" t="str">
        <f aca="false">IF(I86="","",LEFT(I86,LEN(I86)-20))</f>
        <v/>
      </c>
      <c r="N86" s="6" t="n">
        <f aca="false">LEN(L86)</f>
        <v>0</v>
      </c>
      <c r="O86" s="6" t="n">
        <f aca="false">LEN(M86)</f>
        <v>0</v>
      </c>
      <c r="P86" s="9" t="str">
        <f aca="false">IF(N86=0,"",(N86-LEN(SUBSTITUTE(SUBSTITUTE(L86,"G",""),"C","")))/N86)</f>
        <v/>
      </c>
      <c r="Q86" s="9" t="str">
        <f aca="false">IF(O86=0,"",(O86-LEN(SUBSTITUTE(SUBSTITUTE(M86,"G",""),"C","")))/O86)</f>
        <v/>
      </c>
    </row>
    <row r="87" customFormat="false" ht="15" hidden="false" customHeight="false" outlineLevel="0" collapsed="false">
      <c r="L87" s="6" t="str">
        <f aca="false">IF(G87="","",MID(G87,21,LEN(G87)-20))</f>
        <v/>
      </c>
      <c r="M87" s="6" t="str">
        <f aca="false">IF(I87="","",LEFT(I87,LEN(I87)-20))</f>
        <v/>
      </c>
      <c r="N87" s="6" t="n">
        <f aca="false">LEN(L87)</f>
        <v>0</v>
      </c>
      <c r="O87" s="6" t="n">
        <f aca="false">LEN(M87)</f>
        <v>0</v>
      </c>
      <c r="P87" s="9" t="str">
        <f aca="false">IF(N87=0,"",(N87-LEN(SUBSTITUTE(SUBSTITUTE(L87,"G",""),"C","")))/N87)</f>
        <v/>
      </c>
      <c r="Q87" s="9" t="str">
        <f aca="false">IF(O87=0,"",(O87-LEN(SUBSTITUTE(SUBSTITUTE(M87,"G",""),"C","")))/O87)</f>
        <v/>
      </c>
    </row>
    <row r="88" customFormat="false" ht="15" hidden="false" customHeight="false" outlineLevel="0" collapsed="false">
      <c r="L88" s="6" t="str">
        <f aca="false">IF(G88="","",MID(G88,21,LEN(G88)-20))</f>
        <v/>
      </c>
      <c r="M88" s="6" t="str">
        <f aca="false">IF(I88="","",LEFT(I88,LEN(I88)-20))</f>
        <v/>
      </c>
      <c r="N88" s="6" t="n">
        <f aca="false">LEN(L88)</f>
        <v>0</v>
      </c>
      <c r="O88" s="6" t="n">
        <f aca="false">LEN(M88)</f>
        <v>0</v>
      </c>
      <c r="P88" s="9" t="str">
        <f aca="false">IF(N88=0,"",(N88-LEN(SUBSTITUTE(SUBSTITUTE(L88,"G",""),"C","")))/N88)</f>
        <v/>
      </c>
      <c r="Q88" s="9" t="str">
        <f aca="false">IF(O88=0,"",(O88-LEN(SUBSTITUTE(SUBSTITUTE(M88,"G",""),"C","")))/O88)</f>
        <v/>
      </c>
    </row>
    <row r="89" customFormat="false" ht="15" hidden="false" customHeight="false" outlineLevel="0" collapsed="false">
      <c r="L89" s="6" t="str">
        <f aca="false">IF(G89="","",MID(G89,21,LEN(G89)-20))</f>
        <v/>
      </c>
      <c r="M89" s="6" t="str">
        <f aca="false">IF(I89="","",LEFT(I89,LEN(I89)-20))</f>
        <v/>
      </c>
      <c r="N89" s="6" t="n">
        <f aca="false">LEN(L89)</f>
        <v>0</v>
      </c>
      <c r="O89" s="6" t="n">
        <f aca="false">LEN(M89)</f>
        <v>0</v>
      </c>
      <c r="P89" s="9" t="str">
        <f aca="false">IF(N89=0,"",(N89-LEN(SUBSTITUTE(SUBSTITUTE(L89,"G",""),"C","")))/N89)</f>
        <v/>
      </c>
      <c r="Q89" s="9" t="str">
        <f aca="false">IF(O89=0,"",(O89-LEN(SUBSTITUTE(SUBSTITUTE(M89,"G",""),"C","")))/O89)</f>
        <v/>
      </c>
    </row>
    <row r="90" customFormat="false" ht="15" hidden="false" customHeight="false" outlineLevel="0" collapsed="false">
      <c r="L90" s="6" t="str">
        <f aca="false">IF(G90="","",MID(G90,21,LEN(G90)-20))</f>
        <v/>
      </c>
      <c r="M90" s="6" t="str">
        <f aca="false">IF(I90="","",LEFT(I90,LEN(I90)-20))</f>
        <v/>
      </c>
      <c r="N90" s="6" t="n">
        <f aca="false">LEN(L90)</f>
        <v>0</v>
      </c>
      <c r="O90" s="6" t="n">
        <f aca="false">LEN(M90)</f>
        <v>0</v>
      </c>
      <c r="P90" s="9" t="str">
        <f aca="false">IF(N90=0,"",(N90-LEN(SUBSTITUTE(SUBSTITUTE(L90,"G",""),"C","")))/N90)</f>
        <v/>
      </c>
      <c r="Q90" s="9" t="str">
        <f aca="false">IF(O90=0,"",(O90-LEN(SUBSTITUTE(SUBSTITUTE(M90,"G",""),"C","")))/O90)</f>
        <v/>
      </c>
    </row>
    <row r="91" customFormat="false" ht="15" hidden="false" customHeight="false" outlineLevel="0" collapsed="false">
      <c r="L91" s="6" t="str">
        <f aca="false">IF(G91="","",MID(G91,21,LEN(G91)-20))</f>
        <v/>
      </c>
      <c r="M91" s="6" t="str">
        <f aca="false">IF(I91="","",LEFT(I91,LEN(I91)-20))</f>
        <v/>
      </c>
      <c r="N91" s="6" t="n">
        <f aca="false">LEN(L91)</f>
        <v>0</v>
      </c>
      <c r="O91" s="6" t="n">
        <f aca="false">LEN(M91)</f>
        <v>0</v>
      </c>
      <c r="P91" s="9" t="str">
        <f aca="false">IF(N91=0,"",(N91-LEN(SUBSTITUTE(SUBSTITUTE(L91,"G",""),"C","")))/N91)</f>
        <v/>
      </c>
      <c r="Q91" s="9" t="str">
        <f aca="false">IF(O91=0,"",(O91-LEN(SUBSTITUTE(SUBSTITUTE(M91,"G",""),"C","")))/O91)</f>
        <v/>
      </c>
    </row>
    <row r="92" customFormat="false" ht="15" hidden="false" customHeight="false" outlineLevel="0" collapsed="false">
      <c r="L92" s="6" t="str">
        <f aca="false">IF(G92="","",MID(G92,21,LEN(G92)-20))</f>
        <v/>
      </c>
      <c r="M92" s="6" t="str">
        <f aca="false">IF(I92="","",LEFT(I92,LEN(I92)-20))</f>
        <v/>
      </c>
      <c r="N92" s="6" t="n">
        <f aca="false">LEN(L92)</f>
        <v>0</v>
      </c>
      <c r="O92" s="6" t="n">
        <f aca="false">LEN(M92)</f>
        <v>0</v>
      </c>
      <c r="P92" s="9" t="str">
        <f aca="false">IF(N92=0,"",(N92-LEN(SUBSTITUTE(SUBSTITUTE(L92,"G",""),"C","")))/N92)</f>
        <v/>
      </c>
      <c r="Q92" s="9" t="str">
        <f aca="false">IF(O92=0,"",(O92-LEN(SUBSTITUTE(SUBSTITUTE(M92,"G",""),"C","")))/O92)</f>
        <v/>
      </c>
    </row>
    <row r="93" customFormat="false" ht="15" hidden="false" customHeight="false" outlineLevel="0" collapsed="false">
      <c r="L93" s="6" t="str">
        <f aca="false">IF(G93="","",MID(G93,21,LEN(G93)-20))</f>
        <v/>
      </c>
      <c r="M93" s="6" t="str">
        <f aca="false">IF(I93="","",LEFT(I93,LEN(I93)-20))</f>
        <v/>
      </c>
      <c r="N93" s="6" t="n">
        <f aca="false">LEN(L93)</f>
        <v>0</v>
      </c>
      <c r="O93" s="6" t="n">
        <f aca="false">LEN(M93)</f>
        <v>0</v>
      </c>
      <c r="P93" s="9" t="str">
        <f aca="false">IF(N93=0,"",(N93-LEN(SUBSTITUTE(SUBSTITUTE(L93,"G",""),"C","")))/N93)</f>
        <v/>
      </c>
      <c r="Q93" s="9" t="str">
        <f aca="false">IF(O93=0,"",(O93-LEN(SUBSTITUTE(SUBSTITUTE(M93,"G",""),"C","")))/O93)</f>
        <v/>
      </c>
    </row>
    <row r="94" customFormat="false" ht="15" hidden="false" customHeight="false" outlineLevel="0" collapsed="false">
      <c r="L94" s="6" t="str">
        <f aca="false">IF(G94="","",MID(G94,21,LEN(G94)-20))</f>
        <v/>
      </c>
      <c r="M94" s="6" t="str">
        <f aca="false">IF(I94="","",LEFT(I94,LEN(I94)-20))</f>
        <v/>
      </c>
      <c r="N94" s="6" t="n">
        <f aca="false">LEN(L94)</f>
        <v>0</v>
      </c>
      <c r="O94" s="6" t="n">
        <f aca="false">LEN(M94)</f>
        <v>0</v>
      </c>
      <c r="P94" s="9" t="str">
        <f aca="false">IF(N94=0,"",(N94-LEN(SUBSTITUTE(SUBSTITUTE(L94,"G",""),"C","")))/N94)</f>
        <v/>
      </c>
      <c r="Q94" s="9" t="str">
        <f aca="false">IF(O94=0,"",(O94-LEN(SUBSTITUTE(SUBSTITUTE(M94,"G",""),"C","")))/O94)</f>
        <v/>
      </c>
    </row>
    <row r="95" customFormat="false" ht="15" hidden="false" customHeight="false" outlineLevel="0" collapsed="false">
      <c r="L95" s="6" t="str">
        <f aca="false">IF(G95="","",MID(G95,21,LEN(G95)-20))</f>
        <v/>
      </c>
      <c r="M95" s="6" t="str">
        <f aca="false">IF(I95="","",LEFT(I95,LEN(I95)-20))</f>
        <v/>
      </c>
      <c r="N95" s="6" t="n">
        <f aca="false">LEN(L95)</f>
        <v>0</v>
      </c>
      <c r="O95" s="6" t="n">
        <f aca="false">LEN(M95)</f>
        <v>0</v>
      </c>
      <c r="P95" s="9" t="str">
        <f aca="false">IF(N95=0,"",(N95-LEN(SUBSTITUTE(SUBSTITUTE(L95,"G",""),"C","")))/N95)</f>
        <v/>
      </c>
      <c r="Q95" s="9" t="str">
        <f aca="false">IF(O95=0,"",(O95-LEN(SUBSTITUTE(SUBSTITUTE(M95,"G",""),"C","")))/O95)</f>
        <v/>
      </c>
    </row>
    <row r="96" customFormat="false" ht="15" hidden="false" customHeight="false" outlineLevel="0" collapsed="false">
      <c r="L96" s="6" t="str">
        <f aca="false">IF(G96="","",MID(G96,21,LEN(G96)-20))</f>
        <v/>
      </c>
      <c r="M96" s="6" t="str">
        <f aca="false">IF(I96="","",LEFT(I96,LEN(I96)-20))</f>
        <v/>
      </c>
      <c r="N96" s="6" t="n">
        <f aca="false">LEN(L96)</f>
        <v>0</v>
      </c>
      <c r="O96" s="6" t="n">
        <f aca="false">LEN(M96)</f>
        <v>0</v>
      </c>
      <c r="P96" s="9" t="str">
        <f aca="false">IF(N96=0,"",(N96-LEN(SUBSTITUTE(SUBSTITUTE(L96,"G",""),"C","")))/N96)</f>
        <v/>
      </c>
      <c r="Q96" s="9" t="str">
        <f aca="false">IF(O96=0,"",(O96-LEN(SUBSTITUTE(SUBSTITUTE(M96,"G",""),"C","")))/O96)</f>
        <v/>
      </c>
    </row>
    <row r="97" customFormat="false" ht="15" hidden="false" customHeight="false" outlineLevel="0" collapsed="false">
      <c r="L97" s="6" t="str">
        <f aca="false">IF(G97="","",MID(G97,21,LEN(G97)-20))</f>
        <v/>
      </c>
      <c r="M97" s="6" t="str">
        <f aca="false">IF(I97="","",LEFT(I97,LEN(I97)-20))</f>
        <v/>
      </c>
      <c r="N97" s="6" t="n">
        <f aca="false">LEN(L97)</f>
        <v>0</v>
      </c>
      <c r="O97" s="6" t="n">
        <f aca="false">LEN(M97)</f>
        <v>0</v>
      </c>
      <c r="P97" s="9" t="str">
        <f aca="false">IF(N97=0,"",(N97-LEN(SUBSTITUTE(SUBSTITUTE(L97,"G",""),"C","")))/N97)</f>
        <v/>
      </c>
      <c r="Q97" s="9" t="str">
        <f aca="false">IF(O97=0,"",(O97-LEN(SUBSTITUTE(SUBSTITUTE(M97,"G",""),"C","")))/O97)</f>
        <v/>
      </c>
    </row>
    <row r="98" customFormat="false" ht="15" hidden="false" customHeight="false" outlineLevel="0" collapsed="false">
      <c r="L98" s="6" t="str">
        <f aca="false">IF(G98="","",MID(G98,21,LEN(G98)-20))</f>
        <v/>
      </c>
      <c r="M98" s="6" t="str">
        <f aca="false">IF(I98="","",LEFT(I98,LEN(I98)-20))</f>
        <v/>
      </c>
      <c r="N98" s="6" t="n">
        <f aca="false">LEN(L98)</f>
        <v>0</v>
      </c>
      <c r="O98" s="6" t="n">
        <f aca="false">LEN(M98)</f>
        <v>0</v>
      </c>
      <c r="P98" s="9" t="str">
        <f aca="false">IF(N98=0,"",(N98-LEN(SUBSTITUTE(SUBSTITUTE(L98,"G",""),"C","")))/N98)</f>
        <v/>
      </c>
      <c r="Q98" s="9" t="str">
        <f aca="false">IF(O98=0,"",(O98-LEN(SUBSTITUTE(SUBSTITUTE(M98,"G",""),"C","")))/O98)</f>
        <v/>
      </c>
    </row>
    <row r="99" customFormat="false" ht="15" hidden="false" customHeight="false" outlineLevel="0" collapsed="false">
      <c r="L99" s="6" t="str">
        <f aca="false">IF(G99="","",MID(G99,21,LEN(G99)-20))</f>
        <v/>
      </c>
      <c r="M99" s="6" t="str">
        <f aca="false">IF(I99="","",LEFT(I99,LEN(I99)-20))</f>
        <v/>
      </c>
      <c r="N99" s="6" t="n">
        <f aca="false">LEN(L99)</f>
        <v>0</v>
      </c>
      <c r="O99" s="6" t="n">
        <f aca="false">LEN(M99)</f>
        <v>0</v>
      </c>
      <c r="P99" s="9" t="str">
        <f aca="false">IF(N99=0,"",(N99-LEN(SUBSTITUTE(SUBSTITUTE(L99,"G",""),"C","")))/N99)</f>
        <v/>
      </c>
      <c r="Q99" s="9" t="str">
        <f aca="false">IF(O99=0,"",(O99-LEN(SUBSTITUTE(SUBSTITUTE(M99,"G",""),"C","")))/O99)</f>
        <v/>
      </c>
    </row>
    <row r="100" customFormat="false" ht="15" hidden="false" customHeight="false" outlineLevel="0" collapsed="false">
      <c r="L100" s="6" t="str">
        <f aca="false">IF(G100="","",MID(G100,21,LEN(G100)-20))</f>
        <v/>
      </c>
      <c r="M100" s="6" t="str">
        <f aca="false">IF(I100="","",LEFT(I100,LEN(I100)-20))</f>
        <v/>
      </c>
      <c r="N100" s="6" t="n">
        <f aca="false">LEN(L100)</f>
        <v>0</v>
      </c>
      <c r="O100" s="6" t="n">
        <f aca="false">LEN(M100)</f>
        <v>0</v>
      </c>
      <c r="P100" s="9" t="str">
        <f aca="false">IF(N100=0,"",(N100-LEN(SUBSTITUTE(SUBSTITUTE(L100,"G",""),"C","")))/N100)</f>
        <v/>
      </c>
      <c r="Q100" s="9" t="str">
        <f aca="false">IF(O100=0,"",(O100-LEN(SUBSTITUTE(SUBSTITUTE(M100,"G",""),"C","")))/O100)</f>
        <v/>
      </c>
    </row>
    <row r="101" customFormat="false" ht="15" hidden="false" customHeight="false" outlineLevel="0" collapsed="false">
      <c r="L101" s="6" t="str">
        <f aca="false">IF(G101="","",MID(G101,21,LEN(G101)-20))</f>
        <v/>
      </c>
      <c r="M101" s="6" t="str">
        <f aca="false">IF(I101="","",LEFT(I101,LEN(I101)-20))</f>
        <v/>
      </c>
      <c r="N101" s="6" t="n">
        <f aca="false">LEN(L101)</f>
        <v>0</v>
      </c>
      <c r="O101" s="6" t="n">
        <f aca="false">LEN(M101)</f>
        <v>0</v>
      </c>
      <c r="P101" s="9" t="str">
        <f aca="false">IF(N101=0,"",(N101-LEN(SUBSTITUTE(SUBSTITUTE(L101,"G",""),"C","")))/N101)</f>
        <v/>
      </c>
      <c r="Q101" s="9" t="str">
        <f aca="false">IF(O101=0,"",(O101-LEN(SUBSTITUTE(SUBSTITUTE(M101,"G",""),"C","")))/O101)</f>
        <v/>
      </c>
    </row>
    <row r="102" customFormat="false" ht="15" hidden="false" customHeight="false" outlineLevel="0" collapsed="false">
      <c r="L102" s="6" t="str">
        <f aca="false">IF(G102="","",MID(G102,21,LEN(G102)-20))</f>
        <v/>
      </c>
      <c r="M102" s="6" t="str">
        <f aca="false">IF(I102="","",LEFT(I102,LEN(I102)-20))</f>
        <v/>
      </c>
      <c r="N102" s="6" t="n">
        <f aca="false">LEN(L102)</f>
        <v>0</v>
      </c>
      <c r="O102" s="6" t="n">
        <f aca="false">LEN(M102)</f>
        <v>0</v>
      </c>
      <c r="P102" s="9" t="str">
        <f aca="false">IF(N102=0,"",(N102-LEN(SUBSTITUTE(SUBSTITUTE(L102,"G",""),"C","")))/N102)</f>
        <v/>
      </c>
      <c r="Q102" s="9" t="str">
        <f aca="false">IF(O102=0,"",(O102-LEN(SUBSTITUTE(SUBSTITUTE(M102,"G",""),"C","")))/O102)</f>
        <v/>
      </c>
    </row>
    <row r="103" customFormat="false" ht="15" hidden="false" customHeight="false" outlineLevel="0" collapsed="false">
      <c r="L103" s="6" t="str">
        <f aca="false">IF(G103="","",MID(G103,21,LEN(G103)-20))</f>
        <v/>
      </c>
      <c r="M103" s="6" t="str">
        <f aca="false">IF(I103="","",LEFT(I103,LEN(I103)-20))</f>
        <v/>
      </c>
      <c r="N103" s="6" t="n">
        <f aca="false">LEN(L103)</f>
        <v>0</v>
      </c>
      <c r="O103" s="6" t="n">
        <f aca="false">LEN(M103)</f>
        <v>0</v>
      </c>
      <c r="P103" s="9" t="str">
        <f aca="false">IF(N103=0,"",(N103-LEN(SUBSTITUTE(SUBSTITUTE(L103,"G",""),"C","")))/N103)</f>
        <v/>
      </c>
      <c r="Q103" s="9" t="str">
        <f aca="false">IF(O103=0,"",(O103-LEN(SUBSTITUTE(SUBSTITUTE(M103,"G",""),"C","")))/O103)</f>
        <v/>
      </c>
    </row>
    <row r="104" customFormat="false" ht="15" hidden="false" customHeight="false" outlineLevel="0" collapsed="false">
      <c r="L104" s="6" t="str">
        <f aca="false">IF(G104="","",MID(G104,21,LEN(G104)-20))</f>
        <v/>
      </c>
      <c r="M104" s="6" t="str">
        <f aca="false">IF(I104="","",LEFT(I104,LEN(I104)-20))</f>
        <v/>
      </c>
      <c r="N104" s="6" t="n">
        <f aca="false">LEN(L104)</f>
        <v>0</v>
      </c>
      <c r="O104" s="6" t="n">
        <f aca="false">LEN(M104)</f>
        <v>0</v>
      </c>
      <c r="P104" s="9" t="str">
        <f aca="false">IF(N104=0,"",(N104-LEN(SUBSTITUTE(SUBSTITUTE(L104,"G",""),"C","")))/N104)</f>
        <v/>
      </c>
      <c r="Q104" s="9" t="str">
        <f aca="false">IF(O104=0,"",(O104-LEN(SUBSTITUTE(SUBSTITUTE(M104,"G",""),"C","")))/O104)</f>
        <v/>
      </c>
    </row>
    <row r="105" customFormat="false" ht="15" hidden="false" customHeight="false" outlineLevel="0" collapsed="false">
      <c r="L105" s="6" t="str">
        <f aca="false">IF(G105="","",MID(G105,21,LEN(G105)-20))</f>
        <v/>
      </c>
      <c r="M105" s="6" t="str">
        <f aca="false">IF(I105="","",LEFT(I105,LEN(I105)-20))</f>
        <v/>
      </c>
      <c r="N105" s="6" t="n">
        <f aca="false">LEN(L105)</f>
        <v>0</v>
      </c>
      <c r="O105" s="6" t="n">
        <f aca="false">LEN(M105)</f>
        <v>0</v>
      </c>
      <c r="P105" s="9" t="str">
        <f aca="false">IF(N105=0,"",(N105-LEN(SUBSTITUTE(SUBSTITUTE(L105,"G",""),"C","")))/N105)</f>
        <v/>
      </c>
      <c r="Q105" s="9" t="str">
        <f aca="false">IF(O105=0,"",(O105-LEN(SUBSTITUTE(SUBSTITUTE(M105,"G",""),"C","")))/O105)</f>
        <v/>
      </c>
    </row>
    <row r="106" customFormat="false" ht="15" hidden="false" customHeight="false" outlineLevel="0" collapsed="false">
      <c r="L106" s="6" t="str">
        <f aca="false">IF(G106="","",MID(G106,21,LEN(G106)-20))</f>
        <v/>
      </c>
      <c r="M106" s="6" t="str">
        <f aca="false">IF(I106="","",LEFT(I106,LEN(I106)-20))</f>
        <v/>
      </c>
      <c r="N106" s="6" t="n">
        <f aca="false">LEN(L106)</f>
        <v>0</v>
      </c>
      <c r="O106" s="6" t="n">
        <f aca="false">LEN(M106)</f>
        <v>0</v>
      </c>
      <c r="P106" s="9" t="str">
        <f aca="false">IF(N106=0,"",(N106-LEN(SUBSTITUTE(SUBSTITUTE(L106,"G",""),"C","")))/N106)</f>
        <v/>
      </c>
      <c r="Q106" s="9" t="str">
        <f aca="false">IF(O106=0,"",(O106-LEN(SUBSTITUTE(SUBSTITUTE(M106,"G",""),"C","")))/O106)</f>
        <v/>
      </c>
    </row>
    <row r="107" customFormat="false" ht="15" hidden="false" customHeight="false" outlineLevel="0" collapsed="false">
      <c r="L107" s="6" t="str">
        <f aca="false">IF(G107="","",MID(G107,21,LEN(G107)-20))</f>
        <v/>
      </c>
      <c r="M107" s="6" t="str">
        <f aca="false">IF(I107="","",LEFT(I107,LEN(I107)-20))</f>
        <v/>
      </c>
      <c r="N107" s="6" t="n">
        <f aca="false">LEN(L107)</f>
        <v>0</v>
      </c>
      <c r="O107" s="6" t="n">
        <f aca="false">LEN(M107)</f>
        <v>0</v>
      </c>
      <c r="P107" s="9" t="str">
        <f aca="false">IF(N107=0,"",(N107-LEN(SUBSTITUTE(SUBSTITUTE(L107,"G",""),"C","")))/N107)</f>
        <v/>
      </c>
      <c r="Q107" s="9" t="str">
        <f aca="false">IF(O107=0,"",(O107-LEN(SUBSTITUTE(SUBSTITUTE(M107,"G",""),"C","")))/O107)</f>
        <v/>
      </c>
    </row>
    <row r="108" customFormat="false" ht="15" hidden="false" customHeight="false" outlineLevel="0" collapsed="false">
      <c r="L108" s="6" t="str">
        <f aca="false">IF(G108="","",MID(G108,21,LEN(G108)-20))</f>
        <v/>
      </c>
      <c r="M108" s="6" t="str">
        <f aca="false">IF(I108="","",LEFT(I108,LEN(I108)-20))</f>
        <v/>
      </c>
      <c r="N108" s="6" t="n">
        <f aca="false">LEN(L108)</f>
        <v>0</v>
      </c>
      <c r="O108" s="6" t="n">
        <f aca="false">LEN(M108)</f>
        <v>0</v>
      </c>
      <c r="P108" s="9" t="str">
        <f aca="false">IF(N108=0,"",(N108-LEN(SUBSTITUTE(SUBSTITUTE(L108,"G",""),"C","")))/N108)</f>
        <v/>
      </c>
      <c r="Q108" s="9" t="str">
        <f aca="false">IF(O108=0,"",(O108-LEN(SUBSTITUTE(SUBSTITUTE(M108,"G",""),"C","")))/O108)</f>
        <v/>
      </c>
    </row>
    <row r="109" customFormat="false" ht="15" hidden="false" customHeight="false" outlineLevel="0" collapsed="false">
      <c r="L109" s="6" t="str">
        <f aca="false">IF(G109="","",MID(G109,21,LEN(G109)-20))</f>
        <v/>
      </c>
      <c r="M109" s="6" t="str">
        <f aca="false">IF(I109="","",LEFT(I109,LEN(I109)-20))</f>
        <v/>
      </c>
      <c r="N109" s="6" t="n">
        <f aca="false">LEN(L109)</f>
        <v>0</v>
      </c>
      <c r="O109" s="6" t="n">
        <f aca="false">LEN(M109)</f>
        <v>0</v>
      </c>
      <c r="P109" s="9" t="str">
        <f aca="false">IF(N109=0,"",(N109-LEN(SUBSTITUTE(SUBSTITUTE(L109,"G",""),"C","")))/N109)</f>
        <v/>
      </c>
      <c r="Q109" s="9" t="str">
        <f aca="false">IF(O109=0,"",(O109-LEN(SUBSTITUTE(SUBSTITUTE(M109,"G",""),"C","")))/O109)</f>
        <v/>
      </c>
    </row>
    <row r="110" customFormat="false" ht="15" hidden="false" customHeight="false" outlineLevel="0" collapsed="false">
      <c r="L110" s="6" t="str">
        <f aca="false">IF(G110="","",MID(G110,21,LEN(G110)-20))</f>
        <v/>
      </c>
      <c r="M110" s="6" t="str">
        <f aca="false">IF(I110="","",LEFT(I110,LEN(I110)-20))</f>
        <v/>
      </c>
      <c r="N110" s="6" t="n">
        <f aca="false">LEN(L110)</f>
        <v>0</v>
      </c>
      <c r="O110" s="6" t="n">
        <f aca="false">LEN(M110)</f>
        <v>0</v>
      </c>
      <c r="P110" s="9" t="str">
        <f aca="false">IF(N110=0,"",(N110-LEN(SUBSTITUTE(SUBSTITUTE(L110,"G",""),"C","")))/N110)</f>
        <v/>
      </c>
      <c r="Q110" s="9" t="str">
        <f aca="false">IF(O110=0,"",(O110-LEN(SUBSTITUTE(SUBSTITUTE(M110,"G",""),"C","")))/O110)</f>
        <v/>
      </c>
    </row>
    <row r="111" customFormat="false" ht="15" hidden="false" customHeight="false" outlineLevel="0" collapsed="false">
      <c r="L111" s="6" t="str">
        <f aca="false">IF(G111="","",MID(G111,21,LEN(G111)-20))</f>
        <v/>
      </c>
      <c r="M111" s="6" t="str">
        <f aca="false">IF(I111="","",LEFT(I111,LEN(I111)-20))</f>
        <v/>
      </c>
      <c r="N111" s="6" t="n">
        <f aca="false">LEN(L111)</f>
        <v>0</v>
      </c>
      <c r="O111" s="6" t="n">
        <f aca="false">LEN(M111)</f>
        <v>0</v>
      </c>
      <c r="P111" s="9" t="str">
        <f aca="false">IF(N111=0,"",(N111-LEN(SUBSTITUTE(SUBSTITUTE(L111,"G",""),"C","")))/N111)</f>
        <v/>
      </c>
      <c r="Q111" s="9" t="str">
        <f aca="false">IF(O111=0,"",(O111-LEN(SUBSTITUTE(SUBSTITUTE(M111,"G",""),"C","")))/O111)</f>
        <v/>
      </c>
    </row>
    <row r="112" customFormat="false" ht="15" hidden="false" customHeight="false" outlineLevel="0" collapsed="false">
      <c r="L112" s="6" t="str">
        <f aca="false">IF(G112="","",MID(G112,21,LEN(G112)-20))</f>
        <v/>
      </c>
      <c r="M112" s="6" t="str">
        <f aca="false">IF(I112="","",LEFT(I112,LEN(I112)-20))</f>
        <v/>
      </c>
      <c r="N112" s="6" t="n">
        <f aca="false">LEN(L112)</f>
        <v>0</v>
      </c>
      <c r="O112" s="6" t="n">
        <f aca="false">LEN(M112)</f>
        <v>0</v>
      </c>
      <c r="P112" s="9" t="str">
        <f aca="false">IF(N112=0,"",(N112-LEN(SUBSTITUTE(SUBSTITUTE(L112,"G",""),"C","")))/N112)</f>
        <v/>
      </c>
      <c r="Q112" s="9" t="str">
        <f aca="false">IF(O112=0,"",(O112-LEN(SUBSTITUTE(SUBSTITUTE(M112,"G",""),"C","")))/O112)</f>
        <v/>
      </c>
    </row>
    <row r="113" customFormat="false" ht="15" hidden="false" customHeight="false" outlineLevel="0" collapsed="false">
      <c r="L113" s="6" t="str">
        <f aca="false">IF(G113="","",MID(G113,21,LEN(G113)-20))</f>
        <v/>
      </c>
      <c r="M113" s="6" t="str">
        <f aca="false">IF(I113="","",LEFT(I113,LEN(I113)-20))</f>
        <v/>
      </c>
      <c r="N113" s="6" t="n">
        <f aca="false">LEN(L113)</f>
        <v>0</v>
      </c>
      <c r="O113" s="6" t="n">
        <f aca="false">LEN(M113)</f>
        <v>0</v>
      </c>
      <c r="P113" s="9" t="str">
        <f aca="false">IF(N113=0,"",(N113-LEN(SUBSTITUTE(SUBSTITUTE(L113,"G",""),"C","")))/N113)</f>
        <v/>
      </c>
      <c r="Q113" s="9" t="str">
        <f aca="false">IF(O113=0,"",(O113-LEN(SUBSTITUTE(SUBSTITUTE(M113,"G",""),"C","")))/O113)</f>
        <v/>
      </c>
    </row>
    <row r="114" customFormat="false" ht="15" hidden="false" customHeight="false" outlineLevel="0" collapsed="false">
      <c r="L114" s="6" t="str">
        <f aca="false">IF(G114="","",MID(G114,21,LEN(G114)-20))</f>
        <v/>
      </c>
      <c r="M114" s="6" t="str">
        <f aca="false">IF(I114="","",LEFT(I114,LEN(I114)-20))</f>
        <v/>
      </c>
      <c r="N114" s="6" t="n">
        <f aca="false">LEN(L114)</f>
        <v>0</v>
      </c>
      <c r="O114" s="6" t="n">
        <f aca="false">LEN(M114)</f>
        <v>0</v>
      </c>
      <c r="P114" s="9" t="str">
        <f aca="false">IF(N114=0,"",(N114-LEN(SUBSTITUTE(SUBSTITUTE(L114,"G",""),"C","")))/N114)</f>
        <v/>
      </c>
      <c r="Q114" s="9" t="str">
        <f aca="false">IF(O114=0,"",(O114-LEN(SUBSTITUTE(SUBSTITUTE(M114,"G",""),"C","")))/O114)</f>
        <v/>
      </c>
    </row>
    <row r="115" customFormat="false" ht="15" hidden="false" customHeight="false" outlineLevel="0" collapsed="false">
      <c r="L115" s="6" t="str">
        <f aca="false">IF(G115="","",MID(G115,21,LEN(G115)-20))</f>
        <v/>
      </c>
      <c r="M115" s="6" t="str">
        <f aca="false">IF(I115="","",LEFT(I115,LEN(I115)-20))</f>
        <v/>
      </c>
      <c r="N115" s="6" t="n">
        <f aca="false">LEN(L115)</f>
        <v>0</v>
      </c>
      <c r="O115" s="6" t="n">
        <f aca="false">LEN(M115)</f>
        <v>0</v>
      </c>
      <c r="P115" s="9" t="str">
        <f aca="false">IF(N115=0,"",(N115-LEN(SUBSTITUTE(SUBSTITUTE(L115,"G",""),"C","")))/N115)</f>
        <v/>
      </c>
      <c r="Q115" s="9" t="str">
        <f aca="false">IF(O115=0,"",(O115-LEN(SUBSTITUTE(SUBSTITUTE(M115,"G",""),"C","")))/O115)</f>
        <v/>
      </c>
    </row>
    <row r="116" customFormat="false" ht="15" hidden="false" customHeight="false" outlineLevel="0" collapsed="false">
      <c r="L116" s="6" t="str">
        <f aca="false">IF(G116="","",MID(G116,21,LEN(G116)-20))</f>
        <v/>
      </c>
      <c r="M116" s="6" t="str">
        <f aca="false">IF(I116="","",LEFT(I116,LEN(I116)-20))</f>
        <v/>
      </c>
      <c r="N116" s="6" t="n">
        <f aca="false">LEN(L116)</f>
        <v>0</v>
      </c>
      <c r="O116" s="6" t="n">
        <f aca="false">LEN(M116)</f>
        <v>0</v>
      </c>
      <c r="P116" s="9" t="str">
        <f aca="false">IF(N116=0,"",(N116-LEN(SUBSTITUTE(SUBSTITUTE(L116,"G",""),"C","")))/N116)</f>
        <v/>
      </c>
      <c r="Q116" s="9" t="str">
        <f aca="false">IF(O116=0,"",(O116-LEN(SUBSTITUTE(SUBSTITUTE(M116,"G",""),"C","")))/O116)</f>
        <v/>
      </c>
    </row>
    <row r="117" customFormat="false" ht="15" hidden="false" customHeight="false" outlineLevel="0" collapsed="false">
      <c r="L117" s="6" t="str">
        <f aca="false">IF(G117="","",MID(G117,21,LEN(G117)-20))</f>
        <v/>
      </c>
      <c r="M117" s="6" t="str">
        <f aca="false">IF(I117="","",LEFT(I117,LEN(I117)-20))</f>
        <v/>
      </c>
      <c r="N117" s="6" t="n">
        <f aca="false">LEN(L117)</f>
        <v>0</v>
      </c>
      <c r="O117" s="6" t="n">
        <f aca="false">LEN(M117)</f>
        <v>0</v>
      </c>
      <c r="P117" s="9" t="str">
        <f aca="false">IF(N117=0,"",(N117-LEN(SUBSTITUTE(SUBSTITUTE(L117,"G",""),"C","")))/N117)</f>
        <v/>
      </c>
      <c r="Q117" s="9" t="str">
        <f aca="false">IF(O117=0,"",(O117-LEN(SUBSTITUTE(SUBSTITUTE(M117,"G",""),"C","")))/O117)</f>
        <v/>
      </c>
    </row>
    <row r="118" customFormat="false" ht="15" hidden="false" customHeight="false" outlineLevel="0" collapsed="false">
      <c r="L118" s="6" t="str">
        <f aca="false">IF(G118="","",MID(G118,21,LEN(G118)-20))</f>
        <v/>
      </c>
      <c r="M118" s="6" t="str">
        <f aca="false">IF(I118="","",LEFT(I118,LEN(I118)-20))</f>
        <v/>
      </c>
      <c r="N118" s="6" t="n">
        <f aca="false">LEN(L118)</f>
        <v>0</v>
      </c>
      <c r="O118" s="6" t="n">
        <f aca="false">LEN(M118)</f>
        <v>0</v>
      </c>
      <c r="P118" s="9" t="str">
        <f aca="false">IF(N118=0,"",(N118-LEN(SUBSTITUTE(SUBSTITUTE(L118,"G",""),"C","")))/N118)</f>
        <v/>
      </c>
      <c r="Q118" s="9" t="str">
        <f aca="false">IF(O118=0,"",(O118-LEN(SUBSTITUTE(SUBSTITUTE(M118,"G",""),"C","")))/O118)</f>
        <v/>
      </c>
    </row>
    <row r="119" customFormat="false" ht="15" hidden="false" customHeight="false" outlineLevel="0" collapsed="false">
      <c r="L119" s="6" t="str">
        <f aca="false">IF(G119="","",MID(G119,21,LEN(G119)-20))</f>
        <v/>
      </c>
      <c r="M119" s="6" t="str">
        <f aca="false">IF(I119="","",LEFT(I119,LEN(I119)-20))</f>
        <v/>
      </c>
      <c r="N119" s="6" t="n">
        <f aca="false">LEN(L119)</f>
        <v>0</v>
      </c>
      <c r="O119" s="6" t="n">
        <f aca="false">LEN(M119)</f>
        <v>0</v>
      </c>
      <c r="P119" s="9" t="str">
        <f aca="false">IF(N119=0,"",(N119-LEN(SUBSTITUTE(SUBSTITUTE(L119,"G",""),"C","")))/N119)</f>
        <v/>
      </c>
      <c r="Q119" s="9" t="str">
        <f aca="false">IF(O119=0,"",(O119-LEN(SUBSTITUTE(SUBSTITUTE(M119,"G",""),"C","")))/O119)</f>
        <v/>
      </c>
    </row>
    <row r="120" customFormat="false" ht="15" hidden="false" customHeight="false" outlineLevel="0" collapsed="false">
      <c r="L120" s="6" t="str">
        <f aca="false">IF(G120="","",MID(G120,21,LEN(G120)-20))</f>
        <v/>
      </c>
      <c r="M120" s="6" t="str">
        <f aca="false">IF(I120="","",LEFT(I120,LEN(I120)-20))</f>
        <v/>
      </c>
      <c r="N120" s="6" t="n">
        <f aca="false">LEN(L120)</f>
        <v>0</v>
      </c>
      <c r="O120" s="6" t="n">
        <f aca="false">LEN(M120)</f>
        <v>0</v>
      </c>
      <c r="P120" s="9" t="str">
        <f aca="false">IF(N120=0,"",(N120-LEN(SUBSTITUTE(SUBSTITUTE(L120,"G",""),"C","")))/N120)</f>
        <v/>
      </c>
      <c r="Q120" s="9" t="str">
        <f aca="false">IF(O120=0,"",(O120-LEN(SUBSTITUTE(SUBSTITUTE(M120,"G",""),"C","")))/O120)</f>
        <v/>
      </c>
    </row>
    <row r="121" customFormat="false" ht="15" hidden="false" customHeight="false" outlineLevel="0" collapsed="false">
      <c r="L121" s="6" t="str">
        <f aca="false">IF(G121="","",MID(G121,21,LEN(G121)-20))</f>
        <v/>
      </c>
      <c r="M121" s="6" t="str">
        <f aca="false">IF(I121="","",LEFT(I121,LEN(I121)-20))</f>
        <v/>
      </c>
      <c r="N121" s="6" t="n">
        <f aca="false">LEN(L121)</f>
        <v>0</v>
      </c>
      <c r="O121" s="6" t="n">
        <f aca="false">LEN(M121)</f>
        <v>0</v>
      </c>
      <c r="P121" s="9" t="str">
        <f aca="false">IF(N121=0,"",(N121-LEN(SUBSTITUTE(SUBSTITUTE(L121,"G",""),"C","")))/N121)</f>
        <v/>
      </c>
      <c r="Q121" s="9" t="str">
        <f aca="false">IF(O121=0,"",(O121-LEN(SUBSTITUTE(SUBSTITUTE(M121,"G",""),"C","")))/O121)</f>
        <v/>
      </c>
    </row>
    <row r="122" customFormat="false" ht="15" hidden="false" customHeight="false" outlineLevel="0" collapsed="false">
      <c r="L122" s="6" t="str">
        <f aca="false">IF(G122="","",MID(G122,21,LEN(G122)-20))</f>
        <v/>
      </c>
      <c r="M122" s="6" t="str">
        <f aca="false">IF(I122="","",LEFT(I122,LEN(I122)-20))</f>
        <v/>
      </c>
      <c r="N122" s="6" t="n">
        <f aca="false">LEN(L122)</f>
        <v>0</v>
      </c>
      <c r="O122" s="6" t="n">
        <f aca="false">LEN(M122)</f>
        <v>0</v>
      </c>
      <c r="P122" s="9" t="str">
        <f aca="false">IF(N122=0,"",(N122-LEN(SUBSTITUTE(SUBSTITUTE(L122,"G",""),"C","")))/N122)</f>
        <v/>
      </c>
      <c r="Q122" s="9" t="str">
        <f aca="false">IF(O122=0,"",(O122-LEN(SUBSTITUTE(SUBSTITUTE(M122,"G",""),"C","")))/O122)</f>
        <v/>
      </c>
    </row>
    <row r="123" customFormat="false" ht="15" hidden="false" customHeight="false" outlineLevel="0" collapsed="false">
      <c r="L123" s="6" t="str">
        <f aca="false">IF(G123="","",MID(G123,21,LEN(G123)-20))</f>
        <v/>
      </c>
      <c r="M123" s="6" t="str">
        <f aca="false">IF(I123="","",LEFT(I123,LEN(I123)-20))</f>
        <v/>
      </c>
      <c r="N123" s="6" t="n">
        <f aca="false">LEN(L123)</f>
        <v>0</v>
      </c>
      <c r="O123" s="6" t="n">
        <f aca="false">LEN(M123)</f>
        <v>0</v>
      </c>
      <c r="P123" s="9" t="str">
        <f aca="false">IF(N123=0,"",(N123-LEN(SUBSTITUTE(SUBSTITUTE(L123,"G",""),"C","")))/N123)</f>
        <v/>
      </c>
      <c r="Q123" s="9" t="str">
        <f aca="false">IF(O123=0,"",(O123-LEN(SUBSTITUTE(SUBSTITUTE(M123,"G",""),"C","")))/O123)</f>
        <v/>
      </c>
    </row>
    <row r="124" customFormat="false" ht="15" hidden="false" customHeight="false" outlineLevel="0" collapsed="false">
      <c r="L124" s="6" t="str">
        <f aca="false">IF(G124="","",MID(G124,21,LEN(G124)-20))</f>
        <v/>
      </c>
      <c r="M124" s="6" t="str">
        <f aca="false">IF(I124="","",LEFT(I124,LEN(I124)-20))</f>
        <v/>
      </c>
      <c r="N124" s="6" t="n">
        <f aca="false">LEN(L124)</f>
        <v>0</v>
      </c>
      <c r="O124" s="6" t="n">
        <f aca="false">LEN(M124)</f>
        <v>0</v>
      </c>
      <c r="P124" s="9" t="str">
        <f aca="false">IF(N124=0,"",(N124-LEN(SUBSTITUTE(SUBSTITUTE(L124,"G",""),"C","")))/N124)</f>
        <v/>
      </c>
      <c r="Q124" s="9" t="str">
        <f aca="false">IF(O124=0,"",(O124-LEN(SUBSTITUTE(SUBSTITUTE(M124,"G",""),"C","")))/O124)</f>
        <v/>
      </c>
    </row>
    <row r="125" customFormat="false" ht="15" hidden="false" customHeight="false" outlineLevel="0" collapsed="false">
      <c r="L125" s="6" t="str">
        <f aca="false">IF(G125="","",MID(G125,21,LEN(G125)-20))</f>
        <v/>
      </c>
      <c r="M125" s="6" t="str">
        <f aca="false">IF(I125="","",LEFT(I125,LEN(I125)-20))</f>
        <v/>
      </c>
      <c r="N125" s="6" t="n">
        <f aca="false">LEN(L125)</f>
        <v>0</v>
      </c>
      <c r="O125" s="6" t="n">
        <f aca="false">LEN(M125)</f>
        <v>0</v>
      </c>
      <c r="P125" s="9" t="str">
        <f aca="false">IF(N125=0,"",(N125-LEN(SUBSTITUTE(SUBSTITUTE(L125,"G",""),"C","")))/N125)</f>
        <v/>
      </c>
      <c r="Q125" s="9" t="str">
        <f aca="false">IF(O125=0,"",(O125-LEN(SUBSTITUTE(SUBSTITUTE(M125,"G",""),"C","")))/O125)</f>
        <v/>
      </c>
    </row>
    <row r="126" customFormat="false" ht="15" hidden="false" customHeight="false" outlineLevel="0" collapsed="false">
      <c r="L126" s="6" t="str">
        <f aca="false">IF(G126="","",MID(G126,21,LEN(G126)-20))</f>
        <v/>
      </c>
      <c r="M126" s="6" t="str">
        <f aca="false">IF(I126="","",LEFT(I126,LEN(I126)-20))</f>
        <v/>
      </c>
      <c r="N126" s="6" t="n">
        <f aca="false">LEN(L126)</f>
        <v>0</v>
      </c>
      <c r="O126" s="6" t="n">
        <f aca="false">LEN(M126)</f>
        <v>0</v>
      </c>
      <c r="P126" s="9" t="str">
        <f aca="false">IF(N126=0,"",(N126-LEN(SUBSTITUTE(SUBSTITUTE(L126,"G",""),"C","")))/N126)</f>
        <v/>
      </c>
      <c r="Q126" s="9" t="str">
        <f aca="false">IF(O126=0,"",(O126-LEN(SUBSTITUTE(SUBSTITUTE(M126,"G",""),"C","")))/O126)</f>
        <v/>
      </c>
    </row>
    <row r="127" customFormat="false" ht="15" hidden="false" customHeight="false" outlineLevel="0" collapsed="false">
      <c r="L127" s="6" t="str">
        <f aca="false">IF(G127="","",MID(G127,21,LEN(G127)-20))</f>
        <v/>
      </c>
      <c r="M127" s="6" t="str">
        <f aca="false">IF(I127="","",LEFT(I127,LEN(I127)-20))</f>
        <v/>
      </c>
      <c r="N127" s="6" t="n">
        <f aca="false">LEN(L127)</f>
        <v>0</v>
      </c>
      <c r="O127" s="6" t="n">
        <f aca="false">LEN(M127)</f>
        <v>0</v>
      </c>
      <c r="P127" s="9" t="str">
        <f aca="false">IF(N127=0,"",(N127-LEN(SUBSTITUTE(SUBSTITUTE(L127,"G",""),"C","")))/N127)</f>
        <v/>
      </c>
      <c r="Q127" s="9" t="str">
        <f aca="false">IF(O127=0,"",(O127-LEN(SUBSTITUTE(SUBSTITUTE(M127,"G",""),"C","")))/O127)</f>
        <v/>
      </c>
    </row>
    <row r="128" customFormat="false" ht="15" hidden="false" customHeight="false" outlineLevel="0" collapsed="false">
      <c r="L128" s="6" t="str">
        <f aca="false">IF(G128="","",MID(G128,21,LEN(G128)-20))</f>
        <v/>
      </c>
      <c r="M128" s="6" t="str">
        <f aca="false">IF(I128="","",LEFT(I128,LEN(I128)-20))</f>
        <v/>
      </c>
      <c r="N128" s="6" t="n">
        <f aca="false">LEN(L128)</f>
        <v>0</v>
      </c>
      <c r="O128" s="6" t="n">
        <f aca="false">LEN(M128)</f>
        <v>0</v>
      </c>
      <c r="P128" s="9" t="str">
        <f aca="false">IF(N128=0,"",(N128-LEN(SUBSTITUTE(SUBSTITUTE(L128,"G",""),"C","")))/N128)</f>
        <v/>
      </c>
      <c r="Q128" s="9" t="str">
        <f aca="false">IF(O128=0,"",(O128-LEN(SUBSTITUTE(SUBSTITUTE(M128,"G",""),"C","")))/O128)</f>
        <v/>
      </c>
    </row>
    <row r="129" customFormat="false" ht="15" hidden="false" customHeight="false" outlineLevel="0" collapsed="false">
      <c r="L129" s="6" t="str">
        <f aca="false">IF(G129="","",MID(G129,21,LEN(G129)-20))</f>
        <v/>
      </c>
      <c r="M129" s="6" t="str">
        <f aca="false">IF(I129="","",LEFT(I129,LEN(I129)-20))</f>
        <v/>
      </c>
      <c r="N129" s="6" t="n">
        <f aca="false">LEN(L129)</f>
        <v>0</v>
      </c>
      <c r="O129" s="6" t="n">
        <f aca="false">LEN(M129)</f>
        <v>0</v>
      </c>
      <c r="P129" s="9" t="str">
        <f aca="false">IF(N129=0,"",(N129-LEN(SUBSTITUTE(SUBSTITUTE(L129,"G",""),"C","")))/N129)</f>
        <v/>
      </c>
      <c r="Q129" s="9" t="str">
        <f aca="false">IF(O129=0,"",(O129-LEN(SUBSTITUTE(SUBSTITUTE(M129,"G",""),"C","")))/O129)</f>
        <v/>
      </c>
    </row>
    <row r="130" customFormat="false" ht="15" hidden="false" customHeight="false" outlineLevel="0" collapsed="false">
      <c r="L130" s="6" t="str">
        <f aca="false">IF(G130="","",MID(G130,21,LEN(G130)-20))</f>
        <v/>
      </c>
      <c r="M130" s="6" t="str">
        <f aca="false">IF(I130="","",LEFT(I130,LEN(I130)-20))</f>
        <v/>
      </c>
      <c r="N130" s="6" t="n">
        <f aca="false">LEN(L130)</f>
        <v>0</v>
      </c>
      <c r="O130" s="6" t="n">
        <f aca="false">LEN(M130)</f>
        <v>0</v>
      </c>
      <c r="P130" s="9" t="str">
        <f aca="false">IF(N130=0,"",(N130-LEN(SUBSTITUTE(SUBSTITUTE(L130,"G",""),"C","")))/N130)</f>
        <v/>
      </c>
      <c r="Q130" s="9" t="str">
        <f aca="false">IF(O130=0,"",(O130-LEN(SUBSTITUTE(SUBSTITUTE(M130,"G",""),"C","")))/O130)</f>
        <v/>
      </c>
    </row>
    <row r="131" customFormat="false" ht="15" hidden="false" customHeight="false" outlineLevel="0" collapsed="false">
      <c r="L131" s="6" t="str">
        <f aca="false">IF(G131="","",MID(G131,21,LEN(G131)-20))</f>
        <v/>
      </c>
      <c r="M131" s="6" t="str">
        <f aca="false">IF(I131="","",LEFT(I131,LEN(I131)-20))</f>
        <v/>
      </c>
      <c r="N131" s="6" t="n">
        <f aca="false">LEN(L131)</f>
        <v>0</v>
      </c>
      <c r="O131" s="6" t="n">
        <f aca="false">LEN(M131)</f>
        <v>0</v>
      </c>
      <c r="P131" s="9" t="str">
        <f aca="false">IF(N131=0,"",(N131-LEN(SUBSTITUTE(SUBSTITUTE(L131,"G",""),"C","")))/N131)</f>
        <v/>
      </c>
      <c r="Q131" s="9" t="str">
        <f aca="false">IF(O131=0,"",(O131-LEN(SUBSTITUTE(SUBSTITUTE(M131,"G",""),"C","")))/O131)</f>
        <v/>
      </c>
    </row>
    <row r="132" customFormat="false" ht="15" hidden="false" customHeight="false" outlineLevel="0" collapsed="false">
      <c r="L132" s="6" t="str">
        <f aca="false">IF(G132="","",MID(G132,21,LEN(G132)-20))</f>
        <v/>
      </c>
      <c r="M132" s="6" t="str">
        <f aca="false">IF(I132="","",LEFT(I132,LEN(I132)-20))</f>
        <v/>
      </c>
      <c r="N132" s="6" t="n">
        <f aca="false">LEN(L132)</f>
        <v>0</v>
      </c>
      <c r="O132" s="6" t="n">
        <f aca="false">LEN(M132)</f>
        <v>0</v>
      </c>
      <c r="P132" s="9" t="str">
        <f aca="false">IF(N132=0,"",(N132-LEN(SUBSTITUTE(SUBSTITUTE(L132,"G",""),"C","")))/N132)</f>
        <v/>
      </c>
      <c r="Q132" s="9" t="str">
        <f aca="false">IF(O132=0,"",(O132-LEN(SUBSTITUTE(SUBSTITUTE(M132,"G",""),"C","")))/O132)</f>
        <v/>
      </c>
    </row>
    <row r="133" customFormat="false" ht="15" hidden="false" customHeight="false" outlineLevel="0" collapsed="false">
      <c r="L133" s="6" t="str">
        <f aca="false">IF(G133="","",MID(G133,21,LEN(G133)-20))</f>
        <v/>
      </c>
      <c r="M133" s="6" t="str">
        <f aca="false">IF(I133="","",LEFT(I133,LEN(I133)-20))</f>
        <v/>
      </c>
      <c r="N133" s="6" t="n">
        <f aca="false">LEN(L133)</f>
        <v>0</v>
      </c>
      <c r="O133" s="6" t="n">
        <f aca="false">LEN(M133)</f>
        <v>0</v>
      </c>
      <c r="P133" s="9" t="str">
        <f aca="false">IF(N133=0,"",(N133-LEN(SUBSTITUTE(SUBSTITUTE(L133,"G",""),"C","")))/N133)</f>
        <v/>
      </c>
      <c r="Q133" s="9" t="str">
        <f aca="false">IF(O133=0,"",(O133-LEN(SUBSTITUTE(SUBSTITUTE(M133,"G",""),"C","")))/O133)</f>
        <v/>
      </c>
    </row>
    <row r="134" customFormat="false" ht="15" hidden="false" customHeight="false" outlineLevel="0" collapsed="false">
      <c r="L134" s="6" t="str">
        <f aca="false">IF(G134="","",MID(G134,21,LEN(G134)-20))</f>
        <v/>
      </c>
      <c r="M134" s="6" t="str">
        <f aca="false">IF(I134="","",LEFT(I134,LEN(I134)-20))</f>
        <v/>
      </c>
      <c r="N134" s="6" t="n">
        <f aca="false">LEN(L134)</f>
        <v>0</v>
      </c>
      <c r="O134" s="6" t="n">
        <f aca="false">LEN(M134)</f>
        <v>0</v>
      </c>
      <c r="P134" s="9" t="str">
        <f aca="false">IF(N134=0,"",(N134-LEN(SUBSTITUTE(SUBSTITUTE(L134,"G",""),"C","")))/N134)</f>
        <v/>
      </c>
      <c r="Q134" s="9" t="str">
        <f aca="false">IF(O134=0,"",(O134-LEN(SUBSTITUTE(SUBSTITUTE(M134,"G",""),"C","")))/O134)</f>
        <v/>
      </c>
    </row>
    <row r="135" customFormat="false" ht="15" hidden="false" customHeight="false" outlineLevel="0" collapsed="false">
      <c r="L135" s="6" t="str">
        <f aca="false">IF(G135="","",MID(G135,21,LEN(G135)-20))</f>
        <v/>
      </c>
      <c r="M135" s="6" t="str">
        <f aca="false">IF(I135="","",LEFT(I135,LEN(I135)-20))</f>
        <v/>
      </c>
      <c r="N135" s="6" t="n">
        <f aca="false">LEN(L135)</f>
        <v>0</v>
      </c>
      <c r="O135" s="6" t="n">
        <f aca="false">LEN(M135)</f>
        <v>0</v>
      </c>
      <c r="P135" s="9" t="str">
        <f aca="false">IF(N135=0,"",(N135-LEN(SUBSTITUTE(SUBSTITUTE(L135,"G",""),"C","")))/N135)</f>
        <v/>
      </c>
      <c r="Q135" s="9" t="str">
        <f aca="false">IF(O135=0,"",(O135-LEN(SUBSTITUTE(SUBSTITUTE(M135,"G",""),"C","")))/O135)</f>
        <v/>
      </c>
    </row>
    <row r="136" customFormat="false" ht="15" hidden="false" customHeight="false" outlineLevel="0" collapsed="false">
      <c r="L136" s="6" t="str">
        <f aca="false">IF(G136="","",MID(G136,21,LEN(G136)-20))</f>
        <v/>
      </c>
      <c r="M136" s="6" t="str">
        <f aca="false">IF(I136="","",LEFT(I136,LEN(I136)-20))</f>
        <v/>
      </c>
      <c r="N136" s="6" t="n">
        <f aca="false">LEN(L136)</f>
        <v>0</v>
      </c>
      <c r="O136" s="6" t="n">
        <f aca="false">LEN(M136)</f>
        <v>0</v>
      </c>
      <c r="P136" s="9" t="str">
        <f aca="false">IF(N136=0,"",(N136-LEN(SUBSTITUTE(SUBSTITUTE(L136,"G",""),"C","")))/N136)</f>
        <v/>
      </c>
      <c r="Q136" s="9" t="str">
        <f aca="false">IF(O136=0,"",(O136-LEN(SUBSTITUTE(SUBSTITUTE(M136,"G",""),"C","")))/O136)</f>
        <v/>
      </c>
    </row>
    <row r="137" customFormat="false" ht="15" hidden="false" customHeight="false" outlineLevel="0" collapsed="false">
      <c r="L137" s="6" t="str">
        <f aca="false">IF(G137="","",MID(G137,21,LEN(G137)-20))</f>
        <v/>
      </c>
      <c r="M137" s="6" t="str">
        <f aca="false">IF(I137="","",LEFT(I137,LEN(I137)-20))</f>
        <v/>
      </c>
      <c r="N137" s="6" t="n">
        <f aca="false">LEN(L137)</f>
        <v>0</v>
      </c>
      <c r="O137" s="6" t="n">
        <f aca="false">LEN(M137)</f>
        <v>0</v>
      </c>
      <c r="P137" s="9" t="str">
        <f aca="false">IF(N137=0,"",(N137-LEN(SUBSTITUTE(SUBSTITUTE(L137,"G",""),"C","")))/N137)</f>
        <v/>
      </c>
      <c r="Q137" s="9" t="str">
        <f aca="false">IF(O137=0,"",(O137-LEN(SUBSTITUTE(SUBSTITUTE(M137,"G",""),"C","")))/O137)</f>
        <v/>
      </c>
    </row>
    <row r="138" customFormat="false" ht="15" hidden="false" customHeight="false" outlineLevel="0" collapsed="false">
      <c r="L138" s="6" t="str">
        <f aca="false">IF(G138="","",MID(G138,21,LEN(G138)-20))</f>
        <v/>
      </c>
      <c r="M138" s="6" t="str">
        <f aca="false">IF(I138="","",LEFT(I138,LEN(I138)-20))</f>
        <v/>
      </c>
      <c r="N138" s="6" t="n">
        <f aca="false">LEN(L138)</f>
        <v>0</v>
      </c>
      <c r="O138" s="6" t="n">
        <f aca="false">LEN(M138)</f>
        <v>0</v>
      </c>
      <c r="P138" s="9" t="str">
        <f aca="false">IF(N138=0,"",(N138-LEN(SUBSTITUTE(SUBSTITUTE(L138,"G",""),"C","")))/N138)</f>
        <v/>
      </c>
      <c r="Q138" s="9" t="str">
        <f aca="false">IF(O138=0,"",(O138-LEN(SUBSTITUTE(SUBSTITUTE(M138,"G",""),"C","")))/O138)</f>
        <v/>
      </c>
    </row>
    <row r="139" customFormat="false" ht="15" hidden="false" customHeight="false" outlineLevel="0" collapsed="false">
      <c r="L139" s="6" t="str">
        <f aca="false">IF(G139="","",MID(G139,21,LEN(G139)-20))</f>
        <v/>
      </c>
      <c r="M139" s="6" t="str">
        <f aca="false">IF(I139="","",LEFT(I139,LEN(I139)-20))</f>
        <v/>
      </c>
      <c r="N139" s="6" t="n">
        <f aca="false">LEN(L139)</f>
        <v>0</v>
      </c>
      <c r="O139" s="6" t="n">
        <f aca="false">LEN(M139)</f>
        <v>0</v>
      </c>
      <c r="P139" s="9" t="str">
        <f aca="false">IF(N139=0,"",(N139-LEN(SUBSTITUTE(SUBSTITUTE(L139,"G",""),"C","")))/N139)</f>
        <v/>
      </c>
      <c r="Q139" s="9" t="str">
        <f aca="false">IF(O139=0,"",(O139-LEN(SUBSTITUTE(SUBSTITUTE(M139,"G",""),"C","")))/O139)</f>
        <v/>
      </c>
    </row>
    <row r="140" customFormat="false" ht="15" hidden="false" customHeight="false" outlineLevel="0" collapsed="false">
      <c r="L140" s="6" t="str">
        <f aca="false">IF(G140="","",MID(G140,21,LEN(G140)-20))</f>
        <v/>
      </c>
      <c r="M140" s="6" t="str">
        <f aca="false">IF(I140="","",LEFT(I140,LEN(I140)-20))</f>
        <v/>
      </c>
      <c r="N140" s="6" t="n">
        <f aca="false">LEN(L140)</f>
        <v>0</v>
      </c>
      <c r="O140" s="6" t="n">
        <f aca="false">LEN(M140)</f>
        <v>0</v>
      </c>
      <c r="P140" s="9" t="str">
        <f aca="false">IF(N140=0,"",(N140-LEN(SUBSTITUTE(SUBSTITUTE(L140,"G",""),"C","")))/N140)</f>
        <v/>
      </c>
      <c r="Q140" s="9" t="str">
        <f aca="false">IF(O140=0,"",(O140-LEN(SUBSTITUTE(SUBSTITUTE(M140,"G",""),"C","")))/O140)</f>
        <v/>
      </c>
    </row>
    <row r="141" customFormat="false" ht="15" hidden="false" customHeight="false" outlineLevel="0" collapsed="false">
      <c r="L141" s="6" t="str">
        <f aca="false">IF(G141="","",MID(G141,21,LEN(G141)-20))</f>
        <v/>
      </c>
      <c r="M141" s="6" t="str">
        <f aca="false">IF(I141="","",LEFT(I141,LEN(I141)-20))</f>
        <v/>
      </c>
      <c r="N141" s="6" t="n">
        <f aca="false">LEN(L141)</f>
        <v>0</v>
      </c>
      <c r="O141" s="6" t="n">
        <f aca="false">LEN(M141)</f>
        <v>0</v>
      </c>
      <c r="P141" s="9" t="str">
        <f aca="false">IF(N141=0,"",(N141-LEN(SUBSTITUTE(SUBSTITUTE(L141,"G",""),"C","")))/N141)</f>
        <v/>
      </c>
      <c r="Q141" s="9" t="str">
        <f aca="false">IF(O141=0,"",(O141-LEN(SUBSTITUTE(SUBSTITUTE(M141,"G",""),"C","")))/O141)</f>
        <v/>
      </c>
    </row>
    <row r="142" customFormat="false" ht="15" hidden="false" customHeight="false" outlineLevel="0" collapsed="false">
      <c r="L142" s="6" t="str">
        <f aca="false">IF(G142="","",MID(G142,21,LEN(G142)-20))</f>
        <v/>
      </c>
      <c r="M142" s="6" t="str">
        <f aca="false">IF(I142="","",LEFT(I142,LEN(I142)-20))</f>
        <v/>
      </c>
      <c r="N142" s="6" t="n">
        <f aca="false">LEN(L142)</f>
        <v>0</v>
      </c>
      <c r="O142" s="6" t="n">
        <f aca="false">LEN(M142)</f>
        <v>0</v>
      </c>
      <c r="P142" s="9" t="str">
        <f aca="false">IF(N142=0,"",(N142-LEN(SUBSTITUTE(SUBSTITUTE(L142,"G",""),"C","")))/N142)</f>
        <v/>
      </c>
      <c r="Q142" s="9" t="str">
        <f aca="false">IF(O142=0,"",(O142-LEN(SUBSTITUTE(SUBSTITUTE(M142,"G",""),"C","")))/O142)</f>
        <v/>
      </c>
    </row>
    <row r="143" customFormat="false" ht="15" hidden="false" customHeight="false" outlineLevel="0" collapsed="false">
      <c r="L143" s="6" t="str">
        <f aca="false">IF(G143="","",MID(G143,21,LEN(G143)-20))</f>
        <v/>
      </c>
      <c r="M143" s="6" t="str">
        <f aca="false">IF(I143="","",LEFT(I143,LEN(I143)-20))</f>
        <v/>
      </c>
      <c r="N143" s="6" t="n">
        <f aca="false">LEN(L143)</f>
        <v>0</v>
      </c>
      <c r="O143" s="6" t="n">
        <f aca="false">LEN(M143)</f>
        <v>0</v>
      </c>
      <c r="P143" s="9" t="str">
        <f aca="false">IF(N143=0,"",(N143-LEN(SUBSTITUTE(SUBSTITUTE(L143,"G",""),"C","")))/N143)</f>
        <v/>
      </c>
      <c r="Q143" s="9" t="str">
        <f aca="false">IF(O143=0,"",(O143-LEN(SUBSTITUTE(SUBSTITUTE(M143,"G",""),"C","")))/O143)</f>
        <v/>
      </c>
    </row>
    <row r="144" customFormat="false" ht="15" hidden="false" customHeight="false" outlineLevel="0" collapsed="false">
      <c r="L144" s="6" t="str">
        <f aca="false">IF(G144="","",MID(G144,21,LEN(G144)-20))</f>
        <v/>
      </c>
      <c r="M144" s="6" t="str">
        <f aca="false">IF(I144="","",LEFT(I144,LEN(I144)-20))</f>
        <v/>
      </c>
      <c r="N144" s="6" t="n">
        <f aca="false">LEN(L144)</f>
        <v>0</v>
      </c>
      <c r="O144" s="6" t="n">
        <f aca="false">LEN(M144)</f>
        <v>0</v>
      </c>
      <c r="P144" s="9" t="str">
        <f aca="false">IF(N144=0,"",(N144-LEN(SUBSTITUTE(SUBSTITUTE(L144,"G",""),"C","")))/N144)</f>
        <v/>
      </c>
      <c r="Q144" s="9" t="str">
        <f aca="false">IF(O144=0,"",(O144-LEN(SUBSTITUTE(SUBSTITUTE(M144,"G",""),"C","")))/O144)</f>
        <v/>
      </c>
    </row>
    <row r="145" customFormat="false" ht="15" hidden="false" customHeight="false" outlineLevel="0" collapsed="false">
      <c r="L145" s="6" t="str">
        <f aca="false">IF(G145="","",MID(G145,21,LEN(G145)-20))</f>
        <v/>
      </c>
      <c r="M145" s="6" t="str">
        <f aca="false">IF(I145="","",LEFT(I145,LEN(I145)-20))</f>
        <v/>
      </c>
      <c r="N145" s="6" t="n">
        <f aca="false">LEN(L145)</f>
        <v>0</v>
      </c>
      <c r="O145" s="6" t="n">
        <f aca="false">LEN(M145)</f>
        <v>0</v>
      </c>
      <c r="P145" s="9" t="str">
        <f aca="false">IF(N145=0,"",(N145-LEN(SUBSTITUTE(SUBSTITUTE(L145,"G",""),"C","")))/N145)</f>
        <v/>
      </c>
      <c r="Q145" s="9" t="str">
        <f aca="false">IF(O145=0,"",(O145-LEN(SUBSTITUTE(SUBSTITUTE(M145,"G",""),"C","")))/O145)</f>
        <v/>
      </c>
    </row>
    <row r="146" customFormat="false" ht="15" hidden="false" customHeight="false" outlineLevel="0" collapsed="false">
      <c r="L146" s="6" t="str">
        <f aca="false">IF(G146="","",MID(G146,21,LEN(G146)-20))</f>
        <v/>
      </c>
      <c r="M146" s="6" t="str">
        <f aca="false">IF(I146="","",LEFT(I146,LEN(I146)-20))</f>
        <v/>
      </c>
      <c r="N146" s="6" t="n">
        <f aca="false">LEN(L146)</f>
        <v>0</v>
      </c>
      <c r="O146" s="6" t="n">
        <f aca="false">LEN(M146)</f>
        <v>0</v>
      </c>
      <c r="P146" s="9" t="str">
        <f aca="false">IF(N146=0,"",(N146-LEN(SUBSTITUTE(SUBSTITUTE(L146,"G",""),"C","")))/N146)</f>
        <v/>
      </c>
      <c r="Q146" s="9" t="str">
        <f aca="false">IF(O146=0,"",(O146-LEN(SUBSTITUTE(SUBSTITUTE(M146,"G",""),"C","")))/O146)</f>
        <v/>
      </c>
    </row>
    <row r="147" customFormat="false" ht="15" hidden="false" customHeight="false" outlineLevel="0" collapsed="false">
      <c r="L147" s="6" t="str">
        <f aca="false">IF(G147="","",MID(G147,21,LEN(G147)-20))</f>
        <v/>
      </c>
      <c r="M147" s="6" t="str">
        <f aca="false">IF(I147="","",LEFT(I147,LEN(I147)-20))</f>
        <v/>
      </c>
      <c r="N147" s="6" t="n">
        <f aca="false">LEN(L147)</f>
        <v>0</v>
      </c>
      <c r="O147" s="6" t="n">
        <f aca="false">LEN(M147)</f>
        <v>0</v>
      </c>
      <c r="P147" s="9" t="str">
        <f aca="false">IF(N147=0,"",(N147-LEN(SUBSTITUTE(SUBSTITUTE(L147,"G",""),"C","")))/N147)</f>
        <v/>
      </c>
      <c r="Q147" s="9" t="str">
        <f aca="false">IF(O147=0,"",(O147-LEN(SUBSTITUTE(SUBSTITUTE(M147,"G",""),"C","")))/O147)</f>
        <v/>
      </c>
    </row>
    <row r="148" customFormat="false" ht="15" hidden="false" customHeight="false" outlineLevel="0" collapsed="false">
      <c r="L148" s="6" t="str">
        <f aca="false">IF(G148="","",MID(G148,21,LEN(G148)-20))</f>
        <v/>
      </c>
      <c r="M148" s="6" t="str">
        <f aca="false">IF(I148="","",LEFT(I148,LEN(I148)-20))</f>
        <v/>
      </c>
      <c r="N148" s="6" t="n">
        <f aca="false">LEN(L148)</f>
        <v>0</v>
      </c>
      <c r="O148" s="6" t="n">
        <f aca="false">LEN(M148)</f>
        <v>0</v>
      </c>
      <c r="P148" s="9" t="str">
        <f aca="false">IF(N148=0,"",(N148-LEN(SUBSTITUTE(SUBSTITUTE(L148,"G",""),"C","")))/N148)</f>
        <v/>
      </c>
      <c r="Q148" s="9" t="str">
        <f aca="false">IF(O148=0,"",(O148-LEN(SUBSTITUTE(SUBSTITUTE(M148,"G",""),"C","")))/O148)</f>
        <v/>
      </c>
    </row>
    <row r="149" customFormat="false" ht="15" hidden="false" customHeight="false" outlineLevel="0" collapsed="false">
      <c r="L149" s="6" t="str">
        <f aca="false">IF(G149="","",MID(G149,21,LEN(G149)-20))</f>
        <v/>
      </c>
      <c r="M149" s="6" t="str">
        <f aca="false">IF(I149="","",LEFT(I149,LEN(I149)-20))</f>
        <v/>
      </c>
      <c r="N149" s="6" t="n">
        <f aca="false">LEN(L149)</f>
        <v>0</v>
      </c>
      <c r="O149" s="6" t="n">
        <f aca="false">LEN(M149)</f>
        <v>0</v>
      </c>
      <c r="P149" s="9" t="str">
        <f aca="false">IF(N149=0,"",(N149-LEN(SUBSTITUTE(SUBSTITUTE(L149,"G",""),"C","")))/N149)</f>
        <v/>
      </c>
      <c r="Q149" s="9" t="str">
        <f aca="false">IF(O149=0,"",(O149-LEN(SUBSTITUTE(SUBSTITUTE(M149,"G",""),"C","")))/O149)</f>
        <v/>
      </c>
    </row>
    <row r="150" customFormat="false" ht="15" hidden="false" customHeight="false" outlineLevel="0" collapsed="false">
      <c r="L150" s="6" t="str">
        <f aca="false">IF(G150="","",MID(G150,21,LEN(G150)-20))</f>
        <v/>
      </c>
      <c r="M150" s="6" t="str">
        <f aca="false">IF(I150="","",LEFT(I150,LEN(I150)-20))</f>
        <v/>
      </c>
      <c r="N150" s="6" t="n">
        <f aca="false">LEN(L150)</f>
        <v>0</v>
      </c>
      <c r="O150" s="6" t="n">
        <f aca="false">LEN(M150)</f>
        <v>0</v>
      </c>
      <c r="P150" s="9" t="str">
        <f aca="false">IF(N150=0,"",(N150-LEN(SUBSTITUTE(SUBSTITUTE(L150,"G",""),"C","")))/N150)</f>
        <v/>
      </c>
      <c r="Q150" s="9" t="str">
        <f aca="false">IF(O150=0,"",(O150-LEN(SUBSTITUTE(SUBSTITUTE(M150,"G",""),"C","")))/O150)</f>
        <v/>
      </c>
    </row>
    <row r="151" customFormat="false" ht="15" hidden="false" customHeight="false" outlineLevel="0" collapsed="false">
      <c r="L151" s="6" t="str">
        <f aca="false">IF(G151="","",MID(G151,21,LEN(G151)-20))</f>
        <v/>
      </c>
      <c r="M151" s="6" t="str">
        <f aca="false">IF(I151="","",LEFT(I151,LEN(I151)-20))</f>
        <v/>
      </c>
      <c r="N151" s="6" t="n">
        <f aca="false">LEN(L151)</f>
        <v>0</v>
      </c>
      <c r="O151" s="6" t="n">
        <f aca="false">LEN(M151)</f>
        <v>0</v>
      </c>
      <c r="P151" s="9" t="str">
        <f aca="false">IF(N151=0,"",(N151-LEN(SUBSTITUTE(SUBSTITUTE(L151,"G",""),"C","")))/N151)</f>
        <v/>
      </c>
      <c r="Q151" s="9" t="str">
        <f aca="false">IF(O151=0,"",(O151-LEN(SUBSTITUTE(SUBSTITUTE(M151,"G",""),"C","")))/O151)</f>
        <v/>
      </c>
    </row>
    <row r="152" customFormat="false" ht="15" hidden="false" customHeight="false" outlineLevel="0" collapsed="false">
      <c r="L152" s="6" t="str">
        <f aca="false">IF(G152="","",MID(G152,21,LEN(G152)-20))</f>
        <v/>
      </c>
      <c r="M152" s="6" t="str">
        <f aca="false">IF(I152="","",LEFT(I152,LEN(I152)-20))</f>
        <v/>
      </c>
      <c r="N152" s="6" t="n">
        <f aca="false">LEN(L152)</f>
        <v>0</v>
      </c>
      <c r="O152" s="6" t="n">
        <f aca="false">LEN(M152)</f>
        <v>0</v>
      </c>
      <c r="P152" s="9" t="str">
        <f aca="false">IF(N152=0,"",(N152-LEN(SUBSTITUTE(SUBSTITUTE(L152,"G",""),"C","")))/N152)</f>
        <v/>
      </c>
      <c r="Q152" s="9" t="str">
        <f aca="false">IF(O152=0,"",(O152-LEN(SUBSTITUTE(SUBSTITUTE(M152,"G",""),"C","")))/O152)</f>
        <v/>
      </c>
    </row>
    <row r="153" customFormat="false" ht="15" hidden="false" customHeight="false" outlineLevel="0" collapsed="false">
      <c r="L153" s="6" t="str">
        <f aca="false">IF(G153="","",MID(G153,21,LEN(G153)-20))</f>
        <v/>
      </c>
      <c r="M153" s="6" t="str">
        <f aca="false">IF(I153="","",LEFT(I153,LEN(I153)-20))</f>
        <v/>
      </c>
      <c r="N153" s="6" t="n">
        <f aca="false">LEN(L153)</f>
        <v>0</v>
      </c>
      <c r="O153" s="6" t="n">
        <f aca="false">LEN(M153)</f>
        <v>0</v>
      </c>
      <c r="P153" s="9" t="str">
        <f aca="false">IF(N153=0,"",(N153-LEN(SUBSTITUTE(SUBSTITUTE(L153,"G",""),"C","")))/N153)</f>
        <v/>
      </c>
      <c r="Q153" s="9" t="str">
        <f aca="false">IF(O153=0,"",(O153-LEN(SUBSTITUTE(SUBSTITUTE(M153,"G",""),"C","")))/O153)</f>
        <v/>
      </c>
    </row>
    <row r="154" customFormat="false" ht="15" hidden="false" customHeight="false" outlineLevel="0" collapsed="false">
      <c r="L154" s="6" t="str">
        <f aca="false">IF(G154="","",MID(G154,21,LEN(G154)-20))</f>
        <v/>
      </c>
      <c r="M154" s="6" t="str">
        <f aca="false">IF(I154="","",LEFT(I154,LEN(I154)-20))</f>
        <v/>
      </c>
      <c r="N154" s="6" t="n">
        <f aca="false">LEN(L154)</f>
        <v>0</v>
      </c>
      <c r="O154" s="6" t="n">
        <f aca="false">LEN(M154)</f>
        <v>0</v>
      </c>
      <c r="P154" s="9" t="str">
        <f aca="false">IF(N154=0,"",(N154-LEN(SUBSTITUTE(SUBSTITUTE(L154,"G",""),"C","")))/N154)</f>
        <v/>
      </c>
      <c r="Q154" s="9" t="str">
        <f aca="false">IF(O154=0,"",(O154-LEN(SUBSTITUTE(SUBSTITUTE(M154,"G",""),"C","")))/O154)</f>
        <v/>
      </c>
    </row>
    <row r="155" customFormat="false" ht="15" hidden="false" customHeight="false" outlineLevel="0" collapsed="false">
      <c r="L155" s="6" t="str">
        <f aca="false">IF(G155="","",MID(G155,21,LEN(G155)-20))</f>
        <v/>
      </c>
      <c r="M155" s="6" t="str">
        <f aca="false">IF(I155="","",LEFT(I155,LEN(I155)-20))</f>
        <v/>
      </c>
      <c r="N155" s="6" t="n">
        <f aca="false">LEN(L155)</f>
        <v>0</v>
      </c>
      <c r="O155" s="6" t="n">
        <f aca="false">LEN(M155)</f>
        <v>0</v>
      </c>
      <c r="P155" s="9" t="str">
        <f aca="false">IF(N155=0,"",(N155-LEN(SUBSTITUTE(SUBSTITUTE(L155,"G",""),"C","")))/N155)</f>
        <v/>
      </c>
      <c r="Q155" s="9" t="str">
        <f aca="false">IF(O155=0,"",(O155-LEN(SUBSTITUTE(SUBSTITUTE(M155,"G",""),"C","")))/O155)</f>
        <v/>
      </c>
    </row>
    <row r="156" customFormat="false" ht="15" hidden="false" customHeight="false" outlineLevel="0" collapsed="false">
      <c r="L156" s="6" t="str">
        <f aca="false">IF(G156="","",MID(G156,21,LEN(G156)-20))</f>
        <v/>
      </c>
      <c r="M156" s="6" t="str">
        <f aca="false">IF(I156="","",LEFT(I156,LEN(I156)-20))</f>
        <v/>
      </c>
      <c r="N156" s="6" t="n">
        <f aca="false">LEN(L156)</f>
        <v>0</v>
      </c>
      <c r="O156" s="6" t="n">
        <f aca="false">LEN(M156)</f>
        <v>0</v>
      </c>
      <c r="P156" s="9" t="str">
        <f aca="false">IF(N156=0,"",(N156-LEN(SUBSTITUTE(SUBSTITUTE(L156,"G",""),"C","")))/N156)</f>
        <v/>
      </c>
      <c r="Q156" s="9" t="str">
        <f aca="false">IF(O156=0,"",(O156-LEN(SUBSTITUTE(SUBSTITUTE(M156,"G",""),"C","")))/O156)</f>
        <v/>
      </c>
    </row>
    <row r="157" customFormat="false" ht="15" hidden="false" customHeight="false" outlineLevel="0" collapsed="false">
      <c r="L157" s="6" t="str">
        <f aca="false">IF(G157="","",MID(G157,21,LEN(G157)-20))</f>
        <v/>
      </c>
      <c r="M157" s="6" t="str">
        <f aca="false">IF(I157="","",LEFT(I157,LEN(I157)-20))</f>
        <v/>
      </c>
      <c r="N157" s="6" t="n">
        <f aca="false">LEN(L157)</f>
        <v>0</v>
      </c>
      <c r="O157" s="6" t="n">
        <f aca="false">LEN(M157)</f>
        <v>0</v>
      </c>
      <c r="P157" s="9" t="str">
        <f aca="false">IF(N157=0,"",(N157-LEN(SUBSTITUTE(SUBSTITUTE(L157,"G",""),"C","")))/N157)</f>
        <v/>
      </c>
      <c r="Q157" s="9" t="str">
        <f aca="false">IF(O157=0,"",(O157-LEN(SUBSTITUTE(SUBSTITUTE(M157,"G",""),"C","")))/O157)</f>
        <v/>
      </c>
    </row>
    <row r="158" customFormat="false" ht="15" hidden="false" customHeight="false" outlineLevel="0" collapsed="false">
      <c r="L158" s="6" t="str">
        <f aca="false">IF(G158="","",MID(G158,21,LEN(G158)-20))</f>
        <v/>
      </c>
      <c r="M158" s="6" t="str">
        <f aca="false">IF(I158="","",LEFT(I158,LEN(I158)-20))</f>
        <v/>
      </c>
      <c r="N158" s="6" t="n">
        <f aca="false">LEN(L158)</f>
        <v>0</v>
      </c>
      <c r="O158" s="6" t="n">
        <f aca="false">LEN(M158)</f>
        <v>0</v>
      </c>
      <c r="P158" s="9" t="str">
        <f aca="false">IF(N158=0,"",(N158-LEN(SUBSTITUTE(SUBSTITUTE(L158,"G",""),"C","")))/N158)</f>
        <v/>
      </c>
      <c r="Q158" s="9" t="str">
        <f aca="false">IF(O158=0,"",(O158-LEN(SUBSTITUTE(SUBSTITUTE(M158,"G",""),"C","")))/O158)</f>
        <v/>
      </c>
    </row>
    <row r="159" customFormat="false" ht="15" hidden="false" customHeight="false" outlineLevel="0" collapsed="false">
      <c r="L159" s="6" t="str">
        <f aca="false">IF(G159="","",MID(G159,21,LEN(G159)-20))</f>
        <v/>
      </c>
      <c r="M159" s="6" t="str">
        <f aca="false">IF(I159="","",LEFT(I159,LEN(I159)-20))</f>
        <v/>
      </c>
      <c r="N159" s="6" t="n">
        <f aca="false">LEN(L159)</f>
        <v>0</v>
      </c>
      <c r="O159" s="6" t="n">
        <f aca="false">LEN(M159)</f>
        <v>0</v>
      </c>
      <c r="P159" s="9" t="str">
        <f aca="false">IF(N159=0,"",(N159-LEN(SUBSTITUTE(SUBSTITUTE(L159,"G",""),"C","")))/N159)</f>
        <v/>
      </c>
      <c r="Q159" s="9" t="str">
        <f aca="false">IF(O159=0,"",(O159-LEN(SUBSTITUTE(SUBSTITUTE(M159,"G",""),"C","")))/O159)</f>
        <v/>
      </c>
    </row>
    <row r="160" customFormat="false" ht="15" hidden="false" customHeight="false" outlineLevel="0" collapsed="false">
      <c r="L160" s="6" t="str">
        <f aca="false">IF(G160="","",MID(G160,21,LEN(G160)-20))</f>
        <v/>
      </c>
      <c r="M160" s="6" t="str">
        <f aca="false">IF(I160="","",LEFT(I160,LEN(I160)-20))</f>
        <v/>
      </c>
      <c r="N160" s="6" t="n">
        <f aca="false">LEN(L160)</f>
        <v>0</v>
      </c>
      <c r="O160" s="6" t="n">
        <f aca="false">LEN(M160)</f>
        <v>0</v>
      </c>
      <c r="P160" s="9" t="str">
        <f aca="false">IF(N160=0,"",(N160-LEN(SUBSTITUTE(SUBSTITUTE(L160,"G",""),"C","")))/N160)</f>
        <v/>
      </c>
      <c r="Q160" s="9" t="str">
        <f aca="false">IF(O160=0,"",(O160-LEN(SUBSTITUTE(SUBSTITUTE(M160,"G",""),"C","")))/O160)</f>
        <v/>
      </c>
    </row>
    <row r="161" customFormat="false" ht="15" hidden="false" customHeight="false" outlineLevel="0" collapsed="false">
      <c r="L161" s="6" t="str">
        <f aca="false">IF(G161="","",MID(G161,21,LEN(G161)-20))</f>
        <v/>
      </c>
      <c r="M161" s="6" t="str">
        <f aca="false">IF(I161="","",LEFT(I161,LEN(I161)-20))</f>
        <v/>
      </c>
      <c r="N161" s="6" t="n">
        <f aca="false">LEN(L161)</f>
        <v>0</v>
      </c>
      <c r="O161" s="6" t="n">
        <f aca="false">LEN(M161)</f>
        <v>0</v>
      </c>
      <c r="P161" s="9" t="str">
        <f aca="false">IF(N161=0,"",(N161-LEN(SUBSTITUTE(SUBSTITUTE(L161,"G",""),"C","")))/N161)</f>
        <v/>
      </c>
      <c r="Q161" s="9" t="str">
        <f aca="false">IF(O161=0,"",(O161-LEN(SUBSTITUTE(SUBSTITUTE(M161,"G",""),"C","")))/O161)</f>
        <v/>
      </c>
    </row>
    <row r="162" customFormat="false" ht="15" hidden="false" customHeight="false" outlineLevel="0" collapsed="false">
      <c r="L162" s="6" t="str">
        <f aca="false">IF(G162="","",MID(G162,21,LEN(G162)-20))</f>
        <v/>
      </c>
      <c r="M162" s="6" t="str">
        <f aca="false">IF(I162="","",LEFT(I162,LEN(I162)-20))</f>
        <v/>
      </c>
      <c r="N162" s="6" t="n">
        <f aca="false">LEN(L162)</f>
        <v>0</v>
      </c>
      <c r="O162" s="6" t="n">
        <f aca="false">LEN(M162)</f>
        <v>0</v>
      </c>
      <c r="P162" s="9" t="str">
        <f aca="false">IF(N162=0,"",(N162-LEN(SUBSTITUTE(SUBSTITUTE(L162,"G",""),"C","")))/N162)</f>
        <v/>
      </c>
      <c r="Q162" s="9" t="str">
        <f aca="false">IF(O162=0,"",(O162-LEN(SUBSTITUTE(SUBSTITUTE(M162,"G",""),"C","")))/O162)</f>
        <v/>
      </c>
    </row>
    <row r="163" customFormat="false" ht="15" hidden="false" customHeight="false" outlineLevel="0" collapsed="false">
      <c r="L163" s="6" t="str">
        <f aca="false">IF(G163="","",MID(G163,21,LEN(G163)-20))</f>
        <v/>
      </c>
      <c r="M163" s="6" t="str">
        <f aca="false">IF(I163="","",LEFT(I163,LEN(I163)-20))</f>
        <v/>
      </c>
      <c r="N163" s="6" t="n">
        <f aca="false">LEN(L163)</f>
        <v>0</v>
      </c>
      <c r="O163" s="6" t="n">
        <f aca="false">LEN(M163)</f>
        <v>0</v>
      </c>
      <c r="P163" s="9" t="str">
        <f aca="false">IF(N163=0,"",(N163-LEN(SUBSTITUTE(SUBSTITUTE(L163,"G",""),"C","")))/N163)</f>
        <v/>
      </c>
      <c r="Q163" s="9" t="str">
        <f aca="false">IF(O163=0,"",(O163-LEN(SUBSTITUTE(SUBSTITUTE(M163,"G",""),"C","")))/O163)</f>
        <v/>
      </c>
    </row>
    <row r="164" customFormat="false" ht="15" hidden="false" customHeight="false" outlineLevel="0" collapsed="false">
      <c r="L164" s="6" t="str">
        <f aca="false">IF(G164="","",MID(G164,21,LEN(G164)-20))</f>
        <v/>
      </c>
      <c r="M164" s="6" t="str">
        <f aca="false">IF(I164="","",LEFT(I164,LEN(I164)-20))</f>
        <v/>
      </c>
      <c r="N164" s="6" t="n">
        <f aca="false">LEN(L164)</f>
        <v>0</v>
      </c>
      <c r="O164" s="6" t="n">
        <f aca="false">LEN(M164)</f>
        <v>0</v>
      </c>
      <c r="P164" s="9" t="str">
        <f aca="false">IF(N164=0,"",(N164-LEN(SUBSTITUTE(SUBSTITUTE(L164,"G",""),"C","")))/N164)</f>
        <v/>
      </c>
      <c r="Q164" s="9" t="str">
        <f aca="false">IF(O164=0,"",(O164-LEN(SUBSTITUTE(SUBSTITUTE(M164,"G",""),"C","")))/O164)</f>
        <v/>
      </c>
    </row>
    <row r="165" customFormat="false" ht="15" hidden="false" customHeight="false" outlineLevel="0" collapsed="false">
      <c r="L165" s="6" t="str">
        <f aca="false">IF(G165="","",MID(G165,21,LEN(G165)-20))</f>
        <v/>
      </c>
      <c r="M165" s="6" t="str">
        <f aca="false">IF(I165="","",LEFT(I165,LEN(I165)-20))</f>
        <v/>
      </c>
      <c r="N165" s="6" t="n">
        <f aca="false">LEN(L165)</f>
        <v>0</v>
      </c>
      <c r="O165" s="6" t="n">
        <f aca="false">LEN(M165)</f>
        <v>0</v>
      </c>
      <c r="P165" s="9" t="str">
        <f aca="false">IF(N165=0,"",(N165-LEN(SUBSTITUTE(SUBSTITUTE(L165,"G",""),"C","")))/N165)</f>
        <v/>
      </c>
      <c r="Q165" s="9" t="str">
        <f aca="false">IF(O165=0,"",(O165-LEN(SUBSTITUTE(SUBSTITUTE(M165,"G",""),"C","")))/O165)</f>
        <v/>
      </c>
    </row>
    <row r="166" customFormat="false" ht="15" hidden="false" customHeight="false" outlineLevel="0" collapsed="false">
      <c r="L166" s="6" t="str">
        <f aca="false">IF(G166="","",MID(G166,21,LEN(G166)-20))</f>
        <v/>
      </c>
      <c r="M166" s="6" t="str">
        <f aca="false">IF(I166="","",LEFT(I166,LEN(I166)-20))</f>
        <v/>
      </c>
      <c r="N166" s="6" t="n">
        <f aca="false">LEN(L166)</f>
        <v>0</v>
      </c>
      <c r="O166" s="6" t="n">
        <f aca="false">LEN(M166)</f>
        <v>0</v>
      </c>
      <c r="P166" s="9" t="str">
        <f aca="false">IF(N166=0,"",(N166-LEN(SUBSTITUTE(SUBSTITUTE(L166,"G",""),"C","")))/N166)</f>
        <v/>
      </c>
      <c r="Q166" s="9" t="str">
        <f aca="false">IF(O166=0,"",(O166-LEN(SUBSTITUTE(SUBSTITUTE(M166,"G",""),"C","")))/O166)</f>
        <v/>
      </c>
    </row>
    <row r="167" customFormat="false" ht="15" hidden="false" customHeight="false" outlineLevel="0" collapsed="false">
      <c r="L167" s="6" t="str">
        <f aca="false">IF(G167="","",MID(G167,21,LEN(G167)-20))</f>
        <v/>
      </c>
      <c r="M167" s="6" t="str">
        <f aca="false">IF(I167="","",LEFT(I167,LEN(I167)-20))</f>
        <v/>
      </c>
      <c r="N167" s="6" t="n">
        <f aca="false">LEN(L167)</f>
        <v>0</v>
      </c>
      <c r="O167" s="6" t="n">
        <f aca="false">LEN(M167)</f>
        <v>0</v>
      </c>
      <c r="P167" s="9" t="str">
        <f aca="false">IF(N167=0,"",(N167-LEN(SUBSTITUTE(SUBSTITUTE(L167,"G",""),"C","")))/N167)</f>
        <v/>
      </c>
      <c r="Q167" s="9" t="str">
        <f aca="false">IF(O167=0,"",(O167-LEN(SUBSTITUTE(SUBSTITUTE(M167,"G",""),"C","")))/O167)</f>
        <v/>
      </c>
    </row>
    <row r="168" customFormat="false" ht="15" hidden="false" customHeight="false" outlineLevel="0" collapsed="false">
      <c r="L168" s="6" t="str">
        <f aca="false">IF(G168="","",MID(G168,21,LEN(G168)-20))</f>
        <v/>
      </c>
      <c r="M168" s="6" t="str">
        <f aca="false">IF(I168="","",LEFT(I168,LEN(I168)-20))</f>
        <v/>
      </c>
      <c r="N168" s="6" t="n">
        <f aca="false">LEN(L168)</f>
        <v>0</v>
      </c>
      <c r="O168" s="6" t="n">
        <f aca="false">LEN(M168)</f>
        <v>0</v>
      </c>
      <c r="P168" s="9" t="str">
        <f aca="false">IF(N168=0,"",(N168-LEN(SUBSTITUTE(SUBSTITUTE(L168,"G",""),"C","")))/N168)</f>
        <v/>
      </c>
      <c r="Q168" s="9" t="str">
        <f aca="false">IF(O168=0,"",(O168-LEN(SUBSTITUTE(SUBSTITUTE(M168,"G",""),"C","")))/O168)</f>
        <v/>
      </c>
    </row>
    <row r="169" customFormat="false" ht="15" hidden="false" customHeight="false" outlineLevel="0" collapsed="false">
      <c r="L169" s="6" t="str">
        <f aca="false">IF(G169="","",MID(G169,21,LEN(G169)-20))</f>
        <v/>
      </c>
      <c r="M169" s="6" t="str">
        <f aca="false">IF(I169="","",LEFT(I169,LEN(I169)-20))</f>
        <v/>
      </c>
      <c r="N169" s="6" t="n">
        <f aca="false">LEN(L169)</f>
        <v>0</v>
      </c>
      <c r="O169" s="6" t="n">
        <f aca="false">LEN(M169)</f>
        <v>0</v>
      </c>
      <c r="P169" s="9" t="str">
        <f aca="false">IF(N169=0,"",(N169-LEN(SUBSTITUTE(SUBSTITUTE(L169,"G",""),"C","")))/N169)</f>
        <v/>
      </c>
      <c r="Q169" s="9" t="str">
        <f aca="false">IF(O169=0,"",(O169-LEN(SUBSTITUTE(SUBSTITUTE(M169,"G",""),"C","")))/O169)</f>
        <v/>
      </c>
    </row>
    <row r="170" customFormat="false" ht="15" hidden="false" customHeight="false" outlineLevel="0" collapsed="false">
      <c r="L170" s="6" t="str">
        <f aca="false">IF(G170="","",MID(G170,21,LEN(G170)-20))</f>
        <v/>
      </c>
      <c r="M170" s="6" t="str">
        <f aca="false">IF(I170="","",LEFT(I170,LEN(I170)-20))</f>
        <v/>
      </c>
      <c r="N170" s="6" t="n">
        <f aca="false">LEN(L170)</f>
        <v>0</v>
      </c>
      <c r="O170" s="6" t="n">
        <f aca="false">LEN(M170)</f>
        <v>0</v>
      </c>
      <c r="P170" s="9" t="str">
        <f aca="false">IF(N170=0,"",(N170-LEN(SUBSTITUTE(SUBSTITUTE(L170,"G",""),"C","")))/N170)</f>
        <v/>
      </c>
      <c r="Q170" s="9" t="str">
        <f aca="false">IF(O170=0,"",(O170-LEN(SUBSTITUTE(SUBSTITUTE(M170,"G",""),"C","")))/O170)</f>
        <v/>
      </c>
    </row>
    <row r="171" customFormat="false" ht="15" hidden="false" customHeight="false" outlineLevel="0" collapsed="false">
      <c r="L171" s="6" t="str">
        <f aca="false">IF(G171="","",MID(G171,21,LEN(G171)-20))</f>
        <v/>
      </c>
      <c r="M171" s="6" t="str">
        <f aca="false">IF(I171="","",LEFT(I171,LEN(I171)-20))</f>
        <v/>
      </c>
      <c r="N171" s="6" t="n">
        <f aca="false">LEN(L171)</f>
        <v>0</v>
      </c>
      <c r="O171" s="6" t="n">
        <f aca="false">LEN(M171)</f>
        <v>0</v>
      </c>
      <c r="P171" s="9" t="str">
        <f aca="false">IF(N171=0,"",(N171-LEN(SUBSTITUTE(SUBSTITUTE(L171,"G",""),"C","")))/N171)</f>
        <v/>
      </c>
      <c r="Q171" s="9" t="str">
        <f aca="false">IF(O171=0,"",(O171-LEN(SUBSTITUTE(SUBSTITUTE(M171,"G",""),"C","")))/O171)</f>
        <v/>
      </c>
    </row>
    <row r="172" customFormat="false" ht="15" hidden="false" customHeight="false" outlineLevel="0" collapsed="false">
      <c r="L172" s="6" t="str">
        <f aca="false">IF(G172="","",MID(G172,21,LEN(G172)-20))</f>
        <v/>
      </c>
      <c r="M172" s="6" t="str">
        <f aca="false">IF(I172="","",LEFT(I172,LEN(I172)-20))</f>
        <v/>
      </c>
      <c r="N172" s="6" t="n">
        <f aca="false">LEN(L172)</f>
        <v>0</v>
      </c>
      <c r="O172" s="6" t="n">
        <f aca="false">LEN(M172)</f>
        <v>0</v>
      </c>
      <c r="P172" s="9" t="str">
        <f aca="false">IF(N172=0,"",(N172-LEN(SUBSTITUTE(SUBSTITUTE(L172,"G",""),"C","")))/N172)</f>
        <v/>
      </c>
      <c r="Q172" s="9" t="str">
        <f aca="false">IF(O172=0,"",(O172-LEN(SUBSTITUTE(SUBSTITUTE(M172,"G",""),"C","")))/O172)</f>
        <v/>
      </c>
    </row>
    <row r="173" customFormat="false" ht="15" hidden="false" customHeight="false" outlineLevel="0" collapsed="false">
      <c r="L173" s="6" t="str">
        <f aca="false">IF(G173="","",MID(G173,21,LEN(G173)-20))</f>
        <v/>
      </c>
      <c r="M173" s="6" t="str">
        <f aca="false">IF(I173="","",LEFT(I173,LEN(I173)-20))</f>
        <v/>
      </c>
      <c r="N173" s="6" t="n">
        <f aca="false">LEN(L173)</f>
        <v>0</v>
      </c>
      <c r="O173" s="6" t="n">
        <f aca="false">LEN(M173)</f>
        <v>0</v>
      </c>
      <c r="P173" s="9" t="str">
        <f aca="false">IF(N173=0,"",(N173-LEN(SUBSTITUTE(SUBSTITUTE(L173,"G",""),"C","")))/N173)</f>
        <v/>
      </c>
      <c r="Q173" s="9" t="str">
        <f aca="false">IF(O173=0,"",(O173-LEN(SUBSTITUTE(SUBSTITUTE(M173,"G",""),"C","")))/O173)</f>
        <v/>
      </c>
    </row>
    <row r="174" customFormat="false" ht="15" hidden="false" customHeight="false" outlineLevel="0" collapsed="false">
      <c r="L174" s="6" t="str">
        <f aca="false">IF(G174="","",MID(G174,21,LEN(G174)-20))</f>
        <v/>
      </c>
      <c r="M174" s="6" t="str">
        <f aca="false">IF(I174="","",LEFT(I174,LEN(I174)-20))</f>
        <v/>
      </c>
      <c r="N174" s="6" t="n">
        <f aca="false">LEN(L174)</f>
        <v>0</v>
      </c>
      <c r="O174" s="6" t="n">
        <f aca="false">LEN(M174)</f>
        <v>0</v>
      </c>
      <c r="P174" s="9" t="str">
        <f aca="false">IF(N174=0,"",(N174-LEN(SUBSTITUTE(SUBSTITUTE(L174,"G",""),"C","")))/N174)</f>
        <v/>
      </c>
      <c r="Q174" s="9" t="str">
        <f aca="false">IF(O174=0,"",(O174-LEN(SUBSTITUTE(SUBSTITUTE(M174,"G",""),"C","")))/O174)</f>
        <v/>
      </c>
    </row>
    <row r="175" customFormat="false" ht="15" hidden="false" customHeight="false" outlineLevel="0" collapsed="false">
      <c r="L175" s="6" t="str">
        <f aca="false">IF(G175="","",MID(G175,21,LEN(G175)-20))</f>
        <v/>
      </c>
      <c r="M175" s="6" t="str">
        <f aca="false">IF(I175="","",LEFT(I175,LEN(I175)-20))</f>
        <v/>
      </c>
      <c r="N175" s="6" t="n">
        <f aca="false">LEN(L175)</f>
        <v>0</v>
      </c>
      <c r="O175" s="6" t="n">
        <f aca="false">LEN(M175)</f>
        <v>0</v>
      </c>
      <c r="P175" s="9" t="str">
        <f aca="false">IF(N175=0,"",(N175-LEN(SUBSTITUTE(SUBSTITUTE(L175,"G",""),"C","")))/N175)</f>
        <v/>
      </c>
      <c r="Q175" s="9" t="str">
        <f aca="false">IF(O175=0,"",(O175-LEN(SUBSTITUTE(SUBSTITUTE(M175,"G",""),"C","")))/O175)</f>
        <v/>
      </c>
    </row>
    <row r="176" customFormat="false" ht="15" hidden="false" customHeight="false" outlineLevel="0" collapsed="false">
      <c r="L176" s="6" t="str">
        <f aca="false">IF(G176="","",MID(G176,21,LEN(G176)-20))</f>
        <v/>
      </c>
      <c r="M176" s="6" t="str">
        <f aca="false">IF(I176="","",LEFT(I176,LEN(I176)-20))</f>
        <v/>
      </c>
      <c r="N176" s="6" t="n">
        <f aca="false">LEN(L176)</f>
        <v>0</v>
      </c>
      <c r="O176" s="6" t="n">
        <f aca="false">LEN(M176)</f>
        <v>0</v>
      </c>
      <c r="P176" s="9" t="str">
        <f aca="false">IF(N176=0,"",(N176-LEN(SUBSTITUTE(SUBSTITUTE(L176,"G",""),"C","")))/N176)</f>
        <v/>
      </c>
      <c r="Q176" s="9" t="str">
        <f aca="false">IF(O176=0,"",(O176-LEN(SUBSTITUTE(SUBSTITUTE(M176,"G",""),"C","")))/O176)</f>
        <v/>
      </c>
    </row>
    <row r="177" customFormat="false" ht="15" hidden="false" customHeight="false" outlineLevel="0" collapsed="false">
      <c r="L177" s="6" t="str">
        <f aca="false">IF(G177="","",MID(G177,21,LEN(G177)-20))</f>
        <v/>
      </c>
      <c r="M177" s="6" t="str">
        <f aca="false">IF(I177="","",LEFT(I177,LEN(I177)-20))</f>
        <v/>
      </c>
      <c r="N177" s="6" t="n">
        <f aca="false">LEN(L177)</f>
        <v>0</v>
      </c>
      <c r="O177" s="6" t="n">
        <f aca="false">LEN(M177)</f>
        <v>0</v>
      </c>
      <c r="P177" s="9" t="str">
        <f aca="false">IF(N177=0,"",(N177-LEN(SUBSTITUTE(SUBSTITUTE(L177,"G",""),"C","")))/N177)</f>
        <v/>
      </c>
      <c r="Q177" s="9" t="str">
        <f aca="false">IF(O177=0,"",(O177-LEN(SUBSTITUTE(SUBSTITUTE(M177,"G",""),"C","")))/O177)</f>
        <v/>
      </c>
    </row>
    <row r="178" customFormat="false" ht="15" hidden="false" customHeight="false" outlineLevel="0" collapsed="false">
      <c r="L178" s="6" t="str">
        <f aca="false">IF(G178="","",MID(G178,21,LEN(G178)-20))</f>
        <v/>
      </c>
      <c r="M178" s="6" t="str">
        <f aca="false">IF(I178="","",LEFT(I178,LEN(I178)-20))</f>
        <v/>
      </c>
      <c r="N178" s="6" t="n">
        <f aca="false">LEN(L178)</f>
        <v>0</v>
      </c>
      <c r="O178" s="6" t="n">
        <f aca="false">LEN(M178)</f>
        <v>0</v>
      </c>
      <c r="P178" s="9" t="str">
        <f aca="false">IF(N178=0,"",(N178-LEN(SUBSTITUTE(SUBSTITUTE(L178,"G",""),"C","")))/N178)</f>
        <v/>
      </c>
      <c r="Q178" s="9" t="str">
        <f aca="false">IF(O178=0,"",(O178-LEN(SUBSTITUTE(SUBSTITUTE(M178,"G",""),"C","")))/O178)</f>
        <v/>
      </c>
    </row>
    <row r="179" customFormat="false" ht="15" hidden="false" customHeight="false" outlineLevel="0" collapsed="false">
      <c r="L179" s="6" t="str">
        <f aca="false">IF(G179="","",MID(G179,21,LEN(G179)-20))</f>
        <v/>
      </c>
      <c r="M179" s="6" t="str">
        <f aca="false">IF(I179="","",LEFT(I179,LEN(I179)-20))</f>
        <v/>
      </c>
      <c r="N179" s="6" t="n">
        <f aca="false">LEN(L179)</f>
        <v>0</v>
      </c>
      <c r="O179" s="6" t="n">
        <f aca="false">LEN(M179)</f>
        <v>0</v>
      </c>
      <c r="P179" s="9" t="str">
        <f aca="false">IF(N179=0,"",(N179-LEN(SUBSTITUTE(SUBSTITUTE(L179,"G",""),"C","")))/N179)</f>
        <v/>
      </c>
      <c r="Q179" s="9" t="str">
        <f aca="false">IF(O179=0,"",(O179-LEN(SUBSTITUTE(SUBSTITUTE(M179,"G",""),"C","")))/O179)</f>
        <v/>
      </c>
    </row>
    <row r="180" customFormat="false" ht="15" hidden="false" customHeight="false" outlineLevel="0" collapsed="false">
      <c r="L180" s="6" t="str">
        <f aca="false">IF(G180="","",MID(G180,21,LEN(G180)-20))</f>
        <v/>
      </c>
      <c r="M180" s="6" t="str">
        <f aca="false">IF(I180="","",LEFT(I180,LEN(I180)-20))</f>
        <v/>
      </c>
      <c r="N180" s="6" t="n">
        <f aca="false">LEN(L180)</f>
        <v>0</v>
      </c>
      <c r="O180" s="6" t="n">
        <f aca="false">LEN(M180)</f>
        <v>0</v>
      </c>
      <c r="P180" s="9" t="str">
        <f aca="false">IF(N180=0,"",(N180-LEN(SUBSTITUTE(SUBSTITUTE(L180,"G",""),"C","")))/N180)</f>
        <v/>
      </c>
      <c r="Q180" s="9" t="str">
        <f aca="false">IF(O180=0,"",(O180-LEN(SUBSTITUTE(SUBSTITUTE(M180,"G",""),"C","")))/O180)</f>
        <v/>
      </c>
    </row>
    <row r="181" customFormat="false" ht="15" hidden="false" customHeight="false" outlineLevel="0" collapsed="false">
      <c r="L181" s="6" t="str">
        <f aca="false">IF(G181="","",MID(G181,21,LEN(G181)-20))</f>
        <v/>
      </c>
      <c r="M181" s="6" t="str">
        <f aca="false">IF(I181="","",LEFT(I181,LEN(I181)-20))</f>
        <v/>
      </c>
      <c r="N181" s="6" t="n">
        <f aca="false">LEN(L181)</f>
        <v>0</v>
      </c>
      <c r="O181" s="6" t="n">
        <f aca="false">LEN(M181)</f>
        <v>0</v>
      </c>
      <c r="P181" s="9" t="str">
        <f aca="false">IF(N181=0,"",(N181-LEN(SUBSTITUTE(SUBSTITUTE(L181,"G",""),"C","")))/N181)</f>
        <v/>
      </c>
      <c r="Q181" s="9" t="str">
        <f aca="false">IF(O181=0,"",(O181-LEN(SUBSTITUTE(SUBSTITUTE(M181,"G",""),"C","")))/O181)</f>
        <v/>
      </c>
    </row>
    <row r="182" customFormat="false" ht="15" hidden="false" customHeight="false" outlineLevel="0" collapsed="false">
      <c r="L182" s="6" t="str">
        <f aca="false">IF(G182="","",MID(G182,21,LEN(G182)-20))</f>
        <v/>
      </c>
      <c r="M182" s="6" t="str">
        <f aca="false">IF(I182="","",LEFT(I182,LEN(I182)-20))</f>
        <v/>
      </c>
      <c r="N182" s="6" t="n">
        <f aca="false">LEN(L182)</f>
        <v>0</v>
      </c>
      <c r="O182" s="6" t="n">
        <f aca="false">LEN(M182)</f>
        <v>0</v>
      </c>
      <c r="P182" s="9" t="str">
        <f aca="false">IF(N182=0,"",(N182-LEN(SUBSTITUTE(SUBSTITUTE(L182,"G",""),"C","")))/N182)</f>
        <v/>
      </c>
      <c r="Q182" s="9" t="str">
        <f aca="false">IF(O182=0,"",(O182-LEN(SUBSTITUTE(SUBSTITUTE(M182,"G",""),"C","")))/O182)</f>
        <v/>
      </c>
    </row>
    <row r="183" customFormat="false" ht="15" hidden="false" customHeight="false" outlineLevel="0" collapsed="false">
      <c r="L183" s="6" t="str">
        <f aca="false">IF(G183="","",MID(G183,21,LEN(G183)-20))</f>
        <v/>
      </c>
      <c r="M183" s="6" t="str">
        <f aca="false">IF(I183="","",LEFT(I183,LEN(I183)-20))</f>
        <v/>
      </c>
      <c r="N183" s="6" t="n">
        <f aca="false">LEN(L183)</f>
        <v>0</v>
      </c>
      <c r="O183" s="6" t="n">
        <f aca="false">LEN(M183)</f>
        <v>0</v>
      </c>
      <c r="P183" s="9" t="str">
        <f aca="false">IF(N183=0,"",(N183-LEN(SUBSTITUTE(SUBSTITUTE(L183,"G",""),"C","")))/N183)</f>
        <v/>
      </c>
      <c r="Q183" s="9" t="str">
        <f aca="false">IF(O183=0,"",(O183-LEN(SUBSTITUTE(SUBSTITUTE(M183,"G",""),"C","")))/O183)</f>
        <v/>
      </c>
    </row>
    <row r="184" customFormat="false" ht="15" hidden="false" customHeight="false" outlineLevel="0" collapsed="false">
      <c r="L184" s="6" t="str">
        <f aca="false">IF(G184="","",MID(G184,21,LEN(G184)-20))</f>
        <v/>
      </c>
      <c r="M184" s="6" t="str">
        <f aca="false">IF(I184="","",LEFT(I184,LEN(I184)-20))</f>
        <v/>
      </c>
      <c r="N184" s="6" t="n">
        <f aca="false">LEN(L184)</f>
        <v>0</v>
      </c>
      <c r="O184" s="6" t="n">
        <f aca="false">LEN(M184)</f>
        <v>0</v>
      </c>
      <c r="P184" s="9" t="str">
        <f aca="false">IF(N184=0,"",(N184-LEN(SUBSTITUTE(SUBSTITUTE(L184,"G",""),"C","")))/N184)</f>
        <v/>
      </c>
      <c r="Q184" s="9" t="str">
        <f aca="false">IF(O184=0,"",(O184-LEN(SUBSTITUTE(SUBSTITUTE(M184,"G",""),"C","")))/O184)</f>
        <v/>
      </c>
    </row>
    <row r="185" customFormat="false" ht="15" hidden="false" customHeight="false" outlineLevel="0" collapsed="false">
      <c r="L185" s="6" t="str">
        <f aca="false">IF(G185="","",MID(G185,21,LEN(G185)-20))</f>
        <v/>
      </c>
      <c r="M185" s="6" t="str">
        <f aca="false">IF(I185="","",LEFT(I185,LEN(I185)-20))</f>
        <v/>
      </c>
      <c r="N185" s="6" t="n">
        <f aca="false">LEN(L185)</f>
        <v>0</v>
      </c>
      <c r="O185" s="6" t="n">
        <f aca="false">LEN(M185)</f>
        <v>0</v>
      </c>
      <c r="P185" s="9" t="str">
        <f aca="false">IF(N185=0,"",(N185-LEN(SUBSTITUTE(SUBSTITUTE(L185,"G",""),"C","")))/N185)</f>
        <v/>
      </c>
      <c r="Q185" s="9" t="str">
        <f aca="false">IF(O185=0,"",(O185-LEN(SUBSTITUTE(SUBSTITUTE(M185,"G",""),"C","")))/O185)</f>
        <v/>
      </c>
    </row>
    <row r="186" customFormat="false" ht="15" hidden="false" customHeight="false" outlineLevel="0" collapsed="false">
      <c r="L186" s="6" t="str">
        <f aca="false">IF(G186="","",MID(G186,21,LEN(G186)-20))</f>
        <v/>
      </c>
      <c r="M186" s="6" t="str">
        <f aca="false">IF(I186="","",LEFT(I186,LEN(I186)-20))</f>
        <v/>
      </c>
      <c r="N186" s="6" t="n">
        <f aca="false">LEN(L186)</f>
        <v>0</v>
      </c>
      <c r="O186" s="6" t="n">
        <f aca="false">LEN(M186)</f>
        <v>0</v>
      </c>
      <c r="P186" s="9" t="str">
        <f aca="false">IF(N186=0,"",(N186-LEN(SUBSTITUTE(SUBSTITUTE(L186,"G",""),"C","")))/N186)</f>
        <v/>
      </c>
      <c r="Q186" s="9" t="str">
        <f aca="false">IF(O186=0,"",(O186-LEN(SUBSTITUTE(SUBSTITUTE(M186,"G",""),"C","")))/O186)</f>
        <v/>
      </c>
    </row>
    <row r="187" customFormat="false" ht="15" hidden="false" customHeight="false" outlineLevel="0" collapsed="false">
      <c r="L187" s="6" t="str">
        <f aca="false">IF(G187="","",MID(G187,21,LEN(G187)-20))</f>
        <v/>
      </c>
      <c r="M187" s="6" t="str">
        <f aca="false">IF(I187="","",LEFT(I187,LEN(I187)-20))</f>
        <v/>
      </c>
      <c r="N187" s="6" t="n">
        <f aca="false">LEN(L187)</f>
        <v>0</v>
      </c>
      <c r="O187" s="6" t="n">
        <f aca="false">LEN(M187)</f>
        <v>0</v>
      </c>
      <c r="P187" s="9" t="str">
        <f aca="false">IF(N187=0,"",(N187-LEN(SUBSTITUTE(SUBSTITUTE(L187,"G",""),"C","")))/N187)</f>
        <v/>
      </c>
      <c r="Q187" s="9" t="str">
        <f aca="false">IF(O187=0,"",(O187-LEN(SUBSTITUTE(SUBSTITUTE(M187,"G",""),"C","")))/O187)</f>
        <v/>
      </c>
    </row>
    <row r="188" customFormat="false" ht="15" hidden="false" customHeight="false" outlineLevel="0" collapsed="false">
      <c r="L188" s="6" t="str">
        <f aca="false">IF(G188="","",MID(G188,21,LEN(G188)-20))</f>
        <v/>
      </c>
      <c r="M188" s="6" t="str">
        <f aca="false">IF(I188="","",LEFT(I188,LEN(I188)-20))</f>
        <v/>
      </c>
      <c r="N188" s="6" t="n">
        <f aca="false">LEN(L188)</f>
        <v>0</v>
      </c>
      <c r="O188" s="6" t="n">
        <f aca="false">LEN(M188)</f>
        <v>0</v>
      </c>
      <c r="P188" s="9" t="str">
        <f aca="false">IF(N188=0,"",(N188-LEN(SUBSTITUTE(SUBSTITUTE(L188,"G",""),"C","")))/N188)</f>
        <v/>
      </c>
      <c r="Q188" s="9" t="str">
        <f aca="false">IF(O188=0,"",(O188-LEN(SUBSTITUTE(SUBSTITUTE(M188,"G",""),"C","")))/O188)</f>
        <v/>
      </c>
    </row>
    <row r="189" customFormat="false" ht="15" hidden="false" customHeight="false" outlineLevel="0" collapsed="false">
      <c r="L189" s="6" t="str">
        <f aca="false">IF(G189="","",MID(G189,21,LEN(G189)-20))</f>
        <v/>
      </c>
      <c r="M189" s="6" t="str">
        <f aca="false">IF(I189="","",LEFT(I189,LEN(I189)-20))</f>
        <v/>
      </c>
      <c r="N189" s="6" t="n">
        <f aca="false">LEN(L189)</f>
        <v>0</v>
      </c>
      <c r="O189" s="6" t="n">
        <f aca="false">LEN(M189)</f>
        <v>0</v>
      </c>
      <c r="P189" s="9" t="str">
        <f aca="false">IF(N189=0,"",(N189-LEN(SUBSTITUTE(SUBSTITUTE(L189,"G",""),"C","")))/N189)</f>
        <v/>
      </c>
      <c r="Q189" s="9" t="str">
        <f aca="false">IF(O189=0,"",(O189-LEN(SUBSTITUTE(SUBSTITUTE(M189,"G",""),"C","")))/O189)</f>
        <v/>
      </c>
    </row>
    <row r="190" customFormat="false" ht="15" hidden="false" customHeight="false" outlineLevel="0" collapsed="false">
      <c r="L190" s="6" t="str">
        <f aca="false">IF(G190="","",MID(G190,21,LEN(G190)-20))</f>
        <v/>
      </c>
      <c r="M190" s="6" t="str">
        <f aca="false">IF(I190="","",LEFT(I190,LEN(I190)-20))</f>
        <v/>
      </c>
      <c r="N190" s="6" t="n">
        <f aca="false">LEN(L190)</f>
        <v>0</v>
      </c>
      <c r="O190" s="6" t="n">
        <f aca="false">LEN(M190)</f>
        <v>0</v>
      </c>
      <c r="P190" s="9" t="str">
        <f aca="false">IF(N190=0,"",(N190-LEN(SUBSTITUTE(SUBSTITUTE(L190,"G",""),"C","")))/N190)</f>
        <v/>
      </c>
      <c r="Q190" s="9" t="str">
        <f aca="false">IF(O190=0,"",(O190-LEN(SUBSTITUTE(SUBSTITUTE(M190,"G",""),"C","")))/O190)</f>
        <v/>
      </c>
    </row>
    <row r="191" customFormat="false" ht="15" hidden="false" customHeight="false" outlineLevel="0" collapsed="false">
      <c r="L191" s="6" t="str">
        <f aca="false">IF(G191="","",MID(G191,21,LEN(G191)-20))</f>
        <v/>
      </c>
      <c r="M191" s="6" t="str">
        <f aca="false">IF(I191="","",LEFT(I191,LEN(I191)-20))</f>
        <v/>
      </c>
      <c r="N191" s="6" t="n">
        <f aca="false">LEN(L191)</f>
        <v>0</v>
      </c>
      <c r="O191" s="6" t="n">
        <f aca="false">LEN(M191)</f>
        <v>0</v>
      </c>
      <c r="P191" s="9" t="str">
        <f aca="false">IF(N191=0,"",(N191-LEN(SUBSTITUTE(SUBSTITUTE(L191,"G",""),"C","")))/N191)</f>
        <v/>
      </c>
      <c r="Q191" s="9" t="str">
        <f aca="false">IF(O191=0,"",(O191-LEN(SUBSTITUTE(SUBSTITUTE(M191,"G",""),"C","")))/O191)</f>
        <v/>
      </c>
    </row>
    <row r="192" customFormat="false" ht="15" hidden="false" customHeight="false" outlineLevel="0" collapsed="false">
      <c r="L192" s="6" t="str">
        <f aca="false">IF(G192="","",MID(G192,21,LEN(G192)-20))</f>
        <v/>
      </c>
      <c r="M192" s="6" t="str">
        <f aca="false">IF(I192="","",LEFT(I192,LEN(I192)-20))</f>
        <v/>
      </c>
      <c r="N192" s="6" t="n">
        <f aca="false">LEN(L192)</f>
        <v>0</v>
      </c>
      <c r="O192" s="6" t="n">
        <f aca="false">LEN(M192)</f>
        <v>0</v>
      </c>
      <c r="P192" s="9" t="str">
        <f aca="false">IF(N192=0,"",(N192-LEN(SUBSTITUTE(SUBSTITUTE(L192,"G",""),"C","")))/N192)</f>
        <v/>
      </c>
      <c r="Q192" s="9" t="str">
        <f aca="false">IF(O192=0,"",(O192-LEN(SUBSTITUTE(SUBSTITUTE(M192,"G",""),"C","")))/O192)</f>
        <v/>
      </c>
    </row>
    <row r="193" customFormat="false" ht="15" hidden="false" customHeight="false" outlineLevel="0" collapsed="false">
      <c r="L193" s="6" t="str">
        <f aca="false">IF(G193="","",MID(G193,21,LEN(G193)-20))</f>
        <v/>
      </c>
      <c r="M193" s="6" t="str">
        <f aca="false">IF(I193="","",LEFT(I193,LEN(I193)-20))</f>
        <v/>
      </c>
      <c r="N193" s="6" t="n">
        <f aca="false">LEN(L193)</f>
        <v>0</v>
      </c>
      <c r="O193" s="6" t="n">
        <f aca="false">LEN(M193)</f>
        <v>0</v>
      </c>
      <c r="P193" s="9" t="str">
        <f aca="false">IF(N193=0,"",(N193-LEN(SUBSTITUTE(SUBSTITUTE(L193,"G",""),"C","")))/N193)</f>
        <v/>
      </c>
      <c r="Q193" s="9" t="str">
        <f aca="false">IF(O193=0,"",(O193-LEN(SUBSTITUTE(SUBSTITUTE(M193,"G",""),"C","")))/O193)</f>
        <v/>
      </c>
    </row>
    <row r="194" customFormat="false" ht="15" hidden="false" customHeight="false" outlineLevel="0" collapsed="false">
      <c r="L194" s="6" t="str">
        <f aca="false">IF(G194="","",MID(G194,21,LEN(G194)-20))</f>
        <v/>
      </c>
      <c r="M194" s="6" t="str">
        <f aca="false">IF(I194="","",LEFT(I194,LEN(I194)-20))</f>
        <v/>
      </c>
      <c r="N194" s="6" t="n">
        <f aca="false">LEN(L194)</f>
        <v>0</v>
      </c>
      <c r="O194" s="6" t="n">
        <f aca="false">LEN(M194)</f>
        <v>0</v>
      </c>
      <c r="P194" s="9" t="str">
        <f aca="false">IF(N194=0,"",(N194-LEN(SUBSTITUTE(SUBSTITUTE(L194,"G",""),"C","")))/N194)</f>
        <v/>
      </c>
      <c r="Q194" s="9" t="str">
        <f aca="false">IF(O194=0,"",(O194-LEN(SUBSTITUTE(SUBSTITUTE(M194,"G",""),"C","")))/O194)</f>
        <v/>
      </c>
    </row>
    <row r="195" customFormat="false" ht="15" hidden="false" customHeight="false" outlineLevel="0" collapsed="false">
      <c r="L195" s="6" t="str">
        <f aca="false">IF(G195="","",MID(G195,21,LEN(G195)-20))</f>
        <v/>
      </c>
      <c r="M195" s="6" t="str">
        <f aca="false">IF(I195="","",LEFT(I195,LEN(I195)-20))</f>
        <v/>
      </c>
      <c r="N195" s="6" t="n">
        <f aca="false">LEN(L195)</f>
        <v>0</v>
      </c>
      <c r="O195" s="6" t="n">
        <f aca="false">LEN(M195)</f>
        <v>0</v>
      </c>
      <c r="P195" s="9" t="str">
        <f aca="false">IF(N195=0,"",(N195-LEN(SUBSTITUTE(SUBSTITUTE(L195,"G",""),"C","")))/N195)</f>
        <v/>
      </c>
      <c r="Q195" s="9" t="str">
        <f aca="false">IF(O195=0,"",(O195-LEN(SUBSTITUTE(SUBSTITUTE(M195,"G",""),"C","")))/O195)</f>
        <v/>
      </c>
    </row>
    <row r="196" customFormat="false" ht="15" hidden="false" customHeight="false" outlineLevel="0" collapsed="false">
      <c r="L196" s="6" t="str">
        <f aca="false">IF(G196="","",MID(G196,21,LEN(G196)-20))</f>
        <v/>
      </c>
      <c r="M196" s="6" t="str">
        <f aca="false">IF(I196="","",LEFT(I196,LEN(I196)-20))</f>
        <v/>
      </c>
      <c r="N196" s="6" t="n">
        <f aca="false">LEN(L196)</f>
        <v>0</v>
      </c>
      <c r="O196" s="6" t="n">
        <f aca="false">LEN(M196)</f>
        <v>0</v>
      </c>
      <c r="P196" s="9" t="str">
        <f aca="false">IF(N196=0,"",(N196-LEN(SUBSTITUTE(SUBSTITUTE(L196,"G",""),"C","")))/N196)</f>
        <v/>
      </c>
      <c r="Q196" s="9" t="str">
        <f aca="false">IF(O196=0,"",(O196-LEN(SUBSTITUTE(SUBSTITUTE(M196,"G",""),"C","")))/O196)</f>
        <v/>
      </c>
    </row>
    <row r="197" customFormat="false" ht="15" hidden="false" customHeight="false" outlineLevel="0" collapsed="false">
      <c r="L197" s="6" t="str">
        <f aca="false">IF(G197="","",MID(G197,21,LEN(G197)-20))</f>
        <v/>
      </c>
      <c r="M197" s="6" t="str">
        <f aca="false">IF(I197="","",LEFT(I197,LEN(I197)-20))</f>
        <v/>
      </c>
      <c r="N197" s="6" t="n">
        <f aca="false">LEN(L197)</f>
        <v>0</v>
      </c>
      <c r="O197" s="6" t="n">
        <f aca="false">LEN(M197)</f>
        <v>0</v>
      </c>
      <c r="P197" s="9" t="str">
        <f aca="false">IF(N197=0,"",(N197-LEN(SUBSTITUTE(SUBSTITUTE(L197,"G",""),"C","")))/N197)</f>
        <v/>
      </c>
      <c r="Q197" s="9" t="str">
        <f aca="false">IF(O197=0,"",(O197-LEN(SUBSTITUTE(SUBSTITUTE(M197,"G",""),"C","")))/O197)</f>
        <v/>
      </c>
    </row>
    <row r="198" customFormat="false" ht="15" hidden="false" customHeight="false" outlineLevel="0" collapsed="false">
      <c r="L198" s="6" t="str">
        <f aca="false">IF(G198="","",MID(G198,21,LEN(G198)-20))</f>
        <v/>
      </c>
      <c r="M198" s="6" t="str">
        <f aca="false">IF(I198="","",LEFT(I198,LEN(I198)-20))</f>
        <v/>
      </c>
      <c r="N198" s="6" t="n">
        <f aca="false">LEN(L198)</f>
        <v>0</v>
      </c>
      <c r="O198" s="6" t="n">
        <f aca="false">LEN(M198)</f>
        <v>0</v>
      </c>
      <c r="P198" s="9" t="str">
        <f aca="false">IF(N198=0,"",(N198-LEN(SUBSTITUTE(SUBSTITUTE(L198,"G",""),"C","")))/N198)</f>
        <v/>
      </c>
      <c r="Q198" s="9" t="str">
        <f aca="false">IF(O198=0,"",(O198-LEN(SUBSTITUTE(SUBSTITUTE(M198,"G",""),"C","")))/O198)</f>
        <v/>
      </c>
    </row>
    <row r="199" customFormat="false" ht="15" hidden="false" customHeight="false" outlineLevel="0" collapsed="false">
      <c r="L199" s="6" t="str">
        <f aca="false">IF(G199="","",MID(G199,21,LEN(G199)-20))</f>
        <v/>
      </c>
      <c r="M199" s="6" t="str">
        <f aca="false">IF(I199="","",LEFT(I199,LEN(I199)-20))</f>
        <v/>
      </c>
      <c r="N199" s="6" t="n">
        <f aca="false">LEN(L199)</f>
        <v>0</v>
      </c>
      <c r="O199" s="6" t="n">
        <f aca="false">LEN(M199)</f>
        <v>0</v>
      </c>
      <c r="P199" s="9" t="str">
        <f aca="false">IF(N199=0,"",(N199-LEN(SUBSTITUTE(SUBSTITUTE(L199,"G",""),"C","")))/N199)</f>
        <v/>
      </c>
      <c r="Q199" s="9" t="str">
        <f aca="false">IF(O199=0,"",(O199-LEN(SUBSTITUTE(SUBSTITUTE(M199,"G",""),"C","")))/O199)</f>
        <v/>
      </c>
    </row>
    <row r="200" customFormat="false" ht="15" hidden="false" customHeight="false" outlineLevel="0" collapsed="false">
      <c r="L200" s="6" t="str">
        <f aca="false">IF(G200="","",MID(G200,21,LEN(G200)-20))</f>
        <v/>
      </c>
      <c r="M200" s="6" t="str">
        <f aca="false">IF(I200="","",LEFT(I200,LEN(I200)-20))</f>
        <v/>
      </c>
      <c r="N200" s="6" t="n">
        <f aca="false">LEN(L200)</f>
        <v>0</v>
      </c>
      <c r="O200" s="6" t="n">
        <f aca="false">LEN(M200)</f>
        <v>0</v>
      </c>
      <c r="P200" s="9" t="str">
        <f aca="false">IF(N200=0,"",(N200-LEN(SUBSTITUTE(SUBSTITUTE(L200,"G",""),"C","")))/N200)</f>
        <v/>
      </c>
      <c r="Q200" s="9" t="str">
        <f aca="false">IF(O200=0,"",(O200-LEN(SUBSTITUTE(SUBSTITUTE(M200,"G",""),"C","")))/O200)</f>
        <v/>
      </c>
    </row>
    <row r="201" customFormat="false" ht="15" hidden="false" customHeight="false" outlineLevel="0" collapsed="false">
      <c r="L201" s="6" t="str">
        <f aca="false">IF(G201="","",MID(G201,21,LEN(G201)-20))</f>
        <v/>
      </c>
      <c r="M201" s="6" t="str">
        <f aca="false">IF(I201="","",LEFT(I201,LEN(I201)-20))</f>
        <v/>
      </c>
      <c r="N201" s="6" t="n">
        <f aca="false">LEN(L201)</f>
        <v>0</v>
      </c>
      <c r="O201" s="6" t="n">
        <f aca="false">LEN(M201)</f>
        <v>0</v>
      </c>
      <c r="P201" s="9" t="str">
        <f aca="false">IF(N201=0,"",(N201-LEN(SUBSTITUTE(SUBSTITUTE(L201,"G",""),"C","")))/N201)</f>
        <v/>
      </c>
      <c r="Q201" s="9" t="str">
        <f aca="false">IF(O201=0,"",(O201-LEN(SUBSTITUTE(SUBSTITUTE(M201,"G",""),"C","")))/O201)</f>
        <v/>
      </c>
    </row>
    <row r="202" customFormat="false" ht="15" hidden="false" customHeight="false" outlineLevel="0" collapsed="false">
      <c r="L202" s="6" t="str">
        <f aca="false">IF(G202="","",MID(G202,21,LEN(G202)-20))</f>
        <v/>
      </c>
      <c r="M202" s="6" t="str">
        <f aca="false">IF(I202="","",LEFT(I202,LEN(I202)-20))</f>
        <v/>
      </c>
      <c r="N202" s="6" t="n">
        <f aca="false">LEN(L202)</f>
        <v>0</v>
      </c>
      <c r="O202" s="6" t="n">
        <f aca="false">LEN(M202)</f>
        <v>0</v>
      </c>
      <c r="P202" s="9" t="str">
        <f aca="false">IF(N202=0,"",(N202-LEN(SUBSTITUTE(SUBSTITUTE(L202,"G",""),"C","")))/N202)</f>
        <v/>
      </c>
      <c r="Q202" s="9" t="str">
        <f aca="false">IF(O202=0,"",(O202-LEN(SUBSTITUTE(SUBSTITUTE(M202,"G",""),"C","")))/O202)</f>
        <v/>
      </c>
    </row>
    <row r="203" customFormat="false" ht="15" hidden="false" customHeight="false" outlineLevel="0" collapsed="false">
      <c r="L203" s="6" t="str">
        <f aca="false">IF(G203="","",MID(G203,21,LEN(G203)-20))</f>
        <v/>
      </c>
      <c r="M203" s="6" t="str">
        <f aca="false">IF(I203="","",LEFT(I203,LEN(I203)-20))</f>
        <v/>
      </c>
      <c r="N203" s="6" t="n">
        <f aca="false">LEN(L203)</f>
        <v>0</v>
      </c>
      <c r="O203" s="6" t="n">
        <f aca="false">LEN(M203)</f>
        <v>0</v>
      </c>
      <c r="P203" s="9" t="str">
        <f aca="false">IF(N203=0,"",(N203-LEN(SUBSTITUTE(SUBSTITUTE(L203,"G",""),"C","")))/N203)</f>
        <v/>
      </c>
      <c r="Q203" s="9" t="str">
        <f aca="false">IF(O203=0,"",(O203-LEN(SUBSTITUTE(SUBSTITUTE(M203,"G",""),"C","")))/O203)</f>
        <v/>
      </c>
    </row>
    <row r="204" customFormat="false" ht="15" hidden="false" customHeight="false" outlineLevel="0" collapsed="false">
      <c r="L204" s="6" t="str">
        <f aca="false">IF(G204="","",MID(G204,21,LEN(G204)-20))</f>
        <v/>
      </c>
      <c r="M204" s="6" t="str">
        <f aca="false">IF(I204="","",LEFT(I204,LEN(I204)-20))</f>
        <v/>
      </c>
      <c r="N204" s="6" t="n">
        <f aca="false">LEN(L204)</f>
        <v>0</v>
      </c>
      <c r="O204" s="6" t="n">
        <f aca="false">LEN(M204)</f>
        <v>0</v>
      </c>
      <c r="P204" s="9" t="str">
        <f aca="false">IF(N204=0,"",(N204-LEN(SUBSTITUTE(SUBSTITUTE(L204,"G",""),"C","")))/N204)</f>
        <v/>
      </c>
      <c r="Q204" s="9" t="str">
        <f aca="false">IF(O204=0,"",(O204-LEN(SUBSTITUTE(SUBSTITUTE(M204,"G",""),"C","")))/O204)</f>
        <v/>
      </c>
    </row>
    <row r="205" customFormat="false" ht="15" hidden="false" customHeight="false" outlineLevel="0" collapsed="false">
      <c r="L205" s="6" t="str">
        <f aca="false">IF(G205="","",MID(G205,21,LEN(G205)-20))</f>
        <v/>
      </c>
      <c r="M205" s="6" t="str">
        <f aca="false">IF(I205="","",LEFT(I205,LEN(I205)-20))</f>
        <v/>
      </c>
      <c r="N205" s="6" t="n">
        <f aca="false">LEN(L205)</f>
        <v>0</v>
      </c>
      <c r="O205" s="6" t="n">
        <f aca="false">LEN(M205)</f>
        <v>0</v>
      </c>
      <c r="P205" s="9" t="str">
        <f aca="false">IF(N205=0,"",(N205-LEN(SUBSTITUTE(SUBSTITUTE(L205,"G",""),"C","")))/N205)</f>
        <v/>
      </c>
      <c r="Q205" s="9" t="str">
        <f aca="false">IF(O205=0,"",(O205-LEN(SUBSTITUTE(SUBSTITUTE(M205,"G",""),"C","")))/O205)</f>
        <v/>
      </c>
    </row>
    <row r="206" customFormat="false" ht="15" hidden="false" customHeight="false" outlineLevel="0" collapsed="false">
      <c r="L206" s="6" t="str">
        <f aca="false">IF(G206="","",MID(G206,21,LEN(G206)-20))</f>
        <v/>
      </c>
      <c r="M206" s="6" t="str">
        <f aca="false">IF(I206="","",LEFT(I206,LEN(I206)-20))</f>
        <v/>
      </c>
      <c r="N206" s="6" t="n">
        <f aca="false">LEN(L206)</f>
        <v>0</v>
      </c>
      <c r="O206" s="6" t="n">
        <f aca="false">LEN(M206)</f>
        <v>0</v>
      </c>
      <c r="P206" s="9" t="str">
        <f aca="false">IF(N206=0,"",(N206-LEN(SUBSTITUTE(SUBSTITUTE(L206,"G",""),"C","")))/N206)</f>
        <v/>
      </c>
      <c r="Q206" s="9" t="str">
        <f aca="false">IF(O206=0,"",(O206-LEN(SUBSTITUTE(SUBSTITUTE(M206,"G",""),"C","")))/O206)</f>
        <v/>
      </c>
    </row>
    <row r="207" customFormat="false" ht="15" hidden="false" customHeight="false" outlineLevel="0" collapsed="false">
      <c r="L207" s="6" t="str">
        <f aca="false">IF(G207="","",MID(G207,21,LEN(G207)-20))</f>
        <v/>
      </c>
      <c r="M207" s="6" t="str">
        <f aca="false">IF(I207="","",LEFT(I207,LEN(I207)-20))</f>
        <v/>
      </c>
      <c r="N207" s="6" t="n">
        <f aca="false">LEN(L207)</f>
        <v>0</v>
      </c>
      <c r="O207" s="6" t="n">
        <f aca="false">LEN(M207)</f>
        <v>0</v>
      </c>
      <c r="P207" s="9" t="str">
        <f aca="false">IF(N207=0,"",(N207-LEN(SUBSTITUTE(SUBSTITUTE(L207,"G",""),"C","")))/N207)</f>
        <v/>
      </c>
      <c r="Q207" s="9" t="str">
        <f aca="false">IF(O207=0,"",(O207-LEN(SUBSTITUTE(SUBSTITUTE(M207,"G",""),"C","")))/O207)</f>
        <v/>
      </c>
    </row>
    <row r="208" customFormat="false" ht="15" hidden="false" customHeight="false" outlineLevel="0" collapsed="false">
      <c r="L208" s="6" t="str">
        <f aca="false">IF(G208="","",MID(G208,21,LEN(G208)-20))</f>
        <v/>
      </c>
      <c r="M208" s="6" t="str">
        <f aca="false">IF(I208="","",LEFT(I208,LEN(I208)-20))</f>
        <v/>
      </c>
      <c r="N208" s="6" t="n">
        <f aca="false">LEN(L208)</f>
        <v>0</v>
      </c>
      <c r="O208" s="6" t="n">
        <f aca="false">LEN(M208)</f>
        <v>0</v>
      </c>
      <c r="P208" s="9" t="str">
        <f aca="false">IF(N208=0,"",(N208-LEN(SUBSTITUTE(SUBSTITUTE(L208,"G",""),"C","")))/N208)</f>
        <v/>
      </c>
      <c r="Q208" s="9" t="str">
        <f aca="false">IF(O208=0,"",(O208-LEN(SUBSTITUTE(SUBSTITUTE(M208,"G",""),"C","")))/O208)</f>
        <v/>
      </c>
    </row>
    <row r="209" customFormat="false" ht="15" hidden="false" customHeight="false" outlineLevel="0" collapsed="false">
      <c r="L209" s="6" t="str">
        <f aca="false">IF(G209="","",MID(G209,21,LEN(G209)-20))</f>
        <v/>
      </c>
      <c r="M209" s="6" t="str">
        <f aca="false">IF(I209="","",LEFT(I209,LEN(I209)-20))</f>
        <v/>
      </c>
      <c r="N209" s="6" t="n">
        <f aca="false">LEN(L209)</f>
        <v>0</v>
      </c>
      <c r="O209" s="6" t="n">
        <f aca="false">LEN(M209)</f>
        <v>0</v>
      </c>
      <c r="P209" s="9" t="str">
        <f aca="false">IF(N209=0,"",(N209-LEN(SUBSTITUTE(SUBSTITUTE(L209,"G",""),"C","")))/N209)</f>
        <v/>
      </c>
      <c r="Q209" s="9" t="str">
        <f aca="false">IF(O209=0,"",(O209-LEN(SUBSTITUTE(SUBSTITUTE(M209,"G",""),"C","")))/O209)</f>
        <v/>
      </c>
    </row>
    <row r="210" customFormat="false" ht="15" hidden="false" customHeight="false" outlineLevel="0" collapsed="false">
      <c r="L210" s="6" t="str">
        <f aca="false">IF(G210="","",MID(G210,21,LEN(G210)-20))</f>
        <v/>
      </c>
      <c r="M210" s="6" t="str">
        <f aca="false">IF(I210="","",LEFT(I210,LEN(I210)-20))</f>
        <v/>
      </c>
      <c r="N210" s="6" t="n">
        <f aca="false">LEN(L210)</f>
        <v>0</v>
      </c>
      <c r="O210" s="6" t="n">
        <f aca="false">LEN(M210)</f>
        <v>0</v>
      </c>
      <c r="P210" s="9" t="str">
        <f aca="false">IF(N210=0,"",(N210-LEN(SUBSTITUTE(SUBSTITUTE(L210,"G",""),"C","")))/N210)</f>
        <v/>
      </c>
      <c r="Q210" s="9" t="str">
        <f aca="false">IF(O210=0,"",(O210-LEN(SUBSTITUTE(SUBSTITUTE(M210,"G",""),"C","")))/O210)</f>
        <v/>
      </c>
    </row>
    <row r="211" customFormat="false" ht="15" hidden="false" customHeight="false" outlineLevel="0" collapsed="false">
      <c r="L211" s="6" t="str">
        <f aca="false">IF(G211="","",MID(G211,21,LEN(G211)-20))</f>
        <v/>
      </c>
      <c r="M211" s="6" t="str">
        <f aca="false">IF(I211="","",LEFT(I211,LEN(I211)-20))</f>
        <v/>
      </c>
      <c r="N211" s="6" t="n">
        <f aca="false">LEN(L211)</f>
        <v>0</v>
      </c>
      <c r="O211" s="6" t="n">
        <f aca="false">LEN(M211)</f>
        <v>0</v>
      </c>
      <c r="P211" s="9" t="str">
        <f aca="false">IF(N211=0,"",(N211-LEN(SUBSTITUTE(SUBSTITUTE(L211,"G",""),"C","")))/N211)</f>
        <v/>
      </c>
      <c r="Q211" s="9" t="str">
        <f aca="false">IF(O211=0,"",(O211-LEN(SUBSTITUTE(SUBSTITUTE(M211,"G",""),"C","")))/O211)</f>
        <v/>
      </c>
    </row>
    <row r="212" customFormat="false" ht="15" hidden="false" customHeight="false" outlineLevel="0" collapsed="false">
      <c r="L212" s="6" t="str">
        <f aca="false">IF(G212="","",MID(G212,21,LEN(G212)-20))</f>
        <v/>
      </c>
      <c r="M212" s="6" t="str">
        <f aca="false">IF(I212="","",LEFT(I212,LEN(I212)-20))</f>
        <v/>
      </c>
      <c r="N212" s="6" t="n">
        <f aca="false">LEN(L212)</f>
        <v>0</v>
      </c>
      <c r="O212" s="6" t="n">
        <f aca="false">LEN(M212)</f>
        <v>0</v>
      </c>
      <c r="P212" s="9" t="str">
        <f aca="false">IF(N212=0,"",(N212-LEN(SUBSTITUTE(SUBSTITUTE(L212,"G",""),"C","")))/N212)</f>
        <v/>
      </c>
      <c r="Q212" s="9" t="str">
        <f aca="false">IF(O212=0,"",(O212-LEN(SUBSTITUTE(SUBSTITUTE(M212,"G",""),"C","")))/O212)</f>
        <v/>
      </c>
    </row>
    <row r="213" customFormat="false" ht="15" hidden="false" customHeight="false" outlineLevel="0" collapsed="false">
      <c r="L213" s="6" t="str">
        <f aca="false">IF(G213="","",MID(G213,21,LEN(G213)-20))</f>
        <v/>
      </c>
      <c r="M213" s="6" t="str">
        <f aca="false">IF(I213="","",LEFT(I213,LEN(I213)-20))</f>
        <v/>
      </c>
      <c r="N213" s="6" t="n">
        <f aca="false">LEN(L213)</f>
        <v>0</v>
      </c>
      <c r="O213" s="6" t="n">
        <f aca="false">LEN(M213)</f>
        <v>0</v>
      </c>
      <c r="P213" s="9" t="str">
        <f aca="false">IF(N213=0,"",(N213-LEN(SUBSTITUTE(SUBSTITUTE(L213,"G",""),"C","")))/N213)</f>
        <v/>
      </c>
      <c r="Q213" s="9" t="str">
        <f aca="false">IF(O213=0,"",(O213-LEN(SUBSTITUTE(SUBSTITUTE(M213,"G",""),"C","")))/O213)</f>
        <v/>
      </c>
    </row>
    <row r="214" customFormat="false" ht="15" hidden="false" customHeight="false" outlineLevel="0" collapsed="false">
      <c r="L214" s="6" t="str">
        <f aca="false">IF(G214="","",MID(G214,21,LEN(G214)-20))</f>
        <v/>
      </c>
      <c r="M214" s="6" t="str">
        <f aca="false">IF(I214="","",LEFT(I214,LEN(I214)-20))</f>
        <v/>
      </c>
      <c r="N214" s="6" t="n">
        <f aca="false">LEN(L214)</f>
        <v>0</v>
      </c>
      <c r="O214" s="6" t="n">
        <f aca="false">LEN(M214)</f>
        <v>0</v>
      </c>
      <c r="P214" s="9" t="str">
        <f aca="false">IF(N214=0,"",(N214-LEN(SUBSTITUTE(SUBSTITUTE(L214,"G",""),"C","")))/N214)</f>
        <v/>
      </c>
      <c r="Q214" s="9" t="str">
        <f aca="false">IF(O214=0,"",(O214-LEN(SUBSTITUTE(SUBSTITUTE(M214,"G",""),"C","")))/O214)</f>
        <v/>
      </c>
    </row>
    <row r="215" customFormat="false" ht="15" hidden="false" customHeight="false" outlineLevel="0" collapsed="false">
      <c r="L215" s="6" t="str">
        <f aca="false">IF(G215="","",MID(G215,21,LEN(G215)-20))</f>
        <v/>
      </c>
      <c r="M215" s="6" t="str">
        <f aca="false">IF(I215="","",LEFT(I215,LEN(I215)-20))</f>
        <v/>
      </c>
      <c r="N215" s="6" t="n">
        <f aca="false">LEN(L215)</f>
        <v>0</v>
      </c>
      <c r="O215" s="6" t="n">
        <f aca="false">LEN(M215)</f>
        <v>0</v>
      </c>
      <c r="P215" s="9" t="str">
        <f aca="false">IF(N215=0,"",(N215-LEN(SUBSTITUTE(SUBSTITUTE(L215,"G",""),"C","")))/N215)</f>
        <v/>
      </c>
      <c r="Q215" s="9" t="str">
        <f aca="false">IF(O215=0,"",(O215-LEN(SUBSTITUTE(SUBSTITUTE(M215,"G",""),"C","")))/O215)</f>
        <v/>
      </c>
    </row>
    <row r="216" customFormat="false" ht="15" hidden="false" customHeight="false" outlineLevel="0" collapsed="false">
      <c r="L216" s="6" t="str">
        <f aca="false">IF(G216="","",MID(G216,21,LEN(G216)-20))</f>
        <v/>
      </c>
      <c r="M216" s="6" t="str">
        <f aca="false">IF(I216="","",LEFT(I216,LEN(I216)-20))</f>
        <v/>
      </c>
      <c r="N216" s="6" t="n">
        <f aca="false">LEN(L216)</f>
        <v>0</v>
      </c>
      <c r="O216" s="6" t="n">
        <f aca="false">LEN(M216)</f>
        <v>0</v>
      </c>
      <c r="P216" s="9" t="str">
        <f aca="false">IF(N216=0,"",(N216-LEN(SUBSTITUTE(SUBSTITUTE(L216,"G",""),"C","")))/N216)</f>
        <v/>
      </c>
      <c r="Q216" s="9" t="str">
        <f aca="false">IF(O216=0,"",(O216-LEN(SUBSTITUTE(SUBSTITUTE(M216,"G",""),"C","")))/O216)</f>
        <v/>
      </c>
    </row>
    <row r="217" customFormat="false" ht="15" hidden="false" customHeight="false" outlineLevel="0" collapsed="false">
      <c r="L217" s="6" t="str">
        <f aca="false">IF(G217="","",MID(G217,21,LEN(G217)-20))</f>
        <v/>
      </c>
      <c r="M217" s="6" t="str">
        <f aca="false">IF(I217="","",LEFT(I217,LEN(I217)-20))</f>
        <v/>
      </c>
      <c r="N217" s="6" t="n">
        <f aca="false">LEN(L217)</f>
        <v>0</v>
      </c>
      <c r="O217" s="6" t="n">
        <f aca="false">LEN(M217)</f>
        <v>0</v>
      </c>
      <c r="P217" s="9" t="str">
        <f aca="false">IF(N217=0,"",(N217-LEN(SUBSTITUTE(SUBSTITUTE(L217,"G",""),"C","")))/N217)</f>
        <v/>
      </c>
      <c r="Q217" s="9" t="str">
        <f aca="false">IF(O217=0,"",(O217-LEN(SUBSTITUTE(SUBSTITUTE(M217,"G",""),"C","")))/O217)</f>
        <v/>
      </c>
    </row>
    <row r="218" customFormat="false" ht="15" hidden="false" customHeight="false" outlineLevel="0" collapsed="false">
      <c r="L218" s="6" t="str">
        <f aca="false">IF(G218="","",MID(G218,21,LEN(G218)-20))</f>
        <v/>
      </c>
      <c r="M218" s="6" t="str">
        <f aca="false">IF(I218="","",LEFT(I218,LEN(I218)-20))</f>
        <v/>
      </c>
      <c r="N218" s="6" t="n">
        <f aca="false">LEN(L218)</f>
        <v>0</v>
      </c>
      <c r="O218" s="6" t="n">
        <f aca="false">LEN(M218)</f>
        <v>0</v>
      </c>
      <c r="P218" s="9" t="str">
        <f aca="false">IF(N218=0,"",(N218-LEN(SUBSTITUTE(SUBSTITUTE(L218,"G",""),"C","")))/N218)</f>
        <v/>
      </c>
      <c r="Q218" s="9" t="str">
        <f aca="false">IF(O218=0,"",(O218-LEN(SUBSTITUTE(SUBSTITUTE(M218,"G",""),"C","")))/O218)</f>
        <v/>
      </c>
    </row>
    <row r="219" customFormat="false" ht="15" hidden="false" customHeight="false" outlineLevel="0" collapsed="false">
      <c r="L219" s="6" t="str">
        <f aca="false">IF(G219="","",MID(G219,21,LEN(G219)-20))</f>
        <v/>
      </c>
      <c r="M219" s="6" t="str">
        <f aca="false">IF(I219="","",LEFT(I219,LEN(I219)-20))</f>
        <v/>
      </c>
      <c r="N219" s="6" t="n">
        <f aca="false">LEN(L219)</f>
        <v>0</v>
      </c>
      <c r="O219" s="6" t="n">
        <f aca="false">LEN(M219)</f>
        <v>0</v>
      </c>
      <c r="P219" s="9" t="str">
        <f aca="false">IF(N219=0,"",(N219-LEN(SUBSTITUTE(SUBSTITUTE(L219,"G",""),"C","")))/N219)</f>
        <v/>
      </c>
      <c r="Q219" s="9" t="str">
        <f aca="false">IF(O219=0,"",(O219-LEN(SUBSTITUTE(SUBSTITUTE(M219,"G",""),"C","")))/O219)</f>
        <v/>
      </c>
    </row>
    <row r="220" customFormat="false" ht="15" hidden="false" customHeight="false" outlineLevel="0" collapsed="false">
      <c r="L220" s="6" t="str">
        <f aca="false">IF(G220="","",MID(G220,21,LEN(G220)-20))</f>
        <v/>
      </c>
      <c r="M220" s="6" t="str">
        <f aca="false">IF(I220="","",LEFT(I220,LEN(I220)-20))</f>
        <v/>
      </c>
      <c r="N220" s="6" t="n">
        <f aca="false">LEN(L220)</f>
        <v>0</v>
      </c>
      <c r="O220" s="6" t="n">
        <f aca="false">LEN(M220)</f>
        <v>0</v>
      </c>
      <c r="P220" s="9" t="str">
        <f aca="false">IF(N220=0,"",(N220-LEN(SUBSTITUTE(SUBSTITUTE(L220,"G",""),"C","")))/N220)</f>
        <v/>
      </c>
      <c r="Q220" s="9" t="str">
        <f aca="false">IF(O220=0,"",(O220-LEN(SUBSTITUTE(SUBSTITUTE(M220,"G",""),"C","")))/O220)</f>
        <v/>
      </c>
    </row>
    <row r="221" customFormat="false" ht="15" hidden="false" customHeight="false" outlineLevel="0" collapsed="false">
      <c r="L221" s="6" t="str">
        <f aca="false">IF(G221="","",MID(G221,21,LEN(G221)-20))</f>
        <v/>
      </c>
      <c r="M221" s="6" t="str">
        <f aca="false">IF(I221="","",LEFT(I221,LEN(I221)-20))</f>
        <v/>
      </c>
      <c r="N221" s="6" t="n">
        <f aca="false">LEN(L221)</f>
        <v>0</v>
      </c>
      <c r="O221" s="6" t="n">
        <f aca="false">LEN(M221)</f>
        <v>0</v>
      </c>
      <c r="P221" s="9" t="str">
        <f aca="false">IF(N221=0,"",(N221-LEN(SUBSTITUTE(SUBSTITUTE(L221,"G",""),"C","")))/N221)</f>
        <v/>
      </c>
      <c r="Q221" s="9" t="str">
        <f aca="false">IF(O221=0,"",(O221-LEN(SUBSTITUTE(SUBSTITUTE(M221,"G",""),"C","")))/O221)</f>
        <v/>
      </c>
    </row>
    <row r="222" customFormat="false" ht="15" hidden="false" customHeight="false" outlineLevel="0" collapsed="false">
      <c r="L222" s="6" t="str">
        <f aca="false">IF(G222="","",MID(G222,21,LEN(G222)-20))</f>
        <v/>
      </c>
      <c r="M222" s="6" t="str">
        <f aca="false">IF(I222="","",LEFT(I222,LEN(I222)-20))</f>
        <v/>
      </c>
      <c r="N222" s="6" t="n">
        <f aca="false">LEN(L222)</f>
        <v>0</v>
      </c>
      <c r="O222" s="6" t="n">
        <f aca="false">LEN(M222)</f>
        <v>0</v>
      </c>
      <c r="P222" s="9" t="str">
        <f aca="false">IF(N222=0,"",(N222-LEN(SUBSTITUTE(SUBSTITUTE(L222,"G",""),"C","")))/N222)</f>
        <v/>
      </c>
      <c r="Q222" s="9" t="str">
        <f aca="false">IF(O222=0,"",(O222-LEN(SUBSTITUTE(SUBSTITUTE(M222,"G",""),"C","")))/O222)</f>
        <v/>
      </c>
    </row>
    <row r="223" customFormat="false" ht="15" hidden="false" customHeight="false" outlineLevel="0" collapsed="false">
      <c r="L223" s="6" t="str">
        <f aca="false">IF(G223="","",MID(G223,21,LEN(G223)-20))</f>
        <v/>
      </c>
      <c r="M223" s="6" t="str">
        <f aca="false">IF(I223="","",LEFT(I223,LEN(I223)-20))</f>
        <v/>
      </c>
      <c r="N223" s="6" t="n">
        <f aca="false">LEN(L223)</f>
        <v>0</v>
      </c>
      <c r="O223" s="6" t="n">
        <f aca="false">LEN(M223)</f>
        <v>0</v>
      </c>
      <c r="P223" s="9" t="str">
        <f aca="false">IF(N223=0,"",(N223-LEN(SUBSTITUTE(SUBSTITUTE(L223,"G",""),"C","")))/N223)</f>
        <v/>
      </c>
      <c r="Q223" s="9" t="str">
        <f aca="false">IF(O223=0,"",(O223-LEN(SUBSTITUTE(SUBSTITUTE(M223,"G",""),"C","")))/O223)</f>
        <v/>
      </c>
    </row>
    <row r="224" customFormat="false" ht="15" hidden="false" customHeight="false" outlineLevel="0" collapsed="false">
      <c r="L224" s="6" t="str">
        <f aca="false">IF(G224="","",MID(G224,21,LEN(G224)-20))</f>
        <v/>
      </c>
      <c r="M224" s="6" t="str">
        <f aca="false">IF(I224="","",LEFT(I224,LEN(I224)-20))</f>
        <v/>
      </c>
      <c r="N224" s="6" t="n">
        <f aca="false">LEN(L224)</f>
        <v>0</v>
      </c>
      <c r="O224" s="6" t="n">
        <f aca="false">LEN(M224)</f>
        <v>0</v>
      </c>
      <c r="P224" s="9" t="str">
        <f aca="false">IF(N224=0,"",(N224-LEN(SUBSTITUTE(SUBSTITUTE(L224,"G",""),"C","")))/N224)</f>
        <v/>
      </c>
      <c r="Q224" s="9" t="str">
        <f aca="false">IF(O224=0,"",(O224-LEN(SUBSTITUTE(SUBSTITUTE(M224,"G",""),"C","")))/O224)</f>
        <v/>
      </c>
    </row>
    <row r="225" customFormat="false" ht="15" hidden="false" customHeight="false" outlineLevel="0" collapsed="false">
      <c r="L225" s="6" t="str">
        <f aca="false">IF(G225="","",MID(G225,21,LEN(G225)-20))</f>
        <v/>
      </c>
      <c r="M225" s="6" t="str">
        <f aca="false">IF(I225="","",LEFT(I225,LEN(I225)-20))</f>
        <v/>
      </c>
      <c r="N225" s="6" t="n">
        <f aca="false">LEN(L225)</f>
        <v>0</v>
      </c>
      <c r="O225" s="6" t="n">
        <f aca="false">LEN(M225)</f>
        <v>0</v>
      </c>
      <c r="P225" s="9" t="str">
        <f aca="false">IF(N225=0,"",(N225-LEN(SUBSTITUTE(SUBSTITUTE(L225,"G",""),"C","")))/N225)</f>
        <v/>
      </c>
      <c r="Q225" s="9" t="str">
        <f aca="false">IF(O225=0,"",(O225-LEN(SUBSTITUTE(SUBSTITUTE(M225,"G",""),"C","")))/O225)</f>
        <v/>
      </c>
    </row>
    <row r="226" customFormat="false" ht="15" hidden="false" customHeight="false" outlineLevel="0" collapsed="false">
      <c r="L226" s="6" t="str">
        <f aca="false">IF(G226="","",MID(G226,21,LEN(G226)-20))</f>
        <v/>
      </c>
      <c r="M226" s="6" t="str">
        <f aca="false">IF(I226="","",LEFT(I226,LEN(I226)-20))</f>
        <v/>
      </c>
      <c r="N226" s="6" t="n">
        <f aca="false">LEN(L226)</f>
        <v>0</v>
      </c>
      <c r="O226" s="6" t="n">
        <f aca="false">LEN(M226)</f>
        <v>0</v>
      </c>
      <c r="P226" s="9" t="str">
        <f aca="false">IF(N226=0,"",(N226-LEN(SUBSTITUTE(SUBSTITUTE(L226,"G",""),"C","")))/N226)</f>
        <v/>
      </c>
      <c r="Q226" s="9" t="str">
        <f aca="false">IF(O226=0,"",(O226-LEN(SUBSTITUTE(SUBSTITUTE(M226,"G",""),"C","")))/O226)</f>
        <v/>
      </c>
    </row>
    <row r="227" customFormat="false" ht="15" hidden="false" customHeight="false" outlineLevel="0" collapsed="false">
      <c r="L227" s="6" t="str">
        <f aca="false">IF(G227="","",MID(G227,21,LEN(G227)-20))</f>
        <v/>
      </c>
      <c r="M227" s="6" t="str">
        <f aca="false">IF(I227="","",LEFT(I227,LEN(I227)-20))</f>
        <v/>
      </c>
      <c r="N227" s="6" t="n">
        <f aca="false">LEN(L227)</f>
        <v>0</v>
      </c>
      <c r="O227" s="6" t="n">
        <f aca="false">LEN(M227)</f>
        <v>0</v>
      </c>
      <c r="P227" s="9" t="str">
        <f aca="false">IF(N227=0,"",(N227-LEN(SUBSTITUTE(SUBSTITUTE(L227,"G",""),"C","")))/N227)</f>
        <v/>
      </c>
      <c r="Q227" s="9" t="str">
        <f aca="false">IF(O227=0,"",(O227-LEN(SUBSTITUTE(SUBSTITUTE(M227,"G",""),"C","")))/O227)</f>
        <v/>
      </c>
    </row>
    <row r="228" customFormat="false" ht="15" hidden="false" customHeight="false" outlineLevel="0" collapsed="false">
      <c r="L228" s="6" t="str">
        <f aca="false">IF(G228="","",MID(G228,21,LEN(G228)-20))</f>
        <v/>
      </c>
      <c r="M228" s="6" t="str">
        <f aca="false">IF(I228="","",LEFT(I228,LEN(I228)-20))</f>
        <v/>
      </c>
      <c r="N228" s="6" t="n">
        <f aca="false">LEN(L228)</f>
        <v>0</v>
      </c>
      <c r="O228" s="6" t="n">
        <f aca="false">LEN(M228)</f>
        <v>0</v>
      </c>
      <c r="P228" s="9" t="str">
        <f aca="false">IF(N228=0,"",(N228-LEN(SUBSTITUTE(SUBSTITUTE(L228,"G",""),"C","")))/N228)</f>
        <v/>
      </c>
      <c r="Q228" s="9" t="str">
        <f aca="false">IF(O228=0,"",(O228-LEN(SUBSTITUTE(SUBSTITUTE(M228,"G",""),"C","")))/O228)</f>
        <v/>
      </c>
    </row>
    <row r="229" customFormat="false" ht="15" hidden="false" customHeight="false" outlineLevel="0" collapsed="false">
      <c r="L229" s="6" t="str">
        <f aca="false">IF(G229="","",MID(G229,21,LEN(G229)-20))</f>
        <v/>
      </c>
      <c r="M229" s="6" t="str">
        <f aca="false">IF(I229="","",LEFT(I229,LEN(I229)-20))</f>
        <v/>
      </c>
      <c r="N229" s="6" t="n">
        <f aca="false">LEN(L229)</f>
        <v>0</v>
      </c>
      <c r="O229" s="6" t="n">
        <f aca="false">LEN(M229)</f>
        <v>0</v>
      </c>
      <c r="P229" s="9" t="str">
        <f aca="false">IF(N229=0,"",(N229-LEN(SUBSTITUTE(SUBSTITUTE(L229,"G",""),"C","")))/N229)</f>
        <v/>
      </c>
      <c r="Q229" s="9" t="str">
        <f aca="false">IF(O229=0,"",(O229-LEN(SUBSTITUTE(SUBSTITUTE(M229,"G",""),"C","")))/O229)</f>
        <v/>
      </c>
    </row>
    <row r="230" customFormat="false" ht="15" hidden="false" customHeight="false" outlineLevel="0" collapsed="false">
      <c r="L230" s="6" t="str">
        <f aca="false">IF(G230="","",MID(G230,21,LEN(G230)-20))</f>
        <v/>
      </c>
      <c r="M230" s="6" t="str">
        <f aca="false">IF(I230="","",LEFT(I230,LEN(I230)-20))</f>
        <v/>
      </c>
      <c r="N230" s="6" t="n">
        <f aca="false">LEN(L230)</f>
        <v>0</v>
      </c>
      <c r="O230" s="6" t="n">
        <f aca="false">LEN(M230)</f>
        <v>0</v>
      </c>
      <c r="P230" s="9" t="str">
        <f aca="false">IF(N230=0,"",(N230-LEN(SUBSTITUTE(SUBSTITUTE(L230,"G",""),"C","")))/N230)</f>
        <v/>
      </c>
      <c r="Q230" s="9" t="str">
        <f aca="false">IF(O230=0,"",(O230-LEN(SUBSTITUTE(SUBSTITUTE(M230,"G",""),"C","")))/O230)</f>
        <v/>
      </c>
    </row>
    <row r="231" customFormat="false" ht="15" hidden="false" customHeight="false" outlineLevel="0" collapsed="false">
      <c r="L231" s="6" t="str">
        <f aca="false">IF(G231="","",MID(G231,21,LEN(G231)-20))</f>
        <v/>
      </c>
      <c r="M231" s="6" t="str">
        <f aca="false">IF(I231="","",LEFT(I231,LEN(I231)-20))</f>
        <v/>
      </c>
      <c r="N231" s="6" t="n">
        <f aca="false">LEN(L231)</f>
        <v>0</v>
      </c>
      <c r="O231" s="6" t="n">
        <f aca="false">LEN(M231)</f>
        <v>0</v>
      </c>
      <c r="P231" s="9" t="str">
        <f aca="false">IF(N231=0,"",(N231-LEN(SUBSTITUTE(SUBSTITUTE(L231,"G",""),"C","")))/N231)</f>
        <v/>
      </c>
      <c r="Q231" s="9" t="str">
        <f aca="false">IF(O231=0,"",(O231-LEN(SUBSTITUTE(SUBSTITUTE(M231,"G",""),"C","")))/O231)</f>
        <v/>
      </c>
    </row>
    <row r="232" customFormat="false" ht="15" hidden="false" customHeight="false" outlineLevel="0" collapsed="false">
      <c r="L232" s="6" t="str">
        <f aca="false">IF(G232="","",MID(G232,21,LEN(G232)-20))</f>
        <v/>
      </c>
      <c r="M232" s="6" t="str">
        <f aca="false">IF(I232="","",LEFT(I232,LEN(I232)-20))</f>
        <v/>
      </c>
      <c r="N232" s="6" t="n">
        <f aca="false">LEN(L232)</f>
        <v>0</v>
      </c>
      <c r="O232" s="6" t="n">
        <f aca="false">LEN(M232)</f>
        <v>0</v>
      </c>
      <c r="P232" s="9" t="str">
        <f aca="false">IF(N232=0,"",(N232-LEN(SUBSTITUTE(SUBSTITUTE(L232,"G",""),"C","")))/N232)</f>
        <v/>
      </c>
      <c r="Q232" s="9" t="str">
        <f aca="false">IF(O232=0,"",(O232-LEN(SUBSTITUTE(SUBSTITUTE(M232,"G",""),"C","")))/O232)</f>
        <v/>
      </c>
    </row>
    <row r="233" customFormat="false" ht="15" hidden="false" customHeight="false" outlineLevel="0" collapsed="false">
      <c r="L233" s="6" t="str">
        <f aca="false">IF(G233="","",MID(G233,21,LEN(G233)-20))</f>
        <v/>
      </c>
      <c r="M233" s="6" t="str">
        <f aca="false">IF(I233="","",LEFT(I233,LEN(I233)-20))</f>
        <v/>
      </c>
      <c r="N233" s="6" t="n">
        <f aca="false">LEN(L233)</f>
        <v>0</v>
      </c>
      <c r="O233" s="6" t="n">
        <f aca="false">LEN(M233)</f>
        <v>0</v>
      </c>
      <c r="P233" s="9" t="str">
        <f aca="false">IF(N233=0,"",(N233-LEN(SUBSTITUTE(SUBSTITUTE(L233,"G",""),"C","")))/N233)</f>
        <v/>
      </c>
      <c r="Q233" s="9" t="str">
        <f aca="false">IF(O233=0,"",(O233-LEN(SUBSTITUTE(SUBSTITUTE(M233,"G",""),"C","")))/O233)</f>
        <v/>
      </c>
    </row>
    <row r="234" customFormat="false" ht="15" hidden="false" customHeight="false" outlineLevel="0" collapsed="false">
      <c r="L234" s="6" t="str">
        <f aca="false">IF(G234="","",MID(G234,21,LEN(G234)-20))</f>
        <v/>
      </c>
      <c r="M234" s="6" t="str">
        <f aca="false">IF(I234="","",LEFT(I234,LEN(I234)-20))</f>
        <v/>
      </c>
      <c r="N234" s="6" t="n">
        <f aca="false">LEN(L234)</f>
        <v>0</v>
      </c>
      <c r="O234" s="6" t="n">
        <f aca="false">LEN(M234)</f>
        <v>0</v>
      </c>
      <c r="P234" s="9" t="str">
        <f aca="false">IF(N234=0,"",(N234-LEN(SUBSTITUTE(SUBSTITUTE(L234,"G",""),"C","")))/N234)</f>
        <v/>
      </c>
      <c r="Q234" s="9" t="str">
        <f aca="false">IF(O234=0,"",(O234-LEN(SUBSTITUTE(SUBSTITUTE(M234,"G",""),"C","")))/O234)</f>
        <v/>
      </c>
    </row>
    <row r="235" customFormat="false" ht="15" hidden="false" customHeight="false" outlineLevel="0" collapsed="false">
      <c r="L235" s="6" t="str">
        <f aca="false">IF(G235="","",MID(G235,21,LEN(G235)-20))</f>
        <v/>
      </c>
      <c r="M235" s="6" t="str">
        <f aca="false">IF(I235="","",LEFT(I235,LEN(I235)-20))</f>
        <v/>
      </c>
      <c r="N235" s="6" t="n">
        <f aca="false">LEN(L235)</f>
        <v>0</v>
      </c>
      <c r="O235" s="6" t="n">
        <f aca="false">LEN(M235)</f>
        <v>0</v>
      </c>
      <c r="P235" s="9" t="str">
        <f aca="false">IF(N235=0,"",(N235-LEN(SUBSTITUTE(SUBSTITUTE(L235,"G",""),"C","")))/N235)</f>
        <v/>
      </c>
      <c r="Q235" s="9" t="str">
        <f aca="false">IF(O235=0,"",(O235-LEN(SUBSTITUTE(SUBSTITUTE(M235,"G",""),"C","")))/O235)</f>
        <v/>
      </c>
    </row>
    <row r="236" customFormat="false" ht="15" hidden="false" customHeight="false" outlineLevel="0" collapsed="false">
      <c r="L236" s="6" t="str">
        <f aca="false">IF(G236="","",MID(G236,21,LEN(G236)-20))</f>
        <v/>
      </c>
      <c r="M236" s="6" t="str">
        <f aca="false">IF(I236="","",LEFT(I236,LEN(I236)-20))</f>
        <v/>
      </c>
      <c r="N236" s="6" t="n">
        <f aca="false">LEN(L236)</f>
        <v>0</v>
      </c>
      <c r="O236" s="6" t="n">
        <f aca="false">LEN(M236)</f>
        <v>0</v>
      </c>
      <c r="P236" s="9" t="str">
        <f aca="false">IF(N236=0,"",(N236-LEN(SUBSTITUTE(SUBSTITUTE(L236,"G",""),"C","")))/N236)</f>
        <v/>
      </c>
      <c r="Q236" s="9" t="str">
        <f aca="false">IF(O236=0,"",(O236-LEN(SUBSTITUTE(SUBSTITUTE(M236,"G",""),"C","")))/O236)</f>
        <v/>
      </c>
    </row>
    <row r="237" customFormat="false" ht="15" hidden="false" customHeight="false" outlineLevel="0" collapsed="false">
      <c r="L237" s="6" t="str">
        <f aca="false">IF(G237="","",MID(G237,21,LEN(G237)-20))</f>
        <v/>
      </c>
      <c r="M237" s="6" t="str">
        <f aca="false">IF(I237="","",LEFT(I237,LEN(I237)-20))</f>
        <v/>
      </c>
      <c r="N237" s="6" t="n">
        <f aca="false">LEN(L237)</f>
        <v>0</v>
      </c>
      <c r="O237" s="6" t="n">
        <f aca="false">LEN(M237)</f>
        <v>0</v>
      </c>
      <c r="P237" s="9" t="str">
        <f aca="false">IF(N237=0,"",(N237-LEN(SUBSTITUTE(SUBSTITUTE(L237,"G",""),"C","")))/N237)</f>
        <v/>
      </c>
      <c r="Q237" s="9" t="str">
        <f aca="false">IF(O237=0,"",(O237-LEN(SUBSTITUTE(SUBSTITUTE(M237,"G",""),"C","")))/O237)</f>
        <v/>
      </c>
    </row>
    <row r="238" customFormat="false" ht="15" hidden="false" customHeight="false" outlineLevel="0" collapsed="false">
      <c r="L238" s="6" t="str">
        <f aca="false">IF(G238="","",MID(G238,21,LEN(G238)-20))</f>
        <v/>
      </c>
      <c r="M238" s="6" t="str">
        <f aca="false">IF(I238="","",LEFT(I238,LEN(I238)-20))</f>
        <v/>
      </c>
      <c r="N238" s="6" t="n">
        <f aca="false">LEN(L238)</f>
        <v>0</v>
      </c>
      <c r="O238" s="6" t="n">
        <f aca="false">LEN(M238)</f>
        <v>0</v>
      </c>
      <c r="P238" s="9" t="str">
        <f aca="false">IF(N238=0,"",(N238-LEN(SUBSTITUTE(SUBSTITUTE(L238,"G",""),"C","")))/N238)</f>
        <v/>
      </c>
      <c r="Q238" s="9" t="str">
        <f aca="false">IF(O238=0,"",(O238-LEN(SUBSTITUTE(SUBSTITUTE(M238,"G",""),"C","")))/O238)</f>
        <v/>
      </c>
    </row>
    <row r="239" customFormat="false" ht="15" hidden="false" customHeight="false" outlineLevel="0" collapsed="false">
      <c r="L239" s="6" t="str">
        <f aca="false">IF(G239="","",MID(G239,21,LEN(G239)-20))</f>
        <v/>
      </c>
      <c r="M239" s="6" t="str">
        <f aca="false">IF(I239="","",LEFT(I239,LEN(I239)-20))</f>
        <v/>
      </c>
      <c r="N239" s="6" t="n">
        <f aca="false">LEN(L239)</f>
        <v>0</v>
      </c>
      <c r="O239" s="6" t="n">
        <f aca="false">LEN(M239)</f>
        <v>0</v>
      </c>
      <c r="P239" s="9" t="str">
        <f aca="false">IF(N239=0,"",(N239-LEN(SUBSTITUTE(SUBSTITUTE(L239,"G",""),"C","")))/N239)</f>
        <v/>
      </c>
      <c r="Q239" s="9" t="str">
        <f aca="false">IF(O239=0,"",(O239-LEN(SUBSTITUTE(SUBSTITUTE(M239,"G",""),"C","")))/O239)</f>
        <v/>
      </c>
    </row>
    <row r="240" customFormat="false" ht="15" hidden="false" customHeight="false" outlineLevel="0" collapsed="false">
      <c r="L240" s="6" t="str">
        <f aca="false">IF(G240="","",MID(G240,21,LEN(G240)-20))</f>
        <v/>
      </c>
      <c r="M240" s="6" t="str">
        <f aca="false">IF(I240="","",LEFT(I240,LEN(I240)-20))</f>
        <v/>
      </c>
      <c r="N240" s="6" t="n">
        <f aca="false">LEN(L240)</f>
        <v>0</v>
      </c>
      <c r="O240" s="6" t="n">
        <f aca="false">LEN(M240)</f>
        <v>0</v>
      </c>
      <c r="P240" s="9" t="str">
        <f aca="false">IF(N240=0,"",(N240-LEN(SUBSTITUTE(SUBSTITUTE(L240,"G",""),"C","")))/N240)</f>
        <v/>
      </c>
      <c r="Q240" s="9" t="str">
        <f aca="false">IF(O240=0,"",(O240-LEN(SUBSTITUTE(SUBSTITUTE(M240,"G",""),"C","")))/O240)</f>
        <v/>
      </c>
    </row>
    <row r="241" customFormat="false" ht="15" hidden="false" customHeight="false" outlineLevel="0" collapsed="false">
      <c r="L241" s="6" t="str">
        <f aca="false">IF(G241="","",MID(G241,21,LEN(G241)-20))</f>
        <v/>
      </c>
      <c r="M241" s="6" t="str">
        <f aca="false">IF(I241="","",LEFT(I241,LEN(I241)-20))</f>
        <v/>
      </c>
      <c r="N241" s="6" t="n">
        <f aca="false">LEN(L241)</f>
        <v>0</v>
      </c>
      <c r="O241" s="6" t="n">
        <f aca="false">LEN(M241)</f>
        <v>0</v>
      </c>
      <c r="P241" s="9" t="str">
        <f aca="false">IF(N241=0,"",(N241-LEN(SUBSTITUTE(SUBSTITUTE(L241,"G",""),"C","")))/N241)</f>
        <v/>
      </c>
      <c r="Q241" s="9" t="str">
        <f aca="false">IF(O241=0,"",(O241-LEN(SUBSTITUTE(SUBSTITUTE(M241,"G",""),"C","")))/O241)</f>
        <v/>
      </c>
    </row>
    <row r="242" customFormat="false" ht="15" hidden="false" customHeight="false" outlineLevel="0" collapsed="false">
      <c r="L242" s="6" t="str">
        <f aca="false">IF(G242="","",MID(G242,21,LEN(G242)-20))</f>
        <v/>
      </c>
      <c r="M242" s="6" t="str">
        <f aca="false">IF(I242="","",LEFT(I242,LEN(I242)-20))</f>
        <v/>
      </c>
      <c r="N242" s="6" t="n">
        <f aca="false">LEN(L242)</f>
        <v>0</v>
      </c>
      <c r="O242" s="6" t="n">
        <f aca="false">LEN(M242)</f>
        <v>0</v>
      </c>
      <c r="P242" s="9" t="str">
        <f aca="false">IF(N242=0,"",(N242-LEN(SUBSTITUTE(SUBSTITUTE(L242,"G",""),"C","")))/N242)</f>
        <v/>
      </c>
      <c r="Q242" s="9" t="str">
        <f aca="false">IF(O242=0,"",(O242-LEN(SUBSTITUTE(SUBSTITUTE(M242,"G",""),"C","")))/O242)</f>
        <v/>
      </c>
    </row>
    <row r="243" customFormat="false" ht="15" hidden="false" customHeight="false" outlineLevel="0" collapsed="false">
      <c r="L243" s="6" t="str">
        <f aca="false">IF(G243="","",MID(G243,21,LEN(G243)-20))</f>
        <v/>
      </c>
      <c r="M243" s="6" t="str">
        <f aca="false">IF(I243="","",LEFT(I243,LEN(I243)-20))</f>
        <v/>
      </c>
      <c r="N243" s="6" t="n">
        <f aca="false">LEN(L243)</f>
        <v>0</v>
      </c>
      <c r="O243" s="6" t="n">
        <f aca="false">LEN(M243)</f>
        <v>0</v>
      </c>
      <c r="P243" s="9" t="str">
        <f aca="false">IF(N243=0,"",(N243-LEN(SUBSTITUTE(SUBSTITUTE(L243,"G",""),"C","")))/N243)</f>
        <v/>
      </c>
      <c r="Q243" s="9" t="str">
        <f aca="false">IF(O243=0,"",(O243-LEN(SUBSTITUTE(SUBSTITUTE(M243,"G",""),"C","")))/O243)</f>
        <v/>
      </c>
    </row>
    <row r="244" customFormat="false" ht="15" hidden="false" customHeight="false" outlineLevel="0" collapsed="false">
      <c r="L244" s="6" t="str">
        <f aca="false">IF(G244="","",MID(G244,21,LEN(G244)-20))</f>
        <v/>
      </c>
      <c r="M244" s="6" t="str">
        <f aca="false">IF(I244="","",LEFT(I244,LEN(I244)-20))</f>
        <v/>
      </c>
      <c r="N244" s="6" t="n">
        <f aca="false">LEN(L244)</f>
        <v>0</v>
      </c>
      <c r="O244" s="6" t="n">
        <f aca="false">LEN(M244)</f>
        <v>0</v>
      </c>
      <c r="P244" s="9" t="str">
        <f aca="false">IF(N244=0,"",(N244-LEN(SUBSTITUTE(SUBSTITUTE(L244,"G",""),"C","")))/N244)</f>
        <v/>
      </c>
      <c r="Q244" s="9" t="str">
        <f aca="false">IF(O244=0,"",(O244-LEN(SUBSTITUTE(SUBSTITUTE(M244,"G",""),"C","")))/O244)</f>
        <v/>
      </c>
    </row>
    <row r="245" customFormat="false" ht="15" hidden="false" customHeight="false" outlineLevel="0" collapsed="false">
      <c r="L245" s="6" t="str">
        <f aca="false">IF(G245="","",MID(G245,21,LEN(G245)-20))</f>
        <v/>
      </c>
      <c r="M245" s="6" t="str">
        <f aca="false">IF(I245="","",LEFT(I245,LEN(I245)-20))</f>
        <v/>
      </c>
      <c r="N245" s="6" t="n">
        <f aca="false">LEN(L245)</f>
        <v>0</v>
      </c>
      <c r="O245" s="6" t="n">
        <f aca="false">LEN(M245)</f>
        <v>0</v>
      </c>
      <c r="P245" s="9" t="str">
        <f aca="false">IF(N245=0,"",(N245-LEN(SUBSTITUTE(SUBSTITUTE(L245,"G",""),"C","")))/N245)</f>
        <v/>
      </c>
      <c r="Q245" s="9" t="str">
        <f aca="false">IF(O245=0,"",(O245-LEN(SUBSTITUTE(SUBSTITUTE(M245,"G",""),"C","")))/O245)</f>
        <v/>
      </c>
    </row>
    <row r="246" customFormat="false" ht="15" hidden="false" customHeight="false" outlineLevel="0" collapsed="false">
      <c r="L246" s="6" t="str">
        <f aca="false">IF(G246="","",MID(G246,21,LEN(G246)-20))</f>
        <v/>
      </c>
      <c r="M246" s="6" t="str">
        <f aca="false">IF(I246="","",LEFT(I246,LEN(I246)-20))</f>
        <v/>
      </c>
      <c r="N246" s="6" t="n">
        <f aca="false">LEN(L246)</f>
        <v>0</v>
      </c>
      <c r="O246" s="6" t="n">
        <f aca="false">LEN(M246)</f>
        <v>0</v>
      </c>
      <c r="P246" s="9" t="str">
        <f aca="false">IF(N246=0,"",(N246-LEN(SUBSTITUTE(SUBSTITUTE(L246,"G",""),"C","")))/N246)</f>
        <v/>
      </c>
      <c r="Q246" s="9" t="str">
        <f aca="false">IF(O246=0,"",(O246-LEN(SUBSTITUTE(SUBSTITUTE(M246,"G",""),"C","")))/O246)</f>
        <v/>
      </c>
    </row>
    <row r="247" customFormat="false" ht="15" hidden="false" customHeight="false" outlineLevel="0" collapsed="false">
      <c r="L247" s="6" t="str">
        <f aca="false">IF(G247="","",MID(G247,21,LEN(G247)-20))</f>
        <v/>
      </c>
      <c r="M247" s="6" t="str">
        <f aca="false">IF(I247="","",LEFT(I247,LEN(I247)-20))</f>
        <v/>
      </c>
      <c r="N247" s="6" t="n">
        <f aca="false">LEN(L247)</f>
        <v>0</v>
      </c>
      <c r="O247" s="6" t="n">
        <f aca="false">LEN(M247)</f>
        <v>0</v>
      </c>
      <c r="P247" s="9" t="str">
        <f aca="false">IF(N247=0,"",(N247-LEN(SUBSTITUTE(SUBSTITUTE(L247,"G",""),"C","")))/N247)</f>
        <v/>
      </c>
      <c r="Q247" s="9" t="str">
        <f aca="false">IF(O247=0,"",(O247-LEN(SUBSTITUTE(SUBSTITUTE(M247,"G",""),"C","")))/O247)</f>
        <v/>
      </c>
    </row>
    <row r="248" customFormat="false" ht="15" hidden="false" customHeight="false" outlineLevel="0" collapsed="false">
      <c r="L248" s="6" t="str">
        <f aca="false">IF(G248="","",MID(G248,21,LEN(G248)-20))</f>
        <v/>
      </c>
      <c r="M248" s="6" t="str">
        <f aca="false">IF(I248="","",LEFT(I248,LEN(I248)-20))</f>
        <v/>
      </c>
      <c r="N248" s="6" t="n">
        <f aca="false">LEN(L248)</f>
        <v>0</v>
      </c>
      <c r="O248" s="6" t="n">
        <f aca="false">LEN(M248)</f>
        <v>0</v>
      </c>
      <c r="P248" s="9" t="str">
        <f aca="false">IF(N248=0,"",(N248-LEN(SUBSTITUTE(SUBSTITUTE(L248,"G",""),"C","")))/N248)</f>
        <v/>
      </c>
      <c r="Q248" s="9" t="str">
        <f aca="false">IF(O248=0,"",(O248-LEN(SUBSTITUTE(SUBSTITUTE(M248,"G",""),"C","")))/O248)</f>
        <v/>
      </c>
    </row>
    <row r="249" customFormat="false" ht="15" hidden="false" customHeight="false" outlineLevel="0" collapsed="false">
      <c r="L249" s="6" t="str">
        <f aca="false">IF(G249="","",MID(G249,21,LEN(G249)-20))</f>
        <v/>
      </c>
      <c r="M249" s="6" t="str">
        <f aca="false">IF(I249="","",LEFT(I249,LEN(I249)-20))</f>
        <v/>
      </c>
      <c r="N249" s="6" t="n">
        <f aca="false">LEN(L249)</f>
        <v>0</v>
      </c>
      <c r="O249" s="6" t="n">
        <f aca="false">LEN(M249)</f>
        <v>0</v>
      </c>
      <c r="P249" s="9" t="str">
        <f aca="false">IF(N249=0,"",(N249-LEN(SUBSTITUTE(SUBSTITUTE(L249,"G",""),"C","")))/N249)</f>
        <v/>
      </c>
      <c r="Q249" s="9" t="str">
        <f aca="false">IF(O249=0,"",(O249-LEN(SUBSTITUTE(SUBSTITUTE(M249,"G",""),"C","")))/O249)</f>
        <v/>
      </c>
    </row>
    <row r="250" customFormat="false" ht="15" hidden="false" customHeight="false" outlineLevel="0" collapsed="false">
      <c r="L250" s="6" t="str">
        <f aca="false">IF(G250="","",MID(G250,21,LEN(G250)-20))</f>
        <v/>
      </c>
      <c r="M250" s="6" t="str">
        <f aca="false">IF(I250="","",LEFT(I250,LEN(I250)-20))</f>
        <v/>
      </c>
      <c r="N250" s="6" t="n">
        <f aca="false">LEN(L250)</f>
        <v>0</v>
      </c>
      <c r="O250" s="6" t="n">
        <f aca="false">LEN(M250)</f>
        <v>0</v>
      </c>
      <c r="P250" s="9" t="str">
        <f aca="false">IF(N250=0,"",(N250-LEN(SUBSTITUTE(SUBSTITUTE(L250,"G",""),"C","")))/N250)</f>
        <v/>
      </c>
      <c r="Q250" s="9" t="str">
        <f aca="false">IF(O250=0,"",(O250-LEN(SUBSTITUTE(SUBSTITUTE(M250,"G",""),"C","")))/O250)</f>
        <v/>
      </c>
    </row>
    <row r="251" customFormat="false" ht="15" hidden="false" customHeight="false" outlineLevel="0" collapsed="false">
      <c r="L251" s="6" t="str">
        <f aca="false">IF(G251="","",MID(G251,21,LEN(G251)-20))</f>
        <v/>
      </c>
      <c r="M251" s="6" t="str">
        <f aca="false">IF(I251="","",LEFT(I251,LEN(I251)-20))</f>
        <v/>
      </c>
      <c r="N251" s="6" t="n">
        <f aca="false">LEN(L251)</f>
        <v>0</v>
      </c>
      <c r="O251" s="6" t="n">
        <f aca="false">LEN(M251)</f>
        <v>0</v>
      </c>
      <c r="P251" s="9" t="str">
        <f aca="false">IF(N251=0,"",(N251-LEN(SUBSTITUTE(SUBSTITUTE(L251,"G",""),"C","")))/N251)</f>
        <v/>
      </c>
      <c r="Q251" s="9" t="str">
        <f aca="false">IF(O251=0,"",(O251-LEN(SUBSTITUTE(SUBSTITUTE(M251,"G",""),"C","")))/O251)</f>
        <v/>
      </c>
    </row>
    <row r="252" customFormat="false" ht="15" hidden="false" customHeight="false" outlineLevel="0" collapsed="false">
      <c r="L252" s="6" t="str">
        <f aca="false">IF(G252="","",MID(G252,21,LEN(G252)-20))</f>
        <v/>
      </c>
      <c r="M252" s="6" t="str">
        <f aca="false">IF(I252="","",LEFT(I252,LEN(I252)-20))</f>
        <v/>
      </c>
      <c r="N252" s="6" t="n">
        <f aca="false">LEN(L252)</f>
        <v>0</v>
      </c>
      <c r="O252" s="6" t="n">
        <f aca="false">LEN(M252)</f>
        <v>0</v>
      </c>
      <c r="P252" s="9" t="str">
        <f aca="false">IF(N252=0,"",(N252-LEN(SUBSTITUTE(SUBSTITUTE(L252,"G",""),"C","")))/N252)</f>
        <v/>
      </c>
      <c r="Q252" s="9" t="str">
        <f aca="false">IF(O252=0,"",(O252-LEN(SUBSTITUTE(SUBSTITUTE(M252,"G",""),"C","")))/O252)</f>
        <v/>
      </c>
    </row>
    <row r="253" customFormat="false" ht="15" hidden="false" customHeight="false" outlineLevel="0" collapsed="false">
      <c r="L253" s="6" t="str">
        <f aca="false">IF(G253="","",MID(G253,21,LEN(G253)-20))</f>
        <v/>
      </c>
      <c r="M253" s="6" t="str">
        <f aca="false">IF(I253="","",LEFT(I253,LEN(I253)-20))</f>
        <v/>
      </c>
      <c r="N253" s="6" t="n">
        <f aca="false">LEN(L253)</f>
        <v>0</v>
      </c>
      <c r="O253" s="6" t="n">
        <f aca="false">LEN(M253)</f>
        <v>0</v>
      </c>
      <c r="P253" s="9" t="str">
        <f aca="false">IF(N253=0,"",(N253-LEN(SUBSTITUTE(SUBSTITUTE(L253,"G",""),"C","")))/N253)</f>
        <v/>
      </c>
      <c r="Q253" s="9" t="str">
        <f aca="false">IF(O253=0,"",(O253-LEN(SUBSTITUTE(SUBSTITUTE(M253,"G",""),"C","")))/O253)</f>
        <v/>
      </c>
    </row>
    <row r="254" customFormat="false" ht="15" hidden="false" customHeight="false" outlineLevel="0" collapsed="false">
      <c r="L254" s="6" t="str">
        <f aca="false">IF(G254="","",MID(G254,21,LEN(G254)-20))</f>
        <v/>
      </c>
      <c r="M254" s="6" t="str">
        <f aca="false">IF(I254="","",LEFT(I254,LEN(I254)-20))</f>
        <v/>
      </c>
      <c r="N254" s="6" t="n">
        <f aca="false">LEN(L254)</f>
        <v>0</v>
      </c>
      <c r="O254" s="6" t="n">
        <f aca="false">LEN(M254)</f>
        <v>0</v>
      </c>
      <c r="P254" s="9" t="str">
        <f aca="false">IF(N254=0,"",(N254-LEN(SUBSTITUTE(SUBSTITUTE(L254,"G",""),"C","")))/N254)</f>
        <v/>
      </c>
      <c r="Q254" s="9" t="str">
        <f aca="false">IF(O254=0,"",(O254-LEN(SUBSTITUTE(SUBSTITUTE(M254,"G",""),"C","")))/O254)</f>
        <v/>
      </c>
    </row>
    <row r="255" customFormat="false" ht="15" hidden="false" customHeight="false" outlineLevel="0" collapsed="false">
      <c r="L255" s="6" t="str">
        <f aca="false">IF(G255="","",MID(G255,21,LEN(G255)-20))</f>
        <v/>
      </c>
      <c r="M255" s="6" t="str">
        <f aca="false">IF(I255="","",LEFT(I255,LEN(I255)-20))</f>
        <v/>
      </c>
      <c r="N255" s="6" t="n">
        <f aca="false">LEN(L255)</f>
        <v>0</v>
      </c>
      <c r="O255" s="6" t="n">
        <f aca="false">LEN(M255)</f>
        <v>0</v>
      </c>
      <c r="P255" s="9" t="str">
        <f aca="false">IF(N255=0,"",(N255-LEN(SUBSTITUTE(SUBSTITUTE(L255,"G",""),"C","")))/N255)</f>
        <v/>
      </c>
      <c r="Q255" s="9" t="str">
        <f aca="false">IF(O255=0,"",(O255-LEN(SUBSTITUTE(SUBSTITUTE(M255,"G",""),"C","")))/O255)</f>
        <v/>
      </c>
    </row>
    <row r="256" customFormat="false" ht="15" hidden="false" customHeight="false" outlineLevel="0" collapsed="false">
      <c r="L256" s="6" t="str">
        <f aca="false">IF(G256="","",MID(G256,21,LEN(G256)-20))</f>
        <v/>
      </c>
      <c r="M256" s="6" t="str">
        <f aca="false">IF(I256="","",LEFT(I256,LEN(I256)-20))</f>
        <v/>
      </c>
      <c r="N256" s="6" t="n">
        <f aca="false">LEN(L256)</f>
        <v>0</v>
      </c>
      <c r="O256" s="6" t="n">
        <f aca="false">LEN(M256)</f>
        <v>0</v>
      </c>
      <c r="P256" s="9" t="str">
        <f aca="false">IF(N256=0,"",(N256-LEN(SUBSTITUTE(SUBSTITUTE(L256,"G",""),"C","")))/N256)</f>
        <v/>
      </c>
      <c r="Q256" s="9" t="str">
        <f aca="false">IF(O256=0,"",(O256-LEN(SUBSTITUTE(SUBSTITUTE(M256,"G",""),"C","")))/O256)</f>
        <v/>
      </c>
    </row>
    <row r="257" customFormat="false" ht="15" hidden="false" customHeight="false" outlineLevel="0" collapsed="false">
      <c r="L257" s="6" t="str">
        <f aca="false">IF(G257="","",MID(G257,21,LEN(G257)-20))</f>
        <v/>
      </c>
      <c r="M257" s="6" t="str">
        <f aca="false">IF(I257="","",LEFT(I257,LEN(I257)-20))</f>
        <v/>
      </c>
      <c r="N257" s="6" t="n">
        <f aca="false">LEN(L257)</f>
        <v>0</v>
      </c>
      <c r="O257" s="6" t="n">
        <f aca="false">LEN(M257)</f>
        <v>0</v>
      </c>
      <c r="P257" s="9" t="str">
        <f aca="false">IF(N257=0,"",(N257-LEN(SUBSTITUTE(SUBSTITUTE(L257,"G",""),"C","")))/N257)</f>
        <v/>
      </c>
      <c r="Q257" s="9" t="str">
        <f aca="false">IF(O257=0,"",(O257-LEN(SUBSTITUTE(SUBSTITUTE(M257,"G",""),"C","")))/O257)</f>
        <v/>
      </c>
    </row>
    <row r="258" customFormat="false" ht="15" hidden="false" customHeight="false" outlineLevel="0" collapsed="false">
      <c r="L258" s="6" t="str">
        <f aca="false">IF(G258="","",MID(G258,21,LEN(G258)-20))</f>
        <v/>
      </c>
      <c r="M258" s="6" t="str">
        <f aca="false">IF(I258="","",LEFT(I258,LEN(I258)-20))</f>
        <v/>
      </c>
      <c r="N258" s="6" t="n">
        <f aca="false">LEN(L258)</f>
        <v>0</v>
      </c>
      <c r="O258" s="6" t="n">
        <f aca="false">LEN(M258)</f>
        <v>0</v>
      </c>
      <c r="P258" s="9" t="str">
        <f aca="false">IF(N258=0,"",(N258-LEN(SUBSTITUTE(SUBSTITUTE(L258,"G",""),"C","")))/N258)</f>
        <v/>
      </c>
      <c r="Q258" s="9" t="str">
        <f aca="false">IF(O258=0,"",(O258-LEN(SUBSTITUTE(SUBSTITUTE(M258,"G",""),"C","")))/O258)</f>
        <v/>
      </c>
    </row>
    <row r="259" customFormat="false" ht="15" hidden="false" customHeight="false" outlineLevel="0" collapsed="false">
      <c r="L259" s="6" t="str">
        <f aca="false">IF(G259="","",MID(G259,21,LEN(G259)-20))</f>
        <v/>
      </c>
      <c r="M259" s="6" t="str">
        <f aca="false">IF(I259="","",LEFT(I259,LEN(I259)-20))</f>
        <v/>
      </c>
      <c r="N259" s="6" t="n">
        <f aca="false">LEN(L259)</f>
        <v>0</v>
      </c>
      <c r="O259" s="6" t="n">
        <f aca="false">LEN(M259)</f>
        <v>0</v>
      </c>
      <c r="P259" s="9" t="str">
        <f aca="false">IF(N259=0,"",(N259-LEN(SUBSTITUTE(SUBSTITUTE(L259,"G",""),"C","")))/N259)</f>
        <v/>
      </c>
      <c r="Q259" s="9" t="str">
        <f aca="false">IF(O259=0,"",(O259-LEN(SUBSTITUTE(SUBSTITUTE(M259,"G",""),"C","")))/O259)</f>
        <v/>
      </c>
    </row>
    <row r="260" customFormat="false" ht="15" hidden="false" customHeight="false" outlineLevel="0" collapsed="false">
      <c r="L260" s="6" t="str">
        <f aca="false">IF(G260="","",MID(G260,21,LEN(G260)-20))</f>
        <v/>
      </c>
      <c r="M260" s="6" t="str">
        <f aca="false">IF(I260="","",LEFT(I260,LEN(I260)-20))</f>
        <v/>
      </c>
      <c r="N260" s="6" t="n">
        <f aca="false">LEN(L260)</f>
        <v>0</v>
      </c>
      <c r="O260" s="6" t="n">
        <f aca="false">LEN(M260)</f>
        <v>0</v>
      </c>
      <c r="P260" s="9" t="str">
        <f aca="false">IF(N260=0,"",(N260-LEN(SUBSTITUTE(SUBSTITUTE(L260,"G",""),"C","")))/N260)</f>
        <v/>
      </c>
      <c r="Q260" s="9" t="str">
        <f aca="false">IF(O260=0,"",(O260-LEN(SUBSTITUTE(SUBSTITUTE(M260,"G",""),"C","")))/O260)</f>
        <v/>
      </c>
    </row>
    <row r="261" customFormat="false" ht="15" hidden="false" customHeight="false" outlineLevel="0" collapsed="false">
      <c r="L261" s="6" t="str">
        <f aca="false">IF(G261="","",MID(G261,21,LEN(G261)-20))</f>
        <v/>
      </c>
      <c r="M261" s="6" t="str">
        <f aca="false">IF(I261="","",LEFT(I261,LEN(I261)-20))</f>
        <v/>
      </c>
      <c r="N261" s="6" t="n">
        <f aca="false">LEN(L261)</f>
        <v>0</v>
      </c>
      <c r="O261" s="6" t="n">
        <f aca="false">LEN(M261)</f>
        <v>0</v>
      </c>
      <c r="P261" s="9" t="str">
        <f aca="false">IF(N261=0,"",(N261-LEN(SUBSTITUTE(SUBSTITUTE(L261,"G",""),"C","")))/N261)</f>
        <v/>
      </c>
      <c r="Q261" s="9" t="str">
        <f aca="false">IF(O261=0,"",(O261-LEN(SUBSTITUTE(SUBSTITUTE(M261,"G",""),"C","")))/O261)</f>
        <v/>
      </c>
    </row>
    <row r="262" customFormat="false" ht="15" hidden="false" customHeight="false" outlineLevel="0" collapsed="false">
      <c r="L262" s="6" t="str">
        <f aca="false">IF(G262="","",MID(G262,21,LEN(G262)-20))</f>
        <v/>
      </c>
      <c r="M262" s="6" t="str">
        <f aca="false">IF(I262="","",LEFT(I262,LEN(I262)-20))</f>
        <v/>
      </c>
      <c r="N262" s="6" t="n">
        <f aca="false">LEN(L262)</f>
        <v>0</v>
      </c>
      <c r="O262" s="6" t="n">
        <f aca="false">LEN(M262)</f>
        <v>0</v>
      </c>
      <c r="P262" s="9" t="str">
        <f aca="false">IF(N262=0,"",(N262-LEN(SUBSTITUTE(SUBSTITUTE(L262,"G",""),"C","")))/N262)</f>
        <v/>
      </c>
      <c r="Q262" s="9" t="str">
        <f aca="false">IF(O262=0,"",(O262-LEN(SUBSTITUTE(SUBSTITUTE(M262,"G",""),"C","")))/O262)</f>
        <v/>
      </c>
    </row>
    <row r="263" customFormat="false" ht="15" hidden="false" customHeight="false" outlineLevel="0" collapsed="false">
      <c r="L263" s="6" t="str">
        <f aca="false">IF(G263="","",MID(G263,21,LEN(G263)-20))</f>
        <v/>
      </c>
      <c r="M263" s="6" t="str">
        <f aca="false">IF(I263="","",LEFT(I263,LEN(I263)-20))</f>
        <v/>
      </c>
      <c r="N263" s="6" t="n">
        <f aca="false">LEN(L263)</f>
        <v>0</v>
      </c>
      <c r="O263" s="6" t="n">
        <f aca="false">LEN(M263)</f>
        <v>0</v>
      </c>
      <c r="P263" s="9" t="str">
        <f aca="false">IF(N263=0,"",(N263-LEN(SUBSTITUTE(SUBSTITUTE(L263,"G",""),"C","")))/N263)</f>
        <v/>
      </c>
      <c r="Q263" s="9" t="str">
        <f aca="false">IF(O263=0,"",(O263-LEN(SUBSTITUTE(SUBSTITUTE(M263,"G",""),"C","")))/O263)</f>
        <v/>
      </c>
    </row>
    <row r="264" customFormat="false" ht="15" hidden="false" customHeight="false" outlineLevel="0" collapsed="false">
      <c r="L264" s="6" t="str">
        <f aca="false">IF(G264="","",MID(G264,21,LEN(G264)-20))</f>
        <v/>
      </c>
      <c r="M264" s="6" t="str">
        <f aca="false">IF(I264="","",LEFT(I264,LEN(I264)-20))</f>
        <v/>
      </c>
      <c r="N264" s="6" t="n">
        <f aca="false">LEN(L264)</f>
        <v>0</v>
      </c>
      <c r="O264" s="6" t="n">
        <f aca="false">LEN(M264)</f>
        <v>0</v>
      </c>
      <c r="P264" s="9" t="str">
        <f aca="false">IF(N264=0,"",(N264-LEN(SUBSTITUTE(SUBSTITUTE(L264,"G",""),"C","")))/N264)</f>
        <v/>
      </c>
      <c r="Q264" s="9" t="str">
        <f aca="false">IF(O264=0,"",(O264-LEN(SUBSTITUTE(SUBSTITUTE(M264,"G",""),"C","")))/O264)</f>
        <v/>
      </c>
    </row>
    <row r="265" customFormat="false" ht="15" hidden="false" customHeight="false" outlineLevel="0" collapsed="false">
      <c r="L265" s="6" t="str">
        <f aca="false">IF(G265="","",MID(G265,21,LEN(G265)-20))</f>
        <v/>
      </c>
      <c r="M265" s="6" t="str">
        <f aca="false">IF(I265="","",LEFT(I265,LEN(I265)-20))</f>
        <v/>
      </c>
      <c r="N265" s="6" t="n">
        <f aca="false">LEN(L265)</f>
        <v>0</v>
      </c>
      <c r="O265" s="6" t="n">
        <f aca="false">LEN(M265)</f>
        <v>0</v>
      </c>
      <c r="P265" s="9" t="str">
        <f aca="false">IF(N265=0,"",(N265-LEN(SUBSTITUTE(SUBSTITUTE(L265,"G",""),"C","")))/N265)</f>
        <v/>
      </c>
      <c r="Q265" s="9" t="str">
        <f aca="false">IF(O265=0,"",(O265-LEN(SUBSTITUTE(SUBSTITUTE(M265,"G",""),"C","")))/O265)</f>
        <v/>
      </c>
    </row>
    <row r="266" customFormat="false" ht="15" hidden="false" customHeight="false" outlineLevel="0" collapsed="false">
      <c r="L266" s="6" t="str">
        <f aca="false">IF(G266="","",MID(G266,21,LEN(G266)-20))</f>
        <v/>
      </c>
      <c r="M266" s="6" t="str">
        <f aca="false">IF(I266="","",LEFT(I266,LEN(I266)-20))</f>
        <v/>
      </c>
      <c r="N266" s="6" t="n">
        <f aca="false">LEN(L266)</f>
        <v>0</v>
      </c>
      <c r="O266" s="6" t="n">
        <f aca="false">LEN(M266)</f>
        <v>0</v>
      </c>
      <c r="P266" s="9" t="str">
        <f aca="false">IF(N266=0,"",(N266-LEN(SUBSTITUTE(SUBSTITUTE(L266,"G",""),"C","")))/N266)</f>
        <v/>
      </c>
      <c r="Q266" s="9" t="str">
        <f aca="false">IF(O266=0,"",(O266-LEN(SUBSTITUTE(SUBSTITUTE(M266,"G",""),"C","")))/O266)</f>
        <v/>
      </c>
    </row>
    <row r="267" customFormat="false" ht="15" hidden="false" customHeight="false" outlineLevel="0" collapsed="false">
      <c r="L267" s="6" t="str">
        <f aca="false">IF(G267="","",MID(G267,21,LEN(G267)-20))</f>
        <v/>
      </c>
      <c r="M267" s="6" t="str">
        <f aca="false">IF(I267="","",LEFT(I267,LEN(I267)-20))</f>
        <v/>
      </c>
      <c r="N267" s="6" t="n">
        <f aca="false">LEN(L267)</f>
        <v>0</v>
      </c>
      <c r="O267" s="6" t="n">
        <f aca="false">LEN(M267)</f>
        <v>0</v>
      </c>
      <c r="P267" s="9" t="str">
        <f aca="false">IF(N267=0,"",(N267-LEN(SUBSTITUTE(SUBSTITUTE(L267,"G",""),"C","")))/N267)</f>
        <v/>
      </c>
      <c r="Q267" s="9" t="str">
        <f aca="false">IF(O267=0,"",(O267-LEN(SUBSTITUTE(SUBSTITUTE(M267,"G",""),"C","")))/O267)</f>
        <v/>
      </c>
    </row>
    <row r="268" customFormat="false" ht="15" hidden="false" customHeight="false" outlineLevel="0" collapsed="false">
      <c r="L268" s="6" t="str">
        <f aca="false">IF(G268="","",MID(G268,21,LEN(G268)-20))</f>
        <v/>
      </c>
      <c r="M268" s="6" t="str">
        <f aca="false">IF(I268="","",LEFT(I268,LEN(I268)-20))</f>
        <v/>
      </c>
      <c r="N268" s="6" t="n">
        <f aca="false">LEN(L268)</f>
        <v>0</v>
      </c>
      <c r="O268" s="6" t="n">
        <f aca="false">LEN(M268)</f>
        <v>0</v>
      </c>
      <c r="P268" s="9" t="str">
        <f aca="false">IF(N268=0,"",(N268-LEN(SUBSTITUTE(SUBSTITUTE(L268,"G",""),"C","")))/N268)</f>
        <v/>
      </c>
      <c r="Q268" s="9" t="str">
        <f aca="false">IF(O268=0,"",(O268-LEN(SUBSTITUTE(SUBSTITUTE(M268,"G",""),"C","")))/O268)</f>
        <v/>
      </c>
    </row>
    <row r="269" customFormat="false" ht="15" hidden="false" customHeight="false" outlineLevel="0" collapsed="false">
      <c r="L269" s="6" t="str">
        <f aca="false">IF(G269="","",MID(G269,21,LEN(G269)-20))</f>
        <v/>
      </c>
      <c r="M269" s="6" t="str">
        <f aca="false">IF(I269="","",LEFT(I269,LEN(I269)-20))</f>
        <v/>
      </c>
      <c r="N269" s="6" t="n">
        <f aca="false">LEN(L269)</f>
        <v>0</v>
      </c>
      <c r="O269" s="6" t="n">
        <f aca="false">LEN(M269)</f>
        <v>0</v>
      </c>
      <c r="P269" s="9" t="str">
        <f aca="false">IF(N269=0,"",(N269-LEN(SUBSTITUTE(SUBSTITUTE(L269,"G",""),"C","")))/N269)</f>
        <v/>
      </c>
      <c r="Q269" s="9" t="str">
        <f aca="false">IF(O269=0,"",(O269-LEN(SUBSTITUTE(SUBSTITUTE(M269,"G",""),"C","")))/O269)</f>
        <v/>
      </c>
    </row>
    <row r="270" customFormat="false" ht="15" hidden="false" customHeight="false" outlineLevel="0" collapsed="false">
      <c r="L270" s="6" t="str">
        <f aca="false">IF(G270="","",MID(G270,21,LEN(G270)-20))</f>
        <v/>
      </c>
      <c r="M270" s="6" t="str">
        <f aca="false">IF(I270="","",LEFT(I270,LEN(I270)-20))</f>
        <v/>
      </c>
      <c r="N270" s="6" t="n">
        <f aca="false">LEN(L270)</f>
        <v>0</v>
      </c>
      <c r="O270" s="6" t="n">
        <f aca="false">LEN(M270)</f>
        <v>0</v>
      </c>
      <c r="P270" s="9" t="str">
        <f aca="false">IF(N270=0,"",(N270-LEN(SUBSTITUTE(SUBSTITUTE(L270,"G",""),"C","")))/N270)</f>
        <v/>
      </c>
      <c r="Q270" s="9" t="str">
        <f aca="false">IF(O270=0,"",(O270-LEN(SUBSTITUTE(SUBSTITUTE(M270,"G",""),"C","")))/O270)</f>
        <v/>
      </c>
    </row>
    <row r="271" customFormat="false" ht="15" hidden="false" customHeight="false" outlineLevel="0" collapsed="false">
      <c r="L271" s="6" t="str">
        <f aca="false">IF(G271="","",MID(G271,21,LEN(G271)-20))</f>
        <v/>
      </c>
      <c r="M271" s="6" t="str">
        <f aca="false">IF(I271="","",LEFT(I271,LEN(I271)-20))</f>
        <v/>
      </c>
      <c r="N271" s="6" t="n">
        <f aca="false">LEN(L271)</f>
        <v>0</v>
      </c>
      <c r="O271" s="6" t="n">
        <f aca="false">LEN(M271)</f>
        <v>0</v>
      </c>
      <c r="P271" s="9" t="str">
        <f aca="false">IF(N271=0,"",(N271-LEN(SUBSTITUTE(SUBSTITUTE(L271,"G",""),"C","")))/N271)</f>
        <v/>
      </c>
      <c r="Q271" s="9" t="str">
        <f aca="false">IF(O271=0,"",(O271-LEN(SUBSTITUTE(SUBSTITUTE(M271,"G",""),"C","")))/O271)</f>
        <v/>
      </c>
    </row>
    <row r="272" customFormat="false" ht="15" hidden="false" customHeight="false" outlineLevel="0" collapsed="false">
      <c r="L272" s="6" t="str">
        <f aca="false">IF(G272="","",MID(G272,21,LEN(G272)-20))</f>
        <v/>
      </c>
      <c r="M272" s="6" t="str">
        <f aca="false">IF(I272="","",LEFT(I272,LEN(I272)-20))</f>
        <v/>
      </c>
      <c r="N272" s="6" t="n">
        <f aca="false">LEN(L272)</f>
        <v>0</v>
      </c>
      <c r="O272" s="6" t="n">
        <f aca="false">LEN(M272)</f>
        <v>0</v>
      </c>
      <c r="P272" s="9" t="str">
        <f aca="false">IF(N272=0,"",(N272-LEN(SUBSTITUTE(SUBSTITUTE(L272,"G",""),"C","")))/N272)</f>
        <v/>
      </c>
      <c r="Q272" s="9" t="str">
        <f aca="false">IF(O272=0,"",(O272-LEN(SUBSTITUTE(SUBSTITUTE(M272,"G",""),"C","")))/O272)</f>
        <v/>
      </c>
    </row>
    <row r="273" customFormat="false" ht="15" hidden="false" customHeight="false" outlineLevel="0" collapsed="false">
      <c r="L273" s="6" t="str">
        <f aca="false">IF(G273="","",MID(G273,21,LEN(G273)-20))</f>
        <v/>
      </c>
      <c r="M273" s="6" t="str">
        <f aca="false">IF(I273="","",LEFT(I273,LEN(I273)-20))</f>
        <v/>
      </c>
      <c r="N273" s="6" t="n">
        <f aca="false">LEN(L273)</f>
        <v>0</v>
      </c>
      <c r="O273" s="6" t="n">
        <f aca="false">LEN(M273)</f>
        <v>0</v>
      </c>
      <c r="P273" s="9" t="str">
        <f aca="false">IF(N273=0,"",(N273-LEN(SUBSTITUTE(SUBSTITUTE(L273,"G",""),"C","")))/N273)</f>
        <v/>
      </c>
      <c r="Q273" s="9" t="str">
        <f aca="false">IF(O273=0,"",(O273-LEN(SUBSTITUTE(SUBSTITUTE(M273,"G",""),"C","")))/O273)</f>
        <v/>
      </c>
    </row>
    <row r="274" customFormat="false" ht="15" hidden="false" customHeight="false" outlineLevel="0" collapsed="false">
      <c r="L274" s="6" t="str">
        <f aca="false">IF(G274="","",MID(G274,21,LEN(G274)-20))</f>
        <v/>
      </c>
      <c r="M274" s="6" t="str">
        <f aca="false">IF(I274="","",LEFT(I274,LEN(I274)-20))</f>
        <v/>
      </c>
      <c r="N274" s="6" t="n">
        <f aca="false">LEN(L274)</f>
        <v>0</v>
      </c>
      <c r="O274" s="6" t="n">
        <f aca="false">LEN(M274)</f>
        <v>0</v>
      </c>
      <c r="P274" s="9" t="str">
        <f aca="false">IF(N274=0,"",(N274-LEN(SUBSTITUTE(SUBSTITUTE(L274,"G",""),"C","")))/N274)</f>
        <v/>
      </c>
      <c r="Q274" s="9" t="str">
        <f aca="false">IF(O274=0,"",(O274-LEN(SUBSTITUTE(SUBSTITUTE(M274,"G",""),"C","")))/O274)</f>
        <v/>
      </c>
    </row>
    <row r="275" customFormat="false" ht="15" hidden="false" customHeight="false" outlineLevel="0" collapsed="false">
      <c r="L275" s="6" t="str">
        <f aca="false">IF(G275="","",MID(G275,21,LEN(G275)-20))</f>
        <v/>
      </c>
      <c r="M275" s="6" t="str">
        <f aca="false">IF(I275="","",LEFT(I275,LEN(I275)-20))</f>
        <v/>
      </c>
      <c r="N275" s="6" t="n">
        <f aca="false">LEN(L275)</f>
        <v>0</v>
      </c>
      <c r="O275" s="6" t="n">
        <f aca="false">LEN(M275)</f>
        <v>0</v>
      </c>
      <c r="P275" s="9" t="str">
        <f aca="false">IF(N275=0,"",(N275-LEN(SUBSTITUTE(SUBSTITUTE(L275,"G",""),"C","")))/N275)</f>
        <v/>
      </c>
      <c r="Q275" s="9" t="str">
        <f aca="false">IF(O275=0,"",(O275-LEN(SUBSTITUTE(SUBSTITUTE(M275,"G",""),"C","")))/O275)</f>
        <v/>
      </c>
    </row>
    <row r="276" customFormat="false" ht="15" hidden="false" customHeight="false" outlineLevel="0" collapsed="false">
      <c r="L276" s="6" t="str">
        <f aca="false">IF(G276="","",MID(G276,21,LEN(G276)-20))</f>
        <v/>
      </c>
      <c r="M276" s="6" t="str">
        <f aca="false">IF(I276="","",LEFT(I276,LEN(I276)-20))</f>
        <v/>
      </c>
      <c r="N276" s="6" t="n">
        <f aca="false">LEN(L276)</f>
        <v>0</v>
      </c>
      <c r="O276" s="6" t="n">
        <f aca="false">LEN(M276)</f>
        <v>0</v>
      </c>
      <c r="P276" s="9" t="str">
        <f aca="false">IF(N276=0,"",(N276-LEN(SUBSTITUTE(SUBSTITUTE(L276,"G",""),"C","")))/N276)</f>
        <v/>
      </c>
      <c r="Q276" s="9" t="str">
        <f aca="false">IF(O276=0,"",(O276-LEN(SUBSTITUTE(SUBSTITUTE(M276,"G",""),"C","")))/O276)</f>
        <v/>
      </c>
    </row>
    <row r="277" customFormat="false" ht="15" hidden="false" customHeight="false" outlineLevel="0" collapsed="false">
      <c r="L277" s="6" t="str">
        <f aca="false">IF(G277="","",MID(G277,21,LEN(G277)-20))</f>
        <v/>
      </c>
      <c r="M277" s="6" t="str">
        <f aca="false">IF(I277="","",LEFT(I277,LEN(I277)-20))</f>
        <v/>
      </c>
      <c r="N277" s="6" t="n">
        <f aca="false">LEN(L277)</f>
        <v>0</v>
      </c>
      <c r="O277" s="6" t="n">
        <f aca="false">LEN(M277)</f>
        <v>0</v>
      </c>
      <c r="P277" s="9" t="str">
        <f aca="false">IF(N277=0,"",(N277-LEN(SUBSTITUTE(SUBSTITUTE(L277,"G",""),"C","")))/N277)</f>
        <v/>
      </c>
      <c r="Q277" s="9" t="str">
        <f aca="false">IF(O277=0,"",(O277-LEN(SUBSTITUTE(SUBSTITUTE(M277,"G",""),"C","")))/O277)</f>
        <v/>
      </c>
    </row>
    <row r="278" customFormat="false" ht="15" hidden="false" customHeight="false" outlineLevel="0" collapsed="false">
      <c r="L278" s="6" t="str">
        <f aca="false">IF(G278="","",MID(G278,21,LEN(G278)-20))</f>
        <v/>
      </c>
      <c r="M278" s="6" t="str">
        <f aca="false">IF(I278="","",LEFT(I278,LEN(I278)-20))</f>
        <v/>
      </c>
      <c r="N278" s="6" t="n">
        <f aca="false">LEN(L278)</f>
        <v>0</v>
      </c>
      <c r="O278" s="6" t="n">
        <f aca="false">LEN(M278)</f>
        <v>0</v>
      </c>
      <c r="P278" s="9" t="str">
        <f aca="false">IF(N278=0,"",(N278-LEN(SUBSTITUTE(SUBSTITUTE(L278,"G",""),"C","")))/N278)</f>
        <v/>
      </c>
      <c r="Q278" s="9" t="str">
        <f aca="false">IF(O278=0,"",(O278-LEN(SUBSTITUTE(SUBSTITUTE(M278,"G",""),"C","")))/O278)</f>
        <v/>
      </c>
    </row>
    <row r="279" customFormat="false" ht="15" hidden="false" customHeight="false" outlineLevel="0" collapsed="false">
      <c r="L279" s="6" t="str">
        <f aca="false">IF(G279="","",MID(G279,21,LEN(G279)-20))</f>
        <v/>
      </c>
      <c r="M279" s="6" t="str">
        <f aca="false">IF(I279="","",LEFT(I279,LEN(I279)-20))</f>
        <v/>
      </c>
      <c r="N279" s="6" t="n">
        <f aca="false">LEN(L279)</f>
        <v>0</v>
      </c>
      <c r="O279" s="6" t="n">
        <f aca="false">LEN(M279)</f>
        <v>0</v>
      </c>
      <c r="P279" s="9" t="str">
        <f aca="false">IF(N279=0,"",(N279-LEN(SUBSTITUTE(SUBSTITUTE(L279,"G",""),"C","")))/N279)</f>
        <v/>
      </c>
      <c r="Q279" s="9" t="str">
        <f aca="false">IF(O279=0,"",(O279-LEN(SUBSTITUTE(SUBSTITUTE(M279,"G",""),"C","")))/O279)</f>
        <v/>
      </c>
    </row>
    <row r="280" customFormat="false" ht="15" hidden="false" customHeight="false" outlineLevel="0" collapsed="false">
      <c r="L280" s="6" t="str">
        <f aca="false">IF(G280="","",MID(G280,21,LEN(G280)-20))</f>
        <v/>
      </c>
      <c r="M280" s="6" t="str">
        <f aca="false">IF(I280="","",LEFT(I280,LEN(I280)-20))</f>
        <v/>
      </c>
      <c r="N280" s="6" t="n">
        <f aca="false">LEN(L280)</f>
        <v>0</v>
      </c>
      <c r="O280" s="6" t="n">
        <f aca="false">LEN(M280)</f>
        <v>0</v>
      </c>
      <c r="P280" s="9" t="str">
        <f aca="false">IF(N280=0,"",(N280-LEN(SUBSTITUTE(SUBSTITUTE(L280,"G",""),"C","")))/N280)</f>
        <v/>
      </c>
      <c r="Q280" s="9" t="str">
        <f aca="false">IF(O280=0,"",(O280-LEN(SUBSTITUTE(SUBSTITUTE(M280,"G",""),"C","")))/O280)</f>
        <v/>
      </c>
    </row>
    <row r="281" customFormat="false" ht="15" hidden="false" customHeight="false" outlineLevel="0" collapsed="false">
      <c r="L281" s="6" t="str">
        <f aca="false">IF(G281="","",MID(G281,21,LEN(G281)-20))</f>
        <v/>
      </c>
      <c r="M281" s="6" t="str">
        <f aca="false">IF(I281="","",LEFT(I281,LEN(I281)-20))</f>
        <v/>
      </c>
      <c r="N281" s="6" t="n">
        <f aca="false">LEN(L281)</f>
        <v>0</v>
      </c>
      <c r="O281" s="6" t="n">
        <f aca="false">LEN(M281)</f>
        <v>0</v>
      </c>
      <c r="P281" s="9" t="str">
        <f aca="false">IF(N281=0,"",(N281-LEN(SUBSTITUTE(SUBSTITUTE(L281,"G",""),"C","")))/N281)</f>
        <v/>
      </c>
      <c r="Q281" s="9" t="str">
        <f aca="false">IF(O281=0,"",(O281-LEN(SUBSTITUTE(SUBSTITUTE(M281,"G",""),"C","")))/O281)</f>
        <v/>
      </c>
    </row>
    <row r="282" customFormat="false" ht="15" hidden="false" customHeight="false" outlineLevel="0" collapsed="false">
      <c r="L282" s="6" t="str">
        <f aca="false">IF(G282="","",MID(G282,21,LEN(G282)-20))</f>
        <v/>
      </c>
      <c r="M282" s="6" t="str">
        <f aca="false">IF(I282="","",LEFT(I282,LEN(I282)-20))</f>
        <v/>
      </c>
      <c r="N282" s="6" t="n">
        <f aca="false">LEN(L282)</f>
        <v>0</v>
      </c>
      <c r="O282" s="6" t="n">
        <f aca="false">LEN(M282)</f>
        <v>0</v>
      </c>
      <c r="P282" s="9" t="str">
        <f aca="false">IF(N282=0,"",(N282-LEN(SUBSTITUTE(SUBSTITUTE(L282,"G",""),"C","")))/N282)</f>
        <v/>
      </c>
      <c r="Q282" s="9" t="str">
        <f aca="false">IF(O282=0,"",(O282-LEN(SUBSTITUTE(SUBSTITUTE(M282,"G",""),"C","")))/O282)</f>
        <v/>
      </c>
    </row>
    <row r="283" customFormat="false" ht="15" hidden="false" customHeight="false" outlineLevel="0" collapsed="false">
      <c r="L283" s="6" t="str">
        <f aca="false">IF(G283="","",MID(G283,21,LEN(G283)-20))</f>
        <v/>
      </c>
      <c r="M283" s="6" t="str">
        <f aca="false">IF(I283="","",LEFT(I283,LEN(I283)-20))</f>
        <v/>
      </c>
      <c r="N283" s="6" t="n">
        <f aca="false">LEN(L283)</f>
        <v>0</v>
      </c>
      <c r="O283" s="6" t="n">
        <f aca="false">LEN(M283)</f>
        <v>0</v>
      </c>
      <c r="P283" s="9" t="str">
        <f aca="false">IF(N283=0,"",(N283-LEN(SUBSTITUTE(SUBSTITUTE(L283,"G",""),"C","")))/N283)</f>
        <v/>
      </c>
      <c r="Q283" s="9" t="str">
        <f aca="false">IF(O283=0,"",(O283-LEN(SUBSTITUTE(SUBSTITUTE(M283,"G",""),"C","")))/O283)</f>
        <v/>
      </c>
    </row>
    <row r="284" customFormat="false" ht="15" hidden="false" customHeight="false" outlineLevel="0" collapsed="false">
      <c r="L284" s="6" t="str">
        <f aca="false">IF(G284="","",MID(G284,21,LEN(G284)-20))</f>
        <v/>
      </c>
      <c r="M284" s="6" t="str">
        <f aca="false">IF(I284="","",LEFT(I284,LEN(I284)-20))</f>
        <v/>
      </c>
      <c r="N284" s="6" t="n">
        <f aca="false">LEN(L284)</f>
        <v>0</v>
      </c>
      <c r="O284" s="6" t="n">
        <f aca="false">LEN(M284)</f>
        <v>0</v>
      </c>
      <c r="P284" s="9" t="str">
        <f aca="false">IF(N284=0,"",(N284-LEN(SUBSTITUTE(SUBSTITUTE(L284,"G",""),"C","")))/N284)</f>
        <v/>
      </c>
      <c r="Q284" s="9" t="str">
        <f aca="false">IF(O284=0,"",(O284-LEN(SUBSTITUTE(SUBSTITUTE(M284,"G",""),"C","")))/O284)</f>
        <v/>
      </c>
    </row>
    <row r="285" customFormat="false" ht="15" hidden="false" customHeight="false" outlineLevel="0" collapsed="false">
      <c r="L285" s="6" t="str">
        <f aca="false">IF(G285="","",MID(G285,21,LEN(G285)-20))</f>
        <v/>
      </c>
      <c r="M285" s="6" t="str">
        <f aca="false">IF(I285="","",LEFT(I285,LEN(I285)-20))</f>
        <v/>
      </c>
      <c r="N285" s="6" t="n">
        <f aca="false">LEN(L285)</f>
        <v>0</v>
      </c>
      <c r="O285" s="6" t="n">
        <f aca="false">LEN(M285)</f>
        <v>0</v>
      </c>
      <c r="P285" s="9" t="str">
        <f aca="false">IF(N285=0,"",(N285-LEN(SUBSTITUTE(SUBSTITUTE(L285,"G",""),"C","")))/N285)</f>
        <v/>
      </c>
      <c r="Q285" s="9" t="str">
        <f aca="false">IF(O285=0,"",(O285-LEN(SUBSTITUTE(SUBSTITUTE(M285,"G",""),"C","")))/O285)</f>
        <v/>
      </c>
    </row>
    <row r="286" customFormat="false" ht="15" hidden="false" customHeight="false" outlineLevel="0" collapsed="false">
      <c r="L286" s="6" t="str">
        <f aca="false">IF(G286="","",MID(G286,21,LEN(G286)-20))</f>
        <v/>
      </c>
      <c r="M286" s="6" t="str">
        <f aca="false">IF(I286="","",LEFT(I286,LEN(I286)-20))</f>
        <v/>
      </c>
      <c r="N286" s="6" t="n">
        <f aca="false">LEN(L286)</f>
        <v>0</v>
      </c>
      <c r="O286" s="6" t="n">
        <f aca="false">LEN(M286)</f>
        <v>0</v>
      </c>
      <c r="P286" s="9" t="str">
        <f aca="false">IF(N286=0,"",(N286-LEN(SUBSTITUTE(SUBSTITUTE(L286,"G",""),"C","")))/N286)</f>
        <v/>
      </c>
      <c r="Q286" s="9" t="str">
        <f aca="false">IF(O286=0,"",(O286-LEN(SUBSTITUTE(SUBSTITUTE(M286,"G",""),"C","")))/O286)</f>
        <v/>
      </c>
    </row>
    <row r="287" customFormat="false" ht="15" hidden="false" customHeight="false" outlineLevel="0" collapsed="false">
      <c r="L287" s="6" t="str">
        <f aca="false">IF(G287="","",MID(G287,21,LEN(G287)-20))</f>
        <v/>
      </c>
      <c r="M287" s="6" t="str">
        <f aca="false">IF(I287="","",LEFT(I287,LEN(I287)-20))</f>
        <v/>
      </c>
      <c r="N287" s="6" t="n">
        <f aca="false">LEN(L287)</f>
        <v>0</v>
      </c>
      <c r="O287" s="6" t="n">
        <f aca="false">LEN(M287)</f>
        <v>0</v>
      </c>
      <c r="P287" s="9" t="str">
        <f aca="false">IF(N287=0,"",(N287-LEN(SUBSTITUTE(SUBSTITUTE(L287,"G",""),"C","")))/N287)</f>
        <v/>
      </c>
      <c r="Q287" s="9" t="str">
        <f aca="false">IF(O287=0,"",(O287-LEN(SUBSTITUTE(SUBSTITUTE(M287,"G",""),"C","")))/O287)</f>
        <v/>
      </c>
    </row>
    <row r="288" customFormat="false" ht="15" hidden="false" customHeight="false" outlineLevel="0" collapsed="false">
      <c r="L288" s="6" t="str">
        <f aca="false">IF(G288="","",MID(G288,21,LEN(G288)-20))</f>
        <v/>
      </c>
      <c r="M288" s="6" t="str">
        <f aca="false">IF(I288="","",LEFT(I288,LEN(I288)-20))</f>
        <v/>
      </c>
      <c r="N288" s="6" t="n">
        <f aca="false">LEN(L288)</f>
        <v>0</v>
      </c>
      <c r="O288" s="6" t="n">
        <f aca="false">LEN(M288)</f>
        <v>0</v>
      </c>
      <c r="P288" s="9" t="str">
        <f aca="false">IF(N288=0,"",(N288-LEN(SUBSTITUTE(SUBSTITUTE(L288,"G",""),"C","")))/N288)</f>
        <v/>
      </c>
      <c r="Q288" s="9" t="str">
        <f aca="false">IF(O288=0,"",(O288-LEN(SUBSTITUTE(SUBSTITUTE(M288,"G",""),"C","")))/O288)</f>
        <v/>
      </c>
    </row>
    <row r="289" customFormat="false" ht="15" hidden="false" customHeight="false" outlineLevel="0" collapsed="false">
      <c r="L289" s="6" t="str">
        <f aca="false">IF(G289="","",MID(G289,21,LEN(G289)-20))</f>
        <v/>
      </c>
      <c r="M289" s="6" t="str">
        <f aca="false">IF(I289="","",LEFT(I289,LEN(I289)-20))</f>
        <v/>
      </c>
      <c r="N289" s="6" t="n">
        <f aca="false">LEN(L289)</f>
        <v>0</v>
      </c>
      <c r="O289" s="6" t="n">
        <f aca="false">LEN(M289)</f>
        <v>0</v>
      </c>
      <c r="P289" s="9" t="str">
        <f aca="false">IF(N289=0,"",(N289-LEN(SUBSTITUTE(SUBSTITUTE(L289,"G",""),"C","")))/N289)</f>
        <v/>
      </c>
      <c r="Q289" s="9" t="str">
        <f aca="false">IF(O289=0,"",(O289-LEN(SUBSTITUTE(SUBSTITUTE(M289,"G",""),"C","")))/O289)</f>
        <v/>
      </c>
    </row>
    <row r="290" customFormat="false" ht="15" hidden="false" customHeight="false" outlineLevel="0" collapsed="false">
      <c r="L290" s="6" t="str">
        <f aca="false">IF(G290="","",MID(G290,21,LEN(G290)-20))</f>
        <v/>
      </c>
      <c r="M290" s="6" t="str">
        <f aca="false">IF(I290="","",LEFT(I290,LEN(I290)-20))</f>
        <v/>
      </c>
      <c r="N290" s="6" t="n">
        <f aca="false">LEN(L290)</f>
        <v>0</v>
      </c>
      <c r="O290" s="6" t="n">
        <f aca="false">LEN(M290)</f>
        <v>0</v>
      </c>
      <c r="P290" s="9" t="str">
        <f aca="false">IF(N290=0,"",(N290-LEN(SUBSTITUTE(SUBSTITUTE(L290,"G",""),"C","")))/N290)</f>
        <v/>
      </c>
      <c r="Q290" s="9" t="str">
        <f aca="false">IF(O290=0,"",(O290-LEN(SUBSTITUTE(SUBSTITUTE(M290,"G",""),"C","")))/O290)</f>
        <v/>
      </c>
    </row>
    <row r="291" customFormat="false" ht="15" hidden="false" customHeight="false" outlineLevel="0" collapsed="false">
      <c r="L291" s="6" t="str">
        <f aca="false">IF(G291="","",MID(G291,21,LEN(G291)-20))</f>
        <v/>
      </c>
      <c r="M291" s="6" t="str">
        <f aca="false">IF(I291="","",LEFT(I291,LEN(I291)-20))</f>
        <v/>
      </c>
      <c r="N291" s="6" t="n">
        <f aca="false">LEN(L291)</f>
        <v>0</v>
      </c>
      <c r="O291" s="6" t="n">
        <f aca="false">LEN(M291)</f>
        <v>0</v>
      </c>
      <c r="P291" s="9" t="str">
        <f aca="false">IF(N291=0,"",(N291-LEN(SUBSTITUTE(SUBSTITUTE(L291,"G",""),"C","")))/N291)</f>
        <v/>
      </c>
      <c r="Q291" s="9" t="str">
        <f aca="false">IF(O291=0,"",(O291-LEN(SUBSTITUTE(SUBSTITUTE(M291,"G",""),"C","")))/O291)</f>
        <v/>
      </c>
    </row>
    <row r="292" customFormat="false" ht="15" hidden="false" customHeight="false" outlineLevel="0" collapsed="false">
      <c r="L292" s="6" t="str">
        <f aca="false">IF(G292="","",MID(G292,21,LEN(G292)-20))</f>
        <v/>
      </c>
      <c r="M292" s="6" t="str">
        <f aca="false">IF(I292="","",LEFT(I292,LEN(I292)-20))</f>
        <v/>
      </c>
      <c r="N292" s="6" t="n">
        <f aca="false">LEN(L292)</f>
        <v>0</v>
      </c>
      <c r="O292" s="6" t="n">
        <f aca="false">LEN(M292)</f>
        <v>0</v>
      </c>
      <c r="P292" s="9" t="str">
        <f aca="false">IF(N292=0,"",(N292-LEN(SUBSTITUTE(SUBSTITUTE(L292,"G",""),"C","")))/N292)</f>
        <v/>
      </c>
      <c r="Q292" s="9" t="str">
        <f aca="false">IF(O292=0,"",(O292-LEN(SUBSTITUTE(SUBSTITUTE(M292,"G",""),"C","")))/O292)</f>
        <v/>
      </c>
    </row>
    <row r="293" customFormat="false" ht="15" hidden="false" customHeight="false" outlineLevel="0" collapsed="false">
      <c r="L293" s="6" t="str">
        <f aca="false">IF(G293="","",MID(G293,21,LEN(G293)-20))</f>
        <v/>
      </c>
      <c r="M293" s="6" t="str">
        <f aca="false">IF(I293="","",LEFT(I293,LEN(I293)-20))</f>
        <v/>
      </c>
      <c r="N293" s="6" t="n">
        <f aca="false">LEN(L293)</f>
        <v>0</v>
      </c>
      <c r="O293" s="6" t="n">
        <f aca="false">LEN(M293)</f>
        <v>0</v>
      </c>
      <c r="P293" s="9" t="str">
        <f aca="false">IF(N293=0,"",(N293-LEN(SUBSTITUTE(SUBSTITUTE(L293,"G",""),"C","")))/N293)</f>
        <v/>
      </c>
      <c r="Q293" s="9" t="str">
        <f aca="false">IF(O293=0,"",(O293-LEN(SUBSTITUTE(SUBSTITUTE(M293,"G",""),"C","")))/O293)</f>
        <v/>
      </c>
    </row>
    <row r="294" customFormat="false" ht="15" hidden="false" customHeight="false" outlineLevel="0" collapsed="false">
      <c r="L294" s="6" t="str">
        <f aca="false">IF(G294="","",MID(G294,21,LEN(G294)-20))</f>
        <v/>
      </c>
      <c r="M294" s="6" t="str">
        <f aca="false">IF(I294="","",LEFT(I294,LEN(I294)-20))</f>
        <v/>
      </c>
      <c r="N294" s="6" t="n">
        <f aca="false">LEN(L294)</f>
        <v>0</v>
      </c>
      <c r="O294" s="6" t="n">
        <f aca="false">LEN(M294)</f>
        <v>0</v>
      </c>
      <c r="P294" s="9" t="str">
        <f aca="false">IF(N294=0,"",(N294-LEN(SUBSTITUTE(SUBSTITUTE(L294,"G",""),"C","")))/N294)</f>
        <v/>
      </c>
      <c r="Q294" s="9" t="str">
        <f aca="false">IF(O294=0,"",(O294-LEN(SUBSTITUTE(SUBSTITUTE(M294,"G",""),"C","")))/O294)</f>
        <v/>
      </c>
    </row>
    <row r="295" customFormat="false" ht="15" hidden="false" customHeight="false" outlineLevel="0" collapsed="false">
      <c r="L295" s="6" t="str">
        <f aca="false">IF(G295="","",MID(G295,21,LEN(G295)-20))</f>
        <v/>
      </c>
      <c r="M295" s="6" t="str">
        <f aca="false">IF(I295="","",LEFT(I295,LEN(I295)-20))</f>
        <v/>
      </c>
      <c r="N295" s="6" t="n">
        <f aca="false">LEN(L295)</f>
        <v>0</v>
      </c>
      <c r="O295" s="6" t="n">
        <f aca="false">LEN(M295)</f>
        <v>0</v>
      </c>
      <c r="P295" s="9" t="str">
        <f aca="false">IF(N295=0,"",(N295-LEN(SUBSTITUTE(SUBSTITUTE(L295,"G",""),"C","")))/N295)</f>
        <v/>
      </c>
      <c r="Q295" s="9" t="str">
        <f aca="false">IF(O295=0,"",(O295-LEN(SUBSTITUTE(SUBSTITUTE(M295,"G",""),"C","")))/O295)</f>
        <v/>
      </c>
    </row>
    <row r="296" customFormat="false" ht="15" hidden="false" customHeight="false" outlineLevel="0" collapsed="false">
      <c r="L296" s="6" t="str">
        <f aca="false">IF(G296="","",MID(G296,21,LEN(G296)-20))</f>
        <v/>
      </c>
      <c r="M296" s="6" t="str">
        <f aca="false">IF(I296="","",LEFT(I296,LEN(I296)-20))</f>
        <v/>
      </c>
      <c r="N296" s="6" t="n">
        <f aca="false">LEN(L296)</f>
        <v>0</v>
      </c>
      <c r="O296" s="6" t="n">
        <f aca="false">LEN(M296)</f>
        <v>0</v>
      </c>
      <c r="P296" s="9" t="str">
        <f aca="false">IF(N296=0,"",(N296-LEN(SUBSTITUTE(SUBSTITUTE(L296,"G",""),"C","")))/N296)</f>
        <v/>
      </c>
      <c r="Q296" s="9" t="str">
        <f aca="false">IF(O296=0,"",(O296-LEN(SUBSTITUTE(SUBSTITUTE(M296,"G",""),"C","")))/O296)</f>
        <v/>
      </c>
    </row>
    <row r="297" customFormat="false" ht="15" hidden="false" customHeight="false" outlineLevel="0" collapsed="false">
      <c r="L297" s="6" t="str">
        <f aca="false">IF(G297="","",MID(G297,21,LEN(G297)-20))</f>
        <v/>
      </c>
      <c r="M297" s="6" t="str">
        <f aca="false">IF(I297="","",LEFT(I297,LEN(I297)-20))</f>
        <v/>
      </c>
      <c r="N297" s="6" t="n">
        <f aca="false">LEN(L297)</f>
        <v>0</v>
      </c>
      <c r="O297" s="6" t="n">
        <f aca="false">LEN(M297)</f>
        <v>0</v>
      </c>
      <c r="P297" s="9" t="str">
        <f aca="false">IF(N297=0,"",(N297-LEN(SUBSTITUTE(SUBSTITUTE(L297,"G",""),"C","")))/N297)</f>
        <v/>
      </c>
      <c r="Q297" s="9" t="str">
        <f aca="false">IF(O297=0,"",(O297-LEN(SUBSTITUTE(SUBSTITUTE(M297,"G",""),"C","")))/O297)</f>
        <v/>
      </c>
    </row>
    <row r="298" customFormat="false" ht="15" hidden="false" customHeight="false" outlineLevel="0" collapsed="false">
      <c r="L298" s="6" t="str">
        <f aca="false">IF(G298="","",MID(G298,21,LEN(G298)-20))</f>
        <v/>
      </c>
      <c r="M298" s="6" t="str">
        <f aca="false">IF(I298="","",LEFT(I298,LEN(I298)-20))</f>
        <v/>
      </c>
      <c r="N298" s="6" t="n">
        <f aca="false">LEN(L298)</f>
        <v>0</v>
      </c>
      <c r="O298" s="6" t="n">
        <f aca="false">LEN(M298)</f>
        <v>0</v>
      </c>
      <c r="P298" s="9" t="str">
        <f aca="false">IF(N298=0,"",(N298-LEN(SUBSTITUTE(SUBSTITUTE(L298,"G",""),"C","")))/N298)</f>
        <v/>
      </c>
      <c r="Q298" s="9" t="str">
        <f aca="false">IF(O298=0,"",(O298-LEN(SUBSTITUTE(SUBSTITUTE(M298,"G",""),"C","")))/O298)</f>
        <v/>
      </c>
    </row>
    <row r="299" customFormat="false" ht="15" hidden="false" customHeight="false" outlineLevel="0" collapsed="false">
      <c r="L299" s="6" t="str">
        <f aca="false">IF(G299="","",MID(G299,21,LEN(G299)-20))</f>
        <v/>
      </c>
      <c r="M299" s="6" t="str">
        <f aca="false">IF(I299="","",LEFT(I299,LEN(I299)-20))</f>
        <v/>
      </c>
      <c r="N299" s="6" t="n">
        <f aca="false">LEN(L299)</f>
        <v>0</v>
      </c>
      <c r="O299" s="6" t="n">
        <f aca="false">LEN(M299)</f>
        <v>0</v>
      </c>
      <c r="P299" s="9" t="str">
        <f aca="false">IF(N299=0,"",(N299-LEN(SUBSTITUTE(SUBSTITUTE(L299,"G",""),"C","")))/N299)</f>
        <v/>
      </c>
      <c r="Q299" s="9" t="str">
        <f aca="false">IF(O299=0,"",(O299-LEN(SUBSTITUTE(SUBSTITUTE(M299,"G",""),"C","")))/O299)</f>
        <v/>
      </c>
    </row>
    <row r="300" customFormat="false" ht="15" hidden="false" customHeight="false" outlineLevel="0" collapsed="false">
      <c r="L300" s="6" t="str">
        <f aca="false">IF(G300="","",MID(G300,21,LEN(G300)-20))</f>
        <v/>
      </c>
      <c r="M300" s="6" t="str">
        <f aca="false">IF(I300="","",LEFT(I300,LEN(I300)-20))</f>
        <v/>
      </c>
      <c r="N300" s="6" t="n">
        <f aca="false">LEN(L300)</f>
        <v>0</v>
      </c>
      <c r="O300" s="6" t="n">
        <f aca="false">LEN(M300)</f>
        <v>0</v>
      </c>
      <c r="P300" s="9" t="str">
        <f aca="false">IF(N300=0,"",(N300-LEN(SUBSTITUTE(SUBSTITUTE(L300,"G",""),"C","")))/N300)</f>
        <v/>
      </c>
      <c r="Q300" s="9" t="str">
        <f aca="false">IF(O300=0,"",(O300-LEN(SUBSTITUTE(SUBSTITUTE(M300,"G",""),"C","")))/O300)</f>
        <v/>
      </c>
    </row>
  </sheetData>
  <dataValidations count="1">
    <dataValidation allowBlank="true" errorStyle="stop" operator="between" showDropDown="false" showErrorMessage="false" showInputMessage="false" sqref="D2:D1300" type="list">
      <formula1>"B1,B2,B3,B4,B5"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6"/>
    <col collapsed="false" customWidth="true" hidden="false" outlineLevel="0" max="4" min="4" style="0" width="60"/>
    <col collapsed="false" customWidth="true" hidden="false" outlineLevel="0" max="5" min="5" style="0" width="22"/>
    <col collapsed="false" customWidth="true" hidden="false" outlineLevel="0" max="6" min="6" style="0" width="10"/>
    <col collapsed="false" customWidth="true" hidden="false" outlineLevel="0" max="7" min="7" style="0" width="12"/>
    <col collapsed="false" customWidth="true" hidden="false" outlineLevel="0" max="8" min="8" style="0" width="90"/>
  </cols>
  <sheetData>
    <row r="1" customFormat="false" ht="31.5" hidden="false" customHeight="true" outlineLevel="0" collapsed="false">
      <c r="A1" s="4" t="s">
        <v>75</v>
      </c>
      <c r="B1" s="4" t="s">
        <v>12</v>
      </c>
      <c r="C1" s="4" t="s">
        <v>14</v>
      </c>
      <c r="D1" s="4" t="s">
        <v>76</v>
      </c>
      <c r="E1" s="4" t="s">
        <v>77</v>
      </c>
      <c r="F1" s="4" t="s">
        <v>78</v>
      </c>
      <c r="G1" s="4" t="s">
        <v>79</v>
      </c>
      <c r="H1" s="4"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26"/>
    <col collapsed="false" customWidth="true" hidden="false" outlineLevel="0" max="5" min="4" style="0" width="10"/>
    <col collapsed="false" customWidth="true" hidden="false" outlineLevel="0" max="6" min="6" style="0" width="26"/>
    <col collapsed="false" customWidth="true" hidden="false" outlineLevel="0" max="8" min="7" style="0" width="10"/>
  </cols>
  <sheetData>
    <row r="1" customFormat="false" ht="31.5" hidden="false" customHeight="true" outlineLevel="0" collapsed="false">
      <c r="A1" s="4" t="s">
        <v>18</v>
      </c>
      <c r="B1" s="4" t="s">
        <v>81</v>
      </c>
      <c r="C1" s="4" t="s">
        <v>82</v>
      </c>
      <c r="D1" s="4" t="s">
        <v>83</v>
      </c>
      <c r="E1" s="4" t="s">
        <v>84</v>
      </c>
      <c r="F1" s="4" t="s">
        <v>85</v>
      </c>
      <c r="G1" s="4" t="s">
        <v>86</v>
      </c>
      <c r="H1" s="4" t="s">
        <v>87</v>
      </c>
    </row>
    <row r="2" customFormat="false" ht="15" hidden="false" customHeight="false" outlineLevel="0" collapsed="false">
      <c r="A2" s="10" t="s">
        <v>44</v>
      </c>
      <c r="B2" s="6" t="s">
        <v>88</v>
      </c>
      <c r="C2" s="11" t="s">
        <v>89</v>
      </c>
      <c r="D2" s="11" t="s">
        <v>90</v>
      </c>
      <c r="E2" s="11" t="s">
        <v>91</v>
      </c>
      <c r="F2" s="11" t="s">
        <v>92</v>
      </c>
      <c r="G2" s="6" t="n">
        <f aca="false">COUNTIF(Probe_Sets!$I:$I,A2)</f>
        <v>1</v>
      </c>
      <c r="H2" s="6" t="n">
        <f aca="false">SUMIF(Probe_Sets!$I:$I,A2,Probe_Sets!$K:$K)</f>
        <v>1</v>
      </c>
    </row>
    <row r="3" customFormat="false" ht="15" hidden="false" customHeight="false" outlineLevel="0" collapsed="false">
      <c r="A3" s="12" t="s">
        <v>93</v>
      </c>
      <c r="B3" s="6" t="s">
        <v>94</v>
      </c>
      <c r="C3" s="11" t="s">
        <v>95</v>
      </c>
      <c r="D3" s="11" t="s">
        <v>90</v>
      </c>
      <c r="E3" s="11" t="s">
        <v>90</v>
      </c>
      <c r="F3" s="11" t="s">
        <v>96</v>
      </c>
      <c r="G3" s="6" t="n">
        <f aca="false">COUNTIF(Probe_Sets!$I:$I,A3)</f>
        <v>0</v>
      </c>
      <c r="H3" s="6" t="n">
        <f aca="false">SUMIF(Probe_Sets!$I:$I,A3,Probe_Sets!$K:$K)</f>
        <v>0</v>
      </c>
    </row>
    <row r="4" customFormat="false" ht="15" hidden="false" customHeight="false" outlineLevel="0" collapsed="false">
      <c r="A4" s="13" t="s">
        <v>97</v>
      </c>
      <c r="B4" s="6" t="s">
        <v>98</v>
      </c>
      <c r="C4" s="11" t="s">
        <v>99</v>
      </c>
      <c r="D4" s="11" t="s">
        <v>100</v>
      </c>
      <c r="E4" s="11" t="s">
        <v>100</v>
      </c>
      <c r="F4" s="11" t="s">
        <v>101</v>
      </c>
      <c r="G4" s="6" t="n">
        <f aca="false">COUNTIF(Probe_Sets!$I:$I,A4)</f>
        <v>0</v>
      </c>
      <c r="H4" s="6" t="n">
        <f aca="false">SUMIF(Probe_Sets!$I:$I,A4,Probe_Sets!$K:$K)</f>
        <v>0</v>
      </c>
    </row>
    <row r="5" customFormat="false" ht="15" hidden="false" customHeight="false" outlineLevel="0" collapsed="false">
      <c r="A5" s="14" t="s">
        <v>102</v>
      </c>
      <c r="B5" s="6" t="s">
        <v>103</v>
      </c>
      <c r="C5" s="11" t="s">
        <v>104</v>
      </c>
      <c r="D5" s="11" t="s">
        <v>90</v>
      </c>
      <c r="E5" s="11" t="s">
        <v>105</v>
      </c>
      <c r="F5" s="11" t="s">
        <v>106</v>
      </c>
      <c r="G5" s="6" t="n">
        <f aca="false">COUNTIF(Probe_Sets!$I:$I,A5)</f>
        <v>0</v>
      </c>
      <c r="H5" s="6" t="n">
        <f aca="false">SUMIF(Probe_Sets!$I:$I,A5,Probe_Sets!$K:$K)</f>
        <v>0</v>
      </c>
    </row>
    <row r="6" customFormat="false" ht="15" hidden="false" customHeight="false" outlineLevel="0" collapsed="false">
      <c r="A6" s="15" t="s">
        <v>107</v>
      </c>
      <c r="B6" s="6" t="s">
        <v>108</v>
      </c>
      <c r="C6" s="11" t="s">
        <v>109</v>
      </c>
      <c r="D6" s="11" t="s">
        <v>90</v>
      </c>
      <c r="E6" s="11" t="s">
        <v>90</v>
      </c>
      <c r="F6" s="11" t="s">
        <v>110</v>
      </c>
      <c r="G6" s="6" t="n">
        <f aca="false">COUNTIF(Probe_Sets!$I:$I,A6)</f>
        <v>0</v>
      </c>
      <c r="H6" s="6" t="n">
        <f aca="false">SUMIF(Probe_Sets!$I:$I,A6,Probe_Sets!$K:$K)</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2026-10-03T20:52:21Z</dcterms:created>
  <dc:creator>openpyxl</dc:creator>
  <dc:description/>
  <dc:language>en-US</dc:language>
  <cp:lastModifiedBy/>
  <dcterms:modified xsi:type="dcterms:W3CDTF">2026-10-03T20:52:21Z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